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19EDBA97-23AA-457A-AC2D-BA9512BB9C31}" xr6:coauthVersionLast="44" xr6:coauthVersionMax="44" xr10:uidLastSave="{00000000-0000-0000-0000-000000000000}"/>
  <bookViews>
    <workbookView xWindow="-120" yWindow="-120" windowWidth="20730" windowHeight="11160" xr2:uid="{5AC236AA-BBFF-4BA1-A1EE-F5AA8AC05784}"/>
  </bookViews>
  <sheets>
    <sheet name="Eleme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1" l="1"/>
  <c r="L8" i="1"/>
  <c r="L10" i="1"/>
  <c r="L12" i="1"/>
  <c r="L14" i="1"/>
  <c r="L16" i="1"/>
  <c r="L18" i="1"/>
  <c r="L20" i="1"/>
  <c r="L22" i="1"/>
  <c r="L24" i="1"/>
  <c r="L26" i="1"/>
  <c r="L28" i="1"/>
  <c r="L30" i="1"/>
  <c r="L32" i="1"/>
  <c r="L34" i="1"/>
  <c r="L36" i="1"/>
  <c r="L38" i="1"/>
  <c r="L40" i="1"/>
  <c r="L42" i="1"/>
  <c r="L44" i="1"/>
  <c r="L46" i="1"/>
  <c r="L48" i="1"/>
  <c r="L50" i="1"/>
  <c r="L52" i="1"/>
  <c r="L54" i="1"/>
  <c r="L56" i="1"/>
  <c r="L58" i="1"/>
  <c r="L60" i="1"/>
  <c r="L62" i="1"/>
  <c r="L4" i="1"/>
  <c r="K6" i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4" i="1"/>
  <c r="J6" i="1"/>
  <c r="J8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J54" i="1"/>
  <c r="J56" i="1"/>
  <c r="J58" i="1"/>
  <c r="J60" i="1"/>
  <c r="J62" i="1"/>
  <c r="J4" i="1"/>
  <c r="I62" i="1"/>
  <c r="I60" i="1"/>
  <c r="I58" i="1"/>
  <c r="I56" i="1"/>
  <c r="I54" i="1"/>
  <c r="I52" i="1"/>
  <c r="I50" i="1"/>
  <c r="I48" i="1"/>
  <c r="I46" i="1"/>
  <c r="I44" i="1"/>
  <c r="I42" i="1"/>
  <c r="I40" i="1"/>
  <c r="I38" i="1"/>
  <c r="I36" i="1"/>
  <c r="I34" i="1"/>
  <c r="I32" i="1"/>
  <c r="I30" i="1"/>
  <c r="I28" i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<sst xmlns="http://schemas.openxmlformats.org/spreadsheetml/2006/main" count="181" uniqueCount="74">
  <si>
    <t>TABLE:  Element Forces - Frames</t>
  </si>
  <si>
    <t>Frame</t>
  </si>
  <si>
    <t>Station</t>
  </si>
  <si>
    <t>StepType</t>
  </si>
  <si>
    <t>P</t>
  </si>
  <si>
    <t>V2</t>
  </si>
  <si>
    <t>V3</t>
  </si>
  <si>
    <t>M2</t>
  </si>
  <si>
    <t>M3</t>
  </si>
  <si>
    <t>Text</t>
  </si>
  <si>
    <t>m</t>
  </si>
  <si>
    <t>KN</t>
  </si>
  <si>
    <t>KN-m</t>
  </si>
  <si>
    <t>6</t>
  </si>
  <si>
    <t>Max</t>
  </si>
  <si>
    <t>Min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</si>
  <si>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</si>
  <si>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</si>
  <si>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</si>
  <si>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</si>
  <si>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</si>
  <si>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</si>
  <si>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</si>
  <si>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</si>
  <si>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</si>
  <si>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37</t>
  </si>
  <si>
    <t>38</t>
  </si>
  <si>
    <t>39</t>
  </si>
  <si>
    <t>40</t>
  </si>
  <si>
    <t>41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</si>
  <si>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</si>
  <si>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</si>
  <si>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</si>
  <si>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</si>
  <si>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</si>
  <si>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</si>
  <si>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</si>
  <si>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</si>
  <si>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</si>
  <si>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</si>
  <si>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73</t>
  </si>
  <si>
    <t>74</t>
  </si>
  <si>
    <t>75</t>
  </si>
  <si>
    <t>76</t>
  </si>
  <si>
    <t>77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</si>
  <si>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</si>
  <si>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</si>
  <si>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</si>
  <si>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</si>
  <si>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</si>
  <si>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</si>
  <si>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</si>
  <si>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</si>
  <si>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</si>
  <si>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</si>
  <si>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</si>
  <si>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</si>
  <si>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</si>
  <si>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</si>
  <si>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</si>
  <si>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</si>
  <si>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</si>
  <si>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</si>
  <si>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</si>
  <si>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</si>
  <si>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</si>
  <si>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</si>
  <si>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</si>
  <si>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</si>
  <si>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</si>
  <si>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Vx</t>
  </si>
  <si>
    <t>Vy</t>
  </si>
  <si>
    <t>Nmax</t>
  </si>
  <si>
    <t>Nmin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</si>
</sst>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671C-582C-4612-B0C0-1B9355FD159A}">
  <dimension ref="A1:L63"/>
  <sheetViews>
    <sheetView tabSelected="1" workbookViewId="0">
      <pane ySplit="3" topLeftCell="A4" activePane="bottomLeft" state="frozen"/>
      <selection pane="bottomLeft" activeCell="L4" sqref="L4:L63"/>
    </sheetView>
  </sheetViews>
  <sheetFormatPr defaultRowHeight="15" x14ac:dyDescent="0.25"/>
  <cols>
    <col min="1" max="1" width="9.140625" style="11" customWidth="1"/>
    <col min="2" max="2" width="9.140625" style="14" customWidth="1"/>
    <col min="3" max="3" width="9.28515625" style="11" bestFit="1" customWidth="1"/>
    <col min="4" max="6" width="9.140625" style="14" customWidth="1"/>
    <col min="7" max="8" width="9.7109375" style="14" bestFit="1" customWidth="1"/>
    <col min="10" max="10" width="9.7109375" bestFit="1" customWidth="1"/>
  </cols>
  <sheetData>
    <row r="1" spans="1:12" x14ac:dyDescent="0.25">
      <c r="A1" s="10" t="s">
        <v>0</v>
      </c>
      <c r="B1" s="12"/>
      <c r="C1" s="13"/>
      <c r="D1" s="12"/>
      <c r="E1" s="12"/>
      <c r="F1" s="12"/>
      <c r="G1" s="12"/>
      <c r="H1" s="12"/>
    </row>
    <row r="2" spans="1:12" x14ac:dyDescent="0.25">
      <c r="A2" s="6" t="s">
        <v>1</v>
      </c>
      <c r="B2" s="8" t="s">
        <v>2</v>
      </c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17" t="s">
        <v>72</v>
      </c>
      <c r="J2" s="16" t="s">
        <v>70</v>
      </c>
      <c r="K2" s="16" t="s">
        <v>71</v>
      </c>
      <c r="L2" s="17" t="s">
        <v>73</v>
      </c>
    </row>
    <row r="3" spans="1:12" x14ac:dyDescent="0.25">
      <c r="A3" s="7" t="s">
        <v>9</v>
      </c>
      <c r="B3" s="9" t="s">
        <v>10</v>
      </c>
      <c r="C3" s="7" t="s">
        <v>9</v>
      </c>
      <c r="D3" s="9" t="s">
        <v>11</v>
      </c>
      <c r="E3" s="9" t="s">
        <v>11</v>
      </c>
      <c r="F3" s="9" t="s">
        <v>11</v>
      </c>
      <c r="G3" s="9" t="s">
        <v>12</v>
      </c>
      <c r="H3" s="9" t="s">
        <v>12</v>
      </c>
    </row>
    <row r="4" spans="1:12" x14ac:dyDescent="0.25">
      <c r="A4" s="11" t="s">
        <v>13</v>
      </c>
      <c r="B4" s="14">
        <v>0</v>
      </c>
      <c r="C4" s="11" t="s">
        <v>14</v>
      </c>
      <c r="D4" s="14">
        <v>54.19</v>
      </c>
      <c r="E4" s="14">
        <v>59.098999999999997</v>
      </c>
      <c r="F4" s="14">
        <v>32.432000000000002</v>
      </c>
      <c r="G4" s="14">
        <v>48.927199999999999</v>
      </c>
      <c r="H4" s="14">
        <v>88.634399999999999</v>
      </c>
      <c r="I4" s="15">
        <f>MAX(D4:D5)</f>
        <v>358.839</v>
      </c>
      <c r="J4" s="15">
        <f>MIN(ABS(F4),ABS(F5))</f>
        <v>32.432000000000002</v>
      </c>
      <c r="K4" s="15">
        <f>MIN(ABS(E4),ABS(E5))</f>
        <v>59.098999999999997</v>
      </c>
      <c r="L4" s="15">
        <f>MIN(D4:D5)</f>
        <v>54.19</v>
      </c>
    </row>
    <row r="5" spans="1:12" x14ac:dyDescent="0.25">
      <c r="A5" s="11" t="s">
        <v>13</v>
      </c>
      <c r="B5" s="14">
        <v>0</v>
      </c>
      <c r="C5" s="11" t="s">
        <v>15</v>
      </c>
      <c r="D5" s="14">
        <v>358.839</v>
      </c>
      <c r="E5" s="14">
        <v>-69.369</v>
      </c>
      <c r="F5" s="14">
        <v>-48.502000000000002</v>
      </c>
      <c r="G5" s="14">
        <v>-72.903300000000002</v>
      </c>
      <c r="H5" s="14">
        <v>-103.6203</v>
      </c>
      <c r="I5" s="15"/>
      <c r="J5" s="15"/>
      <c r="K5" s="15"/>
      <c r="L5" s="15"/>
    </row>
    <row r="6" spans="1:12" x14ac:dyDescent="0.25">
      <c r="A6" s="11" t="s">
        <v>16</v>
      </c>
      <c r="B6" s="14">
        <v>0</v>
      </c>
      <c r="C6" s="11" t="s">
        <v>14</v>
      </c>
      <c r="D6" s="14">
        <v>201.35</v>
      </c>
      <c r="E6" s="14">
        <v>106.607</v>
      </c>
      <c r="F6" s="14">
        <v>28.280999999999999</v>
      </c>
      <c r="G6" s="14">
        <v>42.766800000000003</v>
      </c>
      <c r="H6" s="14">
        <v>158.91499999999999</v>
      </c>
      <c r="I6" s="15">
        <f t="shared" ref="I6:I37" si="0">MAX(D6:D7)</f>
        <v>402.06299999999999</v>
      </c>
      <c r="J6" s="15">
        <f t="shared" ref="J6:J37" si="1">MIN(ABS(F6),ABS(F7))</f>
        <v>28.280999999999999</v>
      </c>
      <c r="K6" s="15">
        <f t="shared" ref="K6:K37" si="2">MIN(ABS(E6),ABS(E7))</f>
        <v>106.607</v>
      </c>
      <c r="L6" s="15">
        <f t="shared" ref="L6:L37" si="3">MIN(D6:D7)</f>
        <v>201.35</v>
      </c>
    </row>
    <row r="7" spans="1:12" x14ac:dyDescent="0.25">
      <c r="A7" s="11" t="s">
        <v>16</v>
      </c>
      <c r="B7" s="14">
        <v>0</v>
      </c>
      <c r="C7" s="11" t="s">
        <v>15</v>
      </c>
      <c r="D7" s="14">
        <v>402.06299999999999</v>
      </c>
      <c r="E7" s="14">
        <v>-107.71299999999999</v>
      </c>
      <c r="F7" s="14">
        <v>-48.462000000000003</v>
      </c>
      <c r="G7" s="14">
        <v>-72.855800000000002</v>
      </c>
      <c r="H7" s="14">
        <v>-160.11590000000001</v>
      </c>
      <c r="I7" s="15"/>
      <c r="J7" s="15"/>
      <c r="K7" s="15"/>
      <c r="L7" s="15"/>
    </row>
    <row r="8" spans="1:12" x14ac:dyDescent="0.25">
      <c r="A8" s="11" t="s">
        <v>17</v>
      </c>
      <c r="B8" s="14">
        <v>0</v>
      </c>
      <c r="C8" s="11" t="s">
        <v>14</v>
      </c>
      <c r="D8" s="14">
        <v>244.739</v>
      </c>
      <c r="E8" s="14">
        <v>92.63</v>
      </c>
      <c r="F8" s="14">
        <v>24.966000000000001</v>
      </c>
      <c r="G8" s="14">
        <v>37.806199999999997</v>
      </c>
      <c r="H8" s="14">
        <v>137.7756</v>
      </c>
      <c r="I8" s="15">
        <f t="shared" ref="I8:I39" si="4">MAX(D8:D9)</f>
        <v>460.43099999999998</v>
      </c>
      <c r="J8" s="15">
        <f t="shared" ref="J8:J39" si="5">MIN(ABS(F8),ABS(F9))</f>
        <v>24.966000000000001</v>
      </c>
      <c r="K8" s="15">
        <f t="shared" ref="K8:K39" si="6">MIN(ABS(E8),ABS(E9))</f>
        <v>92.63</v>
      </c>
      <c r="L8" s="15">
        <f t="shared" ref="L8:L39" si="7">MIN(D8:D9)</f>
        <v>244.739</v>
      </c>
    </row>
    <row r="9" spans="1:12" x14ac:dyDescent="0.25">
      <c r="A9" s="11" t="s">
        <v>17</v>
      </c>
      <c r="B9" s="14">
        <v>0</v>
      </c>
      <c r="C9" s="11" t="s">
        <v>15</v>
      </c>
      <c r="D9" s="14">
        <v>460.43099999999998</v>
      </c>
      <c r="E9" s="14">
        <v>-100.473</v>
      </c>
      <c r="F9" s="14">
        <v>-48.341999999999999</v>
      </c>
      <c r="G9" s="14">
        <v>-72.662099999999995</v>
      </c>
      <c r="H9" s="14">
        <v>-149.31800000000001</v>
      </c>
      <c r="I9" s="15"/>
      <c r="J9" s="15"/>
      <c r="K9" s="15"/>
      <c r="L9" s="15"/>
    </row>
    <row r="10" spans="1:12" x14ac:dyDescent="0.25">
      <c r="A10" s="11" t="s">
        <v>18</v>
      </c>
      <c r="B10" s="14">
        <v>0</v>
      </c>
      <c r="C10" s="11" t="s">
        <v>14</v>
      </c>
      <c r="D10" s="14">
        <v>224.60499999999999</v>
      </c>
      <c r="E10" s="14">
        <v>103.352</v>
      </c>
      <c r="F10" s="14">
        <v>28.747</v>
      </c>
      <c r="G10" s="14">
        <v>43.491399999999999</v>
      </c>
      <c r="H10" s="14">
        <v>153.5617</v>
      </c>
      <c r="I10" s="15">
        <f t="shared" ref="I10:I41" si="8">MAX(D10:D11)</f>
        <v>474.40300000000002</v>
      </c>
      <c r="J10" s="15">
        <f t="shared" ref="J10:J41" si="9">MIN(ABS(F10),ABS(F11))</f>
        <v>28.747</v>
      </c>
      <c r="K10" s="15">
        <f t="shared" ref="K10:K41" si="10">MIN(ABS(E10),ABS(E11))</f>
        <v>94.667000000000002</v>
      </c>
      <c r="L10" s="15">
        <f t="shared" ref="L10:L41" si="11">MIN(D10:D11)</f>
        <v>224.60499999999999</v>
      </c>
    </row>
    <row r="11" spans="1:12" x14ac:dyDescent="0.25">
      <c r="A11" s="11" t="s">
        <v>18</v>
      </c>
      <c r="B11" s="14">
        <v>0</v>
      </c>
      <c r="C11" s="11" t="s">
        <v>15</v>
      </c>
      <c r="D11" s="14">
        <v>474.40300000000002</v>
      </c>
      <c r="E11" s="14">
        <v>-94.667000000000002</v>
      </c>
      <c r="F11" s="14">
        <v>-51.981000000000002</v>
      </c>
      <c r="G11" s="14">
        <v>-78.134399999999999</v>
      </c>
      <c r="H11" s="14">
        <v>-141.09270000000001</v>
      </c>
      <c r="I11" s="15"/>
      <c r="J11" s="15"/>
      <c r="K11" s="15"/>
      <c r="L11" s="15"/>
    </row>
    <row r="12" spans="1:12" x14ac:dyDescent="0.25">
      <c r="A12" s="11" t="s">
        <v>19</v>
      </c>
      <c r="B12" s="14">
        <v>0</v>
      </c>
      <c r="C12" s="11" t="s">
        <v>14</v>
      </c>
      <c r="D12" s="14">
        <v>53.018999999999998</v>
      </c>
      <c r="E12" s="14">
        <v>69.775000000000006</v>
      </c>
      <c r="F12" s="14">
        <v>35.911999999999999</v>
      </c>
      <c r="G12" s="14">
        <v>54.172199999999997</v>
      </c>
      <c r="H12" s="14">
        <v>104.1803</v>
      </c>
      <c r="I12" s="15">
        <f t="shared" ref="I12:I43" si="12">MAX(D12:D13)</f>
        <v>359.86500000000001</v>
      </c>
      <c r="J12" s="15">
        <f t="shared" ref="J12:J43" si="13">MIN(ABS(F12),ABS(F13))</f>
        <v>35.911999999999999</v>
      </c>
      <c r="K12" s="15">
        <f t="shared" ref="K12:K43" si="14">MIN(ABS(E12),ABS(E13))</f>
        <v>59.244</v>
      </c>
      <c r="L12" s="15">
        <f t="shared" ref="L12:L43" si="15">MIN(D12:D13)</f>
        <v>53.018999999999998</v>
      </c>
    </row>
    <row r="13" spans="1:12" x14ac:dyDescent="0.25">
      <c r="A13" s="11" t="s">
        <v>19</v>
      </c>
      <c r="B13" s="14">
        <v>0</v>
      </c>
      <c r="C13" s="11" t="s">
        <v>15</v>
      </c>
      <c r="D13" s="14">
        <v>359.86500000000001</v>
      </c>
      <c r="E13" s="14">
        <v>-59.244</v>
      </c>
      <c r="F13" s="14">
        <v>-52.116999999999997</v>
      </c>
      <c r="G13" s="14">
        <v>-78.349599999999995</v>
      </c>
      <c r="H13" s="14">
        <v>-89.052300000000002</v>
      </c>
      <c r="I13" s="15"/>
      <c r="J13" s="15"/>
      <c r="K13" s="15"/>
      <c r="L13" s="15"/>
    </row>
    <row r="14" spans="1:12" x14ac:dyDescent="0.25">
      <c r="A14" s="11" t="s">
        <v>30</v>
      </c>
      <c r="B14" s="14">
        <v>0</v>
      </c>
      <c r="C14" s="11" t="s">
        <v>14</v>
      </c>
      <c r="D14" s="14">
        <v>335.93200000000002</v>
      </c>
      <c r="E14" s="14">
        <v>11.586</v>
      </c>
      <c r="F14" s="14">
        <v>74.137</v>
      </c>
      <c r="G14" s="14">
        <v>108.5044</v>
      </c>
      <c r="H14" s="14">
        <v>17.8339</v>
      </c>
      <c r="I14" s="15">
        <f t="shared" ref="I14:I45" si="16">MAX(D14:D15)</f>
        <v>428.39</v>
      </c>
      <c r="J14" s="15">
        <f t="shared" ref="J14:J45" si="17">MIN(ABS(F14),ABS(F15))</f>
        <v>74.137</v>
      </c>
      <c r="K14" s="15">
        <f t="shared" ref="K14:K45" si="18">MIN(ABS(E14),ABS(E15))</f>
        <v>11.586</v>
      </c>
      <c r="L14" s="15">
        <f t="shared" ref="L14:L45" si="19">MIN(D14:D15)</f>
        <v>335.93200000000002</v>
      </c>
    </row>
    <row r="15" spans="1:12" x14ac:dyDescent="0.25">
      <c r="A15" s="11" t="s">
        <v>30</v>
      </c>
      <c r="B15" s="14">
        <v>0</v>
      </c>
      <c r="C15" s="11" t="s">
        <v>15</v>
      </c>
      <c r="D15" s="14">
        <v>428.39</v>
      </c>
      <c r="E15" s="14">
        <v>-14.566000000000001</v>
      </c>
      <c r="F15" s="14">
        <v>-89.453999999999994</v>
      </c>
      <c r="G15" s="14">
        <v>-130.64150000000001</v>
      </c>
      <c r="H15" s="14">
        <v>-22.278500000000001</v>
      </c>
      <c r="I15" s="15"/>
      <c r="J15" s="15"/>
      <c r="K15" s="15"/>
      <c r="L15" s="15"/>
    </row>
    <row r="16" spans="1:12" x14ac:dyDescent="0.25">
      <c r="A16" s="11" t="s">
        <v>31</v>
      </c>
      <c r="B16" s="14">
        <v>0</v>
      </c>
      <c r="C16" s="11" t="s">
        <v>14</v>
      </c>
      <c r="D16" s="14">
        <v>494.517</v>
      </c>
      <c r="E16" s="14">
        <v>22.344000000000001</v>
      </c>
      <c r="F16" s="14">
        <v>68.141000000000005</v>
      </c>
      <c r="G16" s="14">
        <v>99.892899999999997</v>
      </c>
      <c r="H16" s="14">
        <v>33.985199999999999</v>
      </c>
      <c r="I16" s="15">
        <f t="shared" ref="I16:I63" si="20">MAX(D16:D17)</f>
        <v>561.84500000000003</v>
      </c>
      <c r="J16" s="15">
        <f t="shared" ref="J16:J63" si="21">MIN(ABS(F16),ABS(F17))</f>
        <v>68.141000000000005</v>
      </c>
      <c r="K16" s="15">
        <f t="shared" ref="K16:K63" si="22">MIN(ABS(E16),ABS(E17))</f>
        <v>22.344000000000001</v>
      </c>
      <c r="L16" s="15">
        <f t="shared" ref="L16:L63" si="23">MIN(D16:D17)</f>
        <v>494.517</v>
      </c>
    </row>
    <row r="17" spans="1:12" x14ac:dyDescent="0.25">
      <c r="A17" s="11" t="s">
        <v>31</v>
      </c>
      <c r="B17" s="14">
        <v>0</v>
      </c>
      <c r="C17" s="11" t="s">
        <v>15</v>
      </c>
      <c r="D17" s="14">
        <v>561.84500000000003</v>
      </c>
      <c r="E17" s="14">
        <v>-22.838000000000001</v>
      </c>
      <c r="F17" s="14">
        <v>-87.631</v>
      </c>
      <c r="G17" s="14">
        <v>-128.04150000000001</v>
      </c>
      <c r="H17" s="14">
        <v>-34.591900000000003</v>
      </c>
      <c r="I17" s="15"/>
      <c r="J17" s="15"/>
      <c r="K17" s="15"/>
      <c r="L17" s="15"/>
    </row>
    <row r="18" spans="1:12" x14ac:dyDescent="0.25">
      <c r="A18" s="11" t="s">
        <v>32</v>
      </c>
      <c r="B18" s="14">
        <v>0</v>
      </c>
      <c r="C18" s="11" t="s">
        <v>14</v>
      </c>
      <c r="D18" s="14">
        <v>575.79600000000005</v>
      </c>
      <c r="E18" s="14">
        <v>18.762</v>
      </c>
      <c r="F18" s="14">
        <v>63.067</v>
      </c>
      <c r="G18" s="14">
        <v>92.556399999999996</v>
      </c>
      <c r="H18" s="14">
        <v>28.521899999999999</v>
      </c>
      <c r="I18" s="15">
        <f t="shared" ref="I18:I63" si="24">MAX(D18:D19)</f>
        <v>647.76599999999996</v>
      </c>
      <c r="J18" s="15">
        <f t="shared" ref="J18:J63" si="25">MIN(ABS(F18),ABS(F19))</f>
        <v>63.067</v>
      </c>
      <c r="K18" s="15">
        <f t="shared" ref="K18:K63" si="26">MIN(ABS(E18),ABS(E19))</f>
        <v>18.762</v>
      </c>
      <c r="L18" s="15">
        <f t="shared" ref="L18:L63" si="27">MIN(D18:D19)</f>
        <v>575.79600000000005</v>
      </c>
    </row>
    <row r="19" spans="1:12" x14ac:dyDescent="0.25">
      <c r="A19" s="11" t="s">
        <v>32</v>
      </c>
      <c r="B19" s="14">
        <v>0</v>
      </c>
      <c r="C19" s="11" t="s">
        <v>15</v>
      </c>
      <c r="D19" s="14">
        <v>647.76599999999996</v>
      </c>
      <c r="E19" s="14">
        <v>-21.166</v>
      </c>
      <c r="F19" s="14">
        <v>-85.724000000000004</v>
      </c>
      <c r="G19" s="14">
        <v>-125.2938</v>
      </c>
      <c r="H19" s="14">
        <v>-32.135599999999997</v>
      </c>
      <c r="I19" s="15"/>
      <c r="J19" s="15"/>
      <c r="K19" s="15"/>
      <c r="L19" s="15"/>
    </row>
    <row r="20" spans="1:12" x14ac:dyDescent="0.25">
      <c r="A20" s="11" t="s">
        <v>33</v>
      </c>
      <c r="B20" s="14">
        <v>0</v>
      </c>
      <c r="C20" s="11" t="s">
        <v>14</v>
      </c>
      <c r="D20" s="14">
        <v>571.35799999999995</v>
      </c>
      <c r="E20" s="14">
        <v>21.753</v>
      </c>
      <c r="F20" s="14">
        <v>70.575999999999993</v>
      </c>
      <c r="G20" s="14">
        <v>103.4956</v>
      </c>
      <c r="H20" s="14">
        <v>32.982999999999997</v>
      </c>
      <c r="I20" s="15">
        <f t="shared" ref="I20:I63" si="28">MAX(D20:D21)</f>
        <v>648.66899999999998</v>
      </c>
      <c r="J20" s="15">
        <f t="shared" ref="J20:J63" si="29">MIN(ABS(F20),ABS(F21))</f>
        <v>70.575999999999993</v>
      </c>
      <c r="K20" s="15">
        <f t="shared" ref="K20:K63" si="30">MIN(ABS(E20),ABS(E21))</f>
        <v>19.024999999999999</v>
      </c>
      <c r="L20" s="15">
        <f t="shared" ref="L20:L63" si="31">MIN(D20:D21)</f>
        <v>571.35799999999995</v>
      </c>
    </row>
    <row r="21" spans="1:12" x14ac:dyDescent="0.25">
      <c r="A21" s="11" t="s">
        <v>33</v>
      </c>
      <c r="B21" s="14">
        <v>0</v>
      </c>
      <c r="C21" s="11" t="s">
        <v>15</v>
      </c>
      <c r="D21" s="14">
        <v>648.66899999999998</v>
      </c>
      <c r="E21" s="14">
        <v>-19.024999999999999</v>
      </c>
      <c r="F21" s="14">
        <v>-93.251999999999995</v>
      </c>
      <c r="G21" s="14">
        <v>-136.2578</v>
      </c>
      <c r="H21" s="14">
        <v>-28.979900000000001</v>
      </c>
      <c r="I21" s="15"/>
      <c r="J21" s="15"/>
      <c r="K21" s="15"/>
      <c r="L21" s="15"/>
    </row>
    <row r="22" spans="1:12" x14ac:dyDescent="0.25">
      <c r="A22" s="11" t="s">
        <v>34</v>
      </c>
      <c r="B22" s="14">
        <v>0</v>
      </c>
      <c r="C22" s="11" t="s">
        <v>14</v>
      </c>
      <c r="D22" s="14">
        <v>333.61500000000001</v>
      </c>
      <c r="E22" s="14">
        <v>14.736000000000001</v>
      </c>
      <c r="F22" s="14">
        <v>81.248000000000005</v>
      </c>
      <c r="G22" s="14">
        <v>118.9474</v>
      </c>
      <c r="H22" s="14">
        <v>22.5045</v>
      </c>
      <c r="I22" s="15">
        <f t="shared" ref="I22:I63" si="32">MAX(D22:D23)</f>
        <v>432.02499999999998</v>
      </c>
      <c r="J22" s="15">
        <f t="shared" ref="J22:J63" si="33">MIN(ABS(F22),ABS(F23))</f>
        <v>81.248000000000005</v>
      </c>
      <c r="K22" s="15">
        <f t="shared" ref="K22:K63" si="34">MIN(ABS(E22),ABS(E23))</f>
        <v>11.583</v>
      </c>
      <c r="L22" s="15">
        <f t="shared" ref="L22:L63" si="35">MIN(D22:D23)</f>
        <v>333.61500000000001</v>
      </c>
    </row>
    <row r="23" spans="1:12" x14ac:dyDescent="0.25">
      <c r="A23" s="11" t="s">
        <v>34</v>
      </c>
      <c r="B23" s="14">
        <v>0</v>
      </c>
      <c r="C23" s="11" t="s">
        <v>15</v>
      </c>
      <c r="D23" s="14">
        <v>432.02499999999998</v>
      </c>
      <c r="E23" s="14">
        <v>-11.583</v>
      </c>
      <c r="F23" s="14">
        <v>-96.575000000000003</v>
      </c>
      <c r="G23" s="14">
        <v>-141.09520000000001</v>
      </c>
      <c r="H23" s="14">
        <v>-17.872900000000001</v>
      </c>
      <c r="I23" s="15"/>
      <c r="J23" s="15"/>
      <c r="K23" s="15"/>
      <c r="L23" s="15"/>
    </row>
    <row r="24" spans="1:12" x14ac:dyDescent="0.25">
      <c r="A24" s="11" t="s">
        <v>20</v>
      </c>
      <c r="B24" s="14">
        <v>0</v>
      </c>
      <c r="C24" s="11" t="s">
        <v>14</v>
      </c>
      <c r="D24" s="14">
        <v>51.828000000000003</v>
      </c>
      <c r="E24" s="14">
        <v>42.082000000000001</v>
      </c>
      <c r="F24" s="14">
        <v>23.262</v>
      </c>
      <c r="G24" s="14">
        <v>33.102600000000002</v>
      </c>
      <c r="H24" s="14">
        <v>55.394199999999998</v>
      </c>
      <c r="I24" s="15">
        <f t="shared" ref="I24:I63" si="36">MAX(D24:D25)</f>
        <v>197.98</v>
      </c>
      <c r="J24" s="15">
        <f t="shared" ref="J24:J63" si="37">MIN(ABS(F24),ABS(F25))</f>
        <v>23.262</v>
      </c>
      <c r="K24" s="15">
        <f t="shared" ref="K24:K63" si="38">MIN(ABS(E24),ABS(E25))</f>
        <v>42.082000000000001</v>
      </c>
      <c r="L24" s="15">
        <f t="shared" ref="L24:L63" si="39">MIN(D24:D25)</f>
        <v>51.828000000000003</v>
      </c>
    </row>
    <row r="25" spans="1:12" x14ac:dyDescent="0.25">
      <c r="A25" s="11" t="s">
        <v>20</v>
      </c>
      <c r="B25" s="14">
        <v>0</v>
      </c>
      <c r="C25" s="11" t="s">
        <v>15</v>
      </c>
      <c r="D25" s="14">
        <v>197.98</v>
      </c>
      <c r="E25" s="14">
        <v>-52.194000000000003</v>
      </c>
      <c r="F25" s="14">
        <v>-38.902999999999999</v>
      </c>
      <c r="G25" s="14">
        <v>-56.073999999999998</v>
      </c>
      <c r="H25" s="14">
        <v>-69.551100000000005</v>
      </c>
      <c r="I25" s="15"/>
      <c r="J25" s="15"/>
      <c r="K25" s="15"/>
      <c r="L25" s="15"/>
    </row>
    <row r="26" spans="1:12" x14ac:dyDescent="0.25">
      <c r="A26" s="11" t="s">
        <v>21</v>
      </c>
      <c r="B26" s="14">
        <v>0</v>
      </c>
      <c r="C26" s="11" t="s">
        <v>14</v>
      </c>
      <c r="D26" s="14">
        <v>137.89400000000001</v>
      </c>
      <c r="E26" s="14">
        <v>76.314999999999998</v>
      </c>
      <c r="F26" s="14">
        <v>19.71</v>
      </c>
      <c r="G26" s="14">
        <v>27.9057</v>
      </c>
      <c r="H26" s="14">
        <v>107.2989</v>
      </c>
      <c r="I26" s="15">
        <f t="shared" ref="I26:I63" si="40">MAX(D26:D27)</f>
        <v>233.68100000000001</v>
      </c>
      <c r="J26" s="15">
        <f t="shared" ref="J26:J63" si="41">MIN(ABS(F26),ABS(F27))</f>
        <v>19.71</v>
      </c>
      <c r="K26" s="15">
        <f t="shared" ref="K26:K63" si="42">MIN(ABS(E26),ABS(E27))</f>
        <v>76.314999999999998</v>
      </c>
      <c r="L26" s="15">
        <f t="shared" ref="L26:L63" si="43">MIN(D26:D27)</f>
        <v>137.89400000000001</v>
      </c>
    </row>
    <row r="27" spans="1:12" x14ac:dyDescent="0.25">
      <c r="A27" s="11" t="s">
        <v>21</v>
      </c>
      <c r="B27" s="14">
        <v>0</v>
      </c>
      <c r="C27" s="11" t="s">
        <v>15</v>
      </c>
      <c r="D27" s="14">
        <v>233.68100000000001</v>
      </c>
      <c r="E27" s="14">
        <v>-77.92</v>
      </c>
      <c r="F27" s="14">
        <v>-39.21</v>
      </c>
      <c r="G27" s="14">
        <v>-56.633800000000001</v>
      </c>
      <c r="H27" s="14">
        <v>-109.645</v>
      </c>
      <c r="I27" s="15"/>
      <c r="J27" s="15"/>
      <c r="K27" s="15"/>
      <c r="L27" s="15"/>
    </row>
    <row r="28" spans="1:12" x14ac:dyDescent="0.25">
      <c r="A28" s="11" t="s">
        <v>22</v>
      </c>
      <c r="B28" s="14">
        <v>0</v>
      </c>
      <c r="C28" s="11" t="s">
        <v>14</v>
      </c>
      <c r="D28" s="14">
        <v>166.45400000000001</v>
      </c>
      <c r="E28" s="14">
        <v>66.912999999999997</v>
      </c>
      <c r="F28" s="14">
        <v>16.998999999999999</v>
      </c>
      <c r="G28" s="14">
        <v>23.974</v>
      </c>
      <c r="H28" s="14">
        <v>92.951099999999997</v>
      </c>
      <c r="I28" s="15">
        <f t="shared" ref="I28:I63" si="44">MAX(D28:D29)</f>
        <v>268.03199999999998</v>
      </c>
      <c r="J28" s="15">
        <f t="shared" ref="J28:J63" si="45">MIN(ABS(F28),ABS(F29))</f>
        <v>16.998999999999999</v>
      </c>
      <c r="K28" s="15">
        <f t="shared" ref="K28:K63" si="46">MIN(ABS(E28),ABS(E29))</f>
        <v>66.912999999999997</v>
      </c>
      <c r="L28" s="15">
        <f t="shared" ref="L28:L63" si="47">MIN(D28:D29)</f>
        <v>166.45400000000001</v>
      </c>
    </row>
    <row r="29" spans="1:12" x14ac:dyDescent="0.25">
      <c r="A29" s="11" t="s">
        <v>22</v>
      </c>
      <c r="B29" s="14">
        <v>0</v>
      </c>
      <c r="C29" s="11" t="s">
        <v>15</v>
      </c>
      <c r="D29" s="14">
        <v>268.03199999999998</v>
      </c>
      <c r="E29" s="14">
        <v>-74.304000000000002</v>
      </c>
      <c r="F29" s="14">
        <v>-39.545000000000002</v>
      </c>
      <c r="G29" s="14">
        <v>-57.203099999999999</v>
      </c>
      <c r="H29" s="14">
        <v>-103.37730000000001</v>
      </c>
      <c r="I29" s="15"/>
      <c r="J29" s="15"/>
      <c r="K29" s="15"/>
      <c r="L29" s="15"/>
    </row>
    <row r="30" spans="1:12" x14ac:dyDescent="0.25">
      <c r="A30" s="11" t="s">
        <v>23</v>
      </c>
      <c r="B30" s="14">
        <v>0</v>
      </c>
      <c r="C30" s="11" t="s">
        <v>14</v>
      </c>
      <c r="D30" s="14">
        <v>156.28100000000001</v>
      </c>
      <c r="E30" s="14">
        <v>76.153000000000006</v>
      </c>
      <c r="F30" s="14">
        <v>19.786000000000001</v>
      </c>
      <c r="G30" s="14">
        <v>27.957799999999999</v>
      </c>
      <c r="H30" s="14">
        <v>106.277</v>
      </c>
      <c r="I30" s="15">
        <f t="shared" ref="I30:I63" si="48">MAX(D30:D31)</f>
        <v>273.61399999999998</v>
      </c>
      <c r="J30" s="15">
        <f t="shared" ref="J30:J63" si="49">MIN(ABS(F30),ABS(F31))</f>
        <v>19.786000000000001</v>
      </c>
      <c r="K30" s="15">
        <f t="shared" ref="K30:K63" si="50">MIN(ABS(E30),ABS(E31))</f>
        <v>67.582999999999998</v>
      </c>
      <c r="L30" s="15">
        <f t="shared" ref="L30:L63" si="51">MIN(D30:D31)</f>
        <v>156.28100000000001</v>
      </c>
    </row>
    <row r="31" spans="1:12" x14ac:dyDescent="0.25">
      <c r="A31" s="11" t="s">
        <v>23</v>
      </c>
      <c r="B31" s="14">
        <v>0</v>
      </c>
      <c r="C31" s="11" t="s">
        <v>15</v>
      </c>
      <c r="D31" s="14">
        <v>273.61399999999998</v>
      </c>
      <c r="E31" s="14">
        <v>-67.582999999999998</v>
      </c>
      <c r="F31" s="14">
        <v>-42.225999999999999</v>
      </c>
      <c r="G31" s="14">
        <v>-61.019199999999998</v>
      </c>
      <c r="H31" s="14">
        <v>-94.183099999999996</v>
      </c>
      <c r="I31" s="15"/>
      <c r="J31" s="15"/>
      <c r="K31" s="15"/>
      <c r="L31" s="15"/>
    </row>
    <row r="32" spans="1:12" x14ac:dyDescent="0.25">
      <c r="A32" s="11" t="s">
        <v>24</v>
      </c>
      <c r="B32" s="14">
        <v>0</v>
      </c>
      <c r="C32" s="11" t="s">
        <v>14</v>
      </c>
      <c r="D32" s="14">
        <v>51.773000000000003</v>
      </c>
      <c r="E32" s="14">
        <v>52.353000000000002</v>
      </c>
      <c r="F32" s="14">
        <v>25.957999999999998</v>
      </c>
      <c r="G32" s="14">
        <v>36.975099999999998</v>
      </c>
      <c r="H32" s="14">
        <v>69.860200000000006</v>
      </c>
      <c r="I32" s="15">
        <f t="shared" ref="I32:I63" si="52">MAX(D32:D33)</f>
        <v>198.042</v>
      </c>
      <c r="J32" s="15">
        <f t="shared" ref="J32:J63" si="53">MIN(ABS(F32),ABS(F33))</f>
        <v>25.957999999999998</v>
      </c>
      <c r="K32" s="15">
        <f t="shared" ref="K32:K63" si="54">MIN(ABS(E32),ABS(E33))</f>
        <v>41.835000000000001</v>
      </c>
      <c r="L32" s="15">
        <f t="shared" ref="L32:L63" si="55">MIN(D32:D33)</f>
        <v>51.773000000000003</v>
      </c>
    </row>
    <row r="33" spans="1:12" x14ac:dyDescent="0.25">
      <c r="A33" s="11" t="s">
        <v>24</v>
      </c>
      <c r="B33" s="14">
        <v>0</v>
      </c>
      <c r="C33" s="11" t="s">
        <v>15</v>
      </c>
      <c r="D33" s="14">
        <v>198.042</v>
      </c>
      <c r="E33" s="14">
        <v>-41.835000000000001</v>
      </c>
      <c r="F33" s="14">
        <v>-41.728000000000002</v>
      </c>
      <c r="G33" s="14">
        <v>-60.136600000000001</v>
      </c>
      <c r="H33" s="14">
        <v>-55.075000000000003</v>
      </c>
      <c r="I33" s="15"/>
      <c r="J33" s="15"/>
      <c r="K33" s="15"/>
      <c r="L33" s="15"/>
    </row>
    <row r="34" spans="1:12" x14ac:dyDescent="0.25">
      <c r="A34" s="11" t="s">
        <v>35</v>
      </c>
      <c r="B34" s="14">
        <v>0</v>
      </c>
      <c r="C34" s="11" t="s">
        <v>14</v>
      </c>
      <c r="D34" s="14">
        <v>213.893</v>
      </c>
      <c r="E34" s="14">
        <v>10.042999999999999</v>
      </c>
      <c r="F34" s="14">
        <v>52.168999999999997</v>
      </c>
      <c r="G34" s="14">
        <v>71.569100000000006</v>
      </c>
      <c r="H34" s="14">
        <v>11.799899999999999</v>
      </c>
      <c r="I34" s="15">
        <f t="shared" ref="I34:I63" si="56">MAX(D34:D35)</f>
        <v>262.30900000000003</v>
      </c>
      <c r="J34" s="15">
        <f t="shared" ref="J34:J63" si="57">MIN(ABS(F34),ABS(F35))</f>
        <v>52.168999999999997</v>
      </c>
      <c r="K34" s="15">
        <f t="shared" ref="K34:K63" si="58">MIN(ABS(E34),ABS(E35))</f>
        <v>10.042999999999999</v>
      </c>
      <c r="L34" s="15">
        <f t="shared" ref="L34:L63" si="59">MIN(D34:D35)</f>
        <v>213.893</v>
      </c>
    </row>
    <row r="35" spans="1:12" x14ac:dyDescent="0.25">
      <c r="A35" s="11" t="s">
        <v>35</v>
      </c>
      <c r="B35" s="14">
        <v>0</v>
      </c>
      <c r="C35" s="11" t="s">
        <v>15</v>
      </c>
      <c r="D35" s="14">
        <v>262.30900000000003</v>
      </c>
      <c r="E35" s="14">
        <v>-12.795</v>
      </c>
      <c r="F35" s="14">
        <v>-66.864000000000004</v>
      </c>
      <c r="G35" s="14">
        <v>-92.429400000000001</v>
      </c>
      <c r="H35" s="14">
        <v>-15.926600000000001</v>
      </c>
      <c r="I35" s="15"/>
      <c r="J35" s="15"/>
      <c r="K35" s="15"/>
      <c r="L35" s="15"/>
    </row>
    <row r="36" spans="1:12" x14ac:dyDescent="0.25">
      <c r="A36" s="11" t="s">
        <v>36</v>
      </c>
      <c r="B36" s="14">
        <v>0</v>
      </c>
      <c r="C36" s="11" t="s">
        <v>14</v>
      </c>
      <c r="D36" s="14">
        <v>328.63200000000001</v>
      </c>
      <c r="E36" s="14">
        <v>18.489999999999998</v>
      </c>
      <c r="F36" s="14">
        <v>47.494999999999997</v>
      </c>
      <c r="G36" s="14">
        <v>65.058599999999998</v>
      </c>
      <c r="H36" s="14">
        <v>24.578299999999999</v>
      </c>
      <c r="I36" s="15">
        <f t="shared" ref="I36:I63" si="60">MAX(D36:D37)</f>
        <v>359.79700000000003</v>
      </c>
      <c r="J36" s="15">
        <f t="shared" ref="J36:J63" si="61">MIN(ABS(F36),ABS(F37))</f>
        <v>47.494999999999997</v>
      </c>
      <c r="K36" s="15">
        <f t="shared" ref="K36:K63" si="62">MIN(ABS(E36),ABS(E37))</f>
        <v>18.489999999999998</v>
      </c>
      <c r="L36" s="15">
        <f t="shared" ref="L36:L63" si="63">MIN(D36:D37)</f>
        <v>328.63200000000001</v>
      </c>
    </row>
    <row r="37" spans="1:12" x14ac:dyDescent="0.25">
      <c r="A37" s="11" t="s">
        <v>36</v>
      </c>
      <c r="B37" s="14">
        <v>0</v>
      </c>
      <c r="C37" s="11" t="s">
        <v>15</v>
      </c>
      <c r="D37" s="14">
        <v>359.79700000000003</v>
      </c>
      <c r="E37" s="14">
        <v>-19.318000000000001</v>
      </c>
      <c r="F37" s="14">
        <v>-66.010000000000005</v>
      </c>
      <c r="G37" s="14">
        <v>-91.438699999999997</v>
      </c>
      <c r="H37" s="14">
        <v>-25.755500000000001</v>
      </c>
      <c r="I37" s="15"/>
      <c r="J37" s="15"/>
      <c r="K37" s="15"/>
      <c r="L37" s="15"/>
    </row>
    <row r="38" spans="1:12" x14ac:dyDescent="0.25">
      <c r="A38" s="11" t="s">
        <v>37</v>
      </c>
      <c r="B38" s="14">
        <v>0</v>
      </c>
      <c r="C38" s="11" t="s">
        <v>14</v>
      </c>
      <c r="D38" s="14">
        <v>381.7</v>
      </c>
      <c r="E38" s="14">
        <v>15.81</v>
      </c>
      <c r="F38" s="14">
        <v>43.7</v>
      </c>
      <c r="G38" s="14">
        <v>59.832900000000002</v>
      </c>
      <c r="H38" s="14">
        <v>20.450299999999999</v>
      </c>
      <c r="I38" s="15">
        <f t="shared" ref="I38:I63" si="64">MAX(D38:D39)</f>
        <v>415.80900000000003</v>
      </c>
      <c r="J38" s="15">
        <f t="shared" ref="J38:J63" si="65">MIN(ABS(F38),ABS(F39))</f>
        <v>43.7</v>
      </c>
      <c r="K38" s="15">
        <f t="shared" ref="K38:K63" si="66">MIN(ABS(E38),ABS(E39))</f>
        <v>15.81</v>
      </c>
      <c r="L38" s="15">
        <f t="shared" ref="L38:L63" si="67">MIN(D38:D39)</f>
        <v>381.7</v>
      </c>
    </row>
    <row r="39" spans="1:12" x14ac:dyDescent="0.25">
      <c r="A39" s="11" t="s">
        <v>37</v>
      </c>
      <c r="B39" s="14">
        <v>0</v>
      </c>
      <c r="C39" s="11" t="s">
        <v>15</v>
      </c>
      <c r="D39" s="14">
        <v>415.80900000000003</v>
      </c>
      <c r="E39" s="14">
        <v>-17.994</v>
      </c>
      <c r="F39" s="14">
        <v>-65.195999999999998</v>
      </c>
      <c r="G39" s="14">
        <v>-90.461799999999997</v>
      </c>
      <c r="H39" s="14">
        <v>-23.718900000000001</v>
      </c>
      <c r="I39" s="15"/>
      <c r="J39" s="15"/>
      <c r="K39" s="15"/>
      <c r="L39" s="15"/>
    </row>
    <row r="40" spans="1:12" x14ac:dyDescent="0.25">
      <c r="A40" s="11" t="s">
        <v>38</v>
      </c>
      <c r="B40" s="14">
        <v>0</v>
      </c>
      <c r="C40" s="11" t="s">
        <v>14</v>
      </c>
      <c r="D40" s="14">
        <v>379.26900000000001</v>
      </c>
      <c r="E40" s="14">
        <v>18.54</v>
      </c>
      <c r="F40" s="14">
        <v>48.945</v>
      </c>
      <c r="G40" s="14">
        <v>66.986599999999996</v>
      </c>
      <c r="H40" s="14">
        <v>24.529800000000002</v>
      </c>
      <c r="I40" s="15">
        <f t="shared" ref="I40:I63" si="68">MAX(D40:D41)</f>
        <v>415.57600000000002</v>
      </c>
      <c r="J40" s="15">
        <f t="shared" ref="J40:J63" si="69">MIN(ABS(F40),ABS(F41))</f>
        <v>48.945</v>
      </c>
      <c r="K40" s="15">
        <f t="shared" ref="K40:K63" si="70">MIN(ABS(E40),ABS(E41))</f>
        <v>15.811999999999999</v>
      </c>
      <c r="L40" s="15">
        <f t="shared" ref="L40:L63" si="71">MIN(D40:D41)</f>
        <v>379.26900000000001</v>
      </c>
    </row>
    <row r="41" spans="1:12" x14ac:dyDescent="0.25">
      <c r="A41" s="11" t="s">
        <v>38</v>
      </c>
      <c r="B41" s="14">
        <v>0</v>
      </c>
      <c r="C41" s="11" t="s">
        <v>15</v>
      </c>
      <c r="D41" s="14">
        <v>415.57600000000002</v>
      </c>
      <c r="E41" s="14">
        <v>-15.811999999999999</v>
      </c>
      <c r="F41" s="14">
        <v>-70.450999999999993</v>
      </c>
      <c r="G41" s="14">
        <v>-97.635000000000005</v>
      </c>
      <c r="H41" s="14">
        <v>-20.508400000000002</v>
      </c>
      <c r="I41" s="15"/>
      <c r="J41" s="15"/>
      <c r="K41" s="15"/>
      <c r="L41" s="15"/>
    </row>
    <row r="42" spans="1:12" x14ac:dyDescent="0.25">
      <c r="A42" s="11" t="s">
        <v>39</v>
      </c>
      <c r="B42" s="14">
        <v>0</v>
      </c>
      <c r="C42" s="11" t="s">
        <v>14</v>
      </c>
      <c r="D42" s="14">
        <v>213.54</v>
      </c>
      <c r="E42" s="14">
        <v>12.997999999999999</v>
      </c>
      <c r="F42" s="14">
        <v>57.374000000000002</v>
      </c>
      <c r="G42" s="14">
        <v>78.754300000000001</v>
      </c>
      <c r="H42" s="14">
        <v>16.210699999999999</v>
      </c>
      <c r="I42" s="15">
        <f t="shared" ref="I42:I63" si="72">MAX(D42:D43)</f>
        <v>263.59899999999999</v>
      </c>
      <c r="J42" s="15">
        <f t="shared" ref="J42:J63" si="73">MIN(ABS(F42),ABS(F43))</f>
        <v>57.374000000000002</v>
      </c>
      <c r="K42" s="15">
        <f t="shared" ref="K42:K63" si="74">MIN(ABS(E42),ABS(E43))</f>
        <v>9.9410000000000007</v>
      </c>
      <c r="L42" s="15">
        <f t="shared" ref="L42:L63" si="75">MIN(D42:D43)</f>
        <v>213.54</v>
      </c>
    </row>
    <row r="43" spans="1:12" x14ac:dyDescent="0.25">
      <c r="A43" s="11" t="s">
        <v>39</v>
      </c>
      <c r="B43" s="14">
        <v>0</v>
      </c>
      <c r="C43" s="11" t="s">
        <v>15</v>
      </c>
      <c r="D43" s="14">
        <v>263.59899999999999</v>
      </c>
      <c r="E43" s="14">
        <v>-9.9410000000000007</v>
      </c>
      <c r="F43" s="14">
        <v>-72.091999999999999</v>
      </c>
      <c r="G43" s="14">
        <v>-99.643299999999996</v>
      </c>
      <c r="H43" s="14">
        <v>-11.661199999999999</v>
      </c>
      <c r="I43" s="15"/>
      <c r="J43" s="15"/>
      <c r="K43" s="15"/>
      <c r="L43" s="15"/>
    </row>
    <row r="44" spans="1:12" x14ac:dyDescent="0.25">
      <c r="A44" s="11" t="s">
        <v>25</v>
      </c>
      <c r="B44" s="14">
        <v>0</v>
      </c>
      <c r="C44" s="11" t="s">
        <v>14</v>
      </c>
      <c r="D44" s="14">
        <v>24.209</v>
      </c>
      <c r="E44" s="14">
        <v>19.190000000000001</v>
      </c>
      <c r="F44" s="14">
        <v>8.9529999999999994</v>
      </c>
      <c r="G44" s="14">
        <v>11.0517</v>
      </c>
      <c r="H44" s="14">
        <v>21.9041</v>
      </c>
      <c r="I44" s="15">
        <f t="shared" ref="I44:I63" si="76">MAX(D44:D45)</f>
        <v>65.247</v>
      </c>
      <c r="J44" s="15">
        <f t="shared" ref="J44:J63" si="77">MIN(ABS(F44),ABS(F45))</f>
        <v>8.9529999999999994</v>
      </c>
      <c r="K44" s="15">
        <f t="shared" ref="K44:K63" si="78">MIN(ABS(E44),ABS(E45))</f>
        <v>19.190000000000001</v>
      </c>
      <c r="L44" s="15">
        <f t="shared" ref="L44:L63" si="79">MIN(D44:D45)</f>
        <v>24.209</v>
      </c>
    </row>
    <row r="45" spans="1:12" x14ac:dyDescent="0.25">
      <c r="A45" s="11" t="s">
        <v>25</v>
      </c>
      <c r="B45" s="14">
        <v>0</v>
      </c>
      <c r="C45" s="11" t="s">
        <v>15</v>
      </c>
      <c r="D45" s="14">
        <v>65.247</v>
      </c>
      <c r="E45" s="14">
        <v>-27.167000000000002</v>
      </c>
      <c r="F45" s="14">
        <v>-23.846</v>
      </c>
      <c r="G45" s="14">
        <v>-33.316299999999998</v>
      </c>
      <c r="H45" s="14">
        <v>-34.208399999999997</v>
      </c>
      <c r="I45" s="15"/>
      <c r="J45" s="15"/>
      <c r="K45" s="15"/>
      <c r="L45" s="15"/>
    </row>
    <row r="46" spans="1:12" x14ac:dyDescent="0.25">
      <c r="A46" s="11" t="s">
        <v>26</v>
      </c>
      <c r="B46" s="14">
        <v>0</v>
      </c>
      <c r="C46" s="11" t="s">
        <v>14</v>
      </c>
      <c r="D46" s="14">
        <v>57.822000000000003</v>
      </c>
      <c r="E46" s="14">
        <v>37.856999999999999</v>
      </c>
      <c r="F46" s="14">
        <v>4.9359999999999999</v>
      </c>
      <c r="G46" s="14">
        <v>5.8173000000000004</v>
      </c>
      <c r="H46" s="14">
        <v>51.3568</v>
      </c>
      <c r="I46" s="15">
        <f t="shared" ref="I46:I63" si="80">MAX(D46:D47)</f>
        <v>84.224999999999994</v>
      </c>
      <c r="J46" s="15">
        <f t="shared" ref="J46:J63" si="81">MIN(ABS(F46),ABS(F47))</f>
        <v>4.9359999999999999</v>
      </c>
      <c r="K46" s="15">
        <f t="shared" ref="K46:K63" si="82">MIN(ABS(E46),ABS(E47))</f>
        <v>37.856999999999999</v>
      </c>
      <c r="L46" s="15">
        <f t="shared" ref="L46:L63" si="83">MIN(D46:D47)</f>
        <v>57.822000000000003</v>
      </c>
    </row>
    <row r="47" spans="1:12" x14ac:dyDescent="0.25">
      <c r="A47" s="11" t="s">
        <v>26</v>
      </c>
      <c r="B47" s="14">
        <v>0</v>
      </c>
      <c r="C47" s="11" t="s">
        <v>15</v>
      </c>
      <c r="D47" s="14">
        <v>84.224999999999994</v>
      </c>
      <c r="E47" s="14">
        <v>-40.146000000000001</v>
      </c>
      <c r="F47" s="14">
        <v>-25.827999999999999</v>
      </c>
      <c r="G47" s="14">
        <v>-35.790100000000002</v>
      </c>
      <c r="H47" s="14">
        <v>-54.271099999999997</v>
      </c>
      <c r="I47" s="15"/>
      <c r="J47" s="15"/>
      <c r="K47" s="15"/>
      <c r="L47" s="15"/>
    </row>
    <row r="48" spans="1:12" x14ac:dyDescent="0.25">
      <c r="A48" s="11" t="s">
        <v>27</v>
      </c>
      <c r="B48" s="14">
        <v>0</v>
      </c>
      <c r="C48" s="11" t="s">
        <v>14</v>
      </c>
      <c r="D48" s="14">
        <v>69.266999999999996</v>
      </c>
      <c r="E48" s="14">
        <v>34.143999999999998</v>
      </c>
      <c r="F48" s="14">
        <v>2.7410000000000001</v>
      </c>
      <c r="G48" s="14">
        <v>2.7574000000000001</v>
      </c>
      <c r="H48" s="14">
        <v>44.456099999999999</v>
      </c>
      <c r="I48" s="15">
        <f t="shared" ref="I48:I63" si="84">MAX(D48:D49)</f>
        <v>96.266999999999996</v>
      </c>
      <c r="J48" s="15">
        <f t="shared" ref="J48:J63" si="85">MIN(ABS(F48),ABS(F49))</f>
        <v>2.7410000000000001</v>
      </c>
      <c r="K48" s="15">
        <f t="shared" ref="K48:K63" si="86">MIN(ABS(E48),ABS(E49))</f>
        <v>34.143999999999998</v>
      </c>
      <c r="L48" s="15">
        <f t="shared" ref="L48:L63" si="87">MIN(D48:D49)</f>
        <v>69.266999999999996</v>
      </c>
    </row>
    <row r="49" spans="1:12" x14ac:dyDescent="0.25">
      <c r="A49" s="11" t="s">
        <v>27</v>
      </c>
      <c r="B49" s="14">
        <v>0</v>
      </c>
      <c r="C49" s="11" t="s">
        <v>15</v>
      </c>
      <c r="D49" s="14">
        <v>96.266999999999996</v>
      </c>
      <c r="E49" s="14">
        <v>-39.341000000000001</v>
      </c>
      <c r="F49" s="14">
        <v>-26.946999999999999</v>
      </c>
      <c r="G49" s="14">
        <v>-37.447600000000001</v>
      </c>
      <c r="H49" s="14">
        <v>-52.787599999999998</v>
      </c>
      <c r="I49" s="15"/>
      <c r="J49" s="15"/>
      <c r="K49" s="15"/>
      <c r="L49" s="15"/>
    </row>
    <row r="50" spans="1:12" x14ac:dyDescent="0.25">
      <c r="A50" s="11" t="s">
        <v>28</v>
      </c>
      <c r="B50" s="14">
        <v>0</v>
      </c>
      <c r="C50" s="11" t="s">
        <v>14</v>
      </c>
      <c r="D50" s="14">
        <v>65.649000000000001</v>
      </c>
      <c r="E50" s="14">
        <v>40.200000000000003</v>
      </c>
      <c r="F50" s="14">
        <v>4.2300000000000004</v>
      </c>
      <c r="G50" s="14">
        <v>4.7213000000000003</v>
      </c>
      <c r="H50" s="14">
        <v>54.211799999999997</v>
      </c>
      <c r="I50" s="15">
        <f t="shared" ref="I50:I63" si="88">MAX(D50:D51)</f>
        <v>96.921000000000006</v>
      </c>
      <c r="J50" s="15">
        <f t="shared" ref="J50:J63" si="89">MIN(ABS(F50),ABS(F51))</f>
        <v>4.2300000000000004</v>
      </c>
      <c r="K50" s="15">
        <f t="shared" ref="K50:K63" si="90">MIN(ABS(E50),ABS(E51))</f>
        <v>33.561</v>
      </c>
      <c r="L50" s="15">
        <f t="shared" ref="L50:L63" si="91">MIN(D50:D51)</f>
        <v>65.649000000000001</v>
      </c>
    </row>
    <row r="51" spans="1:12" x14ac:dyDescent="0.25">
      <c r="A51" s="11" t="s">
        <v>28</v>
      </c>
      <c r="B51" s="14">
        <v>0</v>
      </c>
      <c r="C51" s="11" t="s">
        <v>15</v>
      </c>
      <c r="D51" s="14">
        <v>96.921000000000006</v>
      </c>
      <c r="E51" s="14">
        <v>-33.561</v>
      </c>
      <c r="F51" s="14">
        <v>-28.170999999999999</v>
      </c>
      <c r="G51" s="14">
        <v>-39.110799999999998</v>
      </c>
      <c r="H51" s="14">
        <v>-44.045400000000001</v>
      </c>
      <c r="I51" s="15"/>
      <c r="J51" s="15"/>
      <c r="K51" s="15"/>
      <c r="L51" s="15"/>
    </row>
    <row r="52" spans="1:12" x14ac:dyDescent="0.25">
      <c r="A52" s="11" t="s">
        <v>29</v>
      </c>
      <c r="B52" s="14">
        <v>0</v>
      </c>
      <c r="C52" s="11" t="s">
        <v>14</v>
      </c>
      <c r="D52" s="14">
        <v>24.734000000000002</v>
      </c>
      <c r="E52" s="14">
        <v>27.132000000000001</v>
      </c>
      <c r="F52" s="14">
        <v>10.332000000000001</v>
      </c>
      <c r="G52" s="14">
        <v>12.928900000000001</v>
      </c>
      <c r="H52" s="14">
        <v>34.212600000000002</v>
      </c>
      <c r="I52" s="15">
        <f t="shared" ref="I52:I63" si="92">MAX(D52:D53)</f>
        <v>65.165000000000006</v>
      </c>
      <c r="J52" s="15">
        <f t="shared" ref="J52:J63" si="93">MIN(ABS(F52),ABS(F53))</f>
        <v>10.332000000000001</v>
      </c>
      <c r="K52" s="15">
        <f t="shared" ref="K52:K63" si="94">MIN(ABS(E52),ABS(E53))</f>
        <v>18.292999999999999</v>
      </c>
      <c r="L52" s="15">
        <f t="shared" ref="L52:L63" si="95">MIN(D52:D53)</f>
        <v>24.734000000000002</v>
      </c>
    </row>
    <row r="53" spans="1:12" x14ac:dyDescent="0.25">
      <c r="A53" s="11" t="s">
        <v>29</v>
      </c>
      <c r="B53" s="14">
        <v>0</v>
      </c>
      <c r="C53" s="11" t="s">
        <v>15</v>
      </c>
      <c r="D53" s="14">
        <v>65.165000000000006</v>
      </c>
      <c r="E53" s="14">
        <v>-18.292999999999999</v>
      </c>
      <c r="F53" s="14">
        <v>-25.4</v>
      </c>
      <c r="G53" s="14">
        <v>-35.429000000000002</v>
      </c>
      <c r="H53" s="14">
        <v>-21.011099999999999</v>
      </c>
      <c r="I53" s="15"/>
      <c r="J53" s="15"/>
      <c r="K53" s="15"/>
      <c r="L53" s="15"/>
    </row>
    <row r="54" spans="1:12" x14ac:dyDescent="0.25">
      <c r="A54" s="11" t="s">
        <v>40</v>
      </c>
      <c r="B54" s="14">
        <v>0</v>
      </c>
      <c r="C54" s="11" t="s">
        <v>14</v>
      </c>
      <c r="D54" s="14">
        <v>86.903000000000006</v>
      </c>
      <c r="E54" s="14">
        <v>3.6179999999999999</v>
      </c>
      <c r="F54" s="14">
        <v>22.844999999999999</v>
      </c>
      <c r="G54" s="14">
        <v>28.8276</v>
      </c>
      <c r="H54" s="14">
        <v>3.5888</v>
      </c>
      <c r="I54" s="15">
        <f t="shared" ref="I54:I63" si="96">MAX(D54:D55)</f>
        <v>102.518</v>
      </c>
      <c r="J54" s="15">
        <f t="shared" ref="J54:J63" si="97">MIN(ABS(F54),ABS(F55))</f>
        <v>22.844999999999999</v>
      </c>
      <c r="K54" s="15">
        <f t="shared" ref="K54:K63" si="98">MIN(ABS(E54),ABS(E55))</f>
        <v>3.6179999999999999</v>
      </c>
      <c r="L54" s="15">
        <f t="shared" ref="L54:L63" si="99">MIN(D54:D55)</f>
        <v>86.903000000000006</v>
      </c>
    </row>
    <row r="55" spans="1:12" x14ac:dyDescent="0.25">
      <c r="A55" s="11" t="s">
        <v>40</v>
      </c>
      <c r="B55" s="14">
        <v>0</v>
      </c>
      <c r="C55" s="11" t="s">
        <v>15</v>
      </c>
      <c r="D55" s="14">
        <v>102.518</v>
      </c>
      <c r="E55" s="14">
        <v>-8.0129999999999999</v>
      </c>
      <c r="F55" s="14">
        <v>-35.360999999999997</v>
      </c>
      <c r="G55" s="14">
        <v>-47.349699999999999</v>
      </c>
      <c r="H55" s="14">
        <v>-9.2040000000000006</v>
      </c>
      <c r="I55" s="15"/>
      <c r="J55" s="15"/>
      <c r="K55" s="15"/>
      <c r="L55" s="15"/>
    </row>
    <row r="56" spans="1:12" x14ac:dyDescent="0.25">
      <c r="A56" s="11" t="s">
        <v>41</v>
      </c>
      <c r="B56" s="14">
        <v>0</v>
      </c>
      <c r="C56" s="11" t="s">
        <v>14</v>
      </c>
      <c r="D56" s="14">
        <v>157.72900000000001</v>
      </c>
      <c r="E56" s="14">
        <v>10.696</v>
      </c>
      <c r="F56" s="14">
        <v>18.577000000000002</v>
      </c>
      <c r="G56" s="14">
        <v>23.406600000000001</v>
      </c>
      <c r="H56" s="14">
        <v>12.3233</v>
      </c>
      <c r="I56" s="15">
        <f t="shared" ref="I56:I63" si="100">MAX(D56:D57)</f>
        <v>165.36099999999999</v>
      </c>
      <c r="J56" s="15">
        <f t="shared" ref="J56:J63" si="101">MIN(ABS(F56),ABS(F57))</f>
        <v>18.577000000000002</v>
      </c>
      <c r="K56" s="15">
        <f t="shared" ref="K56:K63" si="102">MIN(ABS(E56),ABS(E57))</f>
        <v>10.696</v>
      </c>
      <c r="L56" s="15">
        <f t="shared" ref="L56:L63" si="103">MIN(D56:D57)</f>
        <v>157.72900000000001</v>
      </c>
    </row>
    <row r="57" spans="1:12" x14ac:dyDescent="0.25">
      <c r="A57" s="11" t="s">
        <v>41</v>
      </c>
      <c r="B57" s="14">
        <v>0</v>
      </c>
      <c r="C57" s="11" t="s">
        <v>15</v>
      </c>
      <c r="D57" s="14">
        <v>165.36099999999999</v>
      </c>
      <c r="E57" s="14">
        <v>-11.975</v>
      </c>
      <c r="F57" s="14">
        <v>-36.679000000000002</v>
      </c>
      <c r="G57" s="14">
        <v>-48.946899999999999</v>
      </c>
      <c r="H57" s="14">
        <v>-14.0428</v>
      </c>
      <c r="I57" s="15"/>
      <c r="J57" s="15"/>
      <c r="K57" s="15"/>
      <c r="L57" s="15"/>
    </row>
    <row r="58" spans="1:12" x14ac:dyDescent="0.25">
      <c r="A58" s="11" t="s">
        <v>42</v>
      </c>
      <c r="B58" s="14">
        <v>0</v>
      </c>
      <c r="C58" s="11" t="s">
        <v>14</v>
      </c>
      <c r="D58" s="14">
        <v>182.61099999999999</v>
      </c>
      <c r="E58" s="14">
        <v>8.343</v>
      </c>
      <c r="F58" s="14">
        <v>16.13</v>
      </c>
      <c r="G58" s="14">
        <v>20.101400000000002</v>
      </c>
      <c r="H58" s="14">
        <v>9.1187000000000005</v>
      </c>
      <c r="I58" s="15">
        <f t="shared" ref="I58:I63" si="104">MAX(D58:D59)</f>
        <v>191.422</v>
      </c>
      <c r="J58" s="15">
        <f t="shared" ref="J58:J63" si="105">MIN(ABS(F58),ABS(F59))</f>
        <v>16.13</v>
      </c>
      <c r="K58" s="15">
        <f t="shared" ref="K58:K63" si="106">MIN(ABS(E58),ABS(E59))</f>
        <v>8.343</v>
      </c>
      <c r="L58" s="15">
        <f t="shared" ref="L58:L63" si="107">MIN(D58:D59)</f>
        <v>182.61099999999999</v>
      </c>
    </row>
    <row r="59" spans="1:12" x14ac:dyDescent="0.25">
      <c r="A59" s="11" t="s">
        <v>42</v>
      </c>
      <c r="B59" s="14">
        <v>0</v>
      </c>
      <c r="C59" s="11" t="s">
        <v>15</v>
      </c>
      <c r="D59" s="14">
        <v>191.422</v>
      </c>
      <c r="E59" s="14">
        <v>-11.563000000000001</v>
      </c>
      <c r="F59" s="14">
        <v>-37.098999999999997</v>
      </c>
      <c r="G59" s="14">
        <v>-49.7057</v>
      </c>
      <c r="H59" s="14">
        <v>-13.320499999999999</v>
      </c>
      <c r="I59" s="15"/>
      <c r="J59" s="15"/>
      <c r="K59" s="15"/>
      <c r="L59" s="15"/>
    </row>
    <row r="60" spans="1:12" x14ac:dyDescent="0.25">
      <c r="A60" s="11" t="s">
        <v>43</v>
      </c>
      <c r="B60" s="14">
        <v>0</v>
      </c>
      <c r="C60" s="11" t="s">
        <v>14</v>
      </c>
      <c r="D60" s="14">
        <v>181.703</v>
      </c>
      <c r="E60" s="14">
        <v>12.215</v>
      </c>
      <c r="F60" s="14">
        <v>18.57</v>
      </c>
      <c r="G60" s="14">
        <v>23.253</v>
      </c>
      <c r="H60" s="14">
        <v>14.166399999999999</v>
      </c>
      <c r="I60" s="15">
        <f t="shared" ref="I60:I63" si="108">MAX(D60:D61)</f>
        <v>190.93199999999999</v>
      </c>
      <c r="J60" s="15">
        <f t="shared" ref="J60:J63" si="109">MIN(ABS(F60),ABS(F61))</f>
        <v>18.57</v>
      </c>
      <c r="K60" s="15">
        <f t="shared" ref="K60:K63" si="110">MIN(ABS(E60),ABS(E61))</f>
        <v>8.1809999999999992</v>
      </c>
      <c r="L60" s="15">
        <f t="shared" ref="L60:L63" si="111">MIN(D60:D61)</f>
        <v>181.703</v>
      </c>
    </row>
    <row r="61" spans="1:12" x14ac:dyDescent="0.25">
      <c r="A61" s="11" t="s">
        <v>43</v>
      </c>
      <c r="B61" s="14">
        <v>0</v>
      </c>
      <c r="C61" s="11" t="s">
        <v>15</v>
      </c>
      <c r="D61" s="14">
        <v>190.93199999999999</v>
      </c>
      <c r="E61" s="14">
        <v>-8.1809999999999992</v>
      </c>
      <c r="F61" s="14">
        <v>-39.573999999999998</v>
      </c>
      <c r="G61" s="14">
        <v>-52.892099999999999</v>
      </c>
      <c r="H61" s="14">
        <v>-8.9031000000000002</v>
      </c>
      <c r="I61" s="15"/>
      <c r="J61" s="15"/>
      <c r="K61" s="15"/>
      <c r="L61" s="15"/>
    </row>
    <row r="62" spans="1:12" x14ac:dyDescent="0.25">
      <c r="A62" s="11" t="s">
        <v>44</v>
      </c>
      <c r="B62" s="14">
        <v>0</v>
      </c>
      <c r="C62" s="11" t="s">
        <v>14</v>
      </c>
      <c r="D62" s="14">
        <v>86.835999999999999</v>
      </c>
      <c r="E62" s="14">
        <v>8.2349999999999994</v>
      </c>
      <c r="F62" s="14">
        <v>25.384</v>
      </c>
      <c r="G62" s="14">
        <v>32.164499999999997</v>
      </c>
      <c r="H62" s="14">
        <v>9.5112000000000005</v>
      </c>
      <c r="I62" s="15">
        <f t="shared" ref="I62:I63" si="112">MAX(D62:D63)</f>
        <v>102.962</v>
      </c>
      <c r="J62" s="15">
        <f t="shared" ref="J62:J63" si="113">MIN(ABS(F62),ABS(F63))</f>
        <v>25.384</v>
      </c>
      <c r="K62" s="15">
        <f t="shared" ref="K62:K63" si="114">MIN(ABS(E62),ABS(E63))</f>
        <v>3.39</v>
      </c>
      <c r="L62" s="15">
        <f t="shared" ref="L62:L63" si="115">MIN(D62:D63)</f>
        <v>86.835999999999999</v>
      </c>
    </row>
    <row r="63" spans="1:12" x14ac:dyDescent="0.25">
      <c r="A63" s="11" t="s">
        <v>44</v>
      </c>
      <c r="B63" s="14">
        <v>0</v>
      </c>
      <c r="C63" s="11" t="s">
        <v>15</v>
      </c>
      <c r="D63" s="14">
        <v>102.962</v>
      </c>
      <c r="E63" s="14">
        <v>-3.39</v>
      </c>
      <c r="F63" s="14">
        <v>-37.915999999999997</v>
      </c>
      <c r="G63" s="14">
        <v>-50.713799999999999</v>
      </c>
      <c r="H63" s="14">
        <v>-3.3296999999999999</v>
      </c>
      <c r="I63" s="15"/>
      <c r="J63" s="15"/>
      <c r="K63" s="15"/>
      <c r="L63" s="15"/>
    </row>
  </sheetData>
  <mergeCells count="120">
    <mergeCell ref="L58:L59"/>
    <mergeCell ref="L60:L61"/>
    <mergeCell ref="L62:L63"/>
    <mergeCell ref="L46:L47"/>
    <mergeCell ref="L48:L49"/>
    <mergeCell ref="L50:L51"/>
    <mergeCell ref="L52:L53"/>
    <mergeCell ref="L54:L55"/>
    <mergeCell ref="L56:L57"/>
    <mergeCell ref="L34:L35"/>
    <mergeCell ref="L36:L37"/>
    <mergeCell ref="L38:L39"/>
    <mergeCell ref="L40:L41"/>
    <mergeCell ref="L42:L43"/>
    <mergeCell ref="L44:L45"/>
    <mergeCell ref="L22:L23"/>
    <mergeCell ref="L24:L25"/>
    <mergeCell ref="L26:L27"/>
    <mergeCell ref="L28:L29"/>
    <mergeCell ref="L30:L31"/>
    <mergeCell ref="L32:L33"/>
    <mergeCell ref="K62:K6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K50:K51"/>
    <mergeCell ref="K52:K53"/>
    <mergeCell ref="K54:K55"/>
    <mergeCell ref="K56:K57"/>
    <mergeCell ref="K58:K59"/>
    <mergeCell ref="K60:K61"/>
    <mergeCell ref="K38:K39"/>
    <mergeCell ref="K40:K41"/>
    <mergeCell ref="K42:K43"/>
    <mergeCell ref="K44:K45"/>
    <mergeCell ref="K46:K47"/>
    <mergeCell ref="K48:K49"/>
    <mergeCell ref="K26:K27"/>
    <mergeCell ref="K28:K29"/>
    <mergeCell ref="K30:K31"/>
    <mergeCell ref="K32:K33"/>
    <mergeCell ref="K34:K35"/>
    <mergeCell ref="K36:K37"/>
    <mergeCell ref="K14:K15"/>
    <mergeCell ref="K16:K17"/>
    <mergeCell ref="K18:K19"/>
    <mergeCell ref="K20:K21"/>
    <mergeCell ref="K22:K23"/>
    <mergeCell ref="K24:K25"/>
    <mergeCell ref="J54:J55"/>
    <mergeCell ref="J56:J57"/>
    <mergeCell ref="J58:J59"/>
    <mergeCell ref="J60:J61"/>
    <mergeCell ref="J62:J63"/>
    <mergeCell ref="K4:K5"/>
    <mergeCell ref="K6:K7"/>
    <mergeCell ref="K8:K9"/>
    <mergeCell ref="K10:K11"/>
    <mergeCell ref="K12:K13"/>
    <mergeCell ref="J42:J43"/>
    <mergeCell ref="J44:J45"/>
    <mergeCell ref="J46:J47"/>
    <mergeCell ref="J48:J49"/>
    <mergeCell ref="J50:J51"/>
    <mergeCell ref="J52:J53"/>
    <mergeCell ref="J30:J31"/>
    <mergeCell ref="J32:J33"/>
    <mergeCell ref="J34:J35"/>
    <mergeCell ref="J36:J37"/>
    <mergeCell ref="J38:J39"/>
    <mergeCell ref="J40:J41"/>
    <mergeCell ref="J18:J19"/>
    <mergeCell ref="J20:J21"/>
    <mergeCell ref="J22:J23"/>
    <mergeCell ref="J24:J25"/>
    <mergeCell ref="J26:J27"/>
    <mergeCell ref="J28:J29"/>
    <mergeCell ref="I58:I59"/>
    <mergeCell ref="I60:I61"/>
    <mergeCell ref="I62:I63"/>
    <mergeCell ref="J4:J5"/>
    <mergeCell ref="J6:J7"/>
    <mergeCell ref="J8:J9"/>
    <mergeCell ref="J10:J11"/>
    <mergeCell ref="J12:J13"/>
    <mergeCell ref="J14:J15"/>
    <mergeCell ref="J16:J17"/>
    <mergeCell ref="I46:I47"/>
    <mergeCell ref="I48:I49"/>
    <mergeCell ref="I50:I51"/>
    <mergeCell ref="I52:I53"/>
    <mergeCell ref="I54:I55"/>
    <mergeCell ref="I56:I57"/>
    <mergeCell ref="I34:I35"/>
    <mergeCell ref="I36:I37"/>
    <mergeCell ref="I38:I39"/>
    <mergeCell ref="I40:I41"/>
    <mergeCell ref="I42:I43"/>
    <mergeCell ref="I44:I45"/>
    <mergeCell ref="I22:I23"/>
    <mergeCell ref="I24:I25"/>
    <mergeCell ref="I26:I27"/>
    <mergeCell ref="I28:I29"/>
    <mergeCell ref="I30:I31"/>
    <mergeCell ref="I32:I3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92B9-9A8A-403F-93A2-4ED80D6BA7B9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46</v>
      </c>
      <c r="B2" s="4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4" t="s">
        <v>53</v>
      </c>
      <c r="I2" s="4" t="s">
        <v>54</v>
      </c>
      <c r="J2" s="4" t="s">
        <v>55</v>
      </c>
      <c r="K2" s="4" t="s">
        <v>56</v>
      </c>
      <c r="L2" s="4" t="s">
        <v>57</v>
      </c>
      <c r="M2" s="4" t="s">
        <v>58</v>
      </c>
    </row>
    <row r="3" spans="1:13" x14ac:dyDescent="0.25">
      <c r="A3" s="5" t="s">
        <v>9</v>
      </c>
      <c r="B3" s="5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5" t="s">
        <v>9</v>
      </c>
      <c r="I3" s="5" t="s">
        <v>9</v>
      </c>
      <c r="J3" s="5" t="s">
        <v>9</v>
      </c>
      <c r="K3" s="5" t="s">
        <v>9</v>
      </c>
      <c r="L3" s="5" t="s">
        <v>9</v>
      </c>
      <c r="M3" s="5" t="s">
        <v>9</v>
      </c>
    </row>
    <row r="4" spans="1:13" x14ac:dyDescent="0.25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2019-10-14T11:20:55Z</dcterms:created>
  <dcterms:modified xsi:type="dcterms:W3CDTF">2019-10-14T16:38:31Z</dcterms:modified>
</cp:coreProperties>
</file>