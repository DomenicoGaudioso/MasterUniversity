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DAED7560-8366-4C72-AE2C-677D2211519A}" xr6:coauthVersionLast="44" xr6:coauthVersionMax="44" xr10:uidLastSave="{00000000-0000-0000-0000-000000000000}"/>
  <bookViews>
    <workbookView xWindow="-120" yWindow="-120" windowWidth="20730" windowHeight="11160" xr2:uid="{63C26526-631E-46FB-945C-C1519F04C00A}"/>
  </bookViews>
  <sheets>
    <sheet name="CDS TRAVI in X" sheetId="3" r:id="rId1"/>
    <sheet name="CDS TRAVI IN Y" sheetId="1" r:id="rId2"/>
    <sheet name="Program Contro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" i="3" l="1"/>
  <c r="K4" i="1" l="1"/>
  <c r="V10" i="1" l="1"/>
  <c r="V13" i="1"/>
  <c r="W13" i="1"/>
  <c r="U13" i="1"/>
  <c r="V12" i="1"/>
  <c r="W12" i="1"/>
  <c r="U12" i="1"/>
  <c r="W11" i="1"/>
  <c r="V11" i="1"/>
  <c r="U11" i="1"/>
  <c r="W10" i="1"/>
  <c r="U10" i="1"/>
  <c r="W9" i="1"/>
  <c r="V9" i="1"/>
  <c r="U9" i="1"/>
  <c r="W8" i="1"/>
  <c r="V8" i="1"/>
  <c r="U8" i="1"/>
  <c r="W7" i="1"/>
  <c r="V7" i="1"/>
  <c r="U7" i="1"/>
  <c r="W6" i="1"/>
  <c r="V6" i="1"/>
  <c r="U6" i="1"/>
  <c r="W5" i="1"/>
  <c r="V5" i="1"/>
  <c r="U5" i="1"/>
  <c r="W4" i="1"/>
  <c r="V4" i="1"/>
  <c r="U4" i="1"/>
  <c r="V4" i="3"/>
  <c r="V5" i="3"/>
  <c r="Q19" i="3"/>
  <c r="V11" i="3" s="1"/>
  <c r="Q14" i="3"/>
  <c r="V9" i="3" s="1"/>
  <c r="Q9" i="3"/>
  <c r="Q4" i="3"/>
  <c r="W4" i="3"/>
  <c r="W5" i="3"/>
  <c r="W6" i="3"/>
  <c r="W7" i="3"/>
  <c r="W8" i="3"/>
  <c r="W9" i="3"/>
  <c r="W10" i="3"/>
  <c r="W11" i="3"/>
  <c r="V6" i="3"/>
  <c r="V7" i="3"/>
  <c r="V8" i="3"/>
  <c r="V10" i="3"/>
  <c r="U11" i="3"/>
  <c r="U10" i="3"/>
  <c r="U9" i="3"/>
  <c r="U8" i="3"/>
  <c r="U7" i="3"/>
  <c r="U6" i="3"/>
  <c r="U5" i="3"/>
  <c r="U4" i="3"/>
  <c r="R19" i="3"/>
  <c r="S19" i="3" s="1"/>
  <c r="P19" i="3"/>
  <c r="M19" i="3"/>
  <c r="N19" i="3" s="1"/>
  <c r="L19" i="3"/>
  <c r="K19" i="3"/>
  <c r="O19" i="3" s="1"/>
  <c r="S14" i="3"/>
  <c r="R14" i="3"/>
  <c r="P14" i="3"/>
  <c r="M14" i="3"/>
  <c r="L14" i="3"/>
  <c r="K14" i="3"/>
  <c r="N14" i="3" s="1"/>
  <c r="R9" i="3"/>
  <c r="S9" i="3" s="1"/>
  <c r="P9" i="3"/>
  <c r="T9" i="3" s="1"/>
  <c r="M9" i="3"/>
  <c r="N9" i="3" s="1"/>
  <c r="L9" i="3"/>
  <c r="K9" i="3"/>
  <c r="O9" i="3" s="1"/>
  <c r="S4" i="3"/>
  <c r="R4" i="3"/>
  <c r="T4" i="3"/>
  <c r="M4" i="3"/>
  <c r="N4" i="3" s="1"/>
  <c r="L4" i="3"/>
  <c r="K4" i="3"/>
  <c r="O4" i="3" s="1"/>
  <c r="T19" i="3" l="1"/>
  <c r="T14" i="3"/>
  <c r="O14" i="3"/>
  <c r="T20" i="1"/>
  <c r="T16" i="1"/>
  <c r="T12" i="1"/>
  <c r="T8" i="1"/>
  <c r="O20" i="1"/>
  <c r="O16" i="1"/>
  <c r="O12" i="1"/>
  <c r="O8" i="1"/>
  <c r="O4" i="1"/>
  <c r="T4" i="1" s="1"/>
  <c r="Q20" i="1"/>
  <c r="Q16" i="1"/>
  <c r="Q12" i="1"/>
  <c r="Q8" i="1"/>
  <c r="L20" i="1"/>
  <c r="L16" i="1"/>
  <c r="L12" i="1"/>
  <c r="L8" i="1"/>
  <c r="Q4" i="1"/>
  <c r="L4" i="1"/>
  <c r="R20" i="1"/>
  <c r="S20" i="1" s="1"/>
  <c r="R16" i="1"/>
  <c r="S16" i="1" s="1"/>
  <c r="R12" i="1"/>
  <c r="S12" i="1" s="1"/>
  <c r="R8" i="1"/>
  <c r="S8" i="1" s="1"/>
  <c r="R4" i="1"/>
  <c r="S4" i="1" s="1"/>
  <c r="N20" i="1"/>
  <c r="N16" i="1"/>
  <c r="N12" i="1"/>
  <c r="N8" i="1"/>
  <c r="N4" i="1"/>
  <c r="P20" i="1"/>
  <c r="M20" i="1"/>
  <c r="K20" i="1"/>
  <c r="P16" i="1"/>
  <c r="M16" i="1"/>
  <c r="K16" i="1"/>
  <c r="P12" i="1"/>
  <c r="M12" i="1"/>
  <c r="K12" i="1"/>
  <c r="P8" i="1"/>
  <c r="M8" i="1"/>
  <c r="K8" i="1"/>
  <c r="P4" i="1"/>
  <c r="M4" i="1"/>
</calcChain>
</file>

<file path=xl/sharedStrings.xml><?xml version="1.0" encoding="utf-8"?>
<sst xmlns="http://schemas.openxmlformats.org/spreadsheetml/2006/main" count="253" uniqueCount="76">
  <si>
    <t>Joint</t>
  </si>
  <si>
    <t>StepType</t>
  </si>
  <si>
    <t>F3</t>
  </si>
  <si>
    <t>M1</t>
  </si>
  <si>
    <t>Text</t>
  </si>
  <si>
    <t>KN</t>
  </si>
  <si>
    <t>KN-m</t>
  </si>
  <si>
    <t>1</t>
  </si>
  <si>
    <t>Max</t>
  </si>
  <si>
    <t>Min</t>
  </si>
  <si>
    <t>3</t>
  </si>
  <si>
    <t>5</t>
  </si>
  <si>
    <t>7</t>
  </si>
  <si>
    <t>9</t>
  </si>
  <si>
    <t>151</t>
  </si>
  <si>
    <t>152</t>
  </si>
  <si>
    <t>153</t>
  </si>
  <si>
    <t>154</t>
  </si>
  <si>
    <t>155</t>
  </si>
  <si>
    <t>176</t>
  </si>
  <si>
    <t>177</t>
  </si>
  <si>
    <t>178</t>
  </si>
  <si>
    <t>179</t>
  </si>
  <si>
    <t>180</t>
  </si>
  <si>
    <t>201</t>
  </si>
  <si>
    <t>202</t>
  </si>
  <si>
    <t>203</t>
  </si>
  <si>
    <t>204</t>
  </si>
  <si>
    <t>205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</si>
  <si>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</si>
  <si>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</si>
  <si>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</si>
  <si>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</si>
  <si>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</si>
  <si>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</si>
  <si>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</si>
  <si>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</si>
  <si>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</si>
  <si>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</si>
  <si>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</si>
  <si>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</si>
  <si>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</si>
  <si>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</si>
  <si>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</si>
  <si>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</si>
  <si>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</si>
  <si>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</si>
  <si>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</si>
  <si>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</si>
  <si>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</si>
  <si>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</si>
  <si>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ACI 318-14</t>
  </si>
  <si>
    <t>AA-ASD 2000</t>
  </si>
  <si>
    <t>AISI-ASD96</t>
  </si>
  <si>
    <t>TRAVI IN DIREZIONE Y</t>
  </si>
  <si>
    <t>trave1</t>
  </si>
  <si>
    <t>trave2</t>
  </si>
  <si>
    <t>trave3</t>
  </si>
  <si>
    <r>
      <rPr>
        <b/>
        <sz val="11"/>
        <color theme="1"/>
        <rFont val="Calibri"/>
        <family val="2"/>
      </rPr>
      <t>∑</t>
    </r>
    <r>
      <rPr>
        <b/>
        <sz val="11"/>
        <color theme="1"/>
        <rFont val="Calibri"/>
        <family val="2"/>
        <scheme val="minor"/>
      </rPr>
      <t>N</t>
    </r>
  </si>
  <si>
    <r>
      <rPr>
        <b/>
        <sz val="11"/>
        <color theme="1"/>
        <rFont val="Calibri"/>
        <family val="2"/>
      </rPr>
      <t>∑</t>
    </r>
    <r>
      <rPr>
        <b/>
        <sz val="11"/>
        <color theme="1"/>
        <rFont val="Calibri"/>
        <family val="2"/>
        <scheme val="minor"/>
      </rPr>
      <t>M</t>
    </r>
  </si>
  <si>
    <t>trave4</t>
  </si>
  <si>
    <t>trave5</t>
  </si>
  <si>
    <t>e</t>
  </si>
  <si>
    <t>m</t>
  </si>
  <si>
    <t>Ty</t>
  </si>
  <si>
    <r>
      <rPr>
        <b/>
        <sz val="11"/>
        <color theme="1"/>
        <rFont val="Calibri"/>
        <family val="2"/>
      </rPr>
      <t>∑</t>
    </r>
    <r>
      <rPr>
        <b/>
        <sz val="11"/>
        <color theme="1"/>
        <rFont val="Calibri"/>
        <family val="2"/>
        <scheme val="minor"/>
      </rPr>
      <t>T</t>
    </r>
  </si>
  <si>
    <t>R</t>
  </si>
  <si>
    <t>TRAVI IN DIREZIONE X</t>
  </si>
  <si>
    <t>N</t>
  </si>
  <si>
    <t>Tx</t>
  </si>
  <si>
    <t>M2</t>
  </si>
  <si>
    <t>trave 1</t>
  </si>
  <si>
    <t>trave 2</t>
  </si>
  <si>
    <t>trave 3</t>
  </si>
  <si>
    <t>trave 4</t>
  </si>
  <si>
    <t>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</si>
</sst>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0" fillId="4" borderId="1" xfId="0" applyNumberFormat="1" applyFill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4" borderId="4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/>
    <xf numFmtId="2" fontId="0" fillId="0" borderId="0" xfId="0" applyNumberFormat="1"/>
    <xf numFmtId="49" fontId="1" fillId="2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 textRotation="255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95D7-91CB-4784-B479-DB231FCFB4BE}">
  <dimension ref="A1:W24"/>
  <sheetViews>
    <sheetView tabSelected="1" workbookViewId="0">
      <pane ySplit="3" topLeftCell="A4" activePane="bottomLeft" state="frozen"/>
      <selection pane="bottomLeft" activeCell="P5" sqref="P5"/>
    </sheetView>
  </sheetViews>
  <sheetFormatPr defaultRowHeight="15" x14ac:dyDescent="0.25"/>
  <cols>
    <col min="1" max="1" width="3.140625" style="20" customWidth="1"/>
    <col min="2" max="2" width="9.140625" style="15" customWidth="1"/>
    <col min="3" max="3" width="9.28515625" style="11" bestFit="1" customWidth="1"/>
    <col min="4" max="5" width="9.140625" style="20" customWidth="1"/>
    <col min="6" max="6" width="9.7109375" style="20" bestFit="1" customWidth="1"/>
    <col min="7" max="7" width="9.140625" style="10"/>
    <col min="8" max="13" width="9.140625" style="20"/>
    <col min="14" max="14" width="9.5703125" style="20" bestFit="1" customWidth="1"/>
    <col min="15" max="15" width="9.5703125" style="20" customWidth="1"/>
    <col min="16" max="16384" width="9.140625" style="20"/>
  </cols>
  <sheetData>
    <row r="1" spans="1:23" x14ac:dyDescent="0.25">
      <c r="B1" s="22" t="s">
        <v>67</v>
      </c>
      <c r="C1" s="22"/>
      <c r="D1" s="22"/>
      <c r="E1" s="22"/>
      <c r="F1" s="22"/>
      <c r="G1" s="22"/>
      <c r="H1" s="22"/>
      <c r="I1" s="22"/>
      <c r="J1" s="22"/>
    </row>
    <row r="2" spans="1:23" x14ac:dyDescent="0.25">
      <c r="B2" s="6" t="s">
        <v>0</v>
      </c>
      <c r="C2" s="6" t="s">
        <v>1</v>
      </c>
      <c r="D2" s="8" t="s">
        <v>68</v>
      </c>
      <c r="E2" s="8" t="s">
        <v>69</v>
      </c>
      <c r="F2" s="8" t="s">
        <v>70</v>
      </c>
      <c r="G2" s="6" t="s">
        <v>1</v>
      </c>
      <c r="H2" s="8" t="s">
        <v>68</v>
      </c>
      <c r="I2" s="8" t="s">
        <v>69</v>
      </c>
      <c r="J2" s="8" t="s">
        <v>70</v>
      </c>
      <c r="K2" s="17" t="s">
        <v>58</v>
      </c>
      <c r="L2" s="17" t="s">
        <v>65</v>
      </c>
      <c r="M2" s="17" t="s">
        <v>59</v>
      </c>
      <c r="N2" s="17" t="s">
        <v>62</v>
      </c>
      <c r="O2" s="17" t="s">
        <v>66</v>
      </c>
      <c r="P2" s="17" t="s">
        <v>58</v>
      </c>
      <c r="Q2" s="17" t="s">
        <v>65</v>
      </c>
      <c r="R2" s="17" t="s">
        <v>59</v>
      </c>
      <c r="S2" s="17" t="s">
        <v>62</v>
      </c>
      <c r="T2" s="17" t="s">
        <v>66</v>
      </c>
      <c r="U2" s="17" t="s">
        <v>68</v>
      </c>
      <c r="V2" s="17" t="s">
        <v>69</v>
      </c>
      <c r="W2" s="17" t="s">
        <v>75</v>
      </c>
    </row>
    <row r="3" spans="1:23" x14ac:dyDescent="0.25">
      <c r="B3" s="7" t="s">
        <v>4</v>
      </c>
      <c r="C3" s="7" t="s">
        <v>4</v>
      </c>
      <c r="D3" s="9" t="s">
        <v>5</v>
      </c>
      <c r="E3" s="9" t="s">
        <v>5</v>
      </c>
      <c r="F3" s="9" t="s">
        <v>6</v>
      </c>
      <c r="G3" s="7" t="s">
        <v>4</v>
      </c>
      <c r="H3" s="9" t="s">
        <v>5</v>
      </c>
      <c r="I3" s="9" t="s">
        <v>5</v>
      </c>
      <c r="J3" s="9" t="s">
        <v>6</v>
      </c>
      <c r="K3" s="16" t="s">
        <v>8</v>
      </c>
      <c r="L3" s="16" t="s">
        <v>8</v>
      </c>
      <c r="M3" s="16" t="s">
        <v>8</v>
      </c>
      <c r="N3" s="16" t="s">
        <v>63</v>
      </c>
      <c r="O3" s="16" t="s">
        <v>5</v>
      </c>
      <c r="P3" s="16" t="s">
        <v>9</v>
      </c>
      <c r="Q3" s="16" t="s">
        <v>9</v>
      </c>
      <c r="R3" s="16" t="s">
        <v>9</v>
      </c>
      <c r="S3" s="16" t="s">
        <v>63</v>
      </c>
      <c r="T3" s="16" t="s">
        <v>5</v>
      </c>
    </row>
    <row r="4" spans="1:23" ht="15" customHeight="1" x14ac:dyDescent="0.25">
      <c r="A4" s="23" t="s">
        <v>71</v>
      </c>
      <c r="B4" s="2" t="s">
        <v>7</v>
      </c>
      <c r="C4" s="2" t="s">
        <v>8</v>
      </c>
      <c r="D4" s="20">
        <v>668.56299999999999</v>
      </c>
      <c r="E4" s="20">
        <v>112.42700000000001</v>
      </c>
      <c r="F4" s="20">
        <v>236.67080000000001</v>
      </c>
      <c r="G4" s="2" t="s">
        <v>9</v>
      </c>
      <c r="H4" s="20">
        <v>110.114</v>
      </c>
      <c r="I4" s="20">
        <v>-101.99299999999999</v>
      </c>
      <c r="J4" s="20">
        <v>-227.2139</v>
      </c>
      <c r="K4" s="18">
        <f>SUM(D4:D8)/2</f>
        <v>1962.0674999999999</v>
      </c>
      <c r="L4" s="18">
        <f>SUM(E4:E8)</f>
        <v>624.45600000000002</v>
      </c>
      <c r="M4" s="18">
        <f>SUM(F4:F8)</f>
        <v>1242.9411</v>
      </c>
      <c r="N4" s="18">
        <f>M4/K4</f>
        <v>0.63348539232212964</v>
      </c>
      <c r="O4" s="20">
        <f>SQRT(K4^2+L4^2)</f>
        <v>2059.0420516570925</v>
      </c>
      <c r="P4" s="18">
        <f>SUM(H4:H8)/2</f>
        <v>736.24549999999999</v>
      </c>
      <c r="Q4" s="18">
        <f>ABS(SUM(I4:I8))</f>
        <v>624.31899999999996</v>
      </c>
      <c r="R4" s="18">
        <f>ABS(SUM(J4:J8))</f>
        <v>1245.172</v>
      </c>
      <c r="S4" s="18">
        <f>R4/P4</f>
        <v>1.6912456510769847</v>
      </c>
      <c r="T4" s="20">
        <f>SQRT(P4^2+Q4^2)</f>
        <v>965.31427526544428</v>
      </c>
      <c r="U4" s="18">
        <f>K4</f>
        <v>1962.0674999999999</v>
      </c>
      <c r="V4" s="18">
        <f>L4</f>
        <v>624.45600000000002</v>
      </c>
      <c r="W4" s="18">
        <f>M4</f>
        <v>1242.9411</v>
      </c>
    </row>
    <row r="5" spans="1:23" x14ac:dyDescent="0.25">
      <c r="A5" s="23"/>
      <c r="B5" s="2" t="s">
        <v>13</v>
      </c>
      <c r="C5" s="2" t="s">
        <v>8</v>
      </c>
      <c r="D5" s="20">
        <v>779.47500000000002</v>
      </c>
      <c r="E5" s="20">
        <v>140.38499999999999</v>
      </c>
      <c r="F5" s="20">
        <v>263.37950000000001</v>
      </c>
      <c r="G5" s="2" t="s">
        <v>9</v>
      </c>
      <c r="H5" s="20">
        <v>377.43799999999999</v>
      </c>
      <c r="I5" s="20">
        <v>-143.292</v>
      </c>
      <c r="J5" s="20">
        <v>-266.61860000000001</v>
      </c>
      <c r="U5" s="21">
        <f>P4</f>
        <v>736.24549999999999</v>
      </c>
      <c r="V5" s="21">
        <f>Q4</f>
        <v>624.31899999999996</v>
      </c>
      <c r="W5" s="21">
        <f>R4</f>
        <v>1245.172</v>
      </c>
    </row>
    <row r="6" spans="1:23" x14ac:dyDescent="0.25">
      <c r="A6" s="23"/>
      <c r="B6" s="2" t="s">
        <v>12</v>
      </c>
      <c r="C6" s="2" t="s">
        <v>8</v>
      </c>
      <c r="D6" s="20">
        <v>896.63800000000003</v>
      </c>
      <c r="E6" s="20">
        <v>138.62899999999999</v>
      </c>
      <c r="F6" s="20">
        <v>261.69630000000001</v>
      </c>
      <c r="G6" s="2" t="s">
        <v>9</v>
      </c>
      <c r="H6" s="20">
        <v>450.69299999999998</v>
      </c>
      <c r="I6" s="20">
        <v>-126.699</v>
      </c>
      <c r="J6" s="20">
        <v>-250.816</v>
      </c>
      <c r="U6" s="18">
        <f>K9</f>
        <v>2801.5435000000007</v>
      </c>
      <c r="V6" s="18">
        <f>L9</f>
        <v>144.22399999999999</v>
      </c>
      <c r="W6" s="18">
        <f>M9</f>
        <v>323.52300000000002</v>
      </c>
    </row>
    <row r="7" spans="1:23" x14ac:dyDescent="0.25">
      <c r="A7" s="23"/>
      <c r="B7" s="2" t="s">
        <v>11</v>
      </c>
      <c r="C7" s="2" t="s">
        <v>8</v>
      </c>
      <c r="D7" s="20">
        <v>914.87900000000002</v>
      </c>
      <c r="E7" s="20">
        <v>128.43700000000001</v>
      </c>
      <c r="F7" s="20">
        <v>251.99510000000001</v>
      </c>
      <c r="G7" s="2" t="s">
        <v>9</v>
      </c>
      <c r="H7" s="20">
        <v>434.21300000000002</v>
      </c>
      <c r="I7" s="20">
        <v>-141.64099999999999</v>
      </c>
      <c r="J7" s="20">
        <v>-265.03199999999998</v>
      </c>
      <c r="U7" s="21">
        <f>P9</f>
        <v>2109.3710000000001</v>
      </c>
      <c r="V7" s="21">
        <f>Q9</f>
        <v>144.36599999999999</v>
      </c>
      <c r="W7" s="21">
        <f>R9</f>
        <v>324.36670000000004</v>
      </c>
    </row>
    <row r="8" spans="1:23" ht="15" customHeight="1" x14ac:dyDescent="0.25">
      <c r="A8" s="23"/>
      <c r="B8" s="2" t="s">
        <v>10</v>
      </c>
      <c r="C8" s="2" t="s">
        <v>8</v>
      </c>
      <c r="D8" s="20">
        <v>664.58</v>
      </c>
      <c r="E8" s="20">
        <v>104.578</v>
      </c>
      <c r="F8" s="20">
        <v>229.1994</v>
      </c>
      <c r="G8" s="2" t="s">
        <v>9</v>
      </c>
      <c r="H8" s="20">
        <v>100.033</v>
      </c>
      <c r="I8" s="20">
        <v>-110.694</v>
      </c>
      <c r="J8" s="20">
        <v>-235.4915</v>
      </c>
      <c r="U8" s="21">
        <f>K14</f>
        <v>2801.5400000000004</v>
      </c>
      <c r="V8" s="21">
        <f>L14</f>
        <v>144.22399999999999</v>
      </c>
      <c r="W8" s="21">
        <f>M14</f>
        <v>323.52320000000003</v>
      </c>
    </row>
    <row r="9" spans="1:23" x14ac:dyDescent="0.25">
      <c r="A9" s="23" t="s">
        <v>72</v>
      </c>
      <c r="B9" s="2" t="s">
        <v>19</v>
      </c>
      <c r="C9" s="2" t="s">
        <v>8</v>
      </c>
      <c r="D9" s="20">
        <v>831.09900000000005</v>
      </c>
      <c r="E9" s="20">
        <v>30.103000000000002</v>
      </c>
      <c r="F9" s="20">
        <v>65.923400000000001</v>
      </c>
      <c r="G9" s="2" t="s">
        <v>9</v>
      </c>
      <c r="H9" s="20">
        <v>499.54300000000001</v>
      </c>
      <c r="I9" s="20">
        <v>-20.817</v>
      </c>
      <c r="J9" s="20">
        <v>-56.912599999999998</v>
      </c>
      <c r="K9" s="18">
        <f>SUM(D9:D13)/2</f>
        <v>2801.5435000000007</v>
      </c>
      <c r="L9" s="18">
        <f>SUM(E9:E13)</f>
        <v>144.22399999999999</v>
      </c>
      <c r="M9" s="18">
        <f>SUM(F9:F13)</f>
        <v>323.52300000000002</v>
      </c>
      <c r="N9" s="18">
        <f>M9/K9</f>
        <v>0.11548027007255106</v>
      </c>
      <c r="O9" s="20">
        <f>SQRT(K9^2+L9^2)</f>
        <v>2805.2533833092962</v>
      </c>
      <c r="P9" s="18">
        <f>SUM(H9:H13)/2</f>
        <v>2109.3710000000001</v>
      </c>
      <c r="Q9" s="18">
        <f>ABS(SUM(I9:I13))</f>
        <v>144.36599999999999</v>
      </c>
      <c r="R9" s="18">
        <f>ABS(SUM(J9:J13))</f>
        <v>324.36670000000004</v>
      </c>
      <c r="S9" s="18">
        <f>R9/P9</f>
        <v>0.15377413456428482</v>
      </c>
      <c r="T9" s="20">
        <f>SQRT(P9^2+Q9^2)</f>
        <v>2114.3054551310697</v>
      </c>
      <c r="U9" s="21">
        <f>P14</f>
        <v>2109.3685</v>
      </c>
      <c r="V9" s="21">
        <f>Q14</f>
        <v>144.36600000000001</v>
      </c>
      <c r="W9" s="21">
        <f>R14</f>
        <v>324.3664</v>
      </c>
    </row>
    <row r="10" spans="1:23" x14ac:dyDescent="0.25">
      <c r="A10" s="23"/>
      <c r="B10" s="2" t="s">
        <v>23</v>
      </c>
      <c r="C10" s="2" t="s">
        <v>8</v>
      </c>
      <c r="D10" s="20">
        <v>1164.4580000000001</v>
      </c>
      <c r="E10" s="20">
        <v>29.893000000000001</v>
      </c>
      <c r="F10" s="20">
        <v>65.756900000000002</v>
      </c>
      <c r="G10" s="2" t="s">
        <v>9</v>
      </c>
      <c r="H10" s="20">
        <v>936.298</v>
      </c>
      <c r="I10" s="20">
        <v>-34.636000000000003</v>
      </c>
      <c r="J10" s="20">
        <v>-70.572400000000002</v>
      </c>
      <c r="U10" s="21">
        <f>K19</f>
        <v>1962.0684999999999</v>
      </c>
      <c r="V10" s="21">
        <f>L19</f>
        <v>624.46</v>
      </c>
      <c r="W10" s="21">
        <f>M19</f>
        <v>1242.9434000000001</v>
      </c>
    </row>
    <row r="11" spans="1:23" x14ac:dyDescent="0.25">
      <c r="A11" s="23"/>
      <c r="B11" s="2" t="s">
        <v>22</v>
      </c>
      <c r="C11" s="2" t="s">
        <v>8</v>
      </c>
      <c r="D11" s="20">
        <v>1388.6690000000001</v>
      </c>
      <c r="E11" s="20">
        <v>37.101999999999997</v>
      </c>
      <c r="F11" s="20">
        <v>72.854600000000005</v>
      </c>
      <c r="G11" s="2" t="s">
        <v>9</v>
      </c>
      <c r="H11" s="20">
        <v>1148.8510000000001</v>
      </c>
      <c r="I11" s="20">
        <v>-23.564</v>
      </c>
      <c r="J11" s="20">
        <v>-59.652700000000003</v>
      </c>
      <c r="U11" s="21">
        <f>P19</f>
        <v>736.24599999999998</v>
      </c>
      <c r="V11" s="21">
        <f>Q19</f>
        <v>624.31500000000005</v>
      </c>
      <c r="W11" s="21">
        <f>R19</f>
        <v>1245.1681000000001</v>
      </c>
    </row>
    <row r="12" spans="1:23" ht="15" customHeight="1" x14ac:dyDescent="0.25">
      <c r="A12" s="23"/>
      <c r="B12" s="2" t="s">
        <v>21</v>
      </c>
      <c r="C12" s="2" t="s">
        <v>8</v>
      </c>
      <c r="D12" s="20">
        <v>1378.127</v>
      </c>
      <c r="E12" s="20">
        <v>26.300999999999998</v>
      </c>
      <c r="F12" s="20">
        <v>62.208300000000001</v>
      </c>
      <c r="G12" s="2" t="s">
        <v>9</v>
      </c>
      <c r="H12" s="20">
        <v>1131.271</v>
      </c>
      <c r="I12" s="20">
        <v>-35.098999999999997</v>
      </c>
      <c r="J12" s="20">
        <v>-71.020099999999999</v>
      </c>
    </row>
    <row r="13" spans="1:23" x14ac:dyDescent="0.25">
      <c r="A13" s="23"/>
      <c r="B13" s="2" t="s">
        <v>20</v>
      </c>
      <c r="C13" s="2" t="s">
        <v>8</v>
      </c>
      <c r="D13" s="20">
        <v>840.73400000000004</v>
      </c>
      <c r="E13" s="20">
        <v>20.824999999999999</v>
      </c>
      <c r="F13" s="20">
        <v>56.779800000000002</v>
      </c>
      <c r="G13" s="2" t="s">
        <v>9</v>
      </c>
      <c r="H13" s="20">
        <v>502.779</v>
      </c>
      <c r="I13" s="20">
        <v>-30.25</v>
      </c>
      <c r="J13" s="20">
        <v>-66.2089</v>
      </c>
    </row>
    <row r="14" spans="1:23" x14ac:dyDescent="0.25">
      <c r="A14" s="23" t="s">
        <v>73</v>
      </c>
      <c r="B14" s="2" t="s">
        <v>24</v>
      </c>
      <c r="C14" s="2" t="s">
        <v>8</v>
      </c>
      <c r="D14" s="20">
        <v>831.03800000000001</v>
      </c>
      <c r="E14" s="20">
        <v>30.103000000000002</v>
      </c>
      <c r="F14" s="20">
        <v>65.923500000000004</v>
      </c>
      <c r="G14" s="2" t="s">
        <v>9</v>
      </c>
      <c r="H14" s="20">
        <v>499.483</v>
      </c>
      <c r="I14" s="20">
        <v>-20.817</v>
      </c>
      <c r="J14" s="20">
        <v>-56.912500000000001</v>
      </c>
      <c r="K14" s="18">
        <f>SUM(D14:D18)/2</f>
        <v>2801.5400000000004</v>
      </c>
      <c r="L14" s="18">
        <f>SUM(E14:E18)</f>
        <v>144.22399999999999</v>
      </c>
      <c r="M14" s="18">
        <f>SUM(F14:F18)</f>
        <v>323.52320000000003</v>
      </c>
      <c r="N14" s="18">
        <f>M14/K14</f>
        <v>0.11548048573284693</v>
      </c>
      <c r="O14" s="20">
        <f>SQRT(K14^2+L14^2)</f>
        <v>2805.2498879379718</v>
      </c>
      <c r="P14" s="18">
        <f>SUM(H14:H18)/2</f>
        <v>2109.3685</v>
      </c>
      <c r="Q14" s="18">
        <f>ABS(SUM(I14:I18))</f>
        <v>144.36600000000001</v>
      </c>
      <c r="R14" s="18">
        <f>ABS(SUM(J14:J18))</f>
        <v>324.3664</v>
      </c>
      <c r="S14" s="18">
        <f>R14/P14</f>
        <v>0.15377417459301207</v>
      </c>
      <c r="T14" s="20">
        <f>SQRT(P14^2+Q14^2)</f>
        <v>2114.3029609656819</v>
      </c>
    </row>
    <row r="15" spans="1:23" x14ac:dyDescent="0.25">
      <c r="A15" s="23"/>
      <c r="B15" s="2" t="s">
        <v>28</v>
      </c>
      <c r="C15" s="2" t="s">
        <v>8</v>
      </c>
      <c r="D15" s="20">
        <v>1163.99</v>
      </c>
      <c r="E15" s="20">
        <v>29.893000000000001</v>
      </c>
      <c r="F15" s="20">
        <v>65.756900000000002</v>
      </c>
      <c r="G15" s="2" t="s">
        <v>9</v>
      </c>
      <c r="H15" s="20">
        <v>935.83100000000002</v>
      </c>
      <c r="I15" s="20">
        <v>-34.636000000000003</v>
      </c>
      <c r="J15" s="20">
        <v>-70.572400000000002</v>
      </c>
    </row>
    <row r="16" spans="1:23" ht="15" customHeight="1" x14ac:dyDescent="0.25">
      <c r="A16" s="23"/>
      <c r="B16" s="2" t="s">
        <v>27</v>
      </c>
      <c r="C16" s="2" t="s">
        <v>8</v>
      </c>
      <c r="D16" s="20">
        <v>1388.8620000000001</v>
      </c>
      <c r="E16" s="20">
        <v>37.1</v>
      </c>
      <c r="F16" s="20">
        <v>72.853200000000001</v>
      </c>
      <c r="G16" s="2" t="s">
        <v>9</v>
      </c>
      <c r="H16" s="20">
        <v>1149.0440000000001</v>
      </c>
      <c r="I16" s="20">
        <v>-23.565999999999999</v>
      </c>
      <c r="J16" s="20">
        <v>-59.6541</v>
      </c>
    </row>
    <row r="17" spans="1:20" x14ac:dyDescent="0.25">
      <c r="A17" s="23"/>
      <c r="B17" s="2" t="s">
        <v>26</v>
      </c>
      <c r="C17" s="2" t="s">
        <v>8</v>
      </c>
      <c r="D17" s="20">
        <v>1378.4069999999999</v>
      </c>
      <c r="E17" s="20">
        <v>26.302</v>
      </c>
      <c r="F17" s="20">
        <v>62.209099999999999</v>
      </c>
      <c r="G17" s="2" t="s">
        <v>9</v>
      </c>
      <c r="H17" s="20">
        <v>1131.5509999999999</v>
      </c>
      <c r="I17" s="20">
        <v>-35.097999999999999</v>
      </c>
      <c r="J17" s="20">
        <v>-71.019199999999998</v>
      </c>
    </row>
    <row r="18" spans="1:20" x14ac:dyDescent="0.25">
      <c r="A18" s="23"/>
      <c r="B18" s="2" t="s">
        <v>25</v>
      </c>
      <c r="C18" s="2" t="s">
        <v>8</v>
      </c>
      <c r="D18" s="20">
        <v>840.78300000000002</v>
      </c>
      <c r="E18" s="20">
        <v>20.826000000000001</v>
      </c>
      <c r="F18" s="20">
        <v>56.780500000000004</v>
      </c>
      <c r="G18" s="2" t="s">
        <v>9</v>
      </c>
      <c r="H18" s="20">
        <v>502.82799999999997</v>
      </c>
      <c r="I18" s="20">
        <v>-30.248999999999999</v>
      </c>
      <c r="J18" s="20">
        <v>-66.208200000000005</v>
      </c>
    </row>
    <row r="19" spans="1:20" x14ac:dyDescent="0.25">
      <c r="A19" s="23" t="s">
        <v>74</v>
      </c>
      <c r="B19" s="2" t="s">
        <v>14</v>
      </c>
      <c r="C19" s="2" t="s">
        <v>8</v>
      </c>
      <c r="D19" s="20">
        <v>668.03</v>
      </c>
      <c r="E19" s="20">
        <v>112.43</v>
      </c>
      <c r="F19" s="20">
        <v>236.67339999999999</v>
      </c>
      <c r="G19" s="2" t="s">
        <v>9</v>
      </c>
      <c r="H19" s="20">
        <v>109.583</v>
      </c>
      <c r="I19" s="20">
        <v>-101.99</v>
      </c>
      <c r="J19" s="20">
        <v>-227.21109999999999</v>
      </c>
      <c r="K19" s="18">
        <f>SUM(D19:D23)/2</f>
        <v>1962.0684999999999</v>
      </c>
      <c r="L19" s="18">
        <f>SUM(E19:E23)</f>
        <v>624.46</v>
      </c>
      <c r="M19" s="18">
        <f>SUM(F19:F23)</f>
        <v>1242.9434000000001</v>
      </c>
      <c r="N19" s="18">
        <f>M19/K19</f>
        <v>0.63348624168829992</v>
      </c>
      <c r="O19" s="20">
        <f>SQRT(K19^2+L19^2)</f>
        <v>2059.0442176631973</v>
      </c>
      <c r="P19" s="18">
        <f>SUM(H19:H23)/2</f>
        <v>736.24599999999998</v>
      </c>
      <c r="Q19" s="18">
        <f>ABS(SUM(I19:I23))</f>
        <v>624.31500000000005</v>
      </c>
      <c r="R19" s="18">
        <f>ABS(SUM(J19:J23))</f>
        <v>1245.1681000000001</v>
      </c>
      <c r="S19" s="18">
        <f>R19/P19</f>
        <v>1.6912392053742908</v>
      </c>
      <c r="T19" s="20">
        <f>SQRT(P19^2+Q19^2)</f>
        <v>965.31206961324176</v>
      </c>
    </row>
    <row r="20" spans="1:20" ht="15" customHeight="1" x14ac:dyDescent="0.25">
      <c r="A20" s="23"/>
      <c r="B20" s="2" t="s">
        <v>18</v>
      </c>
      <c r="C20" s="2" t="s">
        <v>8</v>
      </c>
      <c r="D20" s="20">
        <v>779.88599999999997</v>
      </c>
      <c r="E20" s="20">
        <v>140.38499999999999</v>
      </c>
      <c r="F20" s="20">
        <v>263.3793</v>
      </c>
      <c r="G20" s="2" t="s">
        <v>9</v>
      </c>
      <c r="H20" s="20">
        <v>377.84899999999999</v>
      </c>
      <c r="I20" s="20">
        <v>-143.292</v>
      </c>
      <c r="J20" s="20">
        <v>-266.61840000000001</v>
      </c>
    </row>
    <row r="21" spans="1:20" x14ac:dyDescent="0.25">
      <c r="A21" s="23"/>
      <c r="B21" s="2" t="s">
        <v>17</v>
      </c>
      <c r="C21" s="2" t="s">
        <v>8</v>
      </c>
      <c r="D21" s="20">
        <v>896.51499999999999</v>
      </c>
      <c r="E21" s="20">
        <v>138.626</v>
      </c>
      <c r="F21" s="20">
        <v>261.69330000000002</v>
      </c>
      <c r="G21" s="2" t="s">
        <v>9</v>
      </c>
      <c r="H21" s="20">
        <v>450.57</v>
      </c>
      <c r="I21" s="20">
        <v>-126.702</v>
      </c>
      <c r="J21" s="20">
        <v>-250.81870000000001</v>
      </c>
    </row>
    <row r="22" spans="1:20" x14ac:dyDescent="0.25">
      <c r="A22" s="23"/>
      <c r="B22" s="2" t="s">
        <v>16</v>
      </c>
      <c r="C22" s="2" t="s">
        <v>8</v>
      </c>
      <c r="D22" s="20">
        <v>914.58600000000001</v>
      </c>
      <c r="E22" s="20">
        <v>128.43899999999999</v>
      </c>
      <c r="F22" s="20">
        <v>251.9966</v>
      </c>
      <c r="G22" s="2" t="s">
        <v>9</v>
      </c>
      <c r="H22" s="20">
        <v>433.92</v>
      </c>
      <c r="I22" s="20">
        <v>-141.63900000000001</v>
      </c>
      <c r="J22" s="20">
        <v>-265.0301</v>
      </c>
    </row>
    <row r="23" spans="1:20" x14ac:dyDescent="0.25">
      <c r="A23" s="23"/>
      <c r="B23" s="2" t="s">
        <v>15</v>
      </c>
      <c r="C23" s="2" t="s">
        <v>8</v>
      </c>
      <c r="D23" s="20">
        <v>665.12</v>
      </c>
      <c r="E23" s="20">
        <v>104.58</v>
      </c>
      <c r="F23" s="20">
        <v>229.20079999999999</v>
      </c>
      <c r="G23" s="2" t="s">
        <v>9</v>
      </c>
      <c r="H23" s="20">
        <v>100.57</v>
      </c>
      <c r="I23" s="20">
        <v>-110.69199999999999</v>
      </c>
      <c r="J23" s="20">
        <v>-235.4898</v>
      </c>
    </row>
    <row r="24" spans="1:20" x14ac:dyDescent="0.25">
      <c r="B24" s="12"/>
    </row>
  </sheetData>
  <mergeCells count="5">
    <mergeCell ref="B1:J1"/>
    <mergeCell ref="A4:A8"/>
    <mergeCell ref="A9:A13"/>
    <mergeCell ref="A14:A18"/>
    <mergeCell ref="A19:A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7A3B-89F2-4D1D-8B5F-5D5E4EFCE5BB}">
  <dimension ref="A1:W24"/>
  <sheetViews>
    <sheetView topLeftCell="E1" workbookViewId="0">
      <pane ySplit="3" topLeftCell="A4" activePane="bottomLeft" state="frozen"/>
      <selection pane="bottomLeft" activeCell="V16" sqref="V16"/>
    </sheetView>
  </sheetViews>
  <sheetFormatPr defaultRowHeight="15" x14ac:dyDescent="0.25"/>
  <cols>
    <col min="1" max="1" width="3.140625" customWidth="1"/>
    <col min="2" max="2" width="9.140625" style="15" customWidth="1"/>
    <col min="3" max="3" width="9.28515625" style="11" bestFit="1" customWidth="1"/>
    <col min="4" max="5" width="9.140625" customWidth="1"/>
    <col min="6" max="6" width="9.7109375" bestFit="1" customWidth="1"/>
    <col min="7" max="7" width="9.140625" style="10"/>
    <col min="12" max="12" width="9.140625" style="20"/>
    <col min="14" max="14" width="9.5703125" bestFit="1" customWidth="1"/>
    <col min="15" max="15" width="9.5703125" style="20" customWidth="1"/>
    <col min="17" max="17" width="9.140625" style="20"/>
    <col min="19" max="19" width="9.140625" style="20"/>
  </cols>
  <sheetData>
    <row r="1" spans="1:23" x14ac:dyDescent="0.25">
      <c r="B1" s="22" t="s">
        <v>54</v>
      </c>
      <c r="C1" s="22"/>
      <c r="D1" s="22"/>
      <c r="E1" s="22"/>
      <c r="F1" s="22"/>
      <c r="G1" s="22"/>
      <c r="H1" s="22"/>
      <c r="I1" s="22"/>
      <c r="J1" s="22"/>
    </row>
    <row r="2" spans="1:23" x14ac:dyDescent="0.25">
      <c r="B2" s="13" t="s">
        <v>0</v>
      </c>
      <c r="C2" s="6" t="s">
        <v>1</v>
      </c>
      <c r="D2" s="8" t="s">
        <v>2</v>
      </c>
      <c r="E2" s="8" t="s">
        <v>64</v>
      </c>
      <c r="F2" s="8" t="s">
        <v>3</v>
      </c>
      <c r="G2" s="6" t="s">
        <v>1</v>
      </c>
      <c r="H2" s="8" t="s">
        <v>2</v>
      </c>
      <c r="I2" s="8" t="s">
        <v>64</v>
      </c>
      <c r="J2" s="8" t="s">
        <v>3</v>
      </c>
      <c r="K2" s="17" t="s">
        <v>58</v>
      </c>
      <c r="L2" s="17" t="s">
        <v>65</v>
      </c>
      <c r="M2" s="17" t="s">
        <v>59</v>
      </c>
      <c r="N2" s="17" t="s">
        <v>62</v>
      </c>
      <c r="O2" s="17" t="s">
        <v>66</v>
      </c>
      <c r="P2" s="17" t="s">
        <v>58</v>
      </c>
      <c r="Q2" s="17" t="s">
        <v>65</v>
      </c>
      <c r="R2" s="17" t="s">
        <v>59</v>
      </c>
      <c r="S2" s="17" t="s">
        <v>62</v>
      </c>
      <c r="T2" s="17" t="s">
        <v>66</v>
      </c>
      <c r="U2" s="17" t="s">
        <v>68</v>
      </c>
      <c r="V2" s="17" t="s">
        <v>69</v>
      </c>
      <c r="W2" s="17" t="s">
        <v>75</v>
      </c>
    </row>
    <row r="3" spans="1:23" x14ac:dyDescent="0.25">
      <c r="B3" s="14" t="s">
        <v>4</v>
      </c>
      <c r="C3" s="7" t="s">
        <v>4</v>
      </c>
      <c r="D3" s="9" t="s">
        <v>5</v>
      </c>
      <c r="E3" s="9" t="s">
        <v>5</v>
      </c>
      <c r="F3" s="9" t="s">
        <v>6</v>
      </c>
      <c r="G3" s="7" t="s">
        <v>4</v>
      </c>
      <c r="H3" s="9" t="s">
        <v>5</v>
      </c>
      <c r="I3" s="9" t="s">
        <v>5</v>
      </c>
      <c r="J3" s="9" t="s">
        <v>6</v>
      </c>
      <c r="K3" s="16" t="s">
        <v>8</v>
      </c>
      <c r="L3" s="16" t="s">
        <v>8</v>
      </c>
      <c r="M3" s="16" t="s">
        <v>8</v>
      </c>
      <c r="N3" s="16" t="s">
        <v>63</v>
      </c>
      <c r="O3" s="16" t="s">
        <v>5</v>
      </c>
      <c r="P3" s="16" t="s">
        <v>9</v>
      </c>
      <c r="Q3" s="16" t="s">
        <v>9</v>
      </c>
      <c r="R3" s="16" t="s">
        <v>9</v>
      </c>
      <c r="S3" s="16" t="s">
        <v>63</v>
      </c>
      <c r="T3" s="16" t="s">
        <v>5</v>
      </c>
      <c r="U3" s="20"/>
      <c r="V3" s="20"/>
      <c r="W3" s="20"/>
    </row>
    <row r="4" spans="1:23" ht="15" customHeight="1" x14ac:dyDescent="0.25">
      <c r="A4" s="23" t="s">
        <v>55</v>
      </c>
      <c r="B4" s="15" t="s">
        <v>7</v>
      </c>
      <c r="C4" s="11" t="s">
        <v>8</v>
      </c>
      <c r="D4" s="10">
        <v>668.56299999999999</v>
      </c>
      <c r="E4" s="19">
        <v>55.110999999999997</v>
      </c>
      <c r="F4" s="10">
        <v>80.122</v>
      </c>
      <c r="G4" s="11" t="s">
        <v>9</v>
      </c>
      <c r="H4" s="10">
        <v>110.114</v>
      </c>
      <c r="I4" s="20">
        <v>-43.814999999999998</v>
      </c>
      <c r="J4" s="10">
        <v>-91.254900000000006</v>
      </c>
      <c r="K4" s="18">
        <f>SUM(D4:D7)/2</f>
        <v>1499.3649999999998</v>
      </c>
      <c r="L4" s="18">
        <f>SUM(E4:E7)</f>
        <v>356.28699999999998</v>
      </c>
      <c r="M4" s="18">
        <f>SUM(F4:F7)</f>
        <v>664.53839999999991</v>
      </c>
      <c r="N4" s="18">
        <f>M4/K4</f>
        <v>0.44321322693273485</v>
      </c>
      <c r="O4" s="18">
        <f>SQRT(K4^2+L4^2)</f>
        <v>1541.1151253537159</v>
      </c>
      <c r="P4" s="18">
        <f>SUM(H4:H7)</f>
        <v>1218.7230000000002</v>
      </c>
      <c r="Q4" s="18">
        <f>SUM(I4:I7)</f>
        <v>-356.29199999999997</v>
      </c>
      <c r="R4" s="18">
        <f>ABS(SUM(J4:J7))</f>
        <v>664.53120000000001</v>
      </c>
      <c r="S4" s="18">
        <f>R4/P4</f>
        <v>0.54526844902410143</v>
      </c>
      <c r="T4" s="18">
        <f>SQRT(O4^2+P4^2)</f>
        <v>1964.7701087717617</v>
      </c>
      <c r="U4" s="18">
        <f>K4</f>
        <v>1499.3649999999998</v>
      </c>
      <c r="V4" s="18">
        <f>L4</f>
        <v>356.28699999999998</v>
      </c>
      <c r="W4" s="18">
        <f>M4</f>
        <v>664.53839999999991</v>
      </c>
    </row>
    <row r="5" spans="1:23" x14ac:dyDescent="0.25">
      <c r="A5" s="23"/>
      <c r="B5" s="15" t="s">
        <v>19</v>
      </c>
      <c r="C5" s="11" t="s">
        <v>8</v>
      </c>
      <c r="D5" s="10">
        <v>831.09900000000005</v>
      </c>
      <c r="E5" s="10">
        <v>135.45699999999999</v>
      </c>
      <c r="F5" s="10">
        <v>240.13210000000001</v>
      </c>
      <c r="G5" s="11" t="s">
        <v>9</v>
      </c>
      <c r="H5" s="10">
        <v>499.54300000000001</v>
      </c>
      <c r="I5" s="20">
        <v>-121.907</v>
      </c>
      <c r="J5" s="10">
        <v>-253.0258</v>
      </c>
      <c r="K5" s="18"/>
      <c r="L5" s="18"/>
      <c r="M5" s="18"/>
      <c r="P5" s="18"/>
      <c r="Q5" s="18"/>
      <c r="R5" s="18"/>
      <c r="S5"/>
      <c r="T5" s="18"/>
      <c r="U5" s="18">
        <f>P4</f>
        <v>1218.7230000000002</v>
      </c>
      <c r="V5" s="18">
        <f>Q4</f>
        <v>-356.29199999999997</v>
      </c>
      <c r="W5" s="18">
        <f>R4</f>
        <v>664.53120000000001</v>
      </c>
    </row>
    <row r="6" spans="1:23" x14ac:dyDescent="0.25">
      <c r="A6" s="23"/>
      <c r="B6" s="15" t="s">
        <v>24</v>
      </c>
      <c r="C6" s="11" t="s">
        <v>8</v>
      </c>
      <c r="D6" s="10">
        <v>831.03800000000001</v>
      </c>
      <c r="E6" s="10">
        <v>121.905</v>
      </c>
      <c r="F6" s="10">
        <v>253.02780000000001</v>
      </c>
      <c r="G6" s="11" t="s">
        <v>9</v>
      </c>
      <c r="H6" s="10">
        <v>499.483</v>
      </c>
      <c r="I6" s="20">
        <v>-135.458</v>
      </c>
      <c r="J6" s="10">
        <v>-240.1301</v>
      </c>
      <c r="K6" s="18"/>
      <c r="L6" s="18"/>
      <c r="M6" s="18"/>
      <c r="P6" s="18"/>
      <c r="Q6" s="18"/>
      <c r="R6" s="18"/>
      <c r="S6"/>
      <c r="T6" s="18"/>
      <c r="U6" s="18">
        <f>K8</f>
        <v>1943.9044999999999</v>
      </c>
      <c r="V6" s="18">
        <f>L8</f>
        <v>338.30099999999999</v>
      </c>
      <c r="W6" s="18">
        <f>M8</f>
        <v>631.72070000000008</v>
      </c>
    </row>
    <row r="7" spans="1:23" x14ac:dyDescent="0.25">
      <c r="A7" s="23"/>
      <c r="B7" s="15" t="s">
        <v>14</v>
      </c>
      <c r="C7" s="11" t="s">
        <v>8</v>
      </c>
      <c r="D7" s="10">
        <v>668.03</v>
      </c>
      <c r="E7" s="10">
        <v>43.814</v>
      </c>
      <c r="F7" s="10">
        <v>91.256500000000003</v>
      </c>
      <c r="G7" s="11" t="s">
        <v>9</v>
      </c>
      <c r="H7" s="10">
        <v>109.583</v>
      </c>
      <c r="I7" s="20">
        <v>-55.112000000000002</v>
      </c>
      <c r="J7" s="10">
        <v>-80.120400000000004</v>
      </c>
      <c r="K7" s="18"/>
      <c r="L7" s="18"/>
      <c r="M7" s="18"/>
      <c r="P7" s="18"/>
      <c r="Q7" s="18"/>
      <c r="R7" s="18"/>
      <c r="S7"/>
      <c r="T7" s="18"/>
      <c r="U7" s="18">
        <f>P8</f>
        <v>2627.4160000000002</v>
      </c>
      <c r="V7" s="18">
        <f>Q8</f>
        <v>-338.29899999999998</v>
      </c>
      <c r="W7" s="18">
        <f>R8</f>
        <v>631.72239999999999</v>
      </c>
    </row>
    <row r="8" spans="1:23" x14ac:dyDescent="0.25">
      <c r="A8" s="23" t="s">
        <v>56</v>
      </c>
      <c r="B8" s="15" t="s">
        <v>13</v>
      </c>
      <c r="C8" s="11" t="s">
        <v>8</v>
      </c>
      <c r="D8">
        <v>779.47500000000002</v>
      </c>
      <c r="E8" s="10">
        <v>55.183999999999997</v>
      </c>
      <c r="F8">
        <v>73.231899999999996</v>
      </c>
      <c r="G8" s="11" t="s">
        <v>9</v>
      </c>
      <c r="H8">
        <v>377.43799999999999</v>
      </c>
      <c r="I8" s="20">
        <v>-38.630000000000003</v>
      </c>
      <c r="J8">
        <v>-89.547799999999995</v>
      </c>
      <c r="K8" s="18">
        <f>SUM(D8:D11)/2</f>
        <v>1943.9044999999999</v>
      </c>
      <c r="L8" s="18">
        <f>SUM(E8:E11)</f>
        <v>338.30099999999999</v>
      </c>
      <c r="M8" s="18">
        <f>SUM(F8:F11)</f>
        <v>631.72070000000008</v>
      </c>
      <c r="N8" s="18">
        <f>M8/K8</f>
        <v>0.32497517239144214</v>
      </c>
      <c r="O8" s="18">
        <f>SQRT(K8^2+L8^2)</f>
        <v>1973.122467491881</v>
      </c>
      <c r="P8" s="18">
        <f>SUM(H8:H11)</f>
        <v>2627.4160000000002</v>
      </c>
      <c r="Q8" s="18">
        <f>SUM(I8:I11)</f>
        <v>-338.29899999999998</v>
      </c>
      <c r="R8" s="18">
        <f>ABS(SUM(J8:J11))</f>
        <v>631.72239999999999</v>
      </c>
      <c r="S8" s="18">
        <f>R8/P8</f>
        <v>0.24043486071486203</v>
      </c>
      <c r="T8" s="18">
        <f>SQRT(O8^2+P8^2)</f>
        <v>3285.8069189739754</v>
      </c>
      <c r="U8" s="18">
        <f>K12</f>
        <v>2285.3420000000001</v>
      </c>
      <c r="V8" s="18">
        <f>L12</f>
        <v>321.23999999999995</v>
      </c>
      <c r="W8" s="18">
        <f>M12</f>
        <v>599.92480000000012</v>
      </c>
    </row>
    <row r="9" spans="1:23" x14ac:dyDescent="0.25">
      <c r="A9" s="23"/>
      <c r="B9" s="15" t="s">
        <v>23</v>
      </c>
      <c r="C9" s="11" t="s">
        <v>8</v>
      </c>
      <c r="D9">
        <v>1164.4580000000001</v>
      </c>
      <c r="E9" s="10">
        <v>132.82599999999999</v>
      </c>
      <c r="F9">
        <v>224.40010000000001</v>
      </c>
      <c r="G9" s="11" t="s">
        <v>9</v>
      </c>
      <c r="H9">
        <v>936.298</v>
      </c>
      <c r="I9" s="20">
        <v>-111.66</v>
      </c>
      <c r="J9">
        <v>-244.54169999999999</v>
      </c>
      <c r="K9" s="18"/>
      <c r="L9" s="18"/>
      <c r="M9" s="18"/>
      <c r="P9" s="18"/>
      <c r="Q9" s="18"/>
      <c r="R9" s="18"/>
      <c r="S9"/>
      <c r="T9" s="18"/>
      <c r="U9" s="18">
        <f>P12</f>
        <v>3199.1580000000004</v>
      </c>
      <c r="V9" s="18">
        <f>Q12</f>
        <v>-321.24</v>
      </c>
      <c r="W9" s="18">
        <f>R12</f>
        <v>599.92280000000005</v>
      </c>
    </row>
    <row r="10" spans="1:23" x14ac:dyDescent="0.25">
      <c r="A10" s="23"/>
      <c r="B10" s="15" t="s">
        <v>28</v>
      </c>
      <c r="C10" s="11" t="s">
        <v>8</v>
      </c>
      <c r="D10">
        <v>1163.99</v>
      </c>
      <c r="E10" s="10">
        <v>111.65900000000001</v>
      </c>
      <c r="F10">
        <v>244.54259999999999</v>
      </c>
      <c r="G10" s="11" t="s">
        <v>9</v>
      </c>
      <c r="H10">
        <v>935.83100000000002</v>
      </c>
      <c r="I10" s="20">
        <v>-132.827</v>
      </c>
      <c r="J10">
        <v>-224.39920000000001</v>
      </c>
      <c r="K10" s="18"/>
      <c r="L10" s="18"/>
      <c r="M10" s="18"/>
      <c r="P10" s="18"/>
      <c r="Q10" s="18"/>
      <c r="R10" s="18"/>
      <c r="S10"/>
      <c r="T10" s="18"/>
      <c r="U10" s="18">
        <f>K16</f>
        <v>2292.9994999999999</v>
      </c>
      <c r="V10" s="18">
        <f>L16</f>
        <v>354.48600000000005</v>
      </c>
      <c r="W10" s="18">
        <f>M16</f>
        <v>662.04259999999999</v>
      </c>
    </row>
    <row r="11" spans="1:23" x14ac:dyDescent="0.25">
      <c r="A11" s="23"/>
      <c r="B11" s="15" t="s">
        <v>18</v>
      </c>
      <c r="C11" s="11" t="s">
        <v>8</v>
      </c>
      <c r="D11">
        <v>779.88599999999997</v>
      </c>
      <c r="E11" s="10">
        <v>38.631999999999998</v>
      </c>
      <c r="F11">
        <v>89.546099999999996</v>
      </c>
      <c r="G11" s="11" t="s">
        <v>9</v>
      </c>
      <c r="H11">
        <v>377.84899999999999</v>
      </c>
      <c r="I11" s="20">
        <v>-55.182000000000002</v>
      </c>
      <c r="J11">
        <v>-73.233699999999999</v>
      </c>
      <c r="K11" s="18"/>
      <c r="L11" s="18"/>
      <c r="M11" s="18"/>
      <c r="P11" s="18"/>
      <c r="Q11" s="18"/>
      <c r="R11" s="18"/>
      <c r="S11"/>
      <c r="T11" s="18"/>
      <c r="U11" s="18">
        <f>P16</f>
        <v>3130.9549999999999</v>
      </c>
      <c r="V11" s="18">
        <f>Q16</f>
        <v>-354.48700000000002</v>
      </c>
      <c r="W11" s="18">
        <f>R16</f>
        <v>662.04169999999999</v>
      </c>
    </row>
    <row r="12" spans="1:23" x14ac:dyDescent="0.25">
      <c r="A12" s="23" t="s">
        <v>57</v>
      </c>
      <c r="B12" s="15" t="s">
        <v>12</v>
      </c>
      <c r="C12" s="11" t="s">
        <v>8</v>
      </c>
      <c r="D12">
        <v>896.63800000000003</v>
      </c>
      <c r="E12" s="10">
        <v>54.128999999999998</v>
      </c>
      <c r="F12">
        <v>67.869</v>
      </c>
      <c r="G12" s="11" t="s">
        <v>9</v>
      </c>
      <c r="H12">
        <v>450.69299999999998</v>
      </c>
      <c r="I12" s="20">
        <v>-34.979999999999997</v>
      </c>
      <c r="J12">
        <v>-86.741600000000005</v>
      </c>
      <c r="K12" s="18">
        <f>SUM(D12:D15)/2</f>
        <v>2285.3420000000001</v>
      </c>
      <c r="L12" s="18">
        <f>SUM(E12:E15)</f>
        <v>321.23999999999995</v>
      </c>
      <c r="M12" s="18">
        <f>SUM(F12:F15)</f>
        <v>599.92480000000012</v>
      </c>
      <c r="N12" s="18">
        <f>M12/K12</f>
        <v>0.26250985629284374</v>
      </c>
      <c r="O12" s="18">
        <f>SQRT(K12^2+L12^2)</f>
        <v>2307.8091763757247</v>
      </c>
      <c r="P12" s="18">
        <f>SUM(H12:H15)</f>
        <v>3199.1580000000004</v>
      </c>
      <c r="Q12" s="18">
        <f>SUM(I12:I15)</f>
        <v>-321.24</v>
      </c>
      <c r="R12" s="18">
        <f>ABS(SUM(J12:J15))</f>
        <v>599.92280000000005</v>
      </c>
      <c r="S12" s="18">
        <f>R12/P12</f>
        <v>0.18752521757287385</v>
      </c>
      <c r="T12" s="18">
        <f>SQRT(O12^2+P12^2)</f>
        <v>3944.6920163084983</v>
      </c>
      <c r="U12" s="18">
        <f>K20</f>
        <v>1505.6085</v>
      </c>
      <c r="V12" s="18">
        <f t="shared" ref="V12:W12" si="0">L20</f>
        <v>384.73899999999998</v>
      </c>
      <c r="W12" s="18">
        <f t="shared" si="0"/>
        <v>717.73500000000001</v>
      </c>
    </row>
    <row r="13" spans="1:23" x14ac:dyDescent="0.25">
      <c r="A13" s="23"/>
      <c r="B13" s="15" t="s">
        <v>22</v>
      </c>
      <c r="C13" s="11" t="s">
        <v>8</v>
      </c>
      <c r="D13">
        <v>1388.6690000000001</v>
      </c>
      <c r="E13" s="10">
        <v>128.48599999999999</v>
      </c>
      <c r="F13">
        <v>210.8374</v>
      </c>
      <c r="G13" s="11" t="s">
        <v>9</v>
      </c>
      <c r="H13">
        <v>1148.8510000000001</v>
      </c>
      <c r="I13" s="20">
        <v>-103.645</v>
      </c>
      <c r="J13">
        <v>-234.47579999999999</v>
      </c>
      <c r="K13" s="18"/>
      <c r="L13" s="18"/>
      <c r="M13" s="18"/>
      <c r="P13" s="18"/>
      <c r="Q13" s="18"/>
      <c r="R13" s="18"/>
      <c r="S13"/>
      <c r="T13" s="18"/>
      <c r="U13" s="18">
        <f>P20</f>
        <v>1206.2099999999998</v>
      </c>
      <c r="V13" s="18">
        <f t="shared" ref="V13:W13" si="1">Q20</f>
        <v>-384.73500000000001</v>
      </c>
      <c r="W13" s="18">
        <f t="shared" si="1"/>
        <v>717.7408999999999</v>
      </c>
    </row>
    <row r="14" spans="1:23" x14ac:dyDescent="0.25">
      <c r="A14" s="23"/>
      <c r="B14" s="15" t="s">
        <v>27</v>
      </c>
      <c r="C14" s="11" t="s">
        <v>8</v>
      </c>
      <c r="D14">
        <v>1388.8620000000001</v>
      </c>
      <c r="E14" s="10">
        <v>103.646</v>
      </c>
      <c r="F14">
        <v>234.4753</v>
      </c>
      <c r="G14" s="11" t="s">
        <v>9</v>
      </c>
      <c r="H14">
        <v>1149.0440000000001</v>
      </c>
      <c r="I14" s="20">
        <v>-128.48500000000001</v>
      </c>
      <c r="J14">
        <v>-210.83789999999999</v>
      </c>
      <c r="K14" s="18"/>
      <c r="L14" s="18"/>
      <c r="M14" s="18"/>
      <c r="P14" s="18"/>
      <c r="Q14" s="18"/>
      <c r="R14" s="18"/>
      <c r="S14"/>
      <c r="T14" s="18"/>
    </row>
    <row r="15" spans="1:23" x14ac:dyDescent="0.25">
      <c r="A15" s="23"/>
      <c r="B15" s="15" t="s">
        <v>17</v>
      </c>
      <c r="C15" s="11" t="s">
        <v>8</v>
      </c>
      <c r="D15">
        <v>896.51499999999999</v>
      </c>
      <c r="E15" s="10">
        <v>34.978999999999999</v>
      </c>
      <c r="F15">
        <v>86.743099999999998</v>
      </c>
      <c r="G15" s="11" t="s">
        <v>9</v>
      </c>
      <c r="H15">
        <v>450.57</v>
      </c>
      <c r="I15" s="20">
        <v>-54.13</v>
      </c>
      <c r="J15">
        <v>-67.867500000000007</v>
      </c>
      <c r="K15" s="18"/>
      <c r="L15" s="18"/>
      <c r="M15" s="18"/>
      <c r="P15" s="18"/>
      <c r="Q15" s="18"/>
      <c r="R15" s="18"/>
      <c r="S15"/>
      <c r="T15" s="18"/>
    </row>
    <row r="16" spans="1:23" x14ac:dyDescent="0.25">
      <c r="A16" s="23" t="s">
        <v>60</v>
      </c>
      <c r="B16" s="15" t="s">
        <v>11</v>
      </c>
      <c r="C16" s="11" t="s">
        <v>8</v>
      </c>
      <c r="D16">
        <v>914.87900000000002</v>
      </c>
      <c r="E16" s="10">
        <v>58.494999999999997</v>
      </c>
      <c r="F16">
        <v>76.110100000000003</v>
      </c>
      <c r="G16" s="11" t="s">
        <v>9</v>
      </c>
      <c r="H16">
        <v>434.21300000000002</v>
      </c>
      <c r="I16" s="20">
        <v>-39.832000000000001</v>
      </c>
      <c r="J16">
        <v>-94.504300000000001</v>
      </c>
      <c r="K16" s="18">
        <f>SUM(D16:D19)/2</f>
        <v>2292.9994999999999</v>
      </c>
      <c r="L16" s="18">
        <f>SUM(E16:E19)</f>
        <v>354.48600000000005</v>
      </c>
      <c r="M16" s="18">
        <f>SUM(F16:F19)</f>
        <v>662.04259999999999</v>
      </c>
      <c r="N16" s="18">
        <f>M16/K16</f>
        <v>0.28872339483719905</v>
      </c>
      <c r="O16" s="18">
        <f>SQRT(K16^2+L16^2)</f>
        <v>2320.2385720430239</v>
      </c>
      <c r="P16" s="18">
        <f>SUM(H16:H19)</f>
        <v>3130.9549999999999</v>
      </c>
      <c r="Q16" s="18">
        <f>SUM(I16:I19)</f>
        <v>-354.48700000000002</v>
      </c>
      <c r="R16" s="18">
        <f>ABS(SUM(J16:J19))</f>
        <v>662.04169999999999</v>
      </c>
      <c r="S16" s="18">
        <f>R16/P16</f>
        <v>0.21145040410992813</v>
      </c>
      <c r="T16" s="18">
        <f>SQRT(O16^2+P16^2)</f>
        <v>3896.9714193487807</v>
      </c>
    </row>
    <row r="17" spans="1:20" x14ac:dyDescent="0.25">
      <c r="A17" s="23"/>
      <c r="B17" s="15" t="s">
        <v>21</v>
      </c>
      <c r="C17" s="11" t="s">
        <v>8</v>
      </c>
      <c r="D17">
        <v>1378.127</v>
      </c>
      <c r="E17" s="10">
        <v>139.88200000000001</v>
      </c>
      <c r="F17">
        <v>234.48249999999999</v>
      </c>
      <c r="G17" s="11" t="s">
        <v>9</v>
      </c>
      <c r="H17">
        <v>1131.271</v>
      </c>
      <c r="I17" s="20">
        <v>-116.277</v>
      </c>
      <c r="J17">
        <v>-256.94510000000002</v>
      </c>
      <c r="K17" s="18"/>
      <c r="L17" s="18"/>
      <c r="M17" s="18"/>
      <c r="P17" s="18"/>
      <c r="Q17" s="18"/>
      <c r="R17" s="18"/>
      <c r="S17"/>
      <c r="T17" s="18"/>
    </row>
    <row r="18" spans="1:20" x14ac:dyDescent="0.25">
      <c r="A18" s="23"/>
      <c r="B18" s="15" t="s">
        <v>26</v>
      </c>
      <c r="C18" s="11" t="s">
        <v>8</v>
      </c>
      <c r="D18">
        <v>1378.4069999999999</v>
      </c>
      <c r="E18" s="10">
        <v>116.27800000000001</v>
      </c>
      <c r="F18">
        <v>256.94380000000001</v>
      </c>
      <c r="G18" s="11" t="s">
        <v>9</v>
      </c>
      <c r="H18">
        <v>1131.5509999999999</v>
      </c>
      <c r="I18" s="20">
        <v>-139.881</v>
      </c>
      <c r="J18">
        <v>-234.48400000000001</v>
      </c>
      <c r="K18" s="18"/>
      <c r="L18" s="18"/>
      <c r="M18" s="18"/>
      <c r="P18" s="18"/>
      <c r="Q18" s="18"/>
      <c r="R18" s="18"/>
      <c r="S18"/>
      <c r="T18" s="18"/>
    </row>
    <row r="19" spans="1:20" x14ac:dyDescent="0.25">
      <c r="A19" s="23"/>
      <c r="B19" s="15" t="s">
        <v>16</v>
      </c>
      <c r="C19" s="11" t="s">
        <v>8</v>
      </c>
      <c r="D19">
        <v>914.58600000000001</v>
      </c>
      <c r="E19" s="10">
        <v>39.831000000000003</v>
      </c>
      <c r="F19">
        <v>94.506200000000007</v>
      </c>
      <c r="G19" s="11" t="s">
        <v>9</v>
      </c>
      <c r="H19">
        <v>433.92</v>
      </c>
      <c r="I19" s="20">
        <v>-58.497</v>
      </c>
      <c r="J19">
        <v>-76.1083</v>
      </c>
      <c r="K19" s="18"/>
      <c r="L19" s="18"/>
      <c r="M19" s="18"/>
      <c r="P19" s="18"/>
      <c r="Q19" s="18"/>
      <c r="R19" s="18"/>
      <c r="S19"/>
      <c r="T19" s="18"/>
    </row>
    <row r="20" spans="1:20" x14ac:dyDescent="0.25">
      <c r="A20" s="23" t="s">
        <v>61</v>
      </c>
      <c r="B20" s="15" t="s">
        <v>10</v>
      </c>
      <c r="C20" s="11" t="s">
        <v>8</v>
      </c>
      <c r="D20">
        <v>664.58</v>
      </c>
      <c r="E20" s="10">
        <v>59.390999999999998</v>
      </c>
      <c r="F20">
        <v>86.709400000000002</v>
      </c>
      <c r="G20" s="11" t="s">
        <v>9</v>
      </c>
      <c r="H20">
        <v>100.033</v>
      </c>
      <c r="I20" s="20">
        <v>-47.49</v>
      </c>
      <c r="J20">
        <v>-98.438999999999993</v>
      </c>
      <c r="K20" s="18">
        <f>SUM(D20:D23)/2</f>
        <v>1505.6085</v>
      </c>
      <c r="L20" s="18">
        <f>SUM(E20:E23)</f>
        <v>384.73899999999998</v>
      </c>
      <c r="M20" s="18">
        <f>SUM(F20:F23)</f>
        <v>717.73500000000001</v>
      </c>
      <c r="N20" s="18">
        <f>M20/K20</f>
        <v>0.47670759031979426</v>
      </c>
      <c r="O20" s="18">
        <f>SQRT(K20^2+L20^2)</f>
        <v>1553.9887558773553</v>
      </c>
      <c r="P20" s="18">
        <f>SUM(H20:H23)</f>
        <v>1206.2099999999998</v>
      </c>
      <c r="Q20" s="18">
        <f>SUM(I20:I23)</f>
        <v>-384.73500000000001</v>
      </c>
      <c r="R20" s="18">
        <f>ABS(SUM(J20:J23))</f>
        <v>717.7408999999999</v>
      </c>
      <c r="S20" s="18">
        <f>R20/P20</f>
        <v>0.5950380945274869</v>
      </c>
      <c r="T20" s="18">
        <f>SQRT(O20^2+P20^2)</f>
        <v>1967.1867266462657</v>
      </c>
    </row>
    <row r="21" spans="1:20" x14ac:dyDescent="0.25">
      <c r="A21" s="23"/>
      <c r="B21" s="15" t="s">
        <v>20</v>
      </c>
      <c r="C21" s="11" t="s">
        <v>8</v>
      </c>
      <c r="D21">
        <v>840.73400000000004</v>
      </c>
      <c r="E21" s="10">
        <v>145.44</v>
      </c>
      <c r="F21">
        <v>260.09769999999997</v>
      </c>
      <c r="G21" s="11" t="s">
        <v>9</v>
      </c>
      <c r="H21">
        <v>502.779</v>
      </c>
      <c r="I21" s="20">
        <v>-132.416</v>
      </c>
      <c r="J21">
        <v>-272.49189999999999</v>
      </c>
    </row>
    <row r="22" spans="1:20" x14ac:dyDescent="0.25">
      <c r="A22" s="23"/>
      <c r="B22" s="15" t="s">
        <v>25</v>
      </c>
      <c r="C22" s="11" t="s">
        <v>8</v>
      </c>
      <c r="D22">
        <v>840.78300000000002</v>
      </c>
      <c r="E22" s="10">
        <v>132.417</v>
      </c>
      <c r="F22">
        <v>272.49009999999998</v>
      </c>
      <c r="G22" s="11" t="s">
        <v>9</v>
      </c>
      <c r="H22">
        <v>502.82799999999997</v>
      </c>
      <c r="I22" s="20">
        <v>-145.43899999999999</v>
      </c>
      <c r="J22">
        <v>-260.0994</v>
      </c>
    </row>
    <row r="23" spans="1:20" x14ac:dyDescent="0.25">
      <c r="A23" s="23"/>
      <c r="B23" s="15" t="s">
        <v>15</v>
      </c>
      <c r="C23" s="11" t="s">
        <v>8</v>
      </c>
      <c r="D23">
        <v>665.12</v>
      </c>
      <c r="E23" s="10">
        <v>47.491</v>
      </c>
      <c r="F23">
        <v>98.437799999999996</v>
      </c>
      <c r="G23" s="11" t="s">
        <v>9</v>
      </c>
      <c r="H23">
        <v>100.57</v>
      </c>
      <c r="I23" s="20">
        <v>-59.39</v>
      </c>
      <c r="J23">
        <v>-86.710599999999999</v>
      </c>
    </row>
    <row r="24" spans="1:20" x14ac:dyDescent="0.25">
      <c r="B24" s="12"/>
    </row>
  </sheetData>
  <sortState xmlns:xlrd2="http://schemas.microsoft.com/office/spreadsheetml/2017/richdata2" ref="B4:F43">
    <sortCondition ref="C4:C43"/>
  </sortState>
  <mergeCells count="6">
    <mergeCell ref="A20:A23"/>
    <mergeCell ref="B1:J1"/>
    <mergeCell ref="A4:A7"/>
    <mergeCell ref="A8:A11"/>
    <mergeCell ref="A12:A15"/>
    <mergeCell ref="A16:A19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CDBE-2231-43AD-BEF6-3B7F8B5D990C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7109375" style="2" bestFit="1" customWidth="1"/>
    <col min="4" max="4" width="23.7109375" style="2" bestFit="1" customWidth="1"/>
    <col min="5" max="5" width="10" style="2" bestFit="1" customWidth="1"/>
    <col min="6" max="6" width="9.7109375" style="2" bestFit="1" customWidth="1"/>
    <col min="7" max="7" width="9.85546875" style="2" bestFit="1" customWidth="1"/>
    <col min="8" max="8" width="9.42578125" style="2" bestFit="1" customWidth="1"/>
    <col min="9" max="9" width="11.140625" style="2" bestFit="1" customWidth="1"/>
    <col min="10" max="10" width="10.140625" style="2" bestFit="1" customWidth="1"/>
    <col min="11" max="11" width="12.28515625" style="2" bestFit="1" customWidth="1"/>
    <col min="12" max="12" width="10.7109375" style="2" bestFit="1" customWidth="1"/>
    <col min="13" max="13" width="11.7109375" style="2" bestFit="1" customWidth="1"/>
  </cols>
  <sheetData>
    <row r="1" spans="1:13" x14ac:dyDescent="0.25">
      <c r="A1" s="1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4" t="s">
        <v>30</v>
      </c>
      <c r="B2" s="4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4" t="s">
        <v>37</v>
      </c>
      <c r="I2" s="4" t="s">
        <v>38</v>
      </c>
      <c r="J2" s="4" t="s">
        <v>39</v>
      </c>
      <c r="K2" s="4" t="s">
        <v>40</v>
      </c>
      <c r="L2" s="4" t="s">
        <v>41</v>
      </c>
      <c r="M2" s="4" t="s">
        <v>42</v>
      </c>
    </row>
    <row r="3" spans="1:13" x14ac:dyDescent="0.25">
      <c r="A3" s="5" t="s">
        <v>4</v>
      </c>
      <c r="B3" s="5" t="s">
        <v>4</v>
      </c>
      <c r="C3" s="7" t="s">
        <v>4</v>
      </c>
      <c r="D3" s="7" t="s">
        <v>4</v>
      </c>
      <c r="E3" s="7" t="s">
        <v>4</v>
      </c>
      <c r="F3" s="7" t="s">
        <v>4</v>
      </c>
      <c r="G3" s="7" t="s">
        <v>4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spans="1:13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CDS TRAVI in X</vt:lpstr>
      <vt:lpstr>CDS TRAVI IN Y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2019-10-21T08:55:13Z</dcterms:created>
  <dcterms:modified xsi:type="dcterms:W3CDTF">2019-10-22T11:32:27Z</dcterms:modified>
</cp:coreProperties>
</file>