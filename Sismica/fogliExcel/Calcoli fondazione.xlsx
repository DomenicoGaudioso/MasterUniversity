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458C38F1-D7E1-43D1-85B3-2A7126222E2C}" xr6:coauthVersionLast="44" xr6:coauthVersionMax="44" xr10:uidLastSave="{00000000-0000-0000-0000-000000000000}"/>
  <bookViews>
    <workbookView xWindow="-120" yWindow="-120" windowWidth="20730" windowHeight="11160" activeTab="1" xr2:uid="{B79B89D5-7FB3-4679-B212-B8181FAA1DB9}"/>
  </bookViews>
  <sheets>
    <sheet name="Propietà terreno e Gazetas" sheetId="31" r:id="rId1"/>
    <sheet name="Baricentro sezione e armatura" sheetId="30" r:id="rId2"/>
    <sheet name="Forze totale sisma su fonda" sheetId="32" r:id="rId3"/>
    <sheet name="VERIFICHE(DREANATO)X sisma " sheetId="33" r:id="rId4"/>
    <sheet name="VERIFICHE(DREANATO)Y sisma" sheetId="29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1" i="30" l="1"/>
  <c r="B21" i="33" l="1"/>
  <c r="B17" i="31"/>
  <c r="B2" i="31"/>
  <c r="B47" i="30" l="1"/>
  <c r="B24" i="30" l="1"/>
  <c r="B30" i="30"/>
  <c r="B29" i="30"/>
  <c r="B21" i="30"/>
  <c r="E15" i="30" l="1"/>
  <c r="D14" i="33" l="1"/>
  <c r="C55" i="30"/>
  <c r="B55" i="30"/>
  <c r="B48" i="30"/>
  <c r="B43" i="30"/>
  <c r="B49" i="30" s="1"/>
  <c r="B40" i="30"/>
  <c r="B39" i="30"/>
  <c r="B37" i="30"/>
  <c r="B38" i="30"/>
  <c r="B16" i="31"/>
  <c r="B19" i="31"/>
  <c r="B20" i="31" s="1"/>
  <c r="B21" i="31" s="1"/>
  <c r="B44" i="30" l="1"/>
  <c r="B50" i="30"/>
  <c r="B22" i="31"/>
  <c r="B18" i="31"/>
  <c r="B24" i="31"/>
  <c r="B52" i="30" l="1"/>
  <c r="B53" i="30" s="1"/>
  <c r="T36" i="33"/>
  <c r="R36" i="33"/>
  <c r="P36" i="33"/>
  <c r="N36" i="33"/>
  <c r="L36" i="33"/>
  <c r="J36" i="33"/>
  <c r="H36" i="33"/>
  <c r="F36" i="33"/>
  <c r="N34" i="33"/>
  <c r="F34" i="33"/>
  <c r="B28" i="33"/>
  <c r="T34" i="33" s="1"/>
  <c r="T27" i="33"/>
  <c r="R27" i="33"/>
  <c r="P27" i="33"/>
  <c r="N27" i="33"/>
  <c r="L27" i="33"/>
  <c r="J27" i="33"/>
  <c r="H27" i="33"/>
  <c r="F27" i="33"/>
  <c r="B17" i="33"/>
  <c r="B16" i="33"/>
  <c r="B10" i="33"/>
  <c r="T7" i="33"/>
  <c r="R7" i="33"/>
  <c r="P7" i="33"/>
  <c r="N7" i="33"/>
  <c r="L7" i="33"/>
  <c r="J7" i="33"/>
  <c r="H7" i="33"/>
  <c r="F7" i="33"/>
  <c r="B7" i="33"/>
  <c r="B6" i="33"/>
  <c r="B18" i="33" s="1"/>
  <c r="B6" i="29"/>
  <c r="B11" i="29" s="1"/>
  <c r="B7" i="29"/>
  <c r="B10" i="29"/>
  <c r="G15" i="32"/>
  <c r="G14" i="32"/>
  <c r="P3" i="33" s="1"/>
  <c r="G13" i="32"/>
  <c r="L3" i="33" s="1"/>
  <c r="G12" i="32"/>
  <c r="H3" i="33" s="1"/>
  <c r="G8" i="32"/>
  <c r="G7" i="32"/>
  <c r="G6" i="32"/>
  <c r="G5" i="32"/>
  <c r="G4" i="32"/>
  <c r="B15" i="32"/>
  <c r="B14" i="32"/>
  <c r="N3" i="33" s="1"/>
  <c r="B13" i="32"/>
  <c r="J3" i="33" s="1"/>
  <c r="B12" i="32"/>
  <c r="F3" i="33" s="1"/>
  <c r="B8" i="32"/>
  <c r="B7" i="32"/>
  <c r="B6" i="32"/>
  <c r="B5" i="32"/>
  <c r="B4" i="32"/>
  <c r="T3" i="33" l="1"/>
  <c r="C53" i="30"/>
  <c r="B19" i="33"/>
  <c r="B8" i="29"/>
  <c r="R3" i="33"/>
  <c r="B11" i="33"/>
  <c r="F35" i="33"/>
  <c r="T38" i="33"/>
  <c r="T35" i="33"/>
  <c r="N35" i="33"/>
  <c r="F38" i="33"/>
  <c r="N38" i="33"/>
  <c r="B8" i="33"/>
  <c r="B9" i="33" s="1"/>
  <c r="B14" i="33" s="1"/>
  <c r="H34" i="33"/>
  <c r="P34" i="33"/>
  <c r="J34" i="33"/>
  <c r="R34" i="33"/>
  <c r="L34" i="33"/>
  <c r="X36" i="29"/>
  <c r="V36" i="29"/>
  <c r="T36" i="29"/>
  <c r="R36" i="29"/>
  <c r="P36" i="29"/>
  <c r="N36" i="29"/>
  <c r="L36" i="29"/>
  <c r="J36" i="29"/>
  <c r="H36" i="29"/>
  <c r="T35" i="29"/>
  <c r="L35" i="29"/>
  <c r="X34" i="29"/>
  <c r="X35" i="29" s="1"/>
  <c r="V34" i="29"/>
  <c r="T34" i="29"/>
  <c r="T38" i="29" s="1"/>
  <c r="R34" i="29"/>
  <c r="R35" i="29" s="1"/>
  <c r="P34" i="29"/>
  <c r="P35" i="29" s="1"/>
  <c r="N34" i="29"/>
  <c r="L34" i="29"/>
  <c r="L38" i="29" s="1"/>
  <c r="J34" i="29"/>
  <c r="J35" i="29" s="1"/>
  <c r="H34" i="29"/>
  <c r="H35" i="29" s="1"/>
  <c r="X27" i="29"/>
  <c r="V27" i="29"/>
  <c r="T27" i="29"/>
  <c r="R27" i="29"/>
  <c r="P27" i="29"/>
  <c r="N27" i="29"/>
  <c r="L27" i="29"/>
  <c r="J27" i="29"/>
  <c r="H27" i="29"/>
  <c r="X7" i="29"/>
  <c r="V7" i="29"/>
  <c r="T7" i="29"/>
  <c r="R7" i="29"/>
  <c r="P7" i="29"/>
  <c r="N7" i="29"/>
  <c r="L7" i="29"/>
  <c r="J7" i="29"/>
  <c r="H7" i="29"/>
  <c r="J3" i="29"/>
  <c r="F7" i="29"/>
  <c r="H12" i="32"/>
  <c r="H4" i="33" s="1"/>
  <c r="I12" i="32"/>
  <c r="H13" i="32"/>
  <c r="L4" i="33" s="1"/>
  <c r="I13" i="32"/>
  <c r="H14" i="32"/>
  <c r="I14" i="32"/>
  <c r="H15" i="32"/>
  <c r="I15" i="32"/>
  <c r="C12" i="32"/>
  <c r="F4" i="33" s="1"/>
  <c r="D12" i="32"/>
  <c r="C13" i="32"/>
  <c r="J4" i="33" s="1"/>
  <c r="D13" i="32"/>
  <c r="C14" i="32"/>
  <c r="D14" i="32"/>
  <c r="C15" i="32"/>
  <c r="D15" i="32"/>
  <c r="H4" i="32"/>
  <c r="H4" i="29" s="1"/>
  <c r="I4" i="32"/>
  <c r="H5" i="32"/>
  <c r="L4" i="29" s="1"/>
  <c r="I5" i="32"/>
  <c r="H6" i="32"/>
  <c r="P4" i="29" s="1"/>
  <c r="I6" i="32"/>
  <c r="H7" i="32"/>
  <c r="T4" i="29" s="1"/>
  <c r="I7" i="32"/>
  <c r="H8" i="32"/>
  <c r="X4" i="29" s="1"/>
  <c r="I8" i="32"/>
  <c r="C5" i="32"/>
  <c r="J4" i="29" s="1"/>
  <c r="D5" i="32"/>
  <c r="C6" i="32"/>
  <c r="N4" i="29" s="1"/>
  <c r="D6" i="32"/>
  <c r="C7" i="32"/>
  <c r="R4" i="29" s="1"/>
  <c r="D7" i="32"/>
  <c r="C8" i="32"/>
  <c r="V4" i="29" s="1"/>
  <c r="D8" i="32"/>
  <c r="C4" i="32"/>
  <c r="F4" i="29" s="1"/>
  <c r="D4" i="32"/>
  <c r="V3" i="29"/>
  <c r="R3" i="29"/>
  <c r="N3" i="29"/>
  <c r="X3" i="29"/>
  <c r="T3" i="29"/>
  <c r="P3" i="29"/>
  <c r="L3" i="29"/>
  <c r="H3" i="29"/>
  <c r="F3" i="29"/>
  <c r="F36" i="29"/>
  <c r="B28" i="29"/>
  <c r="B9" i="29" l="1"/>
  <c r="B12" i="29" s="1"/>
  <c r="R4" i="33"/>
  <c r="N4" i="33"/>
  <c r="P4" i="33"/>
  <c r="T4" i="33"/>
  <c r="R38" i="33"/>
  <c r="R35" i="33"/>
  <c r="B12" i="33"/>
  <c r="H35" i="33"/>
  <c r="H38" i="33"/>
  <c r="J38" i="33"/>
  <c r="J35" i="33"/>
  <c r="L38" i="33"/>
  <c r="L35" i="33"/>
  <c r="P35" i="33"/>
  <c r="P38" i="33"/>
  <c r="N35" i="29"/>
  <c r="V35" i="29"/>
  <c r="H38" i="29"/>
  <c r="P38" i="29"/>
  <c r="X38" i="29"/>
  <c r="V38" i="29"/>
  <c r="J38" i="29"/>
  <c r="R38" i="29"/>
  <c r="N38" i="29"/>
  <c r="F34" i="29"/>
  <c r="F38" i="29" s="1"/>
  <c r="F35" i="29"/>
  <c r="E15" i="32" l="1"/>
  <c r="F15" i="32"/>
  <c r="K15" i="32"/>
  <c r="J15" i="32"/>
  <c r="E13" i="32"/>
  <c r="J5" i="33" s="1"/>
  <c r="J8" i="33" s="1"/>
  <c r="F13" i="32"/>
  <c r="K13" i="32"/>
  <c r="L5" i="33" s="1"/>
  <c r="L8" i="33" s="1"/>
  <c r="J13" i="32"/>
  <c r="E14" i="32"/>
  <c r="F14" i="32"/>
  <c r="K14" i="32"/>
  <c r="J14" i="32"/>
  <c r="E12" i="32"/>
  <c r="F5" i="33" s="1"/>
  <c r="F8" i="33" s="1"/>
  <c r="F12" i="32"/>
  <c r="K12" i="32"/>
  <c r="H5" i="33" s="1"/>
  <c r="H8" i="33" s="1"/>
  <c r="J12" i="32"/>
  <c r="E8" i="32"/>
  <c r="V5" i="29" s="1"/>
  <c r="V8" i="29" s="1"/>
  <c r="F8" i="32"/>
  <c r="J8" i="32"/>
  <c r="K8" i="32"/>
  <c r="X5" i="29" s="1"/>
  <c r="X8" i="29" s="1"/>
  <c r="E5" i="32"/>
  <c r="J5" i="29" s="1"/>
  <c r="J8" i="29" s="1"/>
  <c r="F5" i="32"/>
  <c r="J5" i="32"/>
  <c r="K5" i="32"/>
  <c r="L5" i="29" s="1"/>
  <c r="L8" i="29" s="1"/>
  <c r="E6" i="32"/>
  <c r="N5" i="29" s="1"/>
  <c r="N8" i="29" s="1"/>
  <c r="F6" i="32"/>
  <c r="J6" i="32"/>
  <c r="K6" i="32"/>
  <c r="P5" i="29" s="1"/>
  <c r="P8" i="29" s="1"/>
  <c r="E7" i="32"/>
  <c r="R5" i="29" s="1"/>
  <c r="R8" i="29" s="1"/>
  <c r="F7" i="32"/>
  <c r="J7" i="32"/>
  <c r="K7" i="32"/>
  <c r="T5" i="29" s="1"/>
  <c r="T8" i="29" s="1"/>
  <c r="E4" i="32"/>
  <c r="F5" i="29" s="1"/>
  <c r="F8" i="29" s="1"/>
  <c r="F4" i="32"/>
  <c r="J4" i="32"/>
  <c r="K4" i="32"/>
  <c r="H5" i="29" s="1"/>
  <c r="H8" i="29" s="1"/>
  <c r="R22" i="29" l="1"/>
  <c r="R29" i="29"/>
  <c r="J22" i="29"/>
  <c r="J29" i="29"/>
  <c r="V22" i="29"/>
  <c r="V29" i="29"/>
  <c r="F22" i="33"/>
  <c r="F29" i="33"/>
  <c r="F44" i="33"/>
  <c r="R5" i="33"/>
  <c r="R8" i="33" s="1"/>
  <c r="N5" i="33"/>
  <c r="N8" i="33" s="1"/>
  <c r="J22" i="33"/>
  <c r="J29" i="33"/>
  <c r="H22" i="29"/>
  <c r="H29" i="29"/>
  <c r="H44" i="29"/>
  <c r="T22" i="29"/>
  <c r="T29" i="29"/>
  <c r="P22" i="29"/>
  <c r="P29" i="29"/>
  <c r="L29" i="29"/>
  <c r="L22" i="29"/>
  <c r="X22" i="29"/>
  <c r="X29" i="29"/>
  <c r="N29" i="29"/>
  <c r="N22" i="29"/>
  <c r="H29" i="33"/>
  <c r="H22" i="33"/>
  <c r="H44" i="33"/>
  <c r="P5" i="33"/>
  <c r="P8" i="33" s="1"/>
  <c r="T5" i="33"/>
  <c r="T8" i="33" s="1"/>
  <c r="L22" i="33"/>
  <c r="L29" i="33"/>
  <c r="F29" i="29"/>
  <c r="B16" i="29"/>
  <c r="B17" i="29"/>
  <c r="B4" i="31"/>
  <c r="B5" i="31" s="1"/>
  <c r="B6" i="31" s="1"/>
  <c r="B10" i="31"/>
  <c r="B11" i="31" s="1"/>
  <c r="B12" i="31" s="1"/>
  <c r="B8" i="31" l="1"/>
  <c r="E24" i="31"/>
  <c r="B25" i="31"/>
  <c r="B27" i="31" s="1"/>
  <c r="M24" i="31" s="1"/>
  <c r="B23" i="33"/>
  <c r="B21" i="29"/>
  <c r="B23" i="29" s="1"/>
  <c r="T14" i="29" s="1"/>
  <c r="X44" i="29" s="1"/>
  <c r="R22" i="33"/>
  <c r="R29" i="33"/>
  <c r="N22" i="33"/>
  <c r="N29" i="33"/>
  <c r="T29" i="33"/>
  <c r="T22" i="33"/>
  <c r="P29" i="33"/>
  <c r="P22" i="33"/>
  <c r="F22" i="29"/>
  <c r="B18" i="29"/>
  <c r="X13" i="29" l="1"/>
  <c r="X32" i="29" s="1"/>
  <c r="T12" i="29"/>
  <c r="T47" i="29" s="1"/>
  <c r="P11" i="29"/>
  <c r="H13" i="29"/>
  <c r="H32" i="29" s="1"/>
  <c r="X11" i="29"/>
  <c r="E26" i="31"/>
  <c r="H24" i="31"/>
  <c r="H26" i="31" s="1"/>
  <c r="X10" i="29"/>
  <c r="H14" i="29"/>
  <c r="L44" i="29" s="1"/>
  <c r="V11" i="29"/>
  <c r="F14" i="29"/>
  <c r="J44" i="29" s="1"/>
  <c r="N12" i="29"/>
  <c r="N47" i="29" s="1"/>
  <c r="L11" i="29"/>
  <c r="N14" i="29"/>
  <c r="R44" i="29" s="1"/>
  <c r="J10" i="29"/>
  <c r="T11" i="29"/>
  <c r="R10" i="29"/>
  <c r="R14" i="29"/>
  <c r="V44" i="29" s="1"/>
  <c r="T10" i="29"/>
  <c r="H10" i="29"/>
  <c r="J12" i="29"/>
  <c r="J47" i="29" s="1"/>
  <c r="V10" i="29"/>
  <c r="P14" i="29"/>
  <c r="T44" i="29" s="1"/>
  <c r="H11" i="29"/>
  <c r="V12" i="29"/>
  <c r="V47" i="29" s="1"/>
  <c r="J13" i="29"/>
  <c r="J32" i="29" s="1"/>
  <c r="J14" i="29"/>
  <c r="N44" i="29" s="1"/>
  <c r="P10" i="29"/>
  <c r="J11" i="29"/>
  <c r="L13" i="29"/>
  <c r="L32" i="29" s="1"/>
  <c r="P13" i="29"/>
  <c r="P32" i="29" s="1"/>
  <c r="R13" i="29"/>
  <c r="R32" i="29" s="1"/>
  <c r="P12" i="29"/>
  <c r="P47" i="29" s="1"/>
  <c r="T13" i="29"/>
  <c r="T32" i="29" s="1"/>
  <c r="R12" i="29"/>
  <c r="R47" i="29" s="1"/>
  <c r="N11" i="29"/>
  <c r="L10" i="29"/>
  <c r="V13" i="29"/>
  <c r="V32" i="29" s="1"/>
  <c r="N10" i="29"/>
  <c r="V14" i="29"/>
  <c r="L12" i="29"/>
  <c r="L47" i="29" s="1"/>
  <c r="X14" i="29"/>
  <c r="R11" i="29"/>
  <c r="H12" i="29"/>
  <c r="H47" i="29" s="1"/>
  <c r="L14" i="29"/>
  <c r="P44" i="29" s="1"/>
  <c r="N13" i="29"/>
  <c r="N32" i="29" s="1"/>
  <c r="X12" i="29"/>
  <c r="X47" i="29" s="1"/>
  <c r="J13" i="33"/>
  <c r="J32" i="33" s="1"/>
  <c r="R10" i="33"/>
  <c r="H13" i="33"/>
  <c r="J11" i="33"/>
  <c r="H14" i="33"/>
  <c r="L44" i="33" s="1"/>
  <c r="J12" i="33"/>
  <c r="F10" i="33"/>
  <c r="L13" i="33"/>
  <c r="L32" i="33" s="1"/>
  <c r="F11" i="33"/>
  <c r="N12" i="33"/>
  <c r="P13" i="33"/>
  <c r="P32" i="33" s="1"/>
  <c r="P14" i="33"/>
  <c r="T44" i="33" s="1"/>
  <c r="T13" i="33"/>
  <c r="T32" i="33" s="1"/>
  <c r="R13" i="33"/>
  <c r="R32" i="33" s="1"/>
  <c r="T11" i="33"/>
  <c r="R14" i="33"/>
  <c r="T12" i="33"/>
  <c r="P10" i="33"/>
  <c r="N13" i="33"/>
  <c r="N32" i="33" s="1"/>
  <c r="P11" i="33"/>
  <c r="N14" i="33"/>
  <c r="R44" i="33" s="1"/>
  <c r="P12" i="33"/>
  <c r="T10" i="33"/>
  <c r="N10" i="33"/>
  <c r="J10" i="33"/>
  <c r="F12" i="33"/>
  <c r="L14" i="33"/>
  <c r="P44" i="33" s="1"/>
  <c r="J14" i="33"/>
  <c r="N44" i="33" s="1"/>
  <c r="L12" i="33"/>
  <c r="H10" i="33"/>
  <c r="F13" i="33"/>
  <c r="N30" i="33" s="1"/>
  <c r="H11" i="33"/>
  <c r="F14" i="33"/>
  <c r="J44" i="33" s="1"/>
  <c r="H12" i="33"/>
  <c r="L10" i="33"/>
  <c r="L11" i="33"/>
  <c r="T14" i="33"/>
  <c r="R11" i="33"/>
  <c r="R12" i="33"/>
  <c r="N11" i="33"/>
  <c r="T16" i="29"/>
  <c r="T37" i="29"/>
  <c r="T39" i="29" s="1"/>
  <c r="V37" i="29"/>
  <c r="V39" i="29" s="1"/>
  <c r="B19" i="29"/>
  <c r="P16" i="33" l="1"/>
  <c r="H16" i="29"/>
  <c r="H17" i="29" s="1"/>
  <c r="X16" i="29"/>
  <c r="T18" i="29"/>
  <c r="V16" i="29"/>
  <c r="V17" i="29" s="1"/>
  <c r="N16" i="29"/>
  <c r="N18" i="29" s="1"/>
  <c r="R16" i="29"/>
  <c r="R18" i="29" s="1"/>
  <c r="P16" i="29"/>
  <c r="P18" i="29" s="1"/>
  <c r="N37" i="29"/>
  <c r="N39" i="29" s="1"/>
  <c r="J37" i="29"/>
  <c r="J39" i="29" s="1"/>
  <c r="J16" i="29"/>
  <c r="J17" i="29" s="1"/>
  <c r="X37" i="29"/>
  <c r="X39" i="29" s="1"/>
  <c r="H18" i="29"/>
  <c r="R37" i="29"/>
  <c r="R39" i="29" s="1"/>
  <c r="P17" i="29"/>
  <c r="P37" i="29"/>
  <c r="P39" i="29" s="1"/>
  <c r="L37" i="29"/>
  <c r="L39" i="29" s="1"/>
  <c r="H37" i="29"/>
  <c r="H39" i="29" s="1"/>
  <c r="N16" i="33"/>
  <c r="N17" i="33" s="1"/>
  <c r="H16" i="33"/>
  <c r="H18" i="33" s="1"/>
  <c r="L25" i="33" s="1"/>
  <c r="L16" i="29"/>
  <c r="R30" i="33"/>
  <c r="L16" i="33"/>
  <c r="L18" i="33" s="1"/>
  <c r="P25" i="33" s="1"/>
  <c r="P17" i="33"/>
  <c r="P18" i="33"/>
  <c r="T25" i="33" s="1"/>
  <c r="J16" i="33"/>
  <c r="R37" i="33"/>
  <c r="R39" i="33" s="1"/>
  <c r="R47" i="33"/>
  <c r="L30" i="33"/>
  <c r="F32" i="33"/>
  <c r="T30" i="33"/>
  <c r="F30" i="33"/>
  <c r="J30" i="33"/>
  <c r="P30" i="33"/>
  <c r="T16" i="33"/>
  <c r="L21" i="33"/>
  <c r="H21" i="33"/>
  <c r="F21" i="33"/>
  <c r="J21" i="33"/>
  <c r="R21" i="33"/>
  <c r="T21" i="33"/>
  <c r="P21" i="33"/>
  <c r="N21" i="33"/>
  <c r="H32" i="33"/>
  <c r="H30" i="33"/>
  <c r="R16" i="33"/>
  <c r="H37" i="33"/>
  <c r="H39" i="33" s="1"/>
  <c r="H47" i="33"/>
  <c r="F37" i="33"/>
  <c r="F39" i="33" s="1"/>
  <c r="F25" i="33"/>
  <c r="F47" i="33"/>
  <c r="H25" i="33"/>
  <c r="P37" i="33"/>
  <c r="P39" i="33" s="1"/>
  <c r="P47" i="33"/>
  <c r="N37" i="33"/>
  <c r="N39" i="33" s="1"/>
  <c r="N47" i="33"/>
  <c r="J47" i="33"/>
  <c r="J37" i="33"/>
  <c r="J39" i="33" s="1"/>
  <c r="N18" i="33"/>
  <c r="R25" i="33" s="1"/>
  <c r="L37" i="33"/>
  <c r="L39" i="33" s="1"/>
  <c r="L47" i="33"/>
  <c r="T37" i="33"/>
  <c r="T39" i="33" s="1"/>
  <c r="T47" i="33"/>
  <c r="F16" i="33"/>
  <c r="T17" i="29"/>
  <c r="U48" i="29"/>
  <c r="V48" i="29"/>
  <c r="N48" i="29"/>
  <c r="M48" i="29"/>
  <c r="P48" i="29"/>
  <c r="O48" i="29"/>
  <c r="K48" i="29"/>
  <c r="L48" i="29"/>
  <c r="X48" i="29"/>
  <c r="W48" i="29"/>
  <c r="J48" i="29"/>
  <c r="I48" i="29"/>
  <c r="Q48" i="29"/>
  <c r="R48" i="29"/>
  <c r="T48" i="29"/>
  <c r="S48" i="29"/>
  <c r="G48" i="29"/>
  <c r="H48" i="29"/>
  <c r="X17" i="29"/>
  <c r="X18" i="29"/>
  <c r="N17" i="29"/>
  <c r="B14" i="29"/>
  <c r="F44" i="29" s="1"/>
  <c r="V18" i="29" l="1"/>
  <c r="R17" i="29"/>
  <c r="J18" i="29"/>
  <c r="H17" i="33"/>
  <c r="L17" i="33"/>
  <c r="L17" i="29"/>
  <c r="L18" i="29"/>
  <c r="E48" i="33"/>
  <c r="F48" i="33"/>
  <c r="T23" i="33"/>
  <c r="S48" i="33"/>
  <c r="T48" i="33"/>
  <c r="P48" i="33"/>
  <c r="O48" i="33"/>
  <c r="R17" i="33"/>
  <c r="R18" i="33"/>
  <c r="R23" i="33"/>
  <c r="L23" i="33"/>
  <c r="Q48" i="33"/>
  <c r="R48" i="33"/>
  <c r="H23" i="33"/>
  <c r="J48" i="33"/>
  <c r="I48" i="33"/>
  <c r="N23" i="33"/>
  <c r="J23" i="33"/>
  <c r="T18" i="33"/>
  <c r="T17" i="33"/>
  <c r="F17" i="33"/>
  <c r="F18" i="33"/>
  <c r="T26" i="33" s="1"/>
  <c r="K48" i="33"/>
  <c r="L48" i="33"/>
  <c r="M48" i="33"/>
  <c r="N48" i="33"/>
  <c r="G48" i="33"/>
  <c r="H48" i="33"/>
  <c r="P23" i="33"/>
  <c r="F23" i="33"/>
  <c r="J17" i="33"/>
  <c r="J18" i="33"/>
  <c r="N25" i="33" s="1"/>
  <c r="P26" i="33" l="1"/>
  <c r="P31" i="33"/>
  <c r="P41" i="33"/>
  <c r="P43" i="33" s="1"/>
  <c r="P45" i="33" s="1"/>
  <c r="N26" i="33"/>
  <c r="H26" i="33"/>
  <c r="F26" i="33"/>
  <c r="L31" i="33"/>
  <c r="L26" i="33"/>
  <c r="J25" i="33"/>
  <c r="J26" i="33" s="1"/>
  <c r="N31" i="33"/>
  <c r="R31" i="33"/>
  <c r="F31" i="33"/>
  <c r="H31" i="33"/>
  <c r="T31" i="33"/>
  <c r="T41" i="33" s="1"/>
  <c r="T43" i="33" s="1"/>
  <c r="R26" i="33"/>
  <c r="J31" i="33"/>
  <c r="A34" i="30"/>
  <c r="E34" i="30"/>
  <c r="B20" i="30"/>
  <c r="O45" i="33" l="1"/>
  <c r="F41" i="33"/>
  <c r="F43" i="33" s="1"/>
  <c r="F45" i="33" s="1"/>
  <c r="R41" i="33"/>
  <c r="R43" i="33" s="1"/>
  <c r="Q45" i="33" s="1"/>
  <c r="N41" i="33"/>
  <c r="N43" i="33" s="1"/>
  <c r="N45" i="33" s="1"/>
  <c r="T45" i="33"/>
  <c r="S45" i="33"/>
  <c r="J41" i="33"/>
  <c r="J43" i="33" s="1"/>
  <c r="E45" i="33"/>
  <c r="L41" i="33"/>
  <c r="L43" i="33" s="1"/>
  <c r="H41" i="33"/>
  <c r="H43" i="33" s="1"/>
  <c r="B22" i="30"/>
  <c r="F34" i="30"/>
  <c r="R45" i="33" l="1"/>
  <c r="M45" i="33"/>
  <c r="H45" i="33"/>
  <c r="G45" i="33"/>
  <c r="K45" i="33"/>
  <c r="L45" i="33"/>
  <c r="I45" i="33"/>
  <c r="J45" i="33"/>
  <c r="B25" i="30"/>
  <c r="B26" i="30"/>
  <c r="B9" i="30" l="1"/>
  <c r="B6" i="30" l="1"/>
  <c r="B5" i="30"/>
  <c r="B28" i="30" s="1"/>
  <c r="F27" i="29"/>
  <c r="B10" i="30" l="1"/>
  <c r="B7" i="30"/>
  <c r="B8" i="30" s="1"/>
  <c r="A15" i="30" s="1"/>
  <c r="B15" i="30" s="1"/>
  <c r="B11" i="30" l="1"/>
  <c r="F10" i="29"/>
  <c r="J21" i="29" l="1"/>
  <c r="T21" i="29"/>
  <c r="N21" i="29"/>
  <c r="P21" i="29"/>
  <c r="L21" i="29"/>
  <c r="F21" i="29"/>
  <c r="V21" i="29"/>
  <c r="X21" i="29"/>
  <c r="R21" i="29"/>
  <c r="H21" i="29"/>
  <c r="F13" i="29"/>
  <c r="F12" i="29"/>
  <c r="F47" i="29" s="1"/>
  <c r="F11" i="29"/>
  <c r="F16" i="29" s="1"/>
  <c r="E48" i="29" l="1"/>
  <c r="F48" i="29"/>
  <c r="X23" i="29"/>
  <c r="X30" i="29"/>
  <c r="H30" i="29"/>
  <c r="P30" i="29"/>
  <c r="R30" i="29"/>
  <c r="T30" i="29"/>
  <c r="J30" i="29"/>
  <c r="V30" i="29"/>
  <c r="N30" i="29"/>
  <c r="L30" i="29"/>
  <c r="F30" i="29"/>
  <c r="V23" i="29"/>
  <c r="N23" i="29"/>
  <c r="H23" i="29"/>
  <c r="T23" i="29"/>
  <c r="H25" i="29"/>
  <c r="V25" i="29"/>
  <c r="F25" i="29"/>
  <c r="T25" i="29"/>
  <c r="L25" i="29"/>
  <c r="P25" i="29"/>
  <c r="X25" i="29"/>
  <c r="N25" i="29"/>
  <c r="R25" i="29"/>
  <c r="P23" i="29"/>
  <c r="R23" i="29"/>
  <c r="L23" i="29"/>
  <c r="J23" i="29"/>
  <c r="F23" i="29"/>
  <c r="F37" i="29"/>
  <c r="F39" i="29" s="1"/>
  <c r="F32" i="29"/>
  <c r="F18" i="29"/>
  <c r="J25" i="29" s="1"/>
  <c r="J26" i="29" s="1"/>
  <c r="F17" i="29"/>
  <c r="N26" i="29" l="1"/>
  <c r="T26" i="29"/>
  <c r="J31" i="29"/>
  <c r="J41" i="29" s="1"/>
  <c r="J43" i="29" s="1"/>
  <c r="H31" i="29"/>
  <c r="P26" i="29"/>
  <c r="V26" i="29"/>
  <c r="X26" i="29"/>
  <c r="L31" i="29"/>
  <c r="T31" i="29"/>
  <c r="X31" i="29"/>
  <c r="N31" i="29"/>
  <c r="N41" i="29" s="1"/>
  <c r="N43" i="29" s="1"/>
  <c r="R31" i="29"/>
  <c r="R26" i="29"/>
  <c r="L26" i="29"/>
  <c r="H26" i="29"/>
  <c r="V31" i="29"/>
  <c r="P31" i="29"/>
  <c r="P41" i="29" s="1"/>
  <c r="P43" i="29" s="1"/>
  <c r="F31" i="29"/>
  <c r="F26" i="29"/>
  <c r="X41" i="29" l="1"/>
  <c r="X43" i="29" s="1"/>
  <c r="W45" i="29" s="1"/>
  <c r="V41" i="29"/>
  <c r="V43" i="29" s="1"/>
  <c r="T41" i="29"/>
  <c r="T43" i="29" s="1"/>
  <c r="S45" i="29" s="1"/>
  <c r="R41" i="29"/>
  <c r="R43" i="29" s="1"/>
  <c r="R45" i="29" s="1"/>
  <c r="F41" i="29"/>
  <c r="F43" i="29" s="1"/>
  <c r="F45" i="29" s="1"/>
  <c r="H41" i="29"/>
  <c r="H43" i="29" s="1"/>
  <c r="G45" i="29" s="1"/>
  <c r="L41" i="29"/>
  <c r="L43" i="29" s="1"/>
  <c r="L45" i="29" s="1"/>
  <c r="P45" i="29"/>
  <c r="O45" i="29"/>
  <c r="X45" i="29"/>
  <c r="U45" i="29"/>
  <c r="V45" i="29"/>
  <c r="N45" i="29"/>
  <c r="M45" i="29"/>
  <c r="J45" i="29"/>
  <c r="I45" i="29"/>
  <c r="Q45" i="29" l="1"/>
  <c r="T45" i="29"/>
  <c r="E45" i="29"/>
  <c r="H45" i="29"/>
  <c r="K45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domenico gaudioso</author>
  </authors>
  <commentList>
    <comment ref="D25" authorId="0" shapeId="0" xr:uid="{6FF317E6-73D6-495D-9B9C-DFEE40E6EE77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devo guardare le tabella b)</t>
        </r>
      </text>
    </comment>
    <comment ref="G25" authorId="0" shapeId="0" xr:uid="{3EA5F5B2-AF6B-4811-84E9-5D43AA5A6F9B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devo guardare le tabella b)</t>
        </r>
      </text>
    </comment>
    <comment ref="A26" authorId="0" shapeId="0" xr:uid="{99A1BBFB-0343-4A2D-92EA-00635CADECAC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devo guardare le tabella 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domenico gaudioso</author>
  </authors>
  <commentList>
    <comment ref="E36" authorId="0" shapeId="0" xr:uid="{2C397D2D-F567-40AC-BE05-8125304E2E40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G36" authorId="0" shapeId="0" xr:uid="{92EB1F9C-1432-460A-A0B7-60699D03E8A5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I36" authorId="0" shapeId="0" xr:uid="{A2AC5C1F-8501-4F43-A2BD-CA48D5C55DEC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K36" authorId="0" shapeId="0" xr:uid="{D4D67021-B6DB-41A8-B294-4C0AA2B7F864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M36" authorId="0" shapeId="0" xr:uid="{1204BB42-4B1C-424D-8C00-334C9C4D7017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O36" authorId="0" shapeId="0" xr:uid="{BB755418-84E0-401C-9A27-6D13261F698F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Q36" authorId="0" shapeId="0" xr:uid="{093B0B1D-8FF2-4896-8D71-4957E30E5C72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S36" authorId="0" shapeId="0" xr:uid="{CB60096A-13D0-4403-B20D-7EBBC55CD614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domenico gaudioso</author>
  </authors>
  <commentList>
    <comment ref="E36" authorId="0" shapeId="0" xr:uid="{1F84B3AE-5C3D-4E54-8B14-6FA15956BA3C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G36" authorId="0" shapeId="0" xr:uid="{936FE36D-A9EB-4EAB-A400-A35A26E6EA1A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I36" authorId="0" shapeId="0" xr:uid="{714E9E4C-8A7C-4EDE-AF0F-1923F7652F2F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K36" authorId="0" shapeId="0" xr:uid="{3CA0AB58-FABB-483B-81AA-F05B7F3D3DE2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M36" authorId="0" shapeId="0" xr:uid="{BF8A07F5-1E31-44FB-9E41-5BDC20BC5004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O36" authorId="0" shapeId="0" xr:uid="{C8B00264-3A94-4AC1-85FF-A3164688FEA0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Q36" authorId="0" shapeId="0" xr:uid="{2CA4AA79-10C9-46D5-B8D9-F6CF83F48D3E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S36" authorId="0" shapeId="0" xr:uid="{8883D135-2564-4300-88F9-DEBE44ABE050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U36" authorId="0" shapeId="0" xr:uid="{DF2294CF-D7B3-4B87-9709-BAEA428AF504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  <comment ref="W36" authorId="0" shapeId="0" xr:uid="{99DAC4B2-0929-46AC-8B58-B105BC6E1B49}">
      <text>
        <r>
          <rPr>
            <b/>
            <sz val="9"/>
            <color indexed="81"/>
            <rFont val="Tahoma"/>
            <family val="2"/>
          </rPr>
          <t>domenico gaudioso:</t>
        </r>
        <r>
          <rPr>
            <sz val="9"/>
            <color indexed="81"/>
            <rFont val="Tahoma"/>
            <family val="2"/>
          </rPr>
          <t xml:space="preserve">
Coefficienti di riduzione accelerazione massima attesa al sito  (dipende da ag e cat.sottosuolo)</t>
        </r>
      </text>
    </comment>
  </commentList>
</comments>
</file>

<file path=xl/sharedStrings.xml><?xml version="1.0" encoding="utf-8"?>
<sst xmlns="http://schemas.openxmlformats.org/spreadsheetml/2006/main" count="1138" uniqueCount="210">
  <si>
    <t>m</t>
  </si>
  <si>
    <t>b</t>
  </si>
  <si>
    <t>Fattori di capacità portante</t>
  </si>
  <si>
    <t>Fattori correttivi</t>
  </si>
  <si>
    <t>Fattori di forma</t>
  </si>
  <si>
    <t>Fattori di approfondimento</t>
  </si>
  <si>
    <t>ϑ [°]</t>
  </si>
  <si>
    <t>qED/qRD &lt;1</t>
  </si>
  <si>
    <t>Hz</t>
  </si>
  <si>
    <t>frequenza circolare adimensionalizzata</t>
  </si>
  <si>
    <t>semilarghezza della fondazione</t>
  </si>
  <si>
    <t>semilarghezza larghezza fondazione</t>
  </si>
  <si>
    <t>B</t>
  </si>
  <si>
    <t>h1</t>
  </si>
  <si>
    <t>h2</t>
  </si>
  <si>
    <t>A1</t>
  </si>
  <si>
    <t>A2</t>
  </si>
  <si>
    <t>Atot</t>
  </si>
  <si>
    <t>yg1</t>
  </si>
  <si>
    <t>yg2</t>
  </si>
  <si>
    <t>Yg</t>
  </si>
  <si>
    <t>m^2</t>
  </si>
  <si>
    <r>
      <t>Acls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</si>
  <si>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As,min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</si>
  <si>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As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</si>
  <si>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n (numero barre)</t>
  </si>
  <si>
    <t>φ [mm]</t>
  </si>
  <si>
    <t>Armatura a taglio</t>
  </si>
  <si>
    <t>b [mm]</t>
  </si>
  <si>
    <t>fyd [N/mm^2]</t>
  </si>
  <si>
    <r>
      <rPr>
        <sz val="11"/>
        <color theme="1"/>
        <rFont val="Calibri"/>
        <family val="2"/>
      </rPr>
      <t>ν</t>
    </r>
    <r>
      <rPr>
        <sz val="11"/>
        <color theme="1"/>
        <rFont val="Calibri"/>
        <family val="2"/>
        <scheme val="minor"/>
      </rPr>
      <t>fcd [N/mm^2]</t>
    </r>
  </si>
  <si>
    <t>s [mm]</t>
  </si>
  <si>
    <t>ϑ [rad]</t>
  </si>
  <si>
    <t>cotϑ</t>
  </si>
  <si>
    <t>d [mm]</t>
  </si>
  <si>
    <r>
      <t>V</t>
    </r>
    <r>
      <rPr>
        <vertAlign val="subscript"/>
        <sz val="11"/>
        <color theme="1"/>
        <rFont val="Calibri"/>
        <family val="2"/>
        <scheme val="minor"/>
      </rPr>
      <t>Rcd</t>
    </r>
    <r>
      <rPr>
        <sz val="11"/>
        <color theme="1"/>
        <rFont val="Calibri"/>
        <family val="2"/>
        <scheme val="minor"/>
      </rPr>
      <t xml:space="preserve"> [KN]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</si>
  <si>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Rsd </t>
    </r>
    <r>
      <rPr>
        <sz val="11"/>
        <color theme="1"/>
        <rFont val="Calibri"/>
        <family val="2"/>
        <scheme val="minor"/>
      </rPr>
      <t>[KN]</t>
    </r>
  </si>
  <si>
    <t>Resistenza  a taglio</t>
  </si>
  <si>
    <t>n (numero bracci)</t>
  </si>
  <si>
    <t>s (passo) [mm]</t>
  </si>
  <si>
    <t xml:space="preserve">Ast [mm2/m] </t>
  </si>
  <si>
    <t>cotϑ da NTC18</t>
  </si>
  <si>
    <t>Armatura longitudinale trave rovescia</t>
  </si>
  <si>
    <t>Proprietà Terreno</t>
  </si>
  <si>
    <t xml:space="preserve">B </t>
  </si>
  <si>
    <t>Proprietà Fondazione</t>
  </si>
  <si>
    <t xml:space="preserve">c' </t>
  </si>
  <si>
    <r>
      <t>e</t>
    </r>
    <r>
      <rPr>
        <vertAlign val="superscript"/>
        <sz val="11"/>
        <color theme="1"/>
        <rFont val="Calibri"/>
        <family val="2"/>
        <scheme val="minor"/>
      </rPr>
      <t>(pi)*tang(φ ')</t>
    </r>
  </si>
  <si>
    <t>tang(φ' )</t>
  </si>
  <si>
    <t>cotang(φ' )</t>
  </si>
  <si>
    <t xml:space="preserve">Y </t>
  </si>
  <si>
    <t xml:space="preserve">Y' </t>
  </si>
  <si>
    <t xml:space="preserve">D </t>
  </si>
  <si>
    <t xml:space="preserve">q' </t>
  </si>
  <si>
    <t xml:space="preserve">φ' </t>
  </si>
  <si>
    <t>[°]</t>
  </si>
  <si>
    <t>[rad]</t>
  </si>
  <si>
    <t>Nq</t>
  </si>
  <si>
    <t>NY</t>
  </si>
  <si>
    <t>Nc</t>
  </si>
  <si>
    <t>sc</t>
  </si>
  <si>
    <t>sq</t>
  </si>
  <si>
    <t>sY</t>
  </si>
  <si>
    <t>dc</t>
  </si>
  <si>
    <t>dY</t>
  </si>
  <si>
    <t>Propietà della sezione</t>
  </si>
  <si>
    <t>[gradi]</t>
  </si>
  <si>
    <t>$\phi^'$</t>
  </si>
  <si>
    <t>$N_{SPT}$</t>
  </si>
  <si>
    <t>in assenza di falda</t>
  </si>
  <si>
    <t>KN/m^2</t>
  </si>
  <si>
    <t>$\sigma^'_{vo)$</t>
  </si>
  <si>
    <t>profondità posa fondazione</t>
  </si>
  <si>
    <t>D</t>
  </si>
  <si>
    <t>Eo</t>
  </si>
  <si>
    <t>$\ni$</t>
  </si>
  <si>
    <t>$G_o$</t>
  </si>
  <si>
    <t>$G_{max}$</t>
  </si>
  <si>
    <t>Kg/m^3</t>
  </si>
  <si>
    <t>$\rho$</t>
  </si>
  <si>
    <t>KN/m^3</t>
  </si>
  <si>
    <t>$\gamma$</t>
  </si>
  <si>
    <t>Categoria B Rocce tenere e depositi di terreni a grana grossa molto addensati o terreni a grana fina molto consistenti, caratterizzati da un miglioramento delle proprietà meccaniche con la profondità e da valori di velocità equivalente compresi tra 360 m/s e 800 m/s.</t>
  </si>
  <si>
    <t>m/s</t>
  </si>
  <si>
    <t>$Vs,_{o}$</t>
  </si>
  <si>
    <t>≤Vs≤</t>
  </si>
  <si>
    <t>Cat B</t>
  </si>
  <si>
    <t>$Vs_{max}$</t>
  </si>
  <si>
    <t>B'</t>
  </si>
  <si>
    <t>L'</t>
  </si>
  <si>
    <t>sen(φ' )</t>
  </si>
  <si>
    <t>Dimensioni efficaci</t>
  </si>
  <si>
    <t>dq</t>
  </si>
  <si>
    <t>Fattori di inclinazione del carico</t>
  </si>
  <si>
    <t>iq</t>
  </si>
  <si>
    <t>ic</t>
  </si>
  <si>
    <t>iY</t>
  </si>
  <si>
    <t>Sollecitazioni</t>
  </si>
  <si>
    <t>N</t>
  </si>
  <si>
    <t>H</t>
  </si>
  <si>
    <t>e</t>
  </si>
  <si>
    <t>TRAVI IN DIREZIONE Y</t>
  </si>
  <si>
    <t>R</t>
  </si>
  <si>
    <t>KN</t>
  </si>
  <si>
    <t>Max</t>
  </si>
  <si>
    <t>Min</t>
  </si>
  <si>
    <t>∑N</t>
  </si>
  <si>
    <t>∑T</t>
  </si>
  <si>
    <t>∑M</t>
  </si>
  <si>
    <t>-</t>
  </si>
  <si>
    <t>n trave</t>
  </si>
  <si>
    <t>TRAVI IN DIREZIONE X</t>
  </si>
  <si>
    <t>L</t>
  </si>
  <si>
    <t>mL</t>
  </si>
  <si>
    <t xml:space="preserve">Parametri di calcolo </t>
  </si>
  <si>
    <r>
      <t>Y</t>
    </r>
    <r>
      <rPr>
        <vertAlign val="subscript"/>
        <sz val="11"/>
        <color theme="1"/>
        <rFont val="Calibri"/>
        <family val="2"/>
        <scheme val="minor"/>
      </rPr>
      <t xml:space="preserve"> RD</t>
    </r>
  </si>
  <si>
    <r>
      <t>qlim [KN/m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</si>
  <si>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tang(45+φ'/2 )</t>
    </r>
    <r>
      <rPr>
        <vertAlign val="superscript"/>
        <sz val="11"/>
        <color theme="1"/>
        <rFont val="Calibri"/>
        <family val="2"/>
        <scheme val="minor"/>
      </rPr>
      <t>2</t>
    </r>
  </si>
  <si>
    <t>Peso della fondazione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</si>
  <si>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</si>
  <si>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 KN/m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</si>
  <si>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 KN/m</t>
    </r>
    <r>
      <rPr>
        <vertAlign val="superscript"/>
        <sz val="11"/>
        <color theme="1"/>
        <rFont val="Calibri"/>
        <family val="2"/>
        <scheme val="minor"/>
      </rPr>
      <t>3</t>
    </r>
  </si>
  <si>
    <t>G1 fonda</t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</si>
  <si>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ED </t>
    </r>
    <r>
      <rPr>
        <sz val="11"/>
        <color theme="1"/>
        <rFont val="Calibri"/>
        <family val="2"/>
        <scheme val="minor"/>
      </rPr>
      <t>[KN/m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</si>
  <si>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q</t>
    </r>
    <r>
      <rPr>
        <vertAlign val="sub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[KN/m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</si>
  <si>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 xml:space="preserve">Fattori sismici </t>
  </si>
  <si>
    <t>Parametri sismici</t>
  </si>
  <si>
    <t>S</t>
  </si>
  <si>
    <r>
      <t>a</t>
    </r>
    <r>
      <rPr>
        <vertAlign val="subscript"/>
        <sz val="10"/>
        <rFont val="Arial"/>
        <family val="2"/>
      </rPr>
      <t>g</t>
    </r>
  </si>
  <si>
    <t>g</t>
  </si>
  <si>
    <r>
      <t>F</t>
    </r>
    <r>
      <rPr>
        <vertAlign val="subscript"/>
        <sz val="10"/>
        <rFont val="Arial"/>
        <family val="2"/>
      </rPr>
      <t>o</t>
    </r>
  </si>
  <si>
    <r>
      <t>T</t>
    </r>
    <r>
      <rPr>
        <vertAlign val="subscript"/>
        <sz val="10"/>
        <rFont val="Arial"/>
        <family val="2"/>
      </rPr>
      <t>C</t>
    </r>
    <r>
      <rPr>
        <vertAlign val="superscript"/>
        <sz val="10"/>
        <rFont val="Arial"/>
        <family val="2"/>
      </rPr>
      <t>*</t>
    </r>
  </si>
  <si>
    <t>s</t>
  </si>
  <si>
    <r>
      <t>S</t>
    </r>
    <r>
      <rPr>
        <vertAlign val="subscript"/>
        <sz val="10"/>
        <rFont val="Arial"/>
        <family val="2"/>
      </rPr>
      <t>S</t>
    </r>
  </si>
  <si>
    <r>
      <t>S</t>
    </r>
    <r>
      <rPr>
        <vertAlign val="subscript"/>
        <sz val="10"/>
        <rFont val="Arial"/>
        <family val="2"/>
      </rPr>
      <t>T</t>
    </r>
  </si>
  <si>
    <t>Kh</t>
  </si>
  <si>
    <t>ẞs</t>
  </si>
  <si>
    <t>Kv</t>
  </si>
  <si>
    <t>zq</t>
  </si>
  <si>
    <t>zc</t>
  </si>
  <si>
    <t>zY</t>
  </si>
  <si>
    <r>
      <t>φ'</t>
    </r>
    <r>
      <rPr>
        <vertAlign val="subscript"/>
        <sz val="11"/>
        <color theme="1"/>
        <rFont val="Calibri"/>
        <family val="2"/>
        <scheme val="minor"/>
      </rPr>
      <t>D</t>
    </r>
  </si>
  <si>
    <r>
      <t>Y</t>
    </r>
    <r>
      <rPr>
        <vertAlign val="subscript"/>
        <sz val="11"/>
        <color theme="1"/>
        <rFont val="Calibri"/>
        <family val="2"/>
        <scheme val="minor"/>
      </rPr>
      <t xml:space="preserve"> RD</t>
    </r>
    <r>
      <rPr>
        <sz val="11"/>
        <color theme="1"/>
        <rFont val="Calibri"/>
        <family val="2"/>
        <scheme val="minor"/>
      </rPr>
      <t xml:space="preserve"> per phi</t>
    </r>
  </si>
  <si>
    <t>SCORRIMENTO</t>
  </si>
  <si>
    <t>CAPACITA' PORTANTE</t>
  </si>
  <si>
    <t>Ntang(φ' )</t>
  </si>
  <si>
    <t>fattore amplificazione T e M</t>
  </si>
  <si>
    <t>fattore ampl N</t>
  </si>
  <si>
    <t>H/Ntang(φ' ) &lt;1</t>
  </si>
  <si>
    <t>B/2</t>
  </si>
  <si>
    <t>L/2</t>
  </si>
  <si>
    <t>T1  da SAP</t>
  </si>
  <si>
    <t>ꭓ</t>
  </si>
  <si>
    <t xml:space="preserve">Kz </t>
  </si>
  <si>
    <t>KN/m</t>
  </si>
  <si>
    <t>L/B</t>
  </si>
  <si>
    <t xml:space="preserve">frequenza </t>
  </si>
  <si>
    <t xml:space="preserve">f </t>
  </si>
  <si>
    <t>ω</t>
  </si>
  <si>
    <r>
      <t>a</t>
    </r>
    <r>
      <rPr>
        <vertAlign val="subscript"/>
        <sz val="11"/>
        <color theme="1"/>
        <rFont val="Calibri"/>
        <family val="2"/>
        <scheme val="minor"/>
      </rPr>
      <t>o</t>
    </r>
  </si>
  <si>
    <t>Kz</t>
  </si>
  <si>
    <t>RIGIDEZZA Y</t>
  </si>
  <si>
    <t>Ky</t>
  </si>
  <si>
    <t>Gazetas in direzione x</t>
  </si>
  <si>
    <t>RIGIDEZZA X</t>
  </si>
  <si>
    <t>Armatura ala</t>
  </si>
  <si>
    <r>
      <t>M</t>
    </r>
    <r>
      <rPr>
        <vertAlign val="subscript"/>
        <sz val="11"/>
        <color theme="1"/>
        <rFont val="Calibri"/>
        <family val="2"/>
        <scheme val="minor"/>
      </rPr>
      <t>ED</t>
    </r>
  </si>
  <si>
    <r>
      <t>q</t>
    </r>
    <r>
      <rPr>
        <vertAlign val="subscript"/>
        <sz val="11"/>
        <color theme="1"/>
        <rFont val="Calibri"/>
        <family val="2"/>
        <scheme val="minor"/>
      </rPr>
      <t>RD</t>
    </r>
  </si>
  <si>
    <t>l</t>
  </si>
  <si>
    <t>h</t>
  </si>
  <si>
    <r>
      <t>As,</t>
    </r>
    <r>
      <rPr>
        <vertAlign val="subscript"/>
        <sz val="11"/>
        <color theme="1"/>
        <rFont val="Calibri"/>
        <family val="2"/>
        <scheme val="minor"/>
      </rPr>
      <t>min</t>
    </r>
  </si>
  <si>
    <t>c</t>
  </si>
  <si>
    <t>mm</t>
  </si>
  <si>
    <t>altezza ala</t>
  </si>
  <si>
    <t>copriferro</t>
  </si>
  <si>
    <t>d</t>
  </si>
  <si>
    <t>KNm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</si>
  <si>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</si>
  <si>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t>passo in un metro di sezione</t>
  </si>
  <si>
    <t>n</t>
  </si>
  <si>
    <t>numero staffe</t>
  </si>
  <si>
    <t>φ</t>
  </si>
  <si>
    <t>As</t>
  </si>
  <si>
    <t>area di armatura effettiva</t>
  </si>
  <si>
    <t>area di armatura necessaria</t>
  </si>
  <si>
    <t>lunghezza mensola</t>
  </si>
  <si>
    <r>
      <t>V</t>
    </r>
    <r>
      <rPr>
        <vertAlign val="subscript"/>
        <sz val="11"/>
        <color theme="1"/>
        <rFont val="Calibri"/>
        <family val="2"/>
        <scheme val="minor"/>
      </rPr>
      <t>RD</t>
    </r>
  </si>
  <si>
    <t>k</t>
  </si>
  <si>
    <t>ρ</t>
  </si>
  <si>
    <t>fck</t>
  </si>
  <si>
    <r>
      <t>N/mm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</si>
  <si>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scheme val="minor"/>
      </rPr>
      <t>ED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1"/>
        <color theme="1"/>
        <rFont val="Calibri"/>
        <family val="2"/>
        <scheme val="minor"/>
      </rPr>
      <t xml:space="preserve">RD </t>
    </r>
    <r>
      <rPr>
        <sz val="11"/>
        <color theme="1"/>
        <rFont val="Calibri"/>
        <family val="2"/>
      </rPr>
      <t>≤ 1</t>
    </r>
  </si>
  <si>
    <r>
      <t>V</t>
    </r>
    <r>
      <rPr>
        <vertAlign val="subscript"/>
        <sz val="11"/>
        <color theme="1"/>
        <rFont val="Calibri"/>
        <family val="2"/>
        <scheme val="minor"/>
      </rPr>
      <t>ED</t>
    </r>
  </si>
  <si>
    <t>h piat. trave</t>
  </si>
  <si>
    <t xml:space="preserve">Verifica altezza minima piattabanda </t>
  </si>
  <si>
    <t>Ast,min [mm^2/m]</t>
  </si>
  <si>
    <t>RIGIDEZZA Z</t>
  </si>
  <si>
    <t>TRAVE1 X  (Comb 1)</t>
  </si>
  <si>
    <t>TRAVE1 X  (Comb 2)</t>
  </si>
  <si>
    <t>TRAVE2 X  (Comb 1)</t>
  </si>
  <si>
    <t>TRAVE2X  (Comb 2)</t>
  </si>
  <si>
    <t>TRAVE3 X  (Comb 1)</t>
  </si>
  <si>
    <t>TRAVE3X  (Comb 2)</t>
  </si>
  <si>
    <t>TRAVE4 X  (Comb 1)</t>
  </si>
  <si>
    <t>TRAVE4X  (Comb 2)</t>
  </si>
  <si>
    <t>TRAVE1 Y</t>
  </si>
  <si>
    <t>TRAVE2 Y</t>
  </si>
  <si>
    <t xml:space="preserve">TRAVE3 Y </t>
  </si>
  <si>
    <t>TRAVE4 Y</t>
  </si>
  <si>
    <t xml:space="preserve">TRAVE5 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</si>
</sst>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3.65"/>
      <color theme="1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2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2" xfId="0" applyBorder="1" applyAlignment="1"/>
    <xf numFmtId="0" fontId="0" fillId="0" borderId="2" xfId="0" applyFont="1" applyBorder="1" applyAlignment="1"/>
    <xf numFmtId="0" fontId="0" fillId="0" borderId="0" xfId="0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/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2" fillId="0" borderId="4" xfId="0" applyFont="1" applyBorder="1" applyAlignment="1">
      <alignment horizontal="center"/>
    </xf>
    <xf numFmtId="0" fontId="0" fillId="0" borderId="6" xfId="0" applyBorder="1"/>
    <xf numFmtId="0" fontId="0" fillId="0" borderId="2" xfId="0" applyFont="1" applyFill="1" applyBorder="1" applyAlignment="1"/>
    <xf numFmtId="2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6" borderId="9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49" fontId="0" fillId="6" borderId="10" xfId="0" applyNumberFormat="1" applyFill="1" applyBorder="1" applyAlignment="1">
      <alignment horizontal="left"/>
    </xf>
    <xf numFmtId="49" fontId="0" fillId="6" borderId="10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0" borderId="0" xfId="0" applyNumberFormat="1"/>
    <xf numFmtId="0" fontId="1" fillId="2" borderId="11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1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164" fontId="13" fillId="8" borderId="12" xfId="0" applyNumberFormat="1" applyFont="1" applyFill="1" applyBorder="1" applyAlignment="1" applyProtection="1">
      <alignment horizontal="center" vertical="center"/>
      <protection locked="0" hidden="1"/>
    </xf>
    <xf numFmtId="164" fontId="13" fillId="0" borderId="12" xfId="0" applyNumberFormat="1" applyFont="1" applyBorder="1" applyAlignment="1" applyProtection="1">
      <alignment horizontal="center" vertical="center"/>
      <protection locked="0" hidden="1"/>
    </xf>
    <xf numFmtId="0" fontId="0" fillId="0" borderId="12" xfId="0" applyFont="1" applyBorder="1" applyAlignment="1">
      <alignment horizontal="center"/>
    </xf>
    <xf numFmtId="0" fontId="0" fillId="6" borderId="14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5" xfId="0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0" fillId="0" borderId="12" xfId="0" applyBorder="1"/>
    <xf numFmtId="165" fontId="0" fillId="0" borderId="12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164" fontId="0" fillId="0" borderId="12" xfId="0" applyNumberFormat="1" applyFill="1" applyBorder="1" applyAlignment="1">
      <alignment horizontal="center"/>
    </xf>
    <xf numFmtId="0" fontId="16" fillId="0" borderId="12" xfId="0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e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FF00"/>
      <color rgb="FFFF505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495747</xdr:colOff>
      <xdr:row>8</xdr:row>
      <xdr:rowOff>32046</xdr:rowOff>
    </xdr:from>
    <xdr:to>
      <xdr:col>12</xdr:col>
      <xdr:colOff>546651</xdr:colOff>
      <xdr:row>21</xdr:row>
      <xdr:rowOff>146225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6CE089E-11CD-4235-B92F-B40B03D7C0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01" t="14343" r="25794" b="45130"/>
        <a:stretch/>
      </xdr:blipFill>
      <xdr:spPr bwMode="auto">
        <a:xfrm>
          <a:off x="4454834" y="1564329"/>
          <a:ext cx="4341295" cy="2607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123825</xdr:rowOff>
    </xdr:from>
    <xdr:to>
      <xdr:col>3</xdr:col>
      <xdr:colOff>31994</xdr:colOff>
      <xdr:row>42</xdr:row>
      <xdr:rowOff>105603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77750CE-70B4-4EE6-A1D8-5B4E5EC49F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4" t="7078" r="63445" b="60581"/>
        <a:stretch/>
      </xdr:blipFill>
      <xdr:spPr bwMode="auto">
        <a:xfrm>
          <a:off x="0" y="5372100"/>
          <a:ext cx="2756144" cy="2847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748392</xdr:colOff>
      <xdr:row>27</xdr:row>
      <xdr:rowOff>109761</xdr:rowOff>
    </xdr:from>
    <xdr:to>
      <xdr:col>7</xdr:col>
      <xdr:colOff>232176</xdr:colOff>
      <xdr:row>40</xdr:row>
      <xdr:rowOff>3552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1E3C00B-1B0C-4486-B20C-ED8E37CDE0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73" t="38981" r="63161" b="40673"/>
        <a:stretch/>
      </xdr:blipFill>
      <xdr:spPr bwMode="auto">
        <a:xfrm>
          <a:off x="2666999" y="5375725"/>
          <a:ext cx="2735891" cy="2407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596368</xdr:colOff>
      <xdr:row>13</xdr:row>
      <xdr:rowOff>142065</xdr:rowOff>
    </xdr:from>
    <xdr:to>
      <xdr:col>23</xdr:col>
      <xdr:colOff>363767</xdr:colOff>
      <xdr:row>25</xdr:row>
      <xdr:rowOff>89890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F11784DD-E13D-4E36-9CBA-2842F431A1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0" t="9484" r="34741" b="81171"/>
        <a:stretch/>
      </xdr:blipFill>
      <xdr:spPr bwMode="auto">
        <a:xfrm>
          <a:off x="10635718" y="2618565"/>
          <a:ext cx="4644199" cy="2312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AZIONI%20FO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S TRAVI in X"/>
      <sheetName val="CDS TRAVI IN Y"/>
      <sheetName val="Program Control"/>
    </sheetNames>
    <sheetDataSet>
      <sheetData sheetId="0">
        <row r="4">
          <cell r="K4">
            <v>1962.0674999999999</v>
          </cell>
          <cell r="L4">
            <v>624.45600000000002</v>
          </cell>
          <cell r="M4">
            <v>1242.9411</v>
          </cell>
          <cell r="N4">
            <v>0.63348539232212964</v>
          </cell>
          <cell r="O4">
            <v>2059.0420516570925</v>
          </cell>
          <cell r="P4">
            <v>736.24549999999999</v>
          </cell>
          <cell r="Q4">
            <v>624.31899999999996</v>
          </cell>
          <cell r="R4">
            <v>1245.172</v>
          </cell>
          <cell r="S4">
            <v>1.6912456510769847</v>
          </cell>
          <cell r="T4">
            <v>965.31427526544428</v>
          </cell>
        </row>
        <row r="9">
          <cell r="K9">
            <v>2801.5435000000007</v>
          </cell>
          <cell r="L9">
            <v>144.22399999999999</v>
          </cell>
          <cell r="M9">
            <v>323.52300000000002</v>
          </cell>
          <cell r="N9">
            <v>0.11548027007255106</v>
          </cell>
          <cell r="O9">
            <v>2805.2533833092962</v>
          </cell>
          <cell r="P9">
            <v>2109.3710000000001</v>
          </cell>
          <cell r="Q9">
            <v>144.36599999999999</v>
          </cell>
          <cell r="R9">
            <v>324.36670000000004</v>
          </cell>
          <cell r="S9">
            <v>0.15377413456428482</v>
          </cell>
          <cell r="T9">
            <v>2114.3054551310697</v>
          </cell>
        </row>
        <row r="14">
          <cell r="K14">
            <v>2801.5400000000004</v>
          </cell>
          <cell r="L14">
            <v>144.22399999999999</v>
          </cell>
          <cell r="M14">
            <v>323.52320000000003</v>
          </cell>
          <cell r="N14">
            <v>0.11548048573284693</v>
          </cell>
          <cell r="O14">
            <v>2805.2498879379718</v>
          </cell>
          <cell r="P14">
            <v>2109.3685</v>
          </cell>
          <cell r="Q14">
            <v>144.36600000000001</v>
          </cell>
          <cell r="R14">
            <v>324.3664</v>
          </cell>
          <cell r="S14">
            <v>0.15377417459301207</v>
          </cell>
          <cell r="T14">
            <v>2114.3029609656819</v>
          </cell>
        </row>
        <row r="19">
          <cell r="K19">
            <v>1962.0684999999999</v>
          </cell>
          <cell r="L19">
            <v>624.46</v>
          </cell>
          <cell r="M19">
            <v>1242.9434000000001</v>
          </cell>
          <cell r="N19">
            <v>0.63348624168829992</v>
          </cell>
          <cell r="O19">
            <v>2059.0442176631973</v>
          </cell>
          <cell r="P19">
            <v>736.24599999999998</v>
          </cell>
          <cell r="Q19">
            <v>624.31500000000005</v>
          </cell>
          <cell r="R19">
            <v>1245.1681000000001</v>
          </cell>
          <cell r="S19">
            <v>1.6912392053742908</v>
          </cell>
          <cell r="T19">
            <v>965.31206961324176</v>
          </cell>
        </row>
      </sheetData>
      <sheetData sheetId="1">
        <row r="4">
          <cell r="K4">
            <v>1499.3649999999998</v>
          </cell>
          <cell r="L4">
            <v>356.28699999999998</v>
          </cell>
          <cell r="M4">
            <v>664.53839999999991</v>
          </cell>
          <cell r="N4">
            <v>0.44321322693273485</v>
          </cell>
          <cell r="O4">
            <v>1541.1151253537159</v>
          </cell>
          <cell r="P4">
            <v>1218.7230000000002</v>
          </cell>
          <cell r="Q4">
            <v>-356.29199999999997</v>
          </cell>
          <cell r="R4">
            <v>664.53120000000001</v>
          </cell>
          <cell r="S4">
            <v>0.54526844902410143</v>
          </cell>
          <cell r="T4">
            <v>1964.7701087717617</v>
          </cell>
        </row>
        <row r="8">
          <cell r="K8">
            <v>1943.9044999999999</v>
          </cell>
          <cell r="L8">
            <v>338.30099999999999</v>
          </cell>
          <cell r="M8">
            <v>631.72070000000008</v>
          </cell>
          <cell r="N8">
            <v>0.32497517239144214</v>
          </cell>
          <cell r="O8">
            <v>1973.122467491881</v>
          </cell>
          <cell r="P8">
            <v>2627.4160000000002</v>
          </cell>
          <cell r="Q8">
            <v>-338.29899999999998</v>
          </cell>
          <cell r="R8">
            <v>631.72239999999999</v>
          </cell>
          <cell r="S8">
            <v>0.24043486071486203</v>
          </cell>
          <cell r="T8">
            <v>3285.8069189739754</v>
          </cell>
        </row>
        <row r="12">
          <cell r="K12">
            <v>2285.3420000000001</v>
          </cell>
          <cell r="L12">
            <v>321.23999999999995</v>
          </cell>
          <cell r="M12">
            <v>599.92480000000012</v>
          </cell>
          <cell r="N12">
            <v>0.26250985629284374</v>
          </cell>
          <cell r="O12">
            <v>2307.8091763757247</v>
          </cell>
          <cell r="P12">
            <v>3199.1580000000004</v>
          </cell>
          <cell r="Q12">
            <v>-321.24</v>
          </cell>
          <cell r="R12">
            <v>599.92280000000005</v>
          </cell>
          <cell r="S12">
            <v>0.18752521757287385</v>
          </cell>
          <cell r="T12">
            <v>3944.6920163084983</v>
          </cell>
        </row>
        <row r="16">
          <cell r="K16">
            <v>2292.9994999999999</v>
          </cell>
          <cell r="L16">
            <v>354.48600000000005</v>
          </cell>
          <cell r="M16">
            <v>662.04259999999999</v>
          </cell>
          <cell r="N16">
            <v>0.28872339483719905</v>
          </cell>
          <cell r="O16">
            <v>2320.2385720430239</v>
          </cell>
          <cell r="P16">
            <v>3130.9549999999999</v>
          </cell>
          <cell r="Q16">
            <v>-354.48700000000002</v>
          </cell>
          <cell r="R16">
            <v>662.04169999999999</v>
          </cell>
          <cell r="S16">
            <v>0.21145040410992813</v>
          </cell>
          <cell r="T16">
            <v>3896.9714193487807</v>
          </cell>
        </row>
        <row r="20">
          <cell r="K20">
            <v>1505.6085</v>
          </cell>
          <cell r="L20">
            <v>384.73899999999998</v>
          </cell>
          <cell r="M20">
            <v>717.73500000000001</v>
          </cell>
          <cell r="N20">
            <v>0.47670759031979426</v>
          </cell>
          <cell r="O20">
            <v>1553.9887558773553</v>
          </cell>
          <cell r="P20">
            <v>1206.2099999999998</v>
          </cell>
          <cell r="Q20">
            <v>-384.73500000000001</v>
          </cell>
          <cell r="R20">
            <v>717.7408999999999</v>
          </cell>
          <cell r="S20">
            <v>0.5950380945274869</v>
          </cell>
          <cell r="T20">
            <v>1967.1867266462657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BFA8-6803-4EBE-B6DF-7C981A80C83E}">
  <dimension ref="A1:M27"/>
  <sheetViews>
    <sheetView topLeftCell="A13" zoomScale="115" zoomScaleNormal="115" workbookViewId="0">
      <selection activeCell="B27" sqref="B27"/>
    </sheetView>
  </sheetViews>
  <sheetFormatPr defaultRowHeight="15" x14ac:dyDescent="0.25"/>
  <cols>
    <col min="1" max="1" width="15.7109375" customWidth="1"/>
    <col min="2" max="2" width="13.140625" customWidth="1"/>
    <col min="3" max="3" width="12" customWidth="1"/>
  </cols>
  <sheetData>
    <row r="1" spans="1:10" ht="15.75" thickBot="1" x14ac:dyDescent="0.3">
      <c r="A1" s="19" t="s">
        <v>87</v>
      </c>
      <c r="B1" s="25">
        <v>360</v>
      </c>
      <c r="C1" s="2" t="s">
        <v>83</v>
      </c>
      <c r="E1" t="s">
        <v>86</v>
      </c>
      <c r="F1" s="28">
        <v>360</v>
      </c>
      <c r="G1" s="27" t="s">
        <v>85</v>
      </c>
      <c r="H1" s="26">
        <v>800</v>
      </c>
      <c r="J1" s="23"/>
    </row>
    <row r="2" spans="1:10" x14ac:dyDescent="0.25">
      <c r="A2" s="19" t="s">
        <v>84</v>
      </c>
      <c r="B2" s="21">
        <f>B1*(0.7-0.15)</f>
        <v>197.99999999999997</v>
      </c>
      <c r="C2" s="2" t="s">
        <v>83</v>
      </c>
      <c r="E2" s="72" t="s">
        <v>82</v>
      </c>
      <c r="F2" s="72"/>
      <c r="G2" s="72"/>
      <c r="H2" s="72"/>
      <c r="I2" s="72"/>
      <c r="J2" s="23"/>
    </row>
    <row r="3" spans="1:10" x14ac:dyDescent="0.25">
      <c r="A3" s="24" t="s">
        <v>81</v>
      </c>
      <c r="B3" s="25">
        <v>19</v>
      </c>
      <c r="C3" s="2" t="s">
        <v>80</v>
      </c>
      <c r="E3" s="72"/>
      <c r="F3" s="72"/>
      <c r="G3" s="72"/>
      <c r="H3" s="72"/>
      <c r="I3" s="72"/>
      <c r="J3" s="23"/>
    </row>
    <row r="4" spans="1:10" x14ac:dyDescent="0.25">
      <c r="A4" s="24" t="s">
        <v>79</v>
      </c>
      <c r="B4" s="22">
        <f>B3*1000/9.81</f>
        <v>1936.7991845056065</v>
      </c>
      <c r="C4" s="2" t="s">
        <v>78</v>
      </c>
      <c r="E4" s="72"/>
      <c r="F4" s="72"/>
      <c r="G4" s="72"/>
      <c r="H4" s="72"/>
      <c r="I4" s="72"/>
      <c r="J4" s="23"/>
    </row>
    <row r="5" spans="1:10" x14ac:dyDescent="0.25">
      <c r="A5" s="19" t="s">
        <v>77</v>
      </c>
      <c r="B5" s="22">
        <f>B4*(B1^2)/1000</f>
        <v>251009.17431192662</v>
      </c>
      <c r="C5" s="2" t="s">
        <v>70</v>
      </c>
      <c r="E5" s="72"/>
      <c r="F5" s="72"/>
      <c r="G5" s="72"/>
      <c r="H5" s="72"/>
      <c r="I5" s="72"/>
      <c r="J5" s="23"/>
    </row>
    <row r="6" spans="1:10" x14ac:dyDescent="0.25">
      <c r="A6" s="19" t="s">
        <v>76</v>
      </c>
      <c r="B6" s="22">
        <f>0.5*B5</f>
        <v>125504.58715596331</v>
      </c>
      <c r="C6" s="2" t="s">
        <v>70</v>
      </c>
      <c r="E6" s="72"/>
      <c r="F6" s="72"/>
      <c r="G6" s="72"/>
      <c r="H6" s="72"/>
      <c r="I6" s="72"/>
    </row>
    <row r="7" spans="1:10" x14ac:dyDescent="0.25">
      <c r="A7" s="19" t="s">
        <v>75</v>
      </c>
      <c r="B7" s="21">
        <v>0.4</v>
      </c>
      <c r="C7" s="2"/>
      <c r="E7" s="72"/>
      <c r="F7" s="72"/>
      <c r="G7" s="72"/>
      <c r="H7" s="72"/>
      <c r="I7" s="72"/>
    </row>
    <row r="8" spans="1:10" x14ac:dyDescent="0.25">
      <c r="A8" s="11" t="s">
        <v>74</v>
      </c>
      <c r="B8" s="18">
        <f>2*B6*(1+B7)</f>
        <v>351412.84403669724</v>
      </c>
      <c r="C8" s="2" t="s">
        <v>70</v>
      </c>
    </row>
    <row r="9" spans="1:10" x14ac:dyDescent="0.25">
      <c r="A9" s="19" t="s">
        <v>73</v>
      </c>
      <c r="B9" s="21">
        <v>1.2</v>
      </c>
      <c r="C9" s="2" t="s">
        <v>0</v>
      </c>
      <c r="D9" t="s">
        <v>72</v>
      </c>
    </row>
    <row r="10" spans="1:10" x14ac:dyDescent="0.25">
      <c r="A10" s="19" t="s">
        <v>71</v>
      </c>
      <c r="B10" s="18">
        <f>B9*B3</f>
        <v>22.8</v>
      </c>
      <c r="C10" s="2" t="s">
        <v>70</v>
      </c>
      <c r="D10" t="s">
        <v>69</v>
      </c>
    </row>
    <row r="11" spans="1:10" x14ac:dyDescent="0.25">
      <c r="A11" s="19" t="s">
        <v>68</v>
      </c>
      <c r="B11" s="20">
        <f>(B2/(55*B10^(0.14)))^(1/0.25)</f>
        <v>29.158587948650439</v>
      </c>
      <c r="C11" s="2"/>
    </row>
    <row r="12" spans="1:10" ht="12.75" customHeight="1" x14ac:dyDescent="0.25">
      <c r="A12" s="19" t="s">
        <v>67</v>
      </c>
      <c r="B12" s="18">
        <f>MIN(DEGREES((ATAN(B11/(12.2+20.3*(B10/100)))^(0.34))),27.1+0.3*(3/(2+B10/100))*B11-0.00054*((3/(2+B10/100))*B11)^2)</f>
        <v>38.046190711734816</v>
      </c>
      <c r="C12" s="2" t="s">
        <v>66</v>
      </c>
    </row>
    <row r="13" spans="1:10" x14ac:dyDescent="0.25">
      <c r="B13" s="17"/>
    </row>
    <row r="15" spans="1:10" x14ac:dyDescent="0.25">
      <c r="A15" s="73" t="s">
        <v>163</v>
      </c>
      <c r="B15" s="74"/>
      <c r="C15" s="75"/>
    </row>
    <row r="16" spans="1:10" x14ac:dyDescent="0.25">
      <c r="A16" s="47" t="s">
        <v>149</v>
      </c>
      <c r="B16" s="47">
        <f>1.2/2</f>
        <v>0.6</v>
      </c>
      <c r="C16" s="47" t="s">
        <v>0</v>
      </c>
      <c r="D16" t="s">
        <v>10</v>
      </c>
    </row>
    <row r="17" spans="1:13" x14ac:dyDescent="0.25">
      <c r="A17" s="47" t="s">
        <v>150</v>
      </c>
      <c r="B17" s="47">
        <f>13.5/2</f>
        <v>6.75</v>
      </c>
      <c r="C17" s="47" t="s">
        <v>0</v>
      </c>
      <c r="D17" t="s">
        <v>11</v>
      </c>
    </row>
    <row r="18" spans="1:13" x14ac:dyDescent="0.25">
      <c r="A18" s="9" t="s">
        <v>155</v>
      </c>
      <c r="B18" s="59">
        <f>B17/B16</f>
        <v>11.25</v>
      </c>
      <c r="C18" s="10" t="s">
        <v>109</v>
      </c>
    </row>
    <row r="19" spans="1:13" x14ac:dyDescent="0.25">
      <c r="A19" s="47" t="s">
        <v>151</v>
      </c>
      <c r="B19" s="45">
        <f>0.61</f>
        <v>0.61</v>
      </c>
      <c r="C19" s="47" t="s">
        <v>132</v>
      </c>
    </row>
    <row r="20" spans="1:13" x14ac:dyDescent="0.25">
      <c r="A20" s="47" t="s">
        <v>157</v>
      </c>
      <c r="B20" s="61">
        <f>2*PI()/B19</f>
        <v>10.300303782261617</v>
      </c>
      <c r="C20" s="47" t="s">
        <v>8</v>
      </c>
      <c r="D20" t="s">
        <v>156</v>
      </c>
    </row>
    <row r="21" spans="1:13" ht="18" x14ac:dyDescent="0.25">
      <c r="A21" s="64" t="s">
        <v>158</v>
      </c>
      <c r="B21" s="61">
        <f>2*PI()*B20</f>
        <v>64.718717384192516</v>
      </c>
      <c r="C21" s="47" t="s">
        <v>8</v>
      </c>
      <c r="D21" t="s">
        <v>9</v>
      </c>
    </row>
    <row r="22" spans="1:13" ht="18" x14ac:dyDescent="0.35">
      <c r="A22" s="44" t="s">
        <v>159</v>
      </c>
      <c r="B22" s="66">
        <f>B21*B16/B2</f>
        <v>0.19611732540664403</v>
      </c>
      <c r="C22" s="62"/>
    </row>
    <row r="23" spans="1:13" x14ac:dyDescent="0.25">
      <c r="A23" s="73" t="s">
        <v>196</v>
      </c>
      <c r="B23" s="74"/>
      <c r="C23" s="75"/>
      <c r="D23" s="73" t="s">
        <v>161</v>
      </c>
      <c r="E23" s="74"/>
      <c r="F23" s="75"/>
      <c r="G23" s="73" t="s">
        <v>164</v>
      </c>
      <c r="H23" s="74"/>
      <c r="I23" s="75"/>
    </row>
    <row r="24" spans="1:13" x14ac:dyDescent="0.25">
      <c r="A24" s="67" t="s">
        <v>152</v>
      </c>
      <c r="B24" s="68">
        <f>(B16*2*B17*2)/(4*B17^2)</f>
        <v>8.8888888888888878E-2</v>
      </c>
      <c r="C24" s="44" t="s">
        <v>109</v>
      </c>
      <c r="D24" s="44" t="s">
        <v>162</v>
      </c>
      <c r="E24">
        <f>2*B6*B17*(2+2.5*B24^0.85)/(2-B7)</f>
        <v>2456214.6429102998</v>
      </c>
      <c r="F24" s="44" t="s">
        <v>154</v>
      </c>
      <c r="G24" s="44" t="s">
        <v>162</v>
      </c>
      <c r="H24">
        <f>E24-0.2*B6*B17*(1-B16/B17)/(0.75-B7)</f>
        <v>2015155.6651907717</v>
      </c>
      <c r="I24" s="44" t="s">
        <v>154</v>
      </c>
      <c r="M24">
        <f>B27/17.5</f>
        <v>174073.8117578435</v>
      </c>
    </row>
    <row r="25" spans="1:13" x14ac:dyDescent="0.25">
      <c r="A25" s="44" t="s">
        <v>153</v>
      </c>
      <c r="B25" s="44">
        <f>((2*B6*B17)/(1-B7))*(0.73+1.54*B24^0.75)</f>
        <v>2769356.0961475102</v>
      </c>
      <c r="C25" s="44" t="s">
        <v>154</v>
      </c>
      <c r="D25" s="44" t="s">
        <v>162</v>
      </c>
      <c r="E25" s="47">
        <v>1.2</v>
      </c>
      <c r="F25" s="47" t="s">
        <v>109</v>
      </c>
      <c r="G25" s="44" t="s">
        <v>162</v>
      </c>
      <c r="H25" s="47">
        <v>1</v>
      </c>
      <c r="I25" s="47" t="s">
        <v>109</v>
      </c>
    </row>
    <row r="26" spans="1:13" x14ac:dyDescent="0.25">
      <c r="A26" s="44" t="s">
        <v>153</v>
      </c>
      <c r="B26" s="47">
        <v>1.1000000000000001</v>
      </c>
      <c r="C26" s="47" t="s">
        <v>109</v>
      </c>
      <c r="D26" s="69" t="s">
        <v>160</v>
      </c>
      <c r="E26" s="47">
        <f>E24*E25</f>
        <v>2947457.5714923595</v>
      </c>
      <c r="F26" s="44" t="s">
        <v>154</v>
      </c>
      <c r="G26" s="69" t="s">
        <v>160</v>
      </c>
      <c r="H26" s="47">
        <f>H24*H25</f>
        <v>2015155.6651907717</v>
      </c>
      <c r="I26" s="44" t="s">
        <v>154</v>
      </c>
    </row>
    <row r="27" spans="1:13" x14ac:dyDescent="0.25">
      <c r="A27" s="69" t="s">
        <v>160</v>
      </c>
      <c r="B27" s="47">
        <f>B25*B26</f>
        <v>3046291.7057622615</v>
      </c>
      <c r="C27" s="44" t="s">
        <v>154</v>
      </c>
    </row>
  </sheetData>
  <mergeCells count="5">
    <mergeCell ref="E2:I7"/>
    <mergeCell ref="A23:C23"/>
    <mergeCell ref="A15:C15"/>
    <mergeCell ref="D23:F23"/>
    <mergeCell ref="G23:I2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37F5-C10F-4A38-9E5E-F023D1587985}">
  <sheetPr>
    <pageSetUpPr fitToPage="1"/>
  </sheetPr>
  <dimension ref="A1:F55"/>
  <sheetViews>
    <sheetView tabSelected="1" topLeftCell="A30" zoomScale="70" zoomScaleNormal="70" workbookViewId="0">
      <selection activeCell="B52" sqref="B52"/>
    </sheetView>
  </sheetViews>
  <sheetFormatPr defaultRowHeight="15" x14ac:dyDescent="0.25"/>
  <cols>
    <col min="1" max="1" width="15.5703125" customWidth="1"/>
    <col min="2" max="2" width="14.42578125" customWidth="1"/>
    <col min="3" max="3" width="18.28515625" customWidth="1"/>
    <col min="4" max="4" width="19" customWidth="1"/>
    <col min="5" max="5" width="19.28515625" customWidth="1"/>
    <col min="6" max="6" width="17.7109375" customWidth="1"/>
    <col min="7" max="7" width="16.7109375" customWidth="1"/>
    <col min="8" max="8" width="16.42578125" customWidth="1"/>
  </cols>
  <sheetData>
    <row r="1" spans="1:5" x14ac:dyDescent="0.25">
      <c r="A1" s="78" t="s">
        <v>65</v>
      </c>
      <c r="B1" s="79"/>
      <c r="C1" s="79"/>
      <c r="D1" s="9"/>
    </row>
    <row r="2" spans="1:5" x14ac:dyDescent="0.25">
      <c r="A2" s="2" t="s">
        <v>12</v>
      </c>
      <c r="B2" s="2">
        <v>1.2</v>
      </c>
      <c r="C2" s="2" t="s">
        <v>0</v>
      </c>
      <c r="D2" s="9"/>
    </row>
    <row r="3" spans="1:5" x14ac:dyDescent="0.25">
      <c r="A3" s="2" t="s">
        <v>1</v>
      </c>
      <c r="B3" s="2">
        <v>0.3</v>
      </c>
      <c r="C3" s="2" t="s">
        <v>0</v>
      </c>
      <c r="D3" s="9"/>
    </row>
    <row r="4" spans="1:5" x14ac:dyDescent="0.25">
      <c r="A4" s="2" t="s">
        <v>13</v>
      </c>
      <c r="B4" s="2">
        <v>0.4</v>
      </c>
      <c r="C4" s="2" t="s">
        <v>0</v>
      </c>
      <c r="D4" s="9"/>
    </row>
    <row r="5" spans="1:5" x14ac:dyDescent="0.25">
      <c r="A5" s="2" t="s">
        <v>14</v>
      </c>
      <c r="B5" s="2">
        <f>B2-B4</f>
        <v>0.79999999999999993</v>
      </c>
      <c r="C5" s="2" t="s">
        <v>0</v>
      </c>
      <c r="D5" s="9"/>
    </row>
    <row r="6" spans="1:5" x14ac:dyDescent="0.25">
      <c r="A6" s="2" t="s">
        <v>15</v>
      </c>
      <c r="B6" s="2">
        <f>B4*B2</f>
        <v>0.48</v>
      </c>
      <c r="C6" s="2" t="s">
        <v>21</v>
      </c>
      <c r="D6" s="9"/>
    </row>
    <row r="7" spans="1:5" x14ac:dyDescent="0.25">
      <c r="A7" s="2" t="s">
        <v>16</v>
      </c>
      <c r="B7" s="2">
        <f>B5*B3</f>
        <v>0.23999999999999996</v>
      </c>
      <c r="C7" s="2" t="s">
        <v>21</v>
      </c>
    </row>
    <row r="8" spans="1:5" x14ac:dyDescent="0.25">
      <c r="A8" s="2" t="s">
        <v>17</v>
      </c>
      <c r="B8" s="2">
        <f>B6+B7</f>
        <v>0.72</v>
      </c>
      <c r="C8" s="2" t="s">
        <v>21</v>
      </c>
    </row>
    <row r="9" spans="1:5" x14ac:dyDescent="0.25">
      <c r="A9" s="2" t="s">
        <v>18</v>
      </c>
      <c r="B9" s="2">
        <f>B4/2</f>
        <v>0.2</v>
      </c>
      <c r="C9" s="2" t="s">
        <v>0</v>
      </c>
    </row>
    <row r="10" spans="1:5" x14ac:dyDescent="0.25">
      <c r="A10" s="2" t="s">
        <v>19</v>
      </c>
      <c r="B10" s="2">
        <f>B4+B5/2</f>
        <v>0.8</v>
      </c>
      <c r="C10" s="2" t="s">
        <v>0</v>
      </c>
    </row>
    <row r="11" spans="1:5" x14ac:dyDescent="0.25">
      <c r="A11" s="2" t="s">
        <v>20</v>
      </c>
      <c r="B11" s="7">
        <f>(B6*B9+B7*B10)/B8</f>
        <v>0.39999999999999997</v>
      </c>
      <c r="C11" s="2" t="s">
        <v>0</v>
      </c>
    </row>
    <row r="12" spans="1:5" x14ac:dyDescent="0.25">
      <c r="A12" s="9"/>
      <c r="B12" s="9"/>
      <c r="C12" s="9"/>
    </row>
    <row r="13" spans="1:5" x14ac:dyDescent="0.25">
      <c r="A13" s="80" t="s">
        <v>42</v>
      </c>
      <c r="B13" s="81"/>
      <c r="C13" s="81"/>
      <c r="D13" s="81"/>
      <c r="E13" s="82"/>
    </row>
    <row r="14" spans="1:5" ht="17.25" x14ac:dyDescent="0.25">
      <c r="A14" s="2" t="s">
        <v>22</v>
      </c>
      <c r="B14" s="2" t="s">
        <v>23</v>
      </c>
      <c r="C14" s="8" t="s">
        <v>26</v>
      </c>
      <c r="D14" s="2" t="s">
        <v>25</v>
      </c>
      <c r="E14" s="2" t="s">
        <v>24</v>
      </c>
    </row>
    <row r="15" spans="1:5" x14ac:dyDescent="0.25">
      <c r="A15" s="2">
        <f>B8*1000^2</f>
        <v>720000</v>
      </c>
      <c r="B15" s="2">
        <f>A15*0.002</f>
        <v>1440</v>
      </c>
      <c r="C15" s="2">
        <v>22</v>
      </c>
      <c r="D15" s="2">
        <v>2</v>
      </c>
      <c r="E15" s="7">
        <f>D15*PI()*(C15^2)/4+D16*PI()*(C16^2)/4</f>
        <v>1520.5308443374599</v>
      </c>
    </row>
    <row r="16" spans="1:5" x14ac:dyDescent="0.25">
      <c r="C16" s="47">
        <v>22</v>
      </c>
      <c r="D16" s="47">
        <v>2</v>
      </c>
    </row>
    <row r="17" spans="1:6" x14ac:dyDescent="0.25">
      <c r="D17" s="3"/>
      <c r="E17" s="3"/>
      <c r="F17" s="9"/>
    </row>
    <row r="18" spans="1:6" x14ac:dyDescent="0.25">
      <c r="A18" s="77" t="s">
        <v>37</v>
      </c>
      <c r="B18" s="77"/>
      <c r="D18" s="9"/>
      <c r="E18" s="9"/>
      <c r="F18" s="9"/>
    </row>
    <row r="19" spans="1:6" x14ac:dyDescent="0.25">
      <c r="A19" s="11" t="s">
        <v>28</v>
      </c>
      <c r="B19" s="11">
        <v>300</v>
      </c>
      <c r="D19" s="9"/>
      <c r="E19" s="9"/>
      <c r="F19" s="9"/>
    </row>
    <row r="20" spans="1:6" x14ac:dyDescent="0.25">
      <c r="A20" s="11" t="s">
        <v>29</v>
      </c>
      <c r="B20" s="12">
        <f>391.3</f>
        <v>391.3</v>
      </c>
      <c r="D20" s="9"/>
      <c r="E20" s="9"/>
      <c r="F20" s="9"/>
    </row>
    <row r="21" spans="1:6" x14ac:dyDescent="0.25">
      <c r="A21" s="11" t="s">
        <v>30</v>
      </c>
      <c r="B21" s="12">
        <f>0.5*17</f>
        <v>8.5</v>
      </c>
      <c r="D21" s="9"/>
      <c r="E21" s="9"/>
      <c r="F21" s="9"/>
    </row>
    <row r="22" spans="1:6" ht="17.25" x14ac:dyDescent="0.25">
      <c r="A22" s="11" t="s">
        <v>24</v>
      </c>
      <c r="B22" s="12">
        <f>E34</f>
        <v>157.07963267948966</v>
      </c>
      <c r="F22" s="9"/>
    </row>
    <row r="23" spans="1:6" x14ac:dyDescent="0.25">
      <c r="A23" s="11" t="s">
        <v>31</v>
      </c>
      <c r="B23" s="11">
        <v>250</v>
      </c>
      <c r="E23" s="9"/>
      <c r="F23" s="9"/>
    </row>
    <row r="24" spans="1:6" x14ac:dyDescent="0.25">
      <c r="A24" s="13" t="s">
        <v>32</v>
      </c>
      <c r="B24" s="12">
        <f>_xlfn.ACOT(SQRT(((B23*B19*B21)/(E34*B20))-1))</f>
        <v>0.31572888632996254</v>
      </c>
      <c r="F24" s="9"/>
    </row>
    <row r="25" spans="1:6" x14ac:dyDescent="0.25">
      <c r="A25" s="13" t="s">
        <v>6</v>
      </c>
      <c r="B25" s="14">
        <f>DEGREES(B24)</f>
        <v>18.089932657072566</v>
      </c>
      <c r="C25" s="9"/>
    </row>
    <row r="26" spans="1:6" x14ac:dyDescent="0.25">
      <c r="A26" s="13" t="s">
        <v>33</v>
      </c>
      <c r="B26" s="12">
        <f>_xlfn.COT(B24)</f>
        <v>3.0613252630307608</v>
      </c>
      <c r="C26" s="9"/>
    </row>
    <row r="27" spans="1:6" x14ac:dyDescent="0.25">
      <c r="A27" s="13" t="s">
        <v>41</v>
      </c>
      <c r="B27" s="11">
        <v>2.5</v>
      </c>
      <c r="C27" s="9"/>
    </row>
    <row r="28" spans="1:6" x14ac:dyDescent="0.25">
      <c r="A28" s="13" t="s">
        <v>34</v>
      </c>
      <c r="B28" s="11">
        <f>(B5+B4)*1000-61</f>
        <v>1139</v>
      </c>
    </row>
    <row r="29" spans="1:6" ht="18" x14ac:dyDescent="0.35">
      <c r="A29" s="11" t="s">
        <v>35</v>
      </c>
      <c r="B29" s="12">
        <f>(0.9*$B$28*$B$19*$B$21*($B$27/(1+$B$27^2)))/1000</f>
        <v>901.38103448275888</v>
      </c>
    </row>
    <row r="30" spans="1:6" ht="18" x14ac:dyDescent="0.35">
      <c r="A30" s="11" t="s">
        <v>36</v>
      </c>
      <c r="B30" s="12">
        <f>(0.9*$B$28*($E$34/B23)*$B$20*$B$27)/1000</f>
        <v>630.08038300198166</v>
      </c>
    </row>
    <row r="32" spans="1:6" x14ac:dyDescent="0.25">
      <c r="A32" s="77" t="s">
        <v>27</v>
      </c>
      <c r="B32" s="77"/>
      <c r="C32" s="77"/>
      <c r="D32" s="77"/>
      <c r="E32" s="77"/>
      <c r="F32" s="77"/>
    </row>
    <row r="33" spans="1:6" ht="17.25" x14ac:dyDescent="0.25">
      <c r="A33" s="2" t="s">
        <v>195</v>
      </c>
      <c r="B33" s="8" t="s">
        <v>26</v>
      </c>
      <c r="C33" s="2" t="s">
        <v>38</v>
      </c>
      <c r="D33" s="2" t="s">
        <v>39</v>
      </c>
      <c r="E33" s="2" t="s">
        <v>24</v>
      </c>
      <c r="F33" s="2" t="s">
        <v>40</v>
      </c>
    </row>
    <row r="34" spans="1:6" x14ac:dyDescent="0.25">
      <c r="A34" s="2">
        <f>1.5*B19</f>
        <v>450</v>
      </c>
      <c r="B34" s="2">
        <v>10</v>
      </c>
      <c r="C34" s="2">
        <v>2</v>
      </c>
      <c r="D34" s="2">
        <v>250</v>
      </c>
      <c r="E34" s="7">
        <f>C34*PI()*(B34^2)/4</f>
        <v>157.07963267948966</v>
      </c>
      <c r="F34" s="7">
        <f>1000/D34*E34</f>
        <v>628.31853071795865</v>
      </c>
    </row>
    <row r="36" spans="1:6" x14ac:dyDescent="0.25">
      <c r="A36" s="76" t="s">
        <v>165</v>
      </c>
      <c r="B36" s="76"/>
      <c r="C36" s="76"/>
    </row>
    <row r="37" spans="1:6" x14ac:dyDescent="0.25">
      <c r="A37" s="47" t="s">
        <v>168</v>
      </c>
      <c r="B37" s="47">
        <f>(B2-B3)/2</f>
        <v>0.44999999999999996</v>
      </c>
      <c r="C37" s="47" t="s">
        <v>0</v>
      </c>
      <c r="D37" t="s">
        <v>185</v>
      </c>
    </row>
    <row r="38" spans="1:6" ht="18" x14ac:dyDescent="0.35">
      <c r="A38" s="47" t="s">
        <v>167</v>
      </c>
      <c r="B38" s="47">
        <f>534.25*1</f>
        <v>534.25</v>
      </c>
      <c r="C38" s="47" t="s">
        <v>154</v>
      </c>
    </row>
    <row r="39" spans="1:6" ht="18" x14ac:dyDescent="0.35">
      <c r="A39" s="47" t="s">
        <v>166</v>
      </c>
      <c r="B39" s="45">
        <f>B38*B37^2/2</f>
        <v>54.092812499999987</v>
      </c>
      <c r="C39" s="47" t="s">
        <v>176</v>
      </c>
    </row>
    <row r="40" spans="1:6" ht="18" x14ac:dyDescent="0.35">
      <c r="A40" s="47" t="s">
        <v>192</v>
      </c>
      <c r="B40" s="45">
        <f>B38*B37</f>
        <v>240.41249999999997</v>
      </c>
      <c r="C40" s="47" t="s">
        <v>103</v>
      </c>
    </row>
    <row r="41" spans="1:6" x14ac:dyDescent="0.25">
      <c r="A41" s="47" t="s">
        <v>169</v>
      </c>
      <c r="B41" s="47">
        <f>B4</f>
        <v>0.4</v>
      </c>
      <c r="C41" s="47" t="s">
        <v>0</v>
      </c>
      <c r="D41" t="s">
        <v>173</v>
      </c>
    </row>
    <row r="42" spans="1:6" x14ac:dyDescent="0.25">
      <c r="A42" s="47" t="s">
        <v>171</v>
      </c>
      <c r="B42" s="47">
        <v>40</v>
      </c>
      <c r="C42" s="47" t="s">
        <v>172</v>
      </c>
      <c r="D42" t="s">
        <v>174</v>
      </c>
    </row>
    <row r="43" spans="1:6" x14ac:dyDescent="0.25">
      <c r="A43" s="47" t="s">
        <v>175</v>
      </c>
      <c r="B43" s="47">
        <f>B41*1000-B42</f>
        <v>360</v>
      </c>
      <c r="C43" s="47" t="s">
        <v>172</v>
      </c>
    </row>
    <row r="44" spans="1:6" ht="18.75" x14ac:dyDescent="0.35">
      <c r="A44" s="47" t="s">
        <v>170</v>
      </c>
      <c r="B44" s="45">
        <f>B39*1000^2/(0.9*391*B43)</f>
        <v>426.99008951406631</v>
      </c>
      <c r="C44" s="47" t="s">
        <v>177</v>
      </c>
      <c r="D44" t="s">
        <v>184</v>
      </c>
    </row>
    <row r="45" spans="1:6" x14ac:dyDescent="0.25">
      <c r="A45" s="65" t="s">
        <v>181</v>
      </c>
      <c r="B45" s="47">
        <v>10</v>
      </c>
      <c r="C45" s="47" t="s">
        <v>172</v>
      </c>
    </row>
    <row r="46" spans="1:6" x14ac:dyDescent="0.25">
      <c r="A46" s="47" t="s">
        <v>179</v>
      </c>
      <c r="B46" s="71">
        <v>4</v>
      </c>
      <c r="C46" s="47" t="s">
        <v>109</v>
      </c>
      <c r="D46" t="s">
        <v>180</v>
      </c>
    </row>
    <row r="47" spans="1:6" x14ac:dyDescent="0.25">
      <c r="A47" s="47" t="s">
        <v>132</v>
      </c>
      <c r="B47" s="47">
        <f>1000/B46</f>
        <v>250</v>
      </c>
      <c r="C47" s="47" t="s">
        <v>172</v>
      </c>
      <c r="D47" t="s">
        <v>178</v>
      </c>
    </row>
    <row r="48" spans="1:6" ht="17.25" x14ac:dyDescent="0.25">
      <c r="A48" s="47" t="s">
        <v>182</v>
      </c>
      <c r="B48" s="45">
        <f>B46*2*PI()*B45^2/4</f>
        <v>628.31853071795865</v>
      </c>
      <c r="C48" s="47" t="s">
        <v>177</v>
      </c>
      <c r="D48" t="s">
        <v>183</v>
      </c>
    </row>
    <row r="49" spans="1:3" x14ac:dyDescent="0.25">
      <c r="A49" s="44" t="s">
        <v>187</v>
      </c>
      <c r="B49" s="45">
        <f>MIN(1+SQRT(200/B43),2)</f>
        <v>1.7453559924999298</v>
      </c>
      <c r="C49" s="44" t="s">
        <v>109</v>
      </c>
    </row>
    <row r="50" spans="1:3" x14ac:dyDescent="0.25">
      <c r="A50" s="54" t="s">
        <v>188</v>
      </c>
      <c r="B50" s="63">
        <f>B48/(1000*B43)</f>
        <v>1.7453292519943296E-3</v>
      </c>
      <c r="C50" s="47" t="s">
        <v>109</v>
      </c>
    </row>
    <row r="51" spans="1:3" ht="17.25" x14ac:dyDescent="0.25">
      <c r="A51" s="54" t="s">
        <v>189</v>
      </c>
      <c r="B51" s="47">
        <v>30</v>
      </c>
      <c r="C51" s="47" t="s">
        <v>190</v>
      </c>
    </row>
    <row r="52" spans="1:3" ht="18" x14ac:dyDescent="0.35">
      <c r="A52" s="44" t="s">
        <v>186</v>
      </c>
      <c r="B52" s="70">
        <f>((0.18*B49*(1000*B50*B51)^(1/3))*1000*B43/1.5)/1000</f>
        <v>282.07676159389109</v>
      </c>
      <c r="C52" s="47" t="s">
        <v>103</v>
      </c>
    </row>
    <row r="53" spans="1:3" ht="18" x14ac:dyDescent="0.35">
      <c r="A53" s="44" t="s">
        <v>191</v>
      </c>
      <c r="B53" s="45">
        <f>B40/B52</f>
        <v>0.85229459754690606</v>
      </c>
      <c r="C53" s="44" t="str">
        <f>IF(B52&gt;B40,"OK","NO")</f>
        <v>OK</v>
      </c>
    </row>
    <row r="54" spans="1:3" x14ac:dyDescent="0.25">
      <c r="A54" s="76" t="s">
        <v>194</v>
      </c>
      <c r="B54" s="76"/>
      <c r="C54" s="76"/>
    </row>
    <row r="55" spans="1:3" x14ac:dyDescent="0.25">
      <c r="A55" s="44" t="s">
        <v>193</v>
      </c>
      <c r="B55" s="45">
        <f>TAN(RADIANS(40))*B37</f>
        <v>0.37759483402977595</v>
      </c>
      <c r="C55" s="44" t="str">
        <f>IF(B4&gt;B55,"OK","NO")</f>
        <v>OK</v>
      </c>
    </row>
  </sheetData>
  <mergeCells count="6">
    <mergeCell ref="A36:C36"/>
    <mergeCell ref="A54:C54"/>
    <mergeCell ref="A18:B18"/>
    <mergeCell ref="A32:F32"/>
    <mergeCell ref="A1:C1"/>
    <mergeCell ref="A13:E13"/>
  </mergeCells>
  <conditionalFormatting sqref="C53">
    <cfRule type="cellIs" dxfId="19" priority="3" operator="equal">
      <formula>"NO"</formula>
    </cfRule>
    <cfRule type="cellIs" dxfId="18" priority="4" operator="equal">
      <formula>"OK"</formula>
    </cfRule>
  </conditionalFormatting>
  <conditionalFormatting sqref="C55">
    <cfRule type="cellIs" dxfId="17" priority="1" operator="equal">
      <formula>"NO"</formula>
    </cfRule>
    <cfRule type="cellIs" dxfId="16" priority="2" operator="equal">
      <formula>"OK"</formula>
    </cfRule>
  </conditionalFormatting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CE1D-1E28-4184-ACB9-DBD57913E12A}">
  <dimension ref="A1:P15"/>
  <sheetViews>
    <sheetView zoomScale="55" zoomScaleNormal="55" workbookViewId="0">
      <selection activeCell="J5" sqref="J5"/>
    </sheetView>
  </sheetViews>
  <sheetFormatPr defaultRowHeight="15" x14ac:dyDescent="0.25"/>
  <sheetData>
    <row r="1" spans="1:16" x14ac:dyDescent="0.25">
      <c r="A1" s="83" t="s">
        <v>101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6" x14ac:dyDescent="0.25">
      <c r="A2" s="35" t="s">
        <v>110</v>
      </c>
      <c r="B2" s="34" t="s">
        <v>106</v>
      </c>
      <c r="C2" s="35" t="s">
        <v>107</v>
      </c>
      <c r="D2" s="36" t="s">
        <v>108</v>
      </c>
      <c r="E2" s="36" t="s">
        <v>100</v>
      </c>
      <c r="F2" s="36" t="s">
        <v>102</v>
      </c>
      <c r="G2" s="35" t="s">
        <v>106</v>
      </c>
      <c r="H2" s="36" t="s">
        <v>107</v>
      </c>
      <c r="I2" s="36" t="s">
        <v>108</v>
      </c>
      <c r="J2" s="36" t="s">
        <v>102</v>
      </c>
      <c r="K2" s="36" t="s">
        <v>100</v>
      </c>
    </row>
    <row r="3" spans="1:16" x14ac:dyDescent="0.25">
      <c r="A3" s="38" t="s">
        <v>109</v>
      </c>
      <c r="B3" s="37" t="s">
        <v>104</v>
      </c>
      <c r="C3" s="38" t="s">
        <v>104</v>
      </c>
      <c r="D3" s="39" t="s">
        <v>104</v>
      </c>
      <c r="E3" s="39" t="s">
        <v>0</v>
      </c>
      <c r="F3" s="39" t="s">
        <v>103</v>
      </c>
      <c r="G3" s="38" t="s">
        <v>105</v>
      </c>
      <c r="H3" s="39" t="s">
        <v>105</v>
      </c>
      <c r="I3" s="39" t="s">
        <v>105</v>
      </c>
      <c r="J3" s="39" t="s">
        <v>103</v>
      </c>
      <c r="K3" s="39" t="s">
        <v>0</v>
      </c>
      <c r="N3" s="58" t="s">
        <v>146</v>
      </c>
      <c r="P3" t="s">
        <v>147</v>
      </c>
    </row>
    <row r="4" spans="1:16" x14ac:dyDescent="0.25">
      <c r="A4" s="9">
        <v>1</v>
      </c>
      <c r="B4" s="4">
        <f>'[1]CDS TRAVI IN Y'!K4*$P$4</f>
        <v>1649.3014999999998</v>
      </c>
      <c r="C4" s="4">
        <f>'[1]CDS TRAVI IN Y'!L4*$N$4</f>
        <v>391.91570000000002</v>
      </c>
      <c r="D4" s="4">
        <f>'[1]CDS TRAVI IN Y'!M4*$N$4</f>
        <v>730.99223999999992</v>
      </c>
      <c r="E4" s="4">
        <f>'[1]CDS TRAVI IN Y'!N4</f>
        <v>0.44321322693273485</v>
      </c>
      <c r="F4" s="4">
        <f>'[1]CDS TRAVI IN Y'!O4</f>
        <v>1541.1151253537159</v>
      </c>
      <c r="G4" s="4">
        <f>'[1]CDS TRAVI IN Y'!P4*$P$4</f>
        <v>1340.5953000000004</v>
      </c>
      <c r="H4" s="4">
        <f>'[1]CDS TRAVI IN Y'!Q4*$N$4</f>
        <v>-391.9212</v>
      </c>
      <c r="I4" s="4">
        <f>'[1]CDS TRAVI IN Y'!R4*$N$4</f>
        <v>730.98432000000003</v>
      </c>
      <c r="J4" s="4">
        <f>'[1]CDS TRAVI IN Y'!T4</f>
        <v>1964.7701087717617</v>
      </c>
      <c r="K4" s="4">
        <f>'[1]CDS TRAVI IN Y'!S4</f>
        <v>0.54526844902410143</v>
      </c>
      <c r="N4">
        <v>1.1000000000000001</v>
      </c>
      <c r="P4">
        <v>1.1000000000000001</v>
      </c>
    </row>
    <row r="5" spans="1:16" x14ac:dyDescent="0.25">
      <c r="A5" s="9">
        <v>2</v>
      </c>
      <c r="B5" s="4">
        <f>'[1]CDS TRAVI IN Y'!K8*$P$4</f>
        <v>2138.29495</v>
      </c>
      <c r="C5" s="4">
        <f>'[1]CDS TRAVI IN Y'!L8*$N$4</f>
        <v>372.1311</v>
      </c>
      <c r="D5" s="4">
        <f>'[1]CDS TRAVI IN Y'!M8*$N$4</f>
        <v>694.89277000000016</v>
      </c>
      <c r="E5" s="4">
        <f>'[1]CDS TRAVI IN Y'!N8</f>
        <v>0.32497517239144214</v>
      </c>
      <c r="F5" s="4">
        <f>'[1]CDS TRAVI IN Y'!O8</f>
        <v>1973.122467491881</v>
      </c>
      <c r="G5" s="4">
        <f>'[1]CDS TRAVI IN Y'!P8*$P$4</f>
        <v>2890.1576000000005</v>
      </c>
      <c r="H5" s="4">
        <f>'[1]CDS TRAVI IN Y'!Q8*$N$4</f>
        <v>-372.12889999999999</v>
      </c>
      <c r="I5" s="4">
        <f>'[1]CDS TRAVI IN Y'!R8*$N$4</f>
        <v>694.89464000000009</v>
      </c>
      <c r="J5" s="4">
        <f>'[1]CDS TRAVI IN Y'!T8</f>
        <v>3285.8069189739754</v>
      </c>
      <c r="K5" s="4">
        <f>'[1]CDS TRAVI IN Y'!S8</f>
        <v>0.24043486071486203</v>
      </c>
    </row>
    <row r="6" spans="1:16" x14ac:dyDescent="0.25">
      <c r="A6" s="9">
        <v>3</v>
      </c>
      <c r="B6" s="4">
        <f>'[1]CDS TRAVI IN Y'!K12*$P$4</f>
        <v>2513.8762000000002</v>
      </c>
      <c r="C6" s="4">
        <f>'[1]CDS TRAVI IN Y'!L12*$N$4</f>
        <v>353.36399999999998</v>
      </c>
      <c r="D6" s="4">
        <f>'[1]CDS TRAVI IN Y'!M12*$N$4</f>
        <v>659.91728000000023</v>
      </c>
      <c r="E6" s="4">
        <f>'[1]CDS TRAVI IN Y'!N12</f>
        <v>0.26250985629284374</v>
      </c>
      <c r="F6" s="4">
        <f>'[1]CDS TRAVI IN Y'!O12</f>
        <v>2307.8091763757247</v>
      </c>
      <c r="G6" s="4">
        <f>'[1]CDS TRAVI IN Y'!P12*$P$4</f>
        <v>3519.0738000000006</v>
      </c>
      <c r="H6" s="4">
        <f>'[1]CDS TRAVI IN Y'!Q12*$N$4</f>
        <v>-353.36400000000003</v>
      </c>
      <c r="I6" s="4">
        <f>'[1]CDS TRAVI IN Y'!R12*$N$4</f>
        <v>659.9150800000001</v>
      </c>
      <c r="J6" s="4">
        <f>'[1]CDS TRAVI IN Y'!T12</f>
        <v>3944.6920163084983</v>
      </c>
      <c r="K6" s="4">
        <f>'[1]CDS TRAVI IN Y'!S12</f>
        <v>0.18752521757287385</v>
      </c>
    </row>
    <row r="7" spans="1:16" x14ac:dyDescent="0.25">
      <c r="A7" s="9">
        <v>4</v>
      </c>
      <c r="B7" s="4">
        <f>'[1]CDS TRAVI IN Y'!K16*$P$4</f>
        <v>2522.29945</v>
      </c>
      <c r="C7" s="4">
        <f>'[1]CDS TRAVI IN Y'!L16*$N$4</f>
        <v>389.9346000000001</v>
      </c>
      <c r="D7" s="4">
        <f>'[1]CDS TRAVI IN Y'!M16*$N$4</f>
        <v>728.24686000000008</v>
      </c>
      <c r="E7" s="4">
        <f>'[1]CDS TRAVI IN Y'!N16</f>
        <v>0.28872339483719905</v>
      </c>
      <c r="F7" s="4">
        <f>'[1]CDS TRAVI IN Y'!O16</f>
        <v>2320.2385720430239</v>
      </c>
      <c r="G7" s="4">
        <f>'[1]CDS TRAVI IN Y'!P16*$P$4</f>
        <v>3444.0505000000003</v>
      </c>
      <c r="H7" s="4">
        <f>'[1]CDS TRAVI IN Y'!Q16*$N$4</f>
        <v>-389.93570000000005</v>
      </c>
      <c r="I7" s="4">
        <f>'[1]CDS TRAVI IN Y'!R16*$N$4</f>
        <v>728.24587000000008</v>
      </c>
      <c r="J7" s="4">
        <f>'[1]CDS TRAVI IN Y'!T16</f>
        <v>3896.9714193487807</v>
      </c>
      <c r="K7" s="4">
        <f>'[1]CDS TRAVI IN Y'!S16</f>
        <v>0.21145040410992813</v>
      </c>
    </row>
    <row r="8" spans="1:16" x14ac:dyDescent="0.25">
      <c r="A8" s="9">
        <v>5</v>
      </c>
      <c r="B8" s="4">
        <f>'[1]CDS TRAVI IN Y'!K20*$P$4</f>
        <v>1656.1693500000001</v>
      </c>
      <c r="C8" s="4">
        <f>'[1]CDS TRAVI IN Y'!L20*$N$4</f>
        <v>423.21289999999999</v>
      </c>
      <c r="D8" s="4">
        <f>'[1]CDS TRAVI IN Y'!M20*$N$4</f>
        <v>789.50850000000003</v>
      </c>
      <c r="E8" s="4">
        <f>'[1]CDS TRAVI IN Y'!N20</f>
        <v>0.47670759031979426</v>
      </c>
      <c r="F8" s="4">
        <f>'[1]CDS TRAVI IN Y'!O20</f>
        <v>1553.9887558773553</v>
      </c>
      <c r="G8" s="4">
        <f>'[1]CDS TRAVI IN Y'!P20*$P$4</f>
        <v>1326.8309999999999</v>
      </c>
      <c r="H8" s="4">
        <f>'[1]CDS TRAVI IN Y'!Q20*$N$4</f>
        <v>-423.20850000000007</v>
      </c>
      <c r="I8" s="4">
        <f>'[1]CDS TRAVI IN Y'!R20*$N$4</f>
        <v>789.5149899999999</v>
      </c>
      <c r="J8" s="4">
        <f>'[1]CDS TRAVI IN Y'!T20</f>
        <v>1967.1867266462657</v>
      </c>
      <c r="K8" s="4">
        <f>'[1]CDS TRAVI IN Y'!S20</f>
        <v>0.5950380945274869</v>
      </c>
    </row>
    <row r="9" spans="1:16" x14ac:dyDescent="0.25">
      <c r="A9" s="83" t="s">
        <v>111</v>
      </c>
      <c r="B9" s="83"/>
      <c r="C9" s="83"/>
      <c r="D9" s="83"/>
      <c r="E9" s="83"/>
      <c r="F9" s="83"/>
      <c r="G9" s="83"/>
      <c r="H9" s="83"/>
      <c r="I9" s="83"/>
      <c r="J9" s="83"/>
      <c r="K9" s="83"/>
    </row>
    <row r="10" spans="1:16" x14ac:dyDescent="0.25">
      <c r="A10" s="35" t="s">
        <v>110</v>
      </c>
      <c r="B10" s="34" t="s">
        <v>106</v>
      </c>
      <c r="C10" s="35" t="s">
        <v>107</v>
      </c>
      <c r="D10" s="36" t="s">
        <v>108</v>
      </c>
      <c r="E10" s="36" t="s">
        <v>100</v>
      </c>
      <c r="F10" s="36" t="s">
        <v>102</v>
      </c>
      <c r="G10" s="35" t="s">
        <v>106</v>
      </c>
      <c r="H10" s="36" t="s">
        <v>107</v>
      </c>
      <c r="I10" s="36" t="s">
        <v>108</v>
      </c>
      <c r="J10" s="36" t="s">
        <v>102</v>
      </c>
      <c r="K10" s="36" t="s">
        <v>100</v>
      </c>
    </row>
    <row r="11" spans="1:16" x14ac:dyDescent="0.25">
      <c r="A11" s="38" t="s">
        <v>109</v>
      </c>
      <c r="B11" s="37" t="s">
        <v>104</v>
      </c>
      <c r="C11" s="38" t="s">
        <v>104</v>
      </c>
      <c r="D11" s="39" t="s">
        <v>104</v>
      </c>
      <c r="E11" s="39" t="s">
        <v>0</v>
      </c>
      <c r="F11" s="39" t="s">
        <v>103</v>
      </c>
      <c r="G11" s="38" t="s">
        <v>105</v>
      </c>
      <c r="H11" s="39" t="s">
        <v>105</v>
      </c>
      <c r="I11" s="39" t="s">
        <v>105</v>
      </c>
      <c r="J11" s="39" t="s">
        <v>103</v>
      </c>
      <c r="K11" s="39" t="s">
        <v>0</v>
      </c>
    </row>
    <row r="12" spans="1:16" x14ac:dyDescent="0.25">
      <c r="A12" s="9">
        <v>1</v>
      </c>
      <c r="B12" s="42">
        <f>'[1]CDS TRAVI in X'!K4*$P$4</f>
        <v>2158.2742499999999</v>
      </c>
      <c r="C12" s="42">
        <f>'[1]CDS TRAVI in X'!L4*$N$4</f>
        <v>686.90160000000003</v>
      </c>
      <c r="D12" s="42">
        <f>'[1]CDS TRAVI in X'!M4*$N$4</f>
        <v>1367.2352100000001</v>
      </c>
      <c r="E12" s="42">
        <f>'[1]CDS TRAVI in X'!N4</f>
        <v>0.63348539232212964</v>
      </c>
      <c r="F12" s="42">
        <f>'[1]CDS TRAVI in X'!O4</f>
        <v>2059.0420516570925</v>
      </c>
      <c r="G12" s="42">
        <f>'[1]CDS TRAVI in X'!P4*$P$4</f>
        <v>809.87005000000011</v>
      </c>
      <c r="H12" s="42">
        <f>'[1]CDS TRAVI in X'!Q4*$N$4</f>
        <v>686.7509</v>
      </c>
      <c r="I12" s="42">
        <f>'[1]CDS TRAVI in X'!R4*$N$4</f>
        <v>1369.6892</v>
      </c>
      <c r="J12" s="42">
        <f>'[1]CDS TRAVI in X'!T4</f>
        <v>965.31427526544428</v>
      </c>
      <c r="K12" s="42">
        <f>'[1]CDS TRAVI in X'!S4</f>
        <v>1.6912456510769847</v>
      </c>
    </row>
    <row r="13" spans="1:16" x14ac:dyDescent="0.25">
      <c r="A13" s="9">
        <v>2</v>
      </c>
      <c r="B13" s="42">
        <f>'[1]CDS TRAVI in X'!K9*$P$4</f>
        <v>3081.6978500000009</v>
      </c>
      <c r="C13" s="42">
        <f>'[1]CDS TRAVI in X'!L9*$N$4</f>
        <v>158.6464</v>
      </c>
      <c r="D13" s="42">
        <f>'[1]CDS TRAVI in X'!M9*$N$4</f>
        <v>355.87530000000004</v>
      </c>
      <c r="E13" s="42">
        <f>'[1]CDS TRAVI in X'!N9</f>
        <v>0.11548027007255106</v>
      </c>
      <c r="F13" s="42">
        <f>'[1]CDS TRAVI in X'!O9</f>
        <v>2805.2533833092962</v>
      </c>
      <c r="G13" s="42">
        <f>'[1]CDS TRAVI in X'!P9*$P$4</f>
        <v>2320.3081000000002</v>
      </c>
      <c r="H13" s="42">
        <f>'[1]CDS TRAVI in X'!Q9*$N$4</f>
        <v>158.80259999999998</v>
      </c>
      <c r="I13" s="42">
        <f>'[1]CDS TRAVI in X'!R9*$N$4</f>
        <v>356.80337000000009</v>
      </c>
      <c r="J13" s="42">
        <f>'[1]CDS TRAVI in X'!T9</f>
        <v>2114.3054551310697</v>
      </c>
      <c r="K13" s="42">
        <f>'[1]CDS TRAVI in X'!S9</f>
        <v>0.15377413456428482</v>
      </c>
    </row>
    <row r="14" spans="1:16" x14ac:dyDescent="0.25">
      <c r="A14" s="9">
        <v>3</v>
      </c>
      <c r="B14" s="42">
        <f>'[1]CDS TRAVI in X'!K14*$P$4</f>
        <v>3081.6940000000009</v>
      </c>
      <c r="C14" s="42">
        <f>'[1]CDS TRAVI in X'!L14*$N$4</f>
        <v>158.6464</v>
      </c>
      <c r="D14" s="42">
        <f>'[1]CDS TRAVI in X'!M14*$N$4</f>
        <v>355.87552000000005</v>
      </c>
      <c r="E14" s="42">
        <f>'[1]CDS TRAVI in X'!N14</f>
        <v>0.11548048573284693</v>
      </c>
      <c r="F14" s="42">
        <f>'[1]CDS TRAVI in X'!O14</f>
        <v>2805.2498879379718</v>
      </c>
      <c r="G14" s="42">
        <f>'[1]CDS TRAVI in X'!P14*$P$4</f>
        <v>2320.3053500000001</v>
      </c>
      <c r="H14" s="42">
        <f>'[1]CDS TRAVI in X'!Q14*$N$4</f>
        <v>158.80260000000004</v>
      </c>
      <c r="I14" s="42">
        <f>'[1]CDS TRAVI in X'!R14*$N$4</f>
        <v>356.80304000000001</v>
      </c>
      <c r="J14" s="42">
        <f>'[1]CDS TRAVI in X'!T14</f>
        <v>2114.3029609656819</v>
      </c>
      <c r="K14" s="42">
        <f>'[1]CDS TRAVI in X'!S14</f>
        <v>0.15377417459301207</v>
      </c>
    </row>
    <row r="15" spans="1:16" x14ac:dyDescent="0.25">
      <c r="A15" s="9">
        <v>4</v>
      </c>
      <c r="B15" s="42">
        <f>'[1]CDS TRAVI in X'!K19*$P$4</f>
        <v>2158.2753499999999</v>
      </c>
      <c r="C15" s="42">
        <f>'[1]CDS TRAVI in X'!L19*$N$4</f>
        <v>686.90600000000006</v>
      </c>
      <c r="D15" s="42">
        <f>'[1]CDS TRAVI in X'!M19*$N$4</f>
        <v>1367.2377400000003</v>
      </c>
      <c r="E15" s="42">
        <f>'[1]CDS TRAVI in X'!N19</f>
        <v>0.63348624168829992</v>
      </c>
      <c r="F15" s="42">
        <f>'[1]CDS TRAVI in X'!O19</f>
        <v>2059.0442176631973</v>
      </c>
      <c r="G15" s="42">
        <f>'[1]CDS TRAVI in X'!P19*$P$4</f>
        <v>809.87060000000008</v>
      </c>
      <c r="H15" s="42">
        <f>'[1]CDS TRAVI in X'!Q19*$N$4</f>
        <v>686.74650000000008</v>
      </c>
      <c r="I15" s="42">
        <f>'[1]CDS TRAVI in X'!R19*$N$4</f>
        <v>1369.6849100000002</v>
      </c>
      <c r="J15" s="42">
        <f>'[1]CDS TRAVI in X'!T19</f>
        <v>965.31206961324176</v>
      </c>
      <c r="K15" s="42">
        <f>'[1]CDS TRAVI in X'!S19</f>
        <v>1.6912392053742908</v>
      </c>
    </row>
  </sheetData>
  <mergeCells count="2">
    <mergeCell ref="A1:K1"/>
    <mergeCell ref="A9:K9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6259-7EE6-4503-B0FD-EAE6C5DC0101}">
  <sheetPr>
    <pageSetUpPr fitToPage="1"/>
  </sheetPr>
  <dimension ref="A1:T48"/>
  <sheetViews>
    <sheetView topLeftCell="A13" zoomScale="55" zoomScaleNormal="55" workbookViewId="0">
      <selection activeCell="D1" sqref="D1:H48"/>
    </sheetView>
  </sheetViews>
  <sheetFormatPr defaultRowHeight="15" x14ac:dyDescent="0.25"/>
  <cols>
    <col min="1" max="1" width="15.7109375" customWidth="1"/>
    <col min="2" max="2" width="12.85546875" customWidth="1"/>
    <col min="3" max="3" width="18.7109375" customWidth="1"/>
    <col min="4" max="4" width="16.5703125" customWidth="1"/>
    <col min="5" max="5" width="18.5703125" customWidth="1"/>
    <col min="6" max="6" width="19.7109375" customWidth="1"/>
    <col min="7" max="7" width="16.28515625" customWidth="1"/>
    <col min="8" max="8" width="21.85546875" customWidth="1"/>
    <col min="9" max="9" width="17.7109375" customWidth="1"/>
    <col min="10" max="10" width="19.42578125" customWidth="1"/>
    <col min="11" max="11" width="18" customWidth="1"/>
    <col min="12" max="12" width="17.5703125" customWidth="1"/>
    <col min="13" max="13" width="18.42578125" customWidth="1"/>
    <col min="14" max="14" width="20.85546875" customWidth="1"/>
    <col min="15" max="15" width="20.140625" customWidth="1"/>
    <col min="16" max="16" width="19.5703125" customWidth="1"/>
    <col min="17" max="17" width="18.85546875" customWidth="1"/>
    <col min="18" max="18" width="17.5703125" customWidth="1"/>
    <col min="19" max="19" width="18" customWidth="1"/>
    <col min="20" max="20" width="16.7109375" customWidth="1"/>
  </cols>
  <sheetData>
    <row r="1" spans="1:20" x14ac:dyDescent="0.25">
      <c r="A1" s="92" t="s">
        <v>45</v>
      </c>
      <c r="B1" s="92"/>
      <c r="C1" s="92"/>
      <c r="E1" s="91" t="s">
        <v>197</v>
      </c>
      <c r="F1" s="91"/>
      <c r="G1" s="91" t="s">
        <v>198</v>
      </c>
      <c r="H1" s="91"/>
      <c r="I1" s="91" t="s">
        <v>199</v>
      </c>
      <c r="J1" s="91"/>
      <c r="K1" s="91" t="s">
        <v>200</v>
      </c>
      <c r="L1" s="91"/>
      <c r="M1" s="91" t="s">
        <v>201</v>
      </c>
      <c r="N1" s="91"/>
      <c r="O1" s="91" t="s">
        <v>202</v>
      </c>
      <c r="P1" s="91"/>
      <c r="Q1" s="91" t="s">
        <v>203</v>
      </c>
      <c r="R1" s="91"/>
      <c r="S1" s="91" t="s">
        <v>204</v>
      </c>
      <c r="T1" s="91"/>
    </row>
    <row r="2" spans="1:20" x14ac:dyDescent="0.25">
      <c r="A2" s="2" t="s">
        <v>112</v>
      </c>
      <c r="B2" s="2">
        <v>17.5</v>
      </c>
      <c r="C2" s="2" t="s">
        <v>0</v>
      </c>
      <c r="E2" s="92" t="s">
        <v>97</v>
      </c>
      <c r="F2" s="92"/>
      <c r="G2" s="92" t="s">
        <v>97</v>
      </c>
      <c r="H2" s="92"/>
      <c r="I2" s="92" t="s">
        <v>97</v>
      </c>
      <c r="J2" s="92"/>
      <c r="K2" s="92" t="s">
        <v>97</v>
      </c>
      <c r="L2" s="92"/>
      <c r="M2" s="92" t="s">
        <v>97</v>
      </c>
      <c r="N2" s="92"/>
      <c r="O2" s="92" t="s">
        <v>97</v>
      </c>
      <c r="P2" s="92"/>
      <c r="Q2" s="92" t="s">
        <v>97</v>
      </c>
      <c r="R2" s="92"/>
      <c r="S2" s="92" t="s">
        <v>97</v>
      </c>
      <c r="T2" s="92"/>
    </row>
    <row r="3" spans="1:20" x14ac:dyDescent="0.25">
      <c r="A3" s="2" t="s">
        <v>44</v>
      </c>
      <c r="B3" s="2">
        <v>1.2</v>
      </c>
      <c r="C3" s="2" t="s">
        <v>0</v>
      </c>
      <c r="E3" s="2" t="s">
        <v>98</v>
      </c>
      <c r="F3" s="7">
        <f>'Forze totale sisma su fonda'!B12</f>
        <v>2158.2742499999999</v>
      </c>
      <c r="G3" s="2" t="s">
        <v>98</v>
      </c>
      <c r="H3" s="7">
        <f>'Forze totale sisma su fonda'!G12</f>
        <v>809.87005000000011</v>
      </c>
      <c r="I3" s="2" t="s">
        <v>98</v>
      </c>
      <c r="J3" s="7">
        <f>'Forze totale sisma su fonda'!B13</f>
        <v>3081.6978500000009</v>
      </c>
      <c r="K3" s="2" t="s">
        <v>98</v>
      </c>
      <c r="L3" s="7">
        <f>'Forze totale sisma su fonda'!G13</f>
        <v>2320.3081000000002</v>
      </c>
      <c r="M3" s="2" t="s">
        <v>98</v>
      </c>
      <c r="N3" s="7">
        <f>'Forze totale sisma su fonda'!B14</f>
        <v>3081.6940000000009</v>
      </c>
      <c r="O3" s="2" t="s">
        <v>98</v>
      </c>
      <c r="P3" s="7">
        <f>'Forze totale sisma su fonda'!G14</f>
        <v>2320.3053500000001</v>
      </c>
      <c r="Q3" s="2" t="s">
        <v>98</v>
      </c>
      <c r="R3" s="7">
        <f>'Forze totale sisma su fonda'!B14</f>
        <v>3081.6940000000009</v>
      </c>
      <c r="S3" s="2" t="s">
        <v>98</v>
      </c>
      <c r="T3" s="7">
        <f>'Forze totale sisma su fonda'!G14</f>
        <v>2320.3053500000001</v>
      </c>
    </row>
    <row r="4" spans="1:20" x14ac:dyDescent="0.25">
      <c r="A4" s="2" t="s">
        <v>1</v>
      </c>
      <c r="B4" s="2">
        <v>0.3</v>
      </c>
      <c r="C4" s="2" t="s">
        <v>0</v>
      </c>
      <c r="E4" s="2" t="s">
        <v>99</v>
      </c>
      <c r="F4" s="7">
        <f>'Forze totale sisma su fonda'!C12</f>
        <v>686.90160000000003</v>
      </c>
      <c r="G4" s="2" t="s">
        <v>99</v>
      </c>
      <c r="H4" s="7">
        <f>'Forze totale sisma su fonda'!H12</f>
        <v>686.7509</v>
      </c>
      <c r="I4" s="2" t="s">
        <v>99</v>
      </c>
      <c r="J4" s="7">
        <f>'Forze totale sisma su fonda'!C13</f>
        <v>158.6464</v>
      </c>
      <c r="K4" s="2" t="s">
        <v>99</v>
      </c>
      <c r="L4" s="7">
        <f>ABS('Forze totale sisma su fonda'!H13)</f>
        <v>158.80259999999998</v>
      </c>
      <c r="M4" s="2" t="s">
        <v>99</v>
      </c>
      <c r="N4" s="7">
        <f>'Forze totale sisma su fonda'!C14</f>
        <v>158.6464</v>
      </c>
      <c r="O4" s="2" t="s">
        <v>99</v>
      </c>
      <c r="P4" s="7">
        <f>ABS('Forze totale sisma su fonda'!H14)</f>
        <v>158.80260000000004</v>
      </c>
      <c r="Q4" s="2" t="s">
        <v>99</v>
      </c>
      <c r="R4" s="7">
        <f>'Forze totale sisma su fonda'!C14</f>
        <v>158.6464</v>
      </c>
      <c r="S4" s="2" t="s">
        <v>99</v>
      </c>
      <c r="T4" s="7">
        <f>ABS('Forze totale sisma su fonda'!H14)</f>
        <v>158.80260000000004</v>
      </c>
    </row>
    <row r="5" spans="1:20" x14ac:dyDescent="0.25">
      <c r="A5" s="2" t="s">
        <v>13</v>
      </c>
      <c r="B5" s="2">
        <v>0.4</v>
      </c>
      <c r="C5" s="2" t="s">
        <v>0</v>
      </c>
      <c r="E5" s="2" t="s">
        <v>100</v>
      </c>
      <c r="F5" s="7">
        <f>'Forze totale sisma su fonda'!E12</f>
        <v>0.63348539232212964</v>
      </c>
      <c r="G5" s="2" t="s">
        <v>100</v>
      </c>
      <c r="H5" s="7">
        <f>'Forze totale sisma su fonda'!K12</f>
        <v>1.6912456510769847</v>
      </c>
      <c r="I5" s="2" t="s">
        <v>100</v>
      </c>
      <c r="J5" s="7">
        <f>'Forze totale sisma su fonda'!E13</f>
        <v>0.11548027007255106</v>
      </c>
      <c r="K5" s="2" t="s">
        <v>100</v>
      </c>
      <c r="L5" s="7">
        <f>'Forze totale sisma su fonda'!K13</f>
        <v>0.15377413456428482</v>
      </c>
      <c r="M5" s="2" t="s">
        <v>100</v>
      </c>
      <c r="N5" s="7">
        <f>'Forze totale sisma su fonda'!E14</f>
        <v>0.11548048573284693</v>
      </c>
      <c r="O5" s="2" t="s">
        <v>100</v>
      </c>
      <c r="P5" s="7">
        <f>'Forze totale sisma su fonda'!K14</f>
        <v>0.15377417459301207</v>
      </c>
      <c r="Q5" s="2" t="s">
        <v>100</v>
      </c>
      <c r="R5" s="7">
        <f>'Forze totale sisma su fonda'!E14</f>
        <v>0.11548048573284693</v>
      </c>
      <c r="S5" s="2" t="s">
        <v>100</v>
      </c>
      <c r="T5" s="7">
        <f>'Forze totale sisma su fonda'!K14</f>
        <v>0.15377417459301207</v>
      </c>
    </row>
    <row r="6" spans="1:20" x14ac:dyDescent="0.25">
      <c r="A6" s="2" t="s">
        <v>14</v>
      </c>
      <c r="B6" s="2">
        <f>B3-B5</f>
        <v>0.79999999999999993</v>
      </c>
      <c r="C6" s="2" t="s">
        <v>0</v>
      </c>
      <c r="E6" s="86" t="s">
        <v>91</v>
      </c>
      <c r="F6" s="87"/>
      <c r="G6" s="86" t="s">
        <v>91</v>
      </c>
      <c r="H6" s="87"/>
      <c r="I6" s="86" t="s">
        <v>91</v>
      </c>
      <c r="J6" s="87"/>
      <c r="K6" s="86" t="s">
        <v>91</v>
      </c>
      <c r="L6" s="87"/>
      <c r="M6" s="86" t="s">
        <v>91</v>
      </c>
      <c r="N6" s="87"/>
      <c r="O6" s="86" t="s">
        <v>91</v>
      </c>
      <c r="P6" s="87"/>
      <c r="Q6" s="86" t="s">
        <v>91</v>
      </c>
      <c r="R6" s="87"/>
      <c r="S6" s="86" t="s">
        <v>91</v>
      </c>
      <c r="T6" s="87"/>
    </row>
    <row r="7" spans="1:20" ht="17.25" x14ac:dyDescent="0.25">
      <c r="A7" s="2" t="s">
        <v>15</v>
      </c>
      <c r="B7" s="2">
        <f>B5*B3</f>
        <v>0.48</v>
      </c>
      <c r="C7" s="2" t="s">
        <v>119</v>
      </c>
      <c r="E7" s="31" t="s">
        <v>88</v>
      </c>
      <c r="F7" s="31">
        <f>$B$3</f>
        <v>1.2</v>
      </c>
      <c r="G7" s="31" t="s">
        <v>88</v>
      </c>
      <c r="H7" s="31">
        <f t="shared" ref="H7" si="0">$B$3</f>
        <v>1.2</v>
      </c>
      <c r="I7" s="31" t="s">
        <v>88</v>
      </c>
      <c r="J7" s="31">
        <f t="shared" ref="J7" si="1">$B$3</f>
        <v>1.2</v>
      </c>
      <c r="K7" s="31" t="s">
        <v>88</v>
      </c>
      <c r="L7" s="31">
        <f t="shared" ref="L7" si="2">$B$3</f>
        <v>1.2</v>
      </c>
      <c r="M7" s="31" t="s">
        <v>88</v>
      </c>
      <c r="N7" s="31">
        <f t="shared" ref="N7" si="3">$B$3</f>
        <v>1.2</v>
      </c>
      <c r="O7" s="31" t="s">
        <v>88</v>
      </c>
      <c r="P7" s="31">
        <f t="shared" ref="P7" si="4">$B$3</f>
        <v>1.2</v>
      </c>
      <c r="Q7" s="31" t="s">
        <v>88</v>
      </c>
      <c r="R7" s="31">
        <f t="shared" ref="R7" si="5">$B$3</f>
        <v>1.2</v>
      </c>
      <c r="S7" s="31" t="s">
        <v>88</v>
      </c>
      <c r="T7" s="31">
        <f t="shared" ref="T7" si="6">$B$3</f>
        <v>1.2</v>
      </c>
    </row>
    <row r="8" spans="1:20" ht="17.25" x14ac:dyDescent="0.25">
      <c r="A8" s="2" t="s">
        <v>16</v>
      </c>
      <c r="B8" s="2">
        <f>B6*B4</f>
        <v>0.23999999999999996</v>
      </c>
      <c r="C8" s="2" t="s">
        <v>119</v>
      </c>
      <c r="E8" s="31" t="s">
        <v>89</v>
      </c>
      <c r="F8" s="30">
        <f>$B$2-F5</f>
        <v>16.866514607677871</v>
      </c>
      <c r="G8" s="31" t="s">
        <v>89</v>
      </c>
      <c r="H8" s="30">
        <f t="shared" ref="H8" si="7">$B$2-H5</f>
        <v>15.808754348923015</v>
      </c>
      <c r="I8" s="31" t="s">
        <v>89</v>
      </c>
      <c r="J8" s="30">
        <f t="shared" ref="J8" si="8">$B$2-J5</f>
        <v>17.384519729927447</v>
      </c>
      <c r="K8" s="31" t="s">
        <v>89</v>
      </c>
      <c r="L8" s="30">
        <f t="shared" ref="L8" si="9">$B$2-L5</f>
        <v>17.346225865435716</v>
      </c>
      <c r="M8" s="31" t="s">
        <v>89</v>
      </c>
      <c r="N8" s="30">
        <f t="shared" ref="N8" si="10">$B$2-N5</f>
        <v>17.384519514267154</v>
      </c>
      <c r="O8" s="31" t="s">
        <v>89</v>
      </c>
      <c r="P8" s="30">
        <f t="shared" ref="P8" si="11">$B$2-P5</f>
        <v>17.346225825406989</v>
      </c>
      <c r="Q8" s="31" t="s">
        <v>89</v>
      </c>
      <c r="R8" s="30">
        <f t="shared" ref="R8" si="12">$B$2-R5</f>
        <v>17.384519514267154</v>
      </c>
      <c r="S8" s="31" t="s">
        <v>89</v>
      </c>
      <c r="T8" s="30">
        <f t="shared" ref="T8" si="13">$B$2-T5</f>
        <v>17.346225825406989</v>
      </c>
    </row>
    <row r="9" spans="1:20" ht="17.25" x14ac:dyDescent="0.25">
      <c r="A9" s="2" t="s">
        <v>17</v>
      </c>
      <c r="B9" s="2">
        <f>B7+B8</f>
        <v>0.72</v>
      </c>
      <c r="C9" s="2" t="s">
        <v>119</v>
      </c>
      <c r="E9" s="86" t="s">
        <v>114</v>
      </c>
      <c r="F9" s="87"/>
      <c r="G9" s="86" t="s">
        <v>114</v>
      </c>
      <c r="H9" s="87"/>
      <c r="I9" s="86" t="s">
        <v>114</v>
      </c>
      <c r="J9" s="87"/>
      <c r="K9" s="86" t="s">
        <v>114</v>
      </c>
      <c r="L9" s="87"/>
      <c r="M9" s="86" t="s">
        <v>114</v>
      </c>
      <c r="N9" s="87"/>
      <c r="O9" s="86" t="s">
        <v>114</v>
      </c>
      <c r="P9" s="87"/>
      <c r="Q9" s="86" t="s">
        <v>114</v>
      </c>
      <c r="R9" s="87"/>
      <c r="S9" s="86" t="s">
        <v>114</v>
      </c>
      <c r="T9" s="87"/>
    </row>
    <row r="10" spans="1:20" x14ac:dyDescent="0.25">
      <c r="A10" s="2" t="s">
        <v>18</v>
      </c>
      <c r="B10" s="2">
        <f>B5/2</f>
        <v>0.2</v>
      </c>
      <c r="C10" s="2" t="s">
        <v>0</v>
      </c>
      <c r="E10" s="29" t="s">
        <v>90</v>
      </c>
      <c r="F10" s="30">
        <f>SIN($B$23)</f>
        <v>0.62932039104983739</v>
      </c>
      <c r="G10" s="29" t="s">
        <v>90</v>
      </c>
      <c r="H10" s="30">
        <f t="shared" ref="H10" si="14">SIN($B$23)</f>
        <v>0.62932039104983739</v>
      </c>
      <c r="I10" s="29" t="s">
        <v>90</v>
      </c>
      <c r="J10" s="30">
        <f t="shared" ref="J10" si="15">SIN($B$23)</f>
        <v>0.62932039104983739</v>
      </c>
      <c r="K10" s="29" t="s">
        <v>90</v>
      </c>
      <c r="L10" s="30">
        <f t="shared" ref="L10" si="16">SIN($B$23)</f>
        <v>0.62932039104983739</v>
      </c>
      <c r="M10" s="29" t="s">
        <v>90</v>
      </c>
      <c r="N10" s="30">
        <f t="shared" ref="N10" si="17">SIN($B$23)</f>
        <v>0.62932039104983739</v>
      </c>
      <c r="O10" s="29" t="s">
        <v>90</v>
      </c>
      <c r="P10" s="30">
        <f t="shared" ref="P10" si="18">SIN($B$23)</f>
        <v>0.62932039104983739</v>
      </c>
      <c r="Q10" s="29" t="s">
        <v>90</v>
      </c>
      <c r="R10" s="30">
        <f t="shared" ref="R10" si="19">SIN($B$23)</f>
        <v>0.62932039104983739</v>
      </c>
      <c r="S10" s="29" t="s">
        <v>90</v>
      </c>
      <c r="T10" s="30">
        <f t="shared" ref="T10" si="20">SIN($B$23)</f>
        <v>0.62932039104983739</v>
      </c>
    </row>
    <row r="11" spans="1:20" ht="17.25" x14ac:dyDescent="0.25">
      <c r="A11" s="2" t="s">
        <v>19</v>
      </c>
      <c r="B11" s="2">
        <f>B5+B6/2</f>
        <v>0.8</v>
      </c>
      <c r="C11" s="2" t="s">
        <v>0</v>
      </c>
      <c r="E11" s="29" t="s">
        <v>47</v>
      </c>
      <c r="F11" s="30">
        <f>EXP(PI()*TAN($B$23))</f>
        <v>12.730638516028725</v>
      </c>
      <c r="G11" s="29" t="s">
        <v>47</v>
      </c>
      <c r="H11" s="30">
        <f t="shared" ref="H11" si="21">EXP(PI()*TAN($B$23))</f>
        <v>12.730638516028725</v>
      </c>
      <c r="I11" s="29" t="s">
        <v>47</v>
      </c>
      <c r="J11" s="30">
        <f t="shared" ref="J11" si="22">EXP(PI()*TAN($B$23))</f>
        <v>12.730638516028725</v>
      </c>
      <c r="K11" s="29" t="s">
        <v>47</v>
      </c>
      <c r="L11" s="30">
        <f t="shared" ref="L11" si="23">EXP(PI()*TAN($B$23))</f>
        <v>12.730638516028725</v>
      </c>
      <c r="M11" s="29" t="s">
        <v>47</v>
      </c>
      <c r="N11" s="30">
        <f t="shared" ref="N11" si="24">EXP(PI()*TAN($B$23))</f>
        <v>12.730638516028725</v>
      </c>
      <c r="O11" s="29" t="s">
        <v>47</v>
      </c>
      <c r="P11" s="30">
        <f t="shared" ref="P11" si="25">EXP(PI()*TAN($B$23))</f>
        <v>12.730638516028725</v>
      </c>
      <c r="Q11" s="29" t="s">
        <v>47</v>
      </c>
      <c r="R11" s="30">
        <f t="shared" ref="R11" si="26">EXP(PI()*TAN($B$23))</f>
        <v>12.730638516028725</v>
      </c>
      <c r="S11" s="29" t="s">
        <v>47</v>
      </c>
      <c r="T11" s="30">
        <f t="shared" ref="T11" si="27">EXP(PI()*TAN($B$23))</f>
        <v>12.730638516028725</v>
      </c>
    </row>
    <row r="12" spans="1:20" x14ac:dyDescent="0.25">
      <c r="A12" s="2" t="s">
        <v>20</v>
      </c>
      <c r="B12" s="7">
        <f>(B7*B10+B8*B11)/B9</f>
        <v>0.39999999999999997</v>
      </c>
      <c r="C12" s="2" t="s">
        <v>0</v>
      </c>
      <c r="E12" s="29" t="s">
        <v>48</v>
      </c>
      <c r="F12" s="30">
        <f>TAN($B$23)</f>
        <v>0.80978403319500702</v>
      </c>
      <c r="G12" s="29" t="s">
        <v>48</v>
      </c>
      <c r="H12" s="30">
        <f t="shared" ref="H12" si="28">TAN($B$23)</f>
        <v>0.80978403319500702</v>
      </c>
      <c r="I12" s="29" t="s">
        <v>48</v>
      </c>
      <c r="J12" s="30">
        <f t="shared" ref="J12" si="29">TAN($B$23)</f>
        <v>0.80978403319500702</v>
      </c>
      <c r="K12" s="29" t="s">
        <v>48</v>
      </c>
      <c r="L12" s="30">
        <f t="shared" ref="L12" si="30">TAN($B$23)</f>
        <v>0.80978403319500702</v>
      </c>
      <c r="M12" s="29" t="s">
        <v>48</v>
      </c>
      <c r="N12" s="30">
        <f t="shared" ref="N12" si="31">TAN($B$23)</f>
        <v>0.80978403319500702</v>
      </c>
      <c r="O12" s="29" t="s">
        <v>48</v>
      </c>
      <c r="P12" s="30">
        <f t="shared" ref="P12" si="32">TAN($B$23)</f>
        <v>0.80978403319500702</v>
      </c>
      <c r="Q12" s="29" t="s">
        <v>48</v>
      </c>
      <c r="R12" s="30">
        <f t="shared" ref="R12" si="33">TAN($B$23)</f>
        <v>0.80978403319500702</v>
      </c>
      <c r="S12" s="29" t="s">
        <v>48</v>
      </c>
      <c r="T12" s="30">
        <f t="shared" ref="T12" si="34">TAN($B$23)</f>
        <v>0.80978403319500702</v>
      </c>
    </row>
    <row r="13" spans="1:20" x14ac:dyDescent="0.25">
      <c r="A13" s="89" t="s">
        <v>118</v>
      </c>
      <c r="B13" s="90"/>
      <c r="C13" s="90"/>
      <c r="E13" s="29" t="s">
        <v>49</v>
      </c>
      <c r="F13" s="30">
        <f>_xlfn.COT($B$23)</f>
        <v>1.2348971565350515</v>
      </c>
      <c r="G13" s="29" t="s">
        <v>49</v>
      </c>
      <c r="H13" s="30">
        <f t="shared" ref="H13" si="35">_xlfn.COT($B$23)</f>
        <v>1.2348971565350515</v>
      </c>
      <c r="I13" s="29" t="s">
        <v>49</v>
      </c>
      <c r="J13" s="30">
        <f t="shared" ref="J13" si="36">_xlfn.COT($B$23)</f>
        <v>1.2348971565350515</v>
      </c>
      <c r="K13" s="29" t="s">
        <v>49</v>
      </c>
      <c r="L13" s="30">
        <f t="shared" ref="L13" si="37">_xlfn.COT($B$23)</f>
        <v>1.2348971565350515</v>
      </c>
      <c r="M13" s="29" t="s">
        <v>49</v>
      </c>
      <c r="N13" s="30">
        <f t="shared" ref="N13" si="38">_xlfn.COT($B$23)</f>
        <v>1.2348971565350515</v>
      </c>
      <c r="O13" s="29" t="s">
        <v>49</v>
      </c>
      <c r="P13" s="30">
        <f t="shared" ref="P13" si="39">_xlfn.COT($B$23)</f>
        <v>1.2348971565350515</v>
      </c>
      <c r="Q13" s="29" t="s">
        <v>49</v>
      </c>
      <c r="R13" s="30">
        <f t="shared" ref="R13" si="40">_xlfn.COT($B$23)</f>
        <v>1.2348971565350515</v>
      </c>
      <c r="S13" s="29" t="s">
        <v>49</v>
      </c>
      <c r="T13" s="30">
        <f t="shared" ref="T13" si="41">_xlfn.COT($B$23)</f>
        <v>1.2348971565350515</v>
      </c>
    </row>
    <row r="14" spans="1:20" ht="17.25" x14ac:dyDescent="0.25">
      <c r="A14" s="44" t="s">
        <v>122</v>
      </c>
      <c r="B14" s="45">
        <f>(B9*25*1.3*B2)/(B3*B2)</f>
        <v>19.500000000000004</v>
      </c>
      <c r="C14" s="47" t="s">
        <v>120</v>
      </c>
      <c r="D14">
        <f>B9*25*1.3</f>
        <v>23.400000000000002</v>
      </c>
      <c r="E14" s="29" t="s">
        <v>117</v>
      </c>
      <c r="F14" s="30">
        <f>TAN(RADIANS(45)+$B$23/2)^2</f>
        <v>4.3954950628775933</v>
      </c>
      <c r="G14" s="29" t="s">
        <v>117</v>
      </c>
      <c r="H14" s="30">
        <f t="shared" ref="H14" si="42">TAN(RADIANS(45)+$B$23/2)^2</f>
        <v>4.3954950628775933</v>
      </c>
      <c r="I14" s="29" t="s">
        <v>117</v>
      </c>
      <c r="J14" s="30">
        <f t="shared" ref="J14" si="43">TAN(RADIANS(45)+$B$23/2)^2</f>
        <v>4.3954950628775933</v>
      </c>
      <c r="K14" s="29" t="s">
        <v>117</v>
      </c>
      <c r="L14" s="30">
        <f t="shared" ref="L14" si="44">TAN(RADIANS(45)+$B$23/2)^2</f>
        <v>4.3954950628775933</v>
      </c>
      <c r="M14" s="29" t="s">
        <v>117</v>
      </c>
      <c r="N14" s="30">
        <f t="shared" ref="N14" si="45">TAN(RADIANS(45)+$B$23/2)^2</f>
        <v>4.3954950628775933</v>
      </c>
      <c r="O14" s="29" t="s">
        <v>117</v>
      </c>
      <c r="P14" s="30">
        <f t="shared" ref="P14" si="46">TAN(RADIANS(45)+$B$23/2)^2</f>
        <v>4.3954950628775933</v>
      </c>
      <c r="Q14" s="29" t="s">
        <v>117</v>
      </c>
      <c r="R14" s="30">
        <f t="shared" ref="R14" si="47">TAN(RADIANS(45)+$B$23/2)^2</f>
        <v>4.3954950628775933</v>
      </c>
      <c r="S14" s="29" t="s">
        <v>117</v>
      </c>
      <c r="T14" s="30">
        <f t="shared" ref="T14" si="48">TAN(RADIANS(45)+$B$23/2)^2</f>
        <v>4.3954950628775933</v>
      </c>
    </row>
    <row r="15" spans="1:20" x14ac:dyDescent="0.25">
      <c r="A15" s="86" t="s">
        <v>43</v>
      </c>
      <c r="B15" s="88"/>
      <c r="C15" s="87"/>
      <c r="E15" s="86" t="s">
        <v>2</v>
      </c>
      <c r="F15" s="87"/>
      <c r="G15" s="86" t="s">
        <v>2</v>
      </c>
      <c r="H15" s="87"/>
      <c r="I15" s="86" t="s">
        <v>2</v>
      </c>
      <c r="J15" s="87"/>
      <c r="K15" s="86" t="s">
        <v>2</v>
      </c>
      <c r="L15" s="87"/>
      <c r="M15" s="86" t="s">
        <v>2</v>
      </c>
      <c r="N15" s="87"/>
      <c r="O15" s="86" t="s">
        <v>2</v>
      </c>
      <c r="P15" s="87"/>
      <c r="Q15" s="86" t="s">
        <v>2</v>
      </c>
      <c r="R15" s="87"/>
      <c r="S15" s="86" t="s">
        <v>2</v>
      </c>
      <c r="T15" s="87"/>
    </row>
    <row r="16" spans="1:20" ht="17.25" x14ac:dyDescent="0.25">
      <c r="A16" s="15" t="s">
        <v>50</v>
      </c>
      <c r="B16" s="2">
        <f>'Propietà terreno e Gazetas'!B3</f>
        <v>19</v>
      </c>
      <c r="C16" s="2" t="s">
        <v>121</v>
      </c>
      <c r="E16" s="31" t="s">
        <v>57</v>
      </c>
      <c r="F16" s="30">
        <f>F11*F14</f>
        <v>55.957458744483588</v>
      </c>
      <c r="G16" s="31" t="s">
        <v>57</v>
      </c>
      <c r="H16" s="30">
        <f t="shared" ref="H16" si="49">H11*H14</f>
        <v>55.957458744483588</v>
      </c>
      <c r="I16" s="31" t="s">
        <v>57</v>
      </c>
      <c r="J16" s="30">
        <f t="shared" ref="J16" si="50">J11*J14</f>
        <v>55.957458744483588</v>
      </c>
      <c r="K16" s="31" t="s">
        <v>57</v>
      </c>
      <c r="L16" s="30">
        <f t="shared" ref="L16" si="51">L11*L14</f>
        <v>55.957458744483588</v>
      </c>
      <c r="M16" s="31" t="s">
        <v>57</v>
      </c>
      <c r="N16" s="30">
        <f t="shared" ref="N16" si="52">N11*N14</f>
        <v>55.957458744483588</v>
      </c>
      <c r="O16" s="31" t="s">
        <v>57</v>
      </c>
      <c r="P16" s="30">
        <f t="shared" ref="P16" si="53">P11*P14</f>
        <v>55.957458744483588</v>
      </c>
      <c r="Q16" s="31" t="s">
        <v>57</v>
      </c>
      <c r="R16" s="30">
        <f t="shared" ref="R16" si="54">R11*R14</f>
        <v>55.957458744483588</v>
      </c>
      <c r="S16" s="31" t="s">
        <v>57</v>
      </c>
      <c r="T16" s="30">
        <f t="shared" ref="T16" si="55">T11*T14</f>
        <v>55.957458744483588</v>
      </c>
    </row>
    <row r="17" spans="1:20" ht="17.25" x14ac:dyDescent="0.25">
      <c r="A17" s="15" t="s">
        <v>51</v>
      </c>
      <c r="B17" s="2">
        <f>'Propietà terreno e Gazetas'!B3</f>
        <v>19</v>
      </c>
      <c r="C17" s="2" t="s">
        <v>121</v>
      </c>
      <c r="E17" s="31" t="s">
        <v>58</v>
      </c>
      <c r="F17" s="30">
        <f>2*(F16+1)*F12</f>
        <v>92.24648132529228</v>
      </c>
      <c r="G17" s="31" t="s">
        <v>58</v>
      </c>
      <c r="H17" s="30">
        <f t="shared" ref="H17" si="56">2*(H16+1)*H12</f>
        <v>92.24648132529228</v>
      </c>
      <c r="I17" s="31" t="s">
        <v>58</v>
      </c>
      <c r="J17" s="30">
        <f t="shared" ref="J17" si="57">2*(J16+1)*J12</f>
        <v>92.24648132529228</v>
      </c>
      <c r="K17" s="31" t="s">
        <v>58</v>
      </c>
      <c r="L17" s="30">
        <f t="shared" ref="L17" si="58">2*(L16+1)*L12</f>
        <v>92.24648132529228</v>
      </c>
      <c r="M17" s="31" t="s">
        <v>58</v>
      </c>
      <c r="N17" s="30">
        <f t="shared" ref="N17" si="59">2*(N16+1)*N12</f>
        <v>92.24648132529228</v>
      </c>
      <c r="O17" s="31" t="s">
        <v>58</v>
      </c>
      <c r="P17" s="30">
        <f t="shared" ref="P17" si="60">2*(P16+1)*P12</f>
        <v>92.24648132529228</v>
      </c>
      <c r="Q17" s="31" t="s">
        <v>58</v>
      </c>
      <c r="R17" s="30">
        <f t="shared" ref="R17" si="61">2*(R16+1)*R12</f>
        <v>92.24648132529228</v>
      </c>
      <c r="S17" s="31" t="s">
        <v>58</v>
      </c>
      <c r="T17" s="30">
        <f t="shared" ref="T17" si="62">2*(T16+1)*T12</f>
        <v>92.24648132529228</v>
      </c>
    </row>
    <row r="18" spans="1:20" x14ac:dyDescent="0.25">
      <c r="A18" s="15" t="s">
        <v>52</v>
      </c>
      <c r="B18" s="2">
        <f>B6+B5</f>
        <v>1.2</v>
      </c>
      <c r="C18" s="2" t="s">
        <v>0</v>
      </c>
      <c r="E18" s="31" t="s">
        <v>59</v>
      </c>
      <c r="F18" s="30">
        <f>(F16-1)*F13</f>
        <v>67.866809533955191</v>
      </c>
      <c r="G18" s="31" t="s">
        <v>59</v>
      </c>
      <c r="H18" s="30">
        <f t="shared" ref="H18" si="63">(H16-1)*H13</f>
        <v>67.866809533955191</v>
      </c>
      <c r="I18" s="31" t="s">
        <v>59</v>
      </c>
      <c r="J18" s="30">
        <f t="shared" ref="J18" si="64">(J16-1)*J13</f>
        <v>67.866809533955191</v>
      </c>
      <c r="K18" s="31" t="s">
        <v>59</v>
      </c>
      <c r="L18" s="30">
        <f t="shared" ref="L18" si="65">(L16-1)*L13</f>
        <v>67.866809533955191</v>
      </c>
      <c r="M18" s="31" t="s">
        <v>59</v>
      </c>
      <c r="N18" s="30">
        <f t="shared" ref="N18" si="66">(N16-1)*N13</f>
        <v>67.866809533955191</v>
      </c>
      <c r="O18" s="31" t="s">
        <v>59</v>
      </c>
      <c r="P18" s="30">
        <f t="shared" ref="P18" si="67">(P16-1)*P13</f>
        <v>67.866809533955191</v>
      </c>
      <c r="Q18" s="31" t="s">
        <v>59</v>
      </c>
      <c r="R18" s="30">
        <f t="shared" ref="R18" si="68">(R16-1)*R13</f>
        <v>67.866809533955191</v>
      </c>
      <c r="S18" s="31" t="s">
        <v>59</v>
      </c>
      <c r="T18" s="30">
        <f t="shared" ref="T18" si="69">(T16-1)*T13</f>
        <v>67.866809533955191</v>
      </c>
    </row>
    <row r="19" spans="1:20" ht="17.25" x14ac:dyDescent="0.25">
      <c r="A19" s="15" t="s">
        <v>53</v>
      </c>
      <c r="B19" s="2">
        <f>(B18)*B16</f>
        <v>22.8</v>
      </c>
      <c r="C19" s="2" t="s">
        <v>120</v>
      </c>
      <c r="E19" s="86" t="s">
        <v>3</v>
      </c>
      <c r="F19" s="87"/>
      <c r="G19" s="86" t="s">
        <v>3</v>
      </c>
      <c r="H19" s="87"/>
      <c r="I19" s="86" t="s">
        <v>3</v>
      </c>
      <c r="J19" s="87"/>
      <c r="K19" s="86" t="s">
        <v>3</v>
      </c>
      <c r="L19" s="87"/>
      <c r="M19" s="86" t="s">
        <v>3</v>
      </c>
      <c r="N19" s="87"/>
      <c r="O19" s="86" t="s">
        <v>3</v>
      </c>
      <c r="P19" s="87"/>
      <c r="Q19" s="86" t="s">
        <v>3</v>
      </c>
      <c r="R19" s="87"/>
      <c r="S19" s="86" t="s">
        <v>3</v>
      </c>
      <c r="T19" s="87"/>
    </row>
    <row r="20" spans="1:20" x14ac:dyDescent="0.25">
      <c r="A20" s="15" t="s">
        <v>46</v>
      </c>
      <c r="B20" s="2">
        <v>0</v>
      </c>
      <c r="C20" s="2"/>
      <c r="E20" s="85" t="s">
        <v>4</v>
      </c>
      <c r="F20" s="85"/>
      <c r="G20" s="85" t="s">
        <v>4</v>
      </c>
      <c r="H20" s="85"/>
      <c r="I20" s="85" t="s">
        <v>4</v>
      </c>
      <c r="J20" s="85"/>
      <c r="K20" s="85" t="s">
        <v>4</v>
      </c>
      <c r="L20" s="85"/>
      <c r="M20" s="85" t="s">
        <v>4</v>
      </c>
      <c r="N20" s="85"/>
      <c r="O20" s="85" t="s">
        <v>4</v>
      </c>
      <c r="P20" s="85"/>
      <c r="Q20" s="85" t="s">
        <v>4</v>
      </c>
      <c r="R20" s="85"/>
      <c r="S20" s="85" t="s">
        <v>4</v>
      </c>
      <c r="T20" s="85"/>
    </row>
    <row r="21" spans="1:20" x14ac:dyDescent="0.25">
      <c r="A21" s="16" t="s">
        <v>54</v>
      </c>
      <c r="B21" s="7">
        <f>MIN(_xlfn.CEILING.MATH('Propietà terreno e Gazetas'!B12))</f>
        <v>39</v>
      </c>
      <c r="C21" s="2" t="s">
        <v>55</v>
      </c>
      <c r="E21" s="31" t="s">
        <v>61</v>
      </c>
      <c r="F21" s="30">
        <f>1+(F7/F8)*$F$10</f>
        <v>1.0447741864176274</v>
      </c>
      <c r="G21" s="31" t="s">
        <v>61</v>
      </c>
      <c r="H21" s="30">
        <f t="shared" ref="H21" si="70">1+(H7/H8)*$F$10</f>
        <v>1.0477700173329123</v>
      </c>
      <c r="I21" s="31" t="s">
        <v>61</v>
      </c>
      <c r="J21" s="30">
        <f t="shared" ref="J21" si="71">1+(J7/J8)*$F$10</f>
        <v>1.0434400536219448</v>
      </c>
      <c r="K21" s="31" t="s">
        <v>61</v>
      </c>
      <c r="L21" s="30">
        <f t="shared" ref="L21" si="72">1+(L7/L8)*$F$10</f>
        <v>1.0435359527264425</v>
      </c>
      <c r="M21" s="31" t="s">
        <v>61</v>
      </c>
      <c r="N21" s="30">
        <f t="shared" ref="N21" si="73">1+(N7/N8)*$F$10</f>
        <v>1.043440054160832</v>
      </c>
      <c r="O21" s="31" t="s">
        <v>61</v>
      </c>
      <c r="P21" s="30">
        <f t="shared" ref="P21" si="74">1+(P7/P8)*$F$10</f>
        <v>1.0435359528269075</v>
      </c>
      <c r="Q21" s="31" t="s">
        <v>61</v>
      </c>
      <c r="R21" s="30">
        <f t="shared" ref="R21" si="75">1+(R7/R8)*$F$10</f>
        <v>1.043440054160832</v>
      </c>
      <c r="S21" s="31" t="s">
        <v>61</v>
      </c>
      <c r="T21" s="30">
        <f t="shared" ref="T21" si="76">1+(T7/T8)*$F$10</f>
        <v>1.0435359528269075</v>
      </c>
    </row>
    <row r="22" spans="1:20" ht="18" x14ac:dyDescent="0.35">
      <c r="A22" s="6" t="s">
        <v>142</v>
      </c>
      <c r="B22" s="47">
        <v>1</v>
      </c>
      <c r="E22" s="31" t="s">
        <v>62</v>
      </c>
      <c r="F22" s="30">
        <f>1-0.3*(F7/F8)</f>
        <v>0.97865593405788043</v>
      </c>
      <c r="G22" s="31" t="s">
        <v>62</v>
      </c>
      <c r="H22" s="30">
        <f t="shared" ref="H22" si="77">1-0.3*(H7/H8)</f>
        <v>0.97722780732407766</v>
      </c>
      <c r="I22" s="31" t="s">
        <v>62</v>
      </c>
      <c r="J22" s="30">
        <f t="shared" ref="J22" si="78">1-0.3*(J7/J8)</f>
        <v>0.97929192145698107</v>
      </c>
      <c r="K22" s="31" t="s">
        <v>62</v>
      </c>
      <c r="L22" s="30">
        <f t="shared" ref="L22" si="79">1-0.3*(L7/L8)</f>
        <v>0.97924620590134592</v>
      </c>
      <c r="M22" s="31" t="s">
        <v>62</v>
      </c>
      <c r="N22" s="30">
        <f t="shared" ref="N22" si="80">1-0.3*(N7/N8)</f>
        <v>0.97929192120009101</v>
      </c>
      <c r="O22" s="31" t="s">
        <v>62</v>
      </c>
      <c r="P22" s="30">
        <f t="shared" ref="P22" si="81">1-0.3*(P7/P8)</f>
        <v>0.97924620585345379</v>
      </c>
      <c r="Q22" s="31" t="s">
        <v>62</v>
      </c>
      <c r="R22" s="30">
        <f t="shared" ref="R22" si="82">1-0.3*(R7/R8)</f>
        <v>0.97929192120009101</v>
      </c>
      <c r="S22" s="31" t="s">
        <v>62</v>
      </c>
      <c r="T22" s="30">
        <f t="shared" ref="T22" si="83">1-0.3*(T7/T8)</f>
        <v>0.97924620585345379</v>
      </c>
    </row>
    <row r="23" spans="1:20" ht="18" x14ac:dyDescent="0.35">
      <c r="A23" s="16" t="s">
        <v>141</v>
      </c>
      <c r="B23" s="7">
        <f>RADIANS(B21)/B22</f>
        <v>0.68067840827778847</v>
      </c>
      <c r="C23" s="2" t="s">
        <v>56</v>
      </c>
      <c r="E23" s="31" t="s">
        <v>60</v>
      </c>
      <c r="F23" s="30">
        <f>(F21*$F$16-1)/($F$16-1)</f>
        <v>1.0455888926911798</v>
      </c>
      <c r="G23" s="31" t="s">
        <v>60</v>
      </c>
      <c r="H23" s="30">
        <f t="shared" ref="H23" si="84">(H21*$F$16-1)/($F$16-1)</f>
        <v>1.0486392354231266</v>
      </c>
      <c r="I23" s="31" t="s">
        <v>60</v>
      </c>
      <c r="J23" s="30">
        <f t="shared" ref="J23" si="85">(J21*$F$16-1)/($F$16-1)</f>
        <v>1.0442304841588428</v>
      </c>
      <c r="K23" s="31" t="s">
        <v>60</v>
      </c>
      <c r="L23" s="30">
        <f t="shared" ref="L23" si="86">(L21*$F$16-1)/($F$16-1)</f>
        <v>1.0443281282331169</v>
      </c>
      <c r="M23" s="31" t="s">
        <v>60</v>
      </c>
      <c r="N23" s="30">
        <f t="shared" ref="N23" si="87">(N21*$F$16-1)/($F$16-1)</f>
        <v>1.0442304847075352</v>
      </c>
      <c r="O23" s="31" t="s">
        <v>60</v>
      </c>
      <c r="P23" s="30">
        <f t="shared" ref="P23" si="88">(P21*$F$16-1)/($F$16-1)</f>
        <v>1.0443281283354098</v>
      </c>
      <c r="Q23" s="31" t="s">
        <v>60</v>
      </c>
      <c r="R23" s="30">
        <f t="shared" ref="R23" si="89">(R21*$F$16-1)/($F$16-1)</f>
        <v>1.0442304847075352</v>
      </c>
      <c r="S23" s="31" t="s">
        <v>60</v>
      </c>
      <c r="T23" s="30">
        <f t="shared" ref="T23" si="90">(T21*$F$16-1)/($F$16-1)</f>
        <v>1.0443281283354098</v>
      </c>
    </row>
    <row r="24" spans="1:20" x14ac:dyDescent="0.25">
      <c r="A24" s="40" t="s">
        <v>126</v>
      </c>
      <c r="B24" s="43"/>
      <c r="C24" s="41"/>
      <c r="E24" s="85" t="s">
        <v>5</v>
      </c>
      <c r="F24" s="85"/>
      <c r="G24" s="85" t="s">
        <v>5</v>
      </c>
      <c r="H24" s="85"/>
      <c r="I24" s="85" t="s">
        <v>5</v>
      </c>
      <c r="J24" s="85"/>
      <c r="K24" s="85" t="s">
        <v>5</v>
      </c>
      <c r="L24" s="85"/>
      <c r="M24" s="85" t="s">
        <v>5</v>
      </c>
      <c r="N24" s="85"/>
      <c r="O24" s="85" t="s">
        <v>5</v>
      </c>
      <c r="P24" s="85"/>
      <c r="Q24" s="85" t="s">
        <v>5</v>
      </c>
      <c r="R24" s="85"/>
      <c r="S24" s="85" t="s">
        <v>5</v>
      </c>
      <c r="T24" s="85"/>
    </row>
    <row r="25" spans="1:20" ht="15.75" x14ac:dyDescent="0.25">
      <c r="A25" s="48" t="s">
        <v>128</v>
      </c>
      <c r="B25" s="55">
        <v>0.19498706430305662</v>
      </c>
      <c r="C25" s="47" t="s">
        <v>129</v>
      </c>
      <c r="E25" s="31" t="s">
        <v>92</v>
      </c>
      <c r="F25" s="30">
        <f>IF(B18&gt;B3,1+2*$F$12*(1-$F$10)^2*ATAN($B$18/$B$3),1+2*$F$12*(1-$F$10)^2*($B$18/$B$3))</f>
        <v>1.2225341143014372</v>
      </c>
      <c r="G25" s="31" t="s">
        <v>92</v>
      </c>
      <c r="H25" s="30">
        <f t="shared" ref="H25" si="91">IF(D18&gt;D3,1+2*$F$12*(1-$F$10)^2*ATAN($B$18/$B$3),1+2*$F$12*(1-$F$10)^2*($B$18/$B$3))</f>
        <v>1.2225341143014372</v>
      </c>
      <c r="I25" s="31" t="s">
        <v>92</v>
      </c>
      <c r="J25" s="30">
        <f t="shared" ref="J25" si="92">IF(F18&gt;F3,1+2*$F$12*(1-$F$10)^2*ATAN($B$18/$B$3),1+2*$F$12*(1-$F$10)^2*($B$18/$B$3))</f>
        <v>1.2225341143014372</v>
      </c>
      <c r="K25" s="31" t="s">
        <v>92</v>
      </c>
      <c r="L25" s="30">
        <f t="shared" ref="L25" si="93">IF(H18&gt;H3,1+2*$F$12*(1-$F$10)^2*ATAN($B$18/$B$3),1+2*$F$12*(1-$F$10)^2*($B$18/$B$3))</f>
        <v>1.2225341143014372</v>
      </c>
      <c r="M25" s="31" t="s">
        <v>92</v>
      </c>
      <c r="N25" s="30">
        <f t="shared" ref="N25" si="94">IF(J18&gt;J3,1+2*$F$12*(1-$F$10)^2*ATAN($B$18/$B$3),1+2*$F$12*(1-$F$10)^2*($B$18/$B$3))</f>
        <v>1.2225341143014372</v>
      </c>
      <c r="O25" s="31" t="s">
        <v>92</v>
      </c>
      <c r="P25" s="30">
        <f t="shared" ref="P25" si="95">IF(L18&gt;L3,1+2*$F$12*(1-$F$10)^2*ATAN($B$18/$B$3),1+2*$F$12*(1-$F$10)^2*($B$18/$B$3))</f>
        <v>1.2225341143014372</v>
      </c>
      <c r="Q25" s="31" t="s">
        <v>92</v>
      </c>
      <c r="R25" s="30">
        <f t="shared" ref="R25" si="96">IF(N18&gt;N3,1+2*$F$12*(1-$F$10)^2*ATAN($B$18/$B$3),1+2*$F$12*(1-$F$10)^2*($B$18/$B$3))</f>
        <v>1.2225341143014372</v>
      </c>
      <c r="S25" s="31" t="s">
        <v>92</v>
      </c>
      <c r="T25" s="30">
        <f t="shared" ref="T25" si="97">IF(P18&gt;P3,1+2*$F$12*(1-$F$10)^2*ATAN($B$18/$B$3),1+2*$F$12*(1-$F$10)^2*($B$18/$B$3))</f>
        <v>1.2225341143014372</v>
      </c>
    </row>
    <row r="26" spans="1:20" ht="15.75" x14ac:dyDescent="0.25">
      <c r="A26" s="48" t="s">
        <v>133</v>
      </c>
      <c r="B26" s="55">
        <v>1.2</v>
      </c>
      <c r="C26" s="47"/>
      <c r="E26" s="31" t="s">
        <v>63</v>
      </c>
      <c r="F26" s="30">
        <f>F25-((1-F25)/($F$18*$F$12))</f>
        <v>1.2265833210767374</v>
      </c>
      <c r="G26" s="31" t="s">
        <v>63</v>
      </c>
      <c r="H26" s="30">
        <f t="shared" ref="H26" si="98">H25-((1-H25)/($F$18*$F$12))</f>
        <v>1.2265833210767374</v>
      </c>
      <c r="I26" s="31" t="s">
        <v>63</v>
      </c>
      <c r="J26" s="30">
        <f t="shared" ref="J26" si="99">J25-((1-J25)/($F$18*$F$12))</f>
        <v>1.2265833210767374</v>
      </c>
      <c r="K26" s="31" t="s">
        <v>63</v>
      </c>
      <c r="L26" s="30">
        <f t="shared" ref="L26" si="100">L25-((1-L25)/($F$18*$F$12))</f>
        <v>1.2265833210767374</v>
      </c>
      <c r="M26" s="31" t="s">
        <v>63</v>
      </c>
      <c r="N26" s="30">
        <f t="shared" ref="N26" si="101">N25-((1-N25)/($F$18*$F$12))</f>
        <v>1.2265833210767374</v>
      </c>
      <c r="O26" s="31" t="s">
        <v>63</v>
      </c>
      <c r="P26" s="30">
        <f t="shared" ref="P26" si="102">P25-((1-P25)/($F$18*$F$12))</f>
        <v>1.2265833210767374</v>
      </c>
      <c r="Q26" s="31" t="s">
        <v>63</v>
      </c>
      <c r="R26" s="30">
        <f t="shared" ref="R26" si="103">R25-((1-R25)/($F$18*$F$12))</f>
        <v>1.2265833210767374</v>
      </c>
      <c r="S26" s="31" t="s">
        <v>63</v>
      </c>
      <c r="T26" s="30">
        <f t="shared" ref="T26" si="104">T25-((1-T25)/($F$18*$F$12))</f>
        <v>1.2265833210767374</v>
      </c>
    </row>
    <row r="27" spans="1:20" ht="15.75" x14ac:dyDescent="0.25">
      <c r="A27" s="48" t="s">
        <v>134</v>
      </c>
      <c r="B27" s="56">
        <v>1</v>
      </c>
      <c r="C27" s="47"/>
      <c r="E27" s="31" t="s">
        <v>64</v>
      </c>
      <c r="F27" s="31">
        <f>1</f>
        <v>1</v>
      </c>
      <c r="G27" s="31" t="s">
        <v>64</v>
      </c>
      <c r="H27" s="31">
        <f>1</f>
        <v>1</v>
      </c>
      <c r="I27" s="31" t="s">
        <v>64</v>
      </c>
      <c r="J27" s="31">
        <f>1</f>
        <v>1</v>
      </c>
      <c r="K27" s="31" t="s">
        <v>64</v>
      </c>
      <c r="L27" s="31">
        <f>1</f>
        <v>1</v>
      </c>
      <c r="M27" s="31" t="s">
        <v>64</v>
      </c>
      <c r="N27" s="31">
        <f>1</f>
        <v>1</v>
      </c>
      <c r="O27" s="31" t="s">
        <v>64</v>
      </c>
      <c r="P27" s="31">
        <f>1</f>
        <v>1</v>
      </c>
      <c r="Q27" s="31" t="s">
        <v>64</v>
      </c>
      <c r="R27" s="31">
        <f>1</f>
        <v>1</v>
      </c>
      <c r="S27" s="31" t="s">
        <v>64</v>
      </c>
      <c r="T27" s="31">
        <f>1</f>
        <v>1</v>
      </c>
    </row>
    <row r="28" spans="1:20" x14ac:dyDescent="0.25">
      <c r="A28" s="48" t="s">
        <v>127</v>
      </c>
      <c r="B28" s="57">
        <f>B26*B27</f>
        <v>1.2</v>
      </c>
      <c r="C28" s="47"/>
      <c r="E28" s="85" t="s">
        <v>93</v>
      </c>
      <c r="F28" s="85"/>
      <c r="G28" s="85" t="s">
        <v>93</v>
      </c>
      <c r="H28" s="85"/>
      <c r="I28" s="85" t="s">
        <v>93</v>
      </c>
      <c r="J28" s="85"/>
      <c r="K28" s="85" t="s">
        <v>93</v>
      </c>
      <c r="L28" s="85"/>
      <c r="M28" s="85" t="s">
        <v>93</v>
      </c>
      <c r="N28" s="85"/>
      <c r="O28" s="85" t="s">
        <v>93</v>
      </c>
      <c r="P28" s="85"/>
      <c r="Q28" s="85" t="s">
        <v>93</v>
      </c>
      <c r="R28" s="85"/>
      <c r="S28" s="85" t="s">
        <v>93</v>
      </c>
      <c r="T28" s="85"/>
    </row>
    <row r="29" spans="1:20" ht="15.75" x14ac:dyDescent="0.25">
      <c r="A29" s="48" t="s">
        <v>130</v>
      </c>
      <c r="B29" s="56">
        <v>2.3989659778010659</v>
      </c>
      <c r="C29" s="47"/>
      <c r="E29" s="44" t="s">
        <v>113</v>
      </c>
      <c r="F29" s="45">
        <f>(2+(F8/F7))/(1+(F8/F7))</f>
        <v>1.0664212232441352</v>
      </c>
      <c r="G29" s="44" t="s">
        <v>113</v>
      </c>
      <c r="H29" s="45">
        <f t="shared" ref="H29" si="105">(2+(H8/H7))/(1+(H8/H7))</f>
        <v>1.0705519037657207</v>
      </c>
      <c r="I29" s="44" t="s">
        <v>113</v>
      </c>
      <c r="J29" s="45">
        <f t="shared" ref="J29" si="106">(2+(J8/J7))/(1+(J8/J7))</f>
        <v>1.0645698687638179</v>
      </c>
      <c r="K29" s="44" t="s">
        <v>113</v>
      </c>
      <c r="L29" s="45">
        <f t="shared" ref="L29" si="107">(2+(L8/L7))/(1+(L8/L7))</f>
        <v>1.0647031912965332</v>
      </c>
      <c r="M29" s="44" t="s">
        <v>113</v>
      </c>
      <c r="N29" s="45">
        <f t="shared" ref="N29" si="108">(2+(N8/N7))/(1+(N8/N7))</f>
        <v>1.0645698695131061</v>
      </c>
      <c r="O29" s="44" t="s">
        <v>113</v>
      </c>
      <c r="P29" s="45">
        <f t="shared" ref="P29" si="109">(2+(P8/P7))/(1+(P8/P7))</f>
        <v>1.0647031914361835</v>
      </c>
      <c r="Q29" s="44" t="s">
        <v>113</v>
      </c>
      <c r="R29" s="45">
        <f t="shared" ref="R29" si="110">(2+(R8/R7))/(1+(R8/R7))</f>
        <v>1.0645698695131061</v>
      </c>
      <c r="S29" s="44" t="s">
        <v>113</v>
      </c>
      <c r="T29" s="45">
        <f t="shared" ref="T29" si="111">(2+(T8/T7))/(1+(T8/T7))</f>
        <v>1.0647031914361835</v>
      </c>
    </row>
    <row r="30" spans="1:20" ht="15.75" x14ac:dyDescent="0.25">
      <c r="A30" s="48" t="s">
        <v>131</v>
      </c>
      <c r="B30" s="56">
        <v>0.28537380013241093</v>
      </c>
      <c r="C30" s="47" t="s">
        <v>132</v>
      </c>
      <c r="E30" s="44" t="s">
        <v>94</v>
      </c>
      <c r="F30" s="45">
        <f>(1-F4/(F3+F7*F8*$B$20*$F$13))^F29</f>
        <v>0.66460656098197435</v>
      </c>
      <c r="G30" s="44" t="s">
        <v>94</v>
      </c>
      <c r="H30" s="45">
        <f>(1-H4/(H3+H7*H8*$B$20*H13))^H29</f>
        <v>0.13310442146006865</v>
      </c>
      <c r="I30" s="44" t="s">
        <v>94</v>
      </c>
      <c r="J30" s="45">
        <f t="shared" ref="J30" si="112">(1-J4/(J3+J7*J8*$B$20*$F$13))^J29</f>
        <v>0.94528832399173446</v>
      </c>
      <c r="K30" s="44" t="s">
        <v>94</v>
      </c>
      <c r="L30" s="45">
        <f t="shared" ref="L30" si="113">(1-L4/(L3+L7*L8*$B$20*$F$13))^L29</f>
        <v>0.92729628980367085</v>
      </c>
      <c r="M30" s="44" t="s">
        <v>94</v>
      </c>
      <c r="N30" s="45">
        <f t="shared" ref="N30" si="114">(1-N4/(N3+N7*N8*$B$20*$F$13))^N29</f>
        <v>0.94528825571988928</v>
      </c>
      <c r="O30" s="44" t="s">
        <v>94</v>
      </c>
      <c r="P30" s="45">
        <f t="shared" ref="P30" si="115">(1-P4/(P3+P7*P8*$B$20*$F$13))^P29</f>
        <v>0.92729620382667421</v>
      </c>
      <c r="Q30" s="44" t="s">
        <v>94</v>
      </c>
      <c r="R30" s="45">
        <f t="shared" ref="R30" si="116">(1-R4/(R3+R7*R8*$B$20*$F$13))^R29</f>
        <v>0.94528825571988928</v>
      </c>
      <c r="S30" s="44" t="s">
        <v>94</v>
      </c>
      <c r="T30" s="45">
        <f t="shared" ref="T30" si="117">(1-T4/(T3+T7*T8*$B$20*$F$13))^T29</f>
        <v>0.92729620382667421</v>
      </c>
    </row>
    <row r="31" spans="1:20" x14ac:dyDescent="0.25">
      <c r="E31" s="44" t="s">
        <v>95</v>
      </c>
      <c r="F31" s="45">
        <f>F30-(1-F30)/($F$18*$F$12)</f>
        <v>0.65850377808989435</v>
      </c>
      <c r="G31" s="44" t="s">
        <v>95</v>
      </c>
      <c r="H31" s="45">
        <f>H30-(1-H30)/($F$18*$F$12)</f>
        <v>0.11733048288386135</v>
      </c>
      <c r="I31" s="44" t="s">
        <v>95</v>
      </c>
      <c r="J31" s="45">
        <f t="shared" ref="J31" si="118">J30-(1-J30)/($F$18*$F$12)</f>
        <v>0.94429279622793005</v>
      </c>
      <c r="K31" s="44" t="s">
        <v>95</v>
      </c>
      <c r="L31" s="45">
        <f t="shared" ref="L31" si="119">L30-(1-L30)/($F$18*$F$12)</f>
        <v>0.92597338092365233</v>
      </c>
      <c r="M31" s="44" t="s">
        <v>95</v>
      </c>
      <c r="N31" s="45">
        <f t="shared" ref="N31" si="120">N30-(1-N30)/($F$18*$F$12)</f>
        <v>0.94429272671381781</v>
      </c>
      <c r="O31" s="44" t="s">
        <v>95</v>
      </c>
      <c r="P31" s="45">
        <f t="shared" ref="P31" si="121">P30-(1-P30)/($F$18*$F$12)</f>
        <v>0.92597329338222756</v>
      </c>
      <c r="Q31" s="44" t="s">
        <v>95</v>
      </c>
      <c r="R31" s="45">
        <f t="shared" ref="R31" si="122">R30-(1-R30)/($F$18*$F$12)</f>
        <v>0.94429272671381781</v>
      </c>
      <c r="S31" s="44" t="s">
        <v>95</v>
      </c>
      <c r="T31" s="45">
        <f t="shared" ref="T31" si="123">T30-(1-T30)/($F$18*$F$12)</f>
        <v>0.92597329338222756</v>
      </c>
    </row>
    <row r="32" spans="1:20" x14ac:dyDescent="0.25">
      <c r="A32" s="1"/>
      <c r="B32" s="1"/>
      <c r="C32" s="1"/>
      <c r="D32" s="1"/>
      <c r="E32" s="49" t="s">
        <v>96</v>
      </c>
      <c r="F32" s="45">
        <f>(1-F4/(F3+F7*F8*B20*F13))^(F29+1)</f>
        <v>0.45308603243514312</v>
      </c>
      <c r="G32" s="49" t="s">
        <v>96</v>
      </c>
      <c r="H32" s="45">
        <f>(1-H4/(H3+H7*H8*D20*H13))^(H29+1)</f>
        <v>2.0234978724556381E-2</v>
      </c>
      <c r="I32" s="49" t="s">
        <v>96</v>
      </c>
      <c r="J32" s="45">
        <f t="shared" ref="J32" si="124">(1-J4/(J3+J7*J8*F20*J13))^(J29+1)</f>
        <v>0.89662469865827676</v>
      </c>
      <c r="K32" s="49" t="s">
        <v>96</v>
      </c>
      <c r="L32" s="45">
        <f t="shared" ref="L32" si="125">(1-L4/(L3+L7*L8*H20*L13))^(L29+1)</f>
        <v>0.86383184652944522</v>
      </c>
      <c r="M32" s="49" t="s">
        <v>96</v>
      </c>
      <c r="N32" s="45">
        <f t="shared" ref="N32" si="126">(1-N4/(N3+N7*N8*J20*N13))^(N29+1)</f>
        <v>0.89662457310498989</v>
      </c>
      <c r="O32" s="49" t="s">
        <v>96</v>
      </c>
      <c r="P32" s="45">
        <f t="shared" ref="P32" si="127">(1-P4/(P3+P7*P8*L20*P13))^(P29+1)</f>
        <v>0.86383169121939773</v>
      </c>
      <c r="Q32" s="49" t="s">
        <v>96</v>
      </c>
      <c r="R32" s="45">
        <f t="shared" ref="R32" si="128">(1-R4/(R3+R7*R8*N20*R13))^(R29+1)</f>
        <v>0.89662457310498989</v>
      </c>
      <c r="S32" s="49" t="s">
        <v>96</v>
      </c>
      <c r="T32" s="45">
        <f t="shared" ref="T32" si="129">(1-T4/(T3+T7*T8*P20*T13))^(T29+1)</f>
        <v>0.86383169121939773</v>
      </c>
    </row>
    <row r="33" spans="1:20" x14ac:dyDescent="0.25">
      <c r="A33" s="1"/>
      <c r="B33" s="1"/>
      <c r="C33" s="1"/>
      <c r="D33" s="1"/>
      <c r="E33" s="85" t="s">
        <v>125</v>
      </c>
      <c r="F33" s="85"/>
      <c r="G33" s="85" t="s">
        <v>125</v>
      </c>
      <c r="H33" s="85"/>
      <c r="I33" s="85" t="s">
        <v>125</v>
      </c>
      <c r="J33" s="85"/>
      <c r="K33" s="85" t="s">
        <v>125</v>
      </c>
      <c r="L33" s="85"/>
      <c r="M33" s="85" t="s">
        <v>125</v>
      </c>
      <c r="N33" s="85"/>
      <c r="O33" s="85" t="s">
        <v>125</v>
      </c>
      <c r="P33" s="85"/>
      <c r="Q33" s="85" t="s">
        <v>125</v>
      </c>
      <c r="R33" s="85"/>
      <c r="S33" s="85" t="s">
        <v>125</v>
      </c>
      <c r="T33" s="85"/>
    </row>
    <row r="34" spans="1:20" x14ac:dyDescent="0.25">
      <c r="A34" s="1"/>
      <c r="B34" s="50"/>
      <c r="C34" s="51"/>
      <c r="D34" s="1"/>
      <c r="E34" s="44" t="s">
        <v>135</v>
      </c>
      <c r="F34" s="45">
        <f>$B$25*$B$28</f>
        <v>0.23398447716366794</v>
      </c>
      <c r="G34" s="44" t="s">
        <v>135</v>
      </c>
      <c r="H34" s="45">
        <f t="shared" ref="H34" si="130">$B$25*$B$28</f>
        <v>0.23398447716366794</v>
      </c>
      <c r="I34" s="44" t="s">
        <v>135</v>
      </c>
      <c r="J34" s="45">
        <f t="shared" ref="J34" si="131">$B$25*$B$28</f>
        <v>0.23398447716366794</v>
      </c>
      <c r="K34" s="44" t="s">
        <v>135</v>
      </c>
      <c r="L34" s="45">
        <f t="shared" ref="L34" si="132">$B$25*$B$28</f>
        <v>0.23398447716366794</v>
      </c>
      <c r="M34" s="44" t="s">
        <v>135</v>
      </c>
      <c r="N34" s="45">
        <f t="shared" ref="N34" si="133">$B$25*$B$28</f>
        <v>0.23398447716366794</v>
      </c>
      <c r="O34" s="44" t="s">
        <v>135</v>
      </c>
      <c r="P34" s="45">
        <f t="shared" ref="P34" si="134">$B$25*$B$28</f>
        <v>0.23398447716366794</v>
      </c>
      <c r="Q34" s="44" t="s">
        <v>135</v>
      </c>
      <c r="R34" s="45">
        <f t="shared" ref="R34" si="135">$B$25*$B$28</f>
        <v>0.23398447716366794</v>
      </c>
      <c r="S34" s="44" t="s">
        <v>135</v>
      </c>
      <c r="T34" s="45">
        <f t="shared" ref="T34" si="136">$B$25*$B$28</f>
        <v>0.23398447716366794</v>
      </c>
    </row>
    <row r="35" spans="1:20" x14ac:dyDescent="0.25">
      <c r="A35" s="1"/>
      <c r="B35" s="1"/>
      <c r="C35" s="1"/>
      <c r="D35" s="1"/>
      <c r="E35" s="44" t="s">
        <v>137</v>
      </c>
      <c r="F35" s="45">
        <f>F34/2</f>
        <v>0.11699223858183397</v>
      </c>
      <c r="G35" s="44" t="s">
        <v>137</v>
      </c>
      <c r="H35" s="45">
        <f t="shared" ref="H35" si="137">H34/2</f>
        <v>0.11699223858183397</v>
      </c>
      <c r="I35" s="44" t="s">
        <v>137</v>
      </c>
      <c r="J35" s="45">
        <f t="shared" ref="J35" si="138">J34/2</f>
        <v>0.11699223858183397</v>
      </c>
      <c r="K35" s="44" t="s">
        <v>137</v>
      </c>
      <c r="L35" s="45">
        <f t="shared" ref="L35" si="139">L34/2</f>
        <v>0.11699223858183397</v>
      </c>
      <c r="M35" s="44" t="s">
        <v>137</v>
      </c>
      <c r="N35" s="45">
        <f t="shared" ref="N35" si="140">N34/2</f>
        <v>0.11699223858183397</v>
      </c>
      <c r="O35" s="44" t="s">
        <v>137</v>
      </c>
      <c r="P35" s="45">
        <f t="shared" ref="P35" si="141">P34/2</f>
        <v>0.11699223858183397</v>
      </c>
      <c r="Q35" s="44" t="s">
        <v>137</v>
      </c>
      <c r="R35" s="45">
        <f t="shared" ref="R35" si="142">R34/2</f>
        <v>0.11699223858183397</v>
      </c>
      <c r="S35" s="44" t="s">
        <v>137</v>
      </c>
      <c r="T35" s="45">
        <f t="shared" ref="T35" si="143">T34/2</f>
        <v>0.11699223858183397</v>
      </c>
    </row>
    <row r="36" spans="1:20" x14ac:dyDescent="0.25">
      <c r="A36" s="1"/>
      <c r="B36" s="50"/>
      <c r="C36" s="51"/>
      <c r="D36" s="1"/>
      <c r="E36" s="54" t="s">
        <v>136</v>
      </c>
      <c r="F36" s="47">
        <f>0.24</f>
        <v>0.24</v>
      </c>
      <c r="G36" s="54" t="s">
        <v>136</v>
      </c>
      <c r="H36" s="47">
        <f t="shared" ref="H36" si="144">0.24</f>
        <v>0.24</v>
      </c>
      <c r="I36" s="54" t="s">
        <v>136</v>
      </c>
      <c r="J36" s="47">
        <f t="shared" ref="J36" si="145">0.24</f>
        <v>0.24</v>
      </c>
      <c r="K36" s="54" t="s">
        <v>136</v>
      </c>
      <c r="L36" s="47">
        <f t="shared" ref="L36" si="146">0.24</f>
        <v>0.24</v>
      </c>
      <c r="M36" s="54" t="s">
        <v>136</v>
      </c>
      <c r="N36" s="47">
        <f t="shared" ref="N36" si="147">0.24</f>
        <v>0.24</v>
      </c>
      <c r="O36" s="54" t="s">
        <v>136</v>
      </c>
      <c r="P36" s="47">
        <f t="shared" ref="P36" si="148">0.24</f>
        <v>0.24</v>
      </c>
      <c r="Q36" s="54" t="s">
        <v>136</v>
      </c>
      <c r="R36" s="47">
        <f t="shared" ref="R36" si="149">0.24</f>
        <v>0.24</v>
      </c>
      <c r="S36" s="54" t="s">
        <v>136</v>
      </c>
      <c r="T36" s="47">
        <f t="shared" ref="T36" si="150">0.24</f>
        <v>0.24</v>
      </c>
    </row>
    <row r="37" spans="1:20" x14ac:dyDescent="0.25">
      <c r="A37" s="1"/>
      <c r="B37" s="1"/>
      <c r="C37" s="10"/>
      <c r="D37" s="1"/>
      <c r="E37" s="54" t="s">
        <v>138</v>
      </c>
      <c r="F37" s="45">
        <f>(1-F34/F12)^(0.35)</f>
        <v>0.88749464384524113</v>
      </c>
      <c r="G37" s="54" t="s">
        <v>138</v>
      </c>
      <c r="H37" s="45">
        <f t="shared" ref="H37" si="151">(1-H34/H12)^(0.35)</f>
        <v>0.88749464384524113</v>
      </c>
      <c r="I37" s="54" t="s">
        <v>138</v>
      </c>
      <c r="J37" s="45">
        <f t="shared" ref="J37" si="152">(1-J34/J12)^(0.35)</f>
        <v>0.88749464384524113</v>
      </c>
      <c r="K37" s="54" t="s">
        <v>138</v>
      </c>
      <c r="L37" s="45">
        <f t="shared" ref="L37" si="153">(1-L34/L12)^(0.35)</f>
        <v>0.88749464384524113</v>
      </c>
      <c r="M37" s="54" t="s">
        <v>138</v>
      </c>
      <c r="N37" s="45">
        <f t="shared" ref="N37" si="154">(1-N34/N12)^(0.35)</f>
        <v>0.88749464384524113</v>
      </c>
      <c r="O37" s="54" t="s">
        <v>138</v>
      </c>
      <c r="P37" s="45">
        <f t="shared" ref="P37" si="155">(1-P34/P12)^(0.35)</f>
        <v>0.88749464384524113</v>
      </c>
      <c r="Q37" s="54" t="s">
        <v>138</v>
      </c>
      <c r="R37" s="45">
        <f t="shared" ref="R37" si="156">(1-R34/R12)^(0.35)</f>
        <v>0.88749464384524113</v>
      </c>
      <c r="S37" s="54" t="s">
        <v>138</v>
      </c>
      <c r="T37" s="45">
        <f t="shared" ref="T37" si="157">(1-T34/T12)^(0.35)</f>
        <v>0.88749464384524113</v>
      </c>
    </row>
    <row r="38" spans="1:20" x14ac:dyDescent="0.25">
      <c r="A38" s="1"/>
      <c r="B38" s="1"/>
      <c r="C38" s="51"/>
      <c r="D38" s="1"/>
      <c r="E38" s="54" t="s">
        <v>139</v>
      </c>
      <c r="F38" s="45">
        <f>(1-0.32*F34)</f>
        <v>0.92512496730762628</v>
      </c>
      <c r="G38" s="54" t="s">
        <v>139</v>
      </c>
      <c r="H38" s="45">
        <f t="shared" ref="H38" si="158">(1-0.32*H34)</f>
        <v>0.92512496730762628</v>
      </c>
      <c r="I38" s="54" t="s">
        <v>139</v>
      </c>
      <c r="J38" s="45">
        <f t="shared" ref="J38" si="159">(1-0.32*J34)</f>
        <v>0.92512496730762628</v>
      </c>
      <c r="K38" s="54" t="s">
        <v>139</v>
      </c>
      <c r="L38" s="45">
        <f t="shared" ref="L38" si="160">(1-0.32*L34)</f>
        <v>0.92512496730762628</v>
      </c>
      <c r="M38" s="54" t="s">
        <v>139</v>
      </c>
      <c r="N38" s="45">
        <f t="shared" ref="N38" si="161">(1-0.32*N34)</f>
        <v>0.92512496730762628</v>
      </c>
      <c r="O38" s="54" t="s">
        <v>139</v>
      </c>
      <c r="P38" s="45">
        <f t="shared" ref="P38" si="162">(1-0.32*P34)</f>
        <v>0.92512496730762628</v>
      </c>
      <c r="Q38" s="54" t="s">
        <v>139</v>
      </c>
      <c r="R38" s="45">
        <f t="shared" ref="R38" si="163">(1-0.32*R34)</f>
        <v>0.92512496730762628</v>
      </c>
      <c r="S38" s="54" t="s">
        <v>139</v>
      </c>
      <c r="T38" s="45">
        <f t="shared" ref="T38" si="164">(1-0.32*T34)</f>
        <v>0.92512496730762628</v>
      </c>
    </row>
    <row r="39" spans="1:20" x14ac:dyDescent="0.25">
      <c r="A39" s="1"/>
      <c r="B39" s="52"/>
      <c r="C39" s="51"/>
      <c r="D39" s="1"/>
      <c r="E39" s="44" t="s">
        <v>140</v>
      </c>
      <c r="F39" s="45">
        <f>F37</f>
        <v>0.88749464384524113</v>
      </c>
      <c r="G39" s="44" t="s">
        <v>140</v>
      </c>
      <c r="H39" s="45">
        <f t="shared" ref="H39" si="165">H37</f>
        <v>0.88749464384524113</v>
      </c>
      <c r="I39" s="44" t="s">
        <v>140</v>
      </c>
      <c r="J39" s="45">
        <f t="shared" ref="J39" si="166">J37</f>
        <v>0.88749464384524113</v>
      </c>
      <c r="K39" s="44" t="s">
        <v>140</v>
      </c>
      <c r="L39" s="45">
        <f t="shared" ref="L39" si="167">L37</f>
        <v>0.88749464384524113</v>
      </c>
      <c r="M39" s="44" t="s">
        <v>140</v>
      </c>
      <c r="N39" s="45">
        <f t="shared" ref="N39" si="168">N37</f>
        <v>0.88749464384524113</v>
      </c>
      <c r="O39" s="44" t="s">
        <v>140</v>
      </c>
      <c r="P39" s="45">
        <f t="shared" ref="P39" si="169">P37</f>
        <v>0.88749464384524113</v>
      </c>
      <c r="Q39" s="44" t="s">
        <v>140</v>
      </c>
      <c r="R39" s="45">
        <f t="shared" ref="R39" si="170">R37</f>
        <v>0.88749464384524113</v>
      </c>
      <c r="S39" s="44" t="s">
        <v>140</v>
      </c>
      <c r="T39" s="45">
        <f t="shared" ref="T39" si="171">T37</f>
        <v>0.88749464384524113</v>
      </c>
    </row>
    <row r="40" spans="1:20" x14ac:dyDescent="0.25">
      <c r="A40" s="1"/>
      <c r="B40" s="53"/>
      <c r="C40" s="51"/>
      <c r="D40" s="1"/>
      <c r="E40" s="84" t="s">
        <v>144</v>
      </c>
      <c r="F40" s="84"/>
      <c r="G40" s="84" t="s">
        <v>144</v>
      </c>
      <c r="H40" s="84"/>
      <c r="I40" s="84" t="s">
        <v>144</v>
      </c>
      <c r="J40" s="84"/>
      <c r="K40" s="84" t="s">
        <v>144</v>
      </c>
      <c r="L40" s="84"/>
      <c r="M40" s="84" t="s">
        <v>144</v>
      </c>
      <c r="N40" s="84"/>
      <c r="O40" s="84" t="s">
        <v>144</v>
      </c>
      <c r="P40" s="84"/>
      <c r="Q40" s="84" t="s">
        <v>144</v>
      </c>
      <c r="R40" s="84"/>
      <c r="S40" s="84" t="s">
        <v>144</v>
      </c>
      <c r="T40" s="84"/>
    </row>
    <row r="41" spans="1:20" ht="17.25" x14ac:dyDescent="0.25">
      <c r="A41" s="1"/>
      <c r="B41" s="53"/>
      <c r="C41" s="51"/>
      <c r="D41" s="1"/>
      <c r="E41" s="44" t="s">
        <v>116</v>
      </c>
      <c r="F41" s="46">
        <f>0.5*$B$17*F7*F17*F39*F22*F27*F32+$B$19*F16*F37*F21*F25*F30+$B$20*F18*F38*F26*F23*F31</f>
        <v>1375.0228912308917</v>
      </c>
      <c r="G41" s="44" t="s">
        <v>116</v>
      </c>
      <c r="H41" s="46">
        <f t="shared" ref="H41" si="172">0.5*$B$17*H7*H17*H39*H22*H27*H32+$B$19*H16*H37*H21*H25*H30+$B$20*H18*H38*H26*H23*H31</f>
        <v>211.5088543426584</v>
      </c>
      <c r="I41" s="44" t="s">
        <v>116</v>
      </c>
      <c r="J41" s="46">
        <f t="shared" ref="J41" si="173">0.5*$B$17*J7*J17*J39*J22*J27*J32+$B$19*J16*J37*J21*J25*J30+$B$20*J18*J38*J26*J23*J31</f>
        <v>2184.8624086961345</v>
      </c>
      <c r="K41" s="44" t="s">
        <v>116</v>
      </c>
      <c r="L41" s="46">
        <f t="shared" ref="L41" si="174">0.5*$B$17*L7*L17*L39*L22*L27*L32+$B$19*L16*L37*L21*L25*L30+$B$20*L18*L38*L26*L23*L31</f>
        <v>2128.9892548538674</v>
      </c>
      <c r="M41" s="44" t="s">
        <v>116</v>
      </c>
      <c r="N41" s="46">
        <f t="shared" ref="N41" si="175">0.5*$B$17*N7*N17*N39*N22*N27*N32+$B$19*N16*N37*N21*N25*N30+$B$20*N18*N38*N26*N23*N31</f>
        <v>2184.8621958224512</v>
      </c>
      <c r="O41" s="44" t="s">
        <v>116</v>
      </c>
      <c r="P41" s="46">
        <f t="shared" ref="P41" si="176">0.5*$B$17*P7*P17*P39*P22*P27*P32+$B$19*P16*P37*P21*P25*P30+$B$20*P18*P38*P26*P23*P31</f>
        <v>2128.9889888054436</v>
      </c>
      <c r="Q41" s="44" t="s">
        <v>116</v>
      </c>
      <c r="R41" s="46">
        <f t="shared" ref="R41" si="177">0.5*$B$17*R7*R17*R39*R22*R27*R32+$B$19*R16*R37*R21*R25*R30+$B$20*R18*R38*R26*R23*R31</f>
        <v>2184.8621958224512</v>
      </c>
      <c r="S41" s="44" t="s">
        <v>116</v>
      </c>
      <c r="T41" s="46">
        <f t="shared" ref="T41" si="178">0.5*$B$17*T7*T17*T39*T22*T27*T32+$B$19*T16*T37*T21*T25*T30+$B$20*T18*T38*T26*T23*T31</f>
        <v>2128.9889888054436</v>
      </c>
    </row>
    <row r="42" spans="1:20" ht="18" x14ac:dyDescent="0.35">
      <c r="A42" s="1"/>
      <c r="B42" s="53"/>
      <c r="C42" s="51"/>
      <c r="D42" s="1"/>
      <c r="E42" s="47" t="s">
        <v>115</v>
      </c>
      <c r="F42" s="47">
        <v>2.2999999999999998</v>
      </c>
      <c r="G42" s="47" t="s">
        <v>115</v>
      </c>
      <c r="H42" s="47">
        <v>2.2999999999999998</v>
      </c>
      <c r="I42" s="47" t="s">
        <v>115</v>
      </c>
      <c r="J42" s="47">
        <v>2.2999999999999998</v>
      </c>
      <c r="K42" s="47" t="s">
        <v>115</v>
      </c>
      <c r="L42" s="47">
        <v>2.2999999999999998</v>
      </c>
      <c r="M42" s="47" t="s">
        <v>115</v>
      </c>
      <c r="N42" s="47">
        <v>2.2999999999999998</v>
      </c>
      <c r="O42" s="47" t="s">
        <v>115</v>
      </c>
      <c r="P42" s="47">
        <v>2.2999999999999998</v>
      </c>
      <c r="Q42" s="47" t="s">
        <v>115</v>
      </c>
      <c r="R42" s="47">
        <v>2.2999999999999998</v>
      </c>
      <c r="S42" s="47" t="s">
        <v>115</v>
      </c>
      <c r="T42" s="47">
        <v>2.2999999999999998</v>
      </c>
    </row>
    <row r="43" spans="1:20" ht="18.75" x14ac:dyDescent="0.35">
      <c r="A43" s="1"/>
      <c r="B43" s="10"/>
      <c r="C43" s="5"/>
      <c r="D43" s="1"/>
      <c r="E43" s="44" t="s">
        <v>124</v>
      </c>
      <c r="F43" s="46">
        <f>F41/F42</f>
        <v>597.83603966560509</v>
      </c>
      <c r="G43" s="44" t="s">
        <v>124</v>
      </c>
      <c r="H43" s="46">
        <f t="shared" ref="H43" si="179">H41/H42</f>
        <v>91.960371453329742</v>
      </c>
      <c r="I43" s="44" t="s">
        <v>124</v>
      </c>
      <c r="J43" s="46">
        <f t="shared" ref="J43" si="180">J41/J42</f>
        <v>949.94017769397158</v>
      </c>
      <c r="K43" s="44" t="s">
        <v>124</v>
      </c>
      <c r="L43" s="46">
        <f t="shared" ref="L43" si="181">L41/L42</f>
        <v>925.64750211037722</v>
      </c>
      <c r="M43" s="44" t="s">
        <v>124</v>
      </c>
      <c r="N43" s="46">
        <f t="shared" ref="N43" si="182">N41/N42</f>
        <v>949.94008514019629</v>
      </c>
      <c r="O43" s="44" t="s">
        <v>124</v>
      </c>
      <c r="P43" s="46">
        <f t="shared" ref="P43" si="183">P41/P42</f>
        <v>925.64738643714941</v>
      </c>
      <c r="Q43" s="44" t="s">
        <v>124</v>
      </c>
      <c r="R43" s="46">
        <f t="shared" ref="R43" si="184">R41/R42</f>
        <v>949.94008514019629</v>
      </c>
      <c r="S43" s="44" t="s">
        <v>124</v>
      </c>
      <c r="T43" s="46">
        <f t="shared" ref="T43" si="185">T41/T42</f>
        <v>925.64738643714941</v>
      </c>
    </row>
    <row r="44" spans="1:20" ht="18.75" x14ac:dyDescent="0.35">
      <c r="A44" s="1"/>
      <c r="B44" s="1"/>
      <c r="C44" s="10"/>
      <c r="D44" s="1"/>
      <c r="E44" s="44" t="s">
        <v>123</v>
      </c>
      <c r="F44" s="45">
        <f>F3/($F$7*F8)+B14</f>
        <v>126.13506461383965</v>
      </c>
      <c r="G44" s="44" t="s">
        <v>123</v>
      </c>
      <c r="H44" s="45">
        <f t="shared" ref="H44" si="186">H3/($F$7*H8)+D14</f>
        <v>66.091011159858468</v>
      </c>
      <c r="I44" s="44" t="s">
        <v>123</v>
      </c>
      <c r="J44" s="45">
        <f t="shared" ref="J44" si="187">J3/($F$7*J8)+F14</f>
        <v>152.11781247874015</v>
      </c>
      <c r="K44" s="44" t="s">
        <v>123</v>
      </c>
      <c r="L44" s="45">
        <f t="shared" ref="L44" si="188">L3/($F$7*L8)+H14</f>
        <v>115.86585745370905</v>
      </c>
      <c r="M44" s="44" t="s">
        <v>123</v>
      </c>
      <c r="N44" s="45">
        <f t="shared" ref="N44" si="189">N3/($F$7*N8)+J14</f>
        <v>152.11762976011553</v>
      </c>
      <c r="O44" s="44" t="s">
        <v>123</v>
      </c>
      <c r="P44" s="45">
        <f t="shared" ref="P44" si="190">P3/($F$7*P8)+L14</f>
        <v>115.86572559766884</v>
      </c>
      <c r="Q44" s="44" t="s">
        <v>123</v>
      </c>
      <c r="R44" s="45">
        <f t="shared" ref="R44" si="191">R3/($F$7*R8)+N14</f>
        <v>152.11762976011553</v>
      </c>
      <c r="S44" s="44" t="s">
        <v>123</v>
      </c>
      <c r="T44" s="45">
        <f t="shared" ref="T44" si="192">T3/($F$7*T8)+P14</f>
        <v>115.86572559766884</v>
      </c>
    </row>
    <row r="45" spans="1:20" x14ac:dyDescent="0.25">
      <c r="A45" s="1"/>
      <c r="B45" s="10"/>
      <c r="C45" s="5"/>
      <c r="D45" s="60" t="s">
        <v>7</v>
      </c>
      <c r="E45" s="45">
        <f>F44/F43</f>
        <v>0.21098605009559529</v>
      </c>
      <c r="F45" s="44" t="str">
        <f>IF(F44&lt;F43,"OK","NO")</f>
        <v>OK</v>
      </c>
      <c r="G45" s="45">
        <f t="shared" ref="G45" si="193">H44/H43</f>
        <v>0.71869012831684698</v>
      </c>
      <c r="H45" s="44" t="str">
        <f t="shared" ref="H45" si="194">IF(H44&lt;H43,"OK","NO")</f>
        <v>OK</v>
      </c>
      <c r="I45" s="45">
        <f t="shared" ref="I45" si="195">J44/J43</f>
        <v>0.16013409691546465</v>
      </c>
      <c r="J45" s="44" t="str">
        <f t="shared" ref="J45" si="196">IF(J44&lt;J43,"OK","NO")</f>
        <v>OK</v>
      </c>
      <c r="K45" s="45">
        <f t="shared" ref="K45" si="197">L44/L43</f>
        <v>0.12517276521521131</v>
      </c>
      <c r="L45" s="44" t="str">
        <f t="shared" ref="L45" si="198">IF(L44&lt;L43,"OK","NO")</f>
        <v>OK</v>
      </c>
      <c r="M45" s="45">
        <f t="shared" ref="M45" si="199">N44/N43</f>
        <v>0.16013392016999192</v>
      </c>
      <c r="N45" s="44" t="str">
        <f t="shared" ref="N45" si="200">IF(N44&lt;N43,"OK","NO")</f>
        <v>OK</v>
      </c>
      <c r="O45" s="45">
        <f t="shared" ref="O45" si="201">P44/P43</f>
        <v>0.12517263841001081</v>
      </c>
      <c r="P45" s="44" t="str">
        <f t="shared" ref="P45" si="202">IF(P44&lt;P43,"OK","NO")</f>
        <v>OK</v>
      </c>
      <c r="Q45" s="45">
        <f t="shared" ref="Q45" si="203">R44/R43</f>
        <v>0.16013392016999192</v>
      </c>
      <c r="R45" s="44" t="str">
        <f t="shared" ref="R45" si="204">IF(R44&lt;R43,"OK","NO")</f>
        <v>OK</v>
      </c>
      <c r="S45" s="45">
        <f t="shared" ref="S45" si="205">T44/T43</f>
        <v>0.12517263841001081</v>
      </c>
      <c r="T45" s="44" t="str">
        <f t="shared" ref="T45" si="206">IF(T44&lt;T43,"OK","NO")</f>
        <v>OK</v>
      </c>
    </row>
    <row r="46" spans="1:20" x14ac:dyDescent="0.25">
      <c r="E46" s="84" t="s">
        <v>143</v>
      </c>
      <c r="F46" s="84"/>
      <c r="G46" s="84" t="s">
        <v>143</v>
      </c>
      <c r="H46" s="84"/>
      <c r="I46" s="84" t="s">
        <v>143</v>
      </c>
      <c r="J46" s="84"/>
      <c r="K46" s="84" t="s">
        <v>143</v>
      </c>
      <c r="L46" s="84"/>
      <c r="M46" s="84" t="s">
        <v>143</v>
      </c>
      <c r="N46" s="84"/>
      <c r="O46" s="84" t="s">
        <v>143</v>
      </c>
      <c r="P46" s="84"/>
      <c r="Q46" s="84" t="s">
        <v>143</v>
      </c>
      <c r="R46" s="84"/>
      <c r="S46" s="84" t="s">
        <v>143</v>
      </c>
      <c r="T46" s="84"/>
    </row>
    <row r="47" spans="1:20" x14ac:dyDescent="0.25">
      <c r="E47" s="44" t="s">
        <v>145</v>
      </c>
      <c r="F47" s="61">
        <f>(F3+$B$14*$B$2*$B$3)*F12</f>
        <v>2079.3425884992844</v>
      </c>
      <c r="G47" s="44" t="s">
        <v>145</v>
      </c>
      <c r="H47" s="61">
        <f>(H3+$B$14*$B$2*$B$3)*H12</f>
        <v>987.42639704619751</v>
      </c>
      <c r="I47" s="44" t="s">
        <v>145</v>
      </c>
      <c r="J47" s="61">
        <f>(J3+$B$14*$B$2*$B$3)*J12</f>
        <v>2827.1162756547378</v>
      </c>
      <c r="K47" s="44" t="s">
        <v>145</v>
      </c>
      <c r="L47" s="61">
        <f>(L3+$B$14*$B$2*$B$3)*L12</f>
        <v>2210.5550130663992</v>
      </c>
      <c r="M47" s="44" t="s">
        <v>145</v>
      </c>
      <c r="N47" s="61">
        <f>(N3+$B$14*$B$2*$B$3)*N12</f>
        <v>2827.1131579862099</v>
      </c>
      <c r="O47" s="44" t="s">
        <v>145</v>
      </c>
      <c r="P47" s="61">
        <f>(P3+$B$14*$B$2*$B$3)*P12</f>
        <v>2210.5527861603077</v>
      </c>
      <c r="Q47" s="44" t="s">
        <v>145</v>
      </c>
      <c r="R47" s="61">
        <f>(R3+$B$14*$B$2*$B$3)*R12</f>
        <v>2827.1131579862099</v>
      </c>
      <c r="S47" s="44" t="s">
        <v>145</v>
      </c>
      <c r="T47" s="61">
        <f>(T3+$B$14*$B$2*$B$3)*T12</f>
        <v>2210.5527861603077</v>
      </c>
    </row>
    <row r="48" spans="1:20" x14ac:dyDescent="0.25">
      <c r="D48" s="60" t="s">
        <v>148</v>
      </c>
      <c r="E48" s="45">
        <f>F4/F47</f>
        <v>0.33034556392929687</v>
      </c>
      <c r="F48" s="44" t="str">
        <f>IF(F47&gt;F4,"OK","NO")</f>
        <v>OK</v>
      </c>
      <c r="G48" s="45">
        <f t="shared" ref="G48" si="207">H4/H47</f>
        <v>0.6954957878930087</v>
      </c>
      <c r="H48" s="44" t="str">
        <f t="shared" ref="H48" si="208">IF(H47&gt;H4,"OK","NO")</f>
        <v>OK</v>
      </c>
      <c r="I48" s="45">
        <f t="shared" ref="I48" si="209">J4/J47</f>
        <v>5.6115979864768295E-2</v>
      </c>
      <c r="J48" s="44" t="str">
        <f t="shared" ref="J48" si="210">IF(J47&gt;J4,"OK","NO")</f>
        <v>OK</v>
      </c>
      <c r="K48" s="45">
        <f t="shared" ref="K48" si="211">L4/L47</f>
        <v>7.1838338815967739E-2</v>
      </c>
      <c r="L48" s="44" t="str">
        <f t="shared" ref="L48" si="212">IF(L47&gt;L4,"OK","NO")</f>
        <v>OK</v>
      </c>
      <c r="M48" s="45">
        <f t="shared" ref="M48" si="213">N4/N47</f>
        <v>5.6116041748044472E-2</v>
      </c>
      <c r="N48" s="44" t="str">
        <f t="shared" ref="N48" si="214">IF(N47&gt;N4,"OK","NO")</f>
        <v>OK</v>
      </c>
      <c r="O48" s="45">
        <f t="shared" ref="O48" si="215">P4/P47</f>
        <v>7.1838411185754777E-2</v>
      </c>
      <c r="P48" s="44" t="str">
        <f t="shared" ref="P48" si="216">IF(P47&gt;P4,"OK","NO")</f>
        <v>OK</v>
      </c>
      <c r="Q48" s="45">
        <f t="shared" ref="Q48" si="217">R4/R47</f>
        <v>5.6116041748044472E-2</v>
      </c>
      <c r="R48" s="44" t="str">
        <f t="shared" ref="R48" si="218">IF(R47&gt;R4,"OK","NO")</f>
        <v>OK</v>
      </c>
      <c r="S48" s="45">
        <f t="shared" ref="S48" si="219">T4/T47</f>
        <v>7.1838411185754777E-2</v>
      </c>
      <c r="T48" s="44" t="str">
        <f t="shared" ref="T48" si="220">IF(T47&gt;T4,"OK","NO")</f>
        <v>OK</v>
      </c>
    </row>
  </sheetData>
  <mergeCells count="99">
    <mergeCell ref="A1:C1"/>
    <mergeCell ref="E1:F1"/>
    <mergeCell ref="G1:H1"/>
    <mergeCell ref="I1:J1"/>
    <mergeCell ref="K1:L1"/>
    <mergeCell ref="M6:N6"/>
    <mergeCell ref="O1:P1"/>
    <mergeCell ref="Q1:R1"/>
    <mergeCell ref="S1:T1"/>
    <mergeCell ref="E2:F2"/>
    <mergeCell ref="G2:H2"/>
    <mergeCell ref="I2:J2"/>
    <mergeCell ref="K2:L2"/>
    <mergeCell ref="M2:N2"/>
    <mergeCell ref="M1:N1"/>
    <mergeCell ref="O2:P2"/>
    <mergeCell ref="Q2:R2"/>
    <mergeCell ref="S2:T2"/>
    <mergeCell ref="O9:P9"/>
    <mergeCell ref="Q9:R9"/>
    <mergeCell ref="S9:T9"/>
    <mergeCell ref="A13:C13"/>
    <mergeCell ref="O6:P6"/>
    <mergeCell ref="Q6:R6"/>
    <mergeCell ref="S6:T6"/>
    <mergeCell ref="E9:F9"/>
    <mergeCell ref="G9:H9"/>
    <mergeCell ref="I9:J9"/>
    <mergeCell ref="K9:L9"/>
    <mergeCell ref="M9:N9"/>
    <mergeCell ref="E6:F6"/>
    <mergeCell ref="G6:H6"/>
    <mergeCell ref="I6:J6"/>
    <mergeCell ref="K6:L6"/>
    <mergeCell ref="A15:C15"/>
    <mergeCell ref="E15:F15"/>
    <mergeCell ref="G15:H15"/>
    <mergeCell ref="I15:J15"/>
    <mergeCell ref="K15:L15"/>
    <mergeCell ref="O15:P15"/>
    <mergeCell ref="Q15:R15"/>
    <mergeCell ref="S15:T15"/>
    <mergeCell ref="E19:F19"/>
    <mergeCell ref="G19:H19"/>
    <mergeCell ref="I19:J19"/>
    <mergeCell ref="K19:L19"/>
    <mergeCell ref="M19:N19"/>
    <mergeCell ref="M15:N15"/>
    <mergeCell ref="O19:P19"/>
    <mergeCell ref="Q19:R19"/>
    <mergeCell ref="S19:T19"/>
    <mergeCell ref="O20:P20"/>
    <mergeCell ref="Q20:R20"/>
    <mergeCell ref="S20:T20"/>
    <mergeCell ref="E24:F24"/>
    <mergeCell ref="G24:H24"/>
    <mergeCell ref="I24:J24"/>
    <mergeCell ref="K24:L24"/>
    <mergeCell ref="M24:N24"/>
    <mergeCell ref="O24:P24"/>
    <mergeCell ref="Q24:R24"/>
    <mergeCell ref="S24:T24"/>
    <mergeCell ref="E20:F20"/>
    <mergeCell ref="G20:H20"/>
    <mergeCell ref="I20:J20"/>
    <mergeCell ref="K20:L20"/>
    <mergeCell ref="M20:N20"/>
    <mergeCell ref="O28:P28"/>
    <mergeCell ref="Q28:R28"/>
    <mergeCell ref="S28:T28"/>
    <mergeCell ref="E33:F33"/>
    <mergeCell ref="G33:H33"/>
    <mergeCell ref="I33:J33"/>
    <mergeCell ref="K33:L33"/>
    <mergeCell ref="M33:N33"/>
    <mergeCell ref="O33:P33"/>
    <mergeCell ref="Q33:R33"/>
    <mergeCell ref="S33:T33"/>
    <mergeCell ref="E28:F28"/>
    <mergeCell ref="G28:H28"/>
    <mergeCell ref="I28:J28"/>
    <mergeCell ref="K28:L28"/>
    <mergeCell ref="M28:N28"/>
    <mergeCell ref="E40:F40"/>
    <mergeCell ref="G40:H40"/>
    <mergeCell ref="I40:J40"/>
    <mergeCell ref="K40:L40"/>
    <mergeCell ref="M40:N40"/>
    <mergeCell ref="E46:F46"/>
    <mergeCell ref="G46:H46"/>
    <mergeCell ref="I46:J46"/>
    <mergeCell ref="K46:L46"/>
    <mergeCell ref="M46:N46"/>
    <mergeCell ref="O46:P46"/>
    <mergeCell ref="Q46:R46"/>
    <mergeCell ref="S46:T46"/>
    <mergeCell ref="O40:P40"/>
    <mergeCell ref="Q40:R40"/>
    <mergeCell ref="S40:T40"/>
  </mergeCells>
  <conditionalFormatting sqref="F45">
    <cfRule type="cellIs" dxfId="15" priority="7" operator="equal">
      <formula>"NO"</formula>
    </cfRule>
    <cfRule type="cellIs" dxfId="14" priority="8" operator="equal">
      <formula>"OK"</formula>
    </cfRule>
  </conditionalFormatting>
  <conditionalFormatting sqref="H45 J45 L45 N45 P45 R45 T45">
    <cfRule type="cellIs" dxfId="13" priority="5" operator="equal">
      <formula>"NO"</formula>
    </cfRule>
    <cfRule type="cellIs" dxfId="12" priority="6" operator="equal">
      <formula>"OK"</formula>
    </cfRule>
  </conditionalFormatting>
  <conditionalFormatting sqref="F48">
    <cfRule type="cellIs" dxfId="11" priority="3" operator="equal">
      <formula>"NO"</formula>
    </cfRule>
    <cfRule type="cellIs" dxfId="10" priority="4" operator="equal">
      <formula>"OK"</formula>
    </cfRule>
  </conditionalFormatting>
  <conditionalFormatting sqref="H48 J48 L48 N48 P48 R48 T48">
    <cfRule type="cellIs" dxfId="9" priority="1" operator="equal">
      <formula>"NO"</formula>
    </cfRule>
    <cfRule type="cellIs" dxfId="8" priority="2" operator="equal">
      <formula>"OK"</formula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BF7C-83D7-4AF8-BBDA-302130942954}">
  <sheetPr>
    <pageSetUpPr fitToPage="1"/>
  </sheetPr>
  <dimension ref="A1:X48"/>
  <sheetViews>
    <sheetView topLeftCell="K1" zoomScale="70" zoomScaleNormal="70" workbookViewId="0">
      <selection activeCell="Y5" sqref="Y5"/>
    </sheetView>
  </sheetViews>
  <sheetFormatPr defaultRowHeight="15" x14ac:dyDescent="0.25"/>
  <cols>
    <col min="1" max="1" width="15.7109375" customWidth="1"/>
    <col min="2" max="2" width="12.85546875" customWidth="1"/>
    <col min="3" max="3" width="18.7109375" customWidth="1"/>
    <col min="4" max="4" width="16.5703125" customWidth="1"/>
    <col min="5" max="5" width="18.5703125" customWidth="1"/>
    <col min="6" max="6" width="19.7109375" customWidth="1"/>
    <col min="7" max="7" width="16.28515625" customWidth="1"/>
    <col min="8" max="8" width="18.42578125" customWidth="1"/>
    <col min="9" max="9" width="17.7109375" customWidth="1"/>
    <col min="10" max="10" width="19.42578125" customWidth="1"/>
    <col min="11" max="11" width="18" customWidth="1"/>
    <col min="12" max="12" width="17.5703125" customWidth="1"/>
    <col min="13" max="13" width="18.42578125" customWidth="1"/>
    <col min="14" max="14" width="20.85546875" customWidth="1"/>
    <col min="15" max="15" width="20.140625" customWidth="1"/>
    <col min="16" max="16" width="19.5703125" customWidth="1"/>
    <col min="17" max="17" width="18.85546875" customWidth="1"/>
    <col min="18" max="18" width="17.5703125" customWidth="1"/>
    <col min="19" max="19" width="18" customWidth="1"/>
    <col min="20" max="20" width="16.7109375" customWidth="1"/>
    <col min="21" max="21" width="13.28515625" customWidth="1"/>
    <col min="22" max="22" width="17.7109375" customWidth="1"/>
    <col min="23" max="23" width="17.42578125" customWidth="1"/>
    <col min="24" max="24" width="17.5703125" customWidth="1"/>
  </cols>
  <sheetData>
    <row r="1" spans="1:24" x14ac:dyDescent="0.25">
      <c r="A1" s="92" t="s">
        <v>45</v>
      </c>
      <c r="B1" s="92"/>
      <c r="C1" s="92"/>
      <c r="E1" s="91" t="s">
        <v>205</v>
      </c>
      <c r="F1" s="91"/>
      <c r="G1" s="91" t="s">
        <v>205</v>
      </c>
      <c r="H1" s="91"/>
      <c r="I1" s="91" t="s">
        <v>206</v>
      </c>
      <c r="J1" s="91"/>
      <c r="K1" s="91" t="s">
        <v>206</v>
      </c>
      <c r="L1" s="91"/>
      <c r="M1" s="91" t="s">
        <v>207</v>
      </c>
      <c r="N1" s="91"/>
      <c r="O1" s="91" t="s">
        <v>207</v>
      </c>
      <c r="P1" s="91"/>
      <c r="Q1" s="91" t="s">
        <v>208</v>
      </c>
      <c r="R1" s="91"/>
      <c r="S1" s="91" t="s">
        <v>208</v>
      </c>
      <c r="T1" s="91"/>
      <c r="U1" s="91" t="s">
        <v>209</v>
      </c>
      <c r="V1" s="91"/>
      <c r="W1" s="91" t="s">
        <v>209</v>
      </c>
      <c r="X1" s="91"/>
    </row>
    <row r="2" spans="1:24" x14ac:dyDescent="0.25">
      <c r="A2" s="2" t="s">
        <v>112</v>
      </c>
      <c r="B2" s="2">
        <v>13.5</v>
      </c>
      <c r="C2" s="2" t="s">
        <v>0</v>
      </c>
      <c r="E2" s="92" t="s">
        <v>97</v>
      </c>
      <c r="F2" s="92"/>
      <c r="G2" s="92" t="s">
        <v>97</v>
      </c>
      <c r="H2" s="92"/>
      <c r="I2" s="92" t="s">
        <v>97</v>
      </c>
      <c r="J2" s="92"/>
      <c r="K2" s="92" t="s">
        <v>97</v>
      </c>
      <c r="L2" s="92"/>
      <c r="M2" s="92" t="s">
        <v>97</v>
      </c>
      <c r="N2" s="92"/>
      <c r="O2" s="92" t="s">
        <v>97</v>
      </c>
      <c r="P2" s="92"/>
      <c r="Q2" s="92" t="s">
        <v>97</v>
      </c>
      <c r="R2" s="92"/>
      <c r="S2" s="92" t="s">
        <v>97</v>
      </c>
      <c r="T2" s="92"/>
      <c r="U2" s="92" t="s">
        <v>97</v>
      </c>
      <c r="V2" s="92"/>
      <c r="W2" s="92" t="s">
        <v>97</v>
      </c>
      <c r="X2" s="92"/>
    </row>
    <row r="3" spans="1:24" x14ac:dyDescent="0.25">
      <c r="A3" s="2" t="s">
        <v>44</v>
      </c>
      <c r="B3" s="2">
        <v>1.2</v>
      </c>
      <c r="C3" s="2" t="s">
        <v>0</v>
      </c>
      <c r="E3" s="2" t="s">
        <v>98</v>
      </c>
      <c r="F3" s="7">
        <f>'Forze totale sisma su fonda'!B4</f>
        <v>1649.3014999999998</v>
      </c>
      <c r="G3" s="2" t="s">
        <v>98</v>
      </c>
      <c r="H3" s="7">
        <f>'Forze totale sisma su fonda'!G4</f>
        <v>1340.5953000000004</v>
      </c>
      <c r="I3" s="2" t="s">
        <v>98</v>
      </c>
      <c r="J3" s="7">
        <f>'Forze totale sisma su fonda'!B5</f>
        <v>2138.29495</v>
      </c>
      <c r="K3" s="2" t="s">
        <v>98</v>
      </c>
      <c r="L3" s="7">
        <f>'Forze totale sisma su fonda'!G5</f>
        <v>2890.1576000000005</v>
      </c>
      <c r="M3" s="2" t="s">
        <v>98</v>
      </c>
      <c r="N3" s="7">
        <f>'Forze totale sisma su fonda'!B6</f>
        <v>2513.8762000000002</v>
      </c>
      <c r="O3" s="2" t="s">
        <v>98</v>
      </c>
      <c r="P3" s="7">
        <f>'Forze totale sisma su fonda'!G6</f>
        <v>3519.0738000000006</v>
      </c>
      <c r="Q3" s="2" t="s">
        <v>98</v>
      </c>
      <c r="R3" s="7">
        <f>'Forze totale sisma su fonda'!B7</f>
        <v>2522.29945</v>
      </c>
      <c r="S3" s="2" t="s">
        <v>98</v>
      </c>
      <c r="T3" s="7">
        <f>'Forze totale sisma su fonda'!G7</f>
        <v>3444.0505000000003</v>
      </c>
      <c r="U3" s="2" t="s">
        <v>98</v>
      </c>
      <c r="V3" s="7">
        <f>'Forze totale sisma su fonda'!B8</f>
        <v>1656.1693500000001</v>
      </c>
      <c r="W3" s="2" t="s">
        <v>98</v>
      </c>
      <c r="X3" s="7">
        <f>'Forze totale sisma su fonda'!G8</f>
        <v>1326.8309999999999</v>
      </c>
    </row>
    <row r="4" spans="1:24" x14ac:dyDescent="0.25">
      <c r="A4" s="2" t="s">
        <v>1</v>
      </c>
      <c r="B4" s="2">
        <v>0.3</v>
      </c>
      <c r="C4" s="2" t="s">
        <v>0</v>
      </c>
      <c r="E4" s="2" t="s">
        <v>99</v>
      </c>
      <c r="F4" s="7">
        <f>'Forze totale sisma su fonda'!C4</f>
        <v>391.91570000000002</v>
      </c>
      <c r="G4" s="2" t="s">
        <v>99</v>
      </c>
      <c r="H4" s="7">
        <f>ABS('Forze totale sisma su fonda'!H4)</f>
        <v>391.9212</v>
      </c>
      <c r="I4" s="2" t="s">
        <v>99</v>
      </c>
      <c r="J4" s="7">
        <f>'Forze totale sisma su fonda'!C5</f>
        <v>372.1311</v>
      </c>
      <c r="K4" s="2" t="s">
        <v>99</v>
      </c>
      <c r="L4" s="7">
        <f>ABS('Forze totale sisma su fonda'!H5)</f>
        <v>372.12889999999999</v>
      </c>
      <c r="M4" s="2" t="s">
        <v>99</v>
      </c>
      <c r="N4" s="7">
        <f>'Forze totale sisma su fonda'!C6</f>
        <v>353.36399999999998</v>
      </c>
      <c r="O4" s="2" t="s">
        <v>99</v>
      </c>
      <c r="P4" s="7">
        <f>ABS('Forze totale sisma su fonda'!H6)</f>
        <v>353.36400000000003</v>
      </c>
      <c r="Q4" s="2" t="s">
        <v>99</v>
      </c>
      <c r="R4" s="7">
        <f>'Forze totale sisma su fonda'!C7</f>
        <v>389.9346000000001</v>
      </c>
      <c r="S4" s="2" t="s">
        <v>99</v>
      </c>
      <c r="T4" s="7">
        <f>ABS('Forze totale sisma su fonda'!H7)</f>
        <v>389.93570000000005</v>
      </c>
      <c r="U4" s="2" t="s">
        <v>99</v>
      </c>
      <c r="V4" s="7">
        <f>'Forze totale sisma su fonda'!C8</f>
        <v>423.21289999999999</v>
      </c>
      <c r="W4" s="2" t="s">
        <v>99</v>
      </c>
      <c r="X4" s="7">
        <f>ABS('Forze totale sisma su fonda'!H8)</f>
        <v>423.20850000000007</v>
      </c>
    </row>
    <row r="5" spans="1:24" x14ac:dyDescent="0.25">
      <c r="A5" s="2" t="s">
        <v>13</v>
      </c>
      <c r="B5" s="2">
        <v>0.3</v>
      </c>
      <c r="C5" s="2" t="s">
        <v>0</v>
      </c>
      <c r="E5" s="2" t="s">
        <v>100</v>
      </c>
      <c r="F5" s="7">
        <f>'Forze totale sisma su fonda'!E4</f>
        <v>0.44321322693273485</v>
      </c>
      <c r="G5" s="2" t="s">
        <v>100</v>
      </c>
      <c r="H5" s="7">
        <f>'Forze totale sisma su fonda'!K4</f>
        <v>0.54526844902410143</v>
      </c>
      <c r="I5" s="2" t="s">
        <v>100</v>
      </c>
      <c r="J5" s="7">
        <f>'Forze totale sisma su fonda'!E5</f>
        <v>0.32497517239144214</v>
      </c>
      <c r="K5" s="2" t="s">
        <v>100</v>
      </c>
      <c r="L5" s="7">
        <f>'Forze totale sisma su fonda'!K5</f>
        <v>0.24043486071486203</v>
      </c>
      <c r="M5" s="2" t="s">
        <v>100</v>
      </c>
      <c r="N5" s="7">
        <f>'Forze totale sisma su fonda'!E6</f>
        <v>0.26250985629284374</v>
      </c>
      <c r="O5" s="2" t="s">
        <v>100</v>
      </c>
      <c r="P5" s="7">
        <f>'Forze totale sisma su fonda'!K6</f>
        <v>0.18752521757287385</v>
      </c>
      <c r="Q5" s="2" t="s">
        <v>100</v>
      </c>
      <c r="R5" s="7">
        <f>'Forze totale sisma su fonda'!E7</f>
        <v>0.28872339483719905</v>
      </c>
      <c r="S5" s="2" t="s">
        <v>100</v>
      </c>
      <c r="T5" s="7">
        <f>'Forze totale sisma su fonda'!K7</f>
        <v>0.21145040410992813</v>
      </c>
      <c r="U5" s="2" t="s">
        <v>100</v>
      </c>
      <c r="V5" s="7">
        <f>'Forze totale sisma su fonda'!E8</f>
        <v>0.47670759031979426</v>
      </c>
      <c r="W5" s="2" t="s">
        <v>100</v>
      </c>
      <c r="X5" s="7">
        <f>'Forze totale sisma su fonda'!K8</f>
        <v>0.5950380945274869</v>
      </c>
    </row>
    <row r="6" spans="1:24" x14ac:dyDescent="0.25">
      <c r="A6" s="2" t="s">
        <v>14</v>
      </c>
      <c r="B6" s="2">
        <f>B3-B5</f>
        <v>0.89999999999999991</v>
      </c>
      <c r="C6" s="2" t="s">
        <v>0</v>
      </c>
      <c r="E6" s="86" t="s">
        <v>91</v>
      </c>
      <c r="F6" s="87"/>
      <c r="G6" s="86" t="s">
        <v>91</v>
      </c>
      <c r="H6" s="87"/>
      <c r="I6" s="86" t="s">
        <v>91</v>
      </c>
      <c r="J6" s="87"/>
      <c r="K6" s="86" t="s">
        <v>91</v>
      </c>
      <c r="L6" s="87"/>
      <c r="M6" s="86" t="s">
        <v>91</v>
      </c>
      <c r="N6" s="87"/>
      <c r="O6" s="86" t="s">
        <v>91</v>
      </c>
      <c r="P6" s="87"/>
      <c r="Q6" s="86" t="s">
        <v>91</v>
      </c>
      <c r="R6" s="87"/>
      <c r="S6" s="86" t="s">
        <v>91</v>
      </c>
      <c r="T6" s="87"/>
      <c r="U6" s="86" t="s">
        <v>91</v>
      </c>
      <c r="V6" s="87"/>
      <c r="W6" s="86" t="s">
        <v>91</v>
      </c>
      <c r="X6" s="87"/>
    </row>
    <row r="7" spans="1:24" ht="17.25" x14ac:dyDescent="0.25">
      <c r="A7" s="2" t="s">
        <v>15</v>
      </c>
      <c r="B7" s="2">
        <f>B5*B3</f>
        <v>0.36</v>
      </c>
      <c r="C7" s="2" t="s">
        <v>119</v>
      </c>
      <c r="E7" s="31" t="s">
        <v>88</v>
      </c>
      <c r="F7" s="31">
        <f>$B$3</f>
        <v>1.2</v>
      </c>
      <c r="G7" s="31" t="s">
        <v>88</v>
      </c>
      <c r="H7" s="31">
        <f t="shared" ref="H7" si="0">$B$3</f>
        <v>1.2</v>
      </c>
      <c r="I7" s="31" t="s">
        <v>88</v>
      </c>
      <c r="J7" s="31">
        <f t="shared" ref="J7" si="1">$B$3</f>
        <v>1.2</v>
      </c>
      <c r="K7" s="31" t="s">
        <v>88</v>
      </c>
      <c r="L7" s="31">
        <f t="shared" ref="L7" si="2">$B$3</f>
        <v>1.2</v>
      </c>
      <c r="M7" s="31" t="s">
        <v>88</v>
      </c>
      <c r="N7" s="31">
        <f t="shared" ref="N7" si="3">$B$3</f>
        <v>1.2</v>
      </c>
      <c r="O7" s="31" t="s">
        <v>88</v>
      </c>
      <c r="P7" s="31">
        <f t="shared" ref="P7" si="4">$B$3</f>
        <v>1.2</v>
      </c>
      <c r="Q7" s="31" t="s">
        <v>88</v>
      </c>
      <c r="R7" s="31">
        <f t="shared" ref="R7" si="5">$B$3</f>
        <v>1.2</v>
      </c>
      <c r="S7" s="31" t="s">
        <v>88</v>
      </c>
      <c r="T7" s="31">
        <f t="shared" ref="T7" si="6">$B$3</f>
        <v>1.2</v>
      </c>
      <c r="U7" s="31" t="s">
        <v>88</v>
      </c>
      <c r="V7" s="31">
        <f t="shared" ref="V7" si="7">$B$3</f>
        <v>1.2</v>
      </c>
      <c r="W7" s="31" t="s">
        <v>88</v>
      </c>
      <c r="X7" s="31">
        <f t="shared" ref="X7" si="8">$B$3</f>
        <v>1.2</v>
      </c>
    </row>
    <row r="8" spans="1:24" ht="17.25" x14ac:dyDescent="0.25">
      <c r="A8" s="2" t="s">
        <v>16</v>
      </c>
      <c r="B8" s="2">
        <f>B6*B4</f>
        <v>0.26999999999999996</v>
      </c>
      <c r="C8" s="2" t="s">
        <v>119</v>
      </c>
      <c r="E8" s="31" t="s">
        <v>89</v>
      </c>
      <c r="F8" s="30">
        <f>$B$2-F5</f>
        <v>13.056786773067266</v>
      </c>
      <c r="G8" s="31" t="s">
        <v>89</v>
      </c>
      <c r="H8" s="30">
        <f t="shared" ref="H8" si="9">$B$2-H5</f>
        <v>12.954731550975898</v>
      </c>
      <c r="I8" s="31" t="s">
        <v>89</v>
      </c>
      <c r="J8" s="30">
        <f t="shared" ref="J8" si="10">$B$2-J5</f>
        <v>13.175024827608558</v>
      </c>
      <c r="K8" s="31" t="s">
        <v>89</v>
      </c>
      <c r="L8" s="30">
        <f t="shared" ref="L8" si="11">$B$2-L5</f>
        <v>13.259565139285138</v>
      </c>
      <c r="M8" s="31" t="s">
        <v>89</v>
      </c>
      <c r="N8" s="30">
        <f t="shared" ref="N8" si="12">$B$2-N5</f>
        <v>13.237490143707156</v>
      </c>
      <c r="O8" s="31" t="s">
        <v>89</v>
      </c>
      <c r="P8" s="30">
        <f t="shared" ref="P8" si="13">$B$2-P5</f>
        <v>13.312474782427126</v>
      </c>
      <c r="Q8" s="31" t="s">
        <v>89</v>
      </c>
      <c r="R8" s="30">
        <f t="shared" ref="R8" si="14">$B$2-R5</f>
        <v>13.211276605162801</v>
      </c>
      <c r="S8" s="31" t="s">
        <v>89</v>
      </c>
      <c r="T8" s="30">
        <f t="shared" ref="T8" si="15">$B$2-T5</f>
        <v>13.288549595890071</v>
      </c>
      <c r="U8" s="31" t="s">
        <v>89</v>
      </c>
      <c r="V8" s="30">
        <f t="shared" ref="V8" si="16">$B$2-V5</f>
        <v>13.023292409680206</v>
      </c>
      <c r="W8" s="31" t="s">
        <v>89</v>
      </c>
      <c r="X8" s="30">
        <f t="shared" ref="X8" si="17">$B$2-X5</f>
        <v>12.904961905472513</v>
      </c>
    </row>
    <row r="9" spans="1:24" ht="17.25" x14ac:dyDescent="0.25">
      <c r="A9" s="2" t="s">
        <v>17</v>
      </c>
      <c r="B9" s="2">
        <f>B7+B8</f>
        <v>0.62999999999999989</v>
      </c>
      <c r="C9" s="2" t="s">
        <v>119</v>
      </c>
      <c r="E9" s="86" t="s">
        <v>114</v>
      </c>
      <c r="F9" s="87"/>
      <c r="G9" s="86" t="s">
        <v>114</v>
      </c>
      <c r="H9" s="87"/>
      <c r="I9" s="86" t="s">
        <v>114</v>
      </c>
      <c r="J9" s="87"/>
      <c r="K9" s="86" t="s">
        <v>114</v>
      </c>
      <c r="L9" s="87"/>
      <c r="M9" s="86" t="s">
        <v>114</v>
      </c>
      <c r="N9" s="87"/>
      <c r="O9" s="86" t="s">
        <v>114</v>
      </c>
      <c r="P9" s="87"/>
      <c r="Q9" s="86" t="s">
        <v>114</v>
      </c>
      <c r="R9" s="87"/>
      <c r="S9" s="86" t="s">
        <v>114</v>
      </c>
      <c r="T9" s="87"/>
      <c r="U9" s="86" t="s">
        <v>114</v>
      </c>
      <c r="V9" s="87"/>
      <c r="W9" s="86" t="s">
        <v>114</v>
      </c>
      <c r="X9" s="87"/>
    </row>
    <row r="10" spans="1:24" x14ac:dyDescent="0.25">
      <c r="A10" s="2" t="s">
        <v>18</v>
      </c>
      <c r="B10" s="2">
        <f>B5/2</f>
        <v>0.15</v>
      </c>
      <c r="C10" s="2" t="s">
        <v>0</v>
      </c>
      <c r="E10" s="29" t="s">
        <v>90</v>
      </c>
      <c r="F10" s="30">
        <f>SIN($B$23)</f>
        <v>0.57357643635104605</v>
      </c>
      <c r="G10" s="29" t="s">
        <v>90</v>
      </c>
      <c r="H10" s="30">
        <f t="shared" ref="H10" si="18">SIN($B$23)</f>
        <v>0.57357643635104605</v>
      </c>
      <c r="I10" s="29" t="s">
        <v>90</v>
      </c>
      <c r="J10" s="30">
        <f t="shared" ref="J10" si="19">SIN($B$23)</f>
        <v>0.57357643635104605</v>
      </c>
      <c r="K10" s="29" t="s">
        <v>90</v>
      </c>
      <c r="L10" s="30">
        <f t="shared" ref="L10" si="20">SIN($B$23)</f>
        <v>0.57357643635104605</v>
      </c>
      <c r="M10" s="29" t="s">
        <v>90</v>
      </c>
      <c r="N10" s="30">
        <f t="shared" ref="N10" si="21">SIN($B$23)</f>
        <v>0.57357643635104605</v>
      </c>
      <c r="O10" s="29" t="s">
        <v>90</v>
      </c>
      <c r="P10" s="30">
        <f t="shared" ref="P10" si="22">SIN($B$23)</f>
        <v>0.57357643635104605</v>
      </c>
      <c r="Q10" s="29" t="s">
        <v>90</v>
      </c>
      <c r="R10" s="30">
        <f t="shared" ref="R10" si="23">SIN($B$23)</f>
        <v>0.57357643635104605</v>
      </c>
      <c r="S10" s="29" t="s">
        <v>90</v>
      </c>
      <c r="T10" s="30">
        <f t="shared" ref="T10" si="24">SIN($B$23)</f>
        <v>0.57357643635104605</v>
      </c>
      <c r="U10" s="29" t="s">
        <v>90</v>
      </c>
      <c r="V10" s="30">
        <f t="shared" ref="V10" si="25">SIN($B$23)</f>
        <v>0.57357643635104605</v>
      </c>
      <c r="W10" s="29" t="s">
        <v>90</v>
      </c>
      <c r="X10" s="30">
        <f t="shared" ref="X10" si="26">SIN($B$23)</f>
        <v>0.57357643635104605</v>
      </c>
    </row>
    <row r="11" spans="1:24" ht="17.25" x14ac:dyDescent="0.25">
      <c r="A11" s="2" t="s">
        <v>19</v>
      </c>
      <c r="B11" s="2">
        <f>B5+B6/2</f>
        <v>0.75</v>
      </c>
      <c r="C11" s="2" t="s">
        <v>0</v>
      </c>
      <c r="E11" s="29" t="s">
        <v>47</v>
      </c>
      <c r="F11" s="30">
        <f>EXP(PI()*TAN($B$23))</f>
        <v>9.0229096352469504</v>
      </c>
      <c r="G11" s="29" t="s">
        <v>47</v>
      </c>
      <c r="H11" s="30">
        <f t="shared" ref="H11" si="27">EXP(PI()*TAN($B$23))</f>
        <v>9.0229096352469504</v>
      </c>
      <c r="I11" s="29" t="s">
        <v>47</v>
      </c>
      <c r="J11" s="30">
        <f t="shared" ref="J11" si="28">EXP(PI()*TAN($B$23))</f>
        <v>9.0229096352469504</v>
      </c>
      <c r="K11" s="29" t="s">
        <v>47</v>
      </c>
      <c r="L11" s="30">
        <f t="shared" ref="L11" si="29">EXP(PI()*TAN($B$23))</f>
        <v>9.0229096352469504</v>
      </c>
      <c r="M11" s="29" t="s">
        <v>47</v>
      </c>
      <c r="N11" s="30">
        <f t="shared" ref="N11" si="30">EXP(PI()*TAN($B$23))</f>
        <v>9.0229096352469504</v>
      </c>
      <c r="O11" s="29" t="s">
        <v>47</v>
      </c>
      <c r="P11" s="30">
        <f t="shared" ref="P11" si="31">EXP(PI()*TAN($B$23))</f>
        <v>9.0229096352469504</v>
      </c>
      <c r="Q11" s="29" t="s">
        <v>47</v>
      </c>
      <c r="R11" s="30">
        <f t="shared" ref="R11" si="32">EXP(PI()*TAN($B$23))</f>
        <v>9.0229096352469504</v>
      </c>
      <c r="S11" s="29" t="s">
        <v>47</v>
      </c>
      <c r="T11" s="30">
        <f t="shared" ref="T11" si="33">EXP(PI()*TAN($B$23))</f>
        <v>9.0229096352469504</v>
      </c>
      <c r="U11" s="29" t="s">
        <v>47</v>
      </c>
      <c r="V11" s="30">
        <f t="shared" ref="V11" si="34">EXP(PI()*TAN($B$23))</f>
        <v>9.0229096352469504</v>
      </c>
      <c r="W11" s="29" t="s">
        <v>47</v>
      </c>
      <c r="X11" s="30">
        <f t="shared" ref="X11" si="35">EXP(PI()*TAN($B$23))</f>
        <v>9.0229096352469504</v>
      </c>
    </row>
    <row r="12" spans="1:24" x14ac:dyDescent="0.25">
      <c r="A12" s="2" t="s">
        <v>20</v>
      </c>
      <c r="B12" s="7">
        <f>(B7*B10+B8*B11)/B9</f>
        <v>0.40714285714285714</v>
      </c>
      <c r="C12" s="2" t="s">
        <v>0</v>
      </c>
      <c r="E12" s="29" t="s">
        <v>48</v>
      </c>
      <c r="F12" s="30">
        <f>TAN($B$23)</f>
        <v>0.70020753820970971</v>
      </c>
      <c r="G12" s="29" t="s">
        <v>48</v>
      </c>
      <c r="H12" s="30">
        <f t="shared" ref="H12" si="36">TAN($B$23)</f>
        <v>0.70020753820970971</v>
      </c>
      <c r="I12" s="29" t="s">
        <v>48</v>
      </c>
      <c r="J12" s="30">
        <f t="shared" ref="J12" si="37">TAN($B$23)</f>
        <v>0.70020753820970971</v>
      </c>
      <c r="K12" s="29" t="s">
        <v>48</v>
      </c>
      <c r="L12" s="30">
        <f t="shared" ref="L12" si="38">TAN($B$23)</f>
        <v>0.70020753820970971</v>
      </c>
      <c r="M12" s="29" t="s">
        <v>48</v>
      </c>
      <c r="N12" s="30">
        <f t="shared" ref="N12" si="39">TAN($B$23)</f>
        <v>0.70020753820970971</v>
      </c>
      <c r="O12" s="29" t="s">
        <v>48</v>
      </c>
      <c r="P12" s="30">
        <f t="shared" ref="P12" si="40">TAN($B$23)</f>
        <v>0.70020753820970971</v>
      </c>
      <c r="Q12" s="29" t="s">
        <v>48</v>
      </c>
      <c r="R12" s="30">
        <f t="shared" ref="R12" si="41">TAN($B$23)</f>
        <v>0.70020753820970971</v>
      </c>
      <c r="S12" s="29" t="s">
        <v>48</v>
      </c>
      <c r="T12" s="30">
        <f t="shared" ref="T12" si="42">TAN($B$23)</f>
        <v>0.70020753820970971</v>
      </c>
      <c r="U12" s="29" t="s">
        <v>48</v>
      </c>
      <c r="V12" s="30">
        <f t="shared" ref="V12" si="43">TAN($B$23)</f>
        <v>0.70020753820970971</v>
      </c>
      <c r="W12" s="29" t="s">
        <v>48</v>
      </c>
      <c r="X12" s="30">
        <f t="shared" ref="X12" si="44">TAN($B$23)</f>
        <v>0.70020753820970971</v>
      </c>
    </row>
    <row r="13" spans="1:24" x14ac:dyDescent="0.25">
      <c r="A13" s="89" t="s">
        <v>118</v>
      </c>
      <c r="B13" s="90"/>
      <c r="C13" s="90"/>
      <c r="E13" s="29" t="s">
        <v>49</v>
      </c>
      <c r="F13" s="30">
        <f>_xlfn.COT($B$23)</f>
        <v>1.4281480067421146</v>
      </c>
      <c r="G13" s="29" t="s">
        <v>49</v>
      </c>
      <c r="H13" s="30">
        <f t="shared" ref="H13" si="45">_xlfn.COT($B$23)</f>
        <v>1.4281480067421146</v>
      </c>
      <c r="I13" s="29" t="s">
        <v>49</v>
      </c>
      <c r="J13" s="30">
        <f t="shared" ref="J13" si="46">_xlfn.COT($B$23)</f>
        <v>1.4281480067421146</v>
      </c>
      <c r="K13" s="29" t="s">
        <v>49</v>
      </c>
      <c r="L13" s="30">
        <f t="shared" ref="L13" si="47">_xlfn.COT($B$23)</f>
        <v>1.4281480067421146</v>
      </c>
      <c r="M13" s="29" t="s">
        <v>49</v>
      </c>
      <c r="N13" s="30">
        <f t="shared" ref="N13" si="48">_xlfn.COT($B$23)</f>
        <v>1.4281480067421146</v>
      </c>
      <c r="O13" s="29" t="s">
        <v>49</v>
      </c>
      <c r="P13" s="30">
        <f t="shared" ref="P13" si="49">_xlfn.COT($B$23)</f>
        <v>1.4281480067421146</v>
      </c>
      <c r="Q13" s="29" t="s">
        <v>49</v>
      </c>
      <c r="R13" s="30">
        <f t="shared" ref="R13" si="50">_xlfn.COT($B$23)</f>
        <v>1.4281480067421146</v>
      </c>
      <c r="S13" s="29" t="s">
        <v>49</v>
      </c>
      <c r="T13" s="30">
        <f t="shared" ref="T13" si="51">_xlfn.COT($B$23)</f>
        <v>1.4281480067421146</v>
      </c>
      <c r="U13" s="29" t="s">
        <v>49</v>
      </c>
      <c r="V13" s="30">
        <f t="shared" ref="V13" si="52">_xlfn.COT($B$23)</f>
        <v>1.4281480067421146</v>
      </c>
      <c r="W13" s="29" t="s">
        <v>49</v>
      </c>
      <c r="X13" s="30">
        <f t="shared" ref="X13" si="53">_xlfn.COT($B$23)</f>
        <v>1.4281480067421146</v>
      </c>
    </row>
    <row r="14" spans="1:24" ht="17.25" x14ac:dyDescent="0.25">
      <c r="A14" s="44" t="s">
        <v>122</v>
      </c>
      <c r="B14" s="45">
        <f>(B9*25*1.3*B2)/(B3*B2)</f>
        <v>17.062499999999996</v>
      </c>
      <c r="C14" s="47" t="s">
        <v>120</v>
      </c>
      <c r="E14" s="29" t="s">
        <v>117</v>
      </c>
      <c r="F14" s="30">
        <f>TAN(RADIANS(45)+$B$23/2)^2</f>
        <v>3.6901723321426658</v>
      </c>
      <c r="G14" s="29" t="s">
        <v>117</v>
      </c>
      <c r="H14" s="30">
        <f t="shared" ref="H14" si="54">TAN(RADIANS(45)+$B$23/2)^2</f>
        <v>3.6901723321426658</v>
      </c>
      <c r="I14" s="29" t="s">
        <v>117</v>
      </c>
      <c r="J14" s="30">
        <f t="shared" ref="J14" si="55">TAN(RADIANS(45)+$B$23/2)^2</f>
        <v>3.6901723321426658</v>
      </c>
      <c r="K14" s="29" t="s">
        <v>117</v>
      </c>
      <c r="L14" s="30">
        <f t="shared" ref="L14" si="56">TAN(RADIANS(45)+$B$23/2)^2</f>
        <v>3.6901723321426658</v>
      </c>
      <c r="M14" s="29" t="s">
        <v>117</v>
      </c>
      <c r="N14" s="30">
        <f t="shared" ref="N14" si="57">TAN(RADIANS(45)+$B$23/2)^2</f>
        <v>3.6901723321426658</v>
      </c>
      <c r="O14" s="29" t="s">
        <v>117</v>
      </c>
      <c r="P14" s="30">
        <f t="shared" ref="P14" si="58">TAN(RADIANS(45)+$B$23/2)^2</f>
        <v>3.6901723321426658</v>
      </c>
      <c r="Q14" s="29" t="s">
        <v>117</v>
      </c>
      <c r="R14" s="30">
        <f t="shared" ref="R14" si="59">TAN(RADIANS(45)+$B$23/2)^2</f>
        <v>3.6901723321426658</v>
      </c>
      <c r="S14" s="29" t="s">
        <v>117</v>
      </c>
      <c r="T14" s="30">
        <f t="shared" ref="T14" si="60">TAN(RADIANS(45)+$B$23/2)^2</f>
        <v>3.6901723321426658</v>
      </c>
      <c r="U14" s="29" t="s">
        <v>117</v>
      </c>
      <c r="V14" s="30">
        <f t="shared" ref="V14" si="61">TAN(RADIANS(45)+$B$23/2)^2</f>
        <v>3.6901723321426658</v>
      </c>
      <c r="W14" s="29" t="s">
        <v>117</v>
      </c>
      <c r="X14" s="30">
        <f t="shared" ref="X14" si="62">TAN(RADIANS(45)+$B$23/2)^2</f>
        <v>3.6901723321426658</v>
      </c>
    </row>
    <row r="15" spans="1:24" x14ac:dyDescent="0.25">
      <c r="A15" s="86" t="s">
        <v>43</v>
      </c>
      <c r="B15" s="88"/>
      <c r="C15" s="87"/>
      <c r="E15" s="86" t="s">
        <v>2</v>
      </c>
      <c r="F15" s="87"/>
      <c r="G15" s="86" t="s">
        <v>2</v>
      </c>
      <c r="H15" s="87"/>
      <c r="I15" s="86" t="s">
        <v>2</v>
      </c>
      <c r="J15" s="87"/>
      <c r="K15" s="86" t="s">
        <v>2</v>
      </c>
      <c r="L15" s="87"/>
      <c r="M15" s="86" t="s">
        <v>2</v>
      </c>
      <c r="N15" s="87"/>
      <c r="O15" s="86" t="s">
        <v>2</v>
      </c>
      <c r="P15" s="87"/>
      <c r="Q15" s="86" t="s">
        <v>2</v>
      </c>
      <c r="R15" s="87"/>
      <c r="S15" s="86" t="s">
        <v>2</v>
      </c>
      <c r="T15" s="87"/>
      <c r="U15" s="86" t="s">
        <v>2</v>
      </c>
      <c r="V15" s="87"/>
      <c r="W15" s="86" t="s">
        <v>2</v>
      </c>
      <c r="X15" s="87"/>
    </row>
    <row r="16" spans="1:24" ht="17.25" x14ac:dyDescent="0.25">
      <c r="A16" s="15" t="s">
        <v>50</v>
      </c>
      <c r="B16" s="2">
        <f>'Propietà terreno e Gazetas'!B3</f>
        <v>19</v>
      </c>
      <c r="C16" s="2" t="s">
        <v>121</v>
      </c>
      <c r="E16" s="31" t="s">
        <v>57</v>
      </c>
      <c r="F16" s="30">
        <f>F11*F14</f>
        <v>33.296091491411772</v>
      </c>
      <c r="G16" s="31" t="s">
        <v>57</v>
      </c>
      <c r="H16" s="30">
        <f t="shared" ref="H16" si="63">H11*H14</f>
        <v>33.296091491411772</v>
      </c>
      <c r="I16" s="31" t="s">
        <v>57</v>
      </c>
      <c r="J16" s="30">
        <f t="shared" ref="J16" si="64">J11*J14</f>
        <v>33.296091491411772</v>
      </c>
      <c r="K16" s="31" t="s">
        <v>57</v>
      </c>
      <c r="L16" s="30">
        <f t="shared" ref="L16" si="65">L11*L14</f>
        <v>33.296091491411772</v>
      </c>
      <c r="M16" s="31" t="s">
        <v>57</v>
      </c>
      <c r="N16" s="30">
        <f t="shared" ref="N16" si="66">N11*N14</f>
        <v>33.296091491411772</v>
      </c>
      <c r="O16" s="31" t="s">
        <v>57</v>
      </c>
      <c r="P16" s="30">
        <f t="shared" ref="P16" si="67">P11*P14</f>
        <v>33.296091491411772</v>
      </c>
      <c r="Q16" s="31" t="s">
        <v>57</v>
      </c>
      <c r="R16" s="30">
        <f t="shared" ref="R16" si="68">R11*R14</f>
        <v>33.296091491411772</v>
      </c>
      <c r="S16" s="31" t="s">
        <v>57</v>
      </c>
      <c r="T16" s="30">
        <f t="shared" ref="T16" si="69">T11*T14</f>
        <v>33.296091491411772</v>
      </c>
      <c r="U16" s="31" t="s">
        <v>57</v>
      </c>
      <c r="V16" s="30">
        <f t="shared" ref="V16" si="70">V11*V14</f>
        <v>33.296091491411772</v>
      </c>
      <c r="W16" s="31" t="s">
        <v>57</v>
      </c>
      <c r="X16" s="30">
        <f t="shared" ref="X16" si="71">X11*X14</f>
        <v>33.296091491411772</v>
      </c>
    </row>
    <row r="17" spans="1:24" ht="17.25" x14ac:dyDescent="0.25">
      <c r="A17" s="15" t="s">
        <v>51</v>
      </c>
      <c r="B17" s="2">
        <f>'Propietà terreno e Gazetas'!B3</f>
        <v>19</v>
      </c>
      <c r="C17" s="2" t="s">
        <v>121</v>
      </c>
      <c r="E17" s="31" t="s">
        <v>58</v>
      </c>
      <c r="F17" s="30">
        <f>2*(F16+1)*F12</f>
        <v>48.028763586832817</v>
      </c>
      <c r="G17" s="31" t="s">
        <v>58</v>
      </c>
      <c r="H17" s="30">
        <f t="shared" ref="H17" si="72">2*(H16+1)*H12</f>
        <v>48.028763586832817</v>
      </c>
      <c r="I17" s="31" t="s">
        <v>58</v>
      </c>
      <c r="J17" s="30">
        <f t="shared" ref="J17" si="73">2*(J16+1)*J12</f>
        <v>48.028763586832817</v>
      </c>
      <c r="K17" s="31" t="s">
        <v>58</v>
      </c>
      <c r="L17" s="30">
        <f t="shared" ref="L17" si="74">2*(L16+1)*L12</f>
        <v>48.028763586832817</v>
      </c>
      <c r="M17" s="31" t="s">
        <v>58</v>
      </c>
      <c r="N17" s="30">
        <f t="shared" ref="N17" si="75">2*(N16+1)*N12</f>
        <v>48.028763586832817</v>
      </c>
      <c r="O17" s="31" t="s">
        <v>58</v>
      </c>
      <c r="P17" s="30">
        <f t="shared" ref="P17" si="76">2*(P16+1)*P12</f>
        <v>48.028763586832817</v>
      </c>
      <c r="Q17" s="31" t="s">
        <v>58</v>
      </c>
      <c r="R17" s="30">
        <f t="shared" ref="R17" si="77">2*(R16+1)*R12</f>
        <v>48.028763586832817</v>
      </c>
      <c r="S17" s="31" t="s">
        <v>58</v>
      </c>
      <c r="T17" s="30">
        <f t="shared" ref="T17" si="78">2*(T16+1)*T12</f>
        <v>48.028763586832817</v>
      </c>
      <c r="U17" s="31" t="s">
        <v>58</v>
      </c>
      <c r="V17" s="30">
        <f t="shared" ref="V17" si="79">2*(V16+1)*V12</f>
        <v>48.028763586832817</v>
      </c>
      <c r="W17" s="31" t="s">
        <v>58</v>
      </c>
      <c r="X17" s="30">
        <f t="shared" ref="X17" si="80">2*(X16+1)*X12</f>
        <v>48.028763586832817</v>
      </c>
    </row>
    <row r="18" spans="1:24" x14ac:dyDescent="0.25">
      <c r="A18" s="15" t="s">
        <v>52</v>
      </c>
      <c r="B18" s="2">
        <f>B6+B5</f>
        <v>1.2</v>
      </c>
      <c r="C18" s="2" t="s">
        <v>0</v>
      </c>
      <c r="E18" s="31" t="s">
        <v>59</v>
      </c>
      <c r="F18" s="30">
        <f>(F16-1)*F13</f>
        <v>46.123598689020689</v>
      </c>
      <c r="G18" s="31" t="s">
        <v>59</v>
      </c>
      <c r="H18" s="30">
        <f t="shared" ref="H18" si="81">(H16-1)*H13</f>
        <v>46.123598689020689</v>
      </c>
      <c r="I18" s="31" t="s">
        <v>59</v>
      </c>
      <c r="J18" s="30">
        <f t="shared" ref="J18" si="82">(J16-1)*J13</f>
        <v>46.123598689020689</v>
      </c>
      <c r="K18" s="31" t="s">
        <v>59</v>
      </c>
      <c r="L18" s="30">
        <f t="shared" ref="L18" si="83">(L16-1)*L13</f>
        <v>46.123598689020689</v>
      </c>
      <c r="M18" s="31" t="s">
        <v>59</v>
      </c>
      <c r="N18" s="30">
        <f t="shared" ref="N18" si="84">(N16-1)*N13</f>
        <v>46.123598689020689</v>
      </c>
      <c r="O18" s="31" t="s">
        <v>59</v>
      </c>
      <c r="P18" s="30">
        <f t="shared" ref="P18" si="85">(P16-1)*P13</f>
        <v>46.123598689020689</v>
      </c>
      <c r="Q18" s="31" t="s">
        <v>59</v>
      </c>
      <c r="R18" s="30">
        <f t="shared" ref="R18" si="86">(R16-1)*R13</f>
        <v>46.123598689020689</v>
      </c>
      <c r="S18" s="31" t="s">
        <v>59</v>
      </c>
      <c r="T18" s="30">
        <f t="shared" ref="T18" si="87">(T16-1)*T13</f>
        <v>46.123598689020689</v>
      </c>
      <c r="U18" s="31" t="s">
        <v>59</v>
      </c>
      <c r="V18" s="30">
        <f t="shared" ref="V18" si="88">(V16-1)*V13</f>
        <v>46.123598689020689</v>
      </c>
      <c r="W18" s="31" t="s">
        <v>59</v>
      </c>
      <c r="X18" s="30">
        <f t="shared" ref="X18" si="89">(X16-1)*X13</f>
        <v>46.123598689020689</v>
      </c>
    </row>
    <row r="19" spans="1:24" ht="17.25" x14ac:dyDescent="0.25">
      <c r="A19" s="15" t="s">
        <v>53</v>
      </c>
      <c r="B19" s="2">
        <f>(B18)*B16</f>
        <v>22.8</v>
      </c>
      <c r="C19" s="2" t="s">
        <v>120</v>
      </c>
      <c r="E19" s="86" t="s">
        <v>3</v>
      </c>
      <c r="F19" s="87"/>
      <c r="G19" s="86" t="s">
        <v>3</v>
      </c>
      <c r="H19" s="87"/>
      <c r="I19" s="86" t="s">
        <v>3</v>
      </c>
      <c r="J19" s="87"/>
      <c r="K19" s="86" t="s">
        <v>3</v>
      </c>
      <c r="L19" s="87"/>
      <c r="M19" s="86" t="s">
        <v>3</v>
      </c>
      <c r="N19" s="87"/>
      <c r="O19" s="86" t="s">
        <v>3</v>
      </c>
      <c r="P19" s="87"/>
      <c r="Q19" s="86" t="s">
        <v>3</v>
      </c>
      <c r="R19" s="87"/>
      <c r="S19" s="86" t="s">
        <v>3</v>
      </c>
      <c r="T19" s="87"/>
      <c r="U19" s="86" t="s">
        <v>3</v>
      </c>
      <c r="V19" s="87"/>
      <c r="W19" s="86" t="s">
        <v>3</v>
      </c>
      <c r="X19" s="87"/>
    </row>
    <row r="20" spans="1:24" x14ac:dyDescent="0.25">
      <c r="A20" s="15" t="s">
        <v>46</v>
      </c>
      <c r="B20" s="2">
        <v>0</v>
      </c>
      <c r="C20" s="2"/>
      <c r="E20" s="85" t="s">
        <v>4</v>
      </c>
      <c r="F20" s="85"/>
      <c r="G20" s="85" t="s">
        <v>4</v>
      </c>
      <c r="H20" s="85"/>
      <c r="I20" s="85" t="s">
        <v>4</v>
      </c>
      <c r="J20" s="85"/>
      <c r="K20" s="85" t="s">
        <v>4</v>
      </c>
      <c r="L20" s="85"/>
      <c r="M20" s="85" t="s">
        <v>4</v>
      </c>
      <c r="N20" s="85"/>
      <c r="O20" s="85" t="s">
        <v>4</v>
      </c>
      <c r="P20" s="85"/>
      <c r="Q20" s="85" t="s">
        <v>4</v>
      </c>
      <c r="R20" s="85"/>
      <c r="S20" s="85" t="s">
        <v>4</v>
      </c>
      <c r="T20" s="85"/>
      <c r="U20" s="85" t="s">
        <v>4</v>
      </c>
      <c r="V20" s="85"/>
      <c r="W20" s="85" t="s">
        <v>4</v>
      </c>
      <c r="X20" s="85"/>
    </row>
    <row r="21" spans="1:24" x14ac:dyDescent="0.25">
      <c r="A21" s="16" t="s">
        <v>54</v>
      </c>
      <c r="B21" s="7">
        <f>MIN(_xlfn.FLOOR.MATH('Propietà terreno e Gazetas'!B12),35)</f>
        <v>35</v>
      </c>
      <c r="C21" s="2" t="s">
        <v>55</v>
      </c>
      <c r="E21" s="31" t="s">
        <v>61</v>
      </c>
      <c r="F21" s="30">
        <f>1+(F7/F8)*$F$10</f>
        <v>1.0527152457633007</v>
      </c>
      <c r="G21" s="31" t="s">
        <v>61</v>
      </c>
      <c r="H21" s="30">
        <f t="shared" ref="H21" si="90">1+(H7/H8)*$F$10</f>
        <v>1.0531305277081875</v>
      </c>
      <c r="I21" s="31" t="s">
        <v>61</v>
      </c>
      <c r="J21" s="30">
        <f t="shared" ref="J21" si="91">1+(J7/J8)*$F$10</f>
        <v>1.0522421576146805</v>
      </c>
      <c r="K21" s="31" t="s">
        <v>61</v>
      </c>
      <c r="L21" s="30">
        <f t="shared" ref="L21" si="92">1+(L7/L8)*$F$10</f>
        <v>1.0519090721596895</v>
      </c>
      <c r="M21" s="31" t="s">
        <v>61</v>
      </c>
      <c r="N21" s="30">
        <f t="shared" ref="N21" si="93">1+(N7/N8)*$F$10</f>
        <v>1.0519956363441341</v>
      </c>
      <c r="O21" s="31" t="s">
        <v>61</v>
      </c>
      <c r="P21" s="30">
        <f t="shared" ref="P21" si="94">1+(P7/P8)*$F$10</f>
        <v>1.0517027626245588</v>
      </c>
      <c r="Q21" s="31" t="s">
        <v>61</v>
      </c>
      <c r="R21" s="30">
        <f t="shared" ref="R21" si="95">1+(R7/R8)*$F$10</f>
        <v>1.0520988049975639</v>
      </c>
      <c r="S21" s="31" t="s">
        <v>61</v>
      </c>
      <c r="T21" s="30">
        <f t="shared" ref="T21" si="96">1+(T7/T8)*$F$10</f>
        <v>1.0517958501531373</v>
      </c>
      <c r="U21" s="31" t="s">
        <v>61</v>
      </c>
      <c r="V21" s="30">
        <f t="shared" ref="V21" si="97">1+(V7/V8)*$F$10</f>
        <v>1.052850823122857</v>
      </c>
      <c r="W21" s="31" t="s">
        <v>61</v>
      </c>
      <c r="X21" s="30">
        <f t="shared" ref="X21" si="98">1+(X7/X8)*$F$10</f>
        <v>1.0533354324222668</v>
      </c>
    </row>
    <row r="22" spans="1:24" ht="18" x14ac:dyDescent="0.35">
      <c r="A22" s="6" t="s">
        <v>142</v>
      </c>
      <c r="B22" s="47">
        <v>1</v>
      </c>
      <c r="E22" s="31" t="s">
        <v>62</v>
      </c>
      <c r="F22" s="30">
        <f>1-0.3*(F7/F8)</f>
        <v>0.97242813210807844</v>
      </c>
      <c r="G22" s="31" t="s">
        <v>62</v>
      </c>
      <c r="H22" s="30">
        <f t="shared" ref="H22" si="99">1-0.3*(H7/H8)</f>
        <v>0.97221092551525079</v>
      </c>
      <c r="I22" s="31" t="s">
        <v>62</v>
      </c>
      <c r="J22" s="30">
        <f t="shared" ref="J22" si="100">1-0.3*(J7/J8)</f>
        <v>0.97267557331310583</v>
      </c>
      <c r="K22" s="31" t="s">
        <v>62</v>
      </c>
      <c r="L22" s="30">
        <f t="shared" ref="L22" si="101">1-0.3*(L7/L8)</f>
        <v>0.97284978834385749</v>
      </c>
      <c r="M22" s="31" t="s">
        <v>62</v>
      </c>
      <c r="N22" s="30">
        <f t="shared" ref="N22" si="102">1-0.3*(N7/N8)</f>
        <v>0.97280451232886189</v>
      </c>
      <c r="O22" s="31" t="s">
        <v>62</v>
      </c>
      <c r="P22" s="30">
        <f t="shared" ref="P22" si="103">1-0.3*(P7/P8)</f>
        <v>0.97295769525323639</v>
      </c>
      <c r="Q22" s="31" t="s">
        <v>62</v>
      </c>
      <c r="R22" s="30">
        <f t="shared" ref="R22" si="104">1-0.3*(R7/R8)</f>
        <v>0.97275055161139257</v>
      </c>
      <c r="S22" s="31" t="s">
        <v>62</v>
      </c>
      <c r="T22" s="30">
        <f t="shared" ref="T22" si="105">1-0.3*(T7/T8)</f>
        <v>0.97290900730721264</v>
      </c>
      <c r="U22" s="31" t="s">
        <v>62</v>
      </c>
      <c r="V22" s="30">
        <f t="shared" ref="V22" si="106">1-0.3*(V7/V8)</f>
        <v>0.97235722053415519</v>
      </c>
      <c r="W22" s="31" t="s">
        <v>62</v>
      </c>
      <c r="X22" s="30">
        <f t="shared" ref="X22" si="107">1-0.3*(X7/X8)</f>
        <v>0.97210375337510002</v>
      </c>
    </row>
    <row r="23" spans="1:24" ht="18" x14ac:dyDescent="0.35">
      <c r="A23" s="16" t="s">
        <v>141</v>
      </c>
      <c r="B23" s="7">
        <f>RADIANS(B21)/B22</f>
        <v>0.6108652381980153</v>
      </c>
      <c r="C23" s="2" t="s">
        <v>56</v>
      </c>
      <c r="E23" s="31" t="s">
        <v>60</v>
      </c>
      <c r="F23" s="30">
        <f>(F21*$F$16-1)/($F$16-1)</f>
        <v>1.05434749422833</v>
      </c>
      <c r="G23" s="31" t="s">
        <v>60</v>
      </c>
      <c r="H23" s="30">
        <f t="shared" ref="H23" si="108">(H21*$F$16-1)/($F$16-1)</f>
        <v>1.0547756347553459</v>
      </c>
      <c r="I23" s="31" t="s">
        <v>60</v>
      </c>
      <c r="J23" s="30">
        <f t="shared" ref="J23" si="109">(J21*$F$16-1)/($F$16-1)</f>
        <v>1.0538597576152433</v>
      </c>
      <c r="K23" s="31" t="s">
        <v>60</v>
      </c>
      <c r="L23" s="30">
        <f t="shared" ref="L23" si="110">(L21*$F$16-1)/($F$16-1)</f>
        <v>1.0535163586690646</v>
      </c>
      <c r="M23" s="31" t="s">
        <v>60</v>
      </c>
      <c r="N23" s="30">
        <f t="shared" ref="N23" si="111">(N21*$F$16-1)/($F$16-1)</f>
        <v>1.0536056031835568</v>
      </c>
      <c r="O23" s="31" t="s">
        <v>60</v>
      </c>
      <c r="P23" s="30">
        <f t="shared" ref="P23" si="112">(P21*$F$16-1)/($F$16-1)</f>
        <v>1.0533036610688273</v>
      </c>
      <c r="Q23" s="31" t="s">
        <v>60</v>
      </c>
      <c r="R23" s="30">
        <f t="shared" ref="R23" si="113">(R21*$F$16-1)/($F$16-1)</f>
        <v>1.0537119662994949</v>
      </c>
      <c r="S23" s="31" t="s">
        <v>60</v>
      </c>
      <c r="T23" s="30">
        <f t="shared" ref="T23" si="114">(T21*$F$16-1)/($F$16-1)</f>
        <v>1.0533996309130138</v>
      </c>
      <c r="U23" s="31" t="s">
        <v>60</v>
      </c>
      <c r="V23" s="30">
        <f t="shared" ref="V23" si="115">(V21*$F$16-1)/($F$16-1)</f>
        <v>1.0544872695373377</v>
      </c>
      <c r="W23" s="31" t="s">
        <v>60</v>
      </c>
      <c r="X23" s="30">
        <f t="shared" ref="X23" si="116">(X21*$F$16-1)/($F$16-1)</f>
        <v>1.0549868840363561</v>
      </c>
    </row>
    <row r="24" spans="1:24" x14ac:dyDescent="0.25">
      <c r="A24" s="32" t="s">
        <v>126</v>
      </c>
      <c r="B24" s="43"/>
      <c r="C24" s="33"/>
      <c r="E24" s="85" t="s">
        <v>5</v>
      </c>
      <c r="F24" s="85"/>
      <c r="G24" s="85" t="s">
        <v>5</v>
      </c>
      <c r="H24" s="85"/>
      <c r="I24" s="85" t="s">
        <v>5</v>
      </c>
      <c r="J24" s="85"/>
      <c r="K24" s="85" t="s">
        <v>5</v>
      </c>
      <c r="L24" s="85"/>
      <c r="M24" s="85" t="s">
        <v>5</v>
      </c>
      <c r="N24" s="85"/>
      <c r="O24" s="85" t="s">
        <v>5</v>
      </c>
      <c r="P24" s="85"/>
      <c r="Q24" s="85" t="s">
        <v>5</v>
      </c>
      <c r="R24" s="85"/>
      <c r="S24" s="85" t="s">
        <v>5</v>
      </c>
      <c r="T24" s="85"/>
      <c r="U24" s="85" t="s">
        <v>5</v>
      </c>
      <c r="V24" s="85"/>
      <c r="W24" s="85" t="s">
        <v>5</v>
      </c>
      <c r="X24" s="85"/>
    </row>
    <row r="25" spans="1:24" ht="15.75" x14ac:dyDescent="0.25">
      <c r="A25" s="48" t="s">
        <v>128</v>
      </c>
      <c r="B25" s="55">
        <v>0.19498706430305662</v>
      </c>
      <c r="C25" s="47" t="s">
        <v>129</v>
      </c>
      <c r="E25" s="31" t="s">
        <v>92</v>
      </c>
      <c r="F25" s="30">
        <f>IF(B18&gt;B3,1+2*$F$12*(1-$F$10)^2*ATAN($B$18/$B$3),1+2*$F$12*(1-$F$10)^2*($B$18/$B$3))</f>
        <v>1.2546473541630736</v>
      </c>
      <c r="G25" s="31" t="s">
        <v>92</v>
      </c>
      <c r="H25" s="30">
        <f t="shared" ref="H25" si="117">IF(D18&gt;D3,1+2*$F$12*(1-$F$10)^2*ATAN($B$18/$B$3),1+2*$F$12*(1-$F$10)^2*($B$18/$B$3))</f>
        <v>1.2546473541630736</v>
      </c>
      <c r="I25" s="31" t="s">
        <v>92</v>
      </c>
      <c r="J25" s="30">
        <f t="shared" ref="J25" si="118">IF(F18&gt;F3,1+2*$F$12*(1-$F$10)^2*ATAN($B$18/$B$3),1+2*$F$12*(1-$F$10)^2*($B$18/$B$3))</f>
        <v>1.2546473541630736</v>
      </c>
      <c r="K25" s="31" t="s">
        <v>92</v>
      </c>
      <c r="L25" s="30">
        <f t="shared" ref="L25" si="119">IF(H18&gt;H3,1+2*$F$12*(1-$F$10)^2*ATAN($B$18/$B$3),1+2*$F$12*(1-$F$10)^2*($B$18/$B$3))</f>
        <v>1.2546473541630736</v>
      </c>
      <c r="M25" s="31" t="s">
        <v>92</v>
      </c>
      <c r="N25" s="30">
        <f t="shared" ref="N25" si="120">IF(J18&gt;J3,1+2*$F$12*(1-$F$10)^2*ATAN($B$18/$B$3),1+2*$F$12*(1-$F$10)^2*($B$18/$B$3))</f>
        <v>1.2546473541630736</v>
      </c>
      <c r="O25" s="31" t="s">
        <v>92</v>
      </c>
      <c r="P25" s="30">
        <f t="shared" ref="P25" si="121">IF(L18&gt;L3,1+2*$F$12*(1-$F$10)^2*ATAN($B$18/$B$3),1+2*$F$12*(1-$F$10)^2*($B$18/$B$3))</f>
        <v>1.2546473541630736</v>
      </c>
      <c r="Q25" s="31" t="s">
        <v>92</v>
      </c>
      <c r="R25" s="30">
        <f t="shared" ref="R25" si="122">IF(N18&gt;N3,1+2*$F$12*(1-$F$10)^2*ATAN($B$18/$B$3),1+2*$F$12*(1-$F$10)^2*($B$18/$B$3))</f>
        <v>1.2546473541630736</v>
      </c>
      <c r="S25" s="31" t="s">
        <v>92</v>
      </c>
      <c r="T25" s="30">
        <f t="shared" ref="T25" si="123">IF(P18&gt;P3,1+2*$F$12*(1-$F$10)^2*ATAN($B$18/$B$3),1+2*$F$12*(1-$F$10)^2*($B$18/$B$3))</f>
        <v>1.2546473541630736</v>
      </c>
      <c r="U25" s="31" t="s">
        <v>92</v>
      </c>
      <c r="V25" s="30">
        <f t="shared" ref="V25" si="124">IF(R18&gt;R3,1+2*$F$12*(1-$F$10)^2*ATAN($B$18/$B$3),1+2*$F$12*(1-$F$10)^2*($B$18/$B$3))</f>
        <v>1.2546473541630736</v>
      </c>
      <c r="W25" s="31" t="s">
        <v>92</v>
      </c>
      <c r="X25" s="30">
        <f t="shared" ref="X25" si="125">IF(T18&gt;T3,1+2*$F$12*(1-$F$10)^2*ATAN($B$18/$B$3),1+2*$F$12*(1-$F$10)^2*($B$18/$B$3))</f>
        <v>1.2546473541630736</v>
      </c>
    </row>
    <row r="26" spans="1:24" ht="15.75" x14ac:dyDescent="0.25">
      <c r="A26" s="48" t="s">
        <v>133</v>
      </c>
      <c r="B26" s="55">
        <v>1.2</v>
      </c>
      <c r="C26" s="47"/>
      <c r="E26" s="31" t="s">
        <v>63</v>
      </c>
      <c r="F26" s="30">
        <f>F25-((1-F25)/($F$18*$F$12))</f>
        <v>1.2625321272858767</v>
      </c>
      <c r="G26" s="31" t="s">
        <v>63</v>
      </c>
      <c r="H26" s="30">
        <f t="shared" ref="H26" si="126">H25-((1-H25)/($F$18*$F$12))</f>
        <v>1.2625321272858767</v>
      </c>
      <c r="I26" s="31" t="s">
        <v>63</v>
      </c>
      <c r="J26" s="30">
        <f t="shared" ref="J26" si="127">J25-((1-J25)/($F$18*$F$12))</f>
        <v>1.2625321272858767</v>
      </c>
      <c r="K26" s="31" t="s">
        <v>63</v>
      </c>
      <c r="L26" s="30">
        <f t="shared" ref="L26" si="128">L25-((1-L25)/($F$18*$F$12))</f>
        <v>1.2625321272858767</v>
      </c>
      <c r="M26" s="31" t="s">
        <v>63</v>
      </c>
      <c r="N26" s="30">
        <f t="shared" ref="N26" si="129">N25-((1-N25)/($F$18*$F$12))</f>
        <v>1.2625321272858767</v>
      </c>
      <c r="O26" s="31" t="s">
        <v>63</v>
      </c>
      <c r="P26" s="30">
        <f t="shared" ref="P26" si="130">P25-((1-P25)/($F$18*$F$12))</f>
        <v>1.2625321272858767</v>
      </c>
      <c r="Q26" s="31" t="s">
        <v>63</v>
      </c>
      <c r="R26" s="30">
        <f t="shared" ref="R26" si="131">R25-((1-R25)/($F$18*$F$12))</f>
        <v>1.2625321272858767</v>
      </c>
      <c r="S26" s="31" t="s">
        <v>63</v>
      </c>
      <c r="T26" s="30">
        <f t="shared" ref="T26" si="132">T25-((1-T25)/($F$18*$F$12))</f>
        <v>1.2625321272858767</v>
      </c>
      <c r="U26" s="31" t="s">
        <v>63</v>
      </c>
      <c r="V26" s="30">
        <f t="shared" ref="V26" si="133">V25-((1-V25)/($F$18*$F$12))</f>
        <v>1.2625321272858767</v>
      </c>
      <c r="W26" s="31" t="s">
        <v>63</v>
      </c>
      <c r="X26" s="30">
        <f t="shared" ref="X26" si="134">X25-((1-X25)/($F$18*$F$12))</f>
        <v>1.2625321272858767</v>
      </c>
    </row>
    <row r="27" spans="1:24" ht="15.75" x14ac:dyDescent="0.25">
      <c r="A27" s="48" t="s">
        <v>134</v>
      </c>
      <c r="B27" s="56">
        <v>1</v>
      </c>
      <c r="C27" s="47"/>
      <c r="E27" s="31" t="s">
        <v>64</v>
      </c>
      <c r="F27" s="31">
        <f>1</f>
        <v>1</v>
      </c>
      <c r="G27" s="31" t="s">
        <v>64</v>
      </c>
      <c r="H27" s="31">
        <f>1</f>
        <v>1</v>
      </c>
      <c r="I27" s="31" t="s">
        <v>64</v>
      </c>
      <c r="J27" s="31">
        <f>1</f>
        <v>1</v>
      </c>
      <c r="K27" s="31" t="s">
        <v>64</v>
      </c>
      <c r="L27" s="31">
        <f>1</f>
        <v>1</v>
      </c>
      <c r="M27" s="31" t="s">
        <v>64</v>
      </c>
      <c r="N27" s="31">
        <f>1</f>
        <v>1</v>
      </c>
      <c r="O27" s="31" t="s">
        <v>64</v>
      </c>
      <c r="P27" s="31">
        <f>1</f>
        <v>1</v>
      </c>
      <c r="Q27" s="31" t="s">
        <v>64</v>
      </c>
      <c r="R27" s="31">
        <f>1</f>
        <v>1</v>
      </c>
      <c r="S27" s="31" t="s">
        <v>64</v>
      </c>
      <c r="T27" s="31">
        <f>1</f>
        <v>1</v>
      </c>
      <c r="U27" s="31" t="s">
        <v>64</v>
      </c>
      <c r="V27" s="31">
        <f>1</f>
        <v>1</v>
      </c>
      <c r="W27" s="31" t="s">
        <v>64</v>
      </c>
      <c r="X27" s="31">
        <f>1</f>
        <v>1</v>
      </c>
    </row>
    <row r="28" spans="1:24" x14ac:dyDescent="0.25">
      <c r="A28" s="48" t="s">
        <v>127</v>
      </c>
      <c r="B28" s="57">
        <f>B26*B27</f>
        <v>1.2</v>
      </c>
      <c r="C28" s="47"/>
      <c r="E28" s="85" t="s">
        <v>93</v>
      </c>
      <c r="F28" s="85"/>
      <c r="G28" s="85" t="s">
        <v>93</v>
      </c>
      <c r="H28" s="85"/>
      <c r="I28" s="85" t="s">
        <v>93</v>
      </c>
      <c r="J28" s="85"/>
      <c r="K28" s="85" t="s">
        <v>93</v>
      </c>
      <c r="L28" s="85"/>
      <c r="M28" s="85" t="s">
        <v>93</v>
      </c>
      <c r="N28" s="85"/>
      <c r="O28" s="85" t="s">
        <v>93</v>
      </c>
      <c r="P28" s="85"/>
      <c r="Q28" s="85" t="s">
        <v>93</v>
      </c>
      <c r="R28" s="85"/>
      <c r="S28" s="85" t="s">
        <v>93</v>
      </c>
      <c r="T28" s="85"/>
      <c r="U28" s="85" t="s">
        <v>93</v>
      </c>
      <c r="V28" s="85"/>
      <c r="W28" s="85" t="s">
        <v>93</v>
      </c>
      <c r="X28" s="85"/>
    </row>
    <row r="29" spans="1:24" ht="15.75" x14ac:dyDescent="0.25">
      <c r="A29" s="48" t="s">
        <v>130</v>
      </c>
      <c r="B29" s="56">
        <v>2.3989659778010659</v>
      </c>
      <c r="C29" s="47"/>
      <c r="E29" s="44" t="s">
        <v>113</v>
      </c>
      <c r="F29" s="45">
        <f>(2+(F8/F7))/(1+(F8/F7))</f>
        <v>1.084170438900506</v>
      </c>
      <c r="G29" s="44" t="s">
        <v>113</v>
      </c>
      <c r="H29" s="45">
        <f t="shared" ref="H29" si="135">(2+(H8/H7))/(1+(H8/H7))</f>
        <v>1.0847773054316432</v>
      </c>
      <c r="I29" s="44" t="s">
        <v>113</v>
      </c>
      <c r="J29" s="45">
        <f t="shared" ref="J29" si="136">(2+(J8/J7))/(1+(J8/J7))</f>
        <v>1.0834781166913388</v>
      </c>
      <c r="K29" s="44" t="s">
        <v>113</v>
      </c>
      <c r="L29" s="45">
        <f t="shared" ref="L29" si="137">(2+(L8/L7))/(1+(L8/L7))</f>
        <v>1.0829900476563936</v>
      </c>
      <c r="M29" s="44" t="s">
        <v>113</v>
      </c>
      <c r="N29" s="45">
        <f t="shared" ref="N29" si="138">(2+(N8/N7))/(1+(N8/N7))</f>
        <v>1.0831169398597333</v>
      </c>
      <c r="O29" s="44" t="s">
        <v>113</v>
      </c>
      <c r="P29" s="45">
        <f t="shared" ref="P29" si="139">(2+(P8/P7))/(1+(P8/P7))</f>
        <v>1.082687482182781</v>
      </c>
      <c r="Q29" s="44" t="s">
        <v>113</v>
      </c>
      <c r="R29" s="45">
        <f t="shared" ref="R29" si="140">(2+(R8/R7))/(1+(R8/R7))</f>
        <v>1.0832681262651016</v>
      </c>
      <c r="S29" s="44" t="s">
        <v>113</v>
      </c>
      <c r="T29" s="45">
        <f t="shared" ref="T29" si="141">(2+(T8/T7))/(1+(T8/T7))</f>
        <v>1.0828240254180033</v>
      </c>
      <c r="U29" s="44" t="s">
        <v>113</v>
      </c>
      <c r="V29" s="45">
        <f t="shared" ref="V29" si="142">(2+(V8/V7))/(1+(V8/V7))</f>
        <v>1.0843686514652047</v>
      </c>
      <c r="W29" s="44" t="s">
        <v>113</v>
      </c>
      <c r="X29" s="45">
        <f t="shared" ref="X29" si="143">(2+(X8/X7))/(1+(X8/X7))</f>
        <v>1.0850764438813847</v>
      </c>
    </row>
    <row r="30" spans="1:24" ht="15.75" x14ac:dyDescent="0.25">
      <c r="A30" s="48" t="s">
        <v>131</v>
      </c>
      <c r="B30" s="56">
        <v>0.28537380013241093</v>
      </c>
      <c r="C30" s="47" t="s">
        <v>132</v>
      </c>
      <c r="E30" s="44" t="s">
        <v>94</v>
      </c>
      <c r="F30" s="45">
        <f>(1-F4/(F3+F7*F8*$B$20*$F$13))^F29</f>
        <v>0.74516177441380638</v>
      </c>
      <c r="G30" s="44" t="s">
        <v>94</v>
      </c>
      <c r="H30" s="45">
        <f t="shared" ref="H30" si="144">(1-H4/(H3+H7*H8*$B$20*$F$13))^H29</f>
        <v>0.68720678819091141</v>
      </c>
      <c r="I30" s="44" t="s">
        <v>94</v>
      </c>
      <c r="J30" s="45">
        <f t="shared" ref="J30" si="145">(1-J4/(J3+J7*J8*$B$20*$F$13))^J29</f>
        <v>0.81288973702784795</v>
      </c>
      <c r="K30" s="44" t="s">
        <v>94</v>
      </c>
      <c r="L30" s="45">
        <f t="shared" ref="L30" si="146">(1-L4/(L3+L7*L8*$B$20*$F$13))^L29</f>
        <v>0.86133341464942725</v>
      </c>
      <c r="M30" s="44" t="s">
        <v>94</v>
      </c>
      <c r="N30" s="45">
        <f t="shared" ref="N30" si="147">(1-N4/(N3+N7*N8*$B$20*$F$13))^N29</f>
        <v>0.84868164403941238</v>
      </c>
      <c r="O30" s="44" t="s">
        <v>94</v>
      </c>
      <c r="P30" s="45">
        <f t="shared" ref="P30" si="148">(1-P4/(P3+P7*P8*$B$20*$F$13))^P29</f>
        <v>0.89174900755529274</v>
      </c>
      <c r="Q30" s="44" t="s">
        <v>94</v>
      </c>
      <c r="R30" s="45">
        <f t="shared" ref="R30" si="149">(1-R4/(R3+R7*R8*$B$20*$F$13))^R29</f>
        <v>0.83366524838313139</v>
      </c>
      <c r="S30" s="44" t="s">
        <v>94</v>
      </c>
      <c r="T30" s="45">
        <f t="shared" ref="T30" si="150">(1-T4/(T3+T7*T8*$B$20*$F$13))^T29</f>
        <v>0.87799844158232376</v>
      </c>
      <c r="U30" s="44" t="s">
        <v>94</v>
      </c>
      <c r="V30" s="45">
        <f t="shared" ref="V30" si="151">(1-V4/(V3+V7*V8*$B$20*$F$13))^V29</f>
        <v>0.72615705316008072</v>
      </c>
      <c r="W30" s="44" t="s">
        <v>94</v>
      </c>
      <c r="X30" s="45">
        <f t="shared" ref="X30" si="152">(1-X4/(X3+X7*X8*$B$20*$F$13))^X29</f>
        <v>0.6591408757073749</v>
      </c>
    </row>
    <row r="31" spans="1:24" x14ac:dyDescent="0.25">
      <c r="E31" s="44" t="s">
        <v>95</v>
      </c>
      <c r="F31" s="45">
        <f>F30-(1-F30)/($F$18*$F$12)</f>
        <v>0.73727109124386425</v>
      </c>
      <c r="G31" s="44" t="s">
        <v>95</v>
      </c>
      <c r="H31" s="45">
        <f t="shared" ref="H31" si="153">H30-(1-H30)/($F$18*$F$12)</f>
        <v>0.67752161585690729</v>
      </c>
      <c r="I31" s="44" t="s">
        <v>95</v>
      </c>
      <c r="J31" s="45">
        <f t="shared" ref="J31" si="154">J30-(1-J30)/($F$18*$F$12)</f>
        <v>0.80709614856771161</v>
      </c>
      <c r="K31" s="44" t="s">
        <v>95</v>
      </c>
      <c r="L31" s="45">
        <f t="shared" ref="L31" si="155">L30-(1-L30)/($F$18*$F$12)</f>
        <v>0.85703981195798551</v>
      </c>
      <c r="M31" s="44" t="s">
        <v>95</v>
      </c>
      <c r="N31" s="45">
        <f t="shared" ref="N31" si="156">N30-(1-N30)/($F$18*$F$12)</f>
        <v>0.84399629826000666</v>
      </c>
      <c r="O31" s="44" t="s">
        <v>95</v>
      </c>
      <c r="P31" s="45">
        <f t="shared" ref="P31" si="157">P30-(1-P30)/($F$18*$F$12)</f>
        <v>0.88839717804757989</v>
      </c>
      <c r="Q31" s="44" t="s">
        <v>95</v>
      </c>
      <c r="R31" s="45">
        <f t="shared" ref="R31" si="158">R30-(1-R30)/($F$18*$F$12)</f>
        <v>0.82851494245025714</v>
      </c>
      <c r="S31" s="44" t="s">
        <v>95</v>
      </c>
      <c r="T31" s="45">
        <f t="shared" ref="T31" si="159">T30-(1-T30)/($F$18*$F$12)</f>
        <v>0.87422084643740916</v>
      </c>
      <c r="U31" s="44" t="s">
        <v>95</v>
      </c>
      <c r="V31" s="45">
        <f t="shared" ref="V31" si="160">V30-(1-V30)/($F$18*$F$12)</f>
        <v>0.71767791732060182</v>
      </c>
      <c r="W31" s="44" t="s">
        <v>95</v>
      </c>
      <c r="X31" s="45">
        <f t="shared" ref="X31" si="161">X30-(1-X30)/($F$18*$F$12)</f>
        <v>0.64858668451729651</v>
      </c>
    </row>
    <row r="32" spans="1:24" x14ac:dyDescent="0.25">
      <c r="A32" s="1"/>
      <c r="B32" s="1"/>
      <c r="C32" s="1"/>
      <c r="D32" s="1"/>
      <c r="E32" s="49" t="s">
        <v>96</v>
      </c>
      <c r="F32" s="45">
        <f>(1-F4/(F3+F7*F8*B20*F13))^(F29+1)</f>
        <v>0.56809251301276542</v>
      </c>
      <c r="G32" s="49" t="s">
        <v>96</v>
      </c>
      <c r="H32" s="45">
        <f t="shared" ref="H32" si="162">(1-H4/(H3+H7*H8*D20*H13))^(H29+1)</f>
        <v>0.48630282479798603</v>
      </c>
      <c r="I32" s="49" t="s">
        <v>96</v>
      </c>
      <c r="J32" s="45">
        <f t="shared" ref="J32" si="163">(1-J4/(J3+J7*J8*F20*J13))^(J29+1)</f>
        <v>0.67142115617613529</v>
      </c>
      <c r="K32" s="49" t="s">
        <v>96</v>
      </c>
      <c r="L32" s="45">
        <f t="shared" ref="L32" si="164">(1-L4/(L3+L7*L8*H20*L13))^(L29+1)</f>
        <v>0.75043044654598023</v>
      </c>
      <c r="M32" s="49" t="s">
        <v>96</v>
      </c>
      <c r="N32" s="45">
        <f t="shared" ref="N32" si="165">(1-N4/(N3+N7*N8*J20*N13))^(N29+1)</f>
        <v>0.72938637386487359</v>
      </c>
      <c r="O32" s="49" t="s">
        <v>96</v>
      </c>
      <c r="P32" s="45">
        <f t="shared" ref="P32" si="166">(1-P4/(P3+P7*P8*L20*P13))^(P29+1)</f>
        <v>0.80220499279045077</v>
      </c>
      <c r="Q32" s="49" t="s">
        <v>96</v>
      </c>
      <c r="R32" s="45">
        <f t="shared" ref="R32" si="167">(1-R4/(R3+R7*R8*N20*R13))^(R29+1)</f>
        <v>0.70478486300217402</v>
      </c>
      <c r="S32" s="49" t="s">
        <v>96</v>
      </c>
      <c r="T32" s="45">
        <f t="shared" ref="T32" si="168">(1-T4/(T3+T7*T8*P20*T13))^(T29+1)</f>
        <v>0.77859138093750668</v>
      </c>
      <c r="U32" s="49" t="s">
        <v>96</v>
      </c>
      <c r="V32" s="45">
        <f t="shared" ref="V32" si="169">(1-V4/(V3+V7*V8*R20*V13))^(V29+1)</f>
        <v>0.5405969035755398</v>
      </c>
      <c r="W32" s="49" t="s">
        <v>96</v>
      </c>
      <c r="X32" s="45">
        <f t="shared" ref="X32" si="170">(1-X4/(X3+X7*X8*T20*X13))^(X29+1)</f>
        <v>0.44890006787517572</v>
      </c>
    </row>
    <row r="33" spans="1:24" x14ac:dyDescent="0.25">
      <c r="A33" s="1"/>
      <c r="B33" s="1"/>
      <c r="C33" s="1"/>
      <c r="D33" s="1"/>
      <c r="E33" s="85" t="s">
        <v>125</v>
      </c>
      <c r="F33" s="85"/>
      <c r="G33" s="85" t="s">
        <v>125</v>
      </c>
      <c r="H33" s="85"/>
      <c r="I33" s="85" t="s">
        <v>125</v>
      </c>
      <c r="J33" s="85"/>
      <c r="K33" s="85" t="s">
        <v>125</v>
      </c>
      <c r="L33" s="85"/>
      <c r="M33" s="85" t="s">
        <v>125</v>
      </c>
      <c r="N33" s="85"/>
      <c r="O33" s="85" t="s">
        <v>125</v>
      </c>
      <c r="P33" s="85"/>
      <c r="Q33" s="85" t="s">
        <v>125</v>
      </c>
      <c r="R33" s="85"/>
      <c r="S33" s="85" t="s">
        <v>125</v>
      </c>
      <c r="T33" s="85"/>
      <c r="U33" s="85" t="s">
        <v>125</v>
      </c>
      <c r="V33" s="85"/>
      <c r="W33" s="85" t="s">
        <v>125</v>
      </c>
      <c r="X33" s="85"/>
    </row>
    <row r="34" spans="1:24" x14ac:dyDescent="0.25">
      <c r="A34" s="1"/>
      <c r="B34" s="50"/>
      <c r="C34" s="51"/>
      <c r="D34" s="1"/>
      <c r="E34" s="44" t="s">
        <v>135</v>
      </c>
      <c r="F34" s="45">
        <f>$B$25*$B$28</f>
        <v>0.23398447716366794</v>
      </c>
      <c r="G34" s="44" t="s">
        <v>135</v>
      </c>
      <c r="H34" s="45">
        <f t="shared" ref="H34" si="171">$B$25*$B$28</f>
        <v>0.23398447716366794</v>
      </c>
      <c r="I34" s="44" t="s">
        <v>135</v>
      </c>
      <c r="J34" s="45">
        <f t="shared" ref="J34" si="172">$B$25*$B$28</f>
        <v>0.23398447716366794</v>
      </c>
      <c r="K34" s="44" t="s">
        <v>135</v>
      </c>
      <c r="L34" s="45">
        <f t="shared" ref="L34" si="173">$B$25*$B$28</f>
        <v>0.23398447716366794</v>
      </c>
      <c r="M34" s="44" t="s">
        <v>135</v>
      </c>
      <c r="N34" s="45">
        <f t="shared" ref="N34" si="174">$B$25*$B$28</f>
        <v>0.23398447716366794</v>
      </c>
      <c r="O34" s="44" t="s">
        <v>135</v>
      </c>
      <c r="P34" s="45">
        <f t="shared" ref="P34" si="175">$B$25*$B$28</f>
        <v>0.23398447716366794</v>
      </c>
      <c r="Q34" s="44" t="s">
        <v>135</v>
      </c>
      <c r="R34" s="45">
        <f t="shared" ref="R34" si="176">$B$25*$B$28</f>
        <v>0.23398447716366794</v>
      </c>
      <c r="S34" s="44" t="s">
        <v>135</v>
      </c>
      <c r="T34" s="45">
        <f t="shared" ref="T34" si="177">$B$25*$B$28</f>
        <v>0.23398447716366794</v>
      </c>
      <c r="U34" s="44" t="s">
        <v>135</v>
      </c>
      <c r="V34" s="45">
        <f t="shared" ref="V34" si="178">$B$25*$B$28</f>
        <v>0.23398447716366794</v>
      </c>
      <c r="W34" s="44" t="s">
        <v>135</v>
      </c>
      <c r="X34" s="45">
        <f t="shared" ref="X34" si="179">$B$25*$B$28</f>
        <v>0.23398447716366794</v>
      </c>
    </row>
    <row r="35" spans="1:24" x14ac:dyDescent="0.25">
      <c r="A35" s="1"/>
      <c r="B35" s="1"/>
      <c r="C35" s="1"/>
      <c r="D35" s="1"/>
      <c r="E35" s="44" t="s">
        <v>137</v>
      </c>
      <c r="F35" s="45">
        <f>F34/2</f>
        <v>0.11699223858183397</v>
      </c>
      <c r="G35" s="44" t="s">
        <v>137</v>
      </c>
      <c r="H35" s="45">
        <f t="shared" ref="H35" si="180">H34/2</f>
        <v>0.11699223858183397</v>
      </c>
      <c r="I35" s="44" t="s">
        <v>137</v>
      </c>
      <c r="J35" s="45">
        <f t="shared" ref="J35" si="181">J34/2</f>
        <v>0.11699223858183397</v>
      </c>
      <c r="K35" s="44" t="s">
        <v>137</v>
      </c>
      <c r="L35" s="45">
        <f t="shared" ref="L35" si="182">L34/2</f>
        <v>0.11699223858183397</v>
      </c>
      <c r="M35" s="44" t="s">
        <v>137</v>
      </c>
      <c r="N35" s="45">
        <f t="shared" ref="N35" si="183">N34/2</f>
        <v>0.11699223858183397</v>
      </c>
      <c r="O35" s="44" t="s">
        <v>137</v>
      </c>
      <c r="P35" s="45">
        <f t="shared" ref="P35" si="184">P34/2</f>
        <v>0.11699223858183397</v>
      </c>
      <c r="Q35" s="44" t="s">
        <v>137</v>
      </c>
      <c r="R35" s="45">
        <f t="shared" ref="R35" si="185">R34/2</f>
        <v>0.11699223858183397</v>
      </c>
      <c r="S35" s="44" t="s">
        <v>137</v>
      </c>
      <c r="T35" s="45">
        <f t="shared" ref="T35" si="186">T34/2</f>
        <v>0.11699223858183397</v>
      </c>
      <c r="U35" s="44" t="s">
        <v>137</v>
      </c>
      <c r="V35" s="45">
        <f t="shared" ref="V35" si="187">V34/2</f>
        <v>0.11699223858183397</v>
      </c>
      <c r="W35" s="44" t="s">
        <v>137</v>
      </c>
      <c r="X35" s="45">
        <f t="shared" ref="X35" si="188">X34/2</f>
        <v>0.11699223858183397</v>
      </c>
    </row>
    <row r="36" spans="1:24" x14ac:dyDescent="0.25">
      <c r="A36" s="1"/>
      <c r="B36" s="50"/>
      <c r="C36" s="51"/>
      <c r="D36" s="1"/>
      <c r="E36" s="54" t="s">
        <v>136</v>
      </c>
      <c r="F36" s="47">
        <f>0.24</f>
        <v>0.24</v>
      </c>
      <c r="G36" s="54" t="s">
        <v>136</v>
      </c>
      <c r="H36" s="47">
        <f t="shared" ref="H36" si="189">0.24</f>
        <v>0.24</v>
      </c>
      <c r="I36" s="54" t="s">
        <v>136</v>
      </c>
      <c r="J36" s="47">
        <f t="shared" ref="J36" si="190">0.24</f>
        <v>0.24</v>
      </c>
      <c r="K36" s="54" t="s">
        <v>136</v>
      </c>
      <c r="L36" s="47">
        <f t="shared" ref="L36" si="191">0.24</f>
        <v>0.24</v>
      </c>
      <c r="M36" s="54" t="s">
        <v>136</v>
      </c>
      <c r="N36" s="47">
        <f t="shared" ref="N36" si="192">0.24</f>
        <v>0.24</v>
      </c>
      <c r="O36" s="54" t="s">
        <v>136</v>
      </c>
      <c r="P36" s="47">
        <f t="shared" ref="P36" si="193">0.24</f>
        <v>0.24</v>
      </c>
      <c r="Q36" s="54" t="s">
        <v>136</v>
      </c>
      <c r="R36" s="47">
        <f t="shared" ref="R36" si="194">0.24</f>
        <v>0.24</v>
      </c>
      <c r="S36" s="54" t="s">
        <v>136</v>
      </c>
      <c r="T36" s="47">
        <f t="shared" ref="T36" si="195">0.24</f>
        <v>0.24</v>
      </c>
      <c r="U36" s="54" t="s">
        <v>136</v>
      </c>
      <c r="V36" s="47">
        <f t="shared" ref="V36" si="196">0.24</f>
        <v>0.24</v>
      </c>
      <c r="W36" s="54" t="s">
        <v>136</v>
      </c>
      <c r="X36" s="47">
        <f t="shared" ref="X36" si="197">0.24</f>
        <v>0.24</v>
      </c>
    </row>
    <row r="37" spans="1:24" x14ac:dyDescent="0.25">
      <c r="A37" s="1"/>
      <c r="B37" s="1"/>
      <c r="C37" s="10"/>
      <c r="D37" s="1"/>
      <c r="E37" s="54" t="s">
        <v>138</v>
      </c>
      <c r="F37" s="45">
        <f>(1-F34/F12)^(0.35)</f>
        <v>0.8673181590943928</v>
      </c>
      <c r="G37" s="54" t="s">
        <v>138</v>
      </c>
      <c r="H37" s="45">
        <f t="shared" ref="H37" si="198">(1-H34/H12)^(0.35)</f>
        <v>0.8673181590943928</v>
      </c>
      <c r="I37" s="54" t="s">
        <v>138</v>
      </c>
      <c r="J37" s="45">
        <f t="shared" ref="J37" si="199">(1-J34/J12)^(0.35)</f>
        <v>0.8673181590943928</v>
      </c>
      <c r="K37" s="54" t="s">
        <v>138</v>
      </c>
      <c r="L37" s="45">
        <f t="shared" ref="L37" si="200">(1-L34/L12)^(0.35)</f>
        <v>0.8673181590943928</v>
      </c>
      <c r="M37" s="54" t="s">
        <v>138</v>
      </c>
      <c r="N37" s="45">
        <f t="shared" ref="N37" si="201">(1-N34/N12)^(0.35)</f>
        <v>0.8673181590943928</v>
      </c>
      <c r="O37" s="54" t="s">
        <v>138</v>
      </c>
      <c r="P37" s="45">
        <f t="shared" ref="P37" si="202">(1-P34/P12)^(0.35)</f>
        <v>0.8673181590943928</v>
      </c>
      <c r="Q37" s="54" t="s">
        <v>138</v>
      </c>
      <c r="R37" s="45">
        <f t="shared" ref="R37" si="203">(1-R34/R12)^(0.35)</f>
        <v>0.8673181590943928</v>
      </c>
      <c r="S37" s="54" t="s">
        <v>138</v>
      </c>
      <c r="T37" s="45">
        <f t="shared" ref="T37" si="204">(1-T34/T12)^(0.35)</f>
        <v>0.8673181590943928</v>
      </c>
      <c r="U37" s="54" t="s">
        <v>138</v>
      </c>
      <c r="V37" s="45">
        <f t="shared" ref="V37" si="205">(1-V34/V12)^(0.35)</f>
        <v>0.8673181590943928</v>
      </c>
      <c r="W37" s="54" t="s">
        <v>138</v>
      </c>
      <c r="X37" s="45">
        <f t="shared" ref="X37" si="206">(1-X34/X12)^(0.35)</f>
        <v>0.8673181590943928</v>
      </c>
    </row>
    <row r="38" spans="1:24" x14ac:dyDescent="0.25">
      <c r="A38" s="1"/>
      <c r="B38" s="1"/>
      <c r="C38" s="51"/>
      <c r="D38" s="1"/>
      <c r="E38" s="54" t="s">
        <v>139</v>
      </c>
      <c r="F38" s="45">
        <f>(1-0.32*F34)</f>
        <v>0.92512496730762628</v>
      </c>
      <c r="G38" s="54" t="s">
        <v>139</v>
      </c>
      <c r="H38" s="45">
        <f t="shared" ref="H38" si="207">(1-0.32*H34)</f>
        <v>0.92512496730762628</v>
      </c>
      <c r="I38" s="54" t="s">
        <v>139</v>
      </c>
      <c r="J38" s="45">
        <f t="shared" ref="J38" si="208">(1-0.32*J34)</f>
        <v>0.92512496730762628</v>
      </c>
      <c r="K38" s="54" t="s">
        <v>139</v>
      </c>
      <c r="L38" s="45">
        <f t="shared" ref="L38" si="209">(1-0.32*L34)</f>
        <v>0.92512496730762628</v>
      </c>
      <c r="M38" s="54" t="s">
        <v>139</v>
      </c>
      <c r="N38" s="45">
        <f t="shared" ref="N38" si="210">(1-0.32*N34)</f>
        <v>0.92512496730762628</v>
      </c>
      <c r="O38" s="54" t="s">
        <v>139</v>
      </c>
      <c r="P38" s="45">
        <f t="shared" ref="P38" si="211">(1-0.32*P34)</f>
        <v>0.92512496730762628</v>
      </c>
      <c r="Q38" s="54" t="s">
        <v>139</v>
      </c>
      <c r="R38" s="45">
        <f t="shared" ref="R38" si="212">(1-0.32*R34)</f>
        <v>0.92512496730762628</v>
      </c>
      <c r="S38" s="54" t="s">
        <v>139</v>
      </c>
      <c r="T38" s="45">
        <f t="shared" ref="T38" si="213">(1-0.32*T34)</f>
        <v>0.92512496730762628</v>
      </c>
      <c r="U38" s="54" t="s">
        <v>139</v>
      </c>
      <c r="V38" s="45">
        <f t="shared" ref="V38" si="214">(1-0.32*V34)</f>
        <v>0.92512496730762628</v>
      </c>
      <c r="W38" s="54" t="s">
        <v>139</v>
      </c>
      <c r="X38" s="45">
        <f t="shared" ref="X38" si="215">(1-0.32*X34)</f>
        <v>0.92512496730762628</v>
      </c>
    </row>
    <row r="39" spans="1:24" x14ac:dyDescent="0.25">
      <c r="A39" s="1"/>
      <c r="B39" s="52"/>
      <c r="C39" s="51"/>
      <c r="D39" s="1"/>
      <c r="E39" s="44" t="s">
        <v>140</v>
      </c>
      <c r="F39" s="45">
        <f>F37</f>
        <v>0.8673181590943928</v>
      </c>
      <c r="G39" s="44" t="s">
        <v>140</v>
      </c>
      <c r="H39" s="45">
        <f t="shared" ref="H39" si="216">H37</f>
        <v>0.8673181590943928</v>
      </c>
      <c r="I39" s="44" t="s">
        <v>140</v>
      </c>
      <c r="J39" s="45">
        <f t="shared" ref="J39" si="217">J37</f>
        <v>0.8673181590943928</v>
      </c>
      <c r="K39" s="44" t="s">
        <v>140</v>
      </c>
      <c r="L39" s="45">
        <f t="shared" ref="L39" si="218">L37</f>
        <v>0.8673181590943928</v>
      </c>
      <c r="M39" s="44" t="s">
        <v>140</v>
      </c>
      <c r="N39" s="45">
        <f t="shared" ref="N39" si="219">N37</f>
        <v>0.8673181590943928</v>
      </c>
      <c r="O39" s="44" t="s">
        <v>140</v>
      </c>
      <c r="P39" s="45">
        <f t="shared" ref="P39" si="220">P37</f>
        <v>0.8673181590943928</v>
      </c>
      <c r="Q39" s="44" t="s">
        <v>140</v>
      </c>
      <c r="R39" s="45">
        <f t="shared" ref="R39" si="221">R37</f>
        <v>0.8673181590943928</v>
      </c>
      <c r="S39" s="44" t="s">
        <v>140</v>
      </c>
      <c r="T39" s="45">
        <f t="shared" ref="T39" si="222">T37</f>
        <v>0.8673181590943928</v>
      </c>
      <c r="U39" s="44" t="s">
        <v>140</v>
      </c>
      <c r="V39" s="45">
        <f t="shared" ref="V39" si="223">V37</f>
        <v>0.8673181590943928</v>
      </c>
      <c r="W39" s="44" t="s">
        <v>140</v>
      </c>
      <c r="X39" s="45">
        <f t="shared" ref="X39" si="224">X37</f>
        <v>0.8673181590943928</v>
      </c>
    </row>
    <row r="40" spans="1:24" x14ac:dyDescent="0.25">
      <c r="A40" s="1"/>
      <c r="B40" s="53"/>
      <c r="C40" s="51"/>
      <c r="D40" s="1"/>
      <c r="E40" s="84" t="s">
        <v>144</v>
      </c>
      <c r="F40" s="84"/>
      <c r="G40" s="84" t="s">
        <v>144</v>
      </c>
      <c r="H40" s="84"/>
      <c r="I40" s="84" t="s">
        <v>144</v>
      </c>
      <c r="J40" s="84"/>
      <c r="K40" s="84" t="s">
        <v>144</v>
      </c>
      <c r="L40" s="84"/>
      <c r="M40" s="84" t="s">
        <v>144</v>
      </c>
      <c r="N40" s="84"/>
      <c r="O40" s="84" t="s">
        <v>144</v>
      </c>
      <c r="P40" s="84"/>
      <c r="Q40" s="84" t="s">
        <v>144</v>
      </c>
      <c r="R40" s="84"/>
      <c r="S40" s="84" t="s">
        <v>144</v>
      </c>
      <c r="T40" s="84"/>
      <c r="U40" s="84" t="s">
        <v>144</v>
      </c>
      <c r="V40" s="84"/>
      <c r="W40" s="84" t="s">
        <v>144</v>
      </c>
      <c r="X40" s="84"/>
    </row>
    <row r="41" spans="1:24" ht="17.25" x14ac:dyDescent="0.25">
      <c r="A41" s="1"/>
      <c r="B41" s="53"/>
      <c r="C41" s="51"/>
      <c r="D41" s="1"/>
      <c r="E41" s="44" t="s">
        <v>116</v>
      </c>
      <c r="F41" s="46">
        <f>0.5*$B$17*F7*F17*F39*F22*F27*F32+$B$19*F16*F37*F21*F25*F30+$B$20*F18*F38*F26*F23*F31</f>
        <v>910.35996754375799</v>
      </c>
      <c r="G41" s="44" t="s">
        <v>116</v>
      </c>
      <c r="H41" s="46">
        <f t="shared" ref="H41" si="225">0.5*$B$17*H7*H17*H39*H22*H27*H32+$B$19*H16*H37*H21*H25*H30+$B$20*H18*H38*H26*H23*H31</f>
        <v>822.37617107177061</v>
      </c>
      <c r="I41" s="44" t="s">
        <v>116</v>
      </c>
      <c r="J41" s="46">
        <f t="shared" ref="J41" si="226">0.5*$B$17*J7*J17*J39*J22*J27*J32+$B$19*J16*J37*J21*J25*J30+$B$20*J18*J38*J26*J23*J31</f>
        <v>1016.7359484638457</v>
      </c>
      <c r="K41" s="44" t="s">
        <v>116</v>
      </c>
      <c r="L41" s="46">
        <f t="shared" ref="L41" si="227">0.5*$B$17*L7*L17*L39*L22*L27*L32+$B$19*L16*L37*L21*L25*L30+$B$20*L18*L38*L26*L23*L31</f>
        <v>1095.1654095641602</v>
      </c>
      <c r="M41" s="44" t="s">
        <v>116</v>
      </c>
      <c r="N41" s="46">
        <f t="shared" ref="N41" si="228">0.5*$B$17*N7*N17*N39*N22*N27*N32+$B$19*N16*N37*N21*N25*N30+$B$20*N18*N38*N26*N23*N31</f>
        <v>1074.4942615456466</v>
      </c>
      <c r="O41" s="44" t="s">
        <v>116</v>
      </c>
      <c r="P41" s="46">
        <f t="shared" ref="P41" si="229">0.5*$B$17*P7*P17*P39*P22*P27*P32+$B$19*P16*P37*P21*P25*P30+$B$20*P18*P38*P26*P23*P31</f>
        <v>1145.4040804348037</v>
      </c>
      <c r="Q41" s="44" t="s">
        <v>116</v>
      </c>
      <c r="R41" s="46">
        <f t="shared" ref="R41" si="230">0.5*$B$17*R7*R17*R39*R22*R27*R32+$B$19*R16*R37*R21*R25*R30+$B$20*R18*R38*R26*R23*R31</f>
        <v>1050.1322634184198</v>
      </c>
      <c r="S41" s="44" t="s">
        <v>116</v>
      </c>
      <c r="T41" s="46">
        <f t="shared" ref="T41" si="231">0.5*$B$17*T7*T17*T39*T22*T27*T32+$B$19*T16*T37*T21*T25*T30+$B$20*T18*T38*T26*T23*T31</f>
        <v>1122.5966548163556</v>
      </c>
      <c r="U41" s="44" t="s">
        <v>116</v>
      </c>
      <c r="V41" s="46">
        <f t="shared" ref="V41" si="232">0.5*$B$17*V7*V17*V39*V22*V27*V32+$B$19*V16*V37*V21*V25*V30+$B$20*V18*V38*V26*V23*V31</f>
        <v>881.19871096643953</v>
      </c>
      <c r="W41" s="44" t="s">
        <v>116</v>
      </c>
      <c r="X41" s="46">
        <f t="shared" ref="X41" si="233">0.5*$B$17*X7*X17*X39*X22*X27*X32+$B$19*X16*X37*X21*X25*X30+$B$20*X18*X38*X26*X23*X31</f>
        <v>780.77978115326994</v>
      </c>
    </row>
    <row r="42" spans="1:24" ht="18" x14ac:dyDescent="0.35">
      <c r="A42" s="1"/>
      <c r="B42" s="53"/>
      <c r="C42" s="51"/>
      <c r="D42" s="1"/>
      <c r="E42" s="47" t="s">
        <v>115</v>
      </c>
      <c r="F42" s="47">
        <v>2.2999999999999998</v>
      </c>
      <c r="G42" s="47" t="s">
        <v>115</v>
      </c>
      <c r="H42" s="47">
        <v>2.2999999999999998</v>
      </c>
      <c r="I42" s="47" t="s">
        <v>115</v>
      </c>
      <c r="J42" s="47">
        <v>2.2999999999999998</v>
      </c>
      <c r="K42" s="47" t="s">
        <v>115</v>
      </c>
      <c r="L42" s="47">
        <v>2.2999999999999998</v>
      </c>
      <c r="M42" s="47" t="s">
        <v>115</v>
      </c>
      <c r="N42" s="47">
        <v>2.2999999999999998</v>
      </c>
      <c r="O42" s="47" t="s">
        <v>115</v>
      </c>
      <c r="P42" s="47">
        <v>2.2999999999999998</v>
      </c>
      <c r="Q42" s="47" t="s">
        <v>115</v>
      </c>
      <c r="R42" s="47">
        <v>2.2999999999999998</v>
      </c>
      <c r="S42" s="47" t="s">
        <v>115</v>
      </c>
      <c r="T42" s="47">
        <v>2.2999999999999998</v>
      </c>
      <c r="U42" s="47" t="s">
        <v>115</v>
      </c>
      <c r="V42" s="47">
        <v>2.2999999999999998</v>
      </c>
      <c r="W42" s="47" t="s">
        <v>115</v>
      </c>
      <c r="X42" s="47">
        <v>2.2999999999999998</v>
      </c>
    </row>
    <row r="43" spans="1:24" ht="18.75" x14ac:dyDescent="0.35">
      <c r="A43" s="1"/>
      <c r="B43" s="10"/>
      <c r="C43" s="5"/>
      <c r="D43" s="1"/>
      <c r="E43" s="44" t="s">
        <v>124</v>
      </c>
      <c r="F43" s="46">
        <f>F41/F42</f>
        <v>395.80868154076438</v>
      </c>
      <c r="G43" s="44" t="s">
        <v>124</v>
      </c>
      <c r="H43" s="46">
        <f t="shared" ref="H43" si="234">H41/H42</f>
        <v>357.5548569877264</v>
      </c>
      <c r="I43" s="44" t="s">
        <v>124</v>
      </c>
      <c r="J43" s="46">
        <f t="shared" ref="J43" si="235">J41/J42</f>
        <v>442.05910802775907</v>
      </c>
      <c r="K43" s="44" t="s">
        <v>124</v>
      </c>
      <c r="L43" s="46">
        <f t="shared" ref="L43" si="236">L41/L42</f>
        <v>476.15887372354797</v>
      </c>
      <c r="M43" s="44" t="s">
        <v>124</v>
      </c>
      <c r="N43" s="46">
        <f t="shared" ref="N43" si="237">N41/N42</f>
        <v>467.17141806332467</v>
      </c>
      <c r="O43" s="44" t="s">
        <v>124</v>
      </c>
      <c r="P43" s="46">
        <f t="shared" ref="P43" si="238">P41/P42</f>
        <v>498.00177410208863</v>
      </c>
      <c r="Q43" s="44" t="s">
        <v>124</v>
      </c>
      <c r="R43" s="46">
        <f t="shared" ref="R43" si="239">R41/R42</f>
        <v>456.5792449645304</v>
      </c>
      <c r="S43" s="44" t="s">
        <v>124</v>
      </c>
      <c r="T43" s="46">
        <f t="shared" ref="T43" si="240">T41/T42</f>
        <v>488.08550209406769</v>
      </c>
      <c r="U43" s="44" t="s">
        <v>124</v>
      </c>
      <c r="V43" s="46">
        <f t="shared" ref="V43" si="241">V41/V42</f>
        <v>383.12987433323462</v>
      </c>
      <c r="W43" s="44" t="s">
        <v>124</v>
      </c>
      <c r="X43" s="46">
        <f t="shared" ref="X43" si="242">X41/X42</f>
        <v>339.46947006663913</v>
      </c>
    </row>
    <row r="44" spans="1:24" ht="18.75" x14ac:dyDescent="0.35">
      <c r="A44" s="1"/>
      <c r="B44" s="1"/>
      <c r="C44" s="10"/>
      <c r="D44" s="1"/>
      <c r="E44" s="44" t="s">
        <v>123</v>
      </c>
      <c r="F44" s="45">
        <f>F3/($F$7*F8)+B14</f>
        <v>122.32713674062067</v>
      </c>
      <c r="G44" s="44" t="s">
        <v>123</v>
      </c>
      <c r="H44" s="45">
        <f t="shared" ref="H44" si="243">H3/($F$7*H8)+D14</f>
        <v>86.235885753714669</v>
      </c>
      <c r="I44" s="44" t="s">
        <v>123</v>
      </c>
      <c r="J44" s="45">
        <f t="shared" ref="J44" si="244">J3/($F$7*J8)+F14</f>
        <v>138.9394399160106</v>
      </c>
      <c r="K44" s="44" t="s">
        <v>123</v>
      </c>
      <c r="L44" s="45">
        <f t="shared" ref="L44" si="245">L3/($F$7*L8)+H14</f>
        <v>185.32996529420012</v>
      </c>
      <c r="M44" s="44" t="s">
        <v>123</v>
      </c>
      <c r="N44" s="45">
        <f t="shared" ref="N44" si="246">N3/($F$7*N8)+J14</f>
        <v>161.94500845220631</v>
      </c>
      <c r="O44" s="44" t="s">
        <v>123</v>
      </c>
      <c r="P44" s="45">
        <f t="shared" ref="P44" si="247">P3/($F$7*P8)+L14</f>
        <v>223.97689947554892</v>
      </c>
      <c r="Q44" s="44" t="s">
        <v>123</v>
      </c>
      <c r="R44" s="45">
        <f t="shared" ref="R44" si="248">R3/($F$7*R8)+N14</f>
        <v>162.79033132146628</v>
      </c>
      <c r="S44" s="44" t="s">
        <v>123</v>
      </c>
      <c r="T44" s="45">
        <f t="shared" ref="T44" si="249">T3/($F$7*T8)+P14</f>
        <v>219.66875318651898</v>
      </c>
      <c r="U44" s="44" t="s">
        <v>123</v>
      </c>
      <c r="V44" s="45">
        <f t="shared" ref="V44" si="250">V3/($F$7*V8)+R14</f>
        <v>109.66499663802573</v>
      </c>
      <c r="W44" s="44" t="s">
        <v>123</v>
      </c>
      <c r="X44" s="45">
        <f t="shared" ref="X44" si="251">X3/($F$7*X8)+T14</f>
        <v>89.369813085759844</v>
      </c>
    </row>
    <row r="45" spans="1:24" x14ac:dyDescent="0.25">
      <c r="A45" s="1"/>
      <c r="B45" s="10"/>
      <c r="C45" s="5"/>
      <c r="D45" s="60" t="s">
        <v>7</v>
      </c>
      <c r="E45" s="45">
        <f>F44/F43</f>
        <v>0.30905622449825471</v>
      </c>
      <c r="F45" s="44" t="str">
        <f>IF(F44&lt;F43,"OK","NO")</f>
        <v>OK</v>
      </c>
      <c r="G45" s="45">
        <f t="shared" ref="G45" si="252">H44/H43</f>
        <v>0.24118225236882979</v>
      </c>
      <c r="H45" s="44" t="str">
        <f t="shared" ref="H45" si="253">IF(H44&lt;H43,"OK","NO")</f>
        <v>OK</v>
      </c>
      <c r="I45" s="45">
        <f t="shared" ref="I45" si="254">J44/J43</f>
        <v>0.31430059327560761</v>
      </c>
      <c r="J45" s="44" t="str">
        <f t="shared" ref="J45" si="255">IF(J44&lt;J43,"OK","NO")</f>
        <v>OK</v>
      </c>
      <c r="K45" s="45">
        <f t="shared" ref="K45" si="256">L44/L43</f>
        <v>0.38921875769094755</v>
      </c>
      <c r="L45" s="44" t="str">
        <f t="shared" ref="L45" si="257">IF(L44&lt;L43,"OK","NO")</f>
        <v>OK</v>
      </c>
      <c r="M45" s="45">
        <f t="shared" ref="M45" si="258">N44/N43</f>
        <v>0.34665007787410235</v>
      </c>
      <c r="N45" s="44" t="str">
        <f t="shared" ref="N45" si="259">IF(N44&lt;N43,"OK","NO")</f>
        <v>OK</v>
      </c>
      <c r="O45" s="45">
        <f t="shared" ref="O45" si="260">P44/P43</f>
        <v>0.44975120797387846</v>
      </c>
      <c r="P45" s="44" t="str">
        <f t="shared" ref="P45" si="261">IF(P44&lt;P43,"OK","NO")</f>
        <v>OK</v>
      </c>
      <c r="Q45" s="45">
        <f t="shared" ref="Q45" si="262">R44/R43</f>
        <v>0.35654343274870659</v>
      </c>
      <c r="R45" s="44" t="str">
        <f t="shared" ref="R45" si="263">IF(R44&lt;R43,"OK","NO")</f>
        <v>OK</v>
      </c>
      <c r="S45" s="45">
        <f t="shared" ref="S45" si="264">T44/T43</f>
        <v>0.45006203266447914</v>
      </c>
      <c r="T45" s="44" t="str">
        <f t="shared" ref="T45" si="265">IF(T44&lt;T43,"OK","NO")</f>
        <v>OK</v>
      </c>
      <c r="U45" s="45">
        <f t="shared" ref="U45" si="266">V44/V43</f>
        <v>0.28623452250722292</v>
      </c>
      <c r="V45" s="44" t="str">
        <f t="shared" ref="V45" si="267">IF(V44&lt;V43,"OK","NO")</f>
        <v>OK</v>
      </c>
      <c r="W45" s="45">
        <f t="shared" ref="W45" si="268">X44/X43</f>
        <v>0.2632631826014169</v>
      </c>
      <c r="X45" s="44" t="str">
        <f t="shared" ref="X45" si="269">IF(X44&lt;X43,"OK","NO")</f>
        <v>OK</v>
      </c>
    </row>
    <row r="46" spans="1:24" x14ac:dyDescent="0.25">
      <c r="E46" s="84" t="s">
        <v>143</v>
      </c>
      <c r="F46" s="84"/>
      <c r="G46" s="84" t="s">
        <v>143</v>
      </c>
      <c r="H46" s="84"/>
      <c r="I46" s="84" t="s">
        <v>143</v>
      </c>
      <c r="J46" s="84"/>
      <c r="K46" s="84" t="s">
        <v>143</v>
      </c>
      <c r="L46" s="84"/>
      <c r="M46" s="84" t="s">
        <v>143</v>
      </c>
      <c r="N46" s="84"/>
      <c r="O46" s="84" t="s">
        <v>143</v>
      </c>
      <c r="P46" s="84"/>
      <c r="Q46" s="84" t="s">
        <v>143</v>
      </c>
      <c r="R46" s="84"/>
      <c r="S46" s="84" t="s">
        <v>143</v>
      </c>
      <c r="T46" s="84"/>
      <c r="U46" s="84" t="s">
        <v>143</v>
      </c>
      <c r="V46" s="84"/>
      <c r="W46" s="84" t="s">
        <v>143</v>
      </c>
      <c r="X46" s="84"/>
    </row>
    <row r="47" spans="1:24" x14ac:dyDescent="0.25">
      <c r="E47" s="44" t="s">
        <v>145</v>
      </c>
      <c r="F47" s="61">
        <f>(F3+$B$14*$B$2*$B$3)*F12</f>
        <v>1348.3994592359727</v>
      </c>
      <c r="G47" s="44" t="s">
        <v>145</v>
      </c>
      <c r="H47" s="61">
        <f t="shared" ref="H47" si="270">(H3+$B$14*$B$2*$B$3)*H12</f>
        <v>1132.2410509038989</v>
      </c>
      <c r="I47" s="44" t="s">
        <v>145</v>
      </c>
      <c r="J47" s="61">
        <f t="shared" ref="J47" si="271">(J3+$B$14*$B$2*$B$3)*J12</f>
        <v>1690.7963590611457</v>
      </c>
      <c r="K47" s="44" t="s">
        <v>145</v>
      </c>
      <c r="L47" s="61">
        <f t="shared" ref="L47" si="272">(L3+$B$14*$B$2*$B$3)*L12</f>
        <v>2217.2562542894748</v>
      </c>
      <c r="M47" s="44" t="s">
        <v>145</v>
      </c>
      <c r="N47" s="61">
        <f t="shared" ref="N47" si="273">(N3+$B$14*$B$2*$B$3)*N12</f>
        <v>1953.7811815213713</v>
      </c>
      <c r="O47" s="44" t="s">
        <v>145</v>
      </c>
      <c r="P47" s="61">
        <f t="shared" ref="P47" si="274">(P3+$B$14*$B$2*$B$3)*P12</f>
        <v>2657.6281184316799</v>
      </c>
      <c r="Q47" s="44" t="s">
        <v>145</v>
      </c>
      <c r="R47" s="61">
        <f t="shared" ref="R47" si="275">(R3+$B$14*$B$2*$B$3)*R12</f>
        <v>1959.6792046675962</v>
      </c>
      <c r="S47" s="44" t="s">
        <v>145</v>
      </c>
      <c r="T47" s="61">
        <f t="shared" ref="T47" si="276">(T3+$B$14*$B$2*$B$3)*T12</f>
        <v>2605.0962382303114</v>
      </c>
      <c r="U47" s="44" t="s">
        <v>145</v>
      </c>
      <c r="V47" s="61">
        <f t="shared" ref="V47" si="277">(V3+$B$14*$B$2*$B$3)*V12</f>
        <v>1353.2083795772664</v>
      </c>
      <c r="W47" s="44" t="s">
        <v>145</v>
      </c>
      <c r="X47" s="61">
        <f t="shared" ref="X47" si="278">(X3+$B$14*$B$2*$B$3)*X12</f>
        <v>1122.6031842857185</v>
      </c>
    </row>
    <row r="48" spans="1:24" x14ac:dyDescent="0.25">
      <c r="D48" s="60" t="s">
        <v>148</v>
      </c>
      <c r="E48" s="45">
        <f>F4/F47</f>
        <v>0.29065251941147058</v>
      </c>
      <c r="F48" s="44" t="str">
        <f>IF(F47&gt;F4,"OK","NO")</f>
        <v>OK</v>
      </c>
      <c r="G48" s="45">
        <f t="shared" ref="G48" si="279">H4/H47</f>
        <v>0.34614643205801326</v>
      </c>
      <c r="H48" s="44" t="str">
        <f t="shared" ref="H48" si="280">IF(H47&gt;H4,"OK","NO")</f>
        <v>OK</v>
      </c>
      <c r="I48" s="45">
        <f t="shared" ref="I48" si="281">J4/J47</f>
        <v>0.22009220566729545</v>
      </c>
      <c r="J48" s="44" t="str">
        <f t="shared" ref="J48" si="282">IF(J47&gt;J4,"OK","NO")</f>
        <v>OK</v>
      </c>
      <c r="K48" s="45">
        <f t="shared" ref="K48" si="283">L4/L47</f>
        <v>0.16783305911532972</v>
      </c>
      <c r="L48" s="44" t="str">
        <f t="shared" ref="L48" si="284">IF(L47&gt;L4,"OK","NO")</f>
        <v>OK</v>
      </c>
      <c r="M48" s="45">
        <f t="shared" ref="M48" si="285">N4/N47</f>
        <v>0.18086160484197228</v>
      </c>
      <c r="N48" s="44" t="str">
        <f t="shared" ref="N48" si="286">IF(N47&gt;N4,"OK","NO")</f>
        <v>OK</v>
      </c>
      <c r="O48" s="45">
        <f t="shared" ref="O48" si="287">P4/P47</f>
        <v>0.13296216936797284</v>
      </c>
      <c r="P48" s="44" t="str">
        <f t="shared" ref="P48" si="288">IF(P47&gt;P4,"OK","NO")</f>
        <v>OK</v>
      </c>
      <c r="Q48" s="45">
        <f t="shared" ref="Q48" si="289">R4/R47</f>
        <v>0.19897879156509263</v>
      </c>
      <c r="R48" s="44" t="str">
        <f t="shared" ref="R48" si="290">IF(R47&gt;R4,"OK","NO")</f>
        <v>OK</v>
      </c>
      <c r="S48" s="45">
        <f t="shared" ref="S48" si="291">T4/T47</f>
        <v>0.14968187903295671</v>
      </c>
      <c r="T48" s="44" t="str">
        <f t="shared" ref="T48" si="292">IF(T47&gt;T4,"OK","NO")</f>
        <v>OK</v>
      </c>
      <c r="U48" s="45">
        <f t="shared" ref="U48" si="293">V4/V47</f>
        <v>0.31274776774010887</v>
      </c>
      <c r="V48" s="44" t="str">
        <f t="shared" ref="V48" si="294">IF(V47&gt;V4,"OK","NO")</f>
        <v>OK</v>
      </c>
      <c r="W48" s="45">
        <f t="shared" ref="W48" si="295">X4/X47</f>
        <v>0.37698850842764708</v>
      </c>
      <c r="X48" s="44" t="str">
        <f t="shared" ref="X48" si="296">IF(X47&gt;X4,"OK","NO")</f>
        <v>OK</v>
      </c>
    </row>
  </sheetData>
  <mergeCells count="123">
    <mergeCell ref="U40:V40"/>
    <mergeCell ref="W40:X40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W24:X24"/>
    <mergeCell ref="U28:V28"/>
    <mergeCell ref="W28:X28"/>
    <mergeCell ref="U33:V33"/>
    <mergeCell ref="W33:X33"/>
    <mergeCell ref="S40:T40"/>
    <mergeCell ref="U1:V1"/>
    <mergeCell ref="W1:X1"/>
    <mergeCell ref="U2:V2"/>
    <mergeCell ref="W2:X2"/>
    <mergeCell ref="U6:V6"/>
    <mergeCell ref="W6:X6"/>
    <mergeCell ref="U9:V9"/>
    <mergeCell ref="W9:X9"/>
    <mergeCell ref="U15:V15"/>
    <mergeCell ref="W15:X15"/>
    <mergeCell ref="U19:V19"/>
    <mergeCell ref="W19:X19"/>
    <mergeCell ref="U20:V20"/>
    <mergeCell ref="W20:X20"/>
    <mergeCell ref="U24:V24"/>
    <mergeCell ref="S19:T19"/>
    <mergeCell ref="S20:T20"/>
    <mergeCell ref="S24:T24"/>
    <mergeCell ref="S28:T28"/>
    <mergeCell ref="S33:T33"/>
    <mergeCell ref="S1:T1"/>
    <mergeCell ref="S2:T2"/>
    <mergeCell ref="S6:T6"/>
    <mergeCell ref="S9:T9"/>
    <mergeCell ref="S15:T15"/>
    <mergeCell ref="O33:P33"/>
    <mergeCell ref="O40:P40"/>
    <mergeCell ref="Q1:R1"/>
    <mergeCell ref="Q2:R2"/>
    <mergeCell ref="Q6:R6"/>
    <mergeCell ref="Q9:R9"/>
    <mergeCell ref="Q15:R15"/>
    <mergeCell ref="Q19:R19"/>
    <mergeCell ref="Q20:R20"/>
    <mergeCell ref="Q24:R24"/>
    <mergeCell ref="Q28:R28"/>
    <mergeCell ref="Q33:R33"/>
    <mergeCell ref="Q40:R40"/>
    <mergeCell ref="O15:P15"/>
    <mergeCell ref="O19:P19"/>
    <mergeCell ref="O20:P20"/>
    <mergeCell ref="O24:P24"/>
    <mergeCell ref="O28:P28"/>
    <mergeCell ref="M1:N1"/>
    <mergeCell ref="O1:P1"/>
    <mergeCell ref="O2:P2"/>
    <mergeCell ref="O6:P6"/>
    <mergeCell ref="O9:P9"/>
    <mergeCell ref="K40:L40"/>
    <mergeCell ref="M2:N2"/>
    <mergeCell ref="M6:N6"/>
    <mergeCell ref="M9:N9"/>
    <mergeCell ref="M15:N15"/>
    <mergeCell ref="M19:N19"/>
    <mergeCell ref="M20:N20"/>
    <mergeCell ref="M24:N24"/>
    <mergeCell ref="M28:N28"/>
    <mergeCell ref="M33:N33"/>
    <mergeCell ref="M40:N40"/>
    <mergeCell ref="K19:L19"/>
    <mergeCell ref="K20:L20"/>
    <mergeCell ref="K24:L24"/>
    <mergeCell ref="K28:L28"/>
    <mergeCell ref="K33:L33"/>
    <mergeCell ref="K1:L1"/>
    <mergeCell ref="K2:L2"/>
    <mergeCell ref="K6:L6"/>
    <mergeCell ref="K9:L9"/>
    <mergeCell ref="K15:L15"/>
    <mergeCell ref="G40:H40"/>
    <mergeCell ref="I1:J1"/>
    <mergeCell ref="I2:J2"/>
    <mergeCell ref="I6:J6"/>
    <mergeCell ref="I9:J9"/>
    <mergeCell ref="I15:J15"/>
    <mergeCell ref="I19:J19"/>
    <mergeCell ref="I20:J20"/>
    <mergeCell ref="I24:J24"/>
    <mergeCell ref="I28:J28"/>
    <mergeCell ref="I33:J33"/>
    <mergeCell ref="I40:J40"/>
    <mergeCell ref="G19:H19"/>
    <mergeCell ref="G20:H20"/>
    <mergeCell ref="G24:H24"/>
    <mergeCell ref="G28:H28"/>
    <mergeCell ref="G33:H33"/>
    <mergeCell ref="G1:H1"/>
    <mergeCell ref="G2:H2"/>
    <mergeCell ref="G6:H6"/>
    <mergeCell ref="G9:H9"/>
    <mergeCell ref="E2:F2"/>
    <mergeCell ref="A1:C1"/>
    <mergeCell ref="E1:F1"/>
    <mergeCell ref="G15:H15"/>
    <mergeCell ref="E40:F40"/>
    <mergeCell ref="A13:C13"/>
    <mergeCell ref="A15:C15"/>
    <mergeCell ref="E6:F6"/>
    <mergeCell ref="E9:F9"/>
    <mergeCell ref="E15:F15"/>
    <mergeCell ref="E20:F20"/>
    <mergeCell ref="E24:F24"/>
    <mergeCell ref="E28:F28"/>
    <mergeCell ref="E33:F33"/>
    <mergeCell ref="E19:F19"/>
  </mergeCells>
  <phoneticPr fontId="6" type="noConversion"/>
  <conditionalFormatting sqref="F45">
    <cfRule type="cellIs" dxfId="7" priority="31" operator="equal">
      <formula>"NO"</formula>
    </cfRule>
    <cfRule type="cellIs" dxfId="6" priority="32" operator="equal">
      <formula>"OK"</formula>
    </cfRule>
  </conditionalFormatting>
  <conditionalFormatting sqref="H45 J45 L45 N45 P45 R45 T45 V45 X45">
    <cfRule type="cellIs" dxfId="5" priority="7" operator="equal">
      <formula>"NO"</formula>
    </cfRule>
    <cfRule type="cellIs" dxfId="4" priority="8" operator="equal">
      <formula>"OK"</formula>
    </cfRule>
  </conditionalFormatting>
  <conditionalFormatting sqref="F48">
    <cfRule type="cellIs" dxfId="3" priority="5" operator="equal">
      <formula>"NO"</formula>
    </cfRule>
    <cfRule type="cellIs" dxfId="2" priority="6" operator="equal">
      <formula>"OK"</formula>
    </cfRule>
  </conditionalFormatting>
  <conditionalFormatting sqref="H48 J48 L48 N48 P48 R48 T48 V48 X48">
    <cfRule type="cellIs" dxfId="1" priority="1" operator="equal">
      <formula>"NO"</formula>
    </cfRule>
    <cfRule type="cellIs" dxfId="0" priority="2" operator="equal">
      <formula>"OK"</formula>
    </cfRule>
  </conditionalFormatting>
  <pageMargins left="0.25" right="0.25" top="0.75" bottom="0.75" header="0.3" footer="0.3"/>
  <pageSetup paperSize="9" scale="3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Propietà terreno e Gazetas</vt:lpstr>
      <vt:lpstr>Baricentro sezione e armatura</vt:lpstr>
      <vt:lpstr>Forze totale sisma su fonda</vt:lpstr>
      <vt:lpstr>VERIFICHE(DREANATO)X sisma </vt:lpstr>
      <vt:lpstr>VERIFICHE(DREANATO)Y sisma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2019-11-03T18:57:27Z</cp:lastPrinted>
  <dcterms:created xsi:type="dcterms:W3CDTF">2018-05-20T08:52:25Z</dcterms:created>
  <dcterms:modified xsi:type="dcterms:W3CDTF">2019-11-03T21:18:53Z</dcterms:modified>
</cp:coreProperties>
</file>