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5DC21F79-CF66-47BB-A151-217B6A07BD7D}" xr6:coauthVersionLast="44" xr6:coauthVersionMax="44" xr10:uidLastSave="{00000000-0000-0000-0000-000000000000}"/>
  <bookViews>
    <workbookView xWindow="-120" yWindow="-120" windowWidth="20730" windowHeight="11160" activeTab="1" xr2:uid="{C731AAFD-05FF-4660-8813-31BDAF8FFA7C}"/>
  </bookViews>
  <sheets>
    <sheet name="DIRX" sheetId="1" r:id="rId1"/>
    <sheet name="DIRY" sheetId="3" r:id="rId2"/>
    <sheet name="Program Contro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35" i="3" l="1"/>
  <c r="U43" i="3"/>
  <c r="T27" i="3"/>
  <c r="T28" i="3"/>
  <c r="U28" i="3" s="1"/>
  <c r="T29" i="3"/>
  <c r="U29" i="3" s="1"/>
  <c r="T30" i="3"/>
  <c r="U30" i="3" s="1"/>
  <c r="T31" i="3"/>
  <c r="U31" i="3" s="1"/>
  <c r="T32" i="3"/>
  <c r="U32" i="3" s="1"/>
  <c r="T33" i="3"/>
  <c r="U33" i="3" s="1"/>
  <c r="T34" i="3"/>
  <c r="U34" i="3" s="1"/>
  <c r="T35" i="3"/>
  <c r="T36" i="3"/>
  <c r="U36" i="3" s="1"/>
  <c r="T37" i="3"/>
  <c r="U37" i="3" s="1"/>
  <c r="T38" i="3"/>
  <c r="U38" i="3" s="1"/>
  <c r="T39" i="3"/>
  <c r="U39" i="3" s="1"/>
  <c r="T40" i="3"/>
  <c r="U40" i="3" s="1"/>
  <c r="T41" i="3"/>
  <c r="U41" i="3" s="1"/>
  <c r="T42" i="3"/>
  <c r="U42" i="3" s="1"/>
  <c r="T43" i="3"/>
  <c r="T26" i="3"/>
  <c r="U27" i="3"/>
  <c r="O27" i="3"/>
  <c r="P27" i="3" s="1"/>
  <c r="O28" i="3"/>
  <c r="P28" i="3" s="1"/>
  <c r="O29" i="3"/>
  <c r="P29" i="3" s="1"/>
  <c r="O30" i="3"/>
  <c r="P30" i="3" s="1"/>
  <c r="O31" i="3"/>
  <c r="P31" i="3" s="1"/>
  <c r="O32" i="3"/>
  <c r="P32" i="3" s="1"/>
  <c r="O33" i="3"/>
  <c r="P33" i="3" s="1"/>
  <c r="O34" i="3"/>
  <c r="P34" i="3" s="1"/>
  <c r="O35" i="3"/>
  <c r="P35" i="3" s="1"/>
  <c r="O36" i="3"/>
  <c r="P36" i="3" s="1"/>
  <c r="O37" i="3"/>
  <c r="P37" i="3" s="1"/>
  <c r="O38" i="3"/>
  <c r="P38" i="3" s="1"/>
  <c r="O39" i="3"/>
  <c r="P39" i="3" s="1"/>
  <c r="O40" i="3"/>
  <c r="P40" i="3" s="1"/>
  <c r="O41" i="3"/>
  <c r="P41" i="3" s="1"/>
  <c r="O42" i="3"/>
  <c r="P42" i="3" s="1"/>
  <c r="O43" i="3"/>
  <c r="P43" i="3" s="1"/>
  <c r="O26" i="3"/>
  <c r="J27" i="3"/>
  <c r="K27" i="3" s="1"/>
  <c r="J28" i="3"/>
  <c r="K28" i="3" s="1"/>
  <c r="J29" i="3"/>
  <c r="K29" i="3" s="1"/>
  <c r="J30" i="3"/>
  <c r="K30" i="3" s="1"/>
  <c r="J31" i="3"/>
  <c r="K31" i="3" s="1"/>
  <c r="J32" i="3"/>
  <c r="K32" i="3" s="1"/>
  <c r="J33" i="3"/>
  <c r="K33" i="3" s="1"/>
  <c r="J34" i="3"/>
  <c r="K34" i="3" s="1"/>
  <c r="J35" i="3"/>
  <c r="K35" i="3" s="1"/>
  <c r="J36" i="3"/>
  <c r="K36" i="3" s="1"/>
  <c r="J37" i="3"/>
  <c r="K37" i="3" s="1"/>
  <c r="J38" i="3"/>
  <c r="K38" i="3" s="1"/>
  <c r="J39" i="3"/>
  <c r="K39" i="3" s="1"/>
  <c r="J40" i="3"/>
  <c r="K40" i="3" s="1"/>
  <c r="J41" i="3"/>
  <c r="K41" i="3" s="1"/>
  <c r="J42" i="3"/>
  <c r="K42" i="3" s="1"/>
  <c r="J43" i="3"/>
  <c r="K43" i="3" s="1"/>
  <c r="J26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27" i="3"/>
  <c r="T5" i="3" l="1"/>
  <c r="T6" i="3"/>
  <c r="T7" i="3"/>
  <c r="T8" i="3"/>
  <c r="U8" i="3" s="1"/>
  <c r="T9" i="3"/>
  <c r="T10" i="3"/>
  <c r="T11" i="3"/>
  <c r="T12" i="3"/>
  <c r="U12" i="3" s="1"/>
  <c r="T13" i="3"/>
  <c r="T14" i="3"/>
  <c r="T15" i="3"/>
  <c r="T16" i="3"/>
  <c r="U16" i="3" s="1"/>
  <c r="T17" i="3"/>
  <c r="T18" i="3"/>
  <c r="T19" i="3"/>
  <c r="T20" i="3"/>
  <c r="U20" i="3" s="1"/>
  <c r="T4" i="3"/>
  <c r="O5" i="3"/>
  <c r="O6" i="3"/>
  <c r="O7" i="3"/>
  <c r="P7" i="3" s="1"/>
  <c r="O8" i="3"/>
  <c r="P8" i="3" s="1"/>
  <c r="O9" i="3"/>
  <c r="O10" i="3"/>
  <c r="P10" i="3" s="1"/>
  <c r="O11" i="3"/>
  <c r="P11" i="3" s="1"/>
  <c r="O12" i="3"/>
  <c r="P12" i="3" s="1"/>
  <c r="O13" i="3"/>
  <c r="O14" i="3"/>
  <c r="P14" i="3" s="1"/>
  <c r="O15" i="3"/>
  <c r="P15" i="3" s="1"/>
  <c r="O16" i="3"/>
  <c r="P16" i="3" s="1"/>
  <c r="O17" i="3"/>
  <c r="O18" i="3"/>
  <c r="P18" i="3" s="1"/>
  <c r="O19" i="3"/>
  <c r="P19" i="3" s="1"/>
  <c r="O20" i="3"/>
  <c r="P20" i="3" s="1"/>
  <c r="O4" i="3"/>
  <c r="J5" i="3"/>
  <c r="J6" i="3"/>
  <c r="K6" i="3" s="1"/>
  <c r="J7" i="3"/>
  <c r="J8" i="3"/>
  <c r="J9" i="3"/>
  <c r="J10" i="3"/>
  <c r="K10" i="3" s="1"/>
  <c r="J11" i="3"/>
  <c r="J12" i="3"/>
  <c r="K12" i="3" s="1"/>
  <c r="J13" i="3"/>
  <c r="J14" i="3"/>
  <c r="K14" i="3" s="1"/>
  <c r="J15" i="3"/>
  <c r="J16" i="3"/>
  <c r="K16" i="3" s="1"/>
  <c r="J17" i="3"/>
  <c r="J18" i="3"/>
  <c r="K18" i="3" s="1"/>
  <c r="J19" i="3"/>
  <c r="K19" i="3" s="1"/>
  <c r="J20" i="3"/>
  <c r="K20" i="3" s="1"/>
  <c r="J4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5" i="3"/>
  <c r="U17" i="3"/>
  <c r="U18" i="3"/>
  <c r="U19" i="3"/>
  <c r="P17" i="3"/>
  <c r="K17" i="3"/>
  <c r="T5" i="1"/>
  <c r="T6" i="1"/>
  <c r="T7" i="1"/>
  <c r="U7" i="1" s="1"/>
  <c r="T8" i="1"/>
  <c r="U8" i="1" s="1"/>
  <c r="T9" i="1"/>
  <c r="T10" i="1"/>
  <c r="T11" i="1"/>
  <c r="U11" i="1" s="1"/>
  <c r="T12" i="1"/>
  <c r="U12" i="1" s="1"/>
  <c r="T13" i="1"/>
  <c r="T14" i="1"/>
  <c r="T15" i="1"/>
  <c r="T16" i="1"/>
  <c r="U16" i="1" s="1"/>
  <c r="T4" i="1"/>
  <c r="P15" i="1"/>
  <c r="P11" i="1"/>
  <c r="P7" i="1"/>
  <c r="O5" i="1"/>
  <c r="P5" i="1" s="1"/>
  <c r="O6" i="1"/>
  <c r="P6" i="1" s="1"/>
  <c r="O7" i="1"/>
  <c r="O8" i="1"/>
  <c r="P8" i="1" s="1"/>
  <c r="O9" i="1"/>
  <c r="P9" i="1" s="1"/>
  <c r="O10" i="1"/>
  <c r="P10" i="1" s="1"/>
  <c r="O11" i="1"/>
  <c r="O12" i="1"/>
  <c r="P12" i="1" s="1"/>
  <c r="O13" i="1"/>
  <c r="P13" i="1" s="1"/>
  <c r="O14" i="1"/>
  <c r="P14" i="1" s="1"/>
  <c r="O15" i="1"/>
  <c r="O16" i="1"/>
  <c r="P16" i="1" s="1"/>
  <c r="O4" i="1"/>
  <c r="K6" i="1"/>
  <c r="K10" i="1"/>
  <c r="K14" i="1"/>
  <c r="J5" i="1"/>
  <c r="K5" i="1" s="1"/>
  <c r="J6" i="1"/>
  <c r="J7" i="1"/>
  <c r="K7" i="1" s="1"/>
  <c r="J8" i="1"/>
  <c r="K8" i="1" s="1"/>
  <c r="J9" i="1"/>
  <c r="K9" i="1" s="1"/>
  <c r="J10" i="1"/>
  <c r="J11" i="1"/>
  <c r="K11" i="1" s="1"/>
  <c r="J12" i="1"/>
  <c r="K12" i="1" s="1"/>
  <c r="J13" i="1"/>
  <c r="K13" i="1" s="1"/>
  <c r="J14" i="1"/>
  <c r="J15" i="1"/>
  <c r="K15" i="1" s="1"/>
  <c r="J16" i="1"/>
  <c r="K16" i="1" s="1"/>
  <c r="J4" i="1"/>
  <c r="F6" i="1"/>
  <c r="F7" i="1"/>
  <c r="F8" i="1"/>
  <c r="F9" i="1"/>
  <c r="F10" i="1"/>
  <c r="F11" i="1"/>
  <c r="F12" i="1"/>
  <c r="F13" i="1"/>
  <c r="F14" i="1"/>
  <c r="F15" i="1"/>
  <c r="F16" i="1"/>
  <c r="F5" i="1"/>
  <c r="T23" i="1"/>
  <c r="T24" i="1"/>
  <c r="T25" i="1"/>
  <c r="T26" i="1"/>
  <c r="U26" i="1" s="1"/>
  <c r="T27" i="1"/>
  <c r="T28" i="1"/>
  <c r="T29" i="1"/>
  <c r="T30" i="1"/>
  <c r="U30" i="1" s="1"/>
  <c r="T31" i="1"/>
  <c r="T32" i="1"/>
  <c r="T33" i="1"/>
  <c r="T34" i="1"/>
  <c r="U34" i="1" s="1"/>
  <c r="T35" i="1"/>
  <c r="T22" i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22" i="1"/>
  <c r="U35" i="1"/>
  <c r="J35" i="1"/>
  <c r="K35" i="1" s="1"/>
  <c r="F35" i="1"/>
  <c r="J34" i="1"/>
  <c r="K34" i="1" s="1"/>
  <c r="F34" i="1"/>
  <c r="U33" i="1"/>
  <c r="J33" i="1"/>
  <c r="K33" i="1" s="1"/>
  <c r="F33" i="1"/>
  <c r="U32" i="1"/>
  <c r="J32" i="1"/>
  <c r="K32" i="1" s="1"/>
  <c r="F32" i="1"/>
  <c r="U31" i="1"/>
  <c r="J31" i="1"/>
  <c r="K31" i="1" s="1"/>
  <c r="F31" i="1"/>
  <c r="J30" i="1"/>
  <c r="K30" i="1" s="1"/>
  <c r="F30" i="1"/>
  <c r="U29" i="1"/>
  <c r="J29" i="1"/>
  <c r="K29" i="1" s="1"/>
  <c r="F29" i="1"/>
  <c r="U28" i="1"/>
  <c r="J28" i="1"/>
  <c r="K28" i="1" s="1"/>
  <c r="F28" i="1"/>
  <c r="U27" i="1"/>
  <c r="J27" i="1"/>
  <c r="K27" i="1" s="1"/>
  <c r="F27" i="1"/>
  <c r="J26" i="1"/>
  <c r="K26" i="1" s="1"/>
  <c r="F26" i="1"/>
  <c r="U25" i="1"/>
  <c r="J25" i="1"/>
  <c r="K25" i="1" s="1"/>
  <c r="F25" i="1"/>
  <c r="U24" i="1"/>
  <c r="J24" i="1"/>
  <c r="K24" i="1" s="1"/>
  <c r="F24" i="1"/>
  <c r="U23" i="1"/>
  <c r="J23" i="1"/>
  <c r="K23" i="1" s="1"/>
  <c r="F23" i="1"/>
  <c r="J22" i="1"/>
  <c r="U15" i="3"/>
  <c r="K15" i="3"/>
  <c r="U14" i="3"/>
  <c r="U13" i="3"/>
  <c r="P13" i="3"/>
  <c r="K13" i="3"/>
  <c r="U11" i="3"/>
  <c r="K11" i="3"/>
  <c r="U10" i="3"/>
  <c r="U9" i="3"/>
  <c r="P9" i="3"/>
  <c r="K9" i="3"/>
  <c r="K8" i="3"/>
  <c r="U7" i="3"/>
  <c r="K7" i="3"/>
  <c r="U6" i="3"/>
  <c r="P6" i="3"/>
  <c r="U5" i="3"/>
  <c r="P5" i="3"/>
  <c r="K5" i="3"/>
  <c r="U15" i="1"/>
  <c r="U14" i="1"/>
  <c r="U13" i="1"/>
  <c r="U10" i="1"/>
  <c r="U9" i="1"/>
  <c r="U6" i="1"/>
  <c r="U5" i="1"/>
</calcChain>
</file>

<file path=xl/sharedStrings.xml><?xml version="1.0" encoding="utf-8"?>
<sst xmlns="http://schemas.openxmlformats.org/spreadsheetml/2006/main" count="286" uniqueCount="57">
  <si>
    <t>OutputCase</t>
  </si>
  <si>
    <t>Text</t>
  </si>
  <si>
    <t>KN</t>
  </si>
  <si>
    <t>Unitless</t>
  </si>
  <si>
    <t>PUSHX-RS1_costant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</si>
  <si>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</si>
  <si>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</si>
  <si>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</si>
  <si>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</si>
  <si>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</si>
  <si>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</si>
  <si>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</si>
  <si>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</si>
  <si>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</si>
  <si>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</si>
  <si>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</si>
  <si>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</si>
  <si>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</si>
  <si>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</si>
  <si>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SAP2000</t>
  </si>
  <si>
    <t>20.1.0</t>
  </si>
  <si>
    <t>Ultimate</t>
  </si>
  <si>
    <t>3010*1GQTMH4U657G8FS</t>
  </si>
  <si>
    <t>Yes</t>
  </si>
  <si>
    <t>No</t>
  </si>
  <si>
    <t>KN, m, C</t>
  </si>
  <si>
    <t>AISC-LRFD93</t>
  </si>
  <si>
    <t>ACI 318-14</t>
  </si>
  <si>
    <t>AA-ASD 2000</t>
  </si>
  <si>
    <t>AISI-ASD96</t>
  </si>
  <si>
    <t>StepNum</t>
  </si>
  <si>
    <t>∑N1</t>
  </si>
  <si>
    <t>∑N2</t>
  </si>
  <si>
    <t>∑N3</t>
  </si>
  <si>
    <t>mm</t>
  </si>
  <si>
    <t>∑N4</t>
  </si>
  <si>
    <t>∑V1</t>
  </si>
  <si>
    <t>∑V2</t>
  </si>
  <si>
    <t>∑V3</t>
  </si>
  <si>
    <t>de1</t>
  </si>
  <si>
    <t>dtot2</t>
  </si>
  <si>
    <t>dtot3</t>
  </si>
  <si>
    <t>de2</t>
  </si>
  <si>
    <t>-</t>
  </si>
  <si>
    <t>IMPALCATO 1</t>
  </si>
  <si>
    <t>θ1</t>
  </si>
  <si>
    <t>IMPALCATO 2</t>
  </si>
  <si>
    <t>θ2</t>
  </si>
  <si>
    <t>de3</t>
  </si>
  <si>
    <t>IMPALCATO 3</t>
  </si>
  <si>
    <t>IMPALCATO 4</t>
  </si>
  <si>
    <t>∑V4</t>
  </si>
  <si>
    <t>dtot4</t>
  </si>
  <si>
    <t>de4</t>
  </si>
  <si>
    <t>θ4</t>
  </si>
  <si>
    <t>acc_costant</t>
  </si>
  <si>
    <t>F_Din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</si>
</sst>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0" borderId="0" xfId="0"/>
    <xf numFmtId="49" fontId="0" fillId="0" borderId="0" xfId="0" applyNumberFormat="1"/>
    <xf numFmtId="0" fontId="0" fillId="0" borderId="0" xfId="0"/>
    <xf numFmtId="49" fontId="1" fillId="4" borderId="3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9" fontId="0" fillId="0" borderId="3" xfId="0" applyNumberFormat="1" applyBorder="1"/>
    <xf numFmtId="4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0" fillId="0" borderId="0" xfId="0"/>
    <xf numFmtId="0" fontId="0" fillId="0" borderId="0" xfId="0"/>
    <xf numFmtId="49" fontId="0" fillId="2" borderId="4" xfId="0" applyNumberFormat="1" applyFill="1" applyBorder="1" applyAlignment="1">
      <alignment horizontal="center"/>
    </xf>
    <xf numFmtId="49" fontId="0" fillId="2" borderId="5" xfId="0" applyNumberFormat="1" applyFill="1" applyBorder="1" applyAlignment="1">
      <alignment horizontal="center"/>
    </xf>
    <xf numFmtId="49" fontId="0" fillId="2" borderId="6" xfId="0" applyNumberFormat="1" applyFill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0" fillId="2" borderId="3" xfId="0" applyNumberFormat="1" applyFill="1" applyBorder="1" applyAlignment="1">
      <alignment horizontal="center"/>
    </xf>
  </cellXfs>
  <cellStyles count="1">
    <cellStyle name="Normale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C6EAC-9D3A-4E86-A7FB-06C4E7816937}">
  <sheetPr>
    <pageSetUpPr fitToPage="1"/>
  </sheetPr>
  <dimension ref="A1:U35"/>
  <sheetViews>
    <sheetView zoomScale="70" zoomScaleNormal="70" workbookViewId="0">
      <pane ySplit="3" topLeftCell="A8" activePane="bottomLeft" state="frozen"/>
      <selection pane="bottomLeft" activeCell="Q1" sqref="A1:U35"/>
    </sheetView>
  </sheetViews>
  <sheetFormatPr defaultRowHeight="15" x14ac:dyDescent="0.25"/>
  <cols>
    <col min="1" max="1" width="19.42578125" style="2" customWidth="1"/>
    <col min="2" max="2" width="14.7109375" customWidth="1"/>
    <col min="15" max="15" width="10.5703125" bestFit="1" customWidth="1"/>
    <col min="16" max="16" width="9.5703125" bestFit="1" customWidth="1"/>
  </cols>
  <sheetData>
    <row r="1" spans="1:21" x14ac:dyDescent="0.25">
      <c r="A1" s="29"/>
      <c r="B1" s="29"/>
      <c r="C1" s="30" t="s">
        <v>44</v>
      </c>
      <c r="D1" s="30"/>
      <c r="E1" s="30"/>
      <c r="F1" s="30"/>
      <c r="G1" s="26" t="s">
        <v>46</v>
      </c>
      <c r="H1" s="27"/>
      <c r="I1" s="27"/>
      <c r="J1" s="27"/>
      <c r="K1" s="28"/>
      <c r="L1" s="26" t="s">
        <v>49</v>
      </c>
      <c r="M1" s="27"/>
      <c r="N1" s="27"/>
      <c r="O1" s="27"/>
      <c r="P1" s="28"/>
      <c r="Q1" s="26" t="s">
        <v>50</v>
      </c>
      <c r="R1" s="27"/>
      <c r="S1" s="27"/>
      <c r="T1" s="27"/>
      <c r="U1" s="28"/>
    </row>
    <row r="2" spans="1:21" x14ac:dyDescent="0.25">
      <c r="A2" s="12" t="s">
        <v>0</v>
      </c>
      <c r="B2" s="20" t="s">
        <v>30</v>
      </c>
      <c r="C2" s="13" t="s">
        <v>31</v>
      </c>
      <c r="D2" s="13" t="s">
        <v>36</v>
      </c>
      <c r="E2" s="23" t="s">
        <v>39</v>
      </c>
      <c r="F2" s="23" t="s">
        <v>45</v>
      </c>
      <c r="G2" s="23" t="s">
        <v>32</v>
      </c>
      <c r="H2" s="23" t="s">
        <v>37</v>
      </c>
      <c r="I2" s="23" t="s">
        <v>40</v>
      </c>
      <c r="J2" s="23" t="s">
        <v>42</v>
      </c>
      <c r="K2" s="23" t="s">
        <v>47</v>
      </c>
      <c r="L2" s="8" t="s">
        <v>33</v>
      </c>
      <c r="M2" s="8" t="s">
        <v>38</v>
      </c>
      <c r="N2" s="8" t="s">
        <v>41</v>
      </c>
      <c r="O2" s="23" t="s">
        <v>48</v>
      </c>
      <c r="P2" s="23" t="s">
        <v>47</v>
      </c>
      <c r="Q2" s="8" t="s">
        <v>35</v>
      </c>
      <c r="R2" s="8" t="s">
        <v>51</v>
      </c>
      <c r="S2" s="8" t="s">
        <v>52</v>
      </c>
      <c r="T2" s="23" t="s">
        <v>53</v>
      </c>
      <c r="U2" s="23" t="s">
        <v>54</v>
      </c>
    </row>
    <row r="3" spans="1:21" x14ac:dyDescent="0.25">
      <c r="A3" s="14" t="s">
        <v>1</v>
      </c>
      <c r="B3" s="21" t="s">
        <v>3</v>
      </c>
      <c r="C3" s="15" t="s">
        <v>2</v>
      </c>
      <c r="D3" s="15" t="s">
        <v>2</v>
      </c>
      <c r="E3" s="15" t="s">
        <v>34</v>
      </c>
      <c r="F3" s="15" t="s">
        <v>43</v>
      </c>
      <c r="G3" s="15" t="s">
        <v>2</v>
      </c>
      <c r="H3" s="15" t="s">
        <v>2</v>
      </c>
      <c r="I3" s="15" t="s">
        <v>34</v>
      </c>
      <c r="J3" s="15" t="s">
        <v>34</v>
      </c>
      <c r="K3" s="15" t="s">
        <v>43</v>
      </c>
      <c r="L3" s="15" t="s">
        <v>2</v>
      </c>
      <c r="M3" s="15" t="s">
        <v>2</v>
      </c>
      <c r="N3" s="15" t="s">
        <v>34</v>
      </c>
      <c r="O3" s="15" t="s">
        <v>34</v>
      </c>
      <c r="P3" s="15" t="s">
        <v>43</v>
      </c>
      <c r="Q3" s="15" t="s">
        <v>2</v>
      </c>
      <c r="R3" s="15" t="s">
        <v>2</v>
      </c>
      <c r="S3" s="15" t="s">
        <v>34</v>
      </c>
      <c r="T3" s="15" t="s">
        <v>34</v>
      </c>
      <c r="U3" s="15" t="s">
        <v>43</v>
      </c>
    </row>
    <row r="4" spans="1:21" x14ac:dyDescent="0.25">
      <c r="A4" s="17" t="s">
        <v>55</v>
      </c>
      <c r="B4" s="18">
        <v>0</v>
      </c>
      <c r="C4" s="19">
        <v>1985.6610000000001</v>
      </c>
      <c r="D4" s="19">
        <v>0</v>
      </c>
      <c r="E4" s="18">
        <v>3.4529999999999999E-3</v>
      </c>
      <c r="F4" s="19">
        <v>0</v>
      </c>
      <c r="G4" s="19">
        <v>1435.91</v>
      </c>
      <c r="H4" s="19">
        <v>-3.2009999999999999E-3</v>
      </c>
      <c r="I4" s="18">
        <v>1.0328E-2</v>
      </c>
      <c r="J4" s="19">
        <f>I4-E4</f>
        <v>6.8750000000000009E-3</v>
      </c>
      <c r="K4" s="19">
        <v>0</v>
      </c>
      <c r="L4" s="19">
        <v>891.78300000000002</v>
      </c>
      <c r="M4" s="19">
        <v>-1.887E-3</v>
      </c>
      <c r="N4" s="18">
        <v>1.6702000000000002E-2</v>
      </c>
      <c r="O4" s="19">
        <f>N4-I4</f>
        <v>6.3740000000000012E-3</v>
      </c>
      <c r="P4" s="19">
        <v>0</v>
      </c>
      <c r="Q4" s="19">
        <v>351.59300000000002</v>
      </c>
      <c r="R4" s="19">
        <v>-3.3080000000000002E-4</v>
      </c>
      <c r="S4" s="18">
        <v>1.8532E-2</v>
      </c>
      <c r="T4" s="19">
        <f>S4-N4</f>
        <v>1.8299999999999983E-3</v>
      </c>
      <c r="U4" s="19">
        <v>0</v>
      </c>
    </row>
    <row r="5" spans="1:21" x14ac:dyDescent="0.25">
      <c r="A5" s="17" t="s">
        <v>55</v>
      </c>
      <c r="B5" s="18">
        <v>1</v>
      </c>
      <c r="C5" s="19">
        <v>1985.6610000000001</v>
      </c>
      <c r="D5" s="19">
        <v>536.16899999999998</v>
      </c>
      <c r="E5" s="18">
        <v>3.5542669999999998</v>
      </c>
      <c r="F5" s="19">
        <f>ABS(C5*(E5/1000)/(D5*3))</f>
        <v>4.3876522548468855E-3</v>
      </c>
      <c r="G5" s="19">
        <v>1435.91</v>
      </c>
      <c r="H5" s="19">
        <v>393.07499999999999</v>
      </c>
      <c r="I5" s="18">
        <v>8.4222219999999997</v>
      </c>
      <c r="J5" s="19">
        <f t="shared" ref="J5:J16" si="0">I5-E5</f>
        <v>4.8679550000000003</v>
      </c>
      <c r="K5" s="19">
        <f>ABS(G5*(J5/1000)/(H5*3))</f>
        <v>5.9275755382136586E-3</v>
      </c>
      <c r="L5" s="19">
        <v>891.78300000000002</v>
      </c>
      <c r="M5" s="19">
        <v>249.98400000000001</v>
      </c>
      <c r="N5" s="18">
        <v>12.236421</v>
      </c>
      <c r="O5" s="19">
        <f t="shared" ref="O5:O16" si="1">N5-I5</f>
        <v>3.8141990000000003</v>
      </c>
      <c r="P5" s="19">
        <f>ABS(L5*(O5/1000)/(M5*3))</f>
        <v>4.5355407103614635E-3</v>
      </c>
      <c r="Q5" s="19">
        <v>351.59300000000002</v>
      </c>
      <c r="R5" s="19">
        <v>132.47300000000001</v>
      </c>
      <c r="S5" s="18">
        <v>14.091027</v>
      </c>
      <c r="T5" s="19">
        <f t="shared" ref="T5:T16" si="2">S5-N5</f>
        <v>1.8546060000000004</v>
      </c>
      <c r="U5" s="19">
        <f t="shared" ref="U5:U16" si="3">ABS(Q5*(T5)/(R5*3000))</f>
        <v>1.6407531782778378E-3</v>
      </c>
    </row>
    <row r="6" spans="1:21" x14ac:dyDescent="0.25">
      <c r="A6" s="17" t="s">
        <v>55</v>
      </c>
      <c r="B6" s="18">
        <v>2</v>
      </c>
      <c r="C6" s="19">
        <v>1985.6610000000001</v>
      </c>
      <c r="D6" s="19">
        <v>667.40599999999995</v>
      </c>
      <c r="E6" s="18">
        <v>4.779871</v>
      </c>
      <c r="F6" s="19">
        <f t="shared" ref="F6:F16" si="4">ABS(C6*(E6/1000)/(D6*3))</f>
        <v>4.7403446726235606E-3</v>
      </c>
      <c r="G6" s="19">
        <v>1435.91</v>
      </c>
      <c r="H6" s="19">
        <v>489.28699999999998</v>
      </c>
      <c r="I6" s="18">
        <v>11.328448</v>
      </c>
      <c r="J6" s="19">
        <f t="shared" si="0"/>
        <v>6.5485769999999999</v>
      </c>
      <c r="K6" s="19">
        <f t="shared" ref="K6:K16" si="5">ABS(G6*(J6/1000)/(H6*3))</f>
        <v>6.4060338138761099E-3</v>
      </c>
      <c r="L6" s="19">
        <v>891.78300000000002</v>
      </c>
      <c r="M6" s="19">
        <v>311.17</v>
      </c>
      <c r="N6" s="18">
        <v>16.219835</v>
      </c>
      <c r="O6" s="19">
        <f t="shared" si="1"/>
        <v>4.8913869999999999</v>
      </c>
      <c r="P6" s="19">
        <f t="shared" ref="P6:P16" si="6">ABS(L6*(O6/1000)/(M6*3))</f>
        <v>4.672746701182633E-3</v>
      </c>
      <c r="Q6" s="19">
        <v>351.59300000000002</v>
      </c>
      <c r="R6" s="19">
        <v>159.90899999999999</v>
      </c>
      <c r="S6" s="18">
        <v>18.537721000000001</v>
      </c>
      <c r="T6" s="19">
        <f t="shared" si="2"/>
        <v>2.3178860000000014</v>
      </c>
      <c r="U6" s="19">
        <f t="shared" si="3"/>
        <v>1.69878387582521E-3</v>
      </c>
    </row>
    <row r="7" spans="1:21" x14ac:dyDescent="0.25">
      <c r="A7" s="17" t="s">
        <v>55</v>
      </c>
      <c r="B7" s="18">
        <v>3</v>
      </c>
      <c r="C7" s="19">
        <v>1985.6610000000001</v>
      </c>
      <c r="D7" s="19">
        <v>727.37199999999996</v>
      </c>
      <c r="E7" s="18">
        <v>5.8889259999999997</v>
      </c>
      <c r="F7" s="19">
        <f t="shared" si="4"/>
        <v>5.3587484304619924E-3</v>
      </c>
      <c r="G7" s="19">
        <v>1435.91</v>
      </c>
      <c r="H7" s="19">
        <v>533.24800000000005</v>
      </c>
      <c r="I7" s="18">
        <v>14.258694999999999</v>
      </c>
      <c r="J7" s="19">
        <f t="shared" si="0"/>
        <v>8.3697689999999998</v>
      </c>
      <c r="K7" s="19">
        <f t="shared" si="5"/>
        <v>7.5125988938167599E-3</v>
      </c>
      <c r="L7" s="19">
        <v>891.78300000000002</v>
      </c>
      <c r="M7" s="19">
        <v>339.12799999999999</v>
      </c>
      <c r="N7" s="18">
        <v>20.306104999999999</v>
      </c>
      <c r="O7" s="19">
        <f t="shared" si="1"/>
        <v>6.0474099999999993</v>
      </c>
      <c r="P7" s="19">
        <f t="shared" si="6"/>
        <v>5.3008278408447542E-3</v>
      </c>
      <c r="Q7" s="19">
        <v>351.59300000000002</v>
      </c>
      <c r="R7" s="19">
        <v>169.06299999999999</v>
      </c>
      <c r="S7" s="18">
        <v>23.011420000000001</v>
      </c>
      <c r="T7" s="19">
        <f t="shared" si="2"/>
        <v>2.7053150000000024</v>
      </c>
      <c r="U7" s="19">
        <f t="shared" si="3"/>
        <v>1.8753754848685618E-3</v>
      </c>
    </row>
    <row r="8" spans="1:21" x14ac:dyDescent="0.25">
      <c r="A8" s="17" t="s">
        <v>55</v>
      </c>
      <c r="B8" s="18">
        <v>4</v>
      </c>
      <c r="C8" s="19">
        <v>1985.6610000000001</v>
      </c>
      <c r="D8" s="19">
        <v>874.59699999999998</v>
      </c>
      <c r="E8" s="18">
        <v>9.4646349999999995</v>
      </c>
      <c r="F8" s="19">
        <f t="shared" si="4"/>
        <v>7.1627490904325065E-3</v>
      </c>
      <c r="G8" s="19">
        <v>1435.91</v>
      </c>
      <c r="H8" s="19">
        <v>641.18100000000004</v>
      </c>
      <c r="I8" s="18">
        <v>24.872526000000001</v>
      </c>
      <c r="J8" s="19">
        <f t="shared" si="0"/>
        <v>15.407891000000001</v>
      </c>
      <c r="K8" s="19">
        <f t="shared" si="5"/>
        <v>1.1501871684599723E-2</v>
      </c>
      <c r="L8" s="19">
        <v>891.78300000000002</v>
      </c>
      <c r="M8" s="19">
        <v>407.74599999999998</v>
      </c>
      <c r="N8" s="18">
        <v>37.578589999999998</v>
      </c>
      <c r="O8" s="19">
        <f t="shared" si="1"/>
        <v>12.706063999999998</v>
      </c>
      <c r="P8" s="19">
        <f t="shared" si="6"/>
        <v>9.2631620928323027E-3</v>
      </c>
      <c r="Q8" s="19">
        <v>351.59300000000002</v>
      </c>
      <c r="R8" s="19">
        <v>208.904</v>
      </c>
      <c r="S8" s="18">
        <v>43.558979000000001</v>
      </c>
      <c r="T8" s="19">
        <f t="shared" si="2"/>
        <v>5.9803890000000024</v>
      </c>
      <c r="U8" s="19">
        <f t="shared" si="3"/>
        <v>3.3550704465161048E-3</v>
      </c>
    </row>
    <row r="9" spans="1:21" x14ac:dyDescent="0.25">
      <c r="A9" s="17" t="s">
        <v>55</v>
      </c>
      <c r="B9" s="18">
        <v>5</v>
      </c>
      <c r="C9" s="19">
        <v>1985.6610000000001</v>
      </c>
      <c r="D9" s="19">
        <v>891.89800000000002</v>
      </c>
      <c r="E9" s="18">
        <v>10.369686</v>
      </c>
      <c r="F9" s="19">
        <f t="shared" si="4"/>
        <v>7.6954543652771957E-3</v>
      </c>
      <c r="G9" s="19">
        <v>1435.91</v>
      </c>
      <c r="H9" s="19">
        <v>653.86599999999999</v>
      </c>
      <c r="I9" s="18">
        <v>26.969477000000001</v>
      </c>
      <c r="J9" s="19">
        <f t="shared" si="0"/>
        <v>16.599791000000003</v>
      </c>
      <c r="K9" s="19">
        <f t="shared" si="5"/>
        <v>1.2151218493702586E-2</v>
      </c>
      <c r="L9" s="19">
        <v>891.78300000000002</v>
      </c>
      <c r="M9" s="19">
        <v>415.83699999999999</v>
      </c>
      <c r="N9" s="18">
        <v>40.730156999999998</v>
      </c>
      <c r="O9" s="19">
        <f t="shared" si="1"/>
        <v>13.760679999999997</v>
      </c>
      <c r="P9" s="19">
        <f t="shared" si="6"/>
        <v>9.8368194688784293E-3</v>
      </c>
      <c r="Q9" s="19">
        <v>351.59300000000002</v>
      </c>
      <c r="R9" s="19">
        <v>216.89699999999999</v>
      </c>
      <c r="S9" s="18">
        <v>47.269202999999997</v>
      </c>
      <c r="T9" s="19">
        <f t="shared" si="2"/>
        <v>6.539045999999999</v>
      </c>
      <c r="U9" s="19">
        <f t="shared" si="3"/>
        <v>3.5332942983351545E-3</v>
      </c>
    </row>
    <row r="10" spans="1:21" x14ac:dyDescent="0.25">
      <c r="A10" s="17" t="s">
        <v>55</v>
      </c>
      <c r="B10" s="18">
        <v>6</v>
      </c>
      <c r="C10" s="19">
        <v>1985.6610000000001</v>
      </c>
      <c r="D10" s="19">
        <v>935.39499999999998</v>
      </c>
      <c r="E10" s="18">
        <v>16.771436999999999</v>
      </c>
      <c r="F10" s="19">
        <f t="shared" si="4"/>
        <v>1.1867495680027155E-2</v>
      </c>
      <c r="G10" s="19">
        <v>1435.91</v>
      </c>
      <c r="H10" s="19">
        <v>685.75400000000002</v>
      </c>
      <c r="I10" s="18">
        <v>39.550677</v>
      </c>
      <c r="J10" s="19">
        <f t="shared" si="0"/>
        <v>22.779240000000001</v>
      </c>
      <c r="K10" s="19">
        <f t="shared" si="5"/>
        <v>1.5899257609580112E-2</v>
      </c>
      <c r="L10" s="19">
        <v>891.78300000000002</v>
      </c>
      <c r="M10" s="19">
        <v>436.11700000000002</v>
      </c>
      <c r="N10" s="18">
        <v>58.070155999999997</v>
      </c>
      <c r="O10" s="19">
        <f t="shared" si="1"/>
        <v>18.519478999999997</v>
      </c>
      <c r="P10" s="19">
        <f t="shared" si="6"/>
        <v>1.2623032000630563E-2</v>
      </c>
      <c r="Q10" s="19">
        <v>351.59300000000002</v>
      </c>
      <c r="R10" s="19">
        <v>218.315</v>
      </c>
      <c r="S10" s="18">
        <v>67.502073999999993</v>
      </c>
      <c r="T10" s="19">
        <f t="shared" si="2"/>
        <v>9.431917999999996</v>
      </c>
      <c r="U10" s="19">
        <f t="shared" si="3"/>
        <v>5.0633203480811347E-3</v>
      </c>
    </row>
    <row r="11" spans="1:21" x14ac:dyDescent="0.25">
      <c r="A11" s="17" t="s">
        <v>55</v>
      </c>
      <c r="B11" s="18">
        <v>7</v>
      </c>
      <c r="C11" s="19">
        <v>1985.6610000000001</v>
      </c>
      <c r="D11" s="19">
        <v>956.2</v>
      </c>
      <c r="E11" s="18">
        <v>21.586093999999999</v>
      </c>
      <c r="F11" s="19">
        <f t="shared" si="4"/>
        <v>1.4942015268121731E-2</v>
      </c>
      <c r="G11" s="19">
        <v>1435.91</v>
      </c>
      <c r="H11" s="19">
        <v>701.00599999999997</v>
      </c>
      <c r="I11" s="18">
        <v>49.534998999999999</v>
      </c>
      <c r="J11" s="19">
        <f t="shared" si="0"/>
        <v>27.948905</v>
      </c>
      <c r="K11" s="19">
        <f t="shared" si="5"/>
        <v>1.9083104461564287E-2</v>
      </c>
      <c r="L11" s="19">
        <v>891.78300000000002</v>
      </c>
      <c r="M11" s="19">
        <v>445.81700000000001</v>
      </c>
      <c r="N11" s="18">
        <v>73.044669999999996</v>
      </c>
      <c r="O11" s="19">
        <f t="shared" si="1"/>
        <v>23.509670999999997</v>
      </c>
      <c r="P11" s="19">
        <f t="shared" si="6"/>
        <v>1.5675733117245412E-2</v>
      </c>
      <c r="Q11" s="19">
        <v>351.59300000000002</v>
      </c>
      <c r="R11" s="19">
        <v>227.815</v>
      </c>
      <c r="S11" s="18">
        <v>87.814715000000007</v>
      </c>
      <c r="T11" s="19">
        <f t="shared" si="2"/>
        <v>14.77004500000001</v>
      </c>
      <c r="U11" s="19">
        <f t="shared" si="3"/>
        <v>7.5983355378779613E-3</v>
      </c>
    </row>
    <row r="12" spans="1:21" x14ac:dyDescent="0.25">
      <c r="A12" s="17" t="s">
        <v>55</v>
      </c>
      <c r="B12" s="18">
        <v>8</v>
      </c>
      <c r="C12" s="19">
        <v>1985.6610000000001</v>
      </c>
      <c r="D12" s="19">
        <v>960.51499999999999</v>
      </c>
      <c r="E12" s="18">
        <v>22.520009999999999</v>
      </c>
      <c r="F12" s="19">
        <f t="shared" si="4"/>
        <v>1.5518447769030157E-2</v>
      </c>
      <c r="G12" s="19">
        <v>1435.91</v>
      </c>
      <c r="H12" s="19">
        <v>704.17</v>
      </c>
      <c r="I12" s="18">
        <v>51.483077000000002</v>
      </c>
      <c r="J12" s="19">
        <f t="shared" si="0"/>
        <v>28.963067000000002</v>
      </c>
      <c r="K12" s="19">
        <f t="shared" si="5"/>
        <v>1.9686703275236573E-2</v>
      </c>
      <c r="L12" s="19">
        <v>891.78300000000002</v>
      </c>
      <c r="M12" s="19">
        <v>447.82499999999999</v>
      </c>
      <c r="N12" s="18">
        <v>75.981589</v>
      </c>
      <c r="O12" s="19">
        <f t="shared" si="1"/>
        <v>24.498511999999998</v>
      </c>
      <c r="P12" s="19">
        <f t="shared" si="6"/>
        <v>1.6261825882056605E-2</v>
      </c>
      <c r="Q12" s="19">
        <v>351.59300000000002</v>
      </c>
      <c r="R12" s="19">
        <v>233.923</v>
      </c>
      <c r="S12" s="18">
        <v>91.811940000000007</v>
      </c>
      <c r="T12" s="19">
        <f t="shared" si="2"/>
        <v>15.830351000000007</v>
      </c>
      <c r="U12" s="19">
        <f t="shared" si="3"/>
        <v>7.9311576874199381E-3</v>
      </c>
    </row>
    <row r="13" spans="1:21" x14ac:dyDescent="0.25">
      <c r="A13" s="17" t="s">
        <v>55</v>
      </c>
      <c r="B13" s="18">
        <v>9</v>
      </c>
      <c r="C13" s="19">
        <v>1985.6610000000001</v>
      </c>
      <c r="D13" s="19">
        <v>986.02300000000002</v>
      </c>
      <c r="E13" s="18">
        <v>31.104455000000002</v>
      </c>
      <c r="F13" s="19">
        <f t="shared" si="4"/>
        <v>2.0879466712830232E-2</v>
      </c>
      <c r="G13" s="19">
        <v>1435.91</v>
      </c>
      <c r="H13" s="19">
        <v>722.87099999999998</v>
      </c>
      <c r="I13" s="18">
        <v>69.783985000000001</v>
      </c>
      <c r="J13" s="19">
        <f t="shared" si="0"/>
        <v>38.67953</v>
      </c>
      <c r="K13" s="19">
        <f t="shared" si="5"/>
        <v>2.56109891079229E-2</v>
      </c>
      <c r="L13" s="19">
        <v>891.78300000000002</v>
      </c>
      <c r="M13" s="19">
        <v>459.72199999999998</v>
      </c>
      <c r="N13" s="18">
        <v>104.84615599999999</v>
      </c>
      <c r="O13" s="19">
        <f t="shared" si="1"/>
        <v>35.062170999999992</v>
      </c>
      <c r="P13" s="19">
        <f t="shared" si="6"/>
        <v>2.2671562408653485E-2</v>
      </c>
      <c r="Q13" s="19">
        <v>351.59300000000002</v>
      </c>
      <c r="R13" s="19">
        <v>240.042</v>
      </c>
      <c r="S13" s="18">
        <v>131.64754400000001</v>
      </c>
      <c r="T13" s="19">
        <f t="shared" si="2"/>
        <v>26.801388000000017</v>
      </c>
      <c r="U13" s="19">
        <f t="shared" si="3"/>
        <v>1.3085460615342322E-2</v>
      </c>
    </row>
    <row r="14" spans="1:21" x14ac:dyDescent="0.25">
      <c r="A14" s="17" t="s">
        <v>55</v>
      </c>
      <c r="B14" s="18">
        <v>10</v>
      </c>
      <c r="C14" s="19">
        <v>1985.6610000000001</v>
      </c>
      <c r="D14" s="19">
        <v>1011.765</v>
      </c>
      <c r="E14" s="18">
        <v>39.682895000000002</v>
      </c>
      <c r="F14" s="19">
        <f t="shared" si="4"/>
        <v>2.5960170912084333E-2</v>
      </c>
      <c r="G14" s="19">
        <v>1435.91</v>
      </c>
      <c r="H14" s="19">
        <v>741.74300000000005</v>
      </c>
      <c r="I14" s="18">
        <v>88.082031000000001</v>
      </c>
      <c r="J14" s="19">
        <f t="shared" si="0"/>
        <v>48.399135999999999</v>
      </c>
      <c r="K14" s="19">
        <f t="shared" si="5"/>
        <v>3.123130400231167E-2</v>
      </c>
      <c r="L14" s="19">
        <v>891.78300000000002</v>
      </c>
      <c r="M14" s="19">
        <v>471.72399999999999</v>
      </c>
      <c r="N14" s="18">
        <v>133.72046499999999</v>
      </c>
      <c r="O14" s="19">
        <f t="shared" si="1"/>
        <v>45.63843399999999</v>
      </c>
      <c r="P14" s="19">
        <f t="shared" si="6"/>
        <v>2.8759457923010059E-2</v>
      </c>
      <c r="Q14" s="19">
        <v>351.59300000000002</v>
      </c>
      <c r="R14" s="19">
        <v>246.16300000000001</v>
      </c>
      <c r="S14" s="18">
        <v>171.50942499999999</v>
      </c>
      <c r="T14" s="19">
        <f t="shared" si="2"/>
        <v>37.788960000000003</v>
      </c>
      <c r="U14" s="19">
        <f t="shared" si="3"/>
        <v>1.7991241322863307E-2</v>
      </c>
    </row>
    <row r="15" spans="1:21" x14ac:dyDescent="0.25">
      <c r="A15" s="17" t="s">
        <v>55</v>
      </c>
      <c r="B15" s="18">
        <v>11</v>
      </c>
      <c r="C15" s="19">
        <v>1985.6610000000001</v>
      </c>
      <c r="D15" s="19">
        <v>1029.9059999999999</v>
      </c>
      <c r="E15" s="18">
        <v>45.599454000000001</v>
      </c>
      <c r="F15" s="19">
        <f t="shared" si="4"/>
        <v>2.9305282044864295E-2</v>
      </c>
      <c r="G15" s="19">
        <v>1435.91</v>
      </c>
      <c r="H15" s="19">
        <v>755.04200000000003</v>
      </c>
      <c r="I15" s="18">
        <v>100.718191</v>
      </c>
      <c r="J15" s="19">
        <f t="shared" si="0"/>
        <v>55.118737000000003</v>
      </c>
      <c r="K15" s="19">
        <f t="shared" si="5"/>
        <v>3.4940902027379497E-2</v>
      </c>
      <c r="L15" s="19">
        <v>891.78300000000002</v>
      </c>
      <c r="M15" s="19">
        <v>480.17899999999997</v>
      </c>
      <c r="N15" s="18">
        <v>153.680531</v>
      </c>
      <c r="O15" s="19">
        <f t="shared" si="1"/>
        <v>52.962339999999998</v>
      </c>
      <c r="P15" s="19">
        <f t="shared" si="6"/>
        <v>3.2787019321419725E-2</v>
      </c>
      <c r="Q15" s="19">
        <v>351.59300000000002</v>
      </c>
      <c r="R15" s="19">
        <v>247.126</v>
      </c>
      <c r="S15" s="18">
        <v>199.08372800000001</v>
      </c>
      <c r="T15" s="19">
        <f t="shared" si="2"/>
        <v>45.403197000000006</v>
      </c>
      <c r="U15" s="19">
        <f t="shared" si="3"/>
        <v>2.1532128337799345E-2</v>
      </c>
    </row>
    <row r="16" spans="1:21" x14ac:dyDescent="0.25">
      <c r="A16" s="17" t="s">
        <v>55</v>
      </c>
      <c r="B16" s="18">
        <v>12</v>
      </c>
      <c r="C16" s="19">
        <v>1985.6610000000001</v>
      </c>
      <c r="D16" s="19">
        <v>348.32299999999998</v>
      </c>
      <c r="E16" s="18">
        <v>41.189644000000001</v>
      </c>
      <c r="F16" s="19">
        <f t="shared" si="4"/>
        <v>7.8268991419538775E-2</v>
      </c>
      <c r="G16" s="19">
        <v>1435.91</v>
      </c>
      <c r="H16" s="19">
        <v>255.36</v>
      </c>
      <c r="I16" s="18">
        <v>84.201589999999996</v>
      </c>
      <c r="J16" s="19">
        <f t="shared" si="0"/>
        <v>43.011945999999995</v>
      </c>
      <c r="K16" s="19">
        <f t="shared" si="5"/>
        <v>8.061988745413011E-2</v>
      </c>
      <c r="L16" s="19">
        <v>891.78300000000002</v>
      </c>
      <c r="M16" s="19">
        <v>162.40100000000001</v>
      </c>
      <c r="N16" s="18">
        <v>124.955912</v>
      </c>
      <c r="O16" s="19">
        <f t="shared" si="1"/>
        <v>40.754322000000002</v>
      </c>
      <c r="P16" s="19">
        <f t="shared" si="6"/>
        <v>7.4597265485077072E-2</v>
      </c>
      <c r="Q16" s="19">
        <v>351.59300000000002</v>
      </c>
      <c r="R16" s="19">
        <v>100.411</v>
      </c>
      <c r="S16" s="18">
        <v>162.142844</v>
      </c>
      <c r="T16" s="19">
        <f t="shared" si="2"/>
        <v>37.186931999999999</v>
      </c>
      <c r="U16" s="19">
        <f t="shared" si="3"/>
        <v>4.3403826880441386E-2</v>
      </c>
    </row>
    <row r="17" spans="1:21" x14ac:dyDescent="0.25">
      <c r="A17" s="10"/>
      <c r="B17" s="9"/>
      <c r="M17" s="24"/>
      <c r="T17" s="11"/>
      <c r="U17" s="11"/>
    </row>
    <row r="18" spans="1:21" x14ac:dyDescent="0.25">
      <c r="A18" s="10"/>
      <c r="B18" s="9"/>
      <c r="M18" s="24"/>
    </row>
    <row r="19" spans="1:21" x14ac:dyDescent="0.25">
      <c r="A19" s="29"/>
      <c r="B19" s="29"/>
      <c r="C19" s="30" t="s">
        <v>44</v>
      </c>
      <c r="D19" s="30"/>
      <c r="E19" s="30"/>
      <c r="F19" s="30"/>
      <c r="G19" s="26" t="s">
        <v>46</v>
      </c>
      <c r="H19" s="27"/>
      <c r="I19" s="27"/>
      <c r="J19" s="27"/>
      <c r="K19" s="28"/>
      <c r="L19" s="26" t="s">
        <v>49</v>
      </c>
      <c r="M19" s="27"/>
      <c r="N19" s="27"/>
      <c r="O19" s="27"/>
      <c r="P19" s="28"/>
      <c r="Q19" s="26" t="s">
        <v>50</v>
      </c>
      <c r="R19" s="27"/>
      <c r="S19" s="27"/>
      <c r="T19" s="27"/>
      <c r="U19" s="28"/>
    </row>
    <row r="20" spans="1:21" x14ac:dyDescent="0.25">
      <c r="A20" s="12" t="s">
        <v>0</v>
      </c>
      <c r="B20" s="20" t="s">
        <v>30</v>
      </c>
      <c r="C20" s="13" t="s">
        <v>31</v>
      </c>
      <c r="D20" s="13" t="s">
        <v>36</v>
      </c>
      <c r="E20" s="23" t="s">
        <v>39</v>
      </c>
      <c r="F20" s="23" t="s">
        <v>45</v>
      </c>
      <c r="G20" s="23" t="s">
        <v>32</v>
      </c>
      <c r="H20" s="23" t="s">
        <v>37</v>
      </c>
      <c r="I20" s="23" t="s">
        <v>40</v>
      </c>
      <c r="J20" s="23" t="s">
        <v>42</v>
      </c>
      <c r="K20" s="23" t="s">
        <v>47</v>
      </c>
      <c r="L20" s="8" t="s">
        <v>33</v>
      </c>
      <c r="M20" s="8" t="s">
        <v>38</v>
      </c>
      <c r="N20" s="8" t="s">
        <v>41</v>
      </c>
      <c r="O20" s="23" t="s">
        <v>48</v>
      </c>
      <c r="P20" s="23" t="s">
        <v>47</v>
      </c>
      <c r="Q20" s="8" t="s">
        <v>35</v>
      </c>
      <c r="R20" s="8" t="s">
        <v>51</v>
      </c>
      <c r="S20" s="8" t="s">
        <v>52</v>
      </c>
      <c r="T20" s="23" t="s">
        <v>53</v>
      </c>
      <c r="U20" s="23" t="s">
        <v>54</v>
      </c>
    </row>
    <row r="21" spans="1:21" x14ac:dyDescent="0.25">
      <c r="A21" s="14" t="s">
        <v>1</v>
      </c>
      <c r="B21" s="21" t="s">
        <v>3</v>
      </c>
      <c r="C21" s="15" t="s">
        <v>2</v>
      </c>
      <c r="D21" s="15" t="s">
        <v>2</v>
      </c>
      <c r="E21" s="15" t="s">
        <v>34</v>
      </c>
      <c r="F21" s="15" t="s">
        <v>43</v>
      </c>
      <c r="G21" s="15" t="s">
        <v>2</v>
      </c>
      <c r="H21" s="15" t="s">
        <v>2</v>
      </c>
      <c r="I21" s="15" t="s">
        <v>34</v>
      </c>
      <c r="J21" s="15" t="s">
        <v>34</v>
      </c>
      <c r="K21" s="15" t="s">
        <v>43</v>
      </c>
      <c r="L21" s="15" t="s">
        <v>2</v>
      </c>
      <c r="M21" s="15" t="s">
        <v>2</v>
      </c>
      <c r="N21" s="15" t="s">
        <v>34</v>
      </c>
      <c r="O21" s="15" t="s">
        <v>34</v>
      </c>
      <c r="P21" s="15" t="s">
        <v>43</v>
      </c>
      <c r="Q21" s="15" t="s">
        <v>2</v>
      </c>
      <c r="R21" s="15" t="s">
        <v>2</v>
      </c>
      <c r="S21" s="15" t="s">
        <v>34</v>
      </c>
      <c r="T21" s="15" t="s">
        <v>34</v>
      </c>
      <c r="U21" s="15" t="s">
        <v>43</v>
      </c>
    </row>
    <row r="22" spans="1:21" x14ac:dyDescent="0.25">
      <c r="A22" s="17" t="s">
        <v>56</v>
      </c>
      <c r="B22" s="22">
        <v>0</v>
      </c>
      <c r="C22" s="19">
        <v>1985.6610000000001</v>
      </c>
      <c r="D22" s="19">
        <v>-1.3600000000000001E-3</v>
      </c>
      <c r="E22" s="19">
        <v>3.4529999999999999E-3</v>
      </c>
      <c r="F22" s="19">
        <v>0</v>
      </c>
      <c r="G22" s="19">
        <v>1435.91</v>
      </c>
      <c r="H22" s="19">
        <v>-3.2009999999999999E-3</v>
      </c>
      <c r="I22" s="19">
        <v>1.0328E-2</v>
      </c>
      <c r="J22" s="19">
        <f>I22-E22</f>
        <v>6.8750000000000009E-3</v>
      </c>
      <c r="K22" s="19">
        <v>0</v>
      </c>
      <c r="L22" s="19">
        <v>891.78300000000002</v>
      </c>
      <c r="M22" s="19">
        <v>-1.887E-3</v>
      </c>
      <c r="N22" s="19">
        <v>1.6702000000000002E-2</v>
      </c>
      <c r="O22" s="19">
        <f>N22-I22</f>
        <v>6.3740000000000012E-3</v>
      </c>
      <c r="P22" s="19">
        <v>0</v>
      </c>
      <c r="Q22" s="19">
        <v>351.59300000000002</v>
      </c>
      <c r="R22" s="19">
        <v>-3.3080000000000002E-4</v>
      </c>
      <c r="S22" s="19">
        <v>1.8532E-2</v>
      </c>
      <c r="T22" s="19">
        <f>S22-N22</f>
        <v>1.8299999999999983E-3</v>
      </c>
      <c r="U22" s="19">
        <v>0</v>
      </c>
    </row>
    <row r="23" spans="1:21" x14ac:dyDescent="0.25">
      <c r="A23" s="17" t="s">
        <v>56</v>
      </c>
      <c r="B23" s="22">
        <v>1</v>
      </c>
      <c r="C23" s="19">
        <v>1985.6610000000001</v>
      </c>
      <c r="D23" s="19">
        <v>481.83300000000003</v>
      </c>
      <c r="E23" s="19">
        <v>3.368115</v>
      </c>
      <c r="F23" s="19">
        <f t="shared" ref="F23:F34" si="7">ABS(C23*(E23/1000)/(D23*3))</f>
        <v>4.6267306992360422E-3</v>
      </c>
      <c r="G23" s="19">
        <v>1435.91</v>
      </c>
      <c r="H23" s="19">
        <v>435.947</v>
      </c>
      <c r="I23" s="19">
        <v>8.6657299999999999</v>
      </c>
      <c r="J23" s="19">
        <f>I23-E23</f>
        <v>5.2976150000000004</v>
      </c>
      <c r="K23" s="19">
        <f>ABS(H23*(J23/1000)/(I23*3))</f>
        <v>8.8835730569534643E-2</v>
      </c>
      <c r="L23" s="19">
        <v>891.78300000000002</v>
      </c>
      <c r="M23" s="19">
        <v>318.36700000000002</v>
      </c>
      <c r="N23" s="19">
        <v>13.389870999999999</v>
      </c>
      <c r="O23" s="19">
        <f t="shared" ref="O23:O35" si="8">N23-I23</f>
        <v>4.7241409999999995</v>
      </c>
      <c r="P23" s="19">
        <f>ABS(L23*(O23/1000)/(M23*3))</f>
        <v>4.410956153750231E-3</v>
      </c>
      <c r="Q23" s="19">
        <v>351.59300000000002</v>
      </c>
      <c r="R23" s="19">
        <v>161.08799999999999</v>
      </c>
      <c r="S23" s="19">
        <v>15.990354999999999</v>
      </c>
      <c r="T23" s="19">
        <f t="shared" ref="T23:T35" si="9">S23-N23</f>
        <v>2.6004839999999998</v>
      </c>
      <c r="U23" s="19">
        <f>ABS(Q23*(T23)/(R23*3000))</f>
        <v>1.8919513371821613E-3</v>
      </c>
    </row>
    <row r="24" spans="1:21" x14ac:dyDescent="0.25">
      <c r="A24" s="17" t="s">
        <v>56</v>
      </c>
      <c r="B24" s="22">
        <v>2</v>
      </c>
      <c r="C24" s="19">
        <v>1985.6610000000001</v>
      </c>
      <c r="D24" s="19">
        <v>516.81500000000005</v>
      </c>
      <c r="E24" s="19">
        <v>3.6690879999999999</v>
      </c>
      <c r="F24" s="19">
        <f t="shared" si="7"/>
        <v>4.6990154098778087E-3</v>
      </c>
      <c r="G24" s="19">
        <v>1435.91</v>
      </c>
      <c r="H24" s="19">
        <v>467.59500000000003</v>
      </c>
      <c r="I24" s="19">
        <v>9.4607910000000004</v>
      </c>
      <c r="J24" s="19">
        <f t="shared" ref="J24:J34" si="10">I24-E24</f>
        <v>5.791703</v>
      </c>
      <c r="K24" s="19">
        <f t="shared" ref="K24:K35" si="11">ABS(H24*(J24/1000)/(I24*3))</f>
        <v>9.5417369234242683E-2</v>
      </c>
      <c r="L24" s="19">
        <v>891.78300000000002</v>
      </c>
      <c r="M24" s="19">
        <v>341.47800000000001</v>
      </c>
      <c r="N24" s="19">
        <v>14.645775</v>
      </c>
      <c r="O24" s="19">
        <f t="shared" si="8"/>
        <v>5.184984</v>
      </c>
      <c r="P24" s="19">
        <f t="shared" ref="P24:P35" si="12">ABS(L24*(O24/1000)/(M24*3))</f>
        <v>4.5135953965526332E-3</v>
      </c>
      <c r="Q24" s="19">
        <v>351.59300000000002</v>
      </c>
      <c r="R24" s="19">
        <v>172.78200000000001</v>
      </c>
      <c r="S24" s="19">
        <v>17.505668</v>
      </c>
      <c r="T24" s="19">
        <f t="shared" si="9"/>
        <v>2.8598929999999996</v>
      </c>
      <c r="U24" s="19">
        <f t="shared" ref="U24:U34" si="13">ABS(Q24*(T24)/(R24*3000))</f>
        <v>1.9398593980642269E-3</v>
      </c>
    </row>
    <row r="25" spans="1:21" x14ac:dyDescent="0.25">
      <c r="A25" s="17" t="s">
        <v>56</v>
      </c>
      <c r="B25" s="22">
        <v>3</v>
      </c>
      <c r="C25" s="19">
        <v>1985.6610000000001</v>
      </c>
      <c r="D25" s="19">
        <v>575.53200000000004</v>
      </c>
      <c r="E25" s="19">
        <v>4.4245080000000003</v>
      </c>
      <c r="F25" s="19">
        <f t="shared" si="7"/>
        <v>5.0883779296303257E-3</v>
      </c>
      <c r="G25" s="19">
        <v>1435.91</v>
      </c>
      <c r="H25" s="19">
        <v>520.72</v>
      </c>
      <c r="I25" s="19">
        <v>11.822848</v>
      </c>
      <c r="J25" s="19">
        <f t="shared" si="10"/>
        <v>7.3983400000000001</v>
      </c>
      <c r="K25" s="19">
        <f t="shared" si="11"/>
        <v>0.10861634480400435</v>
      </c>
      <c r="L25" s="19">
        <v>891.78300000000002</v>
      </c>
      <c r="M25" s="19">
        <v>380.274</v>
      </c>
      <c r="N25" s="19">
        <v>18.875938000000001</v>
      </c>
      <c r="O25" s="19">
        <f t="shared" si="8"/>
        <v>7.053090000000001</v>
      </c>
      <c r="P25" s="19">
        <f t="shared" si="12"/>
        <v>5.5134155542845417E-3</v>
      </c>
      <c r="Q25" s="19">
        <v>351.59300000000002</v>
      </c>
      <c r="R25" s="19">
        <v>192.41200000000001</v>
      </c>
      <c r="S25" s="19">
        <v>22.800592999999999</v>
      </c>
      <c r="T25" s="19">
        <f t="shared" si="9"/>
        <v>3.9246549999999978</v>
      </c>
      <c r="U25" s="19">
        <f t="shared" si="13"/>
        <v>2.3904975181987943E-3</v>
      </c>
    </row>
    <row r="26" spans="1:21" x14ac:dyDescent="0.25">
      <c r="A26" s="17" t="s">
        <v>56</v>
      </c>
      <c r="B26" s="22">
        <v>4</v>
      </c>
      <c r="C26" s="19">
        <v>1985.6610000000001</v>
      </c>
      <c r="D26" s="19">
        <v>680.56</v>
      </c>
      <c r="E26" s="19">
        <v>7.3683540000000001</v>
      </c>
      <c r="F26" s="19">
        <f t="shared" si="7"/>
        <v>7.1661833254937114E-3</v>
      </c>
      <c r="G26" s="19">
        <v>1435.91</v>
      </c>
      <c r="H26" s="19">
        <v>615.75599999999997</v>
      </c>
      <c r="I26" s="19">
        <v>21.130825999999999</v>
      </c>
      <c r="J26" s="19">
        <f t="shared" si="10"/>
        <v>13.762471999999999</v>
      </c>
      <c r="K26" s="19">
        <f t="shared" si="11"/>
        <v>0.13368028788576461</v>
      </c>
      <c r="L26" s="19">
        <v>891.78300000000002</v>
      </c>
      <c r="M26" s="19">
        <v>449.66699999999997</v>
      </c>
      <c r="N26" s="19">
        <v>34.977241999999997</v>
      </c>
      <c r="O26" s="19">
        <f t="shared" si="8"/>
        <v>13.846415999999998</v>
      </c>
      <c r="P26" s="19">
        <f t="shared" si="12"/>
        <v>9.153439026159357E-3</v>
      </c>
      <c r="Q26" s="19">
        <v>351.59300000000002</v>
      </c>
      <c r="R26" s="19">
        <v>227.52600000000001</v>
      </c>
      <c r="S26" s="19">
        <v>42.893506000000002</v>
      </c>
      <c r="T26" s="19">
        <f t="shared" si="9"/>
        <v>7.9162640000000053</v>
      </c>
      <c r="U26" s="19">
        <f t="shared" si="13"/>
        <v>4.0776336309579306E-3</v>
      </c>
    </row>
    <row r="27" spans="1:21" x14ac:dyDescent="0.25">
      <c r="A27" s="17" t="s">
        <v>56</v>
      </c>
      <c r="B27" s="22">
        <v>5</v>
      </c>
      <c r="C27" s="19">
        <v>1985.6610000000001</v>
      </c>
      <c r="D27" s="19">
        <v>695.35599999999999</v>
      </c>
      <c r="E27" s="19">
        <v>7.83202</v>
      </c>
      <c r="F27" s="19">
        <f t="shared" si="7"/>
        <v>7.4550478053543798E-3</v>
      </c>
      <c r="G27" s="19">
        <v>1435.91</v>
      </c>
      <c r="H27" s="19">
        <v>629.13400000000001</v>
      </c>
      <c r="I27" s="19">
        <v>22.641663999999999</v>
      </c>
      <c r="J27" s="19">
        <f t="shared" si="10"/>
        <v>14.809643999999999</v>
      </c>
      <c r="K27" s="19">
        <f t="shared" si="11"/>
        <v>0.13716969695478212</v>
      </c>
      <c r="L27" s="19">
        <v>891.78300000000002</v>
      </c>
      <c r="M27" s="19">
        <v>459.44400000000002</v>
      </c>
      <c r="N27" s="19">
        <v>37.767299999999999</v>
      </c>
      <c r="O27" s="19">
        <f t="shared" si="8"/>
        <v>15.125636</v>
      </c>
      <c r="P27" s="19">
        <f t="shared" si="12"/>
        <v>9.7863105906182239E-3</v>
      </c>
      <c r="Q27" s="19">
        <v>351.59300000000002</v>
      </c>
      <c r="R27" s="19">
        <v>232.47399999999999</v>
      </c>
      <c r="S27" s="19">
        <v>46.802684999999997</v>
      </c>
      <c r="T27" s="19">
        <f t="shared" si="9"/>
        <v>9.035384999999998</v>
      </c>
      <c r="U27" s="19">
        <f t="shared" si="13"/>
        <v>4.555029979417053E-3</v>
      </c>
    </row>
    <row r="28" spans="1:21" x14ac:dyDescent="0.25">
      <c r="A28" s="17" t="s">
        <v>56</v>
      </c>
      <c r="B28" s="22">
        <v>6</v>
      </c>
      <c r="C28" s="19">
        <v>1985.6610000000001</v>
      </c>
      <c r="D28" s="19">
        <v>742.03399999999999</v>
      </c>
      <c r="E28" s="19">
        <v>9.589302</v>
      </c>
      <c r="F28" s="19">
        <f t="shared" si="7"/>
        <v>8.5535626842893984E-3</v>
      </c>
      <c r="G28" s="19">
        <v>1435.91</v>
      </c>
      <c r="H28" s="19">
        <v>671.37800000000004</v>
      </c>
      <c r="I28" s="19">
        <v>28.700880000000002</v>
      </c>
      <c r="J28" s="19">
        <f t="shared" si="10"/>
        <v>19.111578000000002</v>
      </c>
      <c r="K28" s="19">
        <f t="shared" si="11"/>
        <v>0.14902090126950809</v>
      </c>
      <c r="L28" s="19">
        <v>891.78300000000002</v>
      </c>
      <c r="M28" s="19">
        <v>490.27600000000001</v>
      </c>
      <c r="N28" s="19">
        <v>50.161659999999998</v>
      </c>
      <c r="O28" s="19">
        <f t="shared" si="8"/>
        <v>21.460779999999996</v>
      </c>
      <c r="P28" s="19">
        <f t="shared" si="12"/>
        <v>1.3011962493738217E-2</v>
      </c>
      <c r="Q28" s="19">
        <v>351.59300000000002</v>
      </c>
      <c r="R28" s="19">
        <v>248.08099999999999</v>
      </c>
      <c r="S28" s="19">
        <v>66.802684999999997</v>
      </c>
      <c r="T28" s="19">
        <f t="shared" si="9"/>
        <v>16.641024999999999</v>
      </c>
      <c r="U28" s="19">
        <f t="shared" si="13"/>
        <v>7.8615020938389742E-3</v>
      </c>
    </row>
    <row r="29" spans="1:21" x14ac:dyDescent="0.25">
      <c r="A29" s="17" t="s">
        <v>56</v>
      </c>
      <c r="B29" s="22">
        <v>7</v>
      </c>
      <c r="C29" s="19">
        <v>1985.6610000000001</v>
      </c>
      <c r="D29" s="19">
        <v>761.15700000000004</v>
      </c>
      <c r="E29" s="19">
        <v>10.606206999999999</v>
      </c>
      <c r="F29" s="19">
        <f t="shared" si="7"/>
        <v>9.2229468199188855E-3</v>
      </c>
      <c r="G29" s="19">
        <v>1435.91</v>
      </c>
      <c r="H29" s="19">
        <v>688.68700000000001</v>
      </c>
      <c r="I29" s="19">
        <v>31.750786000000002</v>
      </c>
      <c r="J29" s="19">
        <f t="shared" si="10"/>
        <v>21.144579</v>
      </c>
      <c r="K29" s="19">
        <f t="shared" si="11"/>
        <v>0.15287807024969399</v>
      </c>
      <c r="L29" s="19">
        <v>891.78300000000002</v>
      </c>
      <c r="M29" s="19">
        <v>502.90699999999998</v>
      </c>
      <c r="N29" s="19">
        <v>56.150959</v>
      </c>
      <c r="O29" s="19">
        <f t="shared" si="8"/>
        <v>24.400172999999999</v>
      </c>
      <c r="P29" s="19">
        <f t="shared" si="12"/>
        <v>1.4422586733040104E-2</v>
      </c>
      <c r="Q29" s="19">
        <v>351.59300000000002</v>
      </c>
      <c r="R29" s="19">
        <v>254.47399999999999</v>
      </c>
      <c r="S29" s="19">
        <v>76.250732999999997</v>
      </c>
      <c r="T29" s="19">
        <f t="shared" si="9"/>
        <v>20.099773999999996</v>
      </c>
      <c r="U29" s="19">
        <f t="shared" si="13"/>
        <v>9.2569245318866889E-3</v>
      </c>
    </row>
    <row r="30" spans="1:21" x14ac:dyDescent="0.25">
      <c r="A30" s="17" t="s">
        <v>56</v>
      </c>
      <c r="B30" s="22">
        <v>8</v>
      </c>
      <c r="C30" s="19">
        <v>1985.6610000000001</v>
      </c>
      <c r="D30" s="19">
        <v>770.63400000000001</v>
      </c>
      <c r="E30" s="19">
        <v>12.223675999999999</v>
      </c>
      <c r="F30" s="19">
        <f t="shared" si="7"/>
        <v>1.0498748091327401E-2</v>
      </c>
      <c r="G30" s="19">
        <v>1435.91</v>
      </c>
      <c r="H30" s="19">
        <v>697.24400000000003</v>
      </c>
      <c r="I30" s="19">
        <v>35.351616999999997</v>
      </c>
      <c r="J30" s="19">
        <f t="shared" si="10"/>
        <v>23.127941</v>
      </c>
      <c r="K30" s="19">
        <f t="shared" si="11"/>
        <v>0.15205167837729555</v>
      </c>
      <c r="L30" s="19">
        <v>891.78300000000002</v>
      </c>
      <c r="M30" s="19">
        <v>509.18299999999999</v>
      </c>
      <c r="N30" s="19">
        <v>62.304088</v>
      </c>
      <c r="O30" s="19">
        <f t="shared" si="8"/>
        <v>26.952471000000003</v>
      </c>
      <c r="P30" s="19">
        <f t="shared" si="12"/>
        <v>1.573485069597964E-2</v>
      </c>
      <c r="Q30" s="19">
        <v>351.59300000000002</v>
      </c>
      <c r="R30" s="19">
        <v>257.63900000000001</v>
      </c>
      <c r="S30" s="19">
        <v>85.253557000000001</v>
      </c>
      <c r="T30" s="19">
        <f t="shared" si="9"/>
        <v>22.949469000000001</v>
      </c>
      <c r="U30" s="19">
        <f t="shared" si="13"/>
        <v>1.043950728747977E-2</v>
      </c>
    </row>
    <row r="31" spans="1:21" x14ac:dyDescent="0.25">
      <c r="A31" s="17" t="s">
        <v>56</v>
      </c>
      <c r="B31" s="22">
        <v>9</v>
      </c>
      <c r="C31" s="19">
        <v>1985.6610000000001</v>
      </c>
      <c r="D31" s="19">
        <v>785.14300000000003</v>
      </c>
      <c r="E31" s="19">
        <v>17.993608999999999</v>
      </c>
      <c r="F31" s="19">
        <f t="shared" si="7"/>
        <v>1.5168874816667791E-2</v>
      </c>
      <c r="G31" s="19">
        <v>1435.91</v>
      </c>
      <c r="H31" s="19">
        <v>710.36900000000003</v>
      </c>
      <c r="I31" s="19">
        <v>47.781883999999998</v>
      </c>
      <c r="J31" s="19">
        <f t="shared" si="10"/>
        <v>29.788274999999999</v>
      </c>
      <c r="K31" s="19">
        <f t="shared" si="11"/>
        <v>0.14761987425663251</v>
      </c>
      <c r="L31" s="19">
        <v>891.78300000000002</v>
      </c>
      <c r="M31" s="19">
        <v>518.77200000000005</v>
      </c>
      <c r="N31" s="19">
        <v>82.157894999999996</v>
      </c>
      <c r="O31" s="19">
        <f t="shared" si="8"/>
        <v>34.376010999999998</v>
      </c>
      <c r="P31" s="19">
        <f t="shared" si="12"/>
        <v>1.9697762033939761E-2</v>
      </c>
      <c r="Q31" s="19">
        <v>351.59300000000002</v>
      </c>
      <c r="R31" s="19">
        <v>262.49</v>
      </c>
      <c r="S31" s="19">
        <v>112.90791400000001</v>
      </c>
      <c r="T31" s="19">
        <f t="shared" si="9"/>
        <v>30.750019000000009</v>
      </c>
      <c r="U31" s="19">
        <f t="shared" si="13"/>
        <v>1.3729401031489459E-2</v>
      </c>
    </row>
    <row r="32" spans="1:21" x14ac:dyDescent="0.25">
      <c r="A32" s="17" t="s">
        <v>56</v>
      </c>
      <c r="B32" s="22">
        <v>10</v>
      </c>
      <c r="C32" s="19">
        <v>1985.6610000000001</v>
      </c>
      <c r="D32" s="19">
        <v>805.39200000000005</v>
      </c>
      <c r="E32" s="19">
        <v>26.141504000000001</v>
      </c>
      <c r="F32" s="19">
        <f t="shared" si="7"/>
        <v>2.1483602591096013E-2</v>
      </c>
      <c r="G32" s="19">
        <v>1435.91</v>
      </c>
      <c r="H32" s="19">
        <v>728.68899999999996</v>
      </c>
      <c r="I32" s="19">
        <v>65.583776999999998</v>
      </c>
      <c r="J32" s="19">
        <f t="shared" si="10"/>
        <v>39.442273</v>
      </c>
      <c r="K32" s="19">
        <f t="shared" si="11"/>
        <v>0.14607855674479273</v>
      </c>
      <c r="L32" s="19">
        <v>891.78300000000002</v>
      </c>
      <c r="M32" s="19">
        <v>532.15099999999995</v>
      </c>
      <c r="N32" s="19">
        <v>110.735309</v>
      </c>
      <c r="O32" s="19">
        <f t="shared" si="8"/>
        <v>45.151532000000003</v>
      </c>
      <c r="P32" s="19">
        <f t="shared" si="12"/>
        <v>2.5221768922452464E-2</v>
      </c>
      <c r="Q32" s="19">
        <v>351.59300000000002</v>
      </c>
      <c r="R32" s="19">
        <v>269.25900000000001</v>
      </c>
      <c r="S32" s="19">
        <v>152.78555499999999</v>
      </c>
      <c r="T32" s="19">
        <f t="shared" si="9"/>
        <v>42.050245999999987</v>
      </c>
      <c r="U32" s="19">
        <f t="shared" si="13"/>
        <v>1.8302789187954097E-2</v>
      </c>
    </row>
    <row r="33" spans="1:21" x14ac:dyDescent="0.25">
      <c r="A33" s="17" t="s">
        <v>56</v>
      </c>
      <c r="B33" s="22">
        <v>11</v>
      </c>
      <c r="C33" s="19">
        <v>1985.6610000000001</v>
      </c>
      <c r="D33" s="19">
        <v>825.68700000000001</v>
      </c>
      <c r="E33" s="19">
        <v>34.286113999999998</v>
      </c>
      <c r="F33" s="19">
        <f t="shared" si="7"/>
        <v>2.748442586248542E-2</v>
      </c>
      <c r="G33" s="19">
        <v>1435.91</v>
      </c>
      <c r="H33" s="19">
        <v>747.05</v>
      </c>
      <c r="I33" s="19">
        <v>83.384882000000005</v>
      </c>
      <c r="J33" s="19">
        <f t="shared" si="10"/>
        <v>49.098768000000007</v>
      </c>
      <c r="K33" s="19">
        <f t="shared" si="11"/>
        <v>0.14662623789285928</v>
      </c>
      <c r="L33" s="19">
        <v>891.78300000000002</v>
      </c>
      <c r="M33" s="19">
        <v>545.55999999999995</v>
      </c>
      <c r="N33" s="19">
        <v>139.31786299999999</v>
      </c>
      <c r="O33" s="19">
        <f t="shared" si="8"/>
        <v>55.932980999999984</v>
      </c>
      <c r="P33" s="19">
        <f t="shared" si="12"/>
        <v>3.0476379985777912E-2</v>
      </c>
      <c r="Q33" s="19">
        <v>351.59300000000002</v>
      </c>
      <c r="R33" s="19">
        <v>276.04399999999998</v>
      </c>
      <c r="S33" s="19">
        <v>192.67551599999999</v>
      </c>
      <c r="T33" s="19">
        <f t="shared" si="9"/>
        <v>53.357652999999999</v>
      </c>
      <c r="U33" s="19">
        <f t="shared" si="13"/>
        <v>2.2653607506084777E-2</v>
      </c>
    </row>
    <row r="34" spans="1:21" x14ac:dyDescent="0.25">
      <c r="A34" s="17" t="s">
        <v>56</v>
      </c>
      <c r="B34" s="22">
        <v>12</v>
      </c>
      <c r="C34" s="19">
        <v>1985.6610000000001</v>
      </c>
      <c r="D34" s="19">
        <v>835.83500000000004</v>
      </c>
      <c r="E34" s="19">
        <v>38.358967</v>
      </c>
      <c r="F34" s="19">
        <f t="shared" si="7"/>
        <v>3.0375973237216674E-2</v>
      </c>
      <c r="G34" s="19">
        <v>1435.91</v>
      </c>
      <c r="H34" s="19">
        <v>756.23199999999997</v>
      </c>
      <c r="I34" s="19">
        <v>92.286636999999999</v>
      </c>
      <c r="J34" s="19">
        <f t="shared" si="10"/>
        <v>53.927669999999999</v>
      </c>
      <c r="K34" s="19">
        <f t="shared" si="11"/>
        <v>0.14730131781137501</v>
      </c>
      <c r="L34" s="19">
        <v>891.78300000000002</v>
      </c>
      <c r="M34" s="19">
        <v>552.26599999999996</v>
      </c>
      <c r="N34" s="19">
        <v>153.61106599999999</v>
      </c>
      <c r="O34" s="19">
        <f t="shared" si="8"/>
        <v>61.324428999999995</v>
      </c>
      <c r="P34" s="19">
        <f t="shared" si="12"/>
        <v>3.3008298698397151E-2</v>
      </c>
      <c r="Q34" s="19">
        <v>351.59300000000002</v>
      </c>
      <c r="R34" s="19">
        <v>279.43700000000001</v>
      </c>
      <c r="S34" s="19">
        <v>212.623175</v>
      </c>
      <c r="T34" s="19">
        <f t="shared" si="9"/>
        <v>59.012109000000009</v>
      </c>
      <c r="U34" s="19">
        <f t="shared" si="13"/>
        <v>2.4750056291325064E-2</v>
      </c>
    </row>
    <row r="35" spans="1:21" x14ac:dyDescent="0.25">
      <c r="A35" s="17" t="s">
        <v>56</v>
      </c>
      <c r="B35" s="22">
        <v>13</v>
      </c>
      <c r="C35" s="19">
        <v>1985.6610000000001</v>
      </c>
      <c r="D35" s="19">
        <v>825.51400000000001</v>
      </c>
      <c r="E35" s="19">
        <v>40.815547000000002</v>
      </c>
      <c r="F35" s="19">
        <f t="shared" ref="F35" si="14">ABS(C35*(E35/1000)/(D35*3))</f>
        <v>3.2725404968527487E-2</v>
      </c>
      <c r="G35" s="19">
        <v>1435.91</v>
      </c>
      <c r="H35" s="19">
        <v>746.89400000000001</v>
      </c>
      <c r="I35" s="19">
        <v>98.494613999999999</v>
      </c>
      <c r="J35" s="19">
        <f t="shared" ref="J35" si="15">I35-E35</f>
        <v>57.679066999999996</v>
      </c>
      <c r="K35" s="19">
        <f t="shared" si="11"/>
        <v>0.14579527860578584</v>
      </c>
      <c r="L35" s="19">
        <v>891.78300000000002</v>
      </c>
      <c r="M35" s="19">
        <v>545.44600000000003</v>
      </c>
      <c r="N35" s="19">
        <v>164.164851</v>
      </c>
      <c r="O35" s="19">
        <f t="shared" si="8"/>
        <v>65.670237</v>
      </c>
      <c r="P35" s="19">
        <f t="shared" si="12"/>
        <v>3.5789427955942477E-2</v>
      </c>
      <c r="Q35" s="19">
        <v>351.59300000000002</v>
      </c>
      <c r="R35" s="19">
        <v>275.98599999999999</v>
      </c>
      <c r="S35" s="19">
        <v>227.222813</v>
      </c>
      <c r="T35" s="19">
        <f t="shared" si="9"/>
        <v>63.057962000000003</v>
      </c>
      <c r="U35" s="19">
        <f t="shared" ref="U35" si="16">ABS(Q35*(T35)/(R35*3000))</f>
        <v>2.6777611948270323E-2</v>
      </c>
    </row>
  </sheetData>
  <mergeCells count="10">
    <mergeCell ref="Q1:U1"/>
    <mergeCell ref="A19:B19"/>
    <mergeCell ref="C19:F19"/>
    <mergeCell ref="G19:K19"/>
    <mergeCell ref="L19:P19"/>
    <mergeCell ref="Q19:U19"/>
    <mergeCell ref="G1:K1"/>
    <mergeCell ref="C1:F1"/>
    <mergeCell ref="A1:B1"/>
    <mergeCell ref="L1:P1"/>
  </mergeCells>
  <phoneticPr fontId="3" type="noConversion"/>
  <conditionalFormatting sqref="U4:U16 F4:F16 K4:K16">
    <cfRule type="cellIs" dxfId="12" priority="7" operator="greaterThan">
      <formula>0.2</formula>
    </cfRule>
    <cfRule type="cellIs" dxfId="11" priority="8" operator="lessThan">
      <formula>0.2</formula>
    </cfRule>
  </conditionalFormatting>
  <conditionalFormatting sqref="K22:K35 F22:F35 U22:U35">
    <cfRule type="cellIs" dxfId="10" priority="5" operator="greaterThan">
      <formula>0.2</formula>
    </cfRule>
    <cfRule type="cellIs" dxfId="9" priority="6" operator="lessThan">
      <formula>0.2</formula>
    </cfRule>
  </conditionalFormatting>
  <conditionalFormatting sqref="P22:P35">
    <cfRule type="cellIs" dxfId="8" priority="3" operator="greaterThan">
      <formula>0.2</formula>
    </cfRule>
    <cfRule type="cellIs" dxfId="7" priority="4" operator="lessThan">
      <formula>0.2</formula>
    </cfRule>
  </conditionalFormatting>
  <conditionalFormatting sqref="P4:P16">
    <cfRule type="cellIs" dxfId="6" priority="1" operator="greaterThan">
      <formula>0.2</formula>
    </cfRule>
    <cfRule type="cellIs" dxfId="5" priority="2" operator="lessThan">
      <formula>0.2</formula>
    </cfRule>
  </conditionalFormatting>
  <pageMargins left="0.25" right="0.25" top="0.75" bottom="0.75" header="0.3" footer="0.3"/>
  <pageSetup paperSize="9" scale="6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C226-7352-4D96-A5C8-C78C52D12875}">
  <sheetPr>
    <pageSetUpPr fitToPage="1"/>
  </sheetPr>
  <dimension ref="A1:U83"/>
  <sheetViews>
    <sheetView tabSelected="1" zoomScale="85" zoomScaleNormal="85" workbookViewId="0">
      <selection activeCell="W5" sqref="W5"/>
    </sheetView>
  </sheetViews>
  <sheetFormatPr defaultRowHeight="15" x14ac:dyDescent="0.25"/>
  <cols>
    <col min="1" max="1" width="20" customWidth="1"/>
    <col min="8" max="8" width="10.42578125" bestFit="1" customWidth="1"/>
    <col min="9" max="9" width="9.7109375" bestFit="1" customWidth="1"/>
  </cols>
  <sheetData>
    <row r="1" spans="1:21" x14ac:dyDescent="0.25">
      <c r="A1" s="29"/>
      <c r="B1" s="29"/>
      <c r="C1" s="30" t="s">
        <v>44</v>
      </c>
      <c r="D1" s="30"/>
      <c r="E1" s="30"/>
      <c r="F1" s="30"/>
      <c r="G1" s="26" t="s">
        <v>46</v>
      </c>
      <c r="H1" s="27"/>
      <c r="I1" s="27"/>
      <c r="J1" s="27"/>
      <c r="K1" s="28"/>
      <c r="L1" s="26" t="s">
        <v>49</v>
      </c>
      <c r="M1" s="27"/>
      <c r="N1" s="27"/>
      <c r="O1" s="27"/>
      <c r="P1" s="28"/>
      <c r="Q1" s="26" t="s">
        <v>50</v>
      </c>
      <c r="R1" s="27"/>
      <c r="S1" s="27"/>
      <c r="T1" s="27"/>
      <c r="U1" s="28"/>
    </row>
    <row r="2" spans="1:21" x14ac:dyDescent="0.25">
      <c r="A2" s="12" t="s">
        <v>0</v>
      </c>
      <c r="B2" s="20" t="s">
        <v>30</v>
      </c>
      <c r="C2" s="13" t="s">
        <v>31</v>
      </c>
      <c r="D2" s="13" t="s">
        <v>36</v>
      </c>
      <c r="E2" s="23" t="s">
        <v>39</v>
      </c>
      <c r="F2" s="23" t="s">
        <v>45</v>
      </c>
      <c r="G2" s="23" t="s">
        <v>32</v>
      </c>
      <c r="H2" s="23" t="s">
        <v>37</v>
      </c>
      <c r="I2" s="23" t="s">
        <v>40</v>
      </c>
      <c r="J2" s="23" t="s">
        <v>42</v>
      </c>
      <c r="K2" s="23" t="s">
        <v>47</v>
      </c>
      <c r="L2" s="8" t="s">
        <v>33</v>
      </c>
      <c r="M2" s="8" t="s">
        <v>38</v>
      </c>
      <c r="N2" s="8" t="s">
        <v>41</v>
      </c>
      <c r="O2" s="23" t="s">
        <v>48</v>
      </c>
      <c r="P2" s="23" t="s">
        <v>47</v>
      </c>
      <c r="Q2" s="8" t="s">
        <v>35</v>
      </c>
      <c r="R2" s="8" t="s">
        <v>51</v>
      </c>
      <c r="S2" s="8" t="s">
        <v>52</v>
      </c>
      <c r="T2" s="23" t="s">
        <v>53</v>
      </c>
      <c r="U2" s="23" t="s">
        <v>54</v>
      </c>
    </row>
    <row r="3" spans="1:21" x14ac:dyDescent="0.25">
      <c r="A3" s="14" t="s">
        <v>1</v>
      </c>
      <c r="B3" s="21" t="s">
        <v>3</v>
      </c>
      <c r="C3" s="15" t="s">
        <v>2</v>
      </c>
      <c r="D3" s="15" t="s">
        <v>2</v>
      </c>
      <c r="E3" s="15" t="s">
        <v>34</v>
      </c>
      <c r="F3" s="15" t="s">
        <v>43</v>
      </c>
      <c r="G3" s="15" t="s">
        <v>2</v>
      </c>
      <c r="H3" s="15" t="s">
        <v>2</v>
      </c>
      <c r="I3" s="15" t="s">
        <v>34</v>
      </c>
      <c r="J3" s="15" t="s">
        <v>34</v>
      </c>
      <c r="K3" s="15" t="s">
        <v>43</v>
      </c>
      <c r="L3" s="15" t="s">
        <v>2</v>
      </c>
      <c r="M3" s="15" t="s">
        <v>2</v>
      </c>
      <c r="N3" s="15" t="s">
        <v>34</v>
      </c>
      <c r="O3" s="15" t="s">
        <v>34</v>
      </c>
      <c r="P3" s="15" t="s">
        <v>43</v>
      </c>
      <c r="Q3" s="15" t="s">
        <v>2</v>
      </c>
      <c r="R3" s="15" t="s">
        <v>2</v>
      </c>
      <c r="S3" s="15" t="s">
        <v>34</v>
      </c>
      <c r="T3" s="15" t="s">
        <v>34</v>
      </c>
      <c r="U3" s="15" t="s">
        <v>43</v>
      </c>
    </row>
    <row r="4" spans="1:21" x14ac:dyDescent="0.25">
      <c r="A4" s="16" t="s">
        <v>4</v>
      </c>
      <c r="B4" s="18">
        <v>0</v>
      </c>
      <c r="C4" s="19">
        <v>2592.884</v>
      </c>
      <c r="D4" s="19">
        <v>4.4010000000000002E-8</v>
      </c>
      <c r="E4" s="19">
        <v>-7.6239999999999999E-4</v>
      </c>
      <c r="F4" s="19">
        <v>0</v>
      </c>
      <c r="G4" s="19">
        <v>1896.69</v>
      </c>
      <c r="H4" s="19">
        <v>9.069E-8</v>
      </c>
      <c r="I4" s="19">
        <v>5.771000000000001E-4</v>
      </c>
      <c r="J4" s="19">
        <f>I4-E4</f>
        <v>1.3395E-3</v>
      </c>
      <c r="K4" s="19">
        <v>0</v>
      </c>
      <c r="L4" s="19">
        <v>1204.9960000000001</v>
      </c>
      <c r="M4" s="19">
        <v>1.723E-7</v>
      </c>
      <c r="N4" s="19">
        <v>8.34E-4</v>
      </c>
      <c r="O4" s="19">
        <f>N4-I4</f>
        <v>2.568999999999999E-4</v>
      </c>
      <c r="P4" s="19">
        <v>0</v>
      </c>
      <c r="Q4" s="19">
        <v>517.46199999999999</v>
      </c>
      <c r="R4" s="19">
        <v>2.0769999999999999E-7</v>
      </c>
      <c r="S4" s="19">
        <v>5.3999999999999999E-2</v>
      </c>
      <c r="T4" s="19">
        <f>S4-N4</f>
        <v>5.3165999999999998E-2</v>
      </c>
      <c r="U4" s="19">
        <v>0</v>
      </c>
    </row>
    <row r="5" spans="1:21" x14ac:dyDescent="0.25">
      <c r="A5" s="16" t="s">
        <v>4</v>
      </c>
      <c r="B5" s="18">
        <v>1</v>
      </c>
      <c r="C5" s="19">
        <v>2592.884</v>
      </c>
      <c r="D5" s="19">
        <v>-242.989</v>
      </c>
      <c r="E5" s="19">
        <v>2.7130000000000001</v>
      </c>
      <c r="F5" s="19">
        <f>ABS(C5*(E5/1000)/(D5*3))</f>
        <v>9.6499488893187213E-3</v>
      </c>
      <c r="G5" s="19">
        <v>1896.69</v>
      </c>
      <c r="H5" s="19">
        <v>-178.14099999999999</v>
      </c>
      <c r="I5" s="19">
        <v>6.1219999999999999</v>
      </c>
      <c r="J5" s="19">
        <f t="shared" ref="J5:J20" si="0">I5-E5</f>
        <v>3.4089999999999998</v>
      </c>
      <c r="K5" s="19">
        <f>ABS(G5*(J5/1000)/(H5*3))</f>
        <v>1.2098686265374057E-2</v>
      </c>
      <c r="L5" s="19">
        <v>1204.9960000000001</v>
      </c>
      <c r="M5" s="19">
        <v>-113.291</v>
      </c>
      <c r="N5" s="19">
        <v>8.6940000000000008</v>
      </c>
      <c r="O5" s="19">
        <f t="shared" ref="O5:O20" si="1">N5-I5</f>
        <v>2.572000000000001</v>
      </c>
      <c r="P5" s="19">
        <f>ABS(L5*(O5/1000)/(M5*3))</f>
        <v>9.1188464867759476E-3</v>
      </c>
      <c r="Q5" s="19">
        <v>517.46199999999999</v>
      </c>
      <c r="R5" s="19">
        <v>-48.442</v>
      </c>
      <c r="S5" s="19">
        <v>10.054</v>
      </c>
      <c r="T5" s="19">
        <f t="shared" ref="T5:T20" si="2">S5-N5</f>
        <v>1.3599999999999994</v>
      </c>
      <c r="U5" s="19">
        <f>ABS(Q5*(T5/1000)/(R5*3))</f>
        <v>4.8425493029464767E-3</v>
      </c>
    </row>
    <row r="6" spans="1:21" x14ac:dyDescent="0.25">
      <c r="A6" s="16" t="s">
        <v>4</v>
      </c>
      <c r="B6" s="18">
        <v>2</v>
      </c>
      <c r="C6" s="19">
        <v>2592.884</v>
      </c>
      <c r="D6" s="19">
        <v>-289.89699999999999</v>
      </c>
      <c r="E6" s="19">
        <v>3.2399999999999998</v>
      </c>
      <c r="F6" s="19">
        <f t="shared" ref="F6:F20" si="3">ABS(C6*(E6/1000)/(D6*3))</f>
        <v>9.6596885100570205E-3</v>
      </c>
      <c r="G6" s="19">
        <v>1896.69</v>
      </c>
      <c r="H6" s="19">
        <v>-212.529</v>
      </c>
      <c r="I6" s="19">
        <v>7.3090000000000002</v>
      </c>
      <c r="J6" s="19">
        <f t="shared" si="0"/>
        <v>4.0690000000000008</v>
      </c>
      <c r="K6" s="19">
        <f t="shared" ref="K6:K20" si="4">ABS(G6*(J6/1000)/(H6*3))</f>
        <v>1.2104436900375951E-2</v>
      </c>
      <c r="L6" s="19">
        <v>1204.9960000000001</v>
      </c>
      <c r="M6" s="19">
        <v>-135.161</v>
      </c>
      <c r="N6" s="19">
        <v>10.379</v>
      </c>
      <c r="O6" s="19">
        <f t="shared" si="1"/>
        <v>3.0699999999999994</v>
      </c>
      <c r="P6" s="19">
        <f t="shared" ref="P6:P20" si="5">ABS(L6*(O6/1000)/(M6*3))</f>
        <v>9.1232868455644236E-3</v>
      </c>
      <c r="Q6" s="19">
        <v>517.46199999999999</v>
      </c>
      <c r="R6" s="19">
        <v>-57.793999999999997</v>
      </c>
      <c r="S6" s="19">
        <v>11.991</v>
      </c>
      <c r="T6" s="19">
        <f t="shared" si="2"/>
        <v>1.6120000000000001</v>
      </c>
      <c r="U6" s="19">
        <f t="shared" ref="U6:U20" si="6">ABS(Q6*(T6/1000)/(R6*3))</f>
        <v>4.8110458063697504E-3</v>
      </c>
    </row>
    <row r="7" spans="1:21" x14ac:dyDescent="0.25">
      <c r="A7" s="16" t="s">
        <v>4</v>
      </c>
      <c r="B7" s="18">
        <v>3</v>
      </c>
      <c r="C7" s="19">
        <v>2592.884</v>
      </c>
      <c r="D7" s="19">
        <v>-378.30799999999999</v>
      </c>
      <c r="E7" s="19">
        <v>4.8979999999999997</v>
      </c>
      <c r="F7" s="19">
        <f t="shared" si="3"/>
        <v>1.1190128882638838E-2</v>
      </c>
      <c r="G7" s="19">
        <v>1896.69</v>
      </c>
      <c r="H7" s="19">
        <v>-277.34500000000003</v>
      </c>
      <c r="I7" s="19">
        <v>11.032999999999999</v>
      </c>
      <c r="J7" s="19">
        <f t="shared" si="0"/>
        <v>6.1349999999999998</v>
      </c>
      <c r="K7" s="19">
        <f t="shared" si="4"/>
        <v>1.398522075393463E-2</v>
      </c>
      <c r="L7" s="19">
        <v>1204.9960000000001</v>
      </c>
      <c r="M7" s="19">
        <v>-176.38200000000001</v>
      </c>
      <c r="N7" s="19">
        <v>15.198</v>
      </c>
      <c r="O7" s="19">
        <f t="shared" si="1"/>
        <v>4.1650000000000009</v>
      </c>
      <c r="P7" s="19">
        <f t="shared" si="5"/>
        <v>9.4847326446765197E-3</v>
      </c>
      <c r="Q7" s="19">
        <v>517.46199999999999</v>
      </c>
      <c r="R7" s="19">
        <v>-75.418999999999997</v>
      </c>
      <c r="S7" s="19">
        <v>17.298999999999999</v>
      </c>
      <c r="T7" s="19">
        <f t="shared" si="2"/>
        <v>2.1009999999999991</v>
      </c>
      <c r="U7" s="19">
        <f t="shared" si="6"/>
        <v>4.8051006687085908E-3</v>
      </c>
    </row>
    <row r="8" spans="1:21" x14ac:dyDescent="0.25">
      <c r="A8" s="16" t="s">
        <v>4</v>
      </c>
      <c r="B8" s="18">
        <v>4</v>
      </c>
      <c r="C8" s="19">
        <v>2592.884</v>
      </c>
      <c r="D8" s="19">
        <v>-400.43900000000002</v>
      </c>
      <c r="E8" s="19">
        <v>5.5</v>
      </c>
      <c r="F8" s="19">
        <f t="shared" si="3"/>
        <v>1.1871023218684161E-2</v>
      </c>
      <c r="G8" s="19">
        <v>1896.69</v>
      </c>
      <c r="H8" s="19">
        <v>-293.56900000000002</v>
      </c>
      <c r="I8" s="19">
        <v>12.583</v>
      </c>
      <c r="J8" s="19">
        <f t="shared" si="0"/>
        <v>7.0830000000000002</v>
      </c>
      <c r="K8" s="19">
        <f t="shared" si="4"/>
        <v>1.525394401316215E-2</v>
      </c>
      <c r="L8" s="19">
        <v>1204.9960000000001</v>
      </c>
      <c r="M8" s="19">
        <v>-186.70099999999999</v>
      </c>
      <c r="N8" s="19">
        <v>17.294</v>
      </c>
      <c r="O8" s="19">
        <f t="shared" si="1"/>
        <v>4.7110000000000003</v>
      </c>
      <c r="P8" s="19">
        <f t="shared" si="5"/>
        <v>1.0135164703634869E-2</v>
      </c>
      <c r="Q8" s="19">
        <v>517.46199999999999</v>
      </c>
      <c r="R8" s="19">
        <v>-79.831000000000003</v>
      </c>
      <c r="S8" s="19">
        <v>19.543000000000003</v>
      </c>
      <c r="T8" s="19">
        <f t="shared" si="2"/>
        <v>2.2490000000000023</v>
      </c>
      <c r="U8" s="19">
        <f t="shared" si="6"/>
        <v>4.8593154622473362E-3</v>
      </c>
    </row>
    <row r="9" spans="1:21" x14ac:dyDescent="0.25">
      <c r="A9" s="16" t="s">
        <v>4</v>
      </c>
      <c r="B9" s="18">
        <v>5</v>
      </c>
      <c r="C9" s="19">
        <v>2592.884</v>
      </c>
      <c r="D9" s="19">
        <v>-472.60199999999998</v>
      </c>
      <c r="E9" s="19">
        <v>7.9220000000000006</v>
      </c>
      <c r="F9" s="19">
        <f t="shared" si="3"/>
        <v>1.4487755763482451E-2</v>
      </c>
      <c r="G9" s="19">
        <v>1896.69</v>
      </c>
      <c r="H9" s="19">
        <v>-346.47399999999999</v>
      </c>
      <c r="I9" s="19">
        <v>19.268000000000001</v>
      </c>
      <c r="J9" s="19">
        <f t="shared" si="0"/>
        <v>11.346</v>
      </c>
      <c r="K9" s="19">
        <f t="shared" si="4"/>
        <v>2.0703664863741578E-2</v>
      </c>
      <c r="L9" s="19">
        <v>1204.9960000000001</v>
      </c>
      <c r="M9" s="19">
        <v>-220.346</v>
      </c>
      <c r="N9" s="19">
        <v>26.699000000000002</v>
      </c>
      <c r="O9" s="19">
        <f t="shared" si="1"/>
        <v>7.4310000000000009</v>
      </c>
      <c r="P9" s="19">
        <f t="shared" si="5"/>
        <v>1.354585557259946E-2</v>
      </c>
      <c r="Q9" s="19">
        <v>517.46199999999999</v>
      </c>
      <c r="R9" s="19">
        <v>-94.218000000000004</v>
      </c>
      <c r="S9" s="19">
        <v>29.670999999999999</v>
      </c>
      <c r="T9" s="19">
        <f t="shared" si="2"/>
        <v>2.9719999999999978</v>
      </c>
      <c r="U9" s="19">
        <f t="shared" si="6"/>
        <v>5.4409173901660644E-3</v>
      </c>
    </row>
    <row r="10" spans="1:21" x14ac:dyDescent="0.25">
      <c r="A10" s="16" t="s">
        <v>4</v>
      </c>
      <c r="B10" s="18">
        <v>6</v>
      </c>
      <c r="C10" s="19">
        <v>2592.884</v>
      </c>
      <c r="D10" s="19">
        <v>-529.15300000000002</v>
      </c>
      <c r="E10" s="19">
        <v>10.417</v>
      </c>
      <c r="F10" s="19">
        <f t="shared" si="3"/>
        <v>1.7014658411965283E-2</v>
      </c>
      <c r="G10" s="19">
        <v>1896.69</v>
      </c>
      <c r="H10" s="19">
        <v>-387.93200000000002</v>
      </c>
      <c r="I10" s="19">
        <v>26.698</v>
      </c>
      <c r="J10" s="19">
        <f t="shared" si="0"/>
        <v>16.280999999999999</v>
      </c>
      <c r="K10" s="19">
        <f t="shared" si="4"/>
        <v>2.6533868384149797E-2</v>
      </c>
      <c r="L10" s="19">
        <v>1204.9960000000001</v>
      </c>
      <c r="M10" s="19">
        <v>-246.71199999999999</v>
      </c>
      <c r="N10" s="19">
        <v>37.768999999999998</v>
      </c>
      <c r="O10" s="19">
        <f t="shared" si="1"/>
        <v>11.070999999999998</v>
      </c>
      <c r="P10" s="19">
        <f t="shared" si="5"/>
        <v>1.8024404590507689E-2</v>
      </c>
      <c r="Q10" s="19">
        <v>517.46199999999999</v>
      </c>
      <c r="R10" s="19">
        <v>-105.492</v>
      </c>
      <c r="S10" s="19">
        <v>41.872999999999998</v>
      </c>
      <c r="T10" s="19">
        <f t="shared" si="2"/>
        <v>4.1039999999999992</v>
      </c>
      <c r="U10" s="19">
        <f t="shared" si="6"/>
        <v>6.710347855761572E-3</v>
      </c>
    </row>
    <row r="11" spans="1:21" x14ac:dyDescent="0.25">
      <c r="A11" s="16" t="s">
        <v>4</v>
      </c>
      <c r="B11" s="18">
        <v>7</v>
      </c>
      <c r="C11" s="19">
        <v>2592.884</v>
      </c>
      <c r="D11" s="19">
        <v>-560.91499999999996</v>
      </c>
      <c r="E11" s="19">
        <v>13.956</v>
      </c>
      <c r="F11" s="19">
        <f t="shared" si="3"/>
        <v>2.1504321275059499E-2</v>
      </c>
      <c r="G11" s="19">
        <v>1896.69</v>
      </c>
      <c r="H11" s="19">
        <v>-411.21800000000002</v>
      </c>
      <c r="I11" s="19">
        <v>34.861000000000004</v>
      </c>
      <c r="J11" s="19">
        <f t="shared" si="0"/>
        <v>20.905000000000005</v>
      </c>
      <c r="K11" s="19">
        <f t="shared" si="4"/>
        <v>3.2140538959870436E-2</v>
      </c>
      <c r="L11" s="19">
        <v>1204.9960000000001</v>
      </c>
      <c r="M11" s="19">
        <v>-261.52100000000002</v>
      </c>
      <c r="N11" s="19">
        <v>49.425999999999995</v>
      </c>
      <c r="O11" s="19">
        <f t="shared" si="1"/>
        <v>14.564999999999991</v>
      </c>
      <c r="P11" s="19">
        <f t="shared" si="5"/>
        <v>2.2370117810806764E-2</v>
      </c>
      <c r="Q11" s="19">
        <v>517.46199999999999</v>
      </c>
      <c r="R11" s="19">
        <v>-111.824</v>
      </c>
      <c r="S11" s="19">
        <v>54.821000000000005</v>
      </c>
      <c r="T11" s="19">
        <f t="shared" si="2"/>
        <v>5.3950000000000102</v>
      </c>
      <c r="U11" s="19">
        <f t="shared" si="6"/>
        <v>8.3217302487242021E-3</v>
      </c>
    </row>
    <row r="12" spans="1:21" x14ac:dyDescent="0.25">
      <c r="A12" s="16" t="s">
        <v>4</v>
      </c>
      <c r="B12" s="18">
        <v>8</v>
      </c>
      <c r="C12" s="19">
        <v>2592.884</v>
      </c>
      <c r="D12" s="19">
        <v>-572.87099999999998</v>
      </c>
      <c r="E12" s="19">
        <v>15.439</v>
      </c>
      <c r="F12" s="19">
        <f t="shared" si="3"/>
        <v>2.3292932193577032E-2</v>
      </c>
      <c r="G12" s="19">
        <v>1896.69</v>
      </c>
      <c r="H12" s="19">
        <v>-419.983</v>
      </c>
      <c r="I12" s="19">
        <v>38.219000000000001</v>
      </c>
      <c r="J12" s="19">
        <f t="shared" si="0"/>
        <v>22.78</v>
      </c>
      <c r="K12" s="19">
        <f t="shared" si="4"/>
        <v>3.4292338975625204E-2</v>
      </c>
      <c r="L12" s="19">
        <v>1204.9960000000001</v>
      </c>
      <c r="M12" s="19">
        <v>-267.09500000000003</v>
      </c>
      <c r="N12" s="19">
        <v>54.216999999999999</v>
      </c>
      <c r="O12" s="19">
        <f t="shared" si="1"/>
        <v>15.997999999999998</v>
      </c>
      <c r="P12" s="19">
        <f t="shared" si="5"/>
        <v>2.4058263923572756E-2</v>
      </c>
      <c r="Q12" s="19">
        <v>517.46199999999999</v>
      </c>
      <c r="R12" s="19">
        <v>-114.20699999999999</v>
      </c>
      <c r="S12" s="19">
        <v>60.153999999999996</v>
      </c>
      <c r="T12" s="19">
        <f t="shared" si="2"/>
        <v>5.9369999999999976</v>
      </c>
      <c r="U12" s="19">
        <f t="shared" si="6"/>
        <v>8.9666771563914616E-3</v>
      </c>
    </row>
    <row r="13" spans="1:21" x14ac:dyDescent="0.25">
      <c r="A13" s="16" t="s">
        <v>4</v>
      </c>
      <c r="B13" s="18">
        <v>9</v>
      </c>
      <c r="C13" s="19">
        <v>2592.884</v>
      </c>
      <c r="D13" s="19">
        <v>-591.12800000000004</v>
      </c>
      <c r="E13" s="19">
        <v>20.129000000000001</v>
      </c>
      <c r="F13" s="19">
        <f t="shared" si="3"/>
        <v>2.9430829440211487E-2</v>
      </c>
      <c r="G13" s="19">
        <v>1896.69</v>
      </c>
      <c r="H13" s="19">
        <v>-433.36700000000002</v>
      </c>
      <c r="I13" s="19">
        <v>47.75</v>
      </c>
      <c r="J13" s="19">
        <f t="shared" si="0"/>
        <v>27.620999999999999</v>
      </c>
      <c r="K13" s="19">
        <f t="shared" si="4"/>
        <v>4.0295695865167395E-2</v>
      </c>
      <c r="L13" s="19">
        <v>1204.9960000000001</v>
      </c>
      <c r="M13" s="19">
        <v>-275.60700000000003</v>
      </c>
      <c r="N13" s="19">
        <v>67.423000000000002</v>
      </c>
      <c r="O13" s="19">
        <f t="shared" si="1"/>
        <v>19.673000000000002</v>
      </c>
      <c r="P13" s="19">
        <f t="shared" si="5"/>
        <v>2.8671122658955203E-2</v>
      </c>
      <c r="Q13" s="19">
        <v>517.46199999999999</v>
      </c>
      <c r="R13" s="19">
        <v>-117.84699999999999</v>
      </c>
      <c r="S13" s="19">
        <v>74.845999999999989</v>
      </c>
      <c r="T13" s="19">
        <f t="shared" si="2"/>
        <v>7.4229999999999876</v>
      </c>
      <c r="U13" s="19">
        <f t="shared" si="6"/>
        <v>1.086470996574653E-2</v>
      </c>
    </row>
    <row r="14" spans="1:21" x14ac:dyDescent="0.25">
      <c r="A14" s="16" t="s">
        <v>4</v>
      </c>
      <c r="B14" s="18">
        <v>10</v>
      </c>
      <c r="C14" s="19">
        <v>2592.884</v>
      </c>
      <c r="D14" s="19">
        <v>-613.12</v>
      </c>
      <c r="E14" s="19">
        <v>26.161000000000001</v>
      </c>
      <c r="F14" s="19">
        <f t="shared" si="3"/>
        <v>3.6878282839683363E-2</v>
      </c>
      <c r="G14" s="19">
        <v>1896.69</v>
      </c>
      <c r="H14" s="19">
        <v>-449.49</v>
      </c>
      <c r="I14" s="19">
        <v>60.036999999999999</v>
      </c>
      <c r="J14" s="19">
        <f t="shared" si="0"/>
        <v>33.875999999999998</v>
      </c>
      <c r="K14" s="19">
        <f t="shared" si="4"/>
        <v>4.7648275779216438E-2</v>
      </c>
      <c r="L14" s="19">
        <v>1204.9960000000001</v>
      </c>
      <c r="M14" s="19">
        <v>-285.86099999999999</v>
      </c>
      <c r="N14" s="19">
        <v>84.628999999999991</v>
      </c>
      <c r="O14" s="19">
        <f t="shared" si="1"/>
        <v>24.591999999999992</v>
      </c>
      <c r="P14" s="19">
        <f t="shared" si="5"/>
        <v>3.4554394888891213E-2</v>
      </c>
      <c r="Q14" s="19">
        <v>517.46199999999999</v>
      </c>
      <c r="R14" s="19">
        <v>-122.23099999999999</v>
      </c>
      <c r="S14" s="19">
        <v>94.13000000000001</v>
      </c>
      <c r="T14" s="19">
        <f t="shared" si="2"/>
        <v>9.501000000000019</v>
      </c>
      <c r="U14" s="19">
        <f t="shared" si="6"/>
        <v>1.3407418363590278E-2</v>
      </c>
    </row>
    <row r="15" spans="1:21" x14ac:dyDescent="0.25">
      <c r="A15" s="16" t="s">
        <v>4</v>
      </c>
      <c r="B15" s="18">
        <v>11</v>
      </c>
      <c r="C15" s="19">
        <v>2592.884</v>
      </c>
      <c r="D15" s="19">
        <v>-626.17600000000004</v>
      </c>
      <c r="E15" s="19">
        <v>29.822000000000003</v>
      </c>
      <c r="F15" s="19">
        <f t="shared" si="3"/>
        <v>4.1162541440958024E-2</v>
      </c>
      <c r="G15" s="19">
        <v>1896.69</v>
      </c>
      <c r="H15" s="19">
        <v>-459.06200000000001</v>
      </c>
      <c r="I15" s="19">
        <v>67.51400000000001</v>
      </c>
      <c r="J15" s="19">
        <f t="shared" si="0"/>
        <v>37.692000000000007</v>
      </c>
      <c r="K15" s="19">
        <f t="shared" si="4"/>
        <v>5.1910228160902024E-2</v>
      </c>
      <c r="L15" s="19">
        <v>1204.9960000000001</v>
      </c>
      <c r="M15" s="19">
        <v>-291.94799999999998</v>
      </c>
      <c r="N15" s="19">
        <v>95.157000000000011</v>
      </c>
      <c r="O15" s="19">
        <f t="shared" si="1"/>
        <v>27.643000000000001</v>
      </c>
      <c r="P15" s="19">
        <f t="shared" si="5"/>
        <v>3.8031549485981531E-2</v>
      </c>
      <c r="Q15" s="19">
        <v>517.46199999999999</v>
      </c>
      <c r="R15" s="19">
        <v>-124.834</v>
      </c>
      <c r="S15" s="19">
        <v>106.06500000000001</v>
      </c>
      <c r="T15" s="19">
        <f t="shared" si="2"/>
        <v>10.908000000000001</v>
      </c>
      <c r="U15" s="19">
        <f t="shared" si="6"/>
        <v>1.5071950205873401E-2</v>
      </c>
    </row>
    <row r="16" spans="1:21" x14ac:dyDescent="0.25">
      <c r="A16" s="16" t="s">
        <v>4</v>
      </c>
      <c r="B16" s="18">
        <v>12</v>
      </c>
      <c r="C16" s="19">
        <v>2592.884</v>
      </c>
      <c r="D16" s="19">
        <v>-642.48400000000004</v>
      </c>
      <c r="E16" s="19">
        <v>34.698</v>
      </c>
      <c r="F16" s="19">
        <f t="shared" si="3"/>
        <v>4.6677110004295821E-2</v>
      </c>
      <c r="G16" s="19">
        <v>1896.69</v>
      </c>
      <c r="H16" s="19">
        <v>-471.01799999999997</v>
      </c>
      <c r="I16" s="19">
        <v>77.537999999999997</v>
      </c>
      <c r="J16" s="19">
        <f t="shared" si="0"/>
        <v>42.839999999999996</v>
      </c>
      <c r="K16" s="19">
        <f t="shared" si="4"/>
        <v>5.750254385182732E-2</v>
      </c>
      <c r="L16" s="19">
        <v>1204.9960000000001</v>
      </c>
      <c r="M16" s="19">
        <v>-299.55200000000002</v>
      </c>
      <c r="N16" s="19">
        <v>109.49000000000001</v>
      </c>
      <c r="O16" s="19">
        <f t="shared" si="1"/>
        <v>31.952000000000012</v>
      </c>
      <c r="P16" s="19">
        <f t="shared" si="5"/>
        <v>4.2844016166364011E-2</v>
      </c>
      <c r="Q16" s="19">
        <v>517.46199999999999</v>
      </c>
      <c r="R16" s="19">
        <v>-128.08500000000001</v>
      </c>
      <c r="S16" s="19">
        <v>122.47199999999999</v>
      </c>
      <c r="T16" s="19">
        <f t="shared" si="2"/>
        <v>12.981999999999985</v>
      </c>
      <c r="U16" s="19">
        <f t="shared" si="6"/>
        <v>1.7482379367867673E-2</v>
      </c>
    </row>
    <row r="17" spans="1:21" x14ac:dyDescent="0.25">
      <c r="A17" s="16" t="s">
        <v>4</v>
      </c>
      <c r="B17" s="18">
        <v>13</v>
      </c>
      <c r="C17" s="19">
        <v>2592.884</v>
      </c>
      <c r="D17" s="19">
        <v>-652.90700000000004</v>
      </c>
      <c r="E17" s="19">
        <v>37.976999999999997</v>
      </c>
      <c r="F17" s="19">
        <f t="shared" si="3"/>
        <v>5.0272578722543947E-2</v>
      </c>
      <c r="G17" s="19">
        <v>1896.69</v>
      </c>
      <c r="H17" s="19">
        <v>-478.65899999999999</v>
      </c>
      <c r="I17" s="19">
        <v>84.302000000000007</v>
      </c>
      <c r="J17" s="19">
        <f t="shared" si="0"/>
        <v>46.32500000000001</v>
      </c>
      <c r="K17" s="19">
        <f t="shared" si="4"/>
        <v>6.1187723932904246E-2</v>
      </c>
      <c r="L17" s="19">
        <v>1204.9960000000001</v>
      </c>
      <c r="M17" s="19">
        <v>-304.411</v>
      </c>
      <c r="N17" s="19">
        <v>119.249</v>
      </c>
      <c r="O17" s="19">
        <f t="shared" si="1"/>
        <v>34.946999999999989</v>
      </c>
      <c r="P17" s="19">
        <f t="shared" si="5"/>
        <v>4.6111994651967234E-2</v>
      </c>
      <c r="Q17" s="19">
        <v>517.46199999999999</v>
      </c>
      <c r="R17" s="19">
        <v>-130.16300000000001</v>
      </c>
      <c r="S17" s="19">
        <v>133.58800000000002</v>
      </c>
      <c r="T17" s="19">
        <f t="shared" si="2"/>
        <v>14.339000000000027</v>
      </c>
      <c r="U17" s="19">
        <f t="shared" si="6"/>
        <v>1.9001527874024655E-2</v>
      </c>
    </row>
    <row r="18" spans="1:21" x14ac:dyDescent="0.25">
      <c r="A18" s="16" t="s">
        <v>4</v>
      </c>
      <c r="B18" s="18">
        <v>14</v>
      </c>
      <c r="C18" s="19">
        <v>2592.884</v>
      </c>
      <c r="D18" s="19">
        <v>-670.13</v>
      </c>
      <c r="E18" s="19">
        <v>43.701999999999998</v>
      </c>
      <c r="F18" s="19">
        <f t="shared" si="3"/>
        <v>5.6364295767487901E-2</v>
      </c>
      <c r="G18" s="19">
        <v>1896.69</v>
      </c>
      <c r="H18" s="19">
        <v>-491.28500000000003</v>
      </c>
      <c r="I18" s="19">
        <v>96.206000000000003</v>
      </c>
      <c r="J18" s="19">
        <f t="shared" si="0"/>
        <v>52.504000000000005</v>
      </c>
      <c r="K18" s="19">
        <f t="shared" si="4"/>
        <v>6.7566898887611068E-2</v>
      </c>
      <c r="L18" s="19">
        <v>1204.9960000000001</v>
      </c>
      <c r="M18" s="19">
        <v>-312.44099999999997</v>
      </c>
      <c r="N18" s="19">
        <v>136.673</v>
      </c>
      <c r="O18" s="19">
        <f t="shared" si="1"/>
        <v>40.466999999999999</v>
      </c>
      <c r="P18" s="19">
        <f t="shared" si="5"/>
        <v>5.2023233327252193E-2</v>
      </c>
      <c r="Q18" s="19">
        <v>517.46199999999999</v>
      </c>
      <c r="R18" s="19">
        <v>-133.59700000000001</v>
      </c>
      <c r="S18" s="19">
        <v>153.49199999999999</v>
      </c>
      <c r="T18" s="19">
        <f t="shared" si="2"/>
        <v>16.818999999999988</v>
      </c>
      <c r="U18" s="19">
        <f t="shared" si="6"/>
        <v>2.1715041949544753E-2</v>
      </c>
    </row>
    <row r="19" spans="1:21" x14ac:dyDescent="0.25">
      <c r="A19" s="16" t="s">
        <v>4</v>
      </c>
      <c r="B19" s="18">
        <v>15</v>
      </c>
      <c r="C19" s="19">
        <v>2592.884</v>
      </c>
      <c r="D19" s="19">
        <v>-656.07399999999996</v>
      </c>
      <c r="E19" s="19">
        <v>46.955999999999996</v>
      </c>
      <c r="F19" s="19">
        <f t="shared" si="3"/>
        <v>6.1858601877227269E-2</v>
      </c>
      <c r="G19" s="19">
        <v>1896.69</v>
      </c>
      <c r="H19" s="19">
        <v>-480.98099999999999</v>
      </c>
      <c r="I19" s="19">
        <v>102.53700000000001</v>
      </c>
      <c r="J19" s="19">
        <f t="shared" si="0"/>
        <v>55.58100000000001</v>
      </c>
      <c r="K19" s="19">
        <f t="shared" si="4"/>
        <v>7.3058968296044982E-2</v>
      </c>
      <c r="L19" s="19">
        <v>1204.9960000000001</v>
      </c>
      <c r="M19" s="19">
        <v>-305.88799999999998</v>
      </c>
      <c r="N19" s="19">
        <v>144.749</v>
      </c>
      <c r="O19" s="19">
        <f t="shared" si="1"/>
        <v>42.211999999999989</v>
      </c>
      <c r="P19" s="19">
        <f t="shared" si="5"/>
        <v>5.5429101666841007E-2</v>
      </c>
      <c r="Q19" s="19">
        <v>517.46199999999999</v>
      </c>
      <c r="R19" s="19">
        <v>-130.79499999999999</v>
      </c>
      <c r="S19" s="19">
        <v>161.94499999999999</v>
      </c>
      <c r="T19" s="19">
        <f t="shared" si="2"/>
        <v>17.195999999999998</v>
      </c>
      <c r="U19" s="19">
        <f t="shared" si="6"/>
        <v>2.2677412622806679E-2</v>
      </c>
    </row>
    <row r="20" spans="1:21" x14ac:dyDescent="0.25">
      <c r="A20" s="16" t="s">
        <v>4</v>
      </c>
      <c r="B20" s="18">
        <v>16</v>
      </c>
      <c r="C20" s="19">
        <v>2592.884</v>
      </c>
      <c r="D20" s="19">
        <v>-656.85</v>
      </c>
      <c r="E20" s="19">
        <v>47.175000000000004</v>
      </c>
      <c r="F20" s="19">
        <f t="shared" si="3"/>
        <v>6.2073686381974573E-2</v>
      </c>
      <c r="G20" s="19">
        <v>1896.69</v>
      </c>
      <c r="H20" s="19">
        <v>-481.55</v>
      </c>
      <c r="I20" s="19">
        <v>102.999</v>
      </c>
      <c r="J20" s="19">
        <f t="shared" si="0"/>
        <v>55.823999999999991</v>
      </c>
      <c r="K20" s="19">
        <f t="shared" si="4"/>
        <v>7.3291677956598467E-2</v>
      </c>
      <c r="L20" s="19">
        <v>1204.9960000000001</v>
      </c>
      <c r="M20" s="19">
        <v>-306.25</v>
      </c>
      <c r="N20" s="19">
        <v>145.43100000000001</v>
      </c>
      <c r="O20" s="19">
        <f t="shared" si="1"/>
        <v>42.432000000000016</v>
      </c>
      <c r="P20" s="19">
        <f t="shared" si="5"/>
        <v>5.5652125466122478E-2</v>
      </c>
      <c r="Q20" s="19">
        <v>517.46199999999999</v>
      </c>
      <c r="R20" s="19">
        <v>-130.94900000000001</v>
      </c>
      <c r="S20" s="19">
        <v>162.72900000000001</v>
      </c>
      <c r="T20" s="19">
        <f t="shared" si="2"/>
        <v>17.298000000000002</v>
      </c>
      <c r="U20" s="19">
        <f t="shared" si="6"/>
        <v>2.2785098717821438E-2</v>
      </c>
    </row>
    <row r="23" spans="1:21" x14ac:dyDescent="0.25">
      <c r="A23" s="29"/>
      <c r="B23" s="29"/>
      <c r="C23" s="30" t="s">
        <v>44</v>
      </c>
      <c r="D23" s="30"/>
      <c r="E23" s="30"/>
      <c r="F23" s="30"/>
      <c r="G23" s="26" t="s">
        <v>46</v>
      </c>
      <c r="H23" s="27"/>
      <c r="I23" s="27"/>
      <c r="J23" s="27"/>
      <c r="K23" s="28"/>
      <c r="L23" s="26" t="s">
        <v>49</v>
      </c>
      <c r="M23" s="27"/>
      <c r="N23" s="27"/>
      <c r="O23" s="27"/>
      <c r="P23" s="28"/>
      <c r="Q23" s="26" t="s">
        <v>50</v>
      </c>
      <c r="R23" s="27"/>
      <c r="S23" s="27"/>
      <c r="T23" s="27"/>
      <c r="U23" s="28"/>
    </row>
    <row r="24" spans="1:21" x14ac:dyDescent="0.25">
      <c r="A24" s="12" t="s">
        <v>0</v>
      </c>
      <c r="B24" s="20" t="s">
        <v>30</v>
      </c>
      <c r="C24" s="13" t="s">
        <v>31</v>
      </c>
      <c r="D24" s="13" t="s">
        <v>36</v>
      </c>
      <c r="E24" s="23" t="s">
        <v>39</v>
      </c>
      <c r="F24" s="23" t="s">
        <v>45</v>
      </c>
      <c r="G24" s="23" t="s">
        <v>32</v>
      </c>
      <c r="H24" s="23" t="s">
        <v>37</v>
      </c>
      <c r="I24" s="23" t="s">
        <v>40</v>
      </c>
      <c r="J24" s="23" t="s">
        <v>42</v>
      </c>
      <c r="K24" s="23" t="s">
        <v>47</v>
      </c>
      <c r="L24" s="8" t="s">
        <v>33</v>
      </c>
      <c r="M24" s="8" t="s">
        <v>38</v>
      </c>
      <c r="N24" s="8" t="s">
        <v>41</v>
      </c>
      <c r="O24" s="23" t="s">
        <v>48</v>
      </c>
      <c r="P24" s="23" t="s">
        <v>47</v>
      </c>
      <c r="Q24" s="8" t="s">
        <v>35</v>
      </c>
      <c r="R24" s="8" t="s">
        <v>51</v>
      </c>
      <c r="S24" s="8" t="s">
        <v>52</v>
      </c>
      <c r="T24" s="23" t="s">
        <v>53</v>
      </c>
      <c r="U24" s="23" t="s">
        <v>54</v>
      </c>
    </row>
    <row r="25" spans="1:21" x14ac:dyDescent="0.25">
      <c r="A25" s="14" t="s">
        <v>1</v>
      </c>
      <c r="B25" s="21" t="s">
        <v>3</v>
      </c>
      <c r="C25" s="15" t="s">
        <v>2</v>
      </c>
      <c r="D25" s="15" t="s">
        <v>2</v>
      </c>
      <c r="E25" s="15" t="s">
        <v>34</v>
      </c>
      <c r="F25" s="15" t="s">
        <v>43</v>
      </c>
      <c r="G25" s="15" t="s">
        <v>2</v>
      </c>
      <c r="H25" s="15" t="s">
        <v>2</v>
      </c>
      <c r="I25" s="15" t="s">
        <v>34</v>
      </c>
      <c r="J25" s="15" t="s">
        <v>34</v>
      </c>
      <c r="K25" s="15" t="s">
        <v>43</v>
      </c>
      <c r="L25" s="15" t="s">
        <v>2</v>
      </c>
      <c r="M25" s="15" t="s">
        <v>2</v>
      </c>
      <c r="N25" s="15" t="s">
        <v>34</v>
      </c>
      <c r="O25" s="15" t="s">
        <v>34</v>
      </c>
      <c r="P25" s="15" t="s">
        <v>43</v>
      </c>
      <c r="Q25" s="15" t="s">
        <v>2</v>
      </c>
      <c r="R25" s="15" t="s">
        <v>2</v>
      </c>
      <c r="S25" s="15" t="s">
        <v>34</v>
      </c>
      <c r="T25" s="15" t="s">
        <v>34</v>
      </c>
      <c r="U25" s="15" t="s">
        <v>43</v>
      </c>
    </row>
    <row r="26" spans="1:21" x14ac:dyDescent="0.25">
      <c r="A26" s="17" t="s">
        <v>56</v>
      </c>
      <c r="B26" s="18">
        <v>0</v>
      </c>
      <c r="C26" s="19">
        <v>2592.884</v>
      </c>
      <c r="D26" s="19">
        <v>4.4010000000000002E-8</v>
      </c>
      <c r="E26" s="19">
        <v>-7.6239999999999999E-4</v>
      </c>
      <c r="F26" s="19">
        <v>0</v>
      </c>
      <c r="G26" s="19">
        <v>1896.69</v>
      </c>
      <c r="H26" s="19">
        <v>9.069E-8</v>
      </c>
      <c r="I26" s="19">
        <v>5.771000000000001E-4</v>
      </c>
      <c r="J26" s="19">
        <f>I26-E26</f>
        <v>1.3395E-3</v>
      </c>
      <c r="K26" s="19">
        <v>0</v>
      </c>
      <c r="L26" s="19">
        <v>1204.9960000000001</v>
      </c>
      <c r="M26" s="19">
        <v>1.723E-7</v>
      </c>
      <c r="N26" s="19">
        <v>8.34E-4</v>
      </c>
      <c r="O26" s="19">
        <f>N26-I26</f>
        <v>2.568999999999999E-4</v>
      </c>
      <c r="P26" s="19">
        <v>0</v>
      </c>
      <c r="Q26" s="19">
        <v>517.46199999999999</v>
      </c>
      <c r="R26" s="19">
        <v>2.0769999999999999E-7</v>
      </c>
      <c r="S26" s="19">
        <v>5.3999999999999999E-2</v>
      </c>
      <c r="T26" s="19">
        <f>S26-N26</f>
        <v>5.3165999999999998E-2</v>
      </c>
      <c r="U26" s="19">
        <v>0</v>
      </c>
    </row>
    <row r="27" spans="1:21" x14ac:dyDescent="0.25">
      <c r="A27" s="17" t="s">
        <v>56</v>
      </c>
      <c r="B27" s="18">
        <v>1</v>
      </c>
      <c r="C27" s="19">
        <v>2592.884</v>
      </c>
      <c r="D27" s="19">
        <v>-194.53399999999999</v>
      </c>
      <c r="E27" s="19">
        <v>2.258</v>
      </c>
      <c r="F27" s="19">
        <f>ABS(C27*(E27/1000)/(D27*3))</f>
        <v>1.0032063070380157E-2</v>
      </c>
      <c r="G27" s="19">
        <v>1896.69</v>
      </c>
      <c r="H27" s="19">
        <v>-172.696</v>
      </c>
      <c r="I27" s="19">
        <v>5.5209999999999999</v>
      </c>
      <c r="J27" s="19">
        <f t="shared" ref="J27:J43" si="7">I27-E27</f>
        <v>3.2629999999999999</v>
      </c>
      <c r="K27" s="19">
        <f>ABS(G27*(J27/1000)/(H27*3))</f>
        <v>1.1945652997174226E-2</v>
      </c>
      <c r="L27" s="19">
        <v>1204.9960000000001</v>
      </c>
      <c r="M27" s="19">
        <v>-128.559</v>
      </c>
      <c r="N27" s="19">
        <v>8.3610000000000007</v>
      </c>
      <c r="O27" s="19">
        <f t="shared" ref="O27:O43" si="8">N27-I27</f>
        <v>2.8400000000000007</v>
      </c>
      <c r="P27" s="19">
        <f>ABS(L27*(O27/1000)/(M27*3))</f>
        <v>8.8731986610557558E-3</v>
      </c>
      <c r="Q27" s="19">
        <v>517.46199999999999</v>
      </c>
      <c r="R27" s="19">
        <v>-64.28</v>
      </c>
      <c r="S27" s="19">
        <v>10.054</v>
      </c>
      <c r="T27" s="19">
        <f t="shared" ref="T27:T43" si="9">S27-N27</f>
        <v>1.6929999999999996</v>
      </c>
      <c r="U27" s="19">
        <f>ABS(Q27*(T27/1000)/(R27*3))</f>
        <v>4.5429535677245373E-3</v>
      </c>
    </row>
    <row r="28" spans="1:21" x14ac:dyDescent="0.25">
      <c r="A28" s="17" t="s">
        <v>56</v>
      </c>
      <c r="B28" s="18">
        <v>2</v>
      </c>
      <c r="C28" s="19">
        <v>2592.884</v>
      </c>
      <c r="D28" s="19">
        <v>-262.52300000000002</v>
      </c>
      <c r="E28" s="19">
        <v>3.0500000000000003</v>
      </c>
      <c r="F28" s="19">
        <f t="shared" ref="F28:F43" si="10">ABS(C28*(E28/1000)/(D28*3))</f>
        <v>1.0041401070890296E-2</v>
      </c>
      <c r="G28" s="19">
        <v>1896.69</v>
      </c>
      <c r="H28" s="19">
        <v>-233.05199999999999</v>
      </c>
      <c r="I28" s="19">
        <v>7.4559999999999995</v>
      </c>
      <c r="J28" s="19">
        <f t="shared" si="7"/>
        <v>4.4059999999999988</v>
      </c>
      <c r="K28" s="19">
        <f t="shared" ref="K28:K43" si="11">ABS(G28*(J28/1000)/(H28*3))</f>
        <v>1.1952720337092149E-2</v>
      </c>
      <c r="L28" s="19">
        <v>1204.9960000000001</v>
      </c>
      <c r="M28" s="19">
        <v>-173.49100000000001</v>
      </c>
      <c r="N28" s="19">
        <v>11.289</v>
      </c>
      <c r="O28" s="19">
        <f t="shared" si="8"/>
        <v>3.8330000000000002</v>
      </c>
      <c r="P28" s="19">
        <f t="shared" ref="P28:P43" si="12">ABS(L28*(O28/1000)/(M28*3))</f>
        <v>8.8741388467797559E-3</v>
      </c>
      <c r="Q28" s="19">
        <v>517.46199999999999</v>
      </c>
      <c r="R28" s="19">
        <v>-86.745000000000005</v>
      </c>
      <c r="S28" s="19">
        <v>13.555</v>
      </c>
      <c r="T28" s="19">
        <f t="shared" si="9"/>
        <v>2.266</v>
      </c>
      <c r="U28" s="19">
        <f t="shared" ref="U28:U43" si="13">ABS(Q28*(T28/1000)/(R28*3))</f>
        <v>4.5058077967990474E-3</v>
      </c>
    </row>
    <row r="29" spans="1:21" x14ac:dyDescent="0.25">
      <c r="A29" s="17" t="s">
        <v>56</v>
      </c>
      <c r="B29" s="18">
        <v>3</v>
      </c>
      <c r="C29" s="19">
        <v>2592.884</v>
      </c>
      <c r="D29" s="19">
        <v>-292.81599999999997</v>
      </c>
      <c r="E29" s="19">
        <v>3.4749999999999996</v>
      </c>
      <c r="F29" s="19">
        <f t="shared" si="10"/>
        <v>1.0257035020854963E-2</v>
      </c>
      <c r="G29" s="19">
        <v>1896.69</v>
      </c>
      <c r="H29" s="19">
        <v>-259.94499999999999</v>
      </c>
      <c r="I29" s="19">
        <v>8.4829999999999988</v>
      </c>
      <c r="J29" s="19">
        <f t="shared" si="7"/>
        <v>5.0079999999999991</v>
      </c>
      <c r="K29" s="19">
        <f t="shared" si="11"/>
        <v>1.2180299063263381E-2</v>
      </c>
      <c r="L29" s="19">
        <v>1204.9960000000001</v>
      </c>
      <c r="M29" s="19">
        <v>-193.51</v>
      </c>
      <c r="N29" s="19">
        <v>12.805999999999999</v>
      </c>
      <c r="O29" s="19">
        <f t="shared" si="8"/>
        <v>4.3230000000000004</v>
      </c>
      <c r="P29" s="19">
        <f t="shared" si="12"/>
        <v>8.9731757325202856E-3</v>
      </c>
      <c r="Q29" s="19">
        <v>517.46199999999999</v>
      </c>
      <c r="R29" s="19">
        <v>-96.754999999999995</v>
      </c>
      <c r="S29" s="19">
        <v>15.356</v>
      </c>
      <c r="T29" s="19">
        <f t="shared" si="9"/>
        <v>2.5500000000000007</v>
      </c>
      <c r="U29" s="19">
        <f t="shared" si="13"/>
        <v>4.5459428453309917E-3</v>
      </c>
    </row>
    <row r="30" spans="1:21" x14ac:dyDescent="0.25">
      <c r="A30" s="17" t="s">
        <v>56</v>
      </c>
      <c r="B30" s="18">
        <v>4</v>
      </c>
      <c r="C30" s="19">
        <v>2592.884</v>
      </c>
      <c r="D30" s="19">
        <v>-381.83100000000002</v>
      </c>
      <c r="E30" s="19">
        <v>6.2319999999999993</v>
      </c>
      <c r="F30" s="19">
        <f t="shared" si="10"/>
        <v>1.4106461661485492E-2</v>
      </c>
      <c r="G30" s="19">
        <v>1896.69</v>
      </c>
      <c r="H30" s="19">
        <v>-338.96600000000001</v>
      </c>
      <c r="I30" s="19">
        <v>16.387</v>
      </c>
      <c r="J30" s="19">
        <f t="shared" si="7"/>
        <v>10.155000000000001</v>
      </c>
      <c r="K30" s="19">
        <f t="shared" si="11"/>
        <v>1.8940824890992018E-2</v>
      </c>
      <c r="L30" s="19">
        <v>1204.9960000000001</v>
      </c>
      <c r="M30" s="19">
        <v>-252.33699999999999</v>
      </c>
      <c r="N30" s="19">
        <v>24.521000000000001</v>
      </c>
      <c r="O30" s="19">
        <f t="shared" si="8"/>
        <v>8.1340000000000003</v>
      </c>
      <c r="P30" s="19">
        <f t="shared" si="12"/>
        <v>1.2947549591749659E-2</v>
      </c>
      <c r="Q30" s="19">
        <v>517.46199999999999</v>
      </c>
      <c r="R30" s="19">
        <v>-126.16800000000001</v>
      </c>
      <c r="S30" s="19">
        <v>28.434000000000001</v>
      </c>
      <c r="T30" s="19">
        <f t="shared" si="9"/>
        <v>3.9130000000000003</v>
      </c>
      <c r="U30" s="19">
        <f t="shared" si="13"/>
        <v>5.3495572200029599E-3</v>
      </c>
    </row>
    <row r="31" spans="1:21" x14ac:dyDescent="0.25">
      <c r="A31" s="17" t="s">
        <v>56</v>
      </c>
      <c r="B31" s="18">
        <v>5</v>
      </c>
      <c r="C31" s="19">
        <v>2592.884</v>
      </c>
      <c r="D31" s="19">
        <v>-439.33100000000002</v>
      </c>
      <c r="E31" s="19">
        <v>9.2840000000000007</v>
      </c>
      <c r="F31" s="19">
        <f t="shared" si="10"/>
        <v>1.826438763787061E-2</v>
      </c>
      <c r="G31" s="19">
        <v>1896.69</v>
      </c>
      <c r="H31" s="19">
        <v>-390.012</v>
      </c>
      <c r="I31" s="19">
        <v>26.006999999999998</v>
      </c>
      <c r="J31" s="19">
        <f t="shared" si="7"/>
        <v>16.722999999999999</v>
      </c>
      <c r="K31" s="19">
        <f t="shared" si="11"/>
        <v>2.7108864060593003E-2</v>
      </c>
      <c r="L31" s="19">
        <v>1204.9960000000001</v>
      </c>
      <c r="M31" s="19">
        <v>-290.33600000000001</v>
      </c>
      <c r="N31" s="19">
        <v>39.9</v>
      </c>
      <c r="O31" s="19">
        <f t="shared" si="8"/>
        <v>13.893000000000001</v>
      </c>
      <c r="P31" s="19">
        <f t="shared" si="12"/>
        <v>1.9220270569271464E-2</v>
      </c>
      <c r="Q31" s="19">
        <v>517.46199999999999</v>
      </c>
      <c r="R31" s="19">
        <v>-145.16800000000001</v>
      </c>
      <c r="S31" s="19">
        <v>46.116999999999997</v>
      </c>
      <c r="T31" s="19">
        <f t="shared" si="9"/>
        <v>6.2169999999999987</v>
      </c>
      <c r="U31" s="19">
        <f t="shared" si="13"/>
        <v>7.3869843996840412E-3</v>
      </c>
    </row>
    <row r="32" spans="1:21" x14ac:dyDescent="0.25">
      <c r="A32" s="17" t="s">
        <v>56</v>
      </c>
      <c r="B32" s="18">
        <v>6</v>
      </c>
      <c r="C32" s="19">
        <v>2592.884</v>
      </c>
      <c r="D32" s="19">
        <v>-470.50200000000001</v>
      </c>
      <c r="E32" s="19">
        <v>11.088000000000001</v>
      </c>
      <c r="F32" s="19">
        <f t="shared" si="10"/>
        <v>2.0368243416606095E-2</v>
      </c>
      <c r="G32" s="19">
        <v>1896.69</v>
      </c>
      <c r="H32" s="19">
        <v>-417.68299999999999</v>
      </c>
      <c r="I32" s="19">
        <v>31.87</v>
      </c>
      <c r="J32" s="19">
        <f t="shared" si="7"/>
        <v>20.782</v>
      </c>
      <c r="K32" s="19">
        <f t="shared" si="11"/>
        <v>3.1456879643174368E-2</v>
      </c>
      <c r="L32" s="19">
        <v>1204.9960000000001</v>
      </c>
      <c r="M32" s="19">
        <v>-310.93599999999998</v>
      </c>
      <c r="N32" s="19">
        <v>49.825000000000003</v>
      </c>
      <c r="O32" s="19">
        <f t="shared" si="8"/>
        <v>17.955000000000002</v>
      </c>
      <c r="P32" s="19">
        <f t="shared" si="12"/>
        <v>2.319416555175342E-2</v>
      </c>
      <c r="Q32" s="19">
        <v>517.46199999999999</v>
      </c>
      <c r="R32" s="19">
        <v>-155.46799999999999</v>
      </c>
      <c r="S32" s="19">
        <v>57.920999999999999</v>
      </c>
      <c r="T32" s="19">
        <f t="shared" si="9"/>
        <v>8.0959999999999965</v>
      </c>
      <c r="U32" s="19">
        <f t="shared" si="13"/>
        <v>8.9822822102726355E-3</v>
      </c>
    </row>
    <row r="33" spans="1:21" x14ac:dyDescent="0.25">
      <c r="A33" s="17" t="s">
        <v>56</v>
      </c>
      <c r="B33" s="18">
        <v>7</v>
      </c>
      <c r="C33" s="19">
        <v>2592.884</v>
      </c>
      <c r="D33" s="19">
        <v>-492.10700000000003</v>
      </c>
      <c r="E33" s="19">
        <v>14.163</v>
      </c>
      <c r="F33" s="19">
        <f t="shared" si="10"/>
        <v>2.4874682465398784E-2</v>
      </c>
      <c r="G33" s="19">
        <v>1896.69</v>
      </c>
      <c r="H33" s="19">
        <v>-436.863</v>
      </c>
      <c r="I33" s="19">
        <v>39.357000000000006</v>
      </c>
      <c r="J33" s="19">
        <f t="shared" si="7"/>
        <v>25.194000000000006</v>
      </c>
      <c r="K33" s="19">
        <f t="shared" si="11"/>
        <v>3.6460864435761332E-2</v>
      </c>
      <c r="L33" s="19">
        <v>1204.9960000000001</v>
      </c>
      <c r="M33" s="19">
        <v>-325.21300000000002</v>
      </c>
      <c r="N33" s="19">
        <v>61.402999999999999</v>
      </c>
      <c r="O33" s="19">
        <f t="shared" si="8"/>
        <v>22.045999999999992</v>
      </c>
      <c r="P33" s="19">
        <f t="shared" si="12"/>
        <v>2.7228659182340999E-2</v>
      </c>
      <c r="Q33" s="19">
        <v>517.46199999999999</v>
      </c>
      <c r="R33" s="19">
        <v>-162.607</v>
      </c>
      <c r="S33" s="19">
        <v>71.506</v>
      </c>
      <c r="T33" s="19">
        <f t="shared" si="9"/>
        <v>10.103000000000002</v>
      </c>
      <c r="U33" s="19">
        <f t="shared" si="13"/>
        <v>1.0716878908452077E-2</v>
      </c>
    </row>
    <row r="34" spans="1:21" x14ac:dyDescent="0.25">
      <c r="A34" s="17" t="s">
        <v>56</v>
      </c>
      <c r="B34" s="18">
        <v>8</v>
      </c>
      <c r="C34" s="19">
        <v>2592.884</v>
      </c>
      <c r="D34" s="19">
        <v>-506.09699999999998</v>
      </c>
      <c r="E34" s="19">
        <v>16.387</v>
      </c>
      <c r="F34" s="19">
        <f t="shared" si="10"/>
        <v>2.7985142576752411E-2</v>
      </c>
      <c r="G34" s="19">
        <v>1896.69</v>
      </c>
      <c r="H34" s="19">
        <v>-449.28199999999998</v>
      </c>
      <c r="I34" s="19">
        <v>44.697000000000003</v>
      </c>
      <c r="J34" s="19">
        <f t="shared" si="7"/>
        <v>28.310000000000002</v>
      </c>
      <c r="K34" s="19">
        <f t="shared" si="11"/>
        <v>3.9837855289105731E-2</v>
      </c>
      <c r="L34" s="19">
        <v>1204.9960000000001</v>
      </c>
      <c r="M34" s="19">
        <v>-334.459</v>
      </c>
      <c r="N34" s="19">
        <v>69.689000000000007</v>
      </c>
      <c r="O34" s="19">
        <f t="shared" si="8"/>
        <v>24.992000000000004</v>
      </c>
      <c r="P34" s="19">
        <f t="shared" si="12"/>
        <v>3.0013903081294476E-2</v>
      </c>
      <c r="Q34" s="19">
        <v>517.46199999999999</v>
      </c>
      <c r="R34" s="19">
        <v>-167.22900000000001</v>
      </c>
      <c r="S34" s="19">
        <v>81.44</v>
      </c>
      <c r="T34" s="19">
        <f t="shared" si="9"/>
        <v>11.750999999999991</v>
      </c>
      <c r="U34" s="19">
        <f t="shared" si="13"/>
        <v>1.2120497365887484E-2</v>
      </c>
    </row>
    <row r="35" spans="1:21" x14ac:dyDescent="0.25">
      <c r="A35" s="17" t="s">
        <v>56</v>
      </c>
      <c r="B35" s="18">
        <v>9</v>
      </c>
      <c r="C35" s="19">
        <v>2592.884</v>
      </c>
      <c r="D35" s="19">
        <v>-521.899</v>
      </c>
      <c r="E35" s="19">
        <v>21.663</v>
      </c>
      <c r="F35" s="19">
        <f t="shared" si="10"/>
        <v>3.5875170030983006E-2</v>
      </c>
      <c r="G35" s="19">
        <v>1896.69</v>
      </c>
      <c r="H35" s="19">
        <v>-463.31</v>
      </c>
      <c r="I35" s="19">
        <v>55.756999999999998</v>
      </c>
      <c r="J35" s="19">
        <f t="shared" si="7"/>
        <v>34.093999999999994</v>
      </c>
      <c r="K35" s="19">
        <f t="shared" si="11"/>
        <v>4.6524464440655278E-2</v>
      </c>
      <c r="L35" s="19">
        <v>1204.9960000000001</v>
      </c>
      <c r="M35" s="19">
        <v>-344.90100000000001</v>
      </c>
      <c r="N35" s="19">
        <v>85.801000000000002</v>
      </c>
      <c r="O35" s="19">
        <f t="shared" si="8"/>
        <v>30.044000000000004</v>
      </c>
      <c r="P35" s="19">
        <f t="shared" si="12"/>
        <v>3.4988687404984821E-2</v>
      </c>
      <c r="Q35" s="19">
        <v>517.46199999999999</v>
      </c>
      <c r="R35" s="19">
        <v>-172.45099999999999</v>
      </c>
      <c r="S35" s="19">
        <v>100.508</v>
      </c>
      <c r="T35" s="19">
        <f t="shared" si="9"/>
        <v>14.706999999999994</v>
      </c>
      <c r="U35" s="19">
        <f t="shared" si="13"/>
        <v>1.4710098586458371E-2</v>
      </c>
    </row>
    <row r="36" spans="1:21" x14ac:dyDescent="0.25">
      <c r="A36" s="17" t="s">
        <v>56</v>
      </c>
      <c r="B36" s="18">
        <v>10</v>
      </c>
      <c r="C36" s="19">
        <v>2592.884</v>
      </c>
      <c r="D36" s="19">
        <v>-536.65800000000002</v>
      </c>
      <c r="E36" s="19">
        <v>26.841000000000001</v>
      </c>
      <c r="F36" s="19">
        <f t="shared" si="10"/>
        <v>4.3227778488348252E-2</v>
      </c>
      <c r="G36" s="19">
        <v>1896.69</v>
      </c>
      <c r="H36" s="19">
        <v>-476.41300000000001</v>
      </c>
      <c r="I36" s="19">
        <v>66.594999999999999</v>
      </c>
      <c r="J36" s="19">
        <f t="shared" si="7"/>
        <v>39.753999999999998</v>
      </c>
      <c r="K36" s="19">
        <f t="shared" si="11"/>
        <v>5.2756057076528133E-2</v>
      </c>
      <c r="L36" s="19">
        <v>1204.9960000000001</v>
      </c>
      <c r="M36" s="19">
        <v>-354.65600000000001</v>
      </c>
      <c r="N36" s="19">
        <v>101.63</v>
      </c>
      <c r="O36" s="19">
        <f t="shared" si="8"/>
        <v>35.034999999999997</v>
      </c>
      <c r="P36" s="19">
        <f t="shared" si="12"/>
        <v>3.9678857691208755E-2</v>
      </c>
      <c r="Q36" s="19">
        <v>517.46199999999999</v>
      </c>
      <c r="R36" s="19">
        <v>-177.328</v>
      </c>
      <c r="S36" s="19">
        <v>119.396</v>
      </c>
      <c r="T36" s="19">
        <f t="shared" si="9"/>
        <v>17.766000000000005</v>
      </c>
      <c r="U36" s="19">
        <f t="shared" si="13"/>
        <v>1.7281027045926194E-2</v>
      </c>
    </row>
    <row r="37" spans="1:21" x14ac:dyDescent="0.25">
      <c r="A37" s="17" t="s">
        <v>56</v>
      </c>
      <c r="B37" s="18">
        <v>11</v>
      </c>
      <c r="C37" s="19">
        <v>2592.884</v>
      </c>
      <c r="D37" s="19">
        <v>-538.44600000000003</v>
      </c>
      <c r="E37" s="19">
        <v>27.567</v>
      </c>
      <c r="F37" s="19">
        <f t="shared" si="10"/>
        <v>4.4249583200543785E-2</v>
      </c>
      <c r="G37" s="19">
        <v>1896.69</v>
      </c>
      <c r="H37" s="19">
        <v>-477.99900000000002</v>
      </c>
      <c r="I37" s="19">
        <v>68.131</v>
      </c>
      <c r="J37" s="19">
        <f t="shared" si="7"/>
        <v>40.564</v>
      </c>
      <c r="K37" s="19">
        <f t="shared" si="11"/>
        <v>5.3652366887796843E-2</v>
      </c>
      <c r="L37" s="19">
        <v>1204.9960000000001</v>
      </c>
      <c r="M37" s="19">
        <v>-355.83699999999999</v>
      </c>
      <c r="N37" s="19">
        <v>103.932</v>
      </c>
      <c r="O37" s="19">
        <f t="shared" si="8"/>
        <v>35.801000000000002</v>
      </c>
      <c r="P37" s="19">
        <f t="shared" si="12"/>
        <v>4.0411819452914305E-2</v>
      </c>
      <c r="Q37" s="19">
        <v>517.46199999999999</v>
      </c>
      <c r="R37" s="19">
        <v>-177.91800000000001</v>
      </c>
      <c r="S37" s="19">
        <v>122.274</v>
      </c>
      <c r="T37" s="19">
        <f t="shared" si="9"/>
        <v>18.341999999999999</v>
      </c>
      <c r="U37" s="19">
        <f t="shared" si="13"/>
        <v>1.7782139345091555E-2</v>
      </c>
    </row>
    <row r="38" spans="1:21" x14ac:dyDescent="0.25">
      <c r="A38" s="17" t="s">
        <v>56</v>
      </c>
      <c r="B38" s="18">
        <v>12</v>
      </c>
      <c r="C38" s="19">
        <v>2592.884</v>
      </c>
      <c r="D38" s="19">
        <v>-545.28399999999999</v>
      </c>
      <c r="E38" s="19">
        <v>31.555</v>
      </c>
      <c r="F38" s="19">
        <f t="shared" si="10"/>
        <v>5.0015804987248239E-2</v>
      </c>
      <c r="G38" s="19">
        <v>1896.69</v>
      </c>
      <c r="H38" s="19">
        <v>-484.07</v>
      </c>
      <c r="I38" s="19">
        <v>76.855999999999995</v>
      </c>
      <c r="J38" s="19">
        <f t="shared" si="7"/>
        <v>45.300999999999995</v>
      </c>
      <c r="K38" s="19">
        <f t="shared" si="11"/>
        <v>5.9166342119941324E-2</v>
      </c>
      <c r="L38" s="19">
        <v>1204.9960000000001</v>
      </c>
      <c r="M38" s="19">
        <v>-360.35599999999999</v>
      </c>
      <c r="N38" s="19">
        <v>117.804</v>
      </c>
      <c r="O38" s="19">
        <f t="shared" si="8"/>
        <v>40.948000000000008</v>
      </c>
      <c r="P38" s="19">
        <f t="shared" si="12"/>
        <v>4.5642065261389676E-2</v>
      </c>
      <c r="Q38" s="19">
        <v>517.46199999999999</v>
      </c>
      <c r="R38" s="19">
        <v>-180.178</v>
      </c>
      <c r="S38" s="19">
        <v>141.31099999999998</v>
      </c>
      <c r="T38" s="19">
        <f t="shared" si="9"/>
        <v>23.506999999999977</v>
      </c>
      <c r="U38" s="19">
        <f t="shared" si="13"/>
        <v>2.2503633876869888E-2</v>
      </c>
    </row>
    <row r="39" spans="1:21" x14ac:dyDescent="0.25">
      <c r="A39" s="17" t="s">
        <v>56</v>
      </c>
      <c r="B39" s="18">
        <v>13</v>
      </c>
      <c r="C39" s="19">
        <v>2592.884</v>
      </c>
      <c r="D39" s="19">
        <v>-551.88</v>
      </c>
      <c r="E39" s="19">
        <v>35.664999999999999</v>
      </c>
      <c r="F39" s="19">
        <f t="shared" si="10"/>
        <v>5.5854659140876048E-2</v>
      </c>
      <c r="G39" s="19">
        <v>1896.69</v>
      </c>
      <c r="H39" s="19">
        <v>-489.92500000000001</v>
      </c>
      <c r="I39" s="19">
        <v>85.856000000000009</v>
      </c>
      <c r="J39" s="19">
        <f t="shared" si="7"/>
        <v>50.19100000000001</v>
      </c>
      <c r="K39" s="19">
        <f t="shared" si="11"/>
        <v>6.4769619696892378E-2</v>
      </c>
      <c r="L39" s="19">
        <v>1204.9960000000001</v>
      </c>
      <c r="M39" s="19">
        <v>-364.71499999999997</v>
      </c>
      <c r="N39" s="19">
        <v>132.17599999999999</v>
      </c>
      <c r="O39" s="19">
        <f t="shared" si="8"/>
        <v>46.319999999999979</v>
      </c>
      <c r="P39" s="19">
        <f t="shared" si="12"/>
        <v>5.1012813402245567E-2</v>
      </c>
      <c r="Q39" s="19">
        <v>517.46199999999999</v>
      </c>
      <c r="R39" s="19">
        <v>-182.357</v>
      </c>
      <c r="S39" s="19">
        <v>161.221</v>
      </c>
      <c r="T39" s="19">
        <f t="shared" si="9"/>
        <v>29.045000000000016</v>
      </c>
      <c r="U39" s="19">
        <f t="shared" si="13"/>
        <v>2.7473004034211292E-2</v>
      </c>
    </row>
    <row r="40" spans="1:21" x14ac:dyDescent="0.25">
      <c r="A40" s="17" t="s">
        <v>56</v>
      </c>
      <c r="B40" s="18">
        <v>14</v>
      </c>
      <c r="C40" s="19">
        <v>2592.884</v>
      </c>
      <c r="D40" s="19">
        <v>-555.18100000000004</v>
      </c>
      <c r="E40" s="19">
        <v>37.719000000000001</v>
      </c>
      <c r="F40" s="19">
        <f t="shared" si="10"/>
        <v>5.8720184105724077E-2</v>
      </c>
      <c r="G40" s="19">
        <v>1896.69</v>
      </c>
      <c r="H40" s="19">
        <v>-492.85500000000002</v>
      </c>
      <c r="I40" s="19">
        <v>90.356000000000009</v>
      </c>
      <c r="J40" s="19">
        <f t="shared" si="7"/>
        <v>52.637000000000008</v>
      </c>
      <c r="K40" s="19">
        <f t="shared" si="11"/>
        <v>6.7522274320033285E-2</v>
      </c>
      <c r="L40" s="19">
        <v>1204.9960000000001</v>
      </c>
      <c r="M40" s="19">
        <v>-366.89600000000002</v>
      </c>
      <c r="N40" s="19">
        <v>139.36200000000002</v>
      </c>
      <c r="O40" s="19">
        <f t="shared" si="8"/>
        <v>49.006000000000014</v>
      </c>
      <c r="P40" s="19">
        <f t="shared" si="12"/>
        <v>5.3650111544779285E-2</v>
      </c>
      <c r="Q40" s="19">
        <v>517.46199999999999</v>
      </c>
      <c r="R40" s="19">
        <v>-183.44800000000001</v>
      </c>
      <c r="S40" s="19">
        <v>171.178</v>
      </c>
      <c r="T40" s="19">
        <f t="shared" si="9"/>
        <v>31.815999999999974</v>
      </c>
      <c r="U40" s="19">
        <f t="shared" si="13"/>
        <v>2.9915054932914659E-2</v>
      </c>
    </row>
    <row r="41" spans="1:21" x14ac:dyDescent="0.25">
      <c r="A41" s="17" t="s">
        <v>56</v>
      </c>
      <c r="B41" s="18">
        <v>15</v>
      </c>
      <c r="C41" s="19">
        <v>2592.884</v>
      </c>
      <c r="D41" s="19">
        <v>-537.25400000000002</v>
      </c>
      <c r="E41" s="19">
        <v>37.893000000000001</v>
      </c>
      <c r="F41" s="19">
        <f t="shared" si="10"/>
        <v>6.0959467596332459E-2</v>
      </c>
      <c r="G41" s="19">
        <v>1896.69</v>
      </c>
      <c r="H41" s="19">
        <v>-476.94099999999997</v>
      </c>
      <c r="I41" s="19">
        <v>92.00800000000001</v>
      </c>
      <c r="J41" s="19">
        <f t="shared" si="7"/>
        <v>54.115000000000009</v>
      </c>
      <c r="K41" s="19">
        <f t="shared" si="11"/>
        <v>7.1734504791997361E-2</v>
      </c>
      <c r="L41" s="19">
        <v>1204.9960000000001</v>
      </c>
      <c r="M41" s="19">
        <v>-355.04899999999998</v>
      </c>
      <c r="N41" s="19">
        <v>142.80699999999999</v>
      </c>
      <c r="O41" s="19">
        <f t="shared" si="8"/>
        <v>50.798999999999978</v>
      </c>
      <c r="P41" s="19">
        <f t="shared" si="12"/>
        <v>5.7468679725896969E-2</v>
      </c>
      <c r="Q41" s="19">
        <v>517.46199999999999</v>
      </c>
      <c r="R41" s="19">
        <v>-177.52500000000001</v>
      </c>
      <c r="S41" s="19">
        <v>175.28899999999999</v>
      </c>
      <c r="T41" s="19">
        <f t="shared" si="9"/>
        <v>32.481999999999999</v>
      </c>
      <c r="U41" s="19">
        <f t="shared" si="13"/>
        <v>3.1560251014411109E-2</v>
      </c>
    </row>
    <row r="42" spans="1:21" x14ac:dyDescent="0.25">
      <c r="A42" s="17" t="s">
        <v>56</v>
      </c>
      <c r="B42" s="18">
        <v>16</v>
      </c>
      <c r="C42" s="19">
        <v>2592.884</v>
      </c>
      <c r="D42" s="19">
        <v>-538.077</v>
      </c>
      <c r="E42" s="19">
        <v>37.988</v>
      </c>
      <c r="F42" s="19">
        <f t="shared" si="10"/>
        <v>6.1018824066691818E-2</v>
      </c>
      <c r="G42" s="19">
        <v>1896.69</v>
      </c>
      <c r="H42" s="19">
        <v>-477.67200000000003</v>
      </c>
      <c r="I42" s="19">
        <v>92.304999999999993</v>
      </c>
      <c r="J42" s="19">
        <f t="shared" si="7"/>
        <v>54.316999999999993</v>
      </c>
      <c r="K42" s="19">
        <f t="shared" si="11"/>
        <v>7.1892086850391043E-2</v>
      </c>
      <c r="L42" s="19">
        <v>1204.9960000000001</v>
      </c>
      <c r="M42" s="19">
        <v>-355.59300000000002</v>
      </c>
      <c r="N42" s="19">
        <v>143.38</v>
      </c>
      <c r="O42" s="19">
        <f t="shared" si="8"/>
        <v>51.075000000000003</v>
      </c>
      <c r="P42" s="19">
        <f t="shared" si="12"/>
        <v>5.7692521787549259E-2</v>
      </c>
      <c r="Q42" s="19">
        <v>517.46199999999999</v>
      </c>
      <c r="R42" s="19">
        <v>-177.797</v>
      </c>
      <c r="S42" s="19">
        <v>176.16899999999998</v>
      </c>
      <c r="T42" s="19">
        <f t="shared" si="9"/>
        <v>32.788999999999987</v>
      </c>
      <c r="U42" s="19">
        <f t="shared" si="13"/>
        <v>3.1809800911526423E-2</v>
      </c>
    </row>
    <row r="43" spans="1:21" x14ac:dyDescent="0.25">
      <c r="A43" s="17" t="s">
        <v>56</v>
      </c>
      <c r="B43" s="18">
        <v>17</v>
      </c>
      <c r="C43" s="19">
        <v>2592.884</v>
      </c>
      <c r="D43" s="19">
        <v>-522.43299999999999</v>
      </c>
      <c r="E43" s="19">
        <v>38.57</v>
      </c>
      <c r="F43" s="19">
        <f t="shared" si="10"/>
        <v>6.3808843035055851E-2</v>
      </c>
      <c r="G43" s="19">
        <v>1896.69</v>
      </c>
      <c r="H43" s="19">
        <v>-463.78399999999999</v>
      </c>
      <c r="I43" s="19">
        <v>94.965999999999994</v>
      </c>
      <c r="J43" s="19">
        <f t="shared" si="7"/>
        <v>56.395999999999994</v>
      </c>
      <c r="K43" s="19">
        <f t="shared" si="11"/>
        <v>7.6878984786021079E-2</v>
      </c>
      <c r="L43" s="19">
        <v>1204.9960000000001</v>
      </c>
      <c r="M43" s="19">
        <v>-345.255</v>
      </c>
      <c r="N43" s="19">
        <v>148.55500000000001</v>
      </c>
      <c r="O43" s="19">
        <f t="shared" si="8"/>
        <v>53.589000000000013</v>
      </c>
      <c r="P43" s="19">
        <f t="shared" si="12"/>
        <v>6.2344769946850905E-2</v>
      </c>
      <c r="Q43" s="19">
        <v>517.46199999999999</v>
      </c>
      <c r="R43" s="19">
        <v>-172.62700000000001</v>
      </c>
      <c r="S43" s="19">
        <v>182.994</v>
      </c>
      <c r="T43" s="19">
        <f t="shared" si="9"/>
        <v>34.438999999999993</v>
      </c>
      <c r="U43" s="19">
        <f t="shared" si="13"/>
        <v>3.4411136569984208E-2</v>
      </c>
    </row>
    <row r="44" spans="1:21" x14ac:dyDescent="0.25">
      <c r="B44" s="25"/>
    </row>
    <row r="45" spans="1:21" x14ac:dyDescent="0.25">
      <c r="B45" s="25"/>
    </row>
    <row r="46" spans="1:21" x14ac:dyDescent="0.25">
      <c r="B46" s="25"/>
    </row>
    <row r="47" spans="1:21" x14ac:dyDescent="0.25">
      <c r="B47" s="25"/>
    </row>
    <row r="48" spans="1:21" x14ac:dyDescent="0.25">
      <c r="B48" s="25"/>
    </row>
    <row r="49" spans="2:2" x14ac:dyDescent="0.25">
      <c r="B49" s="25"/>
    </row>
    <row r="50" spans="2:2" x14ac:dyDescent="0.25">
      <c r="B50" s="25"/>
    </row>
    <row r="51" spans="2:2" x14ac:dyDescent="0.25">
      <c r="B51" s="25"/>
    </row>
    <row r="52" spans="2:2" x14ac:dyDescent="0.25">
      <c r="B52" s="25"/>
    </row>
    <row r="53" spans="2:2" x14ac:dyDescent="0.25">
      <c r="B53" s="25"/>
    </row>
    <row r="54" spans="2:2" x14ac:dyDescent="0.25">
      <c r="B54" s="25"/>
    </row>
    <row r="55" spans="2:2" x14ac:dyDescent="0.25">
      <c r="B55" s="25"/>
    </row>
    <row r="56" spans="2:2" x14ac:dyDescent="0.25">
      <c r="B56" s="25"/>
    </row>
    <row r="57" spans="2:2" x14ac:dyDescent="0.25">
      <c r="B57" s="25"/>
    </row>
    <row r="58" spans="2:2" x14ac:dyDescent="0.25">
      <c r="B58" s="25"/>
    </row>
    <row r="59" spans="2:2" x14ac:dyDescent="0.25">
      <c r="B59" s="25"/>
    </row>
    <row r="60" spans="2:2" x14ac:dyDescent="0.25">
      <c r="B60" s="25"/>
    </row>
    <row r="61" spans="2:2" x14ac:dyDescent="0.25">
      <c r="B61" s="25"/>
    </row>
    <row r="62" spans="2:2" x14ac:dyDescent="0.25">
      <c r="B62" s="25"/>
    </row>
    <row r="63" spans="2:2" x14ac:dyDescent="0.25">
      <c r="B63" s="25"/>
    </row>
    <row r="64" spans="2:2" x14ac:dyDescent="0.25">
      <c r="B64" s="25"/>
    </row>
    <row r="65" spans="2:2" x14ac:dyDescent="0.25">
      <c r="B65" s="25"/>
    </row>
    <row r="66" spans="2:2" x14ac:dyDescent="0.25">
      <c r="B66" s="25"/>
    </row>
    <row r="67" spans="2:2" x14ac:dyDescent="0.25">
      <c r="B67" s="25"/>
    </row>
    <row r="68" spans="2:2" x14ac:dyDescent="0.25">
      <c r="B68" s="25"/>
    </row>
    <row r="69" spans="2:2" x14ac:dyDescent="0.25">
      <c r="B69" s="25"/>
    </row>
    <row r="70" spans="2:2" x14ac:dyDescent="0.25">
      <c r="B70" s="25"/>
    </row>
    <row r="71" spans="2:2" x14ac:dyDescent="0.25">
      <c r="B71" s="25"/>
    </row>
    <row r="72" spans="2:2" x14ac:dyDescent="0.25">
      <c r="B72" s="25"/>
    </row>
    <row r="73" spans="2:2" x14ac:dyDescent="0.25">
      <c r="B73" s="25"/>
    </row>
    <row r="74" spans="2:2" x14ac:dyDescent="0.25">
      <c r="B74" s="25"/>
    </row>
    <row r="75" spans="2:2" x14ac:dyDescent="0.25">
      <c r="B75" s="25"/>
    </row>
    <row r="76" spans="2:2" x14ac:dyDescent="0.25">
      <c r="B76" s="25"/>
    </row>
    <row r="77" spans="2:2" x14ac:dyDescent="0.25">
      <c r="B77" s="25"/>
    </row>
    <row r="78" spans="2:2" x14ac:dyDescent="0.25">
      <c r="B78" s="25"/>
    </row>
    <row r="79" spans="2:2" x14ac:dyDescent="0.25">
      <c r="B79" s="25"/>
    </row>
    <row r="80" spans="2:2" x14ac:dyDescent="0.25">
      <c r="B80" s="25"/>
    </row>
    <row r="81" spans="2:2" x14ac:dyDescent="0.25">
      <c r="B81" s="25"/>
    </row>
    <row r="82" spans="2:2" x14ac:dyDescent="0.25">
      <c r="B82" s="25"/>
    </row>
    <row r="83" spans="2:2" x14ac:dyDescent="0.25">
      <c r="B83" s="25"/>
    </row>
  </sheetData>
  <mergeCells count="10">
    <mergeCell ref="A1:B1"/>
    <mergeCell ref="C1:F1"/>
    <mergeCell ref="G1:K1"/>
    <mergeCell ref="L1:P1"/>
    <mergeCell ref="Q1:U1"/>
    <mergeCell ref="A23:B23"/>
    <mergeCell ref="C23:F23"/>
    <mergeCell ref="G23:K23"/>
    <mergeCell ref="L23:P23"/>
    <mergeCell ref="Q23:U23"/>
  </mergeCells>
  <conditionalFormatting sqref="K4:K20 P4:P20 U4:U20 F4:F20">
    <cfRule type="cellIs" dxfId="4" priority="4" operator="greaterThan">
      <formula>0.2</formula>
    </cfRule>
    <cfRule type="cellIs" dxfId="3" priority="5" operator="lessThan">
      <formula>0.2</formula>
    </cfRule>
  </conditionalFormatting>
  <conditionalFormatting sqref="F26:F43 P26:P43 K26:K43 U26:U43">
    <cfRule type="cellIs" dxfId="2" priority="2" operator="greaterThan">
      <formula>0.2</formula>
    </cfRule>
    <cfRule type="cellIs" dxfId="1" priority="3" operator="lessThan">
      <formula>0.2</formula>
    </cfRule>
  </conditionalFormatting>
  <conditionalFormatting sqref="F4:F20 K4:K20 P4:P20 U4:U20 F26:F43 K26:K43 P26:P43 U26:U43">
    <cfRule type="cellIs" dxfId="0" priority="1" operator="greaterThan">
      <formula>0.1</formula>
    </cfRule>
  </conditionalFormatting>
  <pageMargins left="0.25" right="0.25" top="0.75" bottom="0.75" header="0.3" footer="0.3"/>
  <pageSetup paperSize="9" scale="6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DDAAA-B5BE-493B-8758-BB543718B031}">
  <dimension ref="A1:M4"/>
  <sheetViews>
    <sheetView workbookViewId="0">
      <selection activeCell="M1" sqref="M1:M1048576"/>
    </sheetView>
  </sheetViews>
  <sheetFormatPr defaultRowHeight="15" x14ac:dyDescent="0.25"/>
  <cols>
    <col min="1" max="1" width="13.85546875" style="2" bestFit="1" customWidth="1"/>
    <col min="2" max="2" width="9.140625" style="2" customWidth="1"/>
    <col min="3" max="3" width="9.7109375" style="2" bestFit="1" customWidth="1"/>
    <col min="4" max="4" width="23.7109375" style="2" bestFit="1" customWidth="1"/>
    <col min="5" max="5" width="10" style="2" bestFit="1" customWidth="1"/>
    <col min="6" max="6" width="9.7109375" style="2" bestFit="1" customWidth="1"/>
    <col min="7" max="7" width="9.85546875" style="2" bestFit="1" customWidth="1"/>
    <col min="8" max="8" width="9.42578125" style="2" bestFit="1" customWidth="1"/>
    <col min="9" max="9" width="12" style="2" bestFit="1" customWidth="1"/>
    <col min="10" max="10" width="10.140625" style="2" bestFit="1" customWidth="1"/>
    <col min="11" max="11" width="12.28515625" style="2" bestFit="1" customWidth="1"/>
    <col min="12" max="12" width="10.7109375" style="2" bestFit="1" customWidth="1"/>
    <col min="13" max="13" width="11.7109375" style="2" bestFit="1" customWidth="1"/>
  </cols>
  <sheetData>
    <row r="1" spans="1:13" x14ac:dyDescent="0.25">
      <c r="A1" s="1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4" t="s">
        <v>6</v>
      </c>
      <c r="B2" s="4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</row>
    <row r="3" spans="1:13" x14ac:dyDescent="0.25">
      <c r="A3" s="5" t="s">
        <v>1</v>
      </c>
      <c r="B3" s="5" t="s">
        <v>1</v>
      </c>
      <c r="C3" s="7" t="s">
        <v>1</v>
      </c>
      <c r="D3" s="7" t="s">
        <v>1</v>
      </c>
      <c r="E3" s="7" t="s">
        <v>1</v>
      </c>
      <c r="F3" s="7" t="s">
        <v>1</v>
      </c>
      <c r="G3" s="7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</row>
    <row r="4" spans="1:13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27</v>
      </c>
      <c r="K4" s="2" t="s">
        <v>28</v>
      </c>
      <c r="L4" s="2" t="s">
        <v>29</v>
      </c>
      <c r="M4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DIRX</vt:lpstr>
      <vt:lpstr>DIRY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cp:lastPrinted>2019-11-30T17:53:24Z</cp:lastPrinted>
  <dcterms:created xsi:type="dcterms:W3CDTF">2019-11-29T15:23:34Z</dcterms:created>
  <dcterms:modified xsi:type="dcterms:W3CDTF">2019-11-30T17:53:27Z</dcterms:modified>
</cp:coreProperties>
</file>