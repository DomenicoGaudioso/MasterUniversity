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936DBE72-DDC8-406F-9317-98506B3B53BC}" xr6:coauthVersionLast="44" xr6:coauthVersionMax="44" xr10:uidLastSave="{00000000-0000-0000-0000-000000000000}"/>
  <bookViews>
    <workbookView xWindow="-120" yWindow="-120" windowWidth="20730" windowHeight="11160" activeTab="1" xr2:uid="{68EE5251-06F6-4283-913D-3770CCB2D88D}"/>
  </bookViews>
  <sheets>
    <sheet name="Pushover DATI" sheetId="1" r:id="rId1"/>
    <sheet name="Verifica" sheetId="3" r:id="rId2"/>
    <sheet name="Andamento forz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E15" i="4" l="1"/>
  <c r="E16" i="4"/>
  <c r="E17" i="4"/>
  <c r="E18" i="4"/>
  <c r="E8" i="4"/>
  <c r="E9" i="4"/>
  <c r="E10" i="4"/>
  <c r="E11" i="4"/>
  <c r="E2" i="4"/>
  <c r="E3" i="4"/>
  <c r="E4" i="4"/>
  <c r="E5" i="4"/>
  <c r="X11" i="3" l="1"/>
  <c r="Y19" i="3" s="1"/>
  <c r="Y11" i="3"/>
  <c r="D3" i="1"/>
  <c r="X20" i="3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AA18" i="3" l="1"/>
  <c r="Y10" i="3"/>
  <c r="X10" i="3"/>
  <c r="Y21" i="3" s="1"/>
  <c r="Y22" i="3" s="1"/>
  <c r="Y8" i="3"/>
  <c r="AC26" i="3" s="1"/>
  <c r="X8" i="3"/>
  <c r="AB29" i="3" l="1"/>
  <c r="X26" i="3"/>
  <c r="X17" i="3"/>
  <c r="Y17" i="3" s="1"/>
  <c r="X19" i="3"/>
  <c r="Y18" i="3" l="1"/>
  <c r="AA20" i="3" s="1"/>
  <c r="X22" i="3" l="1"/>
  <c r="W26" i="3" s="1"/>
  <c r="Y26" i="3" s="1"/>
</calcChain>
</file>

<file path=xl/sharedStrings.xml><?xml version="1.0" encoding="utf-8"?>
<sst xmlns="http://schemas.openxmlformats.org/spreadsheetml/2006/main" count="55" uniqueCount="38">
  <si>
    <t>Step</t>
  </si>
  <si>
    <t>STEP</t>
  </si>
  <si>
    <t>d [m]</t>
  </si>
  <si>
    <t>V [KN]</t>
  </si>
  <si>
    <t>CALCOLO FATTORE DI STRUTTURA</t>
  </si>
  <si>
    <t>Vy [KN]</t>
  </si>
  <si>
    <t>dy [m]</t>
  </si>
  <si>
    <t>du [m]</t>
  </si>
  <si>
    <t>Vu [KN]</t>
  </si>
  <si>
    <t>Ve [KN]</t>
  </si>
  <si>
    <t>de [m]</t>
  </si>
  <si>
    <t>PARAMETRI DI PROGETTO</t>
  </si>
  <si>
    <t>q</t>
  </si>
  <si>
    <t>DATI PUSHOVER X</t>
  </si>
  <si>
    <t>Ω</t>
  </si>
  <si>
    <t>0,60Fbu [KN]</t>
  </si>
  <si>
    <t>x</t>
  </si>
  <si>
    <t>y</t>
  </si>
  <si>
    <t>calcolo area</t>
  </si>
  <si>
    <t>Area grafico  1</t>
  </si>
  <si>
    <t>Area grafico 2</t>
  </si>
  <si>
    <t>0,85Fbu [KN]</t>
  </si>
  <si>
    <t>Vy* [KN]</t>
  </si>
  <si>
    <t>LINEARIZZAZIONE GRAFICO</t>
  </si>
  <si>
    <t>Rμ</t>
  </si>
  <si>
    <t>Ɣ</t>
  </si>
  <si>
    <t>0,85Vu* [KN]</t>
  </si>
  <si>
    <t>Veu [KN]</t>
  </si>
  <si>
    <t>Tipo di analisi</t>
  </si>
  <si>
    <t>impalcato</t>
  </si>
  <si>
    <t>sisma</t>
  </si>
  <si>
    <t>Fi (KN)</t>
  </si>
  <si>
    <t>Distribuzione</t>
  </si>
  <si>
    <t>DINAMICA LINEARE</t>
  </si>
  <si>
    <t>direzione Y</t>
  </si>
  <si>
    <t>direzione X</t>
  </si>
  <si>
    <t>ACCELERAZIONE COSTANTE</t>
  </si>
  <si>
    <t>mi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</si>
</sst>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/>
    <xf numFmtId="2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4" fillId="0" borderId="0" xfId="0" applyFont="1" applyBorder="1" applyAlignment="1"/>
    <xf numFmtId="164" fontId="0" fillId="0" borderId="2" xfId="0" applyNumberForma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0" xfId="0" applyFont="1"/>
    <xf numFmtId="0" fontId="0" fillId="0" borderId="0" xfId="0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0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2000"/>
              <a:t>Curva Pushover GRUPPO 1</a:t>
            </a:r>
          </a:p>
        </c:rich>
      </c:tx>
      <c:layout>
        <c:manualLayout>
          <c:xMode val="edge"/>
          <c:yMode val="edge"/>
          <c:x val="0.37825451888482459"/>
          <c:y val="1.2880122067046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686972191084825"/>
          <c:y val="6.4633580793892309E-2"/>
          <c:w val="0.82692815984828205"/>
          <c:h val="0.80291506817636127"/>
        </c:manualLayout>
      </c:layout>
      <c:scatterChart>
        <c:scatterStyle val="lineMarker"/>
        <c:varyColors val="0"/>
        <c:ser>
          <c:idx val="0"/>
          <c:order val="0"/>
          <c:tx>
            <c:v>Vu-du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FFC000"/>
                </a:solidFill>
                <a:ln w="133350">
                  <a:solidFill>
                    <a:srgbClr val="FFC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5AC-4DA7-BEBE-2EA3635C063B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34A-4AA4-A2BB-756E74D21374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C9-4B86-B9E8-2C8CD3E750B6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34A-4AA4-A2BB-756E74D21374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5AC-4DA7-BEBE-2EA3635C063B}"/>
              </c:ext>
            </c:extLst>
          </c:dPt>
          <c:xVal>
            <c:numRef>
              <c:f>Verifica!$X$10</c:f>
              <c:numCache>
                <c:formatCode>0.00</c:formatCode>
                <c:ptCount val="1"/>
                <c:pt idx="0">
                  <c:v>0.13916200000000001</c:v>
                </c:pt>
              </c:numCache>
            </c:numRef>
          </c:xVal>
          <c:yVal>
            <c:numRef>
              <c:f>Verifica!$Y$10</c:f>
              <c:numCache>
                <c:formatCode>0.00</c:formatCode>
                <c:ptCount val="1"/>
                <c:pt idx="0">
                  <c:v>746.14200000000005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9-4B86-B9E8-2C8CD3E750B6}"/>
            </c:ext>
          </c:extLst>
        </c:ser>
        <c:ser>
          <c:idx val="1"/>
          <c:order val="1"/>
          <c:tx>
            <c:v>Vy-dy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190500">
                <a:solidFill>
                  <a:srgbClr val="FFFF00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7030A0"/>
                </a:solidFill>
                <a:ln w="190500">
                  <a:solidFill>
                    <a:srgbClr val="7030A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5AC-4DA7-BEBE-2EA3635C063B}"/>
              </c:ext>
            </c:extLst>
          </c:dPt>
          <c:xVal>
            <c:numRef>
              <c:f>Verifica!$X$8</c:f>
              <c:numCache>
                <c:formatCode>0.000</c:formatCode>
                <c:ptCount val="1"/>
                <c:pt idx="0">
                  <c:v>3.0839999999999999E-2</c:v>
                </c:pt>
              </c:numCache>
            </c:numRef>
          </c:xVal>
          <c:yVal>
            <c:numRef>
              <c:f>Verifica!$Y$8</c:f>
              <c:numCache>
                <c:formatCode>0.00</c:formatCode>
                <c:ptCount val="1"/>
                <c:pt idx="0">
                  <c:v>479.93599999999998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C9-4B86-B9E8-2C8CD3E750B6}"/>
            </c:ext>
          </c:extLst>
        </c:ser>
        <c:ser>
          <c:idx val="2"/>
          <c:order val="2"/>
          <c:tx>
            <c:v>Curva Pushover X</c:v>
          </c:tx>
          <c:spPr>
            <a:ln w="28575" cap="rnd">
              <a:solidFill>
                <a:srgbClr val="FF0000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xVal>
            <c:numRef>
              <c:f>'Pushover DATI'!$B$2:$B$38</c:f>
              <c:numCache>
                <c:formatCode>General</c:formatCode>
                <c:ptCount val="37"/>
                <c:pt idx="0">
                  <c:v>4.5000000000000003E-5</c:v>
                </c:pt>
                <c:pt idx="1">
                  <c:v>2.0045E-2</c:v>
                </c:pt>
                <c:pt idx="2">
                  <c:v>3.0839999999999999E-2</c:v>
                </c:pt>
                <c:pt idx="3">
                  <c:v>3.3669999999999999E-2</c:v>
                </c:pt>
                <c:pt idx="4">
                  <c:v>4.0118000000000001E-2</c:v>
                </c:pt>
                <c:pt idx="5">
                  <c:v>4.0314000000000003E-2</c:v>
                </c:pt>
                <c:pt idx="6">
                  <c:v>4.4178000000000002E-2</c:v>
                </c:pt>
                <c:pt idx="7">
                  <c:v>4.4318999999999997E-2</c:v>
                </c:pt>
                <c:pt idx="8">
                  <c:v>6.7280000000000006E-2</c:v>
                </c:pt>
                <c:pt idx="9">
                  <c:v>8.9769000000000002E-2</c:v>
                </c:pt>
                <c:pt idx="10">
                  <c:v>0.113235</c:v>
                </c:pt>
                <c:pt idx="11">
                  <c:v>0.13916200000000001</c:v>
                </c:pt>
                <c:pt idx="12">
                  <c:v>0.16033600000000001</c:v>
                </c:pt>
                <c:pt idx="13">
                  <c:v>0.1857</c:v>
                </c:pt>
                <c:pt idx="14">
                  <c:v>0.20569999999999999</c:v>
                </c:pt>
                <c:pt idx="15">
                  <c:v>0.207035</c:v>
                </c:pt>
                <c:pt idx="16">
                  <c:v>0.20737</c:v>
                </c:pt>
                <c:pt idx="17">
                  <c:v>0.207456</c:v>
                </c:pt>
                <c:pt idx="18">
                  <c:v>0.20746000000000001</c:v>
                </c:pt>
              </c:numCache>
            </c:numRef>
          </c:xVal>
          <c:yVal>
            <c:numRef>
              <c:f>'Pushover DATI'!$C$2:$C$38</c:f>
              <c:numCache>
                <c:formatCode>General</c:formatCode>
                <c:ptCount val="37"/>
                <c:pt idx="0">
                  <c:v>0</c:v>
                </c:pt>
                <c:pt idx="1">
                  <c:v>311.71100000000001</c:v>
                </c:pt>
                <c:pt idx="2">
                  <c:v>479.93599999999998</c:v>
                </c:pt>
                <c:pt idx="3">
                  <c:v>511.90600000000001</c:v>
                </c:pt>
                <c:pt idx="4">
                  <c:v>551.029</c:v>
                </c:pt>
                <c:pt idx="5">
                  <c:v>551.31799999999998</c:v>
                </c:pt>
                <c:pt idx="6">
                  <c:v>571.30799999999999</c:v>
                </c:pt>
                <c:pt idx="7">
                  <c:v>571.65800000000002</c:v>
                </c:pt>
                <c:pt idx="8">
                  <c:v>634.61400000000003</c:v>
                </c:pt>
                <c:pt idx="9">
                  <c:v>686.94500000000005</c:v>
                </c:pt>
                <c:pt idx="10">
                  <c:v>715.50699999999995</c:v>
                </c:pt>
                <c:pt idx="11">
                  <c:v>746.14200000000005</c:v>
                </c:pt>
                <c:pt idx="12">
                  <c:v>763.88499999999999</c:v>
                </c:pt>
                <c:pt idx="13">
                  <c:v>775.01700000000005</c:v>
                </c:pt>
                <c:pt idx="14">
                  <c:v>783.05200000000002</c:v>
                </c:pt>
                <c:pt idx="15">
                  <c:v>783.78200000000004</c:v>
                </c:pt>
                <c:pt idx="16">
                  <c:v>783.80499999999995</c:v>
                </c:pt>
                <c:pt idx="17">
                  <c:v>783.85799999999995</c:v>
                </c:pt>
                <c:pt idx="18">
                  <c:v>783.86199999999997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C9-4B86-B9E8-2C8CD3E750B6}"/>
            </c:ext>
          </c:extLst>
        </c:ser>
        <c:ser>
          <c:idx val="3"/>
          <c:order val="3"/>
          <c:tx>
            <c:v>Linearizzata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C648-4657-B52E-DE5BA53AB8B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C648-4657-B52E-DE5BA53AB8B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C648-4657-B52E-DE5BA53AB8B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C648-4657-B52E-DE5BA53AB8B0}"/>
              </c:ext>
            </c:extLst>
          </c:dPt>
          <c:xVal>
            <c:numRef>
              <c:f>Verifica!$Y$16:$Y$19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2.8770465828503494E-2</c:v>
                </c:pt>
                <c:pt idx="2">
                  <c:v>4.5647392136228822E-2</c:v>
                </c:pt>
                <c:pt idx="3" formatCode="0.00">
                  <c:v>0.13916200000000001</c:v>
                </c:pt>
              </c:numCache>
            </c:numRef>
          </c:xVal>
          <c:yVal>
            <c:numRef>
              <c:f>Verifica!$X$16:$X$19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447.68520000000001</c:v>
                </c:pt>
                <c:pt idx="2">
                  <c:v>710.3</c:v>
                </c:pt>
                <c:pt idx="3">
                  <c:v>710.3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648-4657-B52E-DE5BA53AB8B0}"/>
            </c:ext>
          </c:extLst>
        </c:ser>
        <c:ser>
          <c:idx val="4"/>
          <c:order val="4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xVal>
            <c:numRef>
              <c:f>Verifica!$Y$21:$Y$22</c:f>
              <c:numCache>
                <c:formatCode>0.000</c:formatCode>
                <c:ptCount val="2"/>
                <c:pt idx="0">
                  <c:v>0.13916200000000001</c:v>
                </c:pt>
                <c:pt idx="1">
                  <c:v>0.13916200000000001</c:v>
                </c:pt>
              </c:numCache>
              <c:extLst xmlns:c15="http://schemas.microsoft.com/office/drawing/2012/chart"/>
            </c:numRef>
          </c:xVal>
          <c:yVal>
            <c:numRef>
              <c:f>Verifica!$X$21:$X$22</c:f>
              <c:numCache>
                <c:formatCode>0.000</c:formatCode>
                <c:ptCount val="2"/>
                <c:pt idx="0">
                  <c:v>0</c:v>
                </c:pt>
                <c:pt idx="1">
                  <c:v>2165.441747581207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6130-40ED-8022-1729F59DB687}"/>
            </c:ext>
          </c:extLst>
        </c:ser>
        <c:ser>
          <c:idx val="5"/>
          <c:order val="5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none"/>
          </c:marker>
          <c:xVal>
            <c:numRef>
              <c:f>(Verifica!$Y$16,Verifica!$Y$22)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0.13916200000000001</c:v>
                </c:pt>
              </c:numCache>
              <c:extLst xmlns:c15="http://schemas.microsoft.com/office/drawing/2012/chart"/>
            </c:numRef>
          </c:xVal>
          <c:yVal>
            <c:numRef>
              <c:f>(Verifica!$X$16,Verifica!$X$22)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2165.441747581207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6130-40ED-8022-1729F59DB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11439"/>
        <c:axId val="504530079"/>
      </c:scatterChart>
      <c:valAx>
        <c:axId val="50971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alpha val="25000"/>
                </a:sysClr>
              </a:solidFill>
              <a:round/>
            </a:ln>
            <a:effectLst/>
          </c:spPr>
        </c:majorGridlines>
        <c:minorGridlines>
          <c:spPr>
            <a:ln>
              <a:solidFill>
                <a:sysClr val="windowText" lastClr="000000">
                  <a:alpha val="10000"/>
                </a:sys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spostamento</a:t>
                </a:r>
                <a:r>
                  <a:rPr lang="it-IT" sz="1800" baseline="0"/>
                  <a:t> [m]</a:t>
                </a:r>
                <a:endParaRPr lang="it-IT" sz="1800"/>
              </a:p>
            </c:rich>
          </c:tx>
          <c:layout>
            <c:manualLayout>
              <c:xMode val="edge"/>
              <c:yMode val="edge"/>
              <c:x val="0.46182105113992583"/>
              <c:y val="0.92306059014935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4530079"/>
        <c:crosses val="autoZero"/>
        <c:crossBetween val="midCat"/>
      </c:valAx>
      <c:valAx>
        <c:axId val="5045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>
                  <a:alpha val="26000"/>
                </a:sysClr>
              </a:solidFill>
              <a:round/>
            </a:ln>
            <a:effectLst/>
          </c:spPr>
        </c:majorGridlines>
        <c:minorGridlines>
          <c:spPr>
            <a:ln>
              <a:solidFill>
                <a:sysClr val="windowText" lastClr="000000">
                  <a:alpha val="10000"/>
                </a:sys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Taglio alla base</a:t>
                </a:r>
                <a:r>
                  <a:rPr lang="it-IT" sz="1800" baseline="0"/>
                  <a:t> [m]</a:t>
                </a:r>
              </a:p>
            </c:rich>
          </c:tx>
          <c:layout>
            <c:manualLayout>
              <c:xMode val="edge"/>
              <c:yMode val="edge"/>
              <c:x val="8.1335475948787414E-3"/>
              <c:y val="0.36142476981824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9711439"/>
        <c:crosses val="autoZero"/>
        <c:crossBetween val="midCat"/>
      </c:valAx>
      <c:spPr>
        <a:solidFill>
          <a:sysClr val="window" lastClr="FFFFFF"/>
        </a:solidFill>
        <a:ln w="2222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550346</xdr:colOff>
      <xdr:row>0</xdr:row>
      <xdr:rowOff>173491</xdr:rowOff>
    </xdr:from>
    <xdr:to>
      <xdr:col>21</xdr:col>
      <xdr:colOff>477487</xdr:colOff>
      <xdr:row>44</xdr:row>
      <xdr:rowOff>95249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484B15D-5098-4959-A5B5-3D7A977E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467038</xdr:colOff>
      <xdr:row>36</xdr:row>
      <xdr:rowOff>185245</xdr:rowOff>
    </xdr:from>
    <xdr:to>
      <xdr:col>24</xdr:col>
      <xdr:colOff>1056688</xdr:colOff>
      <xdr:row>48</xdr:row>
      <xdr:rowOff>101320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FF53D385-6EE4-4C8F-9FF5-69B6407B5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2038" y="7822563"/>
          <a:ext cx="3135423" cy="2202075"/>
        </a:xfrm>
        <a:prstGeom prst="rect">
          <a:avLst/>
        </a:prstGeom>
      </xdr:spPr>
    </xdr:pic>
    <xdr:clientData/>
  </xdr:twoCellAnchor>
  <xdr:twoCellAnchor editAs="oneCell">
    <xdr:from>
      <xdr:col>25</xdr:col>
      <xdr:colOff>249775</xdr:colOff>
      <xdr:row>37</xdr:row>
      <xdr:rowOff>69274</xdr:rowOff>
    </xdr:from>
    <xdr:to>
      <xdr:col>28</xdr:col>
      <xdr:colOff>119068</xdr:colOff>
      <xdr:row>48</xdr:row>
      <xdr:rowOff>76076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DE26B57-145A-4F9B-BBF8-F33AEBF35F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7" t="5589" r="3860" b="2570"/>
        <a:stretch/>
      </xdr:blipFill>
      <xdr:spPr>
        <a:xfrm>
          <a:off x="17481366" y="7897092"/>
          <a:ext cx="3021202" cy="2102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195D-454C-4E0F-8DD8-81EDB33BB850}">
  <dimension ref="A1:G416"/>
  <sheetViews>
    <sheetView workbookViewId="0">
      <pane ySplit="1" topLeftCell="A2" activePane="bottomLeft" state="frozen"/>
      <selection pane="bottomLeft" activeCell="A17" sqref="A17:D20"/>
    </sheetView>
  </sheetViews>
  <sheetFormatPr defaultRowHeight="15" x14ac:dyDescent="0.25"/>
  <cols>
    <col min="1" max="1" width="9.140625" style="2" customWidth="1"/>
    <col min="2" max="2" width="13.28515625" bestFit="1" customWidth="1"/>
    <col min="3" max="3" width="10" bestFit="1" customWidth="1"/>
    <col min="4" max="4" width="13.42578125" customWidth="1"/>
    <col min="5" max="5" width="12" bestFit="1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11" t="s">
        <v>18</v>
      </c>
    </row>
    <row r="2" spans="1:7" x14ac:dyDescent="0.25">
      <c r="A2" s="29">
        <v>0</v>
      </c>
      <c r="B2" s="29">
        <v>4.5000000000000003E-5</v>
      </c>
      <c r="C2" s="29">
        <v>0</v>
      </c>
      <c r="D2" s="2"/>
      <c r="E2" s="29"/>
      <c r="F2" s="29"/>
      <c r="G2" s="29"/>
    </row>
    <row r="3" spans="1:7" x14ac:dyDescent="0.25">
      <c r="A3" s="29">
        <v>1</v>
      </c>
      <c r="B3" s="29">
        <v>2.0045E-2</v>
      </c>
      <c r="C3" s="29">
        <v>311.71100000000001</v>
      </c>
      <c r="D3" s="12">
        <f>ABS((B3-B2)*(C3+C2)/2)</f>
        <v>3.1171100000000003</v>
      </c>
      <c r="E3" s="29"/>
      <c r="F3" s="29"/>
      <c r="G3" s="29"/>
    </row>
    <row r="4" spans="1:7" x14ac:dyDescent="0.25">
      <c r="A4" s="29">
        <v>2</v>
      </c>
      <c r="B4" s="29">
        <v>3.0839999999999999E-2</v>
      </c>
      <c r="C4" s="29">
        <v>479.93599999999998</v>
      </c>
      <c r="D4" s="12">
        <f>ABS((B4-B3)*(C4+C3)/2)</f>
        <v>4.2729146824999988</v>
      </c>
      <c r="E4" s="29"/>
      <c r="F4" s="29"/>
      <c r="G4" s="29"/>
    </row>
    <row r="5" spans="1:7" x14ac:dyDescent="0.25">
      <c r="A5" s="29">
        <v>3</v>
      </c>
      <c r="B5" s="29">
        <v>3.3669999999999999E-2</v>
      </c>
      <c r="C5" s="29">
        <v>511.90600000000001</v>
      </c>
      <c r="D5" s="12">
        <f t="shared" ref="D5:D20" si="0">ABS((B5-B4)*(C5+C4)/2)</f>
        <v>1.4034564299999996</v>
      </c>
      <c r="E5" s="29"/>
      <c r="F5" s="29"/>
      <c r="G5" s="29"/>
    </row>
    <row r="6" spans="1:7" x14ac:dyDescent="0.25">
      <c r="A6" s="29">
        <v>4</v>
      </c>
      <c r="B6" s="29">
        <v>4.0118000000000001E-2</v>
      </c>
      <c r="C6" s="29">
        <v>551.029</v>
      </c>
      <c r="D6" s="12">
        <f t="shared" si="0"/>
        <v>3.426902440000001</v>
      </c>
      <c r="E6" s="29"/>
      <c r="F6" s="29"/>
      <c r="G6" s="29"/>
    </row>
    <row r="7" spans="1:7" x14ac:dyDescent="0.25">
      <c r="A7" s="29">
        <v>5</v>
      </c>
      <c r="B7" s="29">
        <v>4.0314000000000003E-2</v>
      </c>
      <c r="C7" s="29">
        <v>551.31799999999998</v>
      </c>
      <c r="D7" s="12">
        <f t="shared" si="0"/>
        <v>0.10803000600000096</v>
      </c>
      <c r="E7" s="29"/>
      <c r="F7" s="29"/>
      <c r="G7" s="29"/>
    </row>
    <row r="8" spans="1:7" x14ac:dyDescent="0.25">
      <c r="A8" s="29">
        <v>6</v>
      </c>
      <c r="B8" s="29">
        <v>4.4178000000000002E-2</v>
      </c>
      <c r="C8" s="29">
        <v>571.30799999999999</v>
      </c>
      <c r="D8" s="12">
        <f t="shared" si="0"/>
        <v>2.1689134319999996</v>
      </c>
      <c r="E8" s="29"/>
      <c r="F8" s="29"/>
      <c r="G8" s="29"/>
    </row>
    <row r="9" spans="1:7" x14ac:dyDescent="0.25">
      <c r="A9" s="29">
        <v>7</v>
      </c>
      <c r="B9" s="29">
        <v>4.4318999999999997E-2</v>
      </c>
      <c r="C9" s="29">
        <v>571.65800000000002</v>
      </c>
      <c r="D9" s="12">
        <f t="shared" si="0"/>
        <v>8.0579102999997307E-2</v>
      </c>
      <c r="E9" s="29"/>
      <c r="F9" s="29"/>
      <c r="G9" s="29"/>
    </row>
    <row r="10" spans="1:7" x14ac:dyDescent="0.25">
      <c r="A10" s="29">
        <v>8</v>
      </c>
      <c r="B10" s="29">
        <v>6.7280000000000006E-2</v>
      </c>
      <c r="C10" s="29">
        <v>634.61400000000003</v>
      </c>
      <c r="D10" s="12">
        <f t="shared" si="0"/>
        <v>13.848605696000005</v>
      </c>
      <c r="E10" s="29"/>
      <c r="F10" s="29"/>
      <c r="G10" s="29"/>
    </row>
    <row r="11" spans="1:7" x14ac:dyDescent="0.25">
      <c r="A11" s="29">
        <v>9</v>
      </c>
      <c r="B11" s="29">
        <v>8.9769000000000002E-2</v>
      </c>
      <c r="C11" s="29">
        <v>686.94500000000005</v>
      </c>
      <c r="D11" s="12">
        <f t="shared" si="0"/>
        <v>14.860270175499998</v>
      </c>
      <c r="E11" s="29"/>
      <c r="F11" s="29"/>
      <c r="G11" s="29"/>
    </row>
    <row r="12" spans="1:7" x14ac:dyDescent="0.25">
      <c r="A12" s="29">
        <v>10</v>
      </c>
      <c r="B12" s="29">
        <v>0.113235</v>
      </c>
      <c r="C12" s="29">
        <v>715.50699999999995</v>
      </c>
      <c r="D12" s="12">
        <f t="shared" si="0"/>
        <v>16.454969316</v>
      </c>
      <c r="E12" s="29"/>
      <c r="F12" s="29"/>
      <c r="G12" s="29"/>
    </row>
    <row r="13" spans="1:7" x14ac:dyDescent="0.25">
      <c r="A13" s="29">
        <v>11</v>
      </c>
      <c r="B13" s="29">
        <v>0.13916200000000001</v>
      </c>
      <c r="C13" s="29">
        <v>746.14200000000005</v>
      </c>
      <c r="D13" s="12">
        <f t="shared" si="0"/>
        <v>18.948086811500001</v>
      </c>
      <c r="E13" s="29"/>
      <c r="F13" s="29"/>
      <c r="G13" s="29"/>
    </row>
    <row r="14" spans="1:7" x14ac:dyDescent="0.25">
      <c r="A14" s="29">
        <v>12</v>
      </c>
      <c r="B14" s="29">
        <v>0.16033600000000001</v>
      </c>
      <c r="C14" s="29">
        <v>763.88499999999999</v>
      </c>
      <c r="D14" s="12">
        <f t="shared" si="0"/>
        <v>15.986655849</v>
      </c>
      <c r="E14" s="29"/>
      <c r="F14" s="29"/>
      <c r="G14" s="29"/>
    </row>
    <row r="15" spans="1:7" x14ac:dyDescent="0.25">
      <c r="A15" s="29">
        <v>13</v>
      </c>
      <c r="B15" s="29">
        <v>0.1857</v>
      </c>
      <c r="C15" s="29">
        <v>775.01700000000005</v>
      </c>
      <c r="D15" s="12">
        <f t="shared" si="0"/>
        <v>19.516355164</v>
      </c>
      <c r="E15" s="29"/>
      <c r="F15" s="29"/>
      <c r="G15" s="29"/>
    </row>
    <row r="16" spans="1:7" x14ac:dyDescent="0.25">
      <c r="A16" s="29">
        <v>14</v>
      </c>
      <c r="B16" s="29">
        <v>0.20569999999999999</v>
      </c>
      <c r="C16" s="29">
        <v>783.05200000000002</v>
      </c>
      <c r="D16" s="12">
        <f t="shared" si="0"/>
        <v>15.580689999999992</v>
      </c>
      <c r="E16" s="29"/>
      <c r="F16" s="29"/>
      <c r="G16" s="29"/>
    </row>
    <row r="17" spans="1:7" x14ac:dyDescent="0.25">
      <c r="A17" s="29">
        <v>15</v>
      </c>
      <c r="B17" s="29">
        <v>0.207035</v>
      </c>
      <c r="C17" s="29">
        <v>783.78200000000004</v>
      </c>
      <c r="D17" s="12">
        <f t="shared" si="0"/>
        <v>1.0458616950000024</v>
      </c>
      <c r="E17" s="29"/>
      <c r="F17" s="29"/>
      <c r="G17" s="29"/>
    </row>
    <row r="18" spans="1:7" x14ac:dyDescent="0.25">
      <c r="A18" s="29">
        <v>16</v>
      </c>
      <c r="B18" s="29">
        <v>0.20737</v>
      </c>
      <c r="C18" s="29">
        <v>783.80499999999995</v>
      </c>
      <c r="D18" s="12">
        <f t="shared" si="0"/>
        <v>0.26257082250000152</v>
      </c>
      <c r="E18" s="29"/>
      <c r="F18" s="29"/>
      <c r="G18" s="29"/>
    </row>
    <row r="19" spans="1:7" x14ac:dyDescent="0.25">
      <c r="A19" s="29">
        <v>17</v>
      </c>
      <c r="B19" s="29">
        <v>0.207456</v>
      </c>
      <c r="C19" s="29">
        <v>783.85799999999995</v>
      </c>
      <c r="D19" s="12">
        <f t="shared" si="0"/>
        <v>6.7409509000002144E-2</v>
      </c>
      <c r="E19" s="29"/>
      <c r="F19" s="29"/>
      <c r="G19" s="29"/>
    </row>
    <row r="20" spans="1:7" x14ac:dyDescent="0.25">
      <c r="A20" s="29">
        <v>18</v>
      </c>
      <c r="B20" s="29">
        <v>0.20746000000000001</v>
      </c>
      <c r="C20" s="29">
        <v>783.86199999999997</v>
      </c>
      <c r="D20" s="12">
        <f t="shared" si="0"/>
        <v>3.1354400000031353E-3</v>
      </c>
      <c r="E20" s="29"/>
      <c r="F20" s="29"/>
      <c r="G20" s="29"/>
    </row>
    <row r="21" spans="1:7" x14ac:dyDescent="0.25">
      <c r="A21" s="3"/>
      <c r="B21" s="3"/>
      <c r="C21" s="3"/>
      <c r="D21" s="12"/>
    </row>
    <row r="22" spans="1:7" x14ac:dyDescent="0.25">
      <c r="D22" s="12"/>
    </row>
    <row r="23" spans="1:7" x14ac:dyDescent="0.25">
      <c r="D23" s="12">
        <f t="shared" ref="D23:D85" si="1">(B22+B23)/2*(C23-C22)</f>
        <v>0</v>
      </c>
    </row>
    <row r="24" spans="1:7" x14ac:dyDescent="0.25">
      <c r="D24" s="12">
        <f t="shared" si="1"/>
        <v>0</v>
      </c>
    </row>
    <row r="25" spans="1:7" x14ac:dyDescent="0.25">
      <c r="D25" s="12">
        <f t="shared" si="1"/>
        <v>0</v>
      </c>
    </row>
    <row r="26" spans="1:7" x14ac:dyDescent="0.25">
      <c r="D26" s="12">
        <f t="shared" si="1"/>
        <v>0</v>
      </c>
    </row>
    <row r="27" spans="1:7" x14ac:dyDescent="0.25">
      <c r="D27" s="12">
        <f t="shared" si="1"/>
        <v>0</v>
      </c>
    </row>
    <row r="28" spans="1:7" x14ac:dyDescent="0.25">
      <c r="D28" s="12">
        <f t="shared" si="1"/>
        <v>0</v>
      </c>
    </row>
    <row r="29" spans="1:7" x14ac:dyDescent="0.25">
      <c r="D29" s="12">
        <f t="shared" si="1"/>
        <v>0</v>
      </c>
    </row>
    <row r="30" spans="1:7" x14ac:dyDescent="0.25">
      <c r="D30" s="12">
        <f t="shared" si="1"/>
        <v>0</v>
      </c>
    </row>
    <row r="31" spans="1:7" x14ac:dyDescent="0.25">
      <c r="D31" s="12">
        <f t="shared" si="1"/>
        <v>0</v>
      </c>
    </row>
    <row r="32" spans="1:7" x14ac:dyDescent="0.25">
      <c r="D32" s="12">
        <f t="shared" si="1"/>
        <v>0</v>
      </c>
    </row>
    <row r="33" spans="4:4" x14ac:dyDescent="0.25">
      <c r="D33" s="12">
        <f t="shared" si="1"/>
        <v>0</v>
      </c>
    </row>
    <row r="34" spans="4:4" x14ac:dyDescent="0.25">
      <c r="D34" s="12">
        <f t="shared" si="1"/>
        <v>0</v>
      </c>
    </row>
    <row r="35" spans="4:4" x14ac:dyDescent="0.25">
      <c r="D35" s="12">
        <f t="shared" si="1"/>
        <v>0</v>
      </c>
    </row>
    <row r="36" spans="4:4" x14ac:dyDescent="0.25">
      <c r="D36" s="12">
        <f t="shared" si="1"/>
        <v>0</v>
      </c>
    </row>
    <row r="37" spans="4:4" x14ac:dyDescent="0.25">
      <c r="D37" s="12">
        <f t="shared" si="1"/>
        <v>0</v>
      </c>
    </row>
    <row r="38" spans="4:4" x14ac:dyDescent="0.25">
      <c r="D38" s="12">
        <f t="shared" si="1"/>
        <v>0</v>
      </c>
    </row>
    <row r="39" spans="4:4" x14ac:dyDescent="0.25">
      <c r="D39" s="12">
        <f t="shared" si="1"/>
        <v>0</v>
      </c>
    </row>
    <row r="40" spans="4:4" x14ac:dyDescent="0.25">
      <c r="D40" s="12">
        <f t="shared" si="1"/>
        <v>0</v>
      </c>
    </row>
    <row r="41" spans="4:4" x14ac:dyDescent="0.25">
      <c r="D41" s="12">
        <f t="shared" si="1"/>
        <v>0</v>
      </c>
    </row>
    <row r="42" spans="4:4" x14ac:dyDescent="0.25">
      <c r="D42" s="12">
        <f t="shared" si="1"/>
        <v>0</v>
      </c>
    </row>
    <row r="43" spans="4:4" x14ac:dyDescent="0.25">
      <c r="D43" s="12">
        <f t="shared" si="1"/>
        <v>0</v>
      </c>
    </row>
    <row r="44" spans="4:4" x14ac:dyDescent="0.25">
      <c r="D44" s="12">
        <f t="shared" si="1"/>
        <v>0</v>
      </c>
    </row>
    <row r="45" spans="4:4" x14ac:dyDescent="0.25">
      <c r="D45" s="12">
        <f t="shared" si="1"/>
        <v>0</v>
      </c>
    </row>
    <row r="46" spans="4:4" x14ac:dyDescent="0.25">
      <c r="D46" s="12">
        <f t="shared" si="1"/>
        <v>0</v>
      </c>
    </row>
    <row r="47" spans="4:4" x14ac:dyDescent="0.25">
      <c r="D47" s="12">
        <f t="shared" si="1"/>
        <v>0</v>
      </c>
    </row>
    <row r="48" spans="4:4" x14ac:dyDescent="0.25">
      <c r="D48" s="12">
        <f t="shared" si="1"/>
        <v>0</v>
      </c>
    </row>
    <row r="49" spans="4:4" x14ac:dyDescent="0.25">
      <c r="D49" s="12">
        <f t="shared" si="1"/>
        <v>0</v>
      </c>
    </row>
    <row r="50" spans="4:4" x14ac:dyDescent="0.25">
      <c r="D50" s="12">
        <f t="shared" si="1"/>
        <v>0</v>
      </c>
    </row>
    <row r="51" spans="4:4" x14ac:dyDescent="0.25">
      <c r="D51" s="12">
        <f t="shared" si="1"/>
        <v>0</v>
      </c>
    </row>
    <row r="52" spans="4:4" x14ac:dyDescent="0.25">
      <c r="D52" s="12">
        <f t="shared" si="1"/>
        <v>0</v>
      </c>
    </row>
    <row r="53" spans="4:4" x14ac:dyDescent="0.25">
      <c r="D53" s="12">
        <f t="shared" si="1"/>
        <v>0</v>
      </c>
    </row>
    <row r="54" spans="4:4" x14ac:dyDescent="0.25">
      <c r="D54" s="12">
        <f t="shared" si="1"/>
        <v>0</v>
      </c>
    </row>
    <row r="55" spans="4:4" x14ac:dyDescent="0.25">
      <c r="D55" s="12">
        <f t="shared" si="1"/>
        <v>0</v>
      </c>
    </row>
    <row r="56" spans="4:4" x14ac:dyDescent="0.25">
      <c r="D56" s="12">
        <f t="shared" si="1"/>
        <v>0</v>
      </c>
    </row>
    <row r="57" spans="4:4" x14ac:dyDescent="0.25">
      <c r="D57" s="12">
        <f t="shared" si="1"/>
        <v>0</v>
      </c>
    </row>
    <row r="58" spans="4:4" x14ac:dyDescent="0.25">
      <c r="D58" s="12">
        <f t="shared" si="1"/>
        <v>0</v>
      </c>
    </row>
    <row r="59" spans="4:4" x14ac:dyDescent="0.25">
      <c r="D59" s="12">
        <f t="shared" si="1"/>
        <v>0</v>
      </c>
    </row>
    <row r="60" spans="4:4" x14ac:dyDescent="0.25">
      <c r="D60" s="12">
        <f t="shared" si="1"/>
        <v>0</v>
      </c>
    </row>
    <row r="61" spans="4:4" x14ac:dyDescent="0.25">
      <c r="D61" s="12">
        <f t="shared" si="1"/>
        <v>0</v>
      </c>
    </row>
    <row r="62" spans="4:4" x14ac:dyDescent="0.25">
      <c r="D62" s="12">
        <f t="shared" si="1"/>
        <v>0</v>
      </c>
    </row>
    <row r="63" spans="4:4" x14ac:dyDescent="0.25">
      <c r="D63" s="12">
        <f t="shared" si="1"/>
        <v>0</v>
      </c>
    </row>
    <row r="64" spans="4:4" x14ac:dyDescent="0.25">
      <c r="D64" s="12">
        <f t="shared" si="1"/>
        <v>0</v>
      </c>
    </row>
    <row r="65" spans="4:4" x14ac:dyDescent="0.25">
      <c r="D65" s="12">
        <f t="shared" si="1"/>
        <v>0</v>
      </c>
    </row>
    <row r="66" spans="4:4" x14ac:dyDescent="0.25">
      <c r="D66" s="12">
        <f t="shared" si="1"/>
        <v>0</v>
      </c>
    </row>
    <row r="67" spans="4:4" x14ac:dyDescent="0.25">
      <c r="D67" s="12">
        <f t="shared" si="1"/>
        <v>0</v>
      </c>
    </row>
    <row r="68" spans="4:4" x14ac:dyDescent="0.25">
      <c r="D68" s="12">
        <f t="shared" si="1"/>
        <v>0</v>
      </c>
    </row>
    <row r="69" spans="4:4" x14ac:dyDescent="0.25">
      <c r="D69" s="12">
        <f t="shared" si="1"/>
        <v>0</v>
      </c>
    </row>
    <row r="70" spans="4:4" x14ac:dyDescent="0.25">
      <c r="D70" s="12">
        <f t="shared" si="1"/>
        <v>0</v>
      </c>
    </row>
    <row r="71" spans="4:4" x14ac:dyDescent="0.25">
      <c r="D71" s="12">
        <f t="shared" si="1"/>
        <v>0</v>
      </c>
    </row>
    <row r="72" spans="4:4" x14ac:dyDescent="0.25">
      <c r="D72" s="12">
        <f t="shared" si="1"/>
        <v>0</v>
      </c>
    </row>
    <row r="73" spans="4:4" x14ac:dyDescent="0.25">
      <c r="D73" s="12">
        <f t="shared" si="1"/>
        <v>0</v>
      </c>
    </row>
    <row r="74" spans="4:4" x14ac:dyDescent="0.25">
      <c r="D74" s="12">
        <f t="shared" si="1"/>
        <v>0</v>
      </c>
    </row>
    <row r="75" spans="4:4" x14ac:dyDescent="0.25">
      <c r="D75" s="12">
        <f t="shared" si="1"/>
        <v>0</v>
      </c>
    </row>
    <row r="76" spans="4:4" x14ac:dyDescent="0.25">
      <c r="D76" s="12">
        <f t="shared" si="1"/>
        <v>0</v>
      </c>
    </row>
    <row r="77" spans="4:4" x14ac:dyDescent="0.25">
      <c r="D77" s="12">
        <f t="shared" si="1"/>
        <v>0</v>
      </c>
    </row>
    <row r="78" spans="4:4" x14ac:dyDescent="0.25">
      <c r="D78" s="12">
        <f t="shared" si="1"/>
        <v>0</v>
      </c>
    </row>
    <row r="79" spans="4:4" x14ac:dyDescent="0.25">
      <c r="D79" s="12">
        <f t="shared" si="1"/>
        <v>0</v>
      </c>
    </row>
    <row r="80" spans="4:4" x14ac:dyDescent="0.25">
      <c r="D80" s="12">
        <f t="shared" si="1"/>
        <v>0</v>
      </c>
    </row>
    <row r="81" spans="4:4" x14ac:dyDescent="0.25">
      <c r="D81" s="12">
        <f t="shared" si="1"/>
        <v>0</v>
      </c>
    </row>
    <row r="82" spans="4:4" x14ac:dyDescent="0.25">
      <c r="D82" s="12">
        <f t="shared" si="1"/>
        <v>0</v>
      </c>
    </row>
    <row r="83" spans="4:4" x14ac:dyDescent="0.25">
      <c r="D83" s="12">
        <f t="shared" si="1"/>
        <v>0</v>
      </c>
    </row>
    <row r="84" spans="4:4" x14ac:dyDescent="0.25">
      <c r="D84" s="12">
        <f t="shared" si="1"/>
        <v>0</v>
      </c>
    </row>
    <row r="85" spans="4:4" x14ac:dyDescent="0.25">
      <c r="D85" s="12">
        <f t="shared" si="1"/>
        <v>0</v>
      </c>
    </row>
    <row r="86" spans="4:4" x14ac:dyDescent="0.25">
      <c r="D86" s="12">
        <f t="shared" ref="D86:D149" si="2">(B85+B86)/2*(C86-C85)</f>
        <v>0</v>
      </c>
    </row>
    <row r="87" spans="4:4" x14ac:dyDescent="0.25">
      <c r="D87" s="12">
        <f t="shared" si="2"/>
        <v>0</v>
      </c>
    </row>
    <row r="88" spans="4:4" x14ac:dyDescent="0.25">
      <c r="D88" s="12">
        <f t="shared" si="2"/>
        <v>0</v>
      </c>
    </row>
    <row r="89" spans="4:4" x14ac:dyDescent="0.25">
      <c r="D89" s="12">
        <f t="shared" si="2"/>
        <v>0</v>
      </c>
    </row>
    <row r="90" spans="4:4" x14ac:dyDescent="0.25">
      <c r="D90" s="12">
        <f t="shared" si="2"/>
        <v>0</v>
      </c>
    </row>
    <row r="91" spans="4:4" x14ac:dyDescent="0.25">
      <c r="D91" s="12">
        <f t="shared" si="2"/>
        <v>0</v>
      </c>
    </row>
    <row r="92" spans="4:4" x14ac:dyDescent="0.25">
      <c r="D92" s="12">
        <f t="shared" si="2"/>
        <v>0</v>
      </c>
    </row>
    <row r="93" spans="4:4" x14ac:dyDescent="0.25">
      <c r="D93" s="12">
        <f t="shared" si="2"/>
        <v>0</v>
      </c>
    </row>
    <row r="94" spans="4:4" x14ac:dyDescent="0.25">
      <c r="D94" s="12">
        <f t="shared" si="2"/>
        <v>0</v>
      </c>
    </row>
    <row r="95" spans="4:4" x14ac:dyDescent="0.25">
      <c r="D95" s="12">
        <f t="shared" si="2"/>
        <v>0</v>
      </c>
    </row>
    <row r="96" spans="4:4" x14ac:dyDescent="0.25">
      <c r="D96" s="12">
        <f t="shared" si="2"/>
        <v>0</v>
      </c>
    </row>
    <row r="97" spans="4:4" x14ac:dyDescent="0.25">
      <c r="D97" s="12">
        <f t="shared" si="2"/>
        <v>0</v>
      </c>
    </row>
    <row r="98" spans="4:4" x14ac:dyDescent="0.25">
      <c r="D98" s="12">
        <f t="shared" si="2"/>
        <v>0</v>
      </c>
    </row>
    <row r="99" spans="4:4" x14ac:dyDescent="0.25">
      <c r="D99" s="12">
        <f t="shared" si="2"/>
        <v>0</v>
      </c>
    </row>
    <row r="100" spans="4:4" x14ac:dyDescent="0.25">
      <c r="D100" s="12">
        <f t="shared" si="2"/>
        <v>0</v>
      </c>
    </row>
    <row r="101" spans="4:4" x14ac:dyDescent="0.25">
      <c r="D101" s="12">
        <f t="shared" si="2"/>
        <v>0</v>
      </c>
    </row>
    <row r="102" spans="4:4" x14ac:dyDescent="0.25">
      <c r="D102" s="12">
        <f t="shared" si="2"/>
        <v>0</v>
      </c>
    </row>
    <row r="103" spans="4:4" x14ac:dyDescent="0.25">
      <c r="D103" s="12">
        <f t="shared" si="2"/>
        <v>0</v>
      </c>
    </row>
    <row r="104" spans="4:4" x14ac:dyDescent="0.25">
      <c r="D104" s="12">
        <f t="shared" si="2"/>
        <v>0</v>
      </c>
    </row>
    <row r="105" spans="4:4" x14ac:dyDescent="0.25">
      <c r="D105" s="12">
        <f t="shared" si="2"/>
        <v>0</v>
      </c>
    </row>
    <row r="106" spans="4:4" x14ac:dyDescent="0.25">
      <c r="D106" s="12">
        <f t="shared" si="2"/>
        <v>0</v>
      </c>
    </row>
    <row r="107" spans="4:4" x14ac:dyDescent="0.25">
      <c r="D107" s="12">
        <f t="shared" si="2"/>
        <v>0</v>
      </c>
    </row>
    <row r="108" spans="4:4" x14ac:dyDescent="0.25">
      <c r="D108" s="12">
        <f t="shared" si="2"/>
        <v>0</v>
      </c>
    </row>
    <row r="109" spans="4:4" x14ac:dyDescent="0.25">
      <c r="D109" s="12">
        <f t="shared" si="2"/>
        <v>0</v>
      </c>
    </row>
    <row r="110" spans="4:4" x14ac:dyDescent="0.25">
      <c r="D110" s="12">
        <f t="shared" si="2"/>
        <v>0</v>
      </c>
    </row>
    <row r="111" spans="4:4" x14ac:dyDescent="0.25">
      <c r="D111" s="12">
        <f t="shared" si="2"/>
        <v>0</v>
      </c>
    </row>
    <row r="112" spans="4:4" x14ac:dyDescent="0.25">
      <c r="D112" s="12">
        <f t="shared" si="2"/>
        <v>0</v>
      </c>
    </row>
    <row r="113" spans="4:4" x14ac:dyDescent="0.25">
      <c r="D113" s="12">
        <f t="shared" si="2"/>
        <v>0</v>
      </c>
    </row>
    <row r="114" spans="4:4" x14ac:dyDescent="0.25">
      <c r="D114" s="12">
        <f t="shared" si="2"/>
        <v>0</v>
      </c>
    </row>
    <row r="115" spans="4:4" x14ac:dyDescent="0.25">
      <c r="D115" s="12">
        <f t="shared" si="2"/>
        <v>0</v>
      </c>
    </row>
    <row r="116" spans="4:4" x14ac:dyDescent="0.25">
      <c r="D116" s="12">
        <f t="shared" si="2"/>
        <v>0</v>
      </c>
    </row>
    <row r="117" spans="4:4" x14ac:dyDescent="0.25">
      <c r="D117" s="12">
        <f t="shared" si="2"/>
        <v>0</v>
      </c>
    </row>
    <row r="118" spans="4:4" x14ac:dyDescent="0.25">
      <c r="D118" s="12">
        <f t="shared" si="2"/>
        <v>0</v>
      </c>
    </row>
    <row r="119" spans="4:4" x14ac:dyDescent="0.25">
      <c r="D119" s="12">
        <f t="shared" si="2"/>
        <v>0</v>
      </c>
    </row>
    <row r="120" spans="4:4" x14ac:dyDescent="0.25">
      <c r="D120" s="12">
        <f t="shared" si="2"/>
        <v>0</v>
      </c>
    </row>
    <row r="121" spans="4:4" x14ac:dyDescent="0.25">
      <c r="D121" s="12">
        <f t="shared" si="2"/>
        <v>0</v>
      </c>
    </row>
    <row r="122" spans="4:4" x14ac:dyDescent="0.25">
      <c r="D122" s="12">
        <f t="shared" si="2"/>
        <v>0</v>
      </c>
    </row>
    <row r="123" spans="4:4" x14ac:dyDescent="0.25">
      <c r="D123" s="12">
        <f t="shared" si="2"/>
        <v>0</v>
      </c>
    </row>
    <row r="124" spans="4:4" x14ac:dyDescent="0.25">
      <c r="D124" s="12">
        <f t="shared" si="2"/>
        <v>0</v>
      </c>
    </row>
    <row r="125" spans="4:4" x14ac:dyDescent="0.25">
      <c r="D125" s="12">
        <f t="shared" si="2"/>
        <v>0</v>
      </c>
    </row>
    <row r="126" spans="4:4" x14ac:dyDescent="0.25">
      <c r="D126" s="12">
        <f t="shared" si="2"/>
        <v>0</v>
      </c>
    </row>
    <row r="127" spans="4:4" x14ac:dyDescent="0.25">
      <c r="D127" s="12">
        <f t="shared" si="2"/>
        <v>0</v>
      </c>
    </row>
    <row r="128" spans="4:4" x14ac:dyDescent="0.25">
      <c r="D128" s="12">
        <f t="shared" si="2"/>
        <v>0</v>
      </c>
    </row>
    <row r="129" spans="4:4" x14ac:dyDescent="0.25">
      <c r="D129" s="12">
        <f t="shared" si="2"/>
        <v>0</v>
      </c>
    </row>
    <row r="130" spans="4:4" x14ac:dyDescent="0.25">
      <c r="D130" s="12">
        <f t="shared" si="2"/>
        <v>0</v>
      </c>
    </row>
    <row r="131" spans="4:4" x14ac:dyDescent="0.25">
      <c r="D131" s="12">
        <f t="shared" si="2"/>
        <v>0</v>
      </c>
    </row>
    <row r="132" spans="4:4" x14ac:dyDescent="0.25">
      <c r="D132" s="12">
        <f t="shared" si="2"/>
        <v>0</v>
      </c>
    </row>
    <row r="133" spans="4:4" x14ac:dyDescent="0.25">
      <c r="D133" s="12">
        <f t="shared" si="2"/>
        <v>0</v>
      </c>
    </row>
    <row r="134" spans="4:4" x14ac:dyDescent="0.25">
      <c r="D134" s="12">
        <f t="shared" si="2"/>
        <v>0</v>
      </c>
    </row>
    <row r="135" spans="4:4" x14ac:dyDescent="0.25">
      <c r="D135" s="12">
        <f t="shared" si="2"/>
        <v>0</v>
      </c>
    </row>
    <row r="136" spans="4:4" x14ac:dyDescent="0.25">
      <c r="D136" s="12">
        <f t="shared" si="2"/>
        <v>0</v>
      </c>
    </row>
    <row r="137" spans="4:4" x14ac:dyDescent="0.25">
      <c r="D137" s="12">
        <f t="shared" si="2"/>
        <v>0</v>
      </c>
    </row>
    <row r="138" spans="4:4" x14ac:dyDescent="0.25">
      <c r="D138" s="12">
        <f t="shared" si="2"/>
        <v>0</v>
      </c>
    </row>
    <row r="139" spans="4:4" x14ac:dyDescent="0.25">
      <c r="D139" s="12">
        <f t="shared" si="2"/>
        <v>0</v>
      </c>
    </row>
    <row r="140" spans="4:4" x14ac:dyDescent="0.25">
      <c r="D140" s="12">
        <f t="shared" si="2"/>
        <v>0</v>
      </c>
    </row>
    <row r="141" spans="4:4" x14ac:dyDescent="0.25">
      <c r="D141" s="12">
        <f t="shared" si="2"/>
        <v>0</v>
      </c>
    </row>
    <row r="142" spans="4:4" x14ac:dyDescent="0.25">
      <c r="D142" s="12">
        <f t="shared" si="2"/>
        <v>0</v>
      </c>
    </row>
    <row r="143" spans="4:4" x14ac:dyDescent="0.25">
      <c r="D143" s="12">
        <f t="shared" si="2"/>
        <v>0</v>
      </c>
    </row>
    <row r="144" spans="4:4" x14ac:dyDescent="0.25">
      <c r="D144" s="12">
        <f t="shared" si="2"/>
        <v>0</v>
      </c>
    </row>
    <row r="145" spans="4:4" x14ac:dyDescent="0.25">
      <c r="D145" s="12">
        <f t="shared" si="2"/>
        <v>0</v>
      </c>
    </row>
    <row r="146" spans="4:4" x14ac:dyDescent="0.25">
      <c r="D146" s="12">
        <f t="shared" si="2"/>
        <v>0</v>
      </c>
    </row>
    <row r="147" spans="4:4" x14ac:dyDescent="0.25">
      <c r="D147" s="12">
        <f t="shared" si="2"/>
        <v>0</v>
      </c>
    </row>
    <row r="148" spans="4:4" x14ac:dyDescent="0.25">
      <c r="D148" s="12">
        <f t="shared" si="2"/>
        <v>0</v>
      </c>
    </row>
    <row r="149" spans="4:4" x14ac:dyDescent="0.25">
      <c r="D149" s="12">
        <f t="shared" si="2"/>
        <v>0</v>
      </c>
    </row>
    <row r="150" spans="4:4" x14ac:dyDescent="0.25">
      <c r="D150" s="12">
        <f t="shared" ref="D150:D213" si="3">(B149+B150)/2*(C150-C149)</f>
        <v>0</v>
      </c>
    </row>
    <row r="151" spans="4:4" x14ac:dyDescent="0.25">
      <c r="D151" s="12">
        <f t="shared" si="3"/>
        <v>0</v>
      </c>
    </row>
    <row r="152" spans="4:4" x14ac:dyDescent="0.25">
      <c r="D152" s="12">
        <f t="shared" si="3"/>
        <v>0</v>
      </c>
    </row>
    <row r="153" spans="4:4" x14ac:dyDescent="0.25">
      <c r="D153" s="12">
        <f t="shared" si="3"/>
        <v>0</v>
      </c>
    </row>
    <row r="154" spans="4:4" x14ac:dyDescent="0.25">
      <c r="D154" s="12">
        <f t="shared" si="3"/>
        <v>0</v>
      </c>
    </row>
    <row r="155" spans="4:4" x14ac:dyDescent="0.25">
      <c r="D155" s="12">
        <f t="shared" si="3"/>
        <v>0</v>
      </c>
    </row>
    <row r="156" spans="4:4" x14ac:dyDescent="0.25">
      <c r="D156" s="12">
        <f t="shared" si="3"/>
        <v>0</v>
      </c>
    </row>
    <row r="157" spans="4:4" x14ac:dyDescent="0.25">
      <c r="D157" s="12">
        <f t="shared" si="3"/>
        <v>0</v>
      </c>
    </row>
    <row r="158" spans="4:4" x14ac:dyDescent="0.25">
      <c r="D158" s="12">
        <f t="shared" si="3"/>
        <v>0</v>
      </c>
    </row>
    <row r="159" spans="4:4" x14ac:dyDescent="0.25">
      <c r="D159" s="12">
        <f t="shared" si="3"/>
        <v>0</v>
      </c>
    </row>
    <row r="160" spans="4:4" x14ac:dyDescent="0.25">
      <c r="D160" s="12">
        <f t="shared" si="3"/>
        <v>0</v>
      </c>
    </row>
    <row r="161" spans="4:4" x14ac:dyDescent="0.25">
      <c r="D161" s="12">
        <f t="shared" si="3"/>
        <v>0</v>
      </c>
    </row>
    <row r="162" spans="4:4" x14ac:dyDescent="0.25">
      <c r="D162" s="12">
        <f t="shared" si="3"/>
        <v>0</v>
      </c>
    </row>
    <row r="163" spans="4:4" x14ac:dyDescent="0.25">
      <c r="D163" s="12">
        <f t="shared" si="3"/>
        <v>0</v>
      </c>
    </row>
    <row r="164" spans="4:4" x14ac:dyDescent="0.25">
      <c r="D164" s="12">
        <f t="shared" si="3"/>
        <v>0</v>
      </c>
    </row>
    <row r="165" spans="4:4" x14ac:dyDescent="0.25">
      <c r="D165" s="12">
        <f t="shared" si="3"/>
        <v>0</v>
      </c>
    </row>
    <row r="166" spans="4:4" x14ac:dyDescent="0.25">
      <c r="D166" s="12">
        <f t="shared" si="3"/>
        <v>0</v>
      </c>
    </row>
    <row r="167" spans="4:4" x14ac:dyDescent="0.25">
      <c r="D167" s="12">
        <f t="shared" si="3"/>
        <v>0</v>
      </c>
    </row>
    <row r="168" spans="4:4" x14ac:dyDescent="0.25">
      <c r="D168" s="12">
        <f t="shared" si="3"/>
        <v>0</v>
      </c>
    </row>
    <row r="169" spans="4:4" x14ac:dyDescent="0.25">
      <c r="D169" s="12">
        <f t="shared" si="3"/>
        <v>0</v>
      </c>
    </row>
    <row r="170" spans="4:4" x14ac:dyDescent="0.25">
      <c r="D170" s="12">
        <f t="shared" si="3"/>
        <v>0</v>
      </c>
    </row>
    <row r="171" spans="4:4" x14ac:dyDescent="0.25">
      <c r="D171" s="12">
        <f t="shared" si="3"/>
        <v>0</v>
      </c>
    </row>
    <row r="172" spans="4:4" x14ac:dyDescent="0.25">
      <c r="D172" s="12">
        <f t="shared" si="3"/>
        <v>0</v>
      </c>
    </row>
    <row r="173" spans="4:4" x14ac:dyDescent="0.25">
      <c r="D173" s="12">
        <f t="shared" si="3"/>
        <v>0</v>
      </c>
    </row>
    <row r="174" spans="4:4" x14ac:dyDescent="0.25">
      <c r="D174" s="12">
        <f t="shared" si="3"/>
        <v>0</v>
      </c>
    </row>
    <row r="175" spans="4:4" x14ac:dyDescent="0.25">
      <c r="D175" s="12">
        <f t="shared" si="3"/>
        <v>0</v>
      </c>
    </row>
    <row r="176" spans="4:4" x14ac:dyDescent="0.25">
      <c r="D176" s="12">
        <f t="shared" si="3"/>
        <v>0</v>
      </c>
    </row>
    <row r="177" spans="4:4" x14ac:dyDescent="0.25">
      <c r="D177" s="12">
        <f t="shared" si="3"/>
        <v>0</v>
      </c>
    </row>
    <row r="178" spans="4:4" x14ac:dyDescent="0.25">
      <c r="D178" s="12">
        <f t="shared" si="3"/>
        <v>0</v>
      </c>
    </row>
    <row r="179" spans="4:4" x14ac:dyDescent="0.25">
      <c r="D179" s="12">
        <f t="shared" si="3"/>
        <v>0</v>
      </c>
    </row>
    <row r="180" spans="4:4" x14ac:dyDescent="0.25">
      <c r="D180" s="12">
        <f t="shared" si="3"/>
        <v>0</v>
      </c>
    </row>
    <row r="181" spans="4:4" x14ac:dyDescent="0.25">
      <c r="D181" s="12">
        <f t="shared" si="3"/>
        <v>0</v>
      </c>
    </row>
    <row r="182" spans="4:4" x14ac:dyDescent="0.25">
      <c r="D182" s="12">
        <f t="shared" si="3"/>
        <v>0</v>
      </c>
    </row>
    <row r="183" spans="4:4" x14ac:dyDescent="0.25">
      <c r="D183" s="12">
        <f t="shared" si="3"/>
        <v>0</v>
      </c>
    </row>
    <row r="184" spans="4:4" x14ac:dyDescent="0.25">
      <c r="D184" s="12">
        <f t="shared" si="3"/>
        <v>0</v>
      </c>
    </row>
    <row r="185" spans="4:4" x14ac:dyDescent="0.25">
      <c r="D185" s="12">
        <f t="shared" si="3"/>
        <v>0</v>
      </c>
    </row>
    <row r="186" spans="4:4" x14ac:dyDescent="0.25">
      <c r="D186" s="12">
        <f t="shared" si="3"/>
        <v>0</v>
      </c>
    </row>
    <row r="187" spans="4:4" x14ac:dyDescent="0.25">
      <c r="D187" s="12">
        <f t="shared" si="3"/>
        <v>0</v>
      </c>
    </row>
    <row r="188" spans="4:4" x14ac:dyDescent="0.25">
      <c r="D188" s="12">
        <f t="shared" si="3"/>
        <v>0</v>
      </c>
    </row>
    <row r="189" spans="4:4" x14ac:dyDescent="0.25">
      <c r="D189" s="12">
        <f t="shared" si="3"/>
        <v>0</v>
      </c>
    </row>
    <row r="190" spans="4:4" x14ac:dyDescent="0.25">
      <c r="D190" s="12">
        <f t="shared" si="3"/>
        <v>0</v>
      </c>
    </row>
    <row r="191" spans="4:4" x14ac:dyDescent="0.25">
      <c r="D191" s="12">
        <f t="shared" si="3"/>
        <v>0</v>
      </c>
    </row>
    <row r="192" spans="4:4" x14ac:dyDescent="0.25">
      <c r="D192" s="12">
        <f t="shared" si="3"/>
        <v>0</v>
      </c>
    </row>
    <row r="193" spans="4:4" x14ac:dyDescent="0.25">
      <c r="D193" s="12">
        <f t="shared" si="3"/>
        <v>0</v>
      </c>
    </row>
    <row r="194" spans="4:4" x14ac:dyDescent="0.25">
      <c r="D194" s="12">
        <f t="shared" si="3"/>
        <v>0</v>
      </c>
    </row>
    <row r="195" spans="4:4" x14ac:dyDescent="0.25">
      <c r="D195" s="12">
        <f t="shared" si="3"/>
        <v>0</v>
      </c>
    </row>
    <row r="196" spans="4:4" x14ac:dyDescent="0.25">
      <c r="D196" s="12">
        <f t="shared" si="3"/>
        <v>0</v>
      </c>
    </row>
    <row r="197" spans="4:4" x14ac:dyDescent="0.25">
      <c r="D197" s="12">
        <f t="shared" si="3"/>
        <v>0</v>
      </c>
    </row>
    <row r="198" spans="4:4" x14ac:dyDescent="0.25">
      <c r="D198" s="12">
        <f t="shared" si="3"/>
        <v>0</v>
      </c>
    </row>
    <row r="199" spans="4:4" x14ac:dyDescent="0.25">
      <c r="D199" s="12">
        <f t="shared" si="3"/>
        <v>0</v>
      </c>
    </row>
    <row r="200" spans="4:4" x14ac:dyDescent="0.25">
      <c r="D200" s="12">
        <f t="shared" si="3"/>
        <v>0</v>
      </c>
    </row>
    <row r="201" spans="4:4" x14ac:dyDescent="0.25">
      <c r="D201" s="12">
        <f t="shared" si="3"/>
        <v>0</v>
      </c>
    </row>
    <row r="202" spans="4:4" x14ac:dyDescent="0.25">
      <c r="D202" s="12">
        <f t="shared" si="3"/>
        <v>0</v>
      </c>
    </row>
    <row r="203" spans="4:4" x14ac:dyDescent="0.25">
      <c r="D203" s="12">
        <f t="shared" si="3"/>
        <v>0</v>
      </c>
    </row>
    <row r="204" spans="4:4" x14ac:dyDescent="0.25">
      <c r="D204" s="12">
        <f t="shared" si="3"/>
        <v>0</v>
      </c>
    </row>
    <row r="205" spans="4:4" x14ac:dyDescent="0.25">
      <c r="D205" s="12">
        <f t="shared" si="3"/>
        <v>0</v>
      </c>
    </row>
    <row r="206" spans="4:4" x14ac:dyDescent="0.25">
      <c r="D206" s="12">
        <f t="shared" si="3"/>
        <v>0</v>
      </c>
    </row>
    <row r="207" spans="4:4" x14ac:dyDescent="0.25">
      <c r="D207" s="12">
        <f t="shared" si="3"/>
        <v>0</v>
      </c>
    </row>
    <row r="208" spans="4:4" x14ac:dyDescent="0.25">
      <c r="D208" s="12">
        <f t="shared" si="3"/>
        <v>0</v>
      </c>
    </row>
    <row r="209" spans="4:4" x14ac:dyDescent="0.25">
      <c r="D209" s="12">
        <f t="shared" si="3"/>
        <v>0</v>
      </c>
    </row>
    <row r="210" spans="4:4" x14ac:dyDescent="0.25">
      <c r="D210" s="12">
        <f t="shared" si="3"/>
        <v>0</v>
      </c>
    </row>
    <row r="211" spans="4:4" x14ac:dyDescent="0.25">
      <c r="D211" s="12">
        <f t="shared" si="3"/>
        <v>0</v>
      </c>
    </row>
    <row r="212" spans="4:4" x14ac:dyDescent="0.25">
      <c r="D212" s="12">
        <f t="shared" si="3"/>
        <v>0</v>
      </c>
    </row>
    <row r="213" spans="4:4" x14ac:dyDescent="0.25">
      <c r="D213" s="12">
        <f t="shared" si="3"/>
        <v>0</v>
      </c>
    </row>
    <row r="214" spans="4:4" x14ac:dyDescent="0.25">
      <c r="D214" s="12">
        <f t="shared" ref="D214:D277" si="4">(B213+B214)/2*(C214-C213)</f>
        <v>0</v>
      </c>
    </row>
    <row r="215" spans="4:4" x14ac:dyDescent="0.25">
      <c r="D215" s="12">
        <f t="shared" si="4"/>
        <v>0</v>
      </c>
    </row>
    <row r="216" spans="4:4" x14ac:dyDescent="0.25">
      <c r="D216" s="12">
        <f t="shared" si="4"/>
        <v>0</v>
      </c>
    </row>
    <row r="217" spans="4:4" x14ac:dyDescent="0.25">
      <c r="D217" s="12">
        <f t="shared" si="4"/>
        <v>0</v>
      </c>
    </row>
    <row r="218" spans="4:4" x14ac:dyDescent="0.25">
      <c r="D218" s="12">
        <f t="shared" si="4"/>
        <v>0</v>
      </c>
    </row>
    <row r="219" spans="4:4" x14ac:dyDescent="0.25">
      <c r="D219" s="12">
        <f t="shared" si="4"/>
        <v>0</v>
      </c>
    </row>
    <row r="220" spans="4:4" x14ac:dyDescent="0.25">
      <c r="D220" s="12">
        <f t="shared" si="4"/>
        <v>0</v>
      </c>
    </row>
    <row r="221" spans="4:4" x14ac:dyDescent="0.25">
      <c r="D221" s="12">
        <f t="shared" si="4"/>
        <v>0</v>
      </c>
    </row>
    <row r="222" spans="4:4" x14ac:dyDescent="0.25">
      <c r="D222" s="12">
        <f t="shared" si="4"/>
        <v>0</v>
      </c>
    </row>
    <row r="223" spans="4:4" x14ac:dyDescent="0.25">
      <c r="D223" s="12">
        <f t="shared" si="4"/>
        <v>0</v>
      </c>
    </row>
    <row r="224" spans="4:4" x14ac:dyDescent="0.25">
      <c r="D224" s="12">
        <f t="shared" si="4"/>
        <v>0</v>
      </c>
    </row>
    <row r="225" spans="4:4" x14ac:dyDescent="0.25">
      <c r="D225" s="12">
        <f t="shared" si="4"/>
        <v>0</v>
      </c>
    </row>
    <row r="226" spans="4:4" x14ac:dyDescent="0.25">
      <c r="D226" s="12">
        <f t="shared" si="4"/>
        <v>0</v>
      </c>
    </row>
    <row r="227" spans="4:4" x14ac:dyDescent="0.25">
      <c r="D227" s="12">
        <f t="shared" si="4"/>
        <v>0</v>
      </c>
    </row>
    <row r="228" spans="4:4" x14ac:dyDescent="0.25">
      <c r="D228" s="12">
        <f t="shared" si="4"/>
        <v>0</v>
      </c>
    </row>
    <row r="229" spans="4:4" x14ac:dyDescent="0.25">
      <c r="D229" s="12">
        <f t="shared" si="4"/>
        <v>0</v>
      </c>
    </row>
    <row r="230" spans="4:4" x14ac:dyDescent="0.25">
      <c r="D230" s="12">
        <f t="shared" si="4"/>
        <v>0</v>
      </c>
    </row>
    <row r="231" spans="4:4" x14ac:dyDescent="0.25">
      <c r="D231" s="12">
        <f t="shared" si="4"/>
        <v>0</v>
      </c>
    </row>
    <row r="232" spans="4:4" x14ac:dyDescent="0.25">
      <c r="D232" s="12">
        <f t="shared" si="4"/>
        <v>0</v>
      </c>
    </row>
    <row r="233" spans="4:4" x14ac:dyDescent="0.25">
      <c r="D233" s="12">
        <f t="shared" si="4"/>
        <v>0</v>
      </c>
    </row>
    <row r="234" spans="4:4" x14ac:dyDescent="0.25">
      <c r="D234" s="12">
        <f t="shared" si="4"/>
        <v>0</v>
      </c>
    </row>
    <row r="235" spans="4:4" x14ac:dyDescent="0.25">
      <c r="D235" s="12">
        <f t="shared" si="4"/>
        <v>0</v>
      </c>
    </row>
    <row r="236" spans="4:4" x14ac:dyDescent="0.25">
      <c r="D236" s="12">
        <f t="shared" si="4"/>
        <v>0</v>
      </c>
    </row>
    <row r="237" spans="4:4" x14ac:dyDescent="0.25">
      <c r="D237" s="12">
        <f t="shared" si="4"/>
        <v>0</v>
      </c>
    </row>
    <row r="238" spans="4:4" x14ac:dyDescent="0.25">
      <c r="D238" s="12">
        <f t="shared" si="4"/>
        <v>0</v>
      </c>
    </row>
    <row r="239" spans="4:4" x14ac:dyDescent="0.25">
      <c r="D239" s="12">
        <f t="shared" si="4"/>
        <v>0</v>
      </c>
    </row>
    <row r="240" spans="4:4" x14ac:dyDescent="0.25">
      <c r="D240" s="12">
        <f t="shared" si="4"/>
        <v>0</v>
      </c>
    </row>
    <row r="241" spans="4:4" x14ac:dyDescent="0.25">
      <c r="D241" s="12">
        <f t="shared" si="4"/>
        <v>0</v>
      </c>
    </row>
    <row r="242" spans="4:4" x14ac:dyDescent="0.25">
      <c r="D242" s="12">
        <f t="shared" si="4"/>
        <v>0</v>
      </c>
    </row>
    <row r="243" spans="4:4" x14ac:dyDescent="0.25">
      <c r="D243" s="12">
        <f t="shared" si="4"/>
        <v>0</v>
      </c>
    </row>
    <row r="244" spans="4:4" x14ac:dyDescent="0.25">
      <c r="D244" s="12">
        <f t="shared" si="4"/>
        <v>0</v>
      </c>
    </row>
    <row r="245" spans="4:4" x14ac:dyDescent="0.25">
      <c r="D245" s="12">
        <f t="shared" si="4"/>
        <v>0</v>
      </c>
    </row>
    <row r="246" spans="4:4" x14ac:dyDescent="0.25">
      <c r="D246" s="12">
        <f t="shared" si="4"/>
        <v>0</v>
      </c>
    </row>
    <row r="247" spans="4:4" x14ac:dyDescent="0.25">
      <c r="D247" s="12">
        <f t="shared" si="4"/>
        <v>0</v>
      </c>
    </row>
    <row r="248" spans="4:4" x14ac:dyDescent="0.25">
      <c r="D248" s="12">
        <f t="shared" si="4"/>
        <v>0</v>
      </c>
    </row>
    <row r="249" spans="4:4" x14ac:dyDescent="0.25">
      <c r="D249" s="12">
        <f t="shared" si="4"/>
        <v>0</v>
      </c>
    </row>
    <row r="250" spans="4:4" x14ac:dyDescent="0.25">
      <c r="D250" s="12">
        <f t="shared" si="4"/>
        <v>0</v>
      </c>
    </row>
    <row r="251" spans="4:4" x14ac:dyDescent="0.25">
      <c r="D251" s="12">
        <f t="shared" si="4"/>
        <v>0</v>
      </c>
    </row>
    <row r="252" spans="4:4" x14ac:dyDescent="0.25">
      <c r="D252" s="12">
        <f t="shared" si="4"/>
        <v>0</v>
      </c>
    </row>
    <row r="253" spans="4:4" x14ac:dyDescent="0.25">
      <c r="D253" s="12">
        <f t="shared" si="4"/>
        <v>0</v>
      </c>
    </row>
    <row r="254" spans="4:4" x14ac:dyDescent="0.25">
      <c r="D254" s="12">
        <f t="shared" si="4"/>
        <v>0</v>
      </c>
    </row>
    <row r="255" spans="4:4" x14ac:dyDescent="0.25">
      <c r="D255" s="12">
        <f t="shared" si="4"/>
        <v>0</v>
      </c>
    </row>
    <row r="256" spans="4:4" x14ac:dyDescent="0.25">
      <c r="D256" s="12">
        <f t="shared" si="4"/>
        <v>0</v>
      </c>
    </row>
    <row r="257" spans="4:4" x14ac:dyDescent="0.25">
      <c r="D257" s="12">
        <f t="shared" si="4"/>
        <v>0</v>
      </c>
    </row>
    <row r="258" spans="4:4" x14ac:dyDescent="0.25">
      <c r="D258" s="12">
        <f t="shared" si="4"/>
        <v>0</v>
      </c>
    </row>
    <row r="259" spans="4:4" x14ac:dyDescent="0.25">
      <c r="D259" s="12">
        <f t="shared" si="4"/>
        <v>0</v>
      </c>
    </row>
    <row r="260" spans="4:4" x14ac:dyDescent="0.25">
      <c r="D260" s="12">
        <f t="shared" si="4"/>
        <v>0</v>
      </c>
    </row>
    <row r="261" spans="4:4" x14ac:dyDescent="0.25">
      <c r="D261" s="12">
        <f t="shared" si="4"/>
        <v>0</v>
      </c>
    </row>
    <row r="262" spans="4:4" x14ac:dyDescent="0.25">
      <c r="D262" s="12">
        <f t="shared" si="4"/>
        <v>0</v>
      </c>
    </row>
    <row r="263" spans="4:4" x14ac:dyDescent="0.25">
      <c r="D263" s="12">
        <f t="shared" si="4"/>
        <v>0</v>
      </c>
    </row>
    <row r="264" spans="4:4" x14ac:dyDescent="0.25">
      <c r="D264" s="12">
        <f t="shared" si="4"/>
        <v>0</v>
      </c>
    </row>
    <row r="265" spans="4:4" x14ac:dyDescent="0.25">
      <c r="D265" s="12">
        <f t="shared" si="4"/>
        <v>0</v>
      </c>
    </row>
    <row r="266" spans="4:4" x14ac:dyDescent="0.25">
      <c r="D266" s="12">
        <f t="shared" si="4"/>
        <v>0</v>
      </c>
    </row>
    <row r="267" spans="4:4" x14ac:dyDescent="0.25">
      <c r="D267" s="12">
        <f t="shared" si="4"/>
        <v>0</v>
      </c>
    </row>
    <row r="268" spans="4:4" x14ac:dyDescent="0.25">
      <c r="D268" s="12">
        <f t="shared" si="4"/>
        <v>0</v>
      </c>
    </row>
    <row r="269" spans="4:4" x14ac:dyDescent="0.25">
      <c r="D269" s="12">
        <f t="shared" si="4"/>
        <v>0</v>
      </c>
    </row>
    <row r="270" spans="4:4" x14ac:dyDescent="0.25">
      <c r="D270" s="12">
        <f t="shared" si="4"/>
        <v>0</v>
      </c>
    </row>
    <row r="271" spans="4:4" x14ac:dyDescent="0.25">
      <c r="D271" s="12">
        <f t="shared" si="4"/>
        <v>0</v>
      </c>
    </row>
    <row r="272" spans="4:4" x14ac:dyDescent="0.25">
      <c r="D272" s="12">
        <f t="shared" si="4"/>
        <v>0</v>
      </c>
    </row>
    <row r="273" spans="4:4" x14ac:dyDescent="0.25">
      <c r="D273" s="12">
        <f t="shared" si="4"/>
        <v>0</v>
      </c>
    </row>
    <row r="274" spans="4:4" x14ac:dyDescent="0.25">
      <c r="D274" s="12">
        <f t="shared" si="4"/>
        <v>0</v>
      </c>
    </row>
    <row r="275" spans="4:4" x14ac:dyDescent="0.25">
      <c r="D275" s="12">
        <f t="shared" si="4"/>
        <v>0</v>
      </c>
    </row>
    <row r="276" spans="4:4" x14ac:dyDescent="0.25">
      <c r="D276" s="12">
        <f t="shared" si="4"/>
        <v>0</v>
      </c>
    </row>
    <row r="277" spans="4:4" x14ac:dyDescent="0.25">
      <c r="D277" s="12">
        <f t="shared" si="4"/>
        <v>0</v>
      </c>
    </row>
    <row r="278" spans="4:4" x14ac:dyDescent="0.25">
      <c r="D278" s="12">
        <f t="shared" ref="D278:D341" si="5">(B277+B278)/2*(C278-C277)</f>
        <v>0</v>
      </c>
    </row>
    <row r="279" spans="4:4" x14ac:dyDescent="0.25">
      <c r="D279" s="12">
        <f t="shared" si="5"/>
        <v>0</v>
      </c>
    </row>
    <row r="280" spans="4:4" x14ac:dyDescent="0.25">
      <c r="D280" s="12">
        <f t="shared" si="5"/>
        <v>0</v>
      </c>
    </row>
    <row r="281" spans="4:4" x14ac:dyDescent="0.25">
      <c r="D281" s="12">
        <f t="shared" si="5"/>
        <v>0</v>
      </c>
    </row>
    <row r="282" spans="4:4" x14ac:dyDescent="0.25">
      <c r="D282" s="12">
        <f t="shared" si="5"/>
        <v>0</v>
      </c>
    </row>
    <row r="283" spans="4:4" x14ac:dyDescent="0.25">
      <c r="D283" s="12">
        <f t="shared" si="5"/>
        <v>0</v>
      </c>
    </row>
    <row r="284" spans="4:4" x14ac:dyDescent="0.25">
      <c r="D284" s="12">
        <f t="shared" si="5"/>
        <v>0</v>
      </c>
    </row>
    <row r="285" spans="4:4" x14ac:dyDescent="0.25">
      <c r="D285" s="12">
        <f t="shared" si="5"/>
        <v>0</v>
      </c>
    </row>
    <row r="286" spans="4:4" x14ac:dyDescent="0.25">
      <c r="D286" s="12">
        <f t="shared" si="5"/>
        <v>0</v>
      </c>
    </row>
    <row r="287" spans="4:4" x14ac:dyDescent="0.25">
      <c r="D287" s="12">
        <f t="shared" si="5"/>
        <v>0</v>
      </c>
    </row>
    <row r="288" spans="4:4" x14ac:dyDescent="0.25">
      <c r="D288" s="12">
        <f t="shared" si="5"/>
        <v>0</v>
      </c>
    </row>
    <row r="289" spans="4:4" x14ac:dyDescent="0.25">
      <c r="D289" s="12">
        <f t="shared" si="5"/>
        <v>0</v>
      </c>
    </row>
    <row r="290" spans="4:4" x14ac:dyDescent="0.25">
      <c r="D290" s="12">
        <f t="shared" si="5"/>
        <v>0</v>
      </c>
    </row>
    <row r="291" spans="4:4" x14ac:dyDescent="0.25">
      <c r="D291" s="12">
        <f t="shared" si="5"/>
        <v>0</v>
      </c>
    </row>
    <row r="292" spans="4:4" x14ac:dyDescent="0.25">
      <c r="D292" s="12">
        <f t="shared" si="5"/>
        <v>0</v>
      </c>
    </row>
    <row r="293" spans="4:4" x14ac:dyDescent="0.25">
      <c r="D293" s="12">
        <f t="shared" si="5"/>
        <v>0</v>
      </c>
    </row>
    <row r="294" spans="4:4" x14ac:dyDescent="0.25">
      <c r="D294" s="12">
        <f t="shared" si="5"/>
        <v>0</v>
      </c>
    </row>
    <row r="295" spans="4:4" x14ac:dyDescent="0.25">
      <c r="D295" s="12">
        <f t="shared" si="5"/>
        <v>0</v>
      </c>
    </row>
    <row r="296" spans="4:4" x14ac:dyDescent="0.25">
      <c r="D296" s="12">
        <f t="shared" si="5"/>
        <v>0</v>
      </c>
    </row>
    <row r="297" spans="4:4" x14ac:dyDescent="0.25">
      <c r="D297" s="12">
        <f t="shared" si="5"/>
        <v>0</v>
      </c>
    </row>
    <row r="298" spans="4:4" x14ac:dyDescent="0.25">
      <c r="D298" s="12">
        <f t="shared" si="5"/>
        <v>0</v>
      </c>
    </row>
    <row r="299" spans="4:4" x14ac:dyDescent="0.25">
      <c r="D299" s="12">
        <f t="shared" si="5"/>
        <v>0</v>
      </c>
    </row>
    <row r="300" spans="4:4" x14ac:dyDescent="0.25">
      <c r="D300" s="12">
        <f t="shared" si="5"/>
        <v>0</v>
      </c>
    </row>
    <row r="301" spans="4:4" x14ac:dyDescent="0.25">
      <c r="D301" s="12">
        <f t="shared" si="5"/>
        <v>0</v>
      </c>
    </row>
    <row r="302" spans="4:4" x14ac:dyDescent="0.25">
      <c r="D302" s="12">
        <f t="shared" si="5"/>
        <v>0</v>
      </c>
    </row>
    <row r="303" spans="4:4" x14ac:dyDescent="0.25">
      <c r="D303" s="12">
        <f t="shared" si="5"/>
        <v>0</v>
      </c>
    </row>
    <row r="304" spans="4:4" x14ac:dyDescent="0.25">
      <c r="D304" s="12">
        <f t="shared" si="5"/>
        <v>0</v>
      </c>
    </row>
    <row r="305" spans="4:4" x14ac:dyDescent="0.25">
      <c r="D305" s="12">
        <f t="shared" si="5"/>
        <v>0</v>
      </c>
    </row>
    <row r="306" spans="4:4" x14ac:dyDescent="0.25">
      <c r="D306" s="12">
        <f t="shared" si="5"/>
        <v>0</v>
      </c>
    </row>
    <row r="307" spans="4:4" x14ac:dyDescent="0.25">
      <c r="D307" s="12">
        <f t="shared" si="5"/>
        <v>0</v>
      </c>
    </row>
    <row r="308" spans="4:4" x14ac:dyDescent="0.25">
      <c r="D308" s="12">
        <f t="shared" si="5"/>
        <v>0</v>
      </c>
    </row>
    <row r="309" spans="4:4" x14ac:dyDescent="0.25">
      <c r="D309" s="12">
        <f t="shared" si="5"/>
        <v>0</v>
      </c>
    </row>
    <row r="310" spans="4:4" x14ac:dyDescent="0.25">
      <c r="D310" s="12">
        <f t="shared" si="5"/>
        <v>0</v>
      </c>
    </row>
    <row r="311" spans="4:4" x14ac:dyDescent="0.25">
      <c r="D311" s="12">
        <f t="shared" si="5"/>
        <v>0</v>
      </c>
    </row>
    <row r="312" spans="4:4" x14ac:dyDescent="0.25">
      <c r="D312" s="12">
        <f t="shared" si="5"/>
        <v>0</v>
      </c>
    </row>
    <row r="313" spans="4:4" x14ac:dyDescent="0.25">
      <c r="D313" s="12">
        <f t="shared" si="5"/>
        <v>0</v>
      </c>
    </row>
    <row r="314" spans="4:4" x14ac:dyDescent="0.25">
      <c r="D314" s="12">
        <f t="shared" si="5"/>
        <v>0</v>
      </c>
    </row>
    <row r="315" spans="4:4" x14ac:dyDescent="0.25">
      <c r="D315" s="12">
        <f t="shared" si="5"/>
        <v>0</v>
      </c>
    </row>
    <row r="316" spans="4:4" x14ac:dyDescent="0.25">
      <c r="D316" s="12">
        <f t="shared" si="5"/>
        <v>0</v>
      </c>
    </row>
    <row r="317" spans="4:4" x14ac:dyDescent="0.25">
      <c r="D317" s="12">
        <f t="shared" si="5"/>
        <v>0</v>
      </c>
    </row>
    <row r="318" spans="4:4" x14ac:dyDescent="0.25">
      <c r="D318" s="12">
        <f t="shared" si="5"/>
        <v>0</v>
      </c>
    </row>
    <row r="319" spans="4:4" x14ac:dyDescent="0.25">
      <c r="D319" s="12">
        <f t="shared" si="5"/>
        <v>0</v>
      </c>
    </row>
    <row r="320" spans="4:4" x14ac:dyDescent="0.25">
      <c r="D320" s="12">
        <f t="shared" si="5"/>
        <v>0</v>
      </c>
    </row>
    <row r="321" spans="4:4" x14ac:dyDescent="0.25">
      <c r="D321" s="12">
        <f t="shared" si="5"/>
        <v>0</v>
      </c>
    </row>
    <row r="322" spans="4:4" x14ac:dyDescent="0.25">
      <c r="D322" s="12">
        <f t="shared" si="5"/>
        <v>0</v>
      </c>
    </row>
    <row r="323" spans="4:4" x14ac:dyDescent="0.25">
      <c r="D323" s="12">
        <f t="shared" si="5"/>
        <v>0</v>
      </c>
    </row>
    <row r="324" spans="4:4" x14ac:dyDescent="0.25">
      <c r="D324" s="12">
        <f t="shared" si="5"/>
        <v>0</v>
      </c>
    </row>
    <row r="325" spans="4:4" x14ac:dyDescent="0.25">
      <c r="D325" s="12">
        <f t="shared" si="5"/>
        <v>0</v>
      </c>
    </row>
    <row r="326" spans="4:4" x14ac:dyDescent="0.25">
      <c r="D326" s="12">
        <f t="shared" si="5"/>
        <v>0</v>
      </c>
    </row>
    <row r="327" spans="4:4" x14ac:dyDescent="0.25">
      <c r="D327" s="12">
        <f t="shared" si="5"/>
        <v>0</v>
      </c>
    </row>
    <row r="328" spans="4:4" x14ac:dyDescent="0.25">
      <c r="D328" s="12">
        <f t="shared" si="5"/>
        <v>0</v>
      </c>
    </row>
    <row r="329" spans="4:4" x14ac:dyDescent="0.25">
      <c r="D329" s="12">
        <f t="shared" si="5"/>
        <v>0</v>
      </c>
    </row>
    <row r="330" spans="4:4" x14ac:dyDescent="0.25">
      <c r="D330" s="12">
        <f t="shared" si="5"/>
        <v>0</v>
      </c>
    </row>
    <row r="331" spans="4:4" x14ac:dyDescent="0.25">
      <c r="D331" s="12">
        <f t="shared" si="5"/>
        <v>0</v>
      </c>
    </row>
    <row r="332" spans="4:4" x14ac:dyDescent="0.25">
      <c r="D332" s="12">
        <f t="shared" si="5"/>
        <v>0</v>
      </c>
    </row>
    <row r="333" spans="4:4" x14ac:dyDescent="0.25">
      <c r="D333" s="12">
        <f t="shared" si="5"/>
        <v>0</v>
      </c>
    </row>
    <row r="334" spans="4:4" x14ac:dyDescent="0.25">
      <c r="D334" s="12">
        <f t="shared" si="5"/>
        <v>0</v>
      </c>
    </row>
    <row r="335" spans="4:4" x14ac:dyDescent="0.25">
      <c r="D335" s="12">
        <f t="shared" si="5"/>
        <v>0</v>
      </c>
    </row>
    <row r="336" spans="4:4" x14ac:dyDescent="0.25">
      <c r="D336" s="12">
        <f t="shared" si="5"/>
        <v>0</v>
      </c>
    </row>
    <row r="337" spans="4:4" x14ac:dyDescent="0.25">
      <c r="D337" s="12">
        <f t="shared" si="5"/>
        <v>0</v>
      </c>
    </row>
    <row r="338" spans="4:4" x14ac:dyDescent="0.25">
      <c r="D338" s="12">
        <f t="shared" si="5"/>
        <v>0</v>
      </c>
    </row>
    <row r="339" spans="4:4" x14ac:dyDescent="0.25">
      <c r="D339" s="12">
        <f t="shared" si="5"/>
        <v>0</v>
      </c>
    </row>
    <row r="340" spans="4:4" x14ac:dyDescent="0.25">
      <c r="D340" s="12">
        <f t="shared" si="5"/>
        <v>0</v>
      </c>
    </row>
    <row r="341" spans="4:4" x14ac:dyDescent="0.25">
      <c r="D341" s="12">
        <f t="shared" si="5"/>
        <v>0</v>
      </c>
    </row>
    <row r="342" spans="4:4" x14ac:dyDescent="0.25">
      <c r="D342" s="12">
        <f t="shared" ref="D342:D405" si="6">(B341+B342)/2*(C342-C341)</f>
        <v>0</v>
      </c>
    </row>
    <row r="343" spans="4:4" x14ac:dyDescent="0.25">
      <c r="D343" s="12">
        <f t="shared" si="6"/>
        <v>0</v>
      </c>
    </row>
    <row r="344" spans="4:4" x14ac:dyDescent="0.25">
      <c r="D344" s="12">
        <f t="shared" si="6"/>
        <v>0</v>
      </c>
    </row>
    <row r="345" spans="4:4" x14ac:dyDescent="0.25">
      <c r="D345" s="12">
        <f t="shared" si="6"/>
        <v>0</v>
      </c>
    </row>
    <row r="346" spans="4:4" x14ac:dyDescent="0.25">
      <c r="D346" s="12">
        <f t="shared" si="6"/>
        <v>0</v>
      </c>
    </row>
    <row r="347" spans="4:4" x14ac:dyDescent="0.25">
      <c r="D347" s="12">
        <f t="shared" si="6"/>
        <v>0</v>
      </c>
    </row>
    <row r="348" spans="4:4" x14ac:dyDescent="0.25">
      <c r="D348" s="12">
        <f t="shared" si="6"/>
        <v>0</v>
      </c>
    </row>
    <row r="349" spans="4:4" x14ac:dyDescent="0.25">
      <c r="D349" s="12">
        <f t="shared" si="6"/>
        <v>0</v>
      </c>
    </row>
    <row r="350" spans="4:4" x14ac:dyDescent="0.25">
      <c r="D350" s="12">
        <f t="shared" si="6"/>
        <v>0</v>
      </c>
    </row>
    <row r="351" spans="4:4" x14ac:dyDescent="0.25">
      <c r="D351" s="12">
        <f t="shared" si="6"/>
        <v>0</v>
      </c>
    </row>
    <row r="352" spans="4:4" x14ac:dyDescent="0.25">
      <c r="D352" s="12">
        <f t="shared" si="6"/>
        <v>0</v>
      </c>
    </row>
    <row r="353" spans="4:4" x14ac:dyDescent="0.25">
      <c r="D353" s="12">
        <f t="shared" si="6"/>
        <v>0</v>
      </c>
    </row>
    <row r="354" spans="4:4" x14ac:dyDescent="0.25">
      <c r="D354" s="12">
        <f t="shared" si="6"/>
        <v>0</v>
      </c>
    </row>
    <row r="355" spans="4:4" x14ac:dyDescent="0.25">
      <c r="D355" s="12">
        <f t="shared" si="6"/>
        <v>0</v>
      </c>
    </row>
    <row r="356" spans="4:4" x14ac:dyDescent="0.25">
      <c r="D356" s="12">
        <f t="shared" si="6"/>
        <v>0</v>
      </c>
    </row>
    <row r="357" spans="4:4" x14ac:dyDescent="0.25">
      <c r="D357" s="12">
        <f t="shared" si="6"/>
        <v>0</v>
      </c>
    </row>
    <row r="358" spans="4:4" x14ac:dyDescent="0.25">
      <c r="D358" s="12">
        <f t="shared" si="6"/>
        <v>0</v>
      </c>
    </row>
    <row r="359" spans="4:4" x14ac:dyDescent="0.25">
      <c r="D359" s="12">
        <f t="shared" si="6"/>
        <v>0</v>
      </c>
    </row>
    <row r="360" spans="4:4" x14ac:dyDescent="0.25">
      <c r="D360" s="12">
        <f t="shared" si="6"/>
        <v>0</v>
      </c>
    </row>
    <row r="361" spans="4:4" x14ac:dyDescent="0.25">
      <c r="D361" s="12">
        <f t="shared" si="6"/>
        <v>0</v>
      </c>
    </row>
    <row r="362" spans="4:4" x14ac:dyDescent="0.25">
      <c r="D362" s="12">
        <f t="shared" si="6"/>
        <v>0</v>
      </c>
    </row>
    <row r="363" spans="4:4" x14ac:dyDescent="0.25">
      <c r="D363" s="12">
        <f t="shared" si="6"/>
        <v>0</v>
      </c>
    </row>
    <row r="364" spans="4:4" x14ac:dyDescent="0.25">
      <c r="D364" s="12">
        <f t="shared" si="6"/>
        <v>0</v>
      </c>
    </row>
    <row r="365" spans="4:4" x14ac:dyDescent="0.25">
      <c r="D365" s="12">
        <f t="shared" si="6"/>
        <v>0</v>
      </c>
    </row>
    <row r="366" spans="4:4" x14ac:dyDescent="0.25">
      <c r="D366" s="12">
        <f t="shared" si="6"/>
        <v>0</v>
      </c>
    </row>
    <row r="367" spans="4:4" x14ac:dyDescent="0.25">
      <c r="D367" s="12">
        <f t="shared" si="6"/>
        <v>0</v>
      </c>
    </row>
    <row r="368" spans="4:4" x14ac:dyDescent="0.25">
      <c r="D368" s="12">
        <f t="shared" si="6"/>
        <v>0</v>
      </c>
    </row>
    <row r="369" spans="4:4" x14ac:dyDescent="0.25">
      <c r="D369" s="12">
        <f t="shared" si="6"/>
        <v>0</v>
      </c>
    </row>
    <row r="370" spans="4:4" x14ac:dyDescent="0.25">
      <c r="D370" s="12">
        <f t="shared" si="6"/>
        <v>0</v>
      </c>
    </row>
    <row r="371" spans="4:4" x14ac:dyDescent="0.25">
      <c r="D371" s="12">
        <f t="shared" si="6"/>
        <v>0</v>
      </c>
    </row>
    <row r="372" spans="4:4" x14ac:dyDescent="0.25">
      <c r="D372" s="12">
        <f t="shared" si="6"/>
        <v>0</v>
      </c>
    </row>
    <row r="373" spans="4:4" x14ac:dyDescent="0.25">
      <c r="D373" s="12">
        <f t="shared" si="6"/>
        <v>0</v>
      </c>
    </row>
    <row r="374" spans="4:4" x14ac:dyDescent="0.25">
      <c r="D374" s="12">
        <f t="shared" si="6"/>
        <v>0</v>
      </c>
    </row>
    <row r="375" spans="4:4" x14ac:dyDescent="0.25">
      <c r="D375" s="12">
        <f t="shared" si="6"/>
        <v>0</v>
      </c>
    </row>
    <row r="376" spans="4:4" x14ac:dyDescent="0.25">
      <c r="D376" s="12">
        <f t="shared" si="6"/>
        <v>0</v>
      </c>
    </row>
    <row r="377" spans="4:4" x14ac:dyDescent="0.25">
      <c r="D377" s="12">
        <f t="shared" si="6"/>
        <v>0</v>
      </c>
    </row>
    <row r="378" spans="4:4" x14ac:dyDescent="0.25">
      <c r="D378" s="12">
        <f t="shared" si="6"/>
        <v>0</v>
      </c>
    </row>
    <row r="379" spans="4:4" x14ac:dyDescent="0.25">
      <c r="D379" s="12">
        <f t="shared" si="6"/>
        <v>0</v>
      </c>
    </row>
    <row r="380" spans="4:4" x14ac:dyDescent="0.25">
      <c r="D380" s="12">
        <f t="shared" si="6"/>
        <v>0</v>
      </c>
    </row>
    <row r="381" spans="4:4" x14ac:dyDescent="0.25">
      <c r="D381" s="12">
        <f t="shared" si="6"/>
        <v>0</v>
      </c>
    </row>
    <row r="382" spans="4:4" x14ac:dyDescent="0.25">
      <c r="D382" s="12">
        <f t="shared" si="6"/>
        <v>0</v>
      </c>
    </row>
    <row r="383" spans="4:4" x14ac:dyDescent="0.25">
      <c r="D383" s="12">
        <f t="shared" si="6"/>
        <v>0</v>
      </c>
    </row>
    <row r="384" spans="4:4" x14ac:dyDescent="0.25">
      <c r="D384" s="12">
        <f t="shared" si="6"/>
        <v>0</v>
      </c>
    </row>
    <row r="385" spans="4:4" x14ac:dyDescent="0.25">
      <c r="D385" s="12">
        <f t="shared" si="6"/>
        <v>0</v>
      </c>
    </row>
    <row r="386" spans="4:4" x14ac:dyDescent="0.25">
      <c r="D386" s="12">
        <f t="shared" si="6"/>
        <v>0</v>
      </c>
    </row>
    <row r="387" spans="4:4" x14ac:dyDescent="0.25">
      <c r="D387" s="12">
        <f t="shared" si="6"/>
        <v>0</v>
      </c>
    </row>
    <row r="388" spans="4:4" x14ac:dyDescent="0.25">
      <c r="D388" s="12">
        <f t="shared" si="6"/>
        <v>0</v>
      </c>
    </row>
    <row r="389" spans="4:4" x14ac:dyDescent="0.25">
      <c r="D389" s="12">
        <f t="shared" si="6"/>
        <v>0</v>
      </c>
    </row>
    <row r="390" spans="4:4" x14ac:dyDescent="0.25">
      <c r="D390" s="12">
        <f t="shared" si="6"/>
        <v>0</v>
      </c>
    </row>
    <row r="391" spans="4:4" x14ac:dyDescent="0.25">
      <c r="D391" s="12">
        <f t="shared" si="6"/>
        <v>0</v>
      </c>
    </row>
    <row r="392" spans="4:4" x14ac:dyDescent="0.25">
      <c r="D392" s="12">
        <f t="shared" si="6"/>
        <v>0</v>
      </c>
    </row>
    <row r="393" spans="4:4" x14ac:dyDescent="0.25">
      <c r="D393" s="12">
        <f t="shared" si="6"/>
        <v>0</v>
      </c>
    </row>
    <row r="394" spans="4:4" x14ac:dyDescent="0.25">
      <c r="D394" s="12">
        <f t="shared" si="6"/>
        <v>0</v>
      </c>
    </row>
    <row r="395" spans="4:4" x14ac:dyDescent="0.25">
      <c r="D395" s="12">
        <f t="shared" si="6"/>
        <v>0</v>
      </c>
    </row>
    <row r="396" spans="4:4" x14ac:dyDescent="0.25">
      <c r="D396" s="12">
        <f t="shared" si="6"/>
        <v>0</v>
      </c>
    </row>
    <row r="397" spans="4:4" x14ac:dyDescent="0.25">
      <c r="D397" s="12">
        <f t="shared" si="6"/>
        <v>0</v>
      </c>
    </row>
    <row r="398" spans="4:4" x14ac:dyDescent="0.25">
      <c r="D398" s="12">
        <f t="shared" si="6"/>
        <v>0</v>
      </c>
    </row>
    <row r="399" spans="4:4" x14ac:dyDescent="0.25">
      <c r="D399" s="12">
        <f t="shared" si="6"/>
        <v>0</v>
      </c>
    </row>
    <row r="400" spans="4:4" x14ac:dyDescent="0.25">
      <c r="D400" s="12">
        <f t="shared" si="6"/>
        <v>0</v>
      </c>
    </row>
    <row r="401" spans="4:4" x14ac:dyDescent="0.25">
      <c r="D401" s="12">
        <f t="shared" si="6"/>
        <v>0</v>
      </c>
    </row>
    <row r="402" spans="4:4" x14ac:dyDescent="0.25">
      <c r="D402" s="12">
        <f t="shared" si="6"/>
        <v>0</v>
      </c>
    </row>
    <row r="403" spans="4:4" x14ac:dyDescent="0.25">
      <c r="D403" s="12">
        <f t="shared" si="6"/>
        <v>0</v>
      </c>
    </row>
    <row r="404" spans="4:4" x14ac:dyDescent="0.25">
      <c r="D404" s="12">
        <f t="shared" si="6"/>
        <v>0</v>
      </c>
    </row>
    <row r="405" spans="4:4" x14ac:dyDescent="0.25">
      <c r="D405" s="12">
        <f t="shared" si="6"/>
        <v>0</v>
      </c>
    </row>
    <row r="406" spans="4:4" x14ac:dyDescent="0.25">
      <c r="D406" s="12">
        <f t="shared" ref="D406:D416" si="7">(B405+B406)/2*(C406-C405)</f>
        <v>0</v>
      </c>
    </row>
    <row r="407" spans="4:4" x14ac:dyDescent="0.25">
      <c r="D407" s="12">
        <f t="shared" si="7"/>
        <v>0</v>
      </c>
    </row>
    <row r="408" spans="4:4" x14ac:dyDescent="0.25">
      <c r="D408" s="12">
        <f t="shared" si="7"/>
        <v>0</v>
      </c>
    </row>
    <row r="409" spans="4:4" x14ac:dyDescent="0.25">
      <c r="D409" s="12">
        <f t="shared" si="7"/>
        <v>0</v>
      </c>
    </row>
    <row r="410" spans="4:4" x14ac:dyDescent="0.25">
      <c r="D410" s="12">
        <f t="shared" si="7"/>
        <v>0</v>
      </c>
    </row>
    <row r="411" spans="4:4" x14ac:dyDescent="0.25">
      <c r="D411" s="12">
        <f t="shared" si="7"/>
        <v>0</v>
      </c>
    </row>
    <row r="412" spans="4:4" x14ac:dyDescent="0.25">
      <c r="D412" s="12">
        <f t="shared" si="7"/>
        <v>0</v>
      </c>
    </row>
    <row r="413" spans="4:4" x14ac:dyDescent="0.25">
      <c r="D413" s="12">
        <f t="shared" si="7"/>
        <v>0</v>
      </c>
    </row>
    <row r="414" spans="4:4" x14ac:dyDescent="0.25">
      <c r="D414" s="12">
        <f t="shared" si="7"/>
        <v>0</v>
      </c>
    </row>
    <row r="415" spans="4:4" x14ac:dyDescent="0.25">
      <c r="D415" s="12">
        <f t="shared" si="7"/>
        <v>0</v>
      </c>
    </row>
    <row r="416" spans="4:4" x14ac:dyDescent="0.25">
      <c r="D416" s="12">
        <f t="shared" si="7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4FF9-DB4A-4269-84E1-D6F3F1ADB060}">
  <dimension ref="W2:AC29"/>
  <sheetViews>
    <sheetView showGridLines="0" tabSelected="1" topLeftCell="E1" zoomScale="70" zoomScaleNormal="70" workbookViewId="0">
      <selection activeCell="AA8" sqref="AA8"/>
    </sheetView>
  </sheetViews>
  <sheetFormatPr defaultRowHeight="15" x14ac:dyDescent="0.25"/>
  <cols>
    <col min="23" max="23" width="19" customWidth="1"/>
    <col min="24" max="24" width="19.140625" customWidth="1"/>
    <col min="25" max="25" width="20.140625" customWidth="1"/>
    <col min="26" max="26" width="18.28515625" customWidth="1"/>
    <col min="28" max="28" width="20" customWidth="1"/>
    <col min="29" max="29" width="19.85546875" customWidth="1"/>
    <col min="30" max="30" width="16.85546875" customWidth="1"/>
  </cols>
  <sheetData>
    <row r="2" spans="23:25" ht="18.75" x14ac:dyDescent="0.3">
      <c r="W2" s="25" t="s">
        <v>11</v>
      </c>
      <c r="X2" s="25"/>
      <c r="Y2" s="25"/>
    </row>
    <row r="3" spans="23:25" ht="18.75" x14ac:dyDescent="0.3">
      <c r="W3" s="9" t="s">
        <v>12</v>
      </c>
      <c r="X3" s="9" t="s">
        <v>10</v>
      </c>
      <c r="Y3" s="9" t="s">
        <v>9</v>
      </c>
    </row>
    <row r="4" spans="23:25" ht="18.75" x14ac:dyDescent="0.3">
      <c r="W4" s="4">
        <v>3.12</v>
      </c>
      <c r="X4" s="4">
        <v>1.44E-2</v>
      </c>
      <c r="Y4" s="4">
        <v>440</v>
      </c>
    </row>
    <row r="5" spans="23:25" ht="18.75" x14ac:dyDescent="0.3">
      <c r="W5" s="5"/>
      <c r="X5" s="5"/>
      <c r="Y5" s="5"/>
    </row>
    <row r="6" spans="23:25" ht="18.75" x14ac:dyDescent="0.3">
      <c r="W6" s="26" t="s">
        <v>13</v>
      </c>
      <c r="X6" s="26"/>
      <c r="Y6" s="26"/>
    </row>
    <row r="7" spans="23:25" ht="18.75" x14ac:dyDescent="0.3">
      <c r="W7" s="9" t="s">
        <v>1</v>
      </c>
      <c r="X7" s="9" t="s">
        <v>6</v>
      </c>
      <c r="Y7" s="9" t="s">
        <v>5</v>
      </c>
    </row>
    <row r="8" spans="23:25" ht="18.75" x14ac:dyDescent="0.3">
      <c r="W8" s="4">
        <v>2</v>
      </c>
      <c r="X8" s="8">
        <f>VLOOKUP(W8,'Pushover DATI'!A2:C38,2)</f>
        <v>3.0839999999999999E-2</v>
      </c>
      <c r="Y8" s="6">
        <f>VLOOKUP(W8,'Pushover DATI'!A2:C38,3)</f>
        <v>479.93599999999998</v>
      </c>
    </row>
    <row r="9" spans="23:25" ht="18.75" x14ac:dyDescent="0.3">
      <c r="W9" s="21" t="s">
        <v>1</v>
      </c>
      <c r="X9" s="21" t="s">
        <v>7</v>
      </c>
      <c r="Y9" s="21" t="s">
        <v>8</v>
      </c>
    </row>
    <row r="10" spans="23:25" ht="18.75" x14ac:dyDescent="0.3">
      <c r="W10" s="4">
        <v>11</v>
      </c>
      <c r="X10" s="6">
        <f>VLOOKUP(W10,'Pushover DATI'!A2:C38,2)</f>
        <v>0.13916200000000001</v>
      </c>
      <c r="Y10" s="6">
        <f>VLOOKUP(W10,'Pushover DATI'!A2:C38,3)</f>
        <v>746.14200000000005</v>
      </c>
    </row>
    <row r="11" spans="23:25" ht="18.75" x14ac:dyDescent="0.3">
      <c r="W11" s="4">
        <v>11</v>
      </c>
      <c r="X11" s="6">
        <f>VLOOKUP(W11,'Pushover DATI'!A3:C39,2)</f>
        <v>0.13916200000000001</v>
      </c>
      <c r="Y11" s="6">
        <f>VLOOKUP(W11,'Pushover DATI'!A3:C39,3)</f>
        <v>746.14200000000005</v>
      </c>
    </row>
    <row r="13" spans="23:25" ht="18.75" x14ac:dyDescent="0.3">
      <c r="W13" s="27" t="s">
        <v>23</v>
      </c>
      <c r="X13" s="27"/>
      <c r="Y13" s="27"/>
    </row>
    <row r="14" spans="23:25" x14ac:dyDescent="0.25">
      <c r="W14" s="24"/>
      <c r="X14" s="24"/>
      <c r="Y14" s="24"/>
    </row>
    <row r="15" spans="23:25" x14ac:dyDescent="0.25">
      <c r="W15" s="24"/>
      <c r="X15" s="14" t="s">
        <v>17</v>
      </c>
      <c r="Y15" s="14" t="s">
        <v>16</v>
      </c>
    </row>
    <row r="16" spans="23:25" x14ac:dyDescent="0.25">
      <c r="W16" s="24"/>
      <c r="X16" s="15">
        <v>0</v>
      </c>
      <c r="Y16" s="15">
        <v>0</v>
      </c>
    </row>
    <row r="17" spans="23:29" x14ac:dyDescent="0.25">
      <c r="W17" s="22" t="s">
        <v>15</v>
      </c>
      <c r="X17" s="16">
        <f>Y10*0.6</f>
        <v>447.68520000000001</v>
      </c>
      <c r="Y17" s="19">
        <f>('Pushover DATI'!$B$4-'Pushover DATI'!$B$3)/('Pushover DATI'!$C$4-'Pushover DATI'!$C$3)*(Verifica!X17-'Pushover DATI'!$C$3)+'Pushover DATI'!$B$3</f>
        <v>2.8770465828503494E-2</v>
      </c>
      <c r="AA17" t="s">
        <v>19</v>
      </c>
    </row>
    <row r="18" spans="23:29" x14ac:dyDescent="0.25">
      <c r="W18" s="22" t="s">
        <v>22</v>
      </c>
      <c r="X18" s="16">
        <v>710.3</v>
      </c>
      <c r="Y18" s="19">
        <f>X18/(X17/Y17)</f>
        <v>4.5647392136228822E-2</v>
      </c>
      <c r="AA18">
        <f>SUM('Pushover DATI'!D2:D107)</f>
        <v>131.15251657200005</v>
      </c>
    </row>
    <row r="19" spans="23:29" x14ac:dyDescent="0.25">
      <c r="W19" s="22" t="s">
        <v>26</v>
      </c>
      <c r="X19" s="16">
        <f>X18</f>
        <v>710.3</v>
      </c>
      <c r="Y19" s="16">
        <f>X11</f>
        <v>0.13916200000000001</v>
      </c>
      <c r="AA19" t="s">
        <v>20</v>
      </c>
    </row>
    <row r="20" spans="23:29" x14ac:dyDescent="0.25">
      <c r="W20" s="22" t="s">
        <v>21</v>
      </c>
      <c r="X20" s="16">
        <f>'Pushover DATI'!C11*0.85</f>
        <v>583.90325000000007</v>
      </c>
      <c r="Y20" s="17"/>
      <c r="AA20">
        <f>Y18*X18/2+(Y19-Y18)*X18</f>
        <v>82.635097282818336</v>
      </c>
    </row>
    <row r="21" spans="23:29" x14ac:dyDescent="0.25">
      <c r="W21" s="23"/>
      <c r="X21" s="13">
        <v>0</v>
      </c>
      <c r="Y21" s="13">
        <f>X10</f>
        <v>0.13916200000000001</v>
      </c>
    </row>
    <row r="22" spans="23:29" x14ac:dyDescent="0.25">
      <c r="W22" s="22" t="s">
        <v>27</v>
      </c>
      <c r="X22" s="13">
        <f>X17/Y17*Y21</f>
        <v>2165.441747581207</v>
      </c>
      <c r="Y22" s="13">
        <f>Y21</f>
        <v>0.13916200000000001</v>
      </c>
    </row>
    <row r="24" spans="23:29" ht="18.75" x14ac:dyDescent="0.3">
      <c r="W24" s="26" t="s">
        <v>4</v>
      </c>
      <c r="X24" s="26"/>
      <c r="Y24" s="26"/>
    </row>
    <row r="25" spans="23:29" ht="18.75" x14ac:dyDescent="0.3">
      <c r="W25" s="10" t="s">
        <v>24</v>
      </c>
      <c r="X25" s="10" t="s">
        <v>14</v>
      </c>
      <c r="Y25" s="10" t="s">
        <v>12</v>
      </c>
      <c r="AC25" s="10" t="s">
        <v>25</v>
      </c>
    </row>
    <row r="26" spans="23:29" ht="18.75" x14ac:dyDescent="0.3">
      <c r="W26" s="6">
        <f>X22/X18</f>
        <v>3.0486298009027273</v>
      </c>
      <c r="X26" s="7">
        <f>X18/Y8</f>
        <v>1.4799889985331378</v>
      </c>
      <c r="Y26" s="16">
        <f>W26*X26</f>
        <v>4.5119385659363065</v>
      </c>
      <c r="AC26" s="7">
        <f>Y8/Y4</f>
        <v>1.0907636363636364</v>
      </c>
    </row>
    <row r="28" spans="23:29" ht="18.75" x14ac:dyDescent="0.3">
      <c r="Z28" s="18"/>
    </row>
    <row r="29" spans="23:29" x14ac:dyDescent="0.25">
      <c r="AB29">
        <f>(Y10/Y8)*(X10/X8)</f>
        <v>7.0152709863584928</v>
      </c>
    </row>
  </sheetData>
  <mergeCells count="4">
    <mergeCell ref="W2:Y2"/>
    <mergeCell ref="W6:Y6"/>
    <mergeCell ref="W24:Y24"/>
    <mergeCell ref="W13:Y13"/>
  </mergeCells>
  <pageMargins left="0.7" right="0.7" top="0.75" bottom="0.75" header="0.3" footer="0.3"/>
  <pageSetup paperSize="9" scale="9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AE87AD-66AB-47F1-802F-E055A1CE299F}">
          <x14:formula1>
            <xm:f>'Pushover DATI'!$A$2:$A$38</xm:f>
          </x14:formula1>
          <xm:sqref>W10:W11 W8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D628-0D2D-4948-B7D5-741E23B391B4}">
  <dimension ref="A1:Z18"/>
  <sheetViews>
    <sheetView workbookViewId="0">
      <selection activeCell="F17" sqref="F17"/>
    </sheetView>
  </sheetViews>
  <sheetFormatPr defaultRowHeight="15" x14ac:dyDescent="0.25"/>
  <cols>
    <col min="1" max="1" width="15.85546875" style="2" customWidth="1"/>
    <col min="2" max="2" width="13.28515625" style="2" customWidth="1"/>
    <col min="3" max="3" width="13.5703125" style="2" customWidth="1"/>
    <col min="4" max="4" width="11.5703125" style="2" customWidth="1"/>
    <col min="5" max="5" width="13.85546875" style="2" customWidth="1"/>
    <col min="6" max="6" width="9.140625" style="2"/>
    <col min="7" max="7" width="15.28515625" style="2" customWidth="1"/>
    <col min="8" max="8" width="11.140625" style="2" customWidth="1"/>
    <col min="9" max="9" width="13.140625" style="2" customWidth="1"/>
    <col min="10" max="10" width="11.7109375" style="2" customWidth="1"/>
    <col min="11" max="11" width="13.5703125" style="2" customWidth="1"/>
    <col min="12" max="26" width="9.140625" style="2"/>
  </cols>
  <sheetData>
    <row r="1" spans="1:5" x14ac:dyDescent="0.25">
      <c r="A1" s="20" t="s">
        <v>28</v>
      </c>
      <c r="B1" s="20" t="s">
        <v>29</v>
      </c>
      <c r="C1" s="20" t="s">
        <v>30</v>
      </c>
      <c r="D1" s="20" t="s">
        <v>31</v>
      </c>
      <c r="E1" s="20" t="s">
        <v>32</v>
      </c>
    </row>
    <row r="2" spans="1:5" x14ac:dyDescent="0.25">
      <c r="A2" s="28" t="s">
        <v>33</v>
      </c>
      <c r="B2" s="15">
        <v>1</v>
      </c>
      <c r="C2" s="15" t="s">
        <v>34</v>
      </c>
      <c r="D2" s="19">
        <v>28.738499999999998</v>
      </c>
      <c r="E2" s="19">
        <f t="shared" ref="E2:E4" si="0">D2/MAX($D$2:$D$5)</f>
        <v>0.33974275615032684</v>
      </c>
    </row>
    <row r="3" spans="1:5" x14ac:dyDescent="0.25">
      <c r="A3" s="28"/>
      <c r="B3" s="15">
        <v>2</v>
      </c>
      <c r="C3" s="15" t="s">
        <v>34</v>
      </c>
      <c r="D3" s="15">
        <v>58.073</v>
      </c>
      <c r="E3" s="19">
        <f t="shared" si="0"/>
        <v>0.68653134568324492</v>
      </c>
    </row>
    <row r="4" spans="1:5" x14ac:dyDescent="0.25">
      <c r="A4" s="28"/>
      <c r="B4" s="15">
        <v>3</v>
      </c>
      <c r="C4" s="15" t="s">
        <v>34</v>
      </c>
      <c r="D4" s="15">
        <v>84.588999999999999</v>
      </c>
      <c r="E4" s="19">
        <f t="shared" si="0"/>
        <v>1</v>
      </c>
    </row>
    <row r="5" spans="1:5" x14ac:dyDescent="0.25">
      <c r="A5" s="28"/>
      <c r="B5" s="15">
        <v>4</v>
      </c>
      <c r="C5" s="15" t="s">
        <v>34</v>
      </c>
      <c r="D5" s="15">
        <v>84.320999999999998</v>
      </c>
      <c r="E5" s="19">
        <f>D5/MAX($D$2:$D$5)</f>
        <v>0.99683173935145231</v>
      </c>
    </row>
    <row r="7" spans="1:5" x14ac:dyDescent="0.25">
      <c r="A7" s="20" t="s">
        <v>28</v>
      </c>
      <c r="B7" s="20" t="s">
        <v>29</v>
      </c>
      <c r="C7" s="20" t="s">
        <v>30</v>
      </c>
      <c r="D7" s="20" t="s">
        <v>31</v>
      </c>
      <c r="E7" s="20" t="s">
        <v>32</v>
      </c>
    </row>
    <row r="8" spans="1:5" x14ac:dyDescent="0.25">
      <c r="A8" s="28" t="s">
        <v>33</v>
      </c>
      <c r="B8" s="15">
        <v>1</v>
      </c>
      <c r="C8" s="15" t="s">
        <v>35</v>
      </c>
      <c r="D8" s="19">
        <v>41.972900000000003</v>
      </c>
      <c r="E8" s="19">
        <f>D8/MAX($D$8:$D$11)</f>
        <v>0.28485577330929046</v>
      </c>
    </row>
    <row r="9" spans="1:5" x14ac:dyDescent="0.25">
      <c r="A9" s="28"/>
      <c r="B9" s="15">
        <v>2</v>
      </c>
      <c r="C9" s="15" t="s">
        <v>35</v>
      </c>
      <c r="D9" s="19">
        <v>107.55029999999999</v>
      </c>
      <c r="E9" s="19">
        <f>D9/MAX($D$8:$D$11)</f>
        <v>0.72990724672696372</v>
      </c>
    </row>
    <row r="10" spans="1:5" x14ac:dyDescent="0.25">
      <c r="A10" s="28"/>
      <c r="B10" s="15">
        <v>3</v>
      </c>
      <c r="C10" s="15" t="s">
        <v>35</v>
      </c>
      <c r="D10" s="19">
        <v>143.86279999999999</v>
      </c>
      <c r="E10" s="19">
        <f>D10/MAX($D$8:$D$11)</f>
        <v>0.97634781357589751</v>
      </c>
    </row>
    <row r="11" spans="1:5" x14ac:dyDescent="0.25">
      <c r="A11" s="28"/>
      <c r="B11" s="15">
        <v>4</v>
      </c>
      <c r="C11" s="15" t="s">
        <v>35</v>
      </c>
      <c r="D11" s="19">
        <v>147.34790000000001</v>
      </c>
      <c r="E11" s="19">
        <f>D11/MAX($D$8:$D$11)</f>
        <v>1</v>
      </c>
    </row>
    <row r="14" spans="1:5" x14ac:dyDescent="0.25">
      <c r="B14" s="20" t="s">
        <v>28</v>
      </c>
      <c r="C14" s="20" t="s">
        <v>29</v>
      </c>
      <c r="D14" s="20" t="s">
        <v>37</v>
      </c>
      <c r="E14" s="20" t="s">
        <v>32</v>
      </c>
    </row>
    <row r="15" spans="1:5" x14ac:dyDescent="0.25">
      <c r="B15" s="28" t="s">
        <v>36</v>
      </c>
      <c r="C15" s="15">
        <v>1</v>
      </c>
      <c r="D15" s="19">
        <v>2962</v>
      </c>
      <c r="E15" s="19">
        <f>D15/MAX($D$15:$D$18)</f>
        <v>1</v>
      </c>
    </row>
    <row r="16" spans="1:5" x14ac:dyDescent="0.25">
      <c r="B16" s="28"/>
      <c r="C16" s="15">
        <v>2</v>
      </c>
      <c r="D16" s="15">
        <v>2962</v>
      </c>
      <c r="E16" s="19">
        <f>D16/MAX($D$15:$D$18)</f>
        <v>1</v>
      </c>
    </row>
    <row r="17" spans="2:5" x14ac:dyDescent="0.25">
      <c r="B17" s="28"/>
      <c r="C17" s="15">
        <v>3</v>
      </c>
      <c r="D17" s="15">
        <v>2962</v>
      </c>
      <c r="E17" s="19">
        <f>D17/MAX($D$15:$D$18)</f>
        <v>1</v>
      </c>
    </row>
    <row r="18" spans="2:5" x14ac:dyDescent="0.25">
      <c r="B18" s="28"/>
      <c r="C18" s="15">
        <v>4</v>
      </c>
      <c r="D18" s="15">
        <v>2212</v>
      </c>
      <c r="E18" s="19">
        <f>D18/MAX($D$15:$D$18)</f>
        <v>0.74679270762997974</v>
      </c>
    </row>
  </sheetData>
  <mergeCells count="3">
    <mergeCell ref="A2:A5"/>
    <mergeCell ref="A8:A11"/>
    <mergeCell ref="B15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Pushover DATI</vt:lpstr>
      <vt:lpstr>Verifica</vt:lpstr>
      <vt:lpstr>Andamento forze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2020-01-08T13:54:19Z</cp:lastPrinted>
  <dcterms:created xsi:type="dcterms:W3CDTF">2019-11-09T15:12:54Z</dcterms:created>
  <dcterms:modified xsi:type="dcterms:W3CDTF">2020-01-08T14:03:21Z</dcterms:modified>
</cp:coreProperties>
</file>