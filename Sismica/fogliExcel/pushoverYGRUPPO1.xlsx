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BDF08060-E7CD-477A-A37D-4D314A03B102}" xr6:coauthVersionLast="44" xr6:coauthVersionMax="44" xr10:uidLastSave="{00000000-0000-0000-0000-000000000000}"/>
  <bookViews>
    <workbookView xWindow="-120" yWindow="-120" windowWidth="20730" windowHeight="11160" activeTab="1" xr2:uid="{68EE5251-06F6-4283-913D-3770CCB2D88D}"/>
  </bookViews>
  <sheets>
    <sheet name="Pushover DATI" sheetId="1" r:id="rId1"/>
    <sheet name="Veri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 l="1"/>
  <c r="W18" i="3" l="1"/>
  <c r="T11" i="3"/>
  <c r="U19" i="3" s="1"/>
  <c r="U11" i="3"/>
  <c r="T20" i="3"/>
  <c r="D407" i="1"/>
  <c r="D408" i="1"/>
  <c r="D409" i="1"/>
  <c r="D410" i="1"/>
  <c r="D411" i="1"/>
  <c r="D412" i="1"/>
  <c r="D413" i="1"/>
  <c r="D414" i="1"/>
  <c r="D415" i="1"/>
  <c r="D416" i="1"/>
  <c r="U10" i="3" l="1"/>
  <c r="T10" i="3"/>
  <c r="U21" i="3" s="1"/>
  <c r="U22" i="3" s="1"/>
  <c r="U8" i="3"/>
  <c r="T8" i="3"/>
  <c r="T26" i="3" l="1"/>
  <c r="T17" i="3"/>
  <c r="T19" i="3"/>
  <c r="U17" i="3" l="1"/>
  <c r="U18" i="3" l="1"/>
  <c r="W20" i="3" s="1"/>
  <c r="T22" i="3"/>
  <c r="S26" i="3" s="1"/>
  <c r="U26" i="3" s="1"/>
</calcChain>
</file>

<file path=xl/sharedStrings.xml><?xml version="1.0" encoding="utf-8"?>
<sst xmlns="http://schemas.openxmlformats.org/spreadsheetml/2006/main" count="29" uniqueCount="27">
  <si>
    <t>Step</t>
  </si>
  <si>
    <t>STEP</t>
  </si>
  <si>
    <t>d [m]</t>
  </si>
  <si>
    <t>V [KN]</t>
  </si>
  <si>
    <t>CALCOLO FATTORE DI STRUTTURA</t>
  </si>
  <si>
    <t>Vy [KN]</t>
  </si>
  <si>
    <t>dy [m]</t>
  </si>
  <si>
    <t>du [m]</t>
  </si>
  <si>
    <t>Vu [KN]</t>
  </si>
  <si>
    <t>Ve [KN]</t>
  </si>
  <si>
    <t>de [m]</t>
  </si>
  <si>
    <t>PARAMETRI DI PROGETTO</t>
  </si>
  <si>
    <t>q</t>
  </si>
  <si>
    <t>DATI PUSHOVER X</t>
  </si>
  <si>
    <t>Ω</t>
  </si>
  <si>
    <t>0,60Fbu [KN]</t>
  </si>
  <si>
    <t>x</t>
  </si>
  <si>
    <t>y</t>
  </si>
  <si>
    <t>calcolo area</t>
  </si>
  <si>
    <t>Area grafico  1</t>
  </si>
  <si>
    <t>Area grafico 2</t>
  </si>
  <si>
    <t>0,85Fbu [KN]</t>
  </si>
  <si>
    <t>Vy* [KN]</t>
  </si>
  <si>
    <t>LINEARIZZAZIONE GRAFICO</t>
  </si>
  <si>
    <t>Rμ</t>
  </si>
  <si>
    <t>0,85Vu* [KN]</t>
  </si>
  <si>
    <t>Veu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</si>
</sst>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4" fillId="0" borderId="0" xfId="0" applyFont="1" applyBorder="1" applyAlignment="1"/>
    <xf numFmtId="164" fontId="0" fillId="0" borderId="2" xfId="0" applyNumberForma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000"/>
              <a:t>Curva Pushover GRUPPO 1</a:t>
            </a:r>
          </a:p>
        </c:rich>
      </c:tx>
      <c:layout>
        <c:manualLayout>
          <c:xMode val="edge"/>
          <c:yMode val="edge"/>
          <c:x val="0.37825451888482459"/>
          <c:y val="1.2880122067046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686972191084825"/>
          <c:y val="6.4633580793892309E-2"/>
          <c:w val="0.82692815984828205"/>
          <c:h val="0.80291506817636127"/>
        </c:manualLayout>
      </c:layout>
      <c:scatterChart>
        <c:scatterStyle val="lineMarker"/>
        <c:varyColors val="0"/>
        <c:ser>
          <c:idx val="0"/>
          <c:order val="0"/>
          <c:tx>
            <c:v>Vu-du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133350">
                  <a:solidFill>
                    <a:srgbClr val="FFC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5AC-4DA7-BEBE-2EA3635C063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4A-4AA4-A2BB-756E74D2137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9-4B86-B9E8-2C8CD3E750B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4A-4AA4-A2BB-756E74D2137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5AC-4DA7-BEBE-2EA3635C063B}"/>
              </c:ext>
            </c:extLst>
          </c:dPt>
          <c:xVal>
            <c:numRef>
              <c:f>Verifica!$T$10</c:f>
              <c:numCache>
                <c:formatCode>0.00</c:formatCode>
                <c:ptCount val="1"/>
                <c:pt idx="0">
                  <c:v>0.161221</c:v>
                </c:pt>
              </c:numCache>
            </c:numRef>
          </c:xVal>
          <c:yVal>
            <c:numRef>
              <c:f>Verifica!$U$10</c:f>
              <c:numCache>
                <c:formatCode>0.00</c:formatCode>
                <c:ptCount val="1"/>
                <c:pt idx="0">
                  <c:v>551.88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9-4B86-B9E8-2C8CD3E750B6}"/>
            </c:ext>
          </c:extLst>
        </c:ser>
        <c:ser>
          <c:idx val="1"/>
          <c:order val="1"/>
          <c:tx>
            <c:v>Vy-dy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0">
                <a:solidFill>
                  <a:srgbClr val="FFFF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7030A0"/>
                </a:solidFill>
                <a:ln w="190500">
                  <a:solidFill>
                    <a:srgbClr val="7030A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5AC-4DA7-BEBE-2EA3635C063B}"/>
              </c:ext>
            </c:extLst>
          </c:dPt>
          <c:xVal>
            <c:numRef>
              <c:f>Verifica!$T$8</c:f>
              <c:numCache>
                <c:formatCode>0.000</c:formatCode>
                <c:ptCount val="1"/>
                <c:pt idx="0">
                  <c:v>1.3554999999999999E-2</c:v>
                </c:pt>
              </c:numCache>
            </c:numRef>
          </c:xVal>
          <c:yVal>
            <c:numRef>
              <c:f>Verifica!$U$8</c:f>
              <c:numCache>
                <c:formatCode>0.00</c:formatCode>
                <c:ptCount val="1"/>
                <c:pt idx="0">
                  <c:v>262.52300000000002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9-4B86-B9E8-2C8CD3E750B6}"/>
            </c:ext>
          </c:extLst>
        </c:ser>
        <c:ser>
          <c:idx val="2"/>
          <c:order val="2"/>
          <c:tx>
            <c:v>Curva Pushover X</c:v>
          </c:tx>
          <c:spPr>
            <a:ln w="28575" cap="rnd">
              <a:solidFill>
                <a:srgbClr val="FF0000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xVal>
            <c:numRef>
              <c:f>'Pushover DATI'!$B$2:$B$38</c:f>
              <c:numCache>
                <c:formatCode>General</c:formatCode>
                <c:ptCount val="37"/>
                <c:pt idx="0">
                  <c:v>5.3999999999999998E-5</c:v>
                </c:pt>
                <c:pt idx="1">
                  <c:v>1.0054E-2</c:v>
                </c:pt>
                <c:pt idx="2">
                  <c:v>1.3554999999999999E-2</c:v>
                </c:pt>
                <c:pt idx="3">
                  <c:v>1.5356E-2</c:v>
                </c:pt>
                <c:pt idx="4">
                  <c:v>2.8434000000000001E-2</c:v>
                </c:pt>
                <c:pt idx="5">
                  <c:v>4.6116999999999998E-2</c:v>
                </c:pt>
                <c:pt idx="6">
                  <c:v>5.7921E-2</c:v>
                </c:pt>
                <c:pt idx="7">
                  <c:v>7.1506E-2</c:v>
                </c:pt>
                <c:pt idx="8">
                  <c:v>8.1439999999999999E-2</c:v>
                </c:pt>
                <c:pt idx="9">
                  <c:v>0.100508</c:v>
                </c:pt>
                <c:pt idx="10">
                  <c:v>0.119396</c:v>
                </c:pt>
                <c:pt idx="11">
                  <c:v>0.12227399999999999</c:v>
                </c:pt>
                <c:pt idx="12">
                  <c:v>0.14131099999999999</c:v>
                </c:pt>
                <c:pt idx="13">
                  <c:v>0.161221</c:v>
                </c:pt>
                <c:pt idx="14">
                  <c:v>0.171178</c:v>
                </c:pt>
                <c:pt idx="15">
                  <c:v>0.175289</c:v>
                </c:pt>
                <c:pt idx="16">
                  <c:v>0.17616899999999999</c:v>
                </c:pt>
                <c:pt idx="17">
                  <c:v>0.18299399999999999</c:v>
                </c:pt>
              </c:numCache>
            </c:numRef>
          </c:xVal>
          <c:yVal>
            <c:numRef>
              <c:f>'Pushover DATI'!$C$2:$C$38</c:f>
              <c:numCache>
                <c:formatCode>General</c:formatCode>
                <c:ptCount val="37"/>
                <c:pt idx="0">
                  <c:v>0</c:v>
                </c:pt>
                <c:pt idx="1">
                  <c:v>194.53299999999999</c:v>
                </c:pt>
                <c:pt idx="2">
                  <c:v>262.52300000000002</c:v>
                </c:pt>
                <c:pt idx="3">
                  <c:v>292.81599999999997</c:v>
                </c:pt>
                <c:pt idx="4">
                  <c:v>381.83100000000002</c:v>
                </c:pt>
                <c:pt idx="5">
                  <c:v>439.33300000000003</c:v>
                </c:pt>
                <c:pt idx="6">
                  <c:v>470.50299999999999</c:v>
                </c:pt>
                <c:pt idx="7">
                  <c:v>492.10700000000003</c:v>
                </c:pt>
                <c:pt idx="8">
                  <c:v>506.09699999999998</c:v>
                </c:pt>
                <c:pt idx="9">
                  <c:v>521.899</c:v>
                </c:pt>
                <c:pt idx="10">
                  <c:v>536.65800000000002</c:v>
                </c:pt>
                <c:pt idx="11">
                  <c:v>538.44600000000003</c:v>
                </c:pt>
                <c:pt idx="12">
                  <c:v>545.28399999999999</c:v>
                </c:pt>
                <c:pt idx="13">
                  <c:v>551.88</c:v>
                </c:pt>
                <c:pt idx="14">
                  <c:v>555.18100000000004</c:v>
                </c:pt>
                <c:pt idx="15">
                  <c:v>537.25400000000002</c:v>
                </c:pt>
                <c:pt idx="16">
                  <c:v>538.077</c:v>
                </c:pt>
                <c:pt idx="17">
                  <c:v>522.43299999999999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9-4B86-B9E8-2C8CD3E750B6}"/>
            </c:ext>
          </c:extLst>
        </c:ser>
        <c:ser>
          <c:idx val="3"/>
          <c:order val="3"/>
          <c:tx>
            <c:v>Linearizzata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648-4657-B52E-DE5BA53AB8B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648-4657-B52E-DE5BA53AB8B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648-4657-B52E-DE5BA53AB8B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648-4657-B52E-DE5BA53AB8B0}"/>
              </c:ext>
            </c:extLst>
          </c:dPt>
          <c:xVal>
            <c:numRef>
              <c:f>Verifica!$U$16:$U$19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1.7633751031591462E-2</c:v>
                </c:pt>
                <c:pt idx="2">
                  <c:v>2.6763917351302458E-2</c:v>
                </c:pt>
                <c:pt idx="3" formatCode="0.00">
                  <c:v>0.18299399999999999</c:v>
                </c:pt>
              </c:numCache>
            </c:numRef>
          </c:xVal>
          <c:yVal>
            <c:numRef>
              <c:f>Verifica!$T$16:$T$19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331.12799999999999</c:v>
                </c:pt>
                <c:pt idx="2">
                  <c:v>502.57499999999999</c:v>
                </c:pt>
                <c:pt idx="3">
                  <c:v>502.57499999999999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48-4657-B52E-DE5BA53AB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11439"/>
        <c:axId val="504530079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spPr>
                  <a:ln w="28575" cap="rnd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>
                    <a:outerShdw dist="25400" dir="2700000" algn="tl" rotWithShape="0">
                      <a:schemeClr val="accent5"/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Verifica!$U$21:$U$22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>
                        <c:v>0.161221</c:v>
                      </c:pt>
                      <c:pt idx="1">
                        <c:v>0.161221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Verifica!$T$21:$T$22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>
                        <c:v>0</c:v>
                      </c:pt>
                      <c:pt idx="1">
                        <c:v>3027.4209493124486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C648-4657-B52E-DE5BA53AB8B0}"/>
                  </c:ext>
                </c:extLst>
              </c15:ser>
            </c15:filteredScatterSeries>
            <c15:filteredScatterSeries>
              <c15:ser>
                <c:idx val="5"/>
                <c:order val="5"/>
                <c:spPr>
                  <a:ln w="28575" cap="rnd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>
                    <a:outerShdw dist="25400" dir="2700000" algn="tl" rotWithShape="0">
                      <a:schemeClr val="accent6"/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(Verifica!$U$16,Verifica!$U$22)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 formatCode="General">
                        <c:v>0</c:v>
                      </c:pt>
                      <c:pt idx="1">
                        <c:v>0.161221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(Verifica!$T$16,Verifica!$T$22)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 formatCode="General">
                        <c:v>0</c:v>
                      </c:pt>
                      <c:pt idx="1">
                        <c:v>3027.4209493124486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648-4657-B52E-DE5BA53AB8B0}"/>
                  </c:ext>
                </c:extLst>
              </c15:ser>
            </c15:filteredScatterSeries>
          </c:ext>
        </c:extLst>
      </c:scatterChart>
      <c:valAx>
        <c:axId val="5097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alpha val="25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spostamento [m]</a:t>
                </a:r>
              </a:p>
            </c:rich>
          </c:tx>
          <c:layout>
            <c:manualLayout>
              <c:xMode val="edge"/>
              <c:yMode val="edge"/>
              <c:x val="0.46182105113992583"/>
              <c:y val="0.92306059014935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4530079"/>
        <c:crosses val="autoZero"/>
        <c:crossBetween val="midCat"/>
      </c:valAx>
      <c:valAx>
        <c:axId val="5045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alpha val="26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Taglio alla base [KN]</a:t>
                </a:r>
              </a:p>
            </c:rich>
          </c:tx>
          <c:layout>
            <c:manualLayout>
              <c:xMode val="edge"/>
              <c:yMode val="edge"/>
              <c:x val="8.1335475948787414E-3"/>
              <c:y val="0.36142476981824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9711439"/>
        <c:crosses val="autoZero"/>
        <c:crossBetween val="midCat"/>
      </c:valAx>
      <c:spPr>
        <a:solidFill>
          <a:sysClr val="window" lastClr="FFFFFF"/>
        </a:solidFill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220372</xdr:colOff>
      <xdr:row>0</xdr:row>
      <xdr:rowOff>125865</xdr:rowOff>
    </xdr:from>
    <xdr:to>
      <xdr:col>17</xdr:col>
      <xdr:colOff>238125</xdr:colOff>
      <xdr:row>38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484B15D-5098-4959-A5B5-3D7A977E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44082</xdr:colOff>
      <xdr:row>14</xdr:row>
      <xdr:rowOff>158750</xdr:rowOff>
    </xdr:from>
    <xdr:to>
      <xdr:col>29</xdr:col>
      <xdr:colOff>299902</xdr:colOff>
      <xdr:row>28</xdr:row>
      <xdr:rowOff>173491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C37638C-DF9E-472B-B13E-F9590D990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83546" y="3379107"/>
          <a:ext cx="3226713" cy="2801731"/>
        </a:xfrm>
        <a:prstGeom prst="rect">
          <a:avLst/>
        </a:prstGeom>
      </xdr:spPr>
    </xdr:pic>
    <xdr:clientData/>
  </xdr:twoCellAnchor>
  <xdr:twoCellAnchor editAs="oneCell">
    <xdr:from>
      <xdr:col>25</xdr:col>
      <xdr:colOff>943752</xdr:colOff>
      <xdr:row>31</xdr:row>
      <xdr:rowOff>150000</xdr:rowOff>
    </xdr:from>
    <xdr:to>
      <xdr:col>30</xdr:col>
      <xdr:colOff>523278</xdr:colOff>
      <xdr:row>47</xdr:row>
      <xdr:rowOff>13205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649DCCF-C151-4F0B-82DB-088C6028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3216" y="6726786"/>
          <a:ext cx="3162741" cy="2791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95D-454C-4E0F-8DD8-81EDB33BB850}">
  <dimension ref="A1:D416"/>
  <sheetViews>
    <sheetView workbookViewId="0">
      <pane ySplit="1" topLeftCell="A387" activePane="bottomLeft" state="frozen"/>
      <selection pane="bottomLeft" activeCell="E23" sqref="B23:E406"/>
    </sheetView>
  </sheetViews>
  <sheetFormatPr defaultRowHeight="15" x14ac:dyDescent="0.25"/>
  <cols>
    <col min="1" max="1" width="9.140625" style="2" customWidth="1"/>
    <col min="2" max="2" width="13.28515625" bestFit="1" customWidth="1"/>
    <col min="3" max="3" width="10" bestFit="1" customWidth="1"/>
    <col min="4" max="4" width="13.42578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0" t="s">
        <v>18</v>
      </c>
    </row>
    <row r="2" spans="1:4" x14ac:dyDescent="0.25">
      <c r="A2" s="21">
        <v>0</v>
      </c>
      <c r="B2" s="21">
        <v>5.3999999999999998E-5</v>
      </c>
      <c r="C2" s="21">
        <v>0</v>
      </c>
    </row>
    <row r="3" spans="1:4" x14ac:dyDescent="0.25">
      <c r="A3" s="21">
        <v>1</v>
      </c>
      <c r="B3" s="21">
        <v>1.0054E-2</v>
      </c>
      <c r="C3" s="21">
        <v>194.53299999999999</v>
      </c>
      <c r="D3" s="11">
        <f>ABS((B3-B2)*(C3+C2)/2)</f>
        <v>0.972665</v>
      </c>
    </row>
    <row r="4" spans="1:4" x14ac:dyDescent="0.25">
      <c r="A4" s="21">
        <v>2</v>
      </c>
      <c r="B4" s="21">
        <v>1.3554999999999999E-2</v>
      </c>
      <c r="C4" s="21">
        <v>262.52300000000002</v>
      </c>
      <c r="D4" s="11">
        <f t="shared" ref="D4:D19" si="0">ABS((B4-B3)*(C4+C3)/2)</f>
        <v>0.80007652799999984</v>
      </c>
    </row>
    <row r="5" spans="1:4" x14ac:dyDescent="0.25">
      <c r="A5" s="21">
        <v>3</v>
      </c>
      <c r="B5" s="21">
        <v>1.5356E-2</v>
      </c>
      <c r="C5" s="21">
        <v>292.81599999999997</v>
      </c>
      <c r="D5" s="11">
        <f t="shared" si="0"/>
        <v>0.50008276950000008</v>
      </c>
    </row>
    <row r="6" spans="1:4" x14ac:dyDescent="0.25">
      <c r="A6" s="21">
        <v>4</v>
      </c>
      <c r="B6" s="21">
        <v>2.8434000000000001E-2</v>
      </c>
      <c r="C6" s="21">
        <v>381.83100000000002</v>
      </c>
      <c r="D6" s="11">
        <f t="shared" si="0"/>
        <v>4.411516733</v>
      </c>
    </row>
    <row r="7" spans="1:4" x14ac:dyDescent="0.25">
      <c r="A7" s="21">
        <v>5</v>
      </c>
      <c r="B7" s="21">
        <v>4.6116999999999998E-2</v>
      </c>
      <c r="C7" s="21">
        <v>439.33300000000003</v>
      </c>
      <c r="D7" s="11">
        <f t="shared" si="0"/>
        <v>7.2603215059999986</v>
      </c>
    </row>
    <row r="8" spans="1:4" x14ac:dyDescent="0.25">
      <c r="A8" s="21">
        <v>6</v>
      </c>
      <c r="B8" s="21">
        <v>5.7921E-2</v>
      </c>
      <c r="C8" s="21">
        <v>470.50299999999999</v>
      </c>
      <c r="D8" s="11">
        <f t="shared" si="0"/>
        <v>5.3698520720000014</v>
      </c>
    </row>
    <row r="9" spans="1:4" x14ac:dyDescent="0.25">
      <c r="A9" s="21">
        <v>7</v>
      </c>
      <c r="B9" s="21">
        <v>7.1506E-2</v>
      </c>
      <c r="C9" s="21">
        <v>492.10700000000003</v>
      </c>
      <c r="D9" s="11">
        <f t="shared" si="0"/>
        <v>6.538528425</v>
      </c>
    </row>
    <row r="10" spans="1:4" x14ac:dyDescent="0.25">
      <c r="A10" s="21">
        <v>8</v>
      </c>
      <c r="B10" s="21">
        <v>8.1439999999999999E-2</v>
      </c>
      <c r="C10" s="21">
        <v>506.09699999999998</v>
      </c>
      <c r="D10" s="11">
        <f t="shared" si="0"/>
        <v>4.9580792679999988</v>
      </c>
    </row>
    <row r="11" spans="1:4" x14ac:dyDescent="0.25">
      <c r="A11" s="21">
        <v>9</v>
      </c>
      <c r="B11" s="21">
        <v>0.100508</v>
      </c>
      <c r="C11" s="21">
        <v>521.899</v>
      </c>
      <c r="D11" s="11">
        <f t="shared" si="0"/>
        <v>9.8009138640000018</v>
      </c>
    </row>
    <row r="12" spans="1:4" x14ac:dyDescent="0.25">
      <c r="A12" s="21">
        <v>10</v>
      </c>
      <c r="B12" s="21">
        <v>0.119396</v>
      </c>
      <c r="C12" s="21">
        <v>536.65800000000002</v>
      </c>
      <c r="D12" s="11">
        <f t="shared" si="0"/>
        <v>9.9970123080000004</v>
      </c>
    </row>
    <row r="13" spans="1:4" x14ac:dyDescent="0.25">
      <c r="A13" s="21">
        <v>11</v>
      </c>
      <c r="B13" s="21">
        <v>0.12227399999999999</v>
      </c>
      <c r="C13" s="21">
        <v>538.44600000000003</v>
      </c>
      <c r="D13" s="11">
        <f t="shared" si="0"/>
        <v>1.5470746559999955</v>
      </c>
    </row>
    <row r="14" spans="1:4" x14ac:dyDescent="0.25">
      <c r="A14" s="21">
        <v>12</v>
      </c>
      <c r="B14" s="21">
        <v>0.14131099999999999</v>
      </c>
      <c r="C14" s="21">
        <v>545.28399999999999</v>
      </c>
      <c r="D14" s="11">
        <f t="shared" si="0"/>
        <v>10.315484005</v>
      </c>
    </row>
    <row r="15" spans="1:4" x14ac:dyDescent="0.25">
      <c r="A15" s="21">
        <v>13</v>
      </c>
      <c r="B15" s="21">
        <v>0.161221</v>
      </c>
      <c r="C15" s="21">
        <v>551.88</v>
      </c>
      <c r="D15" s="11">
        <f t="shared" si="0"/>
        <v>10.922267620000007</v>
      </c>
    </row>
    <row r="16" spans="1:4" x14ac:dyDescent="0.25">
      <c r="A16" s="21">
        <v>14</v>
      </c>
      <c r="B16" s="21">
        <v>0.171178</v>
      </c>
      <c r="C16" s="21">
        <v>555.18100000000004</v>
      </c>
      <c r="D16" s="11">
        <f t="shared" si="0"/>
        <v>5.5115031884999972</v>
      </c>
    </row>
    <row r="17" spans="1:4" x14ac:dyDescent="0.25">
      <c r="A17" s="21">
        <v>15</v>
      </c>
      <c r="B17" s="21">
        <v>0.175289</v>
      </c>
      <c r="C17" s="21">
        <v>537.25400000000002</v>
      </c>
      <c r="D17" s="11">
        <f t="shared" si="0"/>
        <v>2.2455001425000019</v>
      </c>
    </row>
    <row r="18" spans="1:4" x14ac:dyDescent="0.25">
      <c r="A18" s="21">
        <v>16</v>
      </c>
      <c r="B18" s="21">
        <v>0.17616899999999999</v>
      </c>
      <c r="C18" s="21">
        <v>538.077</v>
      </c>
      <c r="D18" s="11">
        <f t="shared" si="0"/>
        <v>0.4731456399999957</v>
      </c>
    </row>
    <row r="19" spans="1:4" x14ac:dyDescent="0.25">
      <c r="A19" s="21">
        <v>17</v>
      </c>
      <c r="B19" s="21">
        <v>0.18299399999999999</v>
      </c>
      <c r="C19" s="21">
        <v>522.43299999999999</v>
      </c>
      <c r="D19" s="11">
        <f t="shared" si="0"/>
        <v>3.6189903749999988</v>
      </c>
    </row>
    <row r="20" spans="1:4" x14ac:dyDescent="0.25">
      <c r="A20" s="21"/>
      <c r="B20" s="21"/>
      <c r="C20" s="21"/>
      <c r="D20" s="11"/>
    </row>
    <row r="21" spans="1:4" x14ac:dyDescent="0.25">
      <c r="A21" s="21"/>
      <c r="B21" s="21"/>
      <c r="C21" s="21"/>
      <c r="D21" s="11"/>
    </row>
    <row r="22" spans="1:4" x14ac:dyDescent="0.25">
      <c r="A22" s="21"/>
      <c r="B22" s="21"/>
      <c r="C22" s="21"/>
      <c r="D22" s="11"/>
    </row>
    <row r="23" spans="1:4" x14ac:dyDescent="0.25">
      <c r="A23" s="21"/>
      <c r="B23" s="21"/>
      <c r="C23" s="21"/>
      <c r="D23" s="11"/>
    </row>
    <row r="24" spans="1:4" x14ac:dyDescent="0.25">
      <c r="D24" s="11"/>
    </row>
    <row r="25" spans="1:4" x14ac:dyDescent="0.25">
      <c r="D25" s="11"/>
    </row>
    <row r="26" spans="1:4" x14ac:dyDescent="0.25">
      <c r="D26" s="11"/>
    </row>
    <row r="27" spans="1:4" x14ac:dyDescent="0.25">
      <c r="D27" s="11"/>
    </row>
    <row r="28" spans="1:4" x14ac:dyDescent="0.25">
      <c r="D28" s="11"/>
    </row>
    <row r="29" spans="1:4" x14ac:dyDescent="0.25">
      <c r="D29" s="11"/>
    </row>
    <row r="30" spans="1:4" x14ac:dyDescent="0.25">
      <c r="D30" s="11"/>
    </row>
    <row r="31" spans="1:4" x14ac:dyDescent="0.25">
      <c r="D31" s="11"/>
    </row>
    <row r="32" spans="1:4" x14ac:dyDescent="0.25">
      <c r="D32" s="11"/>
    </row>
    <row r="33" spans="4:4" x14ac:dyDescent="0.25">
      <c r="D33" s="11"/>
    </row>
    <row r="34" spans="4:4" x14ac:dyDescent="0.25">
      <c r="D34" s="11"/>
    </row>
    <row r="35" spans="4:4" x14ac:dyDescent="0.25">
      <c r="D35" s="11"/>
    </row>
    <row r="36" spans="4:4" x14ac:dyDescent="0.25">
      <c r="D36" s="11"/>
    </row>
    <row r="37" spans="4:4" x14ac:dyDescent="0.25">
      <c r="D37" s="11"/>
    </row>
    <row r="38" spans="4:4" x14ac:dyDescent="0.25">
      <c r="D38" s="11"/>
    </row>
    <row r="39" spans="4:4" x14ac:dyDescent="0.25">
      <c r="D39" s="11"/>
    </row>
    <row r="40" spans="4:4" x14ac:dyDescent="0.25">
      <c r="D40" s="11"/>
    </row>
    <row r="41" spans="4:4" x14ac:dyDescent="0.25">
      <c r="D41" s="11"/>
    </row>
    <row r="42" spans="4:4" x14ac:dyDescent="0.25">
      <c r="D42" s="11"/>
    </row>
    <row r="43" spans="4:4" x14ac:dyDescent="0.25">
      <c r="D43" s="11"/>
    </row>
    <row r="44" spans="4:4" x14ac:dyDescent="0.25">
      <c r="D44" s="11"/>
    </row>
    <row r="45" spans="4:4" x14ac:dyDescent="0.25">
      <c r="D45" s="11"/>
    </row>
    <row r="46" spans="4:4" x14ac:dyDescent="0.25">
      <c r="D46" s="11"/>
    </row>
    <row r="47" spans="4:4" x14ac:dyDescent="0.25">
      <c r="D47" s="11"/>
    </row>
    <row r="48" spans="4:4" x14ac:dyDescent="0.25">
      <c r="D48" s="11"/>
    </row>
    <row r="49" spans="4:4" x14ac:dyDescent="0.25">
      <c r="D49" s="11"/>
    </row>
    <row r="50" spans="4:4" x14ac:dyDescent="0.25">
      <c r="D50" s="11"/>
    </row>
    <row r="51" spans="4:4" x14ac:dyDescent="0.25">
      <c r="D51" s="11"/>
    </row>
    <row r="52" spans="4:4" x14ac:dyDescent="0.25">
      <c r="D52" s="11"/>
    </row>
    <row r="53" spans="4:4" x14ac:dyDescent="0.25">
      <c r="D53" s="11"/>
    </row>
    <row r="54" spans="4:4" x14ac:dyDescent="0.25">
      <c r="D54" s="11"/>
    </row>
    <row r="55" spans="4:4" x14ac:dyDescent="0.25">
      <c r="D55" s="11"/>
    </row>
    <row r="56" spans="4:4" x14ac:dyDescent="0.25">
      <c r="D56" s="11"/>
    </row>
    <row r="57" spans="4:4" x14ac:dyDescent="0.25">
      <c r="D57" s="11"/>
    </row>
    <row r="58" spans="4:4" x14ac:dyDescent="0.25">
      <c r="D58" s="11"/>
    </row>
    <row r="59" spans="4:4" x14ac:dyDescent="0.25">
      <c r="D59" s="11"/>
    </row>
    <row r="60" spans="4:4" x14ac:dyDescent="0.25">
      <c r="D60" s="11"/>
    </row>
    <row r="61" spans="4:4" x14ac:dyDescent="0.25">
      <c r="D61" s="11"/>
    </row>
    <row r="62" spans="4:4" x14ac:dyDescent="0.25">
      <c r="D62" s="11"/>
    </row>
    <row r="63" spans="4:4" x14ac:dyDescent="0.25">
      <c r="D63" s="11"/>
    </row>
    <row r="64" spans="4:4" x14ac:dyDescent="0.25">
      <c r="D64" s="11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  <row r="76" spans="4:4" x14ac:dyDescent="0.25">
      <c r="D76" s="11"/>
    </row>
    <row r="77" spans="4:4" x14ac:dyDescent="0.25">
      <c r="D77" s="11"/>
    </row>
    <row r="78" spans="4:4" x14ac:dyDescent="0.25">
      <c r="D78" s="11"/>
    </row>
    <row r="79" spans="4:4" x14ac:dyDescent="0.25">
      <c r="D79" s="11"/>
    </row>
    <row r="80" spans="4:4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88" spans="4:4" x14ac:dyDescent="0.25">
      <c r="D88" s="11"/>
    </row>
    <row r="89" spans="4:4" x14ac:dyDescent="0.25">
      <c r="D89" s="11"/>
    </row>
    <row r="90" spans="4:4" x14ac:dyDescent="0.25">
      <c r="D90" s="11"/>
    </row>
    <row r="91" spans="4:4" x14ac:dyDescent="0.25">
      <c r="D91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  <row r="117" spans="4:4" x14ac:dyDescent="0.25">
      <c r="D117" s="11"/>
    </row>
    <row r="118" spans="4:4" x14ac:dyDescent="0.25">
      <c r="D118" s="11"/>
    </row>
    <row r="119" spans="4:4" x14ac:dyDescent="0.25">
      <c r="D119" s="11"/>
    </row>
    <row r="120" spans="4:4" x14ac:dyDescent="0.25">
      <c r="D120" s="11"/>
    </row>
    <row r="121" spans="4:4" x14ac:dyDescent="0.25">
      <c r="D121" s="11"/>
    </row>
    <row r="122" spans="4:4" x14ac:dyDescent="0.25">
      <c r="D122" s="11"/>
    </row>
    <row r="123" spans="4:4" x14ac:dyDescent="0.25">
      <c r="D123" s="11"/>
    </row>
    <row r="124" spans="4:4" x14ac:dyDescent="0.25">
      <c r="D124" s="11"/>
    </row>
    <row r="125" spans="4:4" x14ac:dyDescent="0.25">
      <c r="D125" s="11"/>
    </row>
    <row r="126" spans="4:4" x14ac:dyDescent="0.25">
      <c r="D126" s="11"/>
    </row>
    <row r="127" spans="4:4" x14ac:dyDescent="0.25">
      <c r="D127" s="11"/>
    </row>
    <row r="128" spans="4:4" x14ac:dyDescent="0.25">
      <c r="D128" s="11"/>
    </row>
    <row r="129" spans="4:4" x14ac:dyDescent="0.25">
      <c r="D129" s="11"/>
    </row>
    <row r="130" spans="4:4" x14ac:dyDescent="0.25">
      <c r="D130" s="11"/>
    </row>
    <row r="131" spans="4:4" x14ac:dyDescent="0.25">
      <c r="D131" s="11"/>
    </row>
    <row r="132" spans="4:4" x14ac:dyDescent="0.25">
      <c r="D132" s="11"/>
    </row>
    <row r="133" spans="4:4" x14ac:dyDescent="0.25">
      <c r="D133" s="11"/>
    </row>
    <row r="134" spans="4:4" x14ac:dyDescent="0.25">
      <c r="D134" s="11"/>
    </row>
    <row r="135" spans="4:4" x14ac:dyDescent="0.25">
      <c r="D135" s="11"/>
    </row>
    <row r="136" spans="4:4" x14ac:dyDescent="0.25">
      <c r="D136" s="11"/>
    </row>
    <row r="137" spans="4:4" x14ac:dyDescent="0.25">
      <c r="D137" s="11"/>
    </row>
    <row r="138" spans="4:4" x14ac:dyDescent="0.25">
      <c r="D138" s="11"/>
    </row>
    <row r="139" spans="4:4" x14ac:dyDescent="0.25">
      <c r="D139" s="11"/>
    </row>
    <row r="140" spans="4:4" x14ac:dyDescent="0.25">
      <c r="D140" s="11"/>
    </row>
    <row r="141" spans="4:4" x14ac:dyDescent="0.25">
      <c r="D141" s="11"/>
    </row>
    <row r="142" spans="4:4" x14ac:dyDescent="0.25">
      <c r="D142" s="11"/>
    </row>
    <row r="143" spans="4:4" x14ac:dyDescent="0.25">
      <c r="D143" s="11"/>
    </row>
    <row r="144" spans="4:4" x14ac:dyDescent="0.25">
      <c r="D144" s="11"/>
    </row>
    <row r="145" spans="4:4" x14ac:dyDescent="0.25">
      <c r="D145" s="11"/>
    </row>
    <row r="146" spans="4:4" x14ac:dyDescent="0.25">
      <c r="D146" s="11"/>
    </row>
    <row r="147" spans="4:4" x14ac:dyDescent="0.25">
      <c r="D147" s="11"/>
    </row>
    <row r="148" spans="4:4" x14ac:dyDescent="0.25">
      <c r="D148" s="11"/>
    </row>
    <row r="149" spans="4:4" x14ac:dyDescent="0.25">
      <c r="D149" s="11"/>
    </row>
    <row r="150" spans="4:4" x14ac:dyDescent="0.25">
      <c r="D150" s="11"/>
    </row>
    <row r="151" spans="4:4" x14ac:dyDescent="0.25">
      <c r="D151" s="11"/>
    </row>
    <row r="152" spans="4:4" x14ac:dyDescent="0.25">
      <c r="D152" s="11"/>
    </row>
    <row r="153" spans="4:4" x14ac:dyDescent="0.25">
      <c r="D153" s="11"/>
    </row>
    <row r="154" spans="4:4" x14ac:dyDescent="0.25">
      <c r="D154" s="11"/>
    </row>
    <row r="155" spans="4:4" x14ac:dyDescent="0.25">
      <c r="D155" s="11"/>
    </row>
    <row r="156" spans="4:4" x14ac:dyDescent="0.25">
      <c r="D156" s="11"/>
    </row>
    <row r="157" spans="4:4" x14ac:dyDescent="0.25">
      <c r="D157" s="11"/>
    </row>
    <row r="158" spans="4:4" x14ac:dyDescent="0.25">
      <c r="D158" s="11"/>
    </row>
    <row r="159" spans="4:4" x14ac:dyDescent="0.25">
      <c r="D159" s="11"/>
    </row>
    <row r="160" spans="4:4" x14ac:dyDescent="0.25">
      <c r="D160" s="11"/>
    </row>
    <row r="161" spans="4:4" x14ac:dyDescent="0.25">
      <c r="D161" s="11"/>
    </row>
    <row r="162" spans="4:4" x14ac:dyDescent="0.25">
      <c r="D162" s="11"/>
    </row>
    <row r="163" spans="4:4" x14ac:dyDescent="0.25">
      <c r="D163" s="11"/>
    </row>
    <row r="164" spans="4:4" x14ac:dyDescent="0.25">
      <c r="D164" s="11"/>
    </row>
    <row r="165" spans="4:4" x14ac:dyDescent="0.25">
      <c r="D165" s="11"/>
    </row>
    <row r="166" spans="4:4" x14ac:dyDescent="0.25">
      <c r="D166" s="11"/>
    </row>
    <row r="167" spans="4:4" x14ac:dyDescent="0.25">
      <c r="D167" s="11"/>
    </row>
    <row r="168" spans="4:4" x14ac:dyDescent="0.25">
      <c r="D168" s="11"/>
    </row>
    <row r="169" spans="4:4" x14ac:dyDescent="0.25">
      <c r="D169" s="11"/>
    </row>
    <row r="170" spans="4:4" x14ac:dyDescent="0.25">
      <c r="D170" s="11"/>
    </row>
    <row r="171" spans="4:4" x14ac:dyDescent="0.25">
      <c r="D171" s="11"/>
    </row>
    <row r="172" spans="4:4" x14ac:dyDescent="0.25">
      <c r="D172" s="11"/>
    </row>
    <row r="173" spans="4:4" x14ac:dyDescent="0.25">
      <c r="D173" s="11"/>
    </row>
    <row r="174" spans="4:4" x14ac:dyDescent="0.25">
      <c r="D174" s="11"/>
    </row>
    <row r="175" spans="4:4" x14ac:dyDescent="0.25">
      <c r="D175" s="11"/>
    </row>
    <row r="176" spans="4:4" x14ac:dyDescent="0.25">
      <c r="D176" s="11"/>
    </row>
    <row r="177" spans="4:4" x14ac:dyDescent="0.25">
      <c r="D177" s="11"/>
    </row>
    <row r="178" spans="4:4" x14ac:dyDescent="0.25">
      <c r="D178" s="11"/>
    </row>
    <row r="179" spans="4:4" x14ac:dyDescent="0.25">
      <c r="D179" s="11"/>
    </row>
    <row r="180" spans="4:4" x14ac:dyDescent="0.25">
      <c r="D180" s="11"/>
    </row>
    <row r="181" spans="4:4" x14ac:dyDescent="0.25">
      <c r="D181" s="11"/>
    </row>
    <row r="182" spans="4:4" x14ac:dyDescent="0.25">
      <c r="D182" s="11"/>
    </row>
    <row r="183" spans="4:4" x14ac:dyDescent="0.25">
      <c r="D183" s="11"/>
    </row>
    <row r="184" spans="4:4" x14ac:dyDescent="0.25">
      <c r="D184" s="11"/>
    </row>
    <row r="185" spans="4:4" x14ac:dyDescent="0.25">
      <c r="D185" s="11"/>
    </row>
    <row r="186" spans="4:4" x14ac:dyDescent="0.25">
      <c r="D186" s="11"/>
    </row>
    <row r="187" spans="4:4" x14ac:dyDescent="0.25">
      <c r="D187" s="11"/>
    </row>
    <row r="188" spans="4:4" x14ac:dyDescent="0.25">
      <c r="D188" s="11"/>
    </row>
    <row r="189" spans="4:4" x14ac:dyDescent="0.25">
      <c r="D189" s="11"/>
    </row>
    <row r="190" spans="4:4" x14ac:dyDescent="0.25">
      <c r="D190" s="11"/>
    </row>
    <row r="191" spans="4:4" x14ac:dyDescent="0.25">
      <c r="D191" s="11"/>
    </row>
    <row r="192" spans="4:4" x14ac:dyDescent="0.25">
      <c r="D192" s="11"/>
    </row>
    <row r="193" spans="4:4" x14ac:dyDescent="0.25">
      <c r="D193" s="11"/>
    </row>
    <row r="194" spans="4:4" x14ac:dyDescent="0.25">
      <c r="D194" s="11"/>
    </row>
    <row r="195" spans="4:4" x14ac:dyDescent="0.25">
      <c r="D195" s="11"/>
    </row>
    <row r="196" spans="4:4" x14ac:dyDescent="0.25">
      <c r="D196" s="11"/>
    </row>
    <row r="197" spans="4:4" x14ac:dyDescent="0.25">
      <c r="D197" s="11"/>
    </row>
    <row r="198" spans="4:4" x14ac:dyDescent="0.25">
      <c r="D198" s="11"/>
    </row>
    <row r="199" spans="4:4" x14ac:dyDescent="0.25">
      <c r="D199" s="11"/>
    </row>
    <row r="200" spans="4:4" x14ac:dyDescent="0.25">
      <c r="D200" s="11"/>
    </row>
    <row r="201" spans="4:4" x14ac:dyDescent="0.25">
      <c r="D201" s="11"/>
    </row>
    <row r="202" spans="4:4" x14ac:dyDescent="0.25">
      <c r="D202" s="11"/>
    </row>
    <row r="203" spans="4:4" x14ac:dyDescent="0.25">
      <c r="D203" s="11"/>
    </row>
    <row r="204" spans="4:4" x14ac:dyDescent="0.25">
      <c r="D204" s="11"/>
    </row>
    <row r="205" spans="4:4" x14ac:dyDescent="0.25">
      <c r="D205" s="11"/>
    </row>
    <row r="206" spans="4:4" x14ac:dyDescent="0.25">
      <c r="D206" s="11"/>
    </row>
    <row r="207" spans="4:4" x14ac:dyDescent="0.25">
      <c r="D207" s="11"/>
    </row>
    <row r="208" spans="4:4" x14ac:dyDescent="0.25">
      <c r="D208" s="11"/>
    </row>
    <row r="209" spans="4:4" x14ac:dyDescent="0.25">
      <c r="D209" s="11"/>
    </row>
    <row r="210" spans="4:4" x14ac:dyDescent="0.25">
      <c r="D210" s="11"/>
    </row>
    <row r="211" spans="4:4" x14ac:dyDescent="0.25">
      <c r="D211" s="11"/>
    </row>
    <row r="212" spans="4:4" x14ac:dyDescent="0.25">
      <c r="D212" s="11"/>
    </row>
    <row r="213" spans="4:4" x14ac:dyDescent="0.25">
      <c r="D213" s="11"/>
    </row>
    <row r="214" spans="4:4" x14ac:dyDescent="0.25">
      <c r="D214" s="11"/>
    </row>
    <row r="215" spans="4:4" x14ac:dyDescent="0.25">
      <c r="D215" s="11"/>
    </row>
    <row r="216" spans="4:4" x14ac:dyDescent="0.25">
      <c r="D216" s="11"/>
    </row>
    <row r="217" spans="4:4" x14ac:dyDescent="0.25">
      <c r="D217" s="11"/>
    </row>
    <row r="218" spans="4:4" x14ac:dyDescent="0.25">
      <c r="D218" s="11"/>
    </row>
    <row r="219" spans="4:4" x14ac:dyDescent="0.25">
      <c r="D219" s="11"/>
    </row>
    <row r="220" spans="4:4" x14ac:dyDescent="0.25">
      <c r="D220" s="11"/>
    </row>
    <row r="221" spans="4:4" x14ac:dyDescent="0.25">
      <c r="D221" s="11"/>
    </row>
    <row r="222" spans="4:4" x14ac:dyDescent="0.25">
      <c r="D222" s="11"/>
    </row>
    <row r="223" spans="4:4" x14ac:dyDescent="0.25">
      <c r="D223" s="11"/>
    </row>
    <row r="224" spans="4:4" x14ac:dyDescent="0.25">
      <c r="D224" s="11"/>
    </row>
    <row r="225" spans="4:4" x14ac:dyDescent="0.25">
      <c r="D225" s="11"/>
    </row>
    <row r="226" spans="4:4" x14ac:dyDescent="0.25">
      <c r="D226" s="11"/>
    </row>
    <row r="227" spans="4:4" x14ac:dyDescent="0.25">
      <c r="D227" s="11"/>
    </row>
    <row r="228" spans="4:4" x14ac:dyDescent="0.25">
      <c r="D228" s="11"/>
    </row>
    <row r="229" spans="4:4" x14ac:dyDescent="0.25">
      <c r="D229" s="11"/>
    </row>
    <row r="230" spans="4:4" x14ac:dyDescent="0.25">
      <c r="D230" s="11"/>
    </row>
    <row r="231" spans="4:4" x14ac:dyDescent="0.25">
      <c r="D231" s="11"/>
    </row>
    <row r="232" spans="4:4" x14ac:dyDescent="0.25">
      <c r="D232" s="11"/>
    </row>
    <row r="233" spans="4:4" x14ac:dyDescent="0.25">
      <c r="D233" s="11"/>
    </row>
    <row r="234" spans="4:4" x14ac:dyDescent="0.25">
      <c r="D234" s="11"/>
    </row>
    <row r="235" spans="4:4" x14ac:dyDescent="0.25">
      <c r="D235" s="11"/>
    </row>
    <row r="236" spans="4:4" x14ac:dyDescent="0.25">
      <c r="D236" s="11"/>
    </row>
    <row r="237" spans="4:4" x14ac:dyDescent="0.25">
      <c r="D237" s="11"/>
    </row>
    <row r="238" spans="4:4" x14ac:dyDescent="0.25">
      <c r="D238" s="11"/>
    </row>
    <row r="239" spans="4:4" x14ac:dyDescent="0.25">
      <c r="D239" s="11"/>
    </row>
    <row r="240" spans="4:4" x14ac:dyDescent="0.25">
      <c r="D240" s="11"/>
    </row>
    <row r="241" spans="4:4" x14ac:dyDescent="0.25">
      <c r="D241" s="11"/>
    </row>
    <row r="242" spans="4:4" x14ac:dyDescent="0.25">
      <c r="D242" s="11"/>
    </row>
    <row r="243" spans="4:4" x14ac:dyDescent="0.25">
      <c r="D243" s="11"/>
    </row>
    <row r="244" spans="4:4" x14ac:dyDescent="0.25">
      <c r="D244" s="11"/>
    </row>
    <row r="245" spans="4:4" x14ac:dyDescent="0.25">
      <c r="D245" s="11"/>
    </row>
    <row r="246" spans="4:4" x14ac:dyDescent="0.25">
      <c r="D246" s="11"/>
    </row>
    <row r="247" spans="4:4" x14ac:dyDescent="0.25">
      <c r="D247" s="11"/>
    </row>
    <row r="248" spans="4:4" x14ac:dyDescent="0.25">
      <c r="D248" s="11"/>
    </row>
    <row r="249" spans="4:4" x14ac:dyDescent="0.25">
      <c r="D249" s="11"/>
    </row>
    <row r="250" spans="4:4" x14ac:dyDescent="0.25">
      <c r="D250" s="11"/>
    </row>
    <row r="251" spans="4:4" x14ac:dyDescent="0.25">
      <c r="D251" s="11"/>
    </row>
    <row r="252" spans="4:4" x14ac:dyDescent="0.25">
      <c r="D252" s="11"/>
    </row>
    <row r="253" spans="4:4" x14ac:dyDescent="0.25">
      <c r="D253" s="11"/>
    </row>
    <row r="254" spans="4:4" x14ac:dyDescent="0.25">
      <c r="D254" s="11"/>
    </row>
    <row r="255" spans="4:4" x14ac:dyDescent="0.25">
      <c r="D255" s="11"/>
    </row>
    <row r="256" spans="4:4" x14ac:dyDescent="0.25">
      <c r="D256" s="11"/>
    </row>
    <row r="257" spans="4:4" x14ac:dyDescent="0.25">
      <c r="D257" s="11"/>
    </row>
    <row r="258" spans="4:4" x14ac:dyDescent="0.25">
      <c r="D258" s="11"/>
    </row>
    <row r="259" spans="4:4" x14ac:dyDescent="0.25">
      <c r="D259" s="11"/>
    </row>
    <row r="260" spans="4:4" x14ac:dyDescent="0.25">
      <c r="D260" s="11"/>
    </row>
    <row r="261" spans="4:4" x14ac:dyDescent="0.25">
      <c r="D261" s="11"/>
    </row>
    <row r="262" spans="4:4" x14ac:dyDescent="0.25">
      <c r="D262" s="11"/>
    </row>
    <row r="263" spans="4:4" x14ac:dyDescent="0.25">
      <c r="D263" s="11"/>
    </row>
    <row r="264" spans="4:4" x14ac:dyDescent="0.25">
      <c r="D264" s="11"/>
    </row>
    <row r="265" spans="4:4" x14ac:dyDescent="0.25">
      <c r="D265" s="11"/>
    </row>
    <row r="266" spans="4:4" x14ac:dyDescent="0.25">
      <c r="D266" s="11"/>
    </row>
    <row r="267" spans="4:4" x14ac:dyDescent="0.25">
      <c r="D267" s="11"/>
    </row>
    <row r="268" spans="4:4" x14ac:dyDescent="0.25">
      <c r="D268" s="11"/>
    </row>
    <row r="269" spans="4:4" x14ac:dyDescent="0.25">
      <c r="D269" s="11"/>
    </row>
    <row r="270" spans="4:4" x14ac:dyDescent="0.25">
      <c r="D270" s="11"/>
    </row>
    <row r="271" spans="4:4" x14ac:dyDescent="0.25">
      <c r="D271" s="11"/>
    </row>
    <row r="272" spans="4:4" x14ac:dyDescent="0.25">
      <c r="D272" s="11"/>
    </row>
    <row r="273" spans="4:4" x14ac:dyDescent="0.25">
      <c r="D273" s="11"/>
    </row>
    <row r="274" spans="4:4" x14ac:dyDescent="0.25">
      <c r="D274" s="11"/>
    </row>
    <row r="275" spans="4:4" x14ac:dyDescent="0.25">
      <c r="D275" s="11"/>
    </row>
    <row r="276" spans="4:4" x14ac:dyDescent="0.25">
      <c r="D276" s="11"/>
    </row>
    <row r="277" spans="4:4" x14ac:dyDescent="0.25">
      <c r="D277" s="11"/>
    </row>
    <row r="278" spans="4:4" x14ac:dyDescent="0.25">
      <c r="D278" s="11"/>
    </row>
    <row r="279" spans="4:4" x14ac:dyDescent="0.25">
      <c r="D279" s="11"/>
    </row>
    <row r="280" spans="4:4" x14ac:dyDescent="0.25">
      <c r="D280" s="11"/>
    </row>
    <row r="281" spans="4:4" x14ac:dyDescent="0.25">
      <c r="D281" s="11"/>
    </row>
    <row r="282" spans="4:4" x14ac:dyDescent="0.25">
      <c r="D282" s="11"/>
    </row>
    <row r="283" spans="4:4" x14ac:dyDescent="0.25">
      <c r="D283" s="11"/>
    </row>
    <row r="284" spans="4:4" x14ac:dyDescent="0.25">
      <c r="D284" s="11"/>
    </row>
    <row r="285" spans="4:4" x14ac:dyDescent="0.25">
      <c r="D285" s="11"/>
    </row>
    <row r="286" spans="4:4" x14ac:dyDescent="0.25">
      <c r="D286" s="11"/>
    </row>
    <row r="287" spans="4:4" x14ac:dyDescent="0.25">
      <c r="D287" s="11"/>
    </row>
    <row r="288" spans="4:4" x14ac:dyDescent="0.25">
      <c r="D288" s="11"/>
    </row>
    <row r="289" spans="4:4" x14ac:dyDescent="0.25">
      <c r="D289" s="11"/>
    </row>
    <row r="290" spans="4:4" x14ac:dyDescent="0.25">
      <c r="D290" s="11"/>
    </row>
    <row r="291" spans="4:4" x14ac:dyDescent="0.25">
      <c r="D291" s="11"/>
    </row>
    <row r="292" spans="4:4" x14ac:dyDescent="0.25">
      <c r="D292" s="11"/>
    </row>
    <row r="293" spans="4:4" x14ac:dyDescent="0.25">
      <c r="D293" s="11"/>
    </row>
    <row r="294" spans="4:4" x14ac:dyDescent="0.25">
      <c r="D294" s="11"/>
    </row>
    <row r="295" spans="4:4" x14ac:dyDescent="0.25">
      <c r="D295" s="11"/>
    </row>
    <row r="296" spans="4:4" x14ac:dyDescent="0.25">
      <c r="D296" s="11"/>
    </row>
    <row r="297" spans="4:4" x14ac:dyDescent="0.25">
      <c r="D297" s="11"/>
    </row>
    <row r="298" spans="4:4" x14ac:dyDescent="0.25">
      <c r="D298" s="11"/>
    </row>
    <row r="299" spans="4:4" x14ac:dyDescent="0.25">
      <c r="D299" s="11"/>
    </row>
    <row r="300" spans="4:4" x14ac:dyDescent="0.25">
      <c r="D300" s="11"/>
    </row>
    <row r="301" spans="4:4" x14ac:dyDescent="0.25">
      <c r="D301" s="11"/>
    </row>
    <row r="302" spans="4:4" x14ac:dyDescent="0.25">
      <c r="D302" s="11"/>
    </row>
    <row r="303" spans="4:4" x14ac:dyDescent="0.25">
      <c r="D303" s="11"/>
    </row>
    <row r="304" spans="4:4" x14ac:dyDescent="0.25">
      <c r="D304" s="11"/>
    </row>
    <row r="305" spans="4:4" x14ac:dyDescent="0.25">
      <c r="D305" s="11"/>
    </row>
    <row r="306" spans="4:4" x14ac:dyDescent="0.25">
      <c r="D306" s="11"/>
    </row>
    <row r="307" spans="4:4" x14ac:dyDescent="0.25">
      <c r="D307" s="11"/>
    </row>
    <row r="308" spans="4:4" x14ac:dyDescent="0.25">
      <c r="D308" s="11"/>
    </row>
    <row r="309" spans="4:4" x14ac:dyDescent="0.25">
      <c r="D309" s="11"/>
    </row>
    <row r="310" spans="4:4" x14ac:dyDescent="0.25">
      <c r="D310" s="11"/>
    </row>
    <row r="311" spans="4:4" x14ac:dyDescent="0.25">
      <c r="D311" s="11"/>
    </row>
    <row r="312" spans="4:4" x14ac:dyDescent="0.25">
      <c r="D312" s="11"/>
    </row>
    <row r="313" spans="4:4" x14ac:dyDescent="0.25">
      <c r="D313" s="11"/>
    </row>
    <row r="314" spans="4:4" x14ac:dyDescent="0.25">
      <c r="D314" s="11"/>
    </row>
    <row r="315" spans="4:4" x14ac:dyDescent="0.25">
      <c r="D315" s="11"/>
    </row>
    <row r="316" spans="4:4" x14ac:dyDescent="0.25">
      <c r="D316" s="11"/>
    </row>
    <row r="317" spans="4:4" x14ac:dyDescent="0.25">
      <c r="D317" s="11"/>
    </row>
    <row r="318" spans="4:4" x14ac:dyDescent="0.25">
      <c r="D318" s="11"/>
    </row>
    <row r="319" spans="4:4" x14ac:dyDescent="0.25">
      <c r="D319" s="11"/>
    </row>
    <row r="320" spans="4:4" x14ac:dyDescent="0.25">
      <c r="D320" s="11"/>
    </row>
    <row r="321" spans="4:4" x14ac:dyDescent="0.25">
      <c r="D321" s="11"/>
    </row>
    <row r="322" spans="4:4" x14ac:dyDescent="0.25">
      <c r="D322" s="11"/>
    </row>
    <row r="323" spans="4:4" x14ac:dyDescent="0.25">
      <c r="D323" s="11"/>
    </row>
    <row r="324" spans="4:4" x14ac:dyDescent="0.25">
      <c r="D324" s="11"/>
    </row>
    <row r="325" spans="4:4" x14ac:dyDescent="0.25">
      <c r="D325" s="11"/>
    </row>
    <row r="326" spans="4:4" x14ac:dyDescent="0.25">
      <c r="D326" s="11"/>
    </row>
    <row r="327" spans="4:4" x14ac:dyDescent="0.25">
      <c r="D327" s="11"/>
    </row>
    <row r="328" spans="4:4" x14ac:dyDescent="0.25">
      <c r="D328" s="11"/>
    </row>
    <row r="329" spans="4:4" x14ac:dyDescent="0.25">
      <c r="D329" s="11"/>
    </row>
    <row r="330" spans="4:4" x14ac:dyDescent="0.25">
      <c r="D330" s="11"/>
    </row>
    <row r="331" spans="4:4" x14ac:dyDescent="0.25">
      <c r="D331" s="11"/>
    </row>
    <row r="332" spans="4:4" x14ac:dyDescent="0.25">
      <c r="D332" s="11"/>
    </row>
    <row r="333" spans="4:4" x14ac:dyDescent="0.25">
      <c r="D333" s="11"/>
    </row>
    <row r="334" spans="4:4" x14ac:dyDescent="0.25">
      <c r="D334" s="11"/>
    </row>
    <row r="335" spans="4:4" x14ac:dyDescent="0.25">
      <c r="D335" s="11"/>
    </row>
    <row r="336" spans="4:4" x14ac:dyDescent="0.25">
      <c r="D336" s="11"/>
    </row>
    <row r="337" spans="4:4" x14ac:dyDescent="0.25">
      <c r="D337" s="11"/>
    </row>
    <row r="338" spans="4:4" x14ac:dyDescent="0.25">
      <c r="D338" s="11"/>
    </row>
    <row r="339" spans="4:4" x14ac:dyDescent="0.25">
      <c r="D339" s="11"/>
    </row>
    <row r="340" spans="4:4" x14ac:dyDescent="0.25">
      <c r="D340" s="11"/>
    </row>
    <row r="341" spans="4:4" x14ac:dyDescent="0.25">
      <c r="D341" s="11"/>
    </row>
    <row r="342" spans="4:4" x14ac:dyDescent="0.25">
      <c r="D342" s="11"/>
    </row>
    <row r="343" spans="4:4" x14ac:dyDescent="0.25">
      <c r="D343" s="11"/>
    </row>
    <row r="344" spans="4:4" x14ac:dyDescent="0.25">
      <c r="D344" s="11"/>
    </row>
    <row r="345" spans="4:4" x14ac:dyDescent="0.25">
      <c r="D345" s="11"/>
    </row>
    <row r="346" spans="4:4" x14ac:dyDescent="0.25">
      <c r="D346" s="11"/>
    </row>
    <row r="347" spans="4:4" x14ac:dyDescent="0.25">
      <c r="D347" s="11"/>
    </row>
    <row r="348" spans="4:4" x14ac:dyDescent="0.25">
      <c r="D348" s="11"/>
    </row>
    <row r="349" spans="4:4" x14ac:dyDescent="0.25">
      <c r="D349" s="11"/>
    </row>
    <row r="350" spans="4:4" x14ac:dyDescent="0.25">
      <c r="D350" s="11"/>
    </row>
    <row r="351" spans="4:4" x14ac:dyDescent="0.25">
      <c r="D351" s="11"/>
    </row>
    <row r="352" spans="4:4" x14ac:dyDescent="0.25">
      <c r="D352" s="11"/>
    </row>
    <row r="353" spans="4:4" x14ac:dyDescent="0.25">
      <c r="D353" s="11"/>
    </row>
    <row r="354" spans="4:4" x14ac:dyDescent="0.25">
      <c r="D354" s="11"/>
    </row>
    <row r="355" spans="4:4" x14ac:dyDescent="0.25">
      <c r="D355" s="11"/>
    </row>
    <row r="356" spans="4:4" x14ac:dyDescent="0.25">
      <c r="D356" s="11"/>
    </row>
    <row r="357" spans="4:4" x14ac:dyDescent="0.25">
      <c r="D357" s="11"/>
    </row>
    <row r="358" spans="4:4" x14ac:dyDescent="0.25">
      <c r="D358" s="11"/>
    </row>
    <row r="359" spans="4:4" x14ac:dyDescent="0.25">
      <c r="D359" s="11"/>
    </row>
    <row r="360" spans="4:4" x14ac:dyDescent="0.25">
      <c r="D360" s="11"/>
    </row>
    <row r="361" spans="4:4" x14ac:dyDescent="0.25">
      <c r="D361" s="11"/>
    </row>
    <row r="362" spans="4:4" x14ac:dyDescent="0.25">
      <c r="D362" s="11"/>
    </row>
    <row r="363" spans="4:4" x14ac:dyDescent="0.25">
      <c r="D363" s="11"/>
    </row>
    <row r="364" spans="4:4" x14ac:dyDescent="0.25">
      <c r="D364" s="11"/>
    </row>
    <row r="365" spans="4:4" x14ac:dyDescent="0.25">
      <c r="D365" s="11"/>
    </row>
    <row r="366" spans="4:4" x14ac:dyDescent="0.25">
      <c r="D366" s="11"/>
    </row>
    <row r="367" spans="4:4" x14ac:dyDescent="0.25">
      <c r="D367" s="11"/>
    </row>
    <row r="368" spans="4:4" x14ac:dyDescent="0.25">
      <c r="D368" s="11"/>
    </row>
    <row r="369" spans="4:4" x14ac:dyDescent="0.25">
      <c r="D369" s="11"/>
    </row>
    <row r="370" spans="4:4" x14ac:dyDescent="0.25">
      <c r="D370" s="11"/>
    </row>
    <row r="371" spans="4:4" x14ac:dyDescent="0.25">
      <c r="D371" s="11"/>
    </row>
    <row r="372" spans="4:4" x14ac:dyDescent="0.25">
      <c r="D372" s="11"/>
    </row>
    <row r="373" spans="4:4" x14ac:dyDescent="0.25">
      <c r="D373" s="11"/>
    </row>
    <row r="374" spans="4:4" x14ac:dyDescent="0.25">
      <c r="D374" s="11"/>
    </row>
    <row r="375" spans="4:4" x14ac:dyDescent="0.25">
      <c r="D375" s="11"/>
    </row>
    <row r="376" spans="4:4" x14ac:dyDescent="0.25">
      <c r="D376" s="11"/>
    </row>
    <row r="377" spans="4:4" x14ac:dyDescent="0.25">
      <c r="D377" s="11"/>
    </row>
    <row r="378" spans="4:4" x14ac:dyDescent="0.25">
      <c r="D378" s="11"/>
    </row>
    <row r="379" spans="4:4" x14ac:dyDescent="0.25">
      <c r="D379" s="11"/>
    </row>
    <row r="380" spans="4:4" x14ac:dyDescent="0.25">
      <c r="D380" s="11"/>
    </row>
    <row r="381" spans="4:4" x14ac:dyDescent="0.25">
      <c r="D381" s="11"/>
    </row>
    <row r="382" spans="4:4" x14ac:dyDescent="0.25">
      <c r="D382" s="11"/>
    </row>
    <row r="383" spans="4:4" x14ac:dyDescent="0.25">
      <c r="D383" s="11"/>
    </row>
    <row r="384" spans="4:4" x14ac:dyDescent="0.25">
      <c r="D384" s="11"/>
    </row>
    <row r="385" spans="4:4" x14ac:dyDescent="0.25">
      <c r="D385" s="11"/>
    </row>
    <row r="386" spans="4:4" x14ac:dyDescent="0.25">
      <c r="D386" s="11"/>
    </row>
    <row r="387" spans="4:4" x14ac:dyDescent="0.25">
      <c r="D387" s="11"/>
    </row>
    <row r="388" spans="4:4" x14ac:dyDescent="0.25">
      <c r="D388" s="11"/>
    </row>
    <row r="389" spans="4:4" x14ac:dyDescent="0.25">
      <c r="D389" s="11"/>
    </row>
    <row r="390" spans="4:4" x14ac:dyDescent="0.25">
      <c r="D390" s="11"/>
    </row>
    <row r="391" spans="4:4" x14ac:dyDescent="0.25">
      <c r="D391" s="11"/>
    </row>
    <row r="392" spans="4:4" x14ac:dyDescent="0.25">
      <c r="D392" s="11"/>
    </row>
    <row r="393" spans="4:4" x14ac:dyDescent="0.25">
      <c r="D393" s="11"/>
    </row>
    <row r="394" spans="4:4" x14ac:dyDescent="0.25">
      <c r="D394" s="11"/>
    </row>
    <row r="395" spans="4:4" x14ac:dyDescent="0.25">
      <c r="D395" s="11"/>
    </row>
    <row r="396" spans="4:4" x14ac:dyDescent="0.25">
      <c r="D396" s="11"/>
    </row>
    <row r="397" spans="4:4" x14ac:dyDescent="0.25">
      <c r="D397" s="11"/>
    </row>
    <row r="398" spans="4:4" x14ac:dyDescent="0.25">
      <c r="D398" s="11"/>
    </row>
    <row r="399" spans="4:4" x14ac:dyDescent="0.25">
      <c r="D399" s="11"/>
    </row>
    <row r="400" spans="4:4" x14ac:dyDescent="0.25">
      <c r="D400" s="11"/>
    </row>
    <row r="401" spans="4:4" x14ac:dyDescent="0.25">
      <c r="D401" s="11"/>
    </row>
    <row r="402" spans="4:4" x14ac:dyDescent="0.25">
      <c r="D402" s="11"/>
    </row>
    <row r="403" spans="4:4" x14ac:dyDescent="0.25">
      <c r="D403" s="11"/>
    </row>
    <row r="404" spans="4:4" x14ac:dyDescent="0.25">
      <c r="D404" s="11"/>
    </row>
    <row r="405" spans="4:4" x14ac:dyDescent="0.25">
      <c r="D405" s="11"/>
    </row>
    <row r="406" spans="4:4" x14ac:dyDescent="0.25">
      <c r="D406" s="11"/>
    </row>
    <row r="407" spans="4:4" x14ac:dyDescent="0.25">
      <c r="D407" s="11">
        <f t="shared" ref="D407:D416" si="1">(B406+B407)/2*(C407-C406)</f>
        <v>0</v>
      </c>
    </row>
    <row r="408" spans="4:4" x14ac:dyDescent="0.25">
      <c r="D408" s="11">
        <f t="shared" si="1"/>
        <v>0</v>
      </c>
    </row>
    <row r="409" spans="4:4" x14ac:dyDescent="0.25">
      <c r="D409" s="11">
        <f t="shared" si="1"/>
        <v>0</v>
      </c>
    </row>
    <row r="410" spans="4:4" x14ac:dyDescent="0.25">
      <c r="D410" s="11">
        <f t="shared" si="1"/>
        <v>0</v>
      </c>
    </row>
    <row r="411" spans="4:4" x14ac:dyDescent="0.25">
      <c r="D411" s="11">
        <f t="shared" si="1"/>
        <v>0</v>
      </c>
    </row>
    <row r="412" spans="4:4" x14ac:dyDescent="0.25">
      <c r="D412" s="11">
        <f t="shared" si="1"/>
        <v>0</v>
      </c>
    </row>
    <row r="413" spans="4:4" x14ac:dyDescent="0.25">
      <c r="D413" s="11">
        <f t="shared" si="1"/>
        <v>0</v>
      </c>
    </row>
    <row r="414" spans="4:4" x14ac:dyDescent="0.25">
      <c r="D414" s="11">
        <f t="shared" si="1"/>
        <v>0</v>
      </c>
    </row>
    <row r="415" spans="4:4" x14ac:dyDescent="0.25">
      <c r="D415" s="11">
        <f t="shared" si="1"/>
        <v>0</v>
      </c>
    </row>
    <row r="416" spans="4:4" x14ac:dyDescent="0.25">
      <c r="D416" s="1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FF9-DB4A-4269-84E1-D6F3F1ADB060}">
  <dimension ref="S2:W28"/>
  <sheetViews>
    <sheetView showGridLines="0" tabSelected="1" zoomScale="70" zoomScaleNormal="70" workbookViewId="0">
      <selection activeCell="X10" sqref="X10"/>
    </sheetView>
  </sheetViews>
  <sheetFormatPr defaultRowHeight="15" x14ac:dyDescent="0.25"/>
  <cols>
    <col min="19" max="19" width="19" customWidth="1"/>
    <col min="20" max="20" width="19.140625" customWidth="1"/>
    <col min="21" max="21" width="20.140625" customWidth="1"/>
    <col min="22" max="22" width="18.28515625" customWidth="1"/>
    <col min="24" max="24" width="20" customWidth="1"/>
    <col min="25" max="25" width="19.85546875" customWidth="1"/>
    <col min="26" max="26" width="16.85546875" customWidth="1"/>
  </cols>
  <sheetData>
    <row r="2" spans="19:21" ht="18.75" x14ac:dyDescent="0.3">
      <c r="S2" s="22" t="s">
        <v>11</v>
      </c>
      <c r="T2" s="22"/>
      <c r="U2" s="22"/>
    </row>
    <row r="3" spans="19:21" ht="18.75" x14ac:dyDescent="0.3">
      <c r="S3" s="8" t="s">
        <v>12</v>
      </c>
      <c r="T3" s="8" t="s">
        <v>10</v>
      </c>
      <c r="U3" s="8" t="s">
        <v>9</v>
      </c>
    </row>
    <row r="4" spans="19:21" ht="18.75" x14ac:dyDescent="0.3">
      <c r="S4" s="3">
        <v>3.12</v>
      </c>
      <c r="T4" s="3">
        <v>1.29E-2</v>
      </c>
      <c r="U4" s="3">
        <v>255.72229999999999</v>
      </c>
    </row>
    <row r="5" spans="19:21" ht="18.75" x14ac:dyDescent="0.3">
      <c r="S5" s="4"/>
      <c r="T5" s="4"/>
      <c r="U5" s="4"/>
    </row>
    <row r="6" spans="19:21" ht="18.75" x14ac:dyDescent="0.3">
      <c r="S6" s="23" t="s">
        <v>13</v>
      </c>
      <c r="T6" s="23"/>
      <c r="U6" s="23"/>
    </row>
    <row r="7" spans="19:21" ht="18.75" x14ac:dyDescent="0.3">
      <c r="S7" s="8" t="s">
        <v>1</v>
      </c>
      <c r="T7" s="8" t="s">
        <v>6</v>
      </c>
      <c r="U7" s="8" t="s">
        <v>5</v>
      </c>
    </row>
    <row r="8" spans="19:21" ht="18.75" x14ac:dyDescent="0.3">
      <c r="S8" s="3">
        <v>2</v>
      </c>
      <c r="T8" s="7">
        <f>VLOOKUP(S8,'Pushover DATI'!A2:C38,2)</f>
        <v>1.3554999999999999E-2</v>
      </c>
      <c r="U8" s="5">
        <f>VLOOKUP(S8,'Pushover DATI'!A2:C38,3)</f>
        <v>262.52300000000002</v>
      </c>
    </row>
    <row r="9" spans="19:21" ht="18.75" x14ac:dyDescent="0.3">
      <c r="S9" s="3" t="s">
        <v>1</v>
      </c>
      <c r="T9" s="3" t="s">
        <v>7</v>
      </c>
      <c r="U9" s="3" t="s">
        <v>8</v>
      </c>
    </row>
    <row r="10" spans="19:21" ht="18.75" x14ac:dyDescent="0.3">
      <c r="S10" s="3">
        <v>13</v>
      </c>
      <c r="T10" s="5">
        <f>VLOOKUP(S10,'Pushover DATI'!A2:C38,2)</f>
        <v>0.161221</v>
      </c>
      <c r="U10" s="5">
        <f>VLOOKUP(S10,'Pushover DATI'!A2:C38,3)</f>
        <v>551.88</v>
      </c>
    </row>
    <row r="11" spans="19:21" ht="18.75" x14ac:dyDescent="0.3">
      <c r="S11" s="3">
        <v>17</v>
      </c>
      <c r="T11" s="5">
        <f>VLOOKUP(S11,'Pushover DATI'!A3:C39,2)</f>
        <v>0.18299399999999999</v>
      </c>
      <c r="U11" s="5">
        <f>VLOOKUP(S11,'Pushover DATI'!A3:C39,3)</f>
        <v>522.43299999999999</v>
      </c>
    </row>
    <row r="13" spans="19:21" ht="18.75" x14ac:dyDescent="0.3">
      <c r="S13" s="24" t="s">
        <v>23</v>
      </c>
      <c r="T13" s="24"/>
      <c r="U13" s="24"/>
    </row>
    <row r="14" spans="19:21" x14ac:dyDescent="0.25">
      <c r="S14" s="21"/>
      <c r="T14" s="21"/>
      <c r="U14" s="21"/>
    </row>
    <row r="15" spans="19:21" x14ac:dyDescent="0.25">
      <c r="S15" s="21"/>
      <c r="T15" s="13" t="s">
        <v>17</v>
      </c>
      <c r="U15" s="13" t="s">
        <v>16</v>
      </c>
    </row>
    <row r="16" spans="19:21" x14ac:dyDescent="0.25">
      <c r="S16" s="21"/>
      <c r="T16" s="14">
        <v>0</v>
      </c>
      <c r="U16" s="14">
        <v>0</v>
      </c>
    </row>
    <row r="17" spans="19:23" x14ac:dyDescent="0.25">
      <c r="S17" s="19" t="s">
        <v>15</v>
      </c>
      <c r="T17" s="15">
        <f>U10*0.6</f>
        <v>331.12799999999999</v>
      </c>
      <c r="U17" s="18">
        <f>('Pushover DATI'!$B$5-'Pushover DATI'!$B$4)/('Pushover DATI'!$C$5-'Pushover DATI'!$C$4)*(Verifica!T17-'Pushover DATI'!$C$4)+'Pushover DATI'!$B$4</f>
        <v>1.7633751031591462E-2</v>
      </c>
      <c r="W17" t="s">
        <v>19</v>
      </c>
    </row>
    <row r="18" spans="19:23" x14ac:dyDescent="0.25">
      <c r="S18" s="19" t="s">
        <v>22</v>
      </c>
      <c r="T18" s="15">
        <v>502.57499999999999</v>
      </c>
      <c r="U18" s="18">
        <f>T18/(T17/U17)</f>
        <v>2.6763917351302458E-2</v>
      </c>
      <c r="W18">
        <f>SUM('Pushover DATI'!D2:D107)</f>
        <v>85.243014100500005</v>
      </c>
    </row>
    <row r="19" spans="19:23" x14ac:dyDescent="0.25">
      <c r="S19" s="19" t="s">
        <v>25</v>
      </c>
      <c r="T19" s="15">
        <f>T18</f>
        <v>502.57499999999999</v>
      </c>
      <c r="U19" s="15">
        <f>T11</f>
        <v>0.18299399999999999</v>
      </c>
      <c r="W19" t="s">
        <v>20</v>
      </c>
    </row>
    <row r="20" spans="19:23" x14ac:dyDescent="0.25">
      <c r="S20" s="19" t="s">
        <v>21</v>
      </c>
      <c r="T20" s="15">
        <f>'Pushover DATI'!C11*0.85</f>
        <v>443.61415</v>
      </c>
      <c r="U20" s="16"/>
      <c r="W20">
        <f>U18*T18/2+(U19-U18)*T18</f>
        <v>85.242771668584581</v>
      </c>
    </row>
    <row r="21" spans="19:23" x14ac:dyDescent="0.25">
      <c r="S21" s="20"/>
      <c r="T21" s="12">
        <v>0</v>
      </c>
      <c r="U21" s="12">
        <f>T10</f>
        <v>0.161221</v>
      </c>
    </row>
    <row r="22" spans="19:23" x14ac:dyDescent="0.25">
      <c r="S22" s="19" t="s">
        <v>26</v>
      </c>
      <c r="T22" s="12">
        <f>T17/U17*U21</f>
        <v>3027.4209493124486</v>
      </c>
      <c r="U22" s="12">
        <f>U21</f>
        <v>0.161221</v>
      </c>
    </row>
    <row r="24" spans="19:23" ht="18.75" x14ac:dyDescent="0.3">
      <c r="S24" s="23" t="s">
        <v>4</v>
      </c>
      <c r="T24" s="23"/>
      <c r="U24" s="23"/>
    </row>
    <row r="25" spans="19:23" ht="18.75" x14ac:dyDescent="0.3">
      <c r="S25" s="9" t="s">
        <v>24</v>
      </c>
      <c r="T25" s="9" t="s">
        <v>14</v>
      </c>
      <c r="U25" s="9" t="s">
        <v>12</v>
      </c>
    </row>
    <row r="26" spans="19:23" ht="18.75" x14ac:dyDescent="0.3">
      <c r="S26" s="5">
        <f>T22/T18</f>
        <v>6.0238192295924957</v>
      </c>
      <c r="T26" s="6">
        <f>T18/U8</f>
        <v>1.9144036903433221</v>
      </c>
      <c r="U26" s="15">
        <f>S26*T26</f>
        <v>11.532021763092942</v>
      </c>
    </row>
    <row r="28" spans="19:23" ht="18.75" x14ac:dyDescent="0.3">
      <c r="V28" s="17"/>
    </row>
  </sheetData>
  <mergeCells count="4">
    <mergeCell ref="S2:U2"/>
    <mergeCell ref="S6:U6"/>
    <mergeCell ref="S24:U24"/>
    <mergeCell ref="S13:U13"/>
  </mergeCells>
  <pageMargins left="0.7" right="0.7" top="0.75" bottom="0.75" header="0.3" footer="0.3"/>
  <pageSetup paperSize="9"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AE87AD-66AB-47F1-802F-E055A1CE299F}">
          <x14:formula1>
            <xm:f>'Pushover DATI'!$A$2:$A$38</xm:f>
          </x14:formula1>
          <xm:sqref>S10:S11 S8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Pushover DATI</vt:lpstr>
      <vt:lpstr>Verifica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2019-11-29T19:28:11Z</cp:lastPrinted>
  <dcterms:created xsi:type="dcterms:W3CDTF">2019-11-09T15:12:54Z</dcterms:created>
  <dcterms:modified xsi:type="dcterms:W3CDTF">2019-11-29T20:19:28Z</dcterms:modified>
</cp:coreProperties>
</file>