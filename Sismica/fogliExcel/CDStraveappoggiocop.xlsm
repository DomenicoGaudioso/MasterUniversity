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0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11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drawings/drawing12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drawings/drawing13.xml" ContentType="application/vnd.openxmlformats-officedocument.drawing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drawings/drawing14.xml" ContentType="application/vnd.openxmlformats-officedocument.drawing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drawings/drawing15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drawings/drawing16.xml" ContentType="application/vnd.openxmlformats-officedocument.drawing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drawings/drawing17.xml" ContentType="application/vnd.openxmlformats-officedocument.drawing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drawings/drawing18.xml" ContentType="application/vnd.openxmlformats-officedocument.drawing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drawings/drawing19.xml" ContentType="application/vnd.openxmlformats-officedocument.drawing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drawings/drawing20.xml" ContentType="application/vnd.openxmlformats-officedocument.drawing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drawings/drawing21.xml" ContentType="application/vnd.openxmlformats-officedocument.drawing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drawings/drawing22.xml" ContentType="application/vnd.openxmlformats-officedocument.drawing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drawings/drawing23.xml" ContentType="application/vnd.openxmlformats-officedocument.drawing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drawings/drawing24.xml" ContentType="application/vnd.openxmlformats-officedocument.drawing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drawings/drawing25.xml" ContentType="application/vnd.openxmlformats-officedocument.drawing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drawings/drawing26.xml" ContentType="application/vnd.openxmlformats-officedocument.drawing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drawings/drawing27.xml" ContentType="application/vnd.openxmlformats-officedocument.drawing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drawings/drawing28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drawings/drawing29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omy7\Desktop\Magistrale\Magistrale\SISMICA\"/>
    </mc:Choice>
  </mc:AlternateContent>
  <xr:revisionPtr revIDLastSave="0" documentId="13_ncr:1_{1CB50674-D7E1-42F9-A2FD-134FB0EFA397}" xr6:coauthVersionLast="44" xr6:coauthVersionMax="44" xr10:uidLastSave="{00000000-0000-0000-0000-000000000000}"/>
  <bookViews>
    <workbookView xWindow="-120" yWindow="-120" windowWidth="20730" windowHeight="11160" tabRatio="822" firstSheet="9" activeTab="11" xr2:uid="{00000000-000D-0000-FFFF-FFFF00000000}"/>
  </bookViews>
  <sheets>
    <sheet name="Menu" sheetId="30" state="hidden" r:id="rId1"/>
    <sheet name="C-Trave" sheetId="2" state="hidden" r:id="rId2"/>
    <sheet name="C-car.1" sheetId="4" state="hidden" r:id="rId3"/>
    <sheet name="C-car.2" sheetId="5" state="hidden" r:id="rId4"/>
    <sheet name="C-car.3" sheetId="6" state="hidden" r:id="rId5"/>
    <sheet name="C-car.4" sheetId="7" state="hidden" r:id="rId6"/>
    <sheet name="C-car.5" sheetId="8" state="hidden" r:id="rId7"/>
    <sheet name="C-Vincoli trave" sheetId="3" state="hidden" r:id="rId8"/>
    <sheet name="CC-Trave" sheetId="9" state="hidden" r:id="rId9"/>
    <sheet name="CCC-Trave esterna (P1)" sheetId="35" r:id="rId10"/>
    <sheet name="CCC-Trave int1 (P1)" sheetId="16" r:id="rId11"/>
    <sheet name="CCC-Trave int2 (P1)" sheetId="37" r:id="rId12"/>
    <sheet name="CCCC-Trave" sheetId="23" state="hidden" r:id="rId13"/>
    <sheet name="CCCC-car.1" sheetId="24" state="hidden" r:id="rId14"/>
    <sheet name="CCCC-car.2" sheetId="25" state="hidden" r:id="rId15"/>
    <sheet name="CCCC-car.3" sheetId="26" state="hidden" r:id="rId16"/>
    <sheet name="CCCC-car.4" sheetId="27" state="hidden" r:id="rId17"/>
    <sheet name="CCCC-car.5" sheetId="28" state="hidden" r:id="rId18"/>
    <sheet name="CCCC-Vincoli trave" sheetId="29" state="hidden" r:id="rId19"/>
    <sheet name="CCC-car.1" sheetId="17" state="hidden" r:id="rId20"/>
    <sheet name="CCC-car.2" sheetId="18" state="hidden" r:id="rId21"/>
    <sheet name="CCC-car.3" sheetId="19" state="hidden" r:id="rId22"/>
    <sheet name="CCC-car.4" sheetId="20" state="hidden" r:id="rId23"/>
    <sheet name="CCC-car.5" sheetId="21" state="hidden" r:id="rId24"/>
    <sheet name="CCC-Vincoli trave" sheetId="22" state="hidden" r:id="rId25"/>
    <sheet name="CC-car.1" sheetId="10" state="hidden" r:id="rId26"/>
    <sheet name="CC-car.2" sheetId="11" state="hidden" r:id="rId27"/>
    <sheet name="CC-car.3" sheetId="12" state="hidden" r:id="rId28"/>
    <sheet name="CC-car.4" sheetId="13" state="hidden" r:id="rId29"/>
    <sheet name="CC-car.5" sheetId="14" state="hidden" r:id="rId30"/>
    <sheet name="CC-Vincoli trave" sheetId="15" state="hidden" r:id="rId31"/>
    <sheet name="Sezioni ca" sheetId="32" state="hidden" r:id="rId32"/>
    <sheet name="Sezioni acciaio" sheetId="33" state="hidden" r:id="rId33"/>
    <sheet name="Coordinate travi Menu" sheetId="34" state="hidden" r:id="rId34"/>
  </sheets>
  <definedNames>
    <definedName name="acciaio">'Sezioni acciaio'!$A$5:$A$303</definedName>
    <definedName name="assente" localSheetId="9">'CCC-Trave esterna (P1)'!$E$70</definedName>
    <definedName name="assente" localSheetId="10">'CCC-Trave int1 (P1)'!$E$70</definedName>
    <definedName name="assente" localSheetId="11">'CCC-Trave int2 (P1)'!$E$70</definedName>
    <definedName name="assente" localSheetId="8">'CC-Trave'!$E$70</definedName>
    <definedName name="assente" localSheetId="1">'C-Trave'!$E$70</definedName>
    <definedName name="assente">'CCCC-Trave'!$E$70</definedName>
    <definedName name="ca">'Sezioni ca'!$C$4:$C$112</definedName>
    <definedName name="matacciaio">'Sezioni acciaio'!$A$5:$J$303</definedName>
    <definedName name="matC" localSheetId="13">'CCCC-car.1'!$V$16:$X$18</definedName>
    <definedName name="matC" localSheetId="14">'CCCC-car.2'!$V$16:$X$18</definedName>
    <definedName name="matC" localSheetId="15">'CCCC-car.3'!$V$16:$X$18</definedName>
    <definedName name="matC" localSheetId="16">'CCCC-car.4'!$V$16:$X$18</definedName>
    <definedName name="matC" localSheetId="17">'CCCC-car.5'!$V$16:$X$18</definedName>
    <definedName name="matC">'CCCC-Trave'!$AF$16:$AH$18</definedName>
    <definedName name="matca">'Sezioni ca'!$C$4:$F$112</definedName>
    <definedName name="matca1">'Sezioni ca'!$C$4:$F$112</definedName>
    <definedName name="matCiinv">'CCCC-Trave'!$AJ$15:$AL$17</definedName>
    <definedName name="matCinv" localSheetId="20">'CCC-car.2'!$Z$16:$AA$17</definedName>
    <definedName name="matCinv" localSheetId="21">'CCC-car.3'!$Z$16:$AA$17</definedName>
    <definedName name="matCinv" localSheetId="22">'CCC-car.4'!$Z$16:$AA$17</definedName>
    <definedName name="matCinv" localSheetId="23">'CCC-car.5'!$Z$16:$AA$17</definedName>
    <definedName name="matCinv" localSheetId="13">'CCCC-car.1'!$Z$16:$AB$18</definedName>
    <definedName name="matCinv" localSheetId="14">'CCCC-car.2'!$Z$16:$AB$18</definedName>
    <definedName name="matCinv" localSheetId="15">'CCCC-car.3'!$Z$16:$AB$18</definedName>
    <definedName name="matCinv" localSheetId="16">'CCCC-car.4'!$Z$16:$AB$18</definedName>
    <definedName name="matCinv" localSheetId="17">'CCCC-car.5'!$Z$16:$AB$18</definedName>
    <definedName name="matCinv">'CCC-car.1'!$Z$16:$AA$17</definedName>
    <definedName name="matM" localSheetId="13">'CCCC-car.1'!$W$21:$W$23</definedName>
    <definedName name="matM" localSheetId="14">'CCCC-car.2'!$W$21:$W$23</definedName>
    <definedName name="matM" localSheetId="15">'CCCC-car.3'!$W$21:$W$23</definedName>
    <definedName name="matM" localSheetId="16">'CCCC-car.4'!$W$21:$W$23</definedName>
    <definedName name="matM" localSheetId="17">'CCCC-car.5'!$W$21:$W$23</definedName>
    <definedName name="matM">'CCCC-Trave'!$AG$21:$AG$23</definedName>
    <definedName name="matN" localSheetId="20">'CCC-car.2'!$AE$16:$AE$17</definedName>
    <definedName name="matN" localSheetId="21">'CCC-car.3'!$AE$16:$AE$17</definedName>
    <definedName name="matN" localSheetId="22">'CCC-car.4'!$AE$16:$AE$17</definedName>
    <definedName name="matN" localSheetId="23">'CCC-car.5'!$AE$16:$AE$17</definedName>
    <definedName name="matN" localSheetId="13">'CCCC-car.1'!$AE$16:$AE$18</definedName>
    <definedName name="matN" localSheetId="14">'CCCC-car.2'!$AE$16:$AE$18</definedName>
    <definedName name="matN" localSheetId="15">'CCCC-car.3'!$AE$16:$AE$18</definedName>
    <definedName name="matN" localSheetId="16">'CCCC-car.4'!$AE$16:$AE$18</definedName>
    <definedName name="matN" localSheetId="17">'CCCC-car.5'!$AE$16:$AE$18</definedName>
    <definedName name="matN">'CCC-car.1'!$AE$16:$AE$17</definedName>
    <definedName name="mattN" localSheetId="32">'CCCC-Trave'!#REF!</definedName>
    <definedName name="mattN">'CCCC-Trave'!#REF!</definedName>
    <definedName name="No" localSheetId="9">'CCC-Trave esterna (P1)'!$G$70</definedName>
    <definedName name="No" localSheetId="10">'CCC-Trave int1 (P1)'!$G$70</definedName>
    <definedName name="No" localSheetId="11">'CCC-Trave int2 (P1)'!$G$70</definedName>
    <definedName name="No" localSheetId="8">'CC-Trave'!$G$70</definedName>
    <definedName name="No" localSheetId="1">'C-Trave'!$G$70</definedName>
    <definedName name="NO">'CCCC-Trave'!$G$70</definedName>
    <definedName name="presente" localSheetId="9">'CCC-Trave esterna (P1)'!$C$70</definedName>
    <definedName name="presente" localSheetId="10">'CCC-Trave int1 (P1)'!$C$70</definedName>
    <definedName name="presente" localSheetId="11">'CCC-Trave int2 (P1)'!$C$70</definedName>
    <definedName name="presente" localSheetId="8">'CC-Trave'!$C$70</definedName>
    <definedName name="presente" localSheetId="1">'C-Trave'!$C$70</definedName>
    <definedName name="presente">'CCCC-Trave'!$C$70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9" i="37" l="1"/>
  <c r="F30" i="37"/>
  <c r="E30" i="37"/>
  <c r="F29" i="37"/>
  <c r="G28" i="37"/>
  <c r="E28" i="37"/>
  <c r="F27" i="37"/>
  <c r="G30" i="37"/>
  <c r="E29" i="37"/>
  <c r="G27" i="37"/>
  <c r="F28" i="37"/>
  <c r="E27" i="37"/>
  <c r="F26" i="37"/>
  <c r="G26" i="37"/>
  <c r="E26" i="37"/>
  <c r="G29" i="16"/>
  <c r="E30" i="16"/>
  <c r="F30" i="16"/>
  <c r="F29" i="16"/>
  <c r="G28" i="16"/>
  <c r="E28" i="16"/>
  <c r="F27" i="16"/>
  <c r="G30" i="16"/>
  <c r="E29" i="16"/>
  <c r="F28" i="16"/>
  <c r="G27" i="16"/>
  <c r="E27" i="16"/>
  <c r="F26" i="16"/>
  <c r="G26" i="16"/>
  <c r="E26" i="16"/>
  <c r="F28" i="35"/>
  <c r="G30" i="35"/>
  <c r="E29" i="35"/>
  <c r="G27" i="35"/>
  <c r="E27" i="35"/>
  <c r="F30" i="35"/>
  <c r="G29" i="35"/>
  <c r="G28" i="35"/>
  <c r="E28" i="35"/>
  <c r="E30" i="35"/>
  <c r="F29" i="35"/>
  <c r="F27" i="35"/>
  <c r="F26" i="35"/>
  <c r="G26" i="35"/>
  <c r="E26" i="35"/>
  <c r="C70" i="37" l="1"/>
  <c r="BC38" i="37"/>
  <c r="BB38" i="37"/>
  <c r="BA38" i="37"/>
  <c r="AX38" i="37"/>
  <c r="AW38" i="37"/>
  <c r="AV38" i="37"/>
  <c r="AS38" i="37"/>
  <c r="AR38" i="37"/>
  <c r="AQ38" i="37"/>
  <c r="AN38" i="37"/>
  <c r="AM38" i="37"/>
  <c r="AL38" i="37"/>
  <c r="AI38" i="37"/>
  <c r="AH38" i="37"/>
  <c r="AG38" i="37"/>
  <c r="BC37" i="37"/>
  <c r="BB37" i="37"/>
  <c r="BA37" i="37"/>
  <c r="AX37" i="37"/>
  <c r="AW37" i="37"/>
  <c r="AV37" i="37"/>
  <c r="AS37" i="37"/>
  <c r="AR37" i="37"/>
  <c r="AQ37" i="37"/>
  <c r="AN37" i="37"/>
  <c r="AM37" i="37"/>
  <c r="AL37" i="37"/>
  <c r="AI37" i="37"/>
  <c r="AH37" i="37"/>
  <c r="AG37" i="37"/>
  <c r="BC36" i="37"/>
  <c r="BB36" i="37"/>
  <c r="BA36" i="37"/>
  <c r="AX36" i="37"/>
  <c r="AW36" i="37"/>
  <c r="AV36" i="37"/>
  <c r="AS36" i="37"/>
  <c r="AR36" i="37"/>
  <c r="AQ36" i="37"/>
  <c r="AN36" i="37"/>
  <c r="AM36" i="37"/>
  <c r="AL36" i="37"/>
  <c r="AI36" i="37"/>
  <c r="AH36" i="37"/>
  <c r="AG36" i="37"/>
  <c r="BC35" i="37"/>
  <c r="AC54" i="37" s="1"/>
  <c r="BB35" i="37"/>
  <c r="BA35" i="37"/>
  <c r="AX35" i="37"/>
  <c r="AC51" i="37" s="1"/>
  <c r="AW35" i="37"/>
  <c r="AV35" i="37"/>
  <c r="AS35" i="37"/>
  <c r="AC48" i="37" s="1"/>
  <c r="AR35" i="37"/>
  <c r="AQ35" i="37"/>
  <c r="AN35" i="37"/>
  <c r="AC45" i="37" s="1"/>
  <c r="AM35" i="37"/>
  <c r="AL35" i="37"/>
  <c r="AI35" i="37"/>
  <c r="AC42" i="37" s="1"/>
  <c r="AH35" i="37"/>
  <c r="AG35" i="37"/>
  <c r="BA34" i="37"/>
  <c r="AV34" i="37"/>
  <c r="AQ34" i="37"/>
  <c r="AL34" i="37"/>
  <c r="AG34" i="37"/>
  <c r="AF34" i="37" s="1"/>
  <c r="BA33" i="37"/>
  <c r="AV33" i="37"/>
  <c r="AQ33" i="37"/>
  <c r="AL33" i="37"/>
  <c r="AG33" i="37"/>
  <c r="BA32" i="37"/>
  <c r="AV32" i="37"/>
  <c r="AQ32" i="37"/>
  <c r="AL32" i="37"/>
  <c r="AG32" i="37"/>
  <c r="AF32" i="37" s="1"/>
  <c r="BA31" i="37"/>
  <c r="AV31" i="37"/>
  <c r="AQ31" i="37"/>
  <c r="AL31" i="37"/>
  <c r="AG31" i="37"/>
  <c r="BA30" i="37"/>
  <c r="AV30" i="37"/>
  <c r="AQ30" i="37"/>
  <c r="AL30" i="37"/>
  <c r="AG30" i="37"/>
  <c r="AF30" i="37" s="1"/>
  <c r="BA29" i="37"/>
  <c r="AV29" i="37"/>
  <c r="AQ29" i="37"/>
  <c r="AL29" i="37"/>
  <c r="AG29" i="37"/>
  <c r="BA28" i="37"/>
  <c r="AV28" i="37"/>
  <c r="AQ28" i="37"/>
  <c r="AL28" i="37"/>
  <c r="AG28" i="37"/>
  <c r="AF28" i="37"/>
  <c r="AK28" i="37" s="1"/>
  <c r="BA27" i="37"/>
  <c r="AV27" i="37"/>
  <c r="AQ27" i="37"/>
  <c r="AL27" i="37"/>
  <c r="AG27" i="37"/>
  <c r="BA26" i="37"/>
  <c r="AV26" i="37"/>
  <c r="AQ26" i="37"/>
  <c r="AL26" i="37"/>
  <c r="AG26" i="37"/>
  <c r="BA25" i="37"/>
  <c r="AV25" i="37"/>
  <c r="AQ25" i="37"/>
  <c r="AL25" i="37"/>
  <c r="AG25" i="37"/>
  <c r="AF29" i="37" s="1"/>
  <c r="BA24" i="37"/>
  <c r="AV24" i="37"/>
  <c r="AQ24" i="37"/>
  <c r="AL24" i="37"/>
  <c r="AG24" i="37"/>
  <c r="AF24" i="37" s="1"/>
  <c r="BA23" i="37"/>
  <c r="AV23" i="37"/>
  <c r="AQ23" i="37"/>
  <c r="AL23" i="37"/>
  <c r="AG23" i="37"/>
  <c r="AF23" i="37" s="1"/>
  <c r="BA22" i="37"/>
  <c r="AV22" i="37"/>
  <c r="AQ22" i="37"/>
  <c r="AL22" i="37"/>
  <c r="AG22" i="37"/>
  <c r="AF22" i="37" s="1"/>
  <c r="BA21" i="37"/>
  <c r="AV21" i="37"/>
  <c r="AQ21" i="37"/>
  <c r="AL21" i="37"/>
  <c r="AG21" i="37"/>
  <c r="AF21" i="37" s="1"/>
  <c r="BA20" i="37"/>
  <c r="AV20" i="37"/>
  <c r="AQ20" i="37"/>
  <c r="AL20" i="37"/>
  <c r="AG20" i="37"/>
  <c r="AF20" i="37" s="1"/>
  <c r="BA19" i="37"/>
  <c r="AV19" i="37"/>
  <c r="AQ19" i="37"/>
  <c r="AL19" i="37"/>
  <c r="AG19" i="37"/>
  <c r="AF19" i="37" s="1"/>
  <c r="H19" i="37"/>
  <c r="G19" i="37"/>
  <c r="C80" i="37" s="1"/>
  <c r="D80" i="37" s="1"/>
  <c r="F19" i="37"/>
  <c r="H77" i="37" s="1"/>
  <c r="I77" i="37" s="1"/>
  <c r="E19" i="37"/>
  <c r="C77" i="37" s="1"/>
  <c r="D77" i="37" s="1"/>
  <c r="D19" i="37"/>
  <c r="BA18" i="37"/>
  <c r="AV18" i="37"/>
  <c r="AQ18" i="37"/>
  <c r="AL18" i="37"/>
  <c r="AG18" i="37"/>
  <c r="AF18" i="37" s="1"/>
  <c r="H18" i="37"/>
  <c r="D18" i="37"/>
  <c r="BA17" i="37"/>
  <c r="AV17" i="37"/>
  <c r="AQ17" i="37"/>
  <c r="AL17" i="37"/>
  <c r="AG17" i="37"/>
  <c r="AF17" i="37" s="1"/>
  <c r="BA16" i="37"/>
  <c r="AV16" i="37"/>
  <c r="AQ16" i="37"/>
  <c r="AL16" i="37"/>
  <c r="AG16" i="37"/>
  <c r="E16" i="37"/>
  <c r="BA15" i="37"/>
  <c r="AV15" i="37"/>
  <c r="AQ15" i="37"/>
  <c r="AL15" i="37"/>
  <c r="AG15" i="37"/>
  <c r="AF15" i="37"/>
  <c r="AP15" i="37" s="1"/>
  <c r="BA14" i="37"/>
  <c r="AV14" i="37"/>
  <c r="AQ14" i="37"/>
  <c r="AL14" i="37"/>
  <c r="AG14" i="37"/>
  <c r="BA13" i="37"/>
  <c r="AV13" i="37"/>
  <c r="AQ13" i="37"/>
  <c r="AL13" i="37"/>
  <c r="AG13" i="37"/>
  <c r="AF13" i="37"/>
  <c r="AP13" i="37" s="1"/>
  <c r="BA12" i="37"/>
  <c r="AV12" i="37"/>
  <c r="AQ12" i="37"/>
  <c r="AL12" i="37"/>
  <c r="AG12" i="37"/>
  <c r="BA11" i="37"/>
  <c r="AV11" i="37"/>
  <c r="AQ11" i="37"/>
  <c r="AL11" i="37"/>
  <c r="AG11" i="37"/>
  <c r="BA10" i="37"/>
  <c r="AV10" i="37"/>
  <c r="AQ10" i="37"/>
  <c r="AL10" i="37"/>
  <c r="AG10" i="37"/>
  <c r="BA9" i="37"/>
  <c r="AV9" i="37"/>
  <c r="AQ9" i="37"/>
  <c r="AL9" i="37"/>
  <c r="AG9" i="37"/>
  <c r="AF9" i="37"/>
  <c r="AZ9" i="37" s="1"/>
  <c r="BA8" i="37"/>
  <c r="AV8" i="37"/>
  <c r="AQ8" i="37"/>
  <c r="AL8" i="37"/>
  <c r="AG8" i="37"/>
  <c r="AF8" i="37"/>
  <c r="AZ8" i="37" s="1"/>
  <c r="BC7" i="37"/>
  <c r="V54" i="37" s="1"/>
  <c r="BB7" i="37"/>
  <c r="BA7" i="37"/>
  <c r="AX7" i="37"/>
  <c r="V51" i="37" s="1"/>
  <c r="AW7" i="37"/>
  <c r="AV7" i="37"/>
  <c r="AS7" i="37"/>
  <c r="V48" i="37" s="1"/>
  <c r="AR7" i="37"/>
  <c r="AQ7" i="37"/>
  <c r="AN7" i="37"/>
  <c r="V45" i="37" s="1"/>
  <c r="AM7" i="37"/>
  <c r="AL7" i="37"/>
  <c r="AI7" i="37"/>
  <c r="V42" i="37" s="1"/>
  <c r="AH7" i="37"/>
  <c r="AG7" i="37"/>
  <c r="AF14" i="37" s="1"/>
  <c r="AF7" i="37"/>
  <c r="AZ7" i="37" s="1"/>
  <c r="BC6" i="37"/>
  <c r="BB6" i="37"/>
  <c r="BA6" i="37"/>
  <c r="AX6" i="37"/>
  <c r="AW6" i="37"/>
  <c r="AV6" i="37"/>
  <c r="AS6" i="37"/>
  <c r="AR6" i="37"/>
  <c r="AQ6" i="37"/>
  <c r="AN6" i="37"/>
  <c r="AM6" i="37"/>
  <c r="AL6" i="37"/>
  <c r="AI6" i="37"/>
  <c r="AH6" i="37"/>
  <c r="AG6" i="37"/>
  <c r="AF6" i="37"/>
  <c r="AZ6" i="37" s="1"/>
  <c r="BC5" i="37"/>
  <c r="BB5" i="37"/>
  <c r="BA5" i="37"/>
  <c r="AX5" i="37"/>
  <c r="AW5" i="37"/>
  <c r="AV5" i="37"/>
  <c r="AS5" i="37"/>
  <c r="AR5" i="37"/>
  <c r="AQ5" i="37"/>
  <c r="AN5" i="37"/>
  <c r="AM5" i="37"/>
  <c r="AL5" i="37"/>
  <c r="AI5" i="37"/>
  <c r="AH5" i="37"/>
  <c r="AG5" i="37"/>
  <c r="AF5" i="37" s="1"/>
  <c r="BC4" i="37"/>
  <c r="BB4" i="37"/>
  <c r="BA4" i="37"/>
  <c r="AX4" i="37"/>
  <c r="AW4" i="37"/>
  <c r="AV4" i="37"/>
  <c r="AS4" i="37"/>
  <c r="AR4" i="37"/>
  <c r="AQ4" i="37"/>
  <c r="AN4" i="37"/>
  <c r="AM4" i="37"/>
  <c r="AL4" i="37"/>
  <c r="AI4" i="37"/>
  <c r="AH4" i="37"/>
  <c r="AG4" i="37"/>
  <c r="AF4" i="37" s="1"/>
  <c r="AG10" i="35"/>
  <c r="C70" i="35"/>
  <c r="AC54" i="35"/>
  <c r="AC48" i="35"/>
  <c r="AC42" i="35"/>
  <c r="BC38" i="35"/>
  <c r="BB38" i="35"/>
  <c r="BA38" i="35"/>
  <c r="AX38" i="35"/>
  <c r="AW38" i="35"/>
  <c r="AV38" i="35"/>
  <c r="AS38" i="35"/>
  <c r="AR38" i="35"/>
  <c r="AQ38" i="35"/>
  <c r="AN38" i="35"/>
  <c r="AM38" i="35"/>
  <c r="AL38" i="35"/>
  <c r="AI38" i="35"/>
  <c r="AH38" i="35"/>
  <c r="AG38" i="35"/>
  <c r="AF38" i="35" s="1"/>
  <c r="BC37" i="35"/>
  <c r="BB37" i="35"/>
  <c r="BA37" i="35"/>
  <c r="AX37" i="35"/>
  <c r="AW37" i="35"/>
  <c r="AV37" i="35"/>
  <c r="AS37" i="35"/>
  <c r="AR37" i="35"/>
  <c r="AQ37" i="35"/>
  <c r="AN37" i="35"/>
  <c r="AM37" i="35"/>
  <c r="AL37" i="35"/>
  <c r="AI37" i="35"/>
  <c r="AH37" i="35"/>
  <c r="AG37" i="35"/>
  <c r="AF37" i="35" s="1"/>
  <c r="BC36" i="35"/>
  <c r="BB36" i="35"/>
  <c r="BA36" i="35"/>
  <c r="AX36" i="35"/>
  <c r="AW36" i="35"/>
  <c r="AV36" i="35"/>
  <c r="AS36" i="35"/>
  <c r="AR36" i="35"/>
  <c r="AQ36" i="35"/>
  <c r="AN36" i="35"/>
  <c r="AM36" i="35"/>
  <c r="AL36" i="35"/>
  <c r="AI36" i="35"/>
  <c r="AH36" i="35"/>
  <c r="AG36" i="35"/>
  <c r="AF36" i="35" s="1"/>
  <c r="BC35" i="35"/>
  <c r="BB35" i="35"/>
  <c r="BA35" i="35"/>
  <c r="AX35" i="35"/>
  <c r="AC51" i="35" s="1"/>
  <c r="AW35" i="35"/>
  <c r="AV35" i="35"/>
  <c r="AS35" i="35"/>
  <c r="AR35" i="35"/>
  <c r="AQ35" i="35"/>
  <c r="AN35" i="35"/>
  <c r="AC45" i="35" s="1"/>
  <c r="AM35" i="35"/>
  <c r="AL35" i="35"/>
  <c r="AI35" i="35"/>
  <c r="AH35" i="35"/>
  <c r="AG35" i="35"/>
  <c r="AF35" i="35" s="1"/>
  <c r="BA34" i="35"/>
  <c r="AV34" i="35"/>
  <c r="AQ34" i="35"/>
  <c r="AL34" i="35"/>
  <c r="AG34" i="35"/>
  <c r="BA33" i="35"/>
  <c r="AV33" i="35"/>
  <c r="AQ33" i="35"/>
  <c r="AL33" i="35"/>
  <c r="AG33" i="35"/>
  <c r="BA32" i="35"/>
  <c r="AV32" i="35"/>
  <c r="AQ32" i="35"/>
  <c r="AL32" i="35"/>
  <c r="AG32" i="35"/>
  <c r="BA31" i="35"/>
  <c r="AV31" i="35"/>
  <c r="AQ31" i="35"/>
  <c r="AL31" i="35"/>
  <c r="AG31" i="35"/>
  <c r="BA30" i="35"/>
  <c r="AV30" i="35"/>
  <c r="AQ30" i="35"/>
  <c r="AL30" i="35"/>
  <c r="AG30" i="35"/>
  <c r="BA29" i="35"/>
  <c r="AV29" i="35"/>
  <c r="AQ29" i="35"/>
  <c r="AL29" i="35"/>
  <c r="AG29" i="35"/>
  <c r="AF29" i="35" s="1"/>
  <c r="BA28" i="35"/>
  <c r="AV28" i="35"/>
  <c r="AQ28" i="35"/>
  <c r="AL28" i="35"/>
  <c r="AG28" i="35"/>
  <c r="AF28" i="35" s="1"/>
  <c r="BA27" i="35"/>
  <c r="AV27" i="35"/>
  <c r="AQ27" i="35"/>
  <c r="AL27" i="35"/>
  <c r="AG27" i="35"/>
  <c r="BA26" i="35"/>
  <c r="AV26" i="35"/>
  <c r="AQ26" i="35"/>
  <c r="AL26" i="35"/>
  <c r="AG26" i="35"/>
  <c r="AF26" i="35" s="1"/>
  <c r="BA25" i="35"/>
  <c r="AV25" i="35"/>
  <c r="AQ25" i="35"/>
  <c r="AL25" i="35"/>
  <c r="AG25" i="35"/>
  <c r="AF27" i="35" s="1"/>
  <c r="BA24" i="35"/>
  <c r="AV24" i="35"/>
  <c r="AQ24" i="35"/>
  <c r="AL24" i="35"/>
  <c r="AG24" i="35"/>
  <c r="BA23" i="35"/>
  <c r="AV23" i="35"/>
  <c r="AQ23" i="35"/>
  <c r="AL23" i="35"/>
  <c r="AG23" i="35"/>
  <c r="BA22" i="35"/>
  <c r="AV22" i="35"/>
  <c r="AQ22" i="35"/>
  <c r="AL22" i="35"/>
  <c r="AG22" i="35"/>
  <c r="BA21" i="35"/>
  <c r="AV21" i="35"/>
  <c r="AQ21" i="35"/>
  <c r="AL21" i="35"/>
  <c r="AG21" i="35"/>
  <c r="BA20" i="35"/>
  <c r="AV20" i="35"/>
  <c r="AQ20" i="35"/>
  <c r="AL20" i="35"/>
  <c r="AG20" i="35"/>
  <c r="BA19" i="35"/>
  <c r="AV19" i="35"/>
  <c r="AQ19" i="35"/>
  <c r="AL19" i="35"/>
  <c r="AG19" i="35"/>
  <c r="H19" i="35"/>
  <c r="G19" i="35"/>
  <c r="C80" i="35" s="1"/>
  <c r="D80" i="35" s="1"/>
  <c r="F19" i="35"/>
  <c r="H77" i="35" s="1"/>
  <c r="I77" i="35" s="1"/>
  <c r="E19" i="35"/>
  <c r="C77" i="35" s="1"/>
  <c r="D77" i="35" s="1"/>
  <c r="D19" i="35"/>
  <c r="BA18" i="35"/>
  <c r="AV18" i="35"/>
  <c r="AQ18" i="35"/>
  <c r="AL18" i="35"/>
  <c r="AG18" i="35"/>
  <c r="AF18" i="35" s="1"/>
  <c r="H18" i="35"/>
  <c r="D18" i="35"/>
  <c r="BA17" i="35"/>
  <c r="AV17" i="35"/>
  <c r="AQ17" i="35"/>
  <c r="AL17" i="35"/>
  <c r="AG17" i="35"/>
  <c r="AF17" i="35"/>
  <c r="AZ17" i="35" s="1"/>
  <c r="BA16" i="35"/>
  <c r="AV16" i="35"/>
  <c r="AQ16" i="35"/>
  <c r="AL16" i="35"/>
  <c r="AG16" i="35"/>
  <c r="AF25" i="35" s="1"/>
  <c r="E16" i="35"/>
  <c r="BA15" i="35"/>
  <c r="AV15" i="35"/>
  <c r="AQ15" i="35"/>
  <c r="AL15" i="35"/>
  <c r="AG15" i="35"/>
  <c r="AF15" i="35"/>
  <c r="AK15" i="35" s="1"/>
  <c r="BA14" i="35"/>
  <c r="AV14" i="35"/>
  <c r="AU14" i="35"/>
  <c r="AQ14" i="35"/>
  <c r="AL14" i="35"/>
  <c r="AK14" i="35"/>
  <c r="AG14" i="35"/>
  <c r="AF14" i="35"/>
  <c r="AZ14" i="35" s="1"/>
  <c r="BA13" i="35"/>
  <c r="AV13" i="35"/>
  <c r="AQ13" i="35"/>
  <c r="AL13" i="35"/>
  <c r="AG13" i="35"/>
  <c r="AF13" i="35"/>
  <c r="AZ13" i="35" s="1"/>
  <c r="BA12" i="35"/>
  <c r="AV12" i="35"/>
  <c r="AU12" i="35"/>
  <c r="AQ12" i="35"/>
  <c r="AL12" i="35"/>
  <c r="AK12" i="35"/>
  <c r="AG12" i="35"/>
  <c r="AF12" i="35"/>
  <c r="AZ12" i="35" s="1"/>
  <c r="BA11" i="35"/>
  <c r="AV11" i="35"/>
  <c r="AQ11" i="35"/>
  <c r="AL11" i="35"/>
  <c r="AG11" i="35"/>
  <c r="AF11" i="35"/>
  <c r="AZ11" i="35" s="1"/>
  <c r="BA10" i="35"/>
  <c r="AV10" i="35"/>
  <c r="AQ10" i="35"/>
  <c r="AL10" i="35"/>
  <c r="AF10" i="35"/>
  <c r="AZ10" i="35" s="1"/>
  <c r="BA9" i="35"/>
  <c r="AV9" i="35"/>
  <c r="AQ9" i="35"/>
  <c r="AL9" i="35"/>
  <c r="AG9" i="35"/>
  <c r="AF9" i="35"/>
  <c r="AZ9" i="35" s="1"/>
  <c r="BA8" i="35"/>
  <c r="AV8" i="35"/>
  <c r="AU8" i="35"/>
  <c r="AQ8" i="35"/>
  <c r="AL8" i="35"/>
  <c r="AK8" i="35"/>
  <c r="AG8" i="35"/>
  <c r="AF8" i="35"/>
  <c r="AZ8" i="35" s="1"/>
  <c r="BC7" i="35"/>
  <c r="V54" i="35" s="1"/>
  <c r="BB7" i="35"/>
  <c r="BA7" i="35"/>
  <c r="AX7" i="35"/>
  <c r="V51" i="35" s="1"/>
  <c r="AW7" i="35"/>
  <c r="AV7" i="35"/>
  <c r="AS7" i="35"/>
  <c r="V48" i="35" s="1"/>
  <c r="AR7" i="35"/>
  <c r="AQ7" i="35"/>
  <c r="AN7" i="35"/>
  <c r="V45" i="35" s="1"/>
  <c r="AM7" i="35"/>
  <c r="AL7" i="35"/>
  <c r="AI7" i="35"/>
  <c r="V42" i="35" s="1"/>
  <c r="AH7" i="35"/>
  <c r="AG7" i="35"/>
  <c r="AF16" i="35" s="1"/>
  <c r="AF7" i="35"/>
  <c r="AZ7" i="35" s="1"/>
  <c r="BC6" i="35"/>
  <c r="BB6" i="35"/>
  <c r="BA6" i="35"/>
  <c r="AX6" i="35"/>
  <c r="AW6" i="35"/>
  <c r="AV6" i="35"/>
  <c r="AS6" i="35"/>
  <c r="AR6" i="35"/>
  <c r="AQ6" i="35"/>
  <c r="AN6" i="35"/>
  <c r="AM6" i="35"/>
  <c r="AL6" i="35"/>
  <c r="AI6" i="35"/>
  <c r="AH6" i="35"/>
  <c r="AG6" i="35"/>
  <c r="AF6" i="35"/>
  <c r="AZ6" i="35" s="1"/>
  <c r="BC5" i="35"/>
  <c r="BB5" i="35"/>
  <c r="BA5" i="35"/>
  <c r="AX5" i="35"/>
  <c r="AW5" i="35"/>
  <c r="AV5" i="35"/>
  <c r="AS5" i="35"/>
  <c r="AR5" i="35"/>
  <c r="AQ5" i="35"/>
  <c r="AN5" i="35"/>
  <c r="AM5" i="35"/>
  <c r="AL5" i="35"/>
  <c r="AI5" i="35"/>
  <c r="AH5" i="35"/>
  <c r="AG5" i="35"/>
  <c r="AF5" i="35"/>
  <c r="AU5" i="35" s="1"/>
  <c r="BC4" i="35"/>
  <c r="BB4" i="35"/>
  <c r="BA4" i="35"/>
  <c r="AX4" i="35"/>
  <c r="AW4" i="35"/>
  <c r="AV4" i="35"/>
  <c r="AS4" i="35"/>
  <c r="AR4" i="35"/>
  <c r="AQ4" i="35"/>
  <c r="AN4" i="35"/>
  <c r="AM4" i="35"/>
  <c r="AL4" i="35"/>
  <c r="AI4" i="35"/>
  <c r="AH4" i="35"/>
  <c r="AG4" i="35"/>
  <c r="AF4" i="35"/>
  <c r="AZ4" i="35" s="1"/>
  <c r="AZ5" i="37" l="1"/>
  <c r="AU5" i="37"/>
  <c r="AP5" i="37"/>
  <c r="AK5" i="37"/>
  <c r="AK14" i="37"/>
  <c r="AZ14" i="37"/>
  <c r="AP14" i="37"/>
  <c r="AU14" i="37"/>
  <c r="AZ4" i="37"/>
  <c r="AU4" i="37"/>
  <c r="AP4" i="37"/>
  <c r="AK4" i="37"/>
  <c r="AZ13" i="37"/>
  <c r="AZ15" i="37"/>
  <c r="AZ20" i="37"/>
  <c r="AU20" i="37"/>
  <c r="AP20" i="37"/>
  <c r="AK20" i="37"/>
  <c r="AF12" i="37"/>
  <c r="AZ17" i="37"/>
  <c r="AU17" i="37"/>
  <c r="AP17" i="37"/>
  <c r="AK17" i="37"/>
  <c r="AZ18" i="37"/>
  <c r="AU18" i="37"/>
  <c r="AP18" i="37"/>
  <c r="AK18" i="37"/>
  <c r="AZ21" i="37"/>
  <c r="AU21" i="37"/>
  <c r="AP21" i="37"/>
  <c r="AK21" i="37"/>
  <c r="AU29" i="37"/>
  <c r="AZ29" i="37"/>
  <c r="AK29" i="37"/>
  <c r="AP29" i="37"/>
  <c r="AK6" i="37"/>
  <c r="AP6" i="37"/>
  <c r="AU6" i="37"/>
  <c r="AK7" i="37"/>
  <c r="AP7" i="37"/>
  <c r="AU7" i="37"/>
  <c r="AK8" i="37"/>
  <c r="AP8" i="37"/>
  <c r="AU8" i="37"/>
  <c r="AK9" i="37"/>
  <c r="AP9" i="37"/>
  <c r="AU9" i="37"/>
  <c r="AF10" i="37"/>
  <c r="AF11" i="37"/>
  <c r="AK13" i="37"/>
  <c r="AU13" i="37"/>
  <c r="AK15" i="37"/>
  <c r="AU15" i="37"/>
  <c r="AZ22" i="37"/>
  <c r="AU22" i="37"/>
  <c r="AP22" i="37"/>
  <c r="AK22" i="37"/>
  <c r="AU24" i="37"/>
  <c r="AZ24" i="37"/>
  <c r="AK24" i="37"/>
  <c r="AP24" i="37"/>
  <c r="AF16" i="37"/>
  <c r="AZ19" i="37"/>
  <c r="AU19" i="37"/>
  <c r="AP19" i="37"/>
  <c r="AK19" i="37"/>
  <c r="AZ23" i="37"/>
  <c r="AU23" i="37"/>
  <c r="AP23" i="37"/>
  <c r="AK23" i="37"/>
  <c r="AZ28" i="37"/>
  <c r="AZ30" i="37"/>
  <c r="AU30" i="37"/>
  <c r="AP30" i="37"/>
  <c r="AK30" i="37"/>
  <c r="AZ32" i="37"/>
  <c r="AU32" i="37"/>
  <c r="AP32" i="37"/>
  <c r="AK32" i="37"/>
  <c r="AZ34" i="37"/>
  <c r="AU34" i="37"/>
  <c r="AP34" i="37"/>
  <c r="AK34" i="37"/>
  <c r="AF37" i="37"/>
  <c r="AF25" i="37"/>
  <c r="AF27" i="37"/>
  <c r="AU28" i="37"/>
  <c r="AF36" i="37"/>
  <c r="AP28" i="37"/>
  <c r="AF31" i="37"/>
  <c r="AF33" i="37"/>
  <c r="AF35" i="37"/>
  <c r="AF26" i="37"/>
  <c r="AF38" i="37"/>
  <c r="AK10" i="35"/>
  <c r="AU10" i="35"/>
  <c r="AK4" i="35"/>
  <c r="AU4" i="35"/>
  <c r="AP5" i="35"/>
  <c r="AZ5" i="35"/>
  <c r="AK6" i="35"/>
  <c r="AU6" i="35"/>
  <c r="AK7" i="35"/>
  <c r="AP7" i="35"/>
  <c r="AU7" i="35"/>
  <c r="AP8" i="35"/>
  <c r="AK9" i="35"/>
  <c r="AU9" i="35"/>
  <c r="AP10" i="35"/>
  <c r="AK11" i="35"/>
  <c r="AU11" i="35"/>
  <c r="AP12" i="35"/>
  <c r="AK13" i="35"/>
  <c r="AU13" i="35"/>
  <c r="AP14" i="35"/>
  <c r="AP4" i="35"/>
  <c r="AK5" i="35"/>
  <c r="AP6" i="35"/>
  <c r="AZ16" i="35"/>
  <c r="AU16" i="35"/>
  <c r="AP16" i="35"/>
  <c r="AK16" i="35"/>
  <c r="AP9" i="35"/>
  <c r="AP11" i="35"/>
  <c r="AP13" i="35"/>
  <c r="AZ15" i="35"/>
  <c r="AU15" i="35"/>
  <c r="AP15" i="35"/>
  <c r="AZ25" i="35"/>
  <c r="AU25" i="35"/>
  <c r="AK25" i="35"/>
  <c r="AP25" i="35"/>
  <c r="AZ18" i="35"/>
  <c r="AU18" i="35"/>
  <c r="AP18" i="35"/>
  <c r="AK18" i="35"/>
  <c r="AZ27" i="35"/>
  <c r="AP27" i="35"/>
  <c r="AU27" i="35"/>
  <c r="AK27" i="35"/>
  <c r="AZ28" i="35"/>
  <c r="AU28" i="35"/>
  <c r="AP28" i="35"/>
  <c r="AK28" i="35"/>
  <c r="AZ29" i="35"/>
  <c r="AU29" i="35"/>
  <c r="AP29" i="35"/>
  <c r="AK29" i="35"/>
  <c r="AZ38" i="35"/>
  <c r="AU38" i="35"/>
  <c r="AP38" i="35"/>
  <c r="AK38" i="35"/>
  <c r="AK17" i="35"/>
  <c r="AP17" i="35"/>
  <c r="AU17" i="35"/>
  <c r="AF30" i="35"/>
  <c r="AF32" i="35"/>
  <c r="AF34" i="35"/>
  <c r="AZ37" i="35"/>
  <c r="AU37" i="35"/>
  <c r="AP37" i="35"/>
  <c r="AK37" i="35"/>
  <c r="AF19" i="35"/>
  <c r="AF20" i="35"/>
  <c r="AF21" i="35"/>
  <c r="AF22" i="35"/>
  <c r="AF23" i="35"/>
  <c r="AF24" i="35"/>
  <c r="AZ26" i="35"/>
  <c r="AU26" i="35"/>
  <c r="AP26" i="35"/>
  <c r="AK26" i="35"/>
  <c r="AZ36" i="35"/>
  <c r="AU36" i="35"/>
  <c r="AP36" i="35"/>
  <c r="AK36" i="35"/>
  <c r="AF31" i="35"/>
  <c r="AF33" i="35"/>
  <c r="AZ35" i="35"/>
  <c r="AU35" i="35"/>
  <c r="AP35" i="35"/>
  <c r="AK35" i="35"/>
  <c r="H17" i="9"/>
  <c r="H16" i="9"/>
  <c r="AZ36" i="37" l="1"/>
  <c r="AU36" i="37"/>
  <c r="AP36" i="37"/>
  <c r="AK36" i="37"/>
  <c r="AZ33" i="37"/>
  <c r="AU33" i="37"/>
  <c r="AP33" i="37"/>
  <c r="AK33" i="37"/>
  <c r="AU12" i="37"/>
  <c r="AZ12" i="37"/>
  <c r="AP12" i="37"/>
  <c r="AK12" i="37"/>
  <c r="AZ37" i="37"/>
  <c r="AU37" i="37"/>
  <c r="AP37" i="37"/>
  <c r="AK37" i="37"/>
  <c r="AZ10" i="37"/>
  <c r="AU10" i="37"/>
  <c r="AP10" i="37"/>
  <c r="AK10" i="37"/>
  <c r="AZ31" i="37"/>
  <c r="AU31" i="37"/>
  <c r="AP31" i="37"/>
  <c r="AK31" i="37"/>
  <c r="AZ16" i="37"/>
  <c r="AU16" i="37"/>
  <c r="AP16" i="37"/>
  <c r="AK16" i="37"/>
  <c r="AZ35" i="37"/>
  <c r="AU35" i="37"/>
  <c r="AP35" i="37"/>
  <c r="AK35" i="37"/>
  <c r="AZ38" i="37"/>
  <c r="AU38" i="37"/>
  <c r="AP38" i="37"/>
  <c r="AK38" i="37"/>
  <c r="AZ27" i="37"/>
  <c r="AU27" i="37"/>
  <c r="AP27" i="37"/>
  <c r="AK27" i="37"/>
  <c r="AZ26" i="37"/>
  <c r="AU26" i="37"/>
  <c r="AP26" i="37"/>
  <c r="AK26" i="37"/>
  <c r="AP25" i="37"/>
  <c r="AU25" i="37"/>
  <c r="AZ25" i="37"/>
  <c r="AK25" i="37"/>
  <c r="AZ11" i="37"/>
  <c r="AU11" i="37"/>
  <c r="AP11" i="37"/>
  <c r="AK11" i="37"/>
  <c r="AZ24" i="35"/>
  <c r="AK24" i="35"/>
  <c r="AP24" i="35"/>
  <c r="AU24" i="35"/>
  <c r="AZ20" i="35"/>
  <c r="AU20" i="35"/>
  <c r="AP20" i="35"/>
  <c r="AK20" i="35"/>
  <c r="AZ30" i="35"/>
  <c r="AU30" i="35"/>
  <c r="AP30" i="35"/>
  <c r="AK30" i="35"/>
  <c r="AZ23" i="35"/>
  <c r="AU23" i="35"/>
  <c r="AP23" i="35"/>
  <c r="AK23" i="35"/>
  <c r="AZ19" i="35"/>
  <c r="AU19" i="35"/>
  <c r="AP19" i="35"/>
  <c r="AK19" i="35"/>
  <c r="AZ33" i="35"/>
  <c r="AU33" i="35"/>
  <c r="AP33" i="35"/>
  <c r="AK33" i="35"/>
  <c r="AZ22" i="35"/>
  <c r="AU22" i="35"/>
  <c r="AP22" i="35"/>
  <c r="AK22" i="35"/>
  <c r="AZ34" i="35"/>
  <c r="AU34" i="35"/>
  <c r="AP34" i="35"/>
  <c r="AK34" i="35"/>
  <c r="AZ31" i="35"/>
  <c r="AU31" i="35"/>
  <c r="AP31" i="35"/>
  <c r="AK31" i="35"/>
  <c r="AZ21" i="35"/>
  <c r="AU21" i="35"/>
  <c r="AP21" i="35"/>
  <c r="AK21" i="35"/>
  <c r="AZ32" i="35"/>
  <c r="AU32" i="35"/>
  <c r="AP32" i="35"/>
  <c r="AK32" i="35"/>
  <c r="S25" i="34"/>
  <c r="S28" i="34" s="1"/>
  <c r="T24" i="34"/>
  <c r="T27" i="34" s="1"/>
  <c r="V19" i="34"/>
  <c r="S19" i="34"/>
  <c r="S22" i="34" s="1"/>
  <c r="W18" i="34"/>
  <c r="W21" i="34" s="1"/>
  <c r="T18" i="34"/>
  <c r="T20" i="34" s="1"/>
  <c r="S16" i="34"/>
  <c r="T15" i="34"/>
  <c r="S15" i="34"/>
  <c r="T14" i="34"/>
  <c r="V13" i="34"/>
  <c r="S13" i="34"/>
  <c r="S14" i="34" s="1"/>
  <c r="W12" i="34"/>
  <c r="W15" i="34" s="1"/>
  <c r="P18" i="34"/>
  <c r="P21" i="34" s="1"/>
  <c r="Q17" i="34"/>
  <c r="Q20" i="34"/>
  <c r="Q19" i="34"/>
  <c r="M18" i="34"/>
  <c r="M21" i="34" s="1"/>
  <c r="N17" i="34"/>
  <c r="N20" i="34" s="1"/>
  <c r="M15" i="34"/>
  <c r="N14" i="34"/>
  <c r="M14" i="34"/>
  <c r="N13" i="34"/>
  <c r="P12" i="34"/>
  <c r="P15" i="34" s="1"/>
  <c r="M12" i="34"/>
  <c r="M13" i="34" s="1"/>
  <c r="Q11" i="34"/>
  <c r="Q14" i="34" s="1"/>
  <c r="H17" i="34"/>
  <c r="H19" i="34" s="1"/>
  <c r="G18" i="34"/>
  <c r="G21" i="34" s="1"/>
  <c r="H20" i="34"/>
  <c r="G15" i="34"/>
  <c r="H14" i="34"/>
  <c r="G14" i="34"/>
  <c r="H13" i="34"/>
  <c r="J12" i="34"/>
  <c r="G12" i="34"/>
  <c r="G13" i="34" s="1"/>
  <c r="K11" i="34"/>
  <c r="K14" i="34" s="1"/>
  <c r="E10" i="34"/>
  <c r="E13" i="34" s="1"/>
  <c r="D11" i="34"/>
  <c r="D14" i="34" s="1"/>
  <c r="A14" i="34"/>
  <c r="B13" i="34"/>
  <c r="A13" i="34"/>
  <c r="B12" i="34"/>
  <c r="A11" i="34"/>
  <c r="A12" i="34" s="1"/>
  <c r="F16" i="2"/>
  <c r="F19" i="2"/>
  <c r="F77" i="2" s="1"/>
  <c r="C70" i="2"/>
  <c r="C70" i="9"/>
  <c r="F16" i="9"/>
  <c r="C70" i="16"/>
  <c r="E16" i="16"/>
  <c r="D16" i="23"/>
  <c r="C70" i="23"/>
  <c r="C288" i="33"/>
  <c r="C289" i="33"/>
  <c r="C290" i="33"/>
  <c r="C291" i="33"/>
  <c r="C292" i="33"/>
  <c r="C293" i="33"/>
  <c r="C294" i="33"/>
  <c r="C295" i="33"/>
  <c r="C296" i="33"/>
  <c r="C297" i="33"/>
  <c r="C298" i="33"/>
  <c r="C299" i="33"/>
  <c r="C300" i="33"/>
  <c r="C301" i="33"/>
  <c r="C302" i="33"/>
  <c r="C260" i="33"/>
  <c r="C261" i="33"/>
  <c r="C262" i="33"/>
  <c r="C263" i="33"/>
  <c r="C264" i="33"/>
  <c r="C265" i="33"/>
  <c r="C266" i="33"/>
  <c r="C267" i="33"/>
  <c r="C268" i="33"/>
  <c r="C269" i="33"/>
  <c r="C270" i="33"/>
  <c r="C271" i="33"/>
  <c r="C272" i="33"/>
  <c r="C273" i="33"/>
  <c r="C274" i="33"/>
  <c r="C275" i="33"/>
  <c r="C276" i="33"/>
  <c r="C277" i="33"/>
  <c r="C278" i="33"/>
  <c r="C279" i="33"/>
  <c r="C280" i="33"/>
  <c r="C281" i="33"/>
  <c r="C282" i="33"/>
  <c r="C283" i="33"/>
  <c r="C284" i="33"/>
  <c r="C285" i="33"/>
  <c r="C286" i="33"/>
  <c r="C287" i="33"/>
  <c r="C233" i="33"/>
  <c r="C234" i="33"/>
  <c r="C235" i="33"/>
  <c r="C236" i="33"/>
  <c r="C237" i="33"/>
  <c r="C238" i="33"/>
  <c r="C239" i="33"/>
  <c r="C240" i="33"/>
  <c r="C241" i="33"/>
  <c r="C242" i="33"/>
  <c r="C243" i="33"/>
  <c r="C244" i="33"/>
  <c r="C245" i="33"/>
  <c r="C246" i="33"/>
  <c r="C247" i="33"/>
  <c r="C248" i="33"/>
  <c r="C249" i="33"/>
  <c r="C250" i="33"/>
  <c r="C251" i="33"/>
  <c r="C252" i="33"/>
  <c r="C253" i="33"/>
  <c r="C254" i="33"/>
  <c r="C255" i="33"/>
  <c r="C256" i="33"/>
  <c r="C257" i="33"/>
  <c r="C258" i="33"/>
  <c r="C259" i="33"/>
  <c r="C206" i="33"/>
  <c r="C207" i="33"/>
  <c r="C208" i="33"/>
  <c r="C209" i="33"/>
  <c r="C210" i="33"/>
  <c r="C211" i="33"/>
  <c r="C212" i="33"/>
  <c r="C213" i="33"/>
  <c r="C214" i="33"/>
  <c r="C215" i="33"/>
  <c r="C216" i="33"/>
  <c r="C217" i="33"/>
  <c r="C218" i="33"/>
  <c r="C219" i="33"/>
  <c r="C220" i="33"/>
  <c r="C221" i="33"/>
  <c r="C222" i="33"/>
  <c r="C223" i="33"/>
  <c r="C224" i="33"/>
  <c r="C225" i="33"/>
  <c r="C226" i="33"/>
  <c r="C227" i="33"/>
  <c r="C228" i="33"/>
  <c r="C229" i="33"/>
  <c r="C230" i="33"/>
  <c r="C231" i="33"/>
  <c r="C232" i="33"/>
  <c r="C182" i="33"/>
  <c r="C183" i="33"/>
  <c r="C184" i="33"/>
  <c r="C185" i="33"/>
  <c r="C186" i="33"/>
  <c r="C187" i="33"/>
  <c r="C188" i="33"/>
  <c r="C189" i="33"/>
  <c r="C190" i="33"/>
  <c r="C191" i="33"/>
  <c r="C192" i="33"/>
  <c r="C193" i="33"/>
  <c r="C194" i="33"/>
  <c r="C195" i="33"/>
  <c r="C196" i="33"/>
  <c r="C197" i="33"/>
  <c r="C198" i="33"/>
  <c r="C199" i="33"/>
  <c r="C200" i="33"/>
  <c r="C201" i="33"/>
  <c r="C202" i="33"/>
  <c r="C203" i="33"/>
  <c r="C204" i="33"/>
  <c r="C205" i="33"/>
  <c r="C158" i="33"/>
  <c r="C159" i="33"/>
  <c r="C160" i="33"/>
  <c r="C161" i="33"/>
  <c r="C162" i="33"/>
  <c r="C163" i="33"/>
  <c r="C164" i="33"/>
  <c r="C165" i="33"/>
  <c r="C166" i="33"/>
  <c r="C167" i="33"/>
  <c r="C168" i="33"/>
  <c r="C169" i="33"/>
  <c r="C170" i="33"/>
  <c r="C171" i="33"/>
  <c r="C172" i="33"/>
  <c r="C173" i="33"/>
  <c r="C174" i="33"/>
  <c r="C175" i="33"/>
  <c r="C176" i="33"/>
  <c r="C177" i="33"/>
  <c r="C178" i="33"/>
  <c r="C179" i="33"/>
  <c r="C180" i="33"/>
  <c r="C181" i="33"/>
  <c r="C131" i="33"/>
  <c r="C132" i="33"/>
  <c r="C133" i="33"/>
  <c r="C134" i="33"/>
  <c r="C135" i="33"/>
  <c r="C136" i="33"/>
  <c r="C137" i="33"/>
  <c r="C138" i="33"/>
  <c r="C139" i="33"/>
  <c r="C140" i="33"/>
  <c r="C141" i="33"/>
  <c r="C142" i="33"/>
  <c r="C143" i="33"/>
  <c r="C144" i="33"/>
  <c r="C145" i="33"/>
  <c r="C146" i="33"/>
  <c r="C147" i="33"/>
  <c r="C148" i="33"/>
  <c r="C149" i="33"/>
  <c r="C150" i="33"/>
  <c r="C151" i="33"/>
  <c r="C152" i="33"/>
  <c r="C153" i="33"/>
  <c r="C154" i="33"/>
  <c r="C155" i="33"/>
  <c r="C156" i="33"/>
  <c r="C157" i="33"/>
  <c r="C104" i="33"/>
  <c r="C105" i="33"/>
  <c r="C106" i="33"/>
  <c r="C107" i="33"/>
  <c r="C108" i="33"/>
  <c r="C109" i="33"/>
  <c r="C110" i="33"/>
  <c r="C111" i="33"/>
  <c r="C112" i="33"/>
  <c r="C113" i="33"/>
  <c r="C114" i="33"/>
  <c r="C115" i="33"/>
  <c r="C116" i="33"/>
  <c r="C117" i="33"/>
  <c r="C118" i="33"/>
  <c r="C119" i="33"/>
  <c r="C120" i="33"/>
  <c r="C121" i="33"/>
  <c r="C122" i="33"/>
  <c r="C123" i="33"/>
  <c r="C124" i="33"/>
  <c r="C125" i="33"/>
  <c r="C126" i="33"/>
  <c r="C127" i="33"/>
  <c r="C128" i="33"/>
  <c r="C129" i="33"/>
  <c r="C130" i="33"/>
  <c r="C77" i="33"/>
  <c r="C78" i="33"/>
  <c r="C79" i="33"/>
  <c r="C80" i="33"/>
  <c r="C81" i="33"/>
  <c r="C82" i="33"/>
  <c r="C83" i="33"/>
  <c r="C84" i="33"/>
  <c r="C85" i="33"/>
  <c r="C86" i="33"/>
  <c r="C87" i="33"/>
  <c r="C88" i="33"/>
  <c r="C89" i="33"/>
  <c r="C90" i="33"/>
  <c r="C91" i="33"/>
  <c r="C92" i="33"/>
  <c r="C93" i="33"/>
  <c r="C94" i="33"/>
  <c r="C95" i="33"/>
  <c r="C96" i="33"/>
  <c r="C97" i="33"/>
  <c r="C98" i="33"/>
  <c r="C99" i="33"/>
  <c r="C100" i="33"/>
  <c r="C101" i="33"/>
  <c r="C102" i="33"/>
  <c r="C103" i="33"/>
  <c r="C56" i="33"/>
  <c r="C57" i="33"/>
  <c r="C58" i="33"/>
  <c r="C59" i="33"/>
  <c r="C60" i="33"/>
  <c r="C61" i="33"/>
  <c r="C62" i="33"/>
  <c r="C63" i="33"/>
  <c r="C64" i="33"/>
  <c r="C65" i="33"/>
  <c r="C66" i="33"/>
  <c r="C67" i="33"/>
  <c r="C68" i="33"/>
  <c r="C69" i="33"/>
  <c r="C70" i="33"/>
  <c r="C71" i="33"/>
  <c r="C72" i="33"/>
  <c r="C73" i="33"/>
  <c r="C74" i="33"/>
  <c r="C75" i="33"/>
  <c r="C76" i="33"/>
  <c r="C31" i="33"/>
  <c r="C32" i="33"/>
  <c r="C33" i="33"/>
  <c r="C34" i="33"/>
  <c r="C35" i="33"/>
  <c r="C36" i="33"/>
  <c r="C37" i="33"/>
  <c r="C38" i="33"/>
  <c r="C39" i="33"/>
  <c r="C40" i="33"/>
  <c r="C41" i="33"/>
  <c r="C42" i="33"/>
  <c r="C43" i="33"/>
  <c r="C44" i="33"/>
  <c r="C45" i="33"/>
  <c r="C46" i="33"/>
  <c r="C47" i="33"/>
  <c r="C48" i="33"/>
  <c r="C49" i="33"/>
  <c r="C50" i="33"/>
  <c r="C51" i="33"/>
  <c r="C52" i="33"/>
  <c r="C53" i="33"/>
  <c r="C54" i="33"/>
  <c r="C55" i="33"/>
  <c r="C6" i="33"/>
  <c r="F18" i="2" s="1"/>
  <c r="C7" i="33"/>
  <c r="C8" i="33"/>
  <c r="C9" i="33"/>
  <c r="C10" i="33"/>
  <c r="C11" i="33"/>
  <c r="C12" i="33"/>
  <c r="C13" i="33"/>
  <c r="C14" i="33"/>
  <c r="C15" i="33"/>
  <c r="C16" i="33"/>
  <c r="C17" i="33"/>
  <c r="C18" i="33"/>
  <c r="C19" i="33"/>
  <c r="C20" i="33"/>
  <c r="C21" i="33"/>
  <c r="C22" i="33"/>
  <c r="C23" i="33"/>
  <c r="C24" i="33"/>
  <c r="C25" i="33"/>
  <c r="C26" i="33"/>
  <c r="C27" i="33"/>
  <c r="C28" i="33"/>
  <c r="C29" i="33"/>
  <c r="C30" i="33"/>
  <c r="C5" i="33"/>
  <c r="D10" i="32"/>
  <c r="D16" i="32"/>
  <c r="D18" i="32"/>
  <c r="D22" i="32"/>
  <c r="D30" i="32"/>
  <c r="D42" i="32"/>
  <c r="D44" i="32"/>
  <c r="D46" i="32"/>
  <c r="D50" i="32"/>
  <c r="D54" i="32"/>
  <c r="D66" i="32"/>
  <c r="D68" i="32"/>
  <c r="D70" i="32"/>
  <c r="D74" i="32"/>
  <c r="D78" i="32"/>
  <c r="D90" i="32"/>
  <c r="D96" i="32"/>
  <c r="D98" i="32"/>
  <c r="D102" i="32"/>
  <c r="D106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E91" i="32"/>
  <c r="D91" i="32" s="1"/>
  <c r="E92" i="32"/>
  <c r="D92" i="32" s="1"/>
  <c r="E93" i="32"/>
  <c r="D93" i="32" s="1"/>
  <c r="E94" i="32"/>
  <c r="D94" i="32" s="1"/>
  <c r="E95" i="32"/>
  <c r="D95" i="32" s="1"/>
  <c r="E96" i="32"/>
  <c r="E97" i="32"/>
  <c r="D97" i="32" s="1"/>
  <c r="E98" i="32"/>
  <c r="E99" i="32"/>
  <c r="D99" i="32" s="1"/>
  <c r="E100" i="32"/>
  <c r="D100" i="32" s="1"/>
  <c r="E101" i="32"/>
  <c r="D101" i="32" s="1"/>
  <c r="E102" i="32"/>
  <c r="E103" i="32"/>
  <c r="D103" i="32" s="1"/>
  <c r="E104" i="32"/>
  <c r="D104" i="32" s="1"/>
  <c r="E105" i="32"/>
  <c r="D105" i="32" s="1"/>
  <c r="E106" i="32"/>
  <c r="E107" i="32"/>
  <c r="D107" i="32" s="1"/>
  <c r="E108" i="32"/>
  <c r="D108" i="32" s="1"/>
  <c r="E109" i="32"/>
  <c r="D109" i="32" s="1"/>
  <c r="E110" i="32"/>
  <c r="D110" i="32" s="1"/>
  <c r="E111" i="32"/>
  <c r="D111" i="32" s="1"/>
  <c r="C102" i="32"/>
  <c r="C103" i="32"/>
  <c r="C104" i="32"/>
  <c r="C105" i="32"/>
  <c r="C106" i="32"/>
  <c r="C107" i="32"/>
  <c r="C108" i="32"/>
  <c r="C109" i="32"/>
  <c r="C110" i="32"/>
  <c r="C111" i="32"/>
  <c r="E82" i="32"/>
  <c r="D82" i="32" s="1"/>
  <c r="F82" i="32"/>
  <c r="E83" i="32"/>
  <c r="D83" i="32" s="1"/>
  <c r="F83" i="32"/>
  <c r="E84" i="32"/>
  <c r="D84" i="32" s="1"/>
  <c r="F84" i="32"/>
  <c r="E85" i="32"/>
  <c r="D85" i="32" s="1"/>
  <c r="F85" i="32"/>
  <c r="E86" i="32"/>
  <c r="D86" i="32" s="1"/>
  <c r="F86" i="32"/>
  <c r="E87" i="32"/>
  <c r="D87" i="32" s="1"/>
  <c r="F87" i="32"/>
  <c r="E88" i="32"/>
  <c r="D88" i="32" s="1"/>
  <c r="F88" i="32"/>
  <c r="E89" i="32"/>
  <c r="D89" i="32" s="1"/>
  <c r="F89" i="32"/>
  <c r="E90" i="32"/>
  <c r="F90" i="32"/>
  <c r="E73" i="32"/>
  <c r="D73" i="32" s="1"/>
  <c r="F73" i="32"/>
  <c r="E74" i="32"/>
  <c r="F74" i="32"/>
  <c r="E75" i="32"/>
  <c r="D75" i="32" s="1"/>
  <c r="F75" i="32"/>
  <c r="E76" i="32"/>
  <c r="D76" i="32" s="1"/>
  <c r="F76" i="32"/>
  <c r="E77" i="32"/>
  <c r="D77" i="32" s="1"/>
  <c r="F77" i="32"/>
  <c r="E78" i="32"/>
  <c r="F78" i="32"/>
  <c r="E79" i="32"/>
  <c r="D79" i="32" s="1"/>
  <c r="F79" i="32"/>
  <c r="E80" i="32"/>
  <c r="D80" i="32" s="1"/>
  <c r="F80" i="32"/>
  <c r="E81" i="32"/>
  <c r="D81" i="32" s="1"/>
  <c r="F81" i="32"/>
  <c r="E64" i="32"/>
  <c r="D64" i="32" s="1"/>
  <c r="F64" i="32"/>
  <c r="E65" i="32"/>
  <c r="D65" i="32" s="1"/>
  <c r="F65" i="32"/>
  <c r="E66" i="32"/>
  <c r="F66" i="32"/>
  <c r="E67" i="32"/>
  <c r="D67" i="32" s="1"/>
  <c r="F67" i="32"/>
  <c r="E68" i="32"/>
  <c r="F68" i="32"/>
  <c r="E69" i="32"/>
  <c r="D69" i="32" s="1"/>
  <c r="F69" i="32"/>
  <c r="E70" i="32"/>
  <c r="F70" i="32"/>
  <c r="E71" i="32"/>
  <c r="D71" i="32" s="1"/>
  <c r="F71" i="32"/>
  <c r="E72" i="32"/>
  <c r="D72" i="32" s="1"/>
  <c r="F72" i="32"/>
  <c r="E55" i="32"/>
  <c r="D55" i="32" s="1"/>
  <c r="F55" i="32"/>
  <c r="E56" i="32"/>
  <c r="D56" i="32" s="1"/>
  <c r="F56" i="32"/>
  <c r="E57" i="32"/>
  <c r="D57" i="32" s="1"/>
  <c r="F57" i="32"/>
  <c r="E58" i="32"/>
  <c r="D58" i="32" s="1"/>
  <c r="F58" i="32"/>
  <c r="E59" i="32"/>
  <c r="D59" i="32" s="1"/>
  <c r="F59" i="32"/>
  <c r="E60" i="32"/>
  <c r="D60" i="32" s="1"/>
  <c r="F60" i="32"/>
  <c r="E61" i="32"/>
  <c r="D61" i="32" s="1"/>
  <c r="F61" i="32"/>
  <c r="E62" i="32"/>
  <c r="D62" i="32" s="1"/>
  <c r="F62" i="32"/>
  <c r="E63" i="32"/>
  <c r="D63" i="32" s="1"/>
  <c r="F63" i="32"/>
  <c r="E47" i="32"/>
  <c r="D47" i="32" s="1"/>
  <c r="F47" i="32"/>
  <c r="E48" i="32"/>
  <c r="D48" i="32" s="1"/>
  <c r="F48" i="32"/>
  <c r="E49" i="32"/>
  <c r="D49" i="32" s="1"/>
  <c r="F49" i="32"/>
  <c r="E50" i="32"/>
  <c r="F50" i="32"/>
  <c r="E51" i="32"/>
  <c r="D51" i="32" s="1"/>
  <c r="F51" i="32"/>
  <c r="E52" i="32"/>
  <c r="D52" i="32" s="1"/>
  <c r="F52" i="32"/>
  <c r="E53" i="32"/>
  <c r="D53" i="32" s="1"/>
  <c r="F53" i="32"/>
  <c r="E54" i="32"/>
  <c r="F54" i="32"/>
  <c r="E46" i="32"/>
  <c r="F46" i="32"/>
  <c r="E38" i="32"/>
  <c r="D38" i="32" s="1"/>
  <c r="F38" i="32"/>
  <c r="E39" i="32"/>
  <c r="D39" i="32" s="1"/>
  <c r="F39" i="32"/>
  <c r="E40" i="32"/>
  <c r="D40" i="32" s="1"/>
  <c r="F40" i="32"/>
  <c r="E41" i="32"/>
  <c r="D41" i="32" s="1"/>
  <c r="F41" i="32"/>
  <c r="E42" i="32"/>
  <c r="F42" i="32"/>
  <c r="E43" i="32"/>
  <c r="D43" i="32" s="1"/>
  <c r="F43" i="32"/>
  <c r="E44" i="32"/>
  <c r="F44" i="32"/>
  <c r="E45" i="32"/>
  <c r="D45" i="32" s="1"/>
  <c r="F45" i="32"/>
  <c r="E37" i="32"/>
  <c r="D37" i="32" s="1"/>
  <c r="F37" i="32"/>
  <c r="E29" i="32"/>
  <c r="D29" i="32" s="1"/>
  <c r="F29" i="32"/>
  <c r="E30" i="32"/>
  <c r="F30" i="32"/>
  <c r="E31" i="32"/>
  <c r="D31" i="32" s="1"/>
  <c r="F31" i="32"/>
  <c r="E32" i="32"/>
  <c r="D32" i="32" s="1"/>
  <c r="F32" i="32"/>
  <c r="E33" i="32"/>
  <c r="D33" i="32" s="1"/>
  <c r="F33" i="32"/>
  <c r="E34" i="32"/>
  <c r="D34" i="32" s="1"/>
  <c r="F34" i="32"/>
  <c r="E35" i="32"/>
  <c r="D35" i="32" s="1"/>
  <c r="F35" i="32"/>
  <c r="E36" i="32"/>
  <c r="D36" i="32" s="1"/>
  <c r="F36" i="32"/>
  <c r="E28" i="32"/>
  <c r="D28" i="32" s="1"/>
  <c r="F28" i="32"/>
  <c r="E17" i="32"/>
  <c r="D17" i="32" s="1"/>
  <c r="F17" i="32"/>
  <c r="E18" i="32"/>
  <c r="F18" i="32"/>
  <c r="E19" i="32"/>
  <c r="D19" i="32" s="1"/>
  <c r="F19" i="32"/>
  <c r="E20" i="32"/>
  <c r="D20" i="32" s="1"/>
  <c r="F20" i="32"/>
  <c r="E21" i="32"/>
  <c r="D21" i="32" s="1"/>
  <c r="F21" i="32"/>
  <c r="E22" i="32"/>
  <c r="F22" i="32"/>
  <c r="E23" i="32"/>
  <c r="D23" i="32" s="1"/>
  <c r="F23" i="32"/>
  <c r="E24" i="32"/>
  <c r="D24" i="32" s="1"/>
  <c r="F24" i="32"/>
  <c r="E25" i="32"/>
  <c r="D25" i="32" s="1"/>
  <c r="F25" i="32"/>
  <c r="E26" i="32"/>
  <c r="D26" i="32" s="1"/>
  <c r="F26" i="32"/>
  <c r="E27" i="32"/>
  <c r="D27" i="32" s="1"/>
  <c r="F27" i="32"/>
  <c r="E16" i="32"/>
  <c r="F16" i="32"/>
  <c r="C16" i="32"/>
  <c r="C17" i="32"/>
  <c r="C18" i="32"/>
  <c r="C19" i="32"/>
  <c r="C20" i="32"/>
  <c r="C21" i="32"/>
  <c r="C22" i="32"/>
  <c r="C23" i="32"/>
  <c r="C24" i="32"/>
  <c r="C25" i="32"/>
  <c r="E15" i="32"/>
  <c r="D15" i="32" s="1"/>
  <c r="F15" i="32"/>
  <c r="E14" i="32"/>
  <c r="D14" i="32" s="1"/>
  <c r="F14" i="32"/>
  <c r="E13" i="32"/>
  <c r="D13" i="32" s="1"/>
  <c r="F13" i="32"/>
  <c r="E12" i="32"/>
  <c r="D12" i="32" s="1"/>
  <c r="F12" i="32"/>
  <c r="E11" i="32"/>
  <c r="D11" i="32" s="1"/>
  <c r="F11" i="32"/>
  <c r="E10" i="32"/>
  <c r="F10" i="32"/>
  <c r="F5" i="32"/>
  <c r="F6" i="32"/>
  <c r="F7" i="32"/>
  <c r="F8" i="32"/>
  <c r="F9" i="32"/>
  <c r="F4" i="32"/>
  <c r="E5" i="32"/>
  <c r="D5" i="32" s="1"/>
  <c r="E6" i="32"/>
  <c r="D6" i="32" s="1"/>
  <c r="E7" i="32"/>
  <c r="D7" i="32" s="1"/>
  <c r="E8" i="32"/>
  <c r="D8" i="32" s="1"/>
  <c r="E9" i="32"/>
  <c r="D9" i="32" s="1"/>
  <c r="E4" i="32"/>
  <c r="D4" i="32" s="1"/>
  <c r="C5" i="32"/>
  <c r="C6" i="32"/>
  <c r="C7" i="32"/>
  <c r="C8" i="32"/>
  <c r="C9" i="32"/>
  <c r="C10" i="32"/>
  <c r="C11" i="32"/>
  <c r="C12" i="32"/>
  <c r="C13" i="32"/>
  <c r="C14" i="32"/>
  <c r="C15" i="32"/>
  <c r="C26" i="32"/>
  <c r="C27" i="32"/>
  <c r="C28" i="32"/>
  <c r="C29" i="32"/>
  <c r="C30" i="32"/>
  <c r="C31" i="32"/>
  <c r="C32" i="32"/>
  <c r="C33" i="32"/>
  <c r="C34" i="32"/>
  <c r="C35" i="32"/>
  <c r="C36" i="32"/>
  <c r="C37" i="32"/>
  <c r="C38" i="32"/>
  <c r="C39" i="32"/>
  <c r="C40" i="32"/>
  <c r="C41" i="32"/>
  <c r="C42" i="32"/>
  <c r="C43" i="32"/>
  <c r="C44" i="32"/>
  <c r="C45" i="32"/>
  <c r="C46" i="32"/>
  <c r="C47" i="32"/>
  <c r="C48" i="32"/>
  <c r="C49" i="32"/>
  <c r="C50" i="32"/>
  <c r="C51" i="32"/>
  <c r="C52" i="32"/>
  <c r="C53" i="32"/>
  <c r="C54" i="32"/>
  <c r="C55" i="32"/>
  <c r="C56" i="32"/>
  <c r="C57" i="32"/>
  <c r="C58" i="32"/>
  <c r="C59" i="32"/>
  <c r="C60" i="32"/>
  <c r="C61" i="32"/>
  <c r="C62" i="32"/>
  <c r="C63" i="32"/>
  <c r="C64" i="32"/>
  <c r="C65" i="32"/>
  <c r="C66" i="32"/>
  <c r="C67" i="32"/>
  <c r="C68" i="32"/>
  <c r="C69" i="32"/>
  <c r="C70" i="32"/>
  <c r="C71" i="32"/>
  <c r="C72" i="32"/>
  <c r="C73" i="32"/>
  <c r="C74" i="32"/>
  <c r="C75" i="32"/>
  <c r="C76" i="32"/>
  <c r="C77" i="32"/>
  <c r="C78" i="32"/>
  <c r="C79" i="32"/>
  <c r="C80" i="32"/>
  <c r="C81" i="32"/>
  <c r="C82" i="32"/>
  <c r="C83" i="32"/>
  <c r="C84" i="32"/>
  <c r="C85" i="32"/>
  <c r="C86" i="32"/>
  <c r="C87" i="32"/>
  <c r="C88" i="32"/>
  <c r="C89" i="32"/>
  <c r="C90" i="32"/>
  <c r="C91" i="32"/>
  <c r="C92" i="32"/>
  <c r="C93" i="32"/>
  <c r="C94" i="32"/>
  <c r="C95" i="32"/>
  <c r="C96" i="32"/>
  <c r="C97" i="32"/>
  <c r="C98" i="32"/>
  <c r="C99" i="32"/>
  <c r="C100" i="32"/>
  <c r="C101" i="32"/>
  <c r="C4" i="32"/>
  <c r="T26" i="34" l="1"/>
  <c r="F19" i="9"/>
  <c r="C77" i="9" s="1"/>
  <c r="F18" i="9"/>
  <c r="F19" i="16"/>
  <c r="H77" i="16" s="1"/>
  <c r="G19" i="23"/>
  <c r="H80" i="23" s="1"/>
  <c r="H21" i="28" s="1"/>
  <c r="E19" i="23"/>
  <c r="H77" i="23" s="1"/>
  <c r="H18" i="28" s="1"/>
  <c r="G18" i="23"/>
  <c r="E18" i="23"/>
  <c r="D19" i="16"/>
  <c r="E18" i="9"/>
  <c r="G19" i="9"/>
  <c r="H77" i="9" s="1"/>
  <c r="G18" i="9"/>
  <c r="G19" i="16"/>
  <c r="C80" i="16" s="1"/>
  <c r="E19" i="16"/>
  <c r="C77" i="16" s="1"/>
  <c r="F19" i="23"/>
  <c r="C80" i="23" s="1"/>
  <c r="D19" i="23"/>
  <c r="C77" i="23" s="1"/>
  <c r="C18" i="24" s="1"/>
  <c r="F18" i="23"/>
  <c r="D18" i="23"/>
  <c r="E12" i="34"/>
  <c r="P13" i="34"/>
  <c r="D12" i="34"/>
  <c r="D13" i="34"/>
  <c r="G20" i="34"/>
  <c r="P14" i="34"/>
  <c r="G19" i="34"/>
  <c r="S26" i="34"/>
  <c r="S27" i="34"/>
  <c r="V15" i="34"/>
  <c r="V21" i="34"/>
  <c r="T21" i="34"/>
  <c r="W14" i="34"/>
  <c r="V16" i="34"/>
  <c r="W20" i="34"/>
  <c r="V22" i="34"/>
  <c r="V14" i="34"/>
  <c r="S20" i="34"/>
  <c r="V20" i="34"/>
  <c r="S21" i="34"/>
  <c r="P19" i="34"/>
  <c r="P20" i="34"/>
  <c r="M19" i="34"/>
  <c r="M20" i="34"/>
  <c r="Q13" i="34"/>
  <c r="N19" i="34"/>
  <c r="J14" i="34"/>
  <c r="K13" i="34"/>
  <c r="J15" i="34"/>
  <c r="J13" i="34"/>
  <c r="H19" i="16"/>
  <c r="G19" i="2"/>
  <c r="G18" i="2"/>
  <c r="E18" i="2"/>
  <c r="E19" i="2"/>
  <c r="H18" i="9"/>
  <c r="E19" i="9"/>
  <c r="H19" i="9"/>
  <c r="H18" i="16"/>
  <c r="D18" i="16"/>
  <c r="H19" i="23"/>
  <c r="C18" i="23"/>
  <c r="C19" i="23"/>
  <c r="H18" i="23"/>
  <c r="C21" i="28"/>
  <c r="C18" i="28"/>
  <c r="G21" i="28"/>
  <c r="B21" i="28"/>
  <c r="G18" i="28"/>
  <c r="B18" i="28"/>
  <c r="C21" i="27"/>
  <c r="H18" i="27"/>
  <c r="G21" i="27"/>
  <c r="B21" i="27"/>
  <c r="G18" i="27"/>
  <c r="B18" i="27"/>
  <c r="C21" i="26"/>
  <c r="H18" i="26"/>
  <c r="G21" i="26"/>
  <c r="B21" i="26"/>
  <c r="G18" i="26"/>
  <c r="B18" i="26"/>
  <c r="C21" i="25"/>
  <c r="H18" i="25"/>
  <c r="G21" i="25"/>
  <c r="B21" i="25"/>
  <c r="G18" i="25"/>
  <c r="B18" i="25"/>
  <c r="G21" i="24"/>
  <c r="C21" i="24"/>
  <c r="B21" i="24"/>
  <c r="G18" i="24"/>
  <c r="B18" i="24"/>
  <c r="C18" i="27" l="1"/>
  <c r="C18" i="26"/>
  <c r="C18" i="25"/>
  <c r="H18" i="24"/>
  <c r="I18" i="24" s="1"/>
  <c r="H21" i="24"/>
  <c r="I21" i="24" s="1"/>
  <c r="H21" i="25"/>
  <c r="H21" i="26"/>
  <c r="I21" i="26" s="1"/>
  <c r="H21" i="27"/>
  <c r="I21" i="27" s="1"/>
  <c r="N5" i="29"/>
  <c r="K5" i="29"/>
  <c r="H5" i="29"/>
  <c r="E5" i="29"/>
  <c r="B5" i="29"/>
  <c r="N4" i="29"/>
  <c r="K4" i="29"/>
  <c r="H4" i="29"/>
  <c r="E4" i="29"/>
  <c r="B4" i="29"/>
  <c r="M2" i="29"/>
  <c r="M5" i="29" s="1"/>
  <c r="J2" i="29"/>
  <c r="J5" i="29" s="1"/>
  <c r="G2" i="29"/>
  <c r="G5" i="29" s="1"/>
  <c r="D2" i="29"/>
  <c r="D5" i="29" s="1"/>
  <c r="A2" i="29"/>
  <c r="A5" i="29" s="1"/>
  <c r="AD47" i="28"/>
  <c r="I21" i="28"/>
  <c r="D21" i="28"/>
  <c r="I18" i="28"/>
  <c r="D18" i="28"/>
  <c r="H7" i="28"/>
  <c r="G7" i="28"/>
  <c r="F7" i="28"/>
  <c r="E7" i="28"/>
  <c r="D7" i="28"/>
  <c r="C7" i="28"/>
  <c r="H4" i="28"/>
  <c r="Z75" i="28" s="1"/>
  <c r="G4" i="28"/>
  <c r="V80" i="28" s="1"/>
  <c r="F4" i="28"/>
  <c r="Z67" i="28" s="1"/>
  <c r="E4" i="28"/>
  <c r="V66" i="28" s="1"/>
  <c r="D4" i="28"/>
  <c r="Z55" i="28" s="1"/>
  <c r="C4" i="28"/>
  <c r="AK55" i="28" s="1"/>
  <c r="AD47" i="27"/>
  <c r="AV4" i="23" s="1"/>
  <c r="D21" i="27"/>
  <c r="I18" i="27"/>
  <c r="D18" i="27"/>
  <c r="H7" i="27"/>
  <c r="G7" i="27"/>
  <c r="F7" i="27"/>
  <c r="E7" i="27"/>
  <c r="D7" i="27"/>
  <c r="C7" i="27"/>
  <c r="H4" i="27"/>
  <c r="Z75" i="27" s="1"/>
  <c r="G4" i="27"/>
  <c r="F4" i="27"/>
  <c r="Z66" i="27" s="1"/>
  <c r="E4" i="27"/>
  <c r="V67" i="27" s="1"/>
  <c r="D4" i="27"/>
  <c r="Z49" i="27" s="1"/>
  <c r="C4" i="27"/>
  <c r="V50" i="27" s="1"/>
  <c r="AD50" i="27" s="1"/>
  <c r="AV7" i="23" s="1"/>
  <c r="AD47" i="26"/>
  <c r="D21" i="26"/>
  <c r="I18" i="26"/>
  <c r="D18" i="26"/>
  <c r="H7" i="26"/>
  <c r="G7" i="26"/>
  <c r="F7" i="26"/>
  <c r="E7" i="26"/>
  <c r="D7" i="26"/>
  <c r="C7" i="26"/>
  <c r="H4" i="26"/>
  <c r="G4" i="26"/>
  <c r="F4" i="26"/>
  <c r="Z61" i="26" s="1"/>
  <c r="E4" i="26"/>
  <c r="D4" i="26"/>
  <c r="Z49" i="26" s="1"/>
  <c r="C4" i="26"/>
  <c r="V50" i="26" s="1"/>
  <c r="AD50" i="26" s="1"/>
  <c r="AQ7" i="23" s="1"/>
  <c r="AD47" i="25"/>
  <c r="I21" i="25"/>
  <c r="D21" i="25"/>
  <c r="I18" i="25"/>
  <c r="D18" i="25"/>
  <c r="H7" i="25"/>
  <c r="G7" i="25"/>
  <c r="F7" i="25"/>
  <c r="E7" i="25"/>
  <c r="D7" i="25"/>
  <c r="C7" i="25"/>
  <c r="H4" i="25"/>
  <c r="Z74" i="25" s="1"/>
  <c r="G4" i="25"/>
  <c r="V75" i="25" s="1"/>
  <c r="F4" i="25"/>
  <c r="Z66" i="25" s="1"/>
  <c r="E4" i="25"/>
  <c r="V67" i="25" s="1"/>
  <c r="D4" i="25"/>
  <c r="Z49" i="25" s="1"/>
  <c r="C4" i="25"/>
  <c r="V50" i="25" s="1"/>
  <c r="AD50" i="25" s="1"/>
  <c r="AL7" i="23" s="1"/>
  <c r="AI52" i="24"/>
  <c r="AI56" i="24" s="1"/>
  <c r="AD47" i="24"/>
  <c r="AI45" i="24"/>
  <c r="AI49" i="24" s="1"/>
  <c r="AI38" i="24"/>
  <c r="AI39" i="24" s="1"/>
  <c r="AI31" i="24"/>
  <c r="AI35" i="24" s="1"/>
  <c r="AI24" i="24"/>
  <c r="AI28" i="24" s="1"/>
  <c r="AI21" i="24"/>
  <c r="D21" i="24"/>
  <c r="AI18" i="24"/>
  <c r="D18" i="24"/>
  <c r="H7" i="24"/>
  <c r="G7" i="24"/>
  <c r="F7" i="24"/>
  <c r="E7" i="24"/>
  <c r="D7" i="24"/>
  <c r="C7" i="24"/>
  <c r="H4" i="24"/>
  <c r="G4" i="24"/>
  <c r="F4" i="24"/>
  <c r="E4" i="24"/>
  <c r="D4" i="24"/>
  <c r="C4" i="24"/>
  <c r="I80" i="23"/>
  <c r="D80" i="23"/>
  <c r="I77" i="23"/>
  <c r="D77" i="23"/>
  <c r="BA4" i="23"/>
  <c r="AQ4" i="23"/>
  <c r="AL4" i="23"/>
  <c r="AG4" i="23"/>
  <c r="AF4" i="23" s="1"/>
  <c r="AK4" i="23" s="1"/>
  <c r="AP4" i="23" s="1"/>
  <c r="AU4" i="23" s="1"/>
  <c r="AZ4" i="23" s="1"/>
  <c r="W18" i="24" l="1"/>
  <c r="V16" i="24"/>
  <c r="AE28" i="24"/>
  <c r="V50" i="24"/>
  <c r="AD50" i="24" s="1"/>
  <c r="V48" i="24"/>
  <c r="AD48" i="24" s="1"/>
  <c r="AG5" i="23" s="1"/>
  <c r="AF5" i="23" s="1"/>
  <c r="AK5" i="23" s="1"/>
  <c r="AP5" i="23" s="1"/>
  <c r="AU5" i="23" s="1"/>
  <c r="AZ5" i="23" s="1"/>
  <c r="AK55" i="24"/>
  <c r="V49" i="24"/>
  <c r="AD49" i="24" s="1"/>
  <c r="AG6" i="23" s="1"/>
  <c r="AF6" i="23" s="1"/>
  <c r="AK6" i="23" s="1"/>
  <c r="AP6" i="23" s="1"/>
  <c r="AU6" i="23" s="1"/>
  <c r="AZ6" i="23" s="1"/>
  <c r="V67" i="24"/>
  <c r="V65" i="24"/>
  <c r="V63" i="24"/>
  <c r="V61" i="24"/>
  <c r="V60" i="24"/>
  <c r="V66" i="24"/>
  <c r="V64" i="24"/>
  <c r="V62" i="24"/>
  <c r="V75" i="24"/>
  <c r="V73" i="24"/>
  <c r="V80" i="24"/>
  <c r="V79" i="24"/>
  <c r="V78" i="24"/>
  <c r="V77" i="24"/>
  <c r="V76" i="24"/>
  <c r="V74" i="24"/>
  <c r="X47" i="24"/>
  <c r="AF47" i="24" s="1"/>
  <c r="AI4" i="23" s="1"/>
  <c r="W47" i="24"/>
  <c r="AE47" i="24" s="1"/>
  <c r="AH4" i="23" s="1"/>
  <c r="AD53" i="25"/>
  <c r="AL10" i="23" s="1"/>
  <c r="AD51" i="25"/>
  <c r="AL8" i="23" s="1"/>
  <c r="W17" i="24"/>
  <c r="AI19" i="24"/>
  <c r="AI20" i="24" s="1"/>
  <c r="Z22" i="24"/>
  <c r="AC22" i="24"/>
  <c r="AE17" i="24" s="1"/>
  <c r="AI25" i="24"/>
  <c r="AI26" i="24" s="1"/>
  <c r="AI27" i="24" s="1"/>
  <c r="AI40" i="24"/>
  <c r="AI41" i="24" s="1"/>
  <c r="X50" i="25"/>
  <c r="AF50" i="25" s="1"/>
  <c r="AN7" i="23" s="1"/>
  <c r="U45" i="23" s="1"/>
  <c r="Z49" i="24"/>
  <c r="Z55" i="24"/>
  <c r="Z54" i="24"/>
  <c r="Z53" i="24"/>
  <c r="Z52" i="24"/>
  <c r="Z51" i="24"/>
  <c r="Z50" i="24"/>
  <c r="Z48" i="24"/>
  <c r="Z66" i="24"/>
  <c r="Z64" i="24"/>
  <c r="Z62" i="24"/>
  <c r="Z67" i="24"/>
  <c r="Z65" i="24"/>
  <c r="Z63" i="24"/>
  <c r="Z61" i="24"/>
  <c r="Z60" i="24"/>
  <c r="Z74" i="24"/>
  <c r="Z75" i="24"/>
  <c r="Z73" i="24"/>
  <c r="AD53" i="26"/>
  <c r="AQ10" i="23" s="1"/>
  <c r="AD51" i="26"/>
  <c r="AQ8" i="23" s="1"/>
  <c r="W16" i="24"/>
  <c r="V17" i="24"/>
  <c r="X17" i="24"/>
  <c r="X18" i="24"/>
  <c r="AH18" i="24"/>
  <c r="AH19" i="24" s="1"/>
  <c r="Z21" i="24"/>
  <c r="AB22" i="24"/>
  <c r="AE16" i="24" s="1"/>
  <c r="AD22" i="24"/>
  <c r="AE18" i="24" s="1"/>
  <c r="AH24" i="24"/>
  <c r="V28" i="24"/>
  <c r="AI32" i="24"/>
  <c r="AI33" i="24" s="1"/>
  <c r="AI34" i="24" s="1"/>
  <c r="X50" i="26"/>
  <c r="AF50" i="26" s="1"/>
  <c r="AS7" i="23" s="1"/>
  <c r="U48" i="23" s="1"/>
  <c r="V67" i="26"/>
  <c r="V65" i="26"/>
  <c r="V63" i="26"/>
  <c r="V66" i="26"/>
  <c r="V64" i="26"/>
  <c r="V75" i="26"/>
  <c r="V73" i="26"/>
  <c r="V80" i="26"/>
  <c r="V79" i="26"/>
  <c r="V78" i="26"/>
  <c r="V77" i="26"/>
  <c r="V76" i="26"/>
  <c r="V74" i="26"/>
  <c r="AD53" i="27"/>
  <c r="AV10" i="23" s="1"/>
  <c r="AD51" i="27"/>
  <c r="AV8" i="23" s="1"/>
  <c r="AI42" i="24"/>
  <c r="AI46" i="24"/>
  <c r="AI47" i="24" s="1"/>
  <c r="AI48" i="24" s="1"/>
  <c r="V16" i="25"/>
  <c r="W17" i="25"/>
  <c r="X18" i="25"/>
  <c r="AH18" i="25"/>
  <c r="AH19" i="25" s="1"/>
  <c r="Z21" i="25"/>
  <c r="AB22" i="25"/>
  <c r="AE16" i="25" s="1"/>
  <c r="AD22" i="25"/>
  <c r="AE18" i="25" s="1"/>
  <c r="AH24" i="25"/>
  <c r="V28" i="25"/>
  <c r="W47" i="25"/>
  <c r="AE47" i="25" s="1"/>
  <c r="AM4" i="23" s="1"/>
  <c r="Z48" i="25"/>
  <c r="AD52" i="25" s="1"/>
  <c r="AL9" i="23" s="1"/>
  <c r="V49" i="25"/>
  <c r="AD49" i="25" s="1"/>
  <c r="AL6" i="23" s="1"/>
  <c r="W50" i="25"/>
  <c r="AE50" i="25" s="1"/>
  <c r="Z50" i="25"/>
  <c r="AD54" i="25" s="1"/>
  <c r="AL11" i="23" s="1"/>
  <c r="Z51" i="25"/>
  <c r="AD55" i="25" s="1"/>
  <c r="AL12" i="23" s="1"/>
  <c r="Z52" i="25"/>
  <c r="AD56" i="25" s="1"/>
  <c r="AL13" i="23" s="1"/>
  <c r="Z53" i="25"/>
  <c r="AD57" i="25" s="1"/>
  <c r="AL14" i="23" s="1"/>
  <c r="Z54" i="25"/>
  <c r="AD58" i="25" s="1"/>
  <c r="AL15" i="23" s="1"/>
  <c r="Z55" i="25"/>
  <c r="AD59" i="25" s="1"/>
  <c r="AK55" i="25"/>
  <c r="Z60" i="25"/>
  <c r="Z61" i="25"/>
  <c r="V62" i="25"/>
  <c r="Z63" i="25"/>
  <c r="V64" i="25"/>
  <c r="Z65" i="25"/>
  <c r="V66" i="25"/>
  <c r="Z67" i="25"/>
  <c r="Z73" i="25"/>
  <c r="V74" i="25"/>
  <c r="Z75" i="25"/>
  <c r="V76" i="25"/>
  <c r="V77" i="25"/>
  <c r="V78" i="25"/>
  <c r="V79" i="25"/>
  <c r="V80" i="25"/>
  <c r="V16" i="26"/>
  <c r="W17" i="26"/>
  <c r="X18" i="26"/>
  <c r="AH18" i="26"/>
  <c r="AH19" i="26" s="1"/>
  <c r="Z21" i="26"/>
  <c r="AB22" i="26"/>
  <c r="AE16" i="26" s="1"/>
  <c r="AD22" i="26"/>
  <c r="AE18" i="26" s="1"/>
  <c r="AH24" i="26"/>
  <c r="V28" i="26"/>
  <c r="W47" i="26"/>
  <c r="AE47" i="26" s="1"/>
  <c r="AR4" i="23" s="1"/>
  <c r="Z48" i="26"/>
  <c r="AD52" i="26" s="1"/>
  <c r="AQ9" i="23" s="1"/>
  <c r="V49" i="26"/>
  <c r="AD49" i="26" s="1"/>
  <c r="AQ6" i="23" s="1"/>
  <c r="W50" i="26"/>
  <c r="AE50" i="26" s="1"/>
  <c r="Z50" i="26"/>
  <c r="AD54" i="26" s="1"/>
  <c r="AQ11" i="23" s="1"/>
  <c r="Z51" i="26"/>
  <c r="AD55" i="26" s="1"/>
  <c r="AQ12" i="23" s="1"/>
  <c r="Z52" i="26"/>
  <c r="AD56" i="26" s="1"/>
  <c r="AQ13" i="23" s="1"/>
  <c r="Z53" i="26"/>
  <c r="AD57" i="26" s="1"/>
  <c r="AQ14" i="23" s="1"/>
  <c r="Z54" i="26"/>
  <c r="AD58" i="26" s="1"/>
  <c r="AQ15" i="23" s="1"/>
  <c r="Z55" i="26"/>
  <c r="AD59" i="26" s="1"/>
  <c r="AK55" i="26"/>
  <c r="Z60" i="26"/>
  <c r="V62" i="26"/>
  <c r="X50" i="27"/>
  <c r="AF50" i="27" s="1"/>
  <c r="AX7" i="23" s="1"/>
  <c r="U51" i="23" s="1"/>
  <c r="Z66" i="26"/>
  <c r="Z64" i="26"/>
  <c r="Z67" i="26"/>
  <c r="Z65" i="26"/>
  <c r="Z63" i="26"/>
  <c r="Z74" i="26"/>
  <c r="Z75" i="26"/>
  <c r="Z73" i="26"/>
  <c r="AI53" i="24"/>
  <c r="AI54" i="24" s="1"/>
  <c r="AI55" i="24" s="1"/>
  <c r="W16" i="25"/>
  <c r="V17" i="25"/>
  <c r="X17" i="25"/>
  <c r="W18" i="25"/>
  <c r="Z22" i="25"/>
  <c r="AC22" i="25"/>
  <c r="AE17" i="25" s="1"/>
  <c r="AE28" i="25"/>
  <c r="AB72" i="25" s="1"/>
  <c r="AF87" i="25" s="1"/>
  <c r="AN44" i="23" s="1"/>
  <c r="AD45" i="23" s="1"/>
  <c r="X47" i="25"/>
  <c r="AF47" i="25" s="1"/>
  <c r="AN4" i="23" s="1"/>
  <c r="V48" i="25"/>
  <c r="AD48" i="25" s="1"/>
  <c r="AL5" i="23" s="1"/>
  <c r="V60" i="25"/>
  <c r="V61" i="25"/>
  <c r="Z62" i="25"/>
  <c r="V63" i="25"/>
  <c r="Z64" i="25"/>
  <c r="V65" i="25"/>
  <c r="V73" i="25"/>
  <c r="W16" i="26"/>
  <c r="V17" i="26"/>
  <c r="X17" i="26"/>
  <c r="W18" i="26"/>
  <c r="Z22" i="26"/>
  <c r="AC22" i="26"/>
  <c r="AE17" i="26" s="1"/>
  <c r="AE28" i="26"/>
  <c r="X47" i="26"/>
  <c r="AF47" i="26" s="1"/>
  <c r="AS4" i="23" s="1"/>
  <c r="V48" i="26"/>
  <c r="AD48" i="26" s="1"/>
  <c r="AQ5" i="23" s="1"/>
  <c r="W49" i="26"/>
  <c r="AE49" i="26" s="1"/>
  <c r="AR6" i="23" s="1"/>
  <c r="V60" i="26"/>
  <c r="V61" i="26"/>
  <c r="Z62" i="26"/>
  <c r="V80" i="27"/>
  <c r="V79" i="27"/>
  <c r="V78" i="27"/>
  <c r="V77" i="27"/>
  <c r="V76" i="27"/>
  <c r="V75" i="27"/>
  <c r="V16" i="27"/>
  <c r="W17" i="27"/>
  <c r="X18" i="27"/>
  <c r="AH18" i="27"/>
  <c r="AH19" i="27" s="1"/>
  <c r="Z21" i="27"/>
  <c r="AB22" i="27"/>
  <c r="AE16" i="27" s="1"/>
  <c r="AD22" i="27"/>
  <c r="AE18" i="27" s="1"/>
  <c r="AH24" i="27"/>
  <c r="V28" i="27"/>
  <c r="W47" i="27"/>
  <c r="AE47" i="27" s="1"/>
  <c r="AW4" i="23" s="1"/>
  <c r="Z48" i="27"/>
  <c r="AD52" i="27" s="1"/>
  <c r="AV9" i="23" s="1"/>
  <c r="V49" i="27"/>
  <c r="AD49" i="27" s="1"/>
  <c r="AV6" i="23" s="1"/>
  <c r="W50" i="27"/>
  <c r="AE50" i="27" s="1"/>
  <c r="Z50" i="27"/>
  <c r="AD54" i="27" s="1"/>
  <c r="AV11" i="23" s="1"/>
  <c r="Z51" i="27"/>
  <c r="AD55" i="27" s="1"/>
  <c r="AV12" i="23" s="1"/>
  <c r="Z52" i="27"/>
  <c r="AD56" i="27" s="1"/>
  <c r="AV13" i="23" s="1"/>
  <c r="Z53" i="27"/>
  <c r="AD57" i="27" s="1"/>
  <c r="AV14" i="23" s="1"/>
  <c r="Z54" i="27"/>
  <c r="AD58" i="27" s="1"/>
  <c r="AV15" i="23" s="1"/>
  <c r="Z55" i="27"/>
  <c r="AD59" i="27" s="1"/>
  <c r="AK55" i="27"/>
  <c r="Z60" i="27"/>
  <c r="Z61" i="27"/>
  <c r="V62" i="27"/>
  <c r="Z63" i="27"/>
  <c r="V64" i="27"/>
  <c r="Z65" i="27"/>
  <c r="V66" i="27"/>
  <c r="Z67" i="27"/>
  <c r="Z73" i="27"/>
  <c r="V74" i="27"/>
  <c r="AK56" i="28"/>
  <c r="V36" i="28"/>
  <c r="V37" i="28" s="1"/>
  <c r="AK17" i="28"/>
  <c r="AK18" i="28" s="1"/>
  <c r="W16" i="27"/>
  <c r="V17" i="27"/>
  <c r="X17" i="27"/>
  <c r="W18" i="27"/>
  <c r="Z22" i="27"/>
  <c r="AC22" i="27"/>
  <c r="AE17" i="27" s="1"/>
  <c r="AE28" i="27"/>
  <c r="X47" i="27"/>
  <c r="AF47" i="27" s="1"/>
  <c r="AX4" i="23" s="1"/>
  <c r="V48" i="27"/>
  <c r="AD48" i="27" s="1"/>
  <c r="AV5" i="23" s="1"/>
  <c r="V60" i="27"/>
  <c r="V61" i="27"/>
  <c r="Z62" i="27"/>
  <c r="V63" i="27"/>
  <c r="Z64" i="27"/>
  <c r="V65" i="27"/>
  <c r="V73" i="27"/>
  <c r="Z74" i="27"/>
  <c r="W16" i="28"/>
  <c r="V17" i="28"/>
  <c r="X17" i="28"/>
  <c r="W18" i="28"/>
  <c r="Z22" i="28"/>
  <c r="AC22" i="28"/>
  <c r="AE17" i="28" s="1"/>
  <c r="AE28" i="28"/>
  <c r="X47" i="28"/>
  <c r="AF47" i="28" s="1"/>
  <c r="BC4" i="23" s="1"/>
  <c r="V48" i="28"/>
  <c r="AD48" i="28" s="1"/>
  <c r="BA5" i="23" s="1"/>
  <c r="Z49" i="28"/>
  <c r="V50" i="28"/>
  <c r="AD50" i="28" s="1"/>
  <c r="V60" i="28"/>
  <c r="V61" i="28"/>
  <c r="Z62" i="28"/>
  <c r="V63" i="28"/>
  <c r="Z64" i="28"/>
  <c r="V65" i="28"/>
  <c r="Z66" i="28"/>
  <c r="V67" i="28"/>
  <c r="V73" i="28"/>
  <c r="Z74" i="28"/>
  <c r="V75" i="28"/>
  <c r="A3" i="29"/>
  <c r="G3" i="29"/>
  <c r="M3" i="29"/>
  <c r="V16" i="28"/>
  <c r="W17" i="28"/>
  <c r="X18" i="28"/>
  <c r="AH18" i="28"/>
  <c r="AH19" i="28" s="1"/>
  <c r="Z21" i="28"/>
  <c r="AB22" i="28"/>
  <c r="AE16" i="28" s="1"/>
  <c r="AD22" i="28"/>
  <c r="AE18" i="28" s="1"/>
  <c r="AH24" i="28"/>
  <c r="V28" i="28"/>
  <c r="W47" i="28"/>
  <c r="AE47" i="28" s="1"/>
  <c r="BB4" i="23" s="1"/>
  <c r="Z48" i="28"/>
  <c r="V49" i="28"/>
  <c r="AD49" i="28" s="1"/>
  <c r="BA6" i="23" s="1"/>
  <c r="Z50" i="28"/>
  <c r="Z51" i="28"/>
  <c r="Z52" i="28"/>
  <c r="Z53" i="28"/>
  <c r="Z54" i="28"/>
  <c r="Z60" i="28"/>
  <c r="Z61" i="28"/>
  <c r="V62" i="28"/>
  <c r="Z63" i="28"/>
  <c r="V64" i="28"/>
  <c r="Z65" i="28"/>
  <c r="Z73" i="28"/>
  <c r="V74" i="28"/>
  <c r="V76" i="28"/>
  <c r="V77" i="28"/>
  <c r="V78" i="28"/>
  <c r="V79" i="28"/>
  <c r="D3" i="29"/>
  <c r="J3" i="29"/>
  <c r="A4" i="29"/>
  <c r="D4" i="29"/>
  <c r="G4" i="29"/>
  <c r="J4" i="29"/>
  <c r="M4" i="29"/>
  <c r="AB74" i="27" l="1"/>
  <c r="AF89" i="27" s="1"/>
  <c r="AX46" i="23" s="1"/>
  <c r="W49" i="25"/>
  <c r="AE49" i="25" s="1"/>
  <c r="AM6" i="23" s="1"/>
  <c r="AB74" i="24"/>
  <c r="AF89" i="24" s="1"/>
  <c r="AI46" i="23" s="1"/>
  <c r="AB73" i="28"/>
  <c r="AF88" i="28" s="1"/>
  <c r="BC45" i="23" s="1"/>
  <c r="AB74" i="28"/>
  <c r="AF89" i="28" s="1"/>
  <c r="BC46" i="23" s="1"/>
  <c r="AB72" i="28"/>
  <c r="AF87" i="28" s="1"/>
  <c r="BC44" i="23" s="1"/>
  <c r="AD54" i="23" s="1"/>
  <c r="AB75" i="24"/>
  <c r="AF90" i="24" s="1"/>
  <c r="AI47" i="23" s="1"/>
  <c r="W48" i="28"/>
  <c r="AE48" i="28" s="1"/>
  <c r="BB5" i="23" s="1"/>
  <c r="X48" i="28"/>
  <c r="AF48" i="28" s="1"/>
  <c r="BC5" i="23" s="1"/>
  <c r="W50" i="24"/>
  <c r="AE50" i="24" s="1"/>
  <c r="AL18" i="24" s="1"/>
  <c r="AB73" i="24"/>
  <c r="AF88" i="24" s="1"/>
  <c r="AI45" i="23" s="1"/>
  <c r="AB72" i="27"/>
  <c r="AF87" i="27" s="1"/>
  <c r="AX44" i="23" s="1"/>
  <c r="AD51" i="23" s="1"/>
  <c r="X48" i="27"/>
  <c r="AF48" i="27" s="1"/>
  <c r="AX5" i="23" s="1"/>
  <c r="W48" i="24"/>
  <c r="AE48" i="24" s="1"/>
  <c r="AH5" i="23" s="1"/>
  <c r="X49" i="28"/>
  <c r="AF49" i="28" s="1"/>
  <c r="BC6" i="23" s="1"/>
  <c r="W49" i="27"/>
  <c r="AE49" i="27" s="1"/>
  <c r="AW6" i="23" s="1"/>
  <c r="X49" i="27"/>
  <c r="AF49" i="27" s="1"/>
  <c r="AX6" i="23" s="1"/>
  <c r="X48" i="24"/>
  <c r="AF48" i="24" s="1"/>
  <c r="AI5" i="23" s="1"/>
  <c r="AB73" i="26"/>
  <c r="AF88" i="26" s="1"/>
  <c r="AS45" i="23" s="1"/>
  <c r="AB72" i="24"/>
  <c r="AF87" i="24" s="1"/>
  <c r="AI44" i="23" s="1"/>
  <c r="AD42" i="23" s="1"/>
  <c r="Z16" i="24" a="1"/>
  <c r="AB18" i="24" s="1"/>
  <c r="AB73" i="27"/>
  <c r="AF88" i="27" s="1"/>
  <c r="AX45" i="23" s="1"/>
  <c r="AB75" i="26"/>
  <c r="AF90" i="26" s="1"/>
  <c r="AS47" i="23" s="1"/>
  <c r="AB75" i="27"/>
  <c r="AF90" i="27" s="1"/>
  <c r="AX47" i="23" s="1"/>
  <c r="AB75" i="25"/>
  <c r="AF90" i="25" s="1"/>
  <c r="AN47" i="23" s="1"/>
  <c r="AB73" i="25"/>
  <c r="AF88" i="25" s="1"/>
  <c r="AN45" i="23" s="1"/>
  <c r="X48" i="26"/>
  <c r="AF48" i="26" s="1"/>
  <c r="AS5" i="23" s="1"/>
  <c r="X49" i="24"/>
  <c r="AF49" i="24" s="1"/>
  <c r="AI6" i="23" s="1"/>
  <c r="W49" i="24"/>
  <c r="AE49" i="24" s="1"/>
  <c r="AH6" i="23" s="1"/>
  <c r="AD67" i="27"/>
  <c r="AV24" i="23" s="1"/>
  <c r="AD65" i="27"/>
  <c r="AV22" i="23" s="1"/>
  <c r="AD63" i="27"/>
  <c r="AV20" i="23" s="1"/>
  <c r="AD61" i="27"/>
  <c r="AV18" i="23" s="1"/>
  <c r="AD60" i="27"/>
  <c r="AV17" i="23" s="1"/>
  <c r="AD68" i="27"/>
  <c r="AD66" i="27"/>
  <c r="AV23" i="23" s="1"/>
  <c r="AD64" i="27"/>
  <c r="AV21" i="23" s="1"/>
  <c r="AD62" i="27"/>
  <c r="AV19" i="23" s="1"/>
  <c r="AV16" i="23"/>
  <c r="AD67" i="26"/>
  <c r="AQ24" i="23" s="1"/>
  <c r="AD65" i="26"/>
  <c r="AQ22" i="23" s="1"/>
  <c r="AD63" i="26"/>
  <c r="AQ20" i="23" s="1"/>
  <c r="AD68" i="26"/>
  <c r="AD66" i="26"/>
  <c r="AQ23" i="23" s="1"/>
  <c r="AD64" i="26"/>
  <c r="AQ21" i="23" s="1"/>
  <c r="AD62" i="26"/>
  <c r="AQ19" i="23" s="1"/>
  <c r="AD61" i="26"/>
  <c r="AQ18" i="23" s="1"/>
  <c r="AD60" i="26"/>
  <c r="AQ17" i="23" s="1"/>
  <c r="AQ16" i="23"/>
  <c r="AD67" i="25"/>
  <c r="AL24" i="23" s="1"/>
  <c r="AD65" i="25"/>
  <c r="AL22" i="23" s="1"/>
  <c r="AD63" i="25"/>
  <c r="AL20" i="23" s="1"/>
  <c r="AD61" i="25"/>
  <c r="AL18" i="23" s="1"/>
  <c r="AD60" i="25"/>
  <c r="AL17" i="23" s="1"/>
  <c r="AD68" i="25"/>
  <c r="AD66" i="25"/>
  <c r="AL23" i="23" s="1"/>
  <c r="AD64" i="25"/>
  <c r="AL21" i="23" s="1"/>
  <c r="AD62" i="25"/>
  <c r="AL19" i="23" s="1"/>
  <c r="AL16" i="23"/>
  <c r="AA74" i="28"/>
  <c r="AE89" i="28" s="1"/>
  <c r="BB46" i="23" s="1"/>
  <c r="AA72" i="28"/>
  <c r="AE87" i="28" s="1"/>
  <c r="BB44" i="23" s="1"/>
  <c r="AA75" i="28"/>
  <c r="AE90" i="28" s="1"/>
  <c r="AA73" i="28"/>
  <c r="AE88" i="28" s="1"/>
  <c r="BB45" i="23" s="1"/>
  <c r="AA75" i="27"/>
  <c r="AE90" i="27" s="1"/>
  <c r="AA73" i="27"/>
  <c r="AE88" i="27" s="1"/>
  <c r="AW45" i="23" s="1"/>
  <c r="AA74" i="27"/>
  <c r="AE89" i="27" s="1"/>
  <c r="AW46" i="23" s="1"/>
  <c r="AA72" i="27"/>
  <c r="AE87" i="27" s="1"/>
  <c r="AW44" i="23" s="1"/>
  <c r="AK57" i="28"/>
  <c r="AH31" i="28"/>
  <c r="AH25" i="28"/>
  <c r="AH26" i="28" s="1"/>
  <c r="AK19" i="28"/>
  <c r="AK20" i="28" s="1"/>
  <c r="Y36" i="28"/>
  <c r="Y37" i="28" s="1"/>
  <c r="AL18" i="27"/>
  <c r="AW7" i="23"/>
  <c r="AA75" i="26"/>
  <c r="AE90" i="26" s="1"/>
  <c r="AA73" i="26"/>
  <c r="AE88" i="26" s="1"/>
  <c r="AR45" i="23" s="1"/>
  <c r="AA74" i="26"/>
  <c r="AE89" i="26" s="1"/>
  <c r="AR46" i="23" s="1"/>
  <c r="AA72" i="26"/>
  <c r="AE87" i="26" s="1"/>
  <c r="AR44" i="23" s="1"/>
  <c r="AK56" i="26"/>
  <c r="V36" i="26"/>
  <c r="V37" i="26" s="1"/>
  <c r="AK17" i="26"/>
  <c r="AK18" i="26" s="1"/>
  <c r="AH27" i="26"/>
  <c r="AH28" i="26"/>
  <c r="AK56" i="25"/>
  <c r="V36" i="25"/>
  <c r="V37" i="25" s="1"/>
  <c r="AK17" i="25"/>
  <c r="AK18" i="25" s="1"/>
  <c r="AH27" i="25"/>
  <c r="AH28" i="25"/>
  <c r="AA75" i="24"/>
  <c r="AE90" i="24" s="1"/>
  <c r="AA73" i="24"/>
  <c r="AE88" i="24" s="1"/>
  <c r="AH45" i="23" s="1"/>
  <c r="AA74" i="24"/>
  <c r="AE89" i="24" s="1"/>
  <c r="AH46" i="23" s="1"/>
  <c r="AA72" i="24"/>
  <c r="AE87" i="24" s="1"/>
  <c r="AH44" i="23" s="1"/>
  <c r="AK56" i="24"/>
  <c r="V36" i="24"/>
  <c r="V37" i="24" s="1"/>
  <c r="AK17" i="24"/>
  <c r="AK18" i="24" s="1"/>
  <c r="Z16" i="28" a="1"/>
  <c r="X50" i="28"/>
  <c r="AF50" i="28" s="1"/>
  <c r="BC7" i="23" s="1"/>
  <c r="U54" i="23" s="1"/>
  <c r="W49" i="28"/>
  <c r="AE49" i="28" s="1"/>
  <c r="BB6" i="23" s="1"/>
  <c r="Z16" i="27" a="1"/>
  <c r="X48" i="25"/>
  <c r="AF48" i="25" s="1"/>
  <c r="AN5" i="23" s="1"/>
  <c r="AB74" i="26"/>
  <c r="AF89" i="26" s="1"/>
  <c r="AS46" i="23" s="1"/>
  <c r="X49" i="26"/>
  <c r="AF49" i="26" s="1"/>
  <c r="AS6" i="23" s="1"/>
  <c r="W48" i="26"/>
  <c r="AE48" i="26" s="1"/>
  <c r="AR5" i="23" s="1"/>
  <c r="X49" i="25"/>
  <c r="AF49" i="25" s="1"/>
  <c r="AN6" i="23" s="1"/>
  <c r="W48" i="25"/>
  <c r="AE48" i="25" s="1"/>
  <c r="AM5" i="23" s="1"/>
  <c r="AI17" i="25"/>
  <c r="X50" i="24"/>
  <c r="AF50" i="24" s="1"/>
  <c r="AI7" i="23" s="1"/>
  <c r="U42" i="23" s="1"/>
  <c r="AH28" i="28"/>
  <c r="AH27" i="28"/>
  <c r="AD59" i="28"/>
  <c r="AD58" i="28"/>
  <c r="BA15" i="23" s="1"/>
  <c r="AD57" i="28"/>
  <c r="BA14" i="23" s="1"/>
  <c r="AD56" i="28"/>
  <c r="BA13" i="23" s="1"/>
  <c r="AD55" i="28"/>
  <c r="BA12" i="23" s="1"/>
  <c r="AD54" i="28"/>
  <c r="BA11" i="23" s="1"/>
  <c r="AD53" i="28"/>
  <c r="BA10" i="23" s="1"/>
  <c r="AD52" i="28"/>
  <c r="BA9" i="23" s="1"/>
  <c r="AD51" i="28"/>
  <c r="BA8" i="23" s="1"/>
  <c r="BA7" i="23"/>
  <c r="AK56" i="27"/>
  <c r="V36" i="27"/>
  <c r="V37" i="27" s="1"/>
  <c r="AK17" i="27"/>
  <c r="AK18" i="27" s="1"/>
  <c r="AH27" i="27"/>
  <c r="AH28" i="27"/>
  <c r="AA75" i="25"/>
  <c r="AE90" i="25" s="1"/>
  <c r="AA73" i="25"/>
  <c r="AE88" i="25" s="1"/>
  <c r="AM45" i="23" s="1"/>
  <c r="AA74" i="25"/>
  <c r="AE89" i="25" s="1"/>
  <c r="AM46" i="23" s="1"/>
  <c r="AA72" i="25"/>
  <c r="AE87" i="25" s="1"/>
  <c r="AM44" i="23" s="1"/>
  <c r="AL18" i="26"/>
  <c r="AR7" i="23"/>
  <c r="AL18" i="25"/>
  <c r="AM7" i="23"/>
  <c r="AH28" i="24"/>
  <c r="AH27" i="24"/>
  <c r="AD59" i="24"/>
  <c r="AD58" i="24"/>
  <c r="AG15" i="23" s="1"/>
  <c r="AD57" i="24"/>
  <c r="AG14" i="23" s="1"/>
  <c r="AD56" i="24"/>
  <c r="AG13" i="23" s="1"/>
  <c r="AD55" i="24"/>
  <c r="AG12" i="23" s="1"/>
  <c r="AD54" i="24"/>
  <c r="AG11" i="23" s="1"/>
  <c r="AD53" i="24"/>
  <c r="AG10" i="23" s="1"/>
  <c r="AD52" i="24"/>
  <c r="AG9" i="23" s="1"/>
  <c r="AD51" i="24"/>
  <c r="AG8" i="23" s="1"/>
  <c r="AG7" i="23"/>
  <c r="AF7" i="23" s="1"/>
  <c r="AK7" i="23" s="1"/>
  <c r="AP7" i="23" s="1"/>
  <c r="AU7" i="23" s="1"/>
  <c r="AZ7" i="23" s="1"/>
  <c r="W50" i="28"/>
  <c r="AE50" i="28" s="1"/>
  <c r="AB75" i="28"/>
  <c r="AF90" i="28" s="1"/>
  <c r="BC47" i="23" s="1"/>
  <c r="W48" i="27"/>
  <c r="AE48" i="27" s="1"/>
  <c r="AW5" i="23" s="1"/>
  <c r="AB72" i="26"/>
  <c r="AF87" i="26" s="1"/>
  <c r="AS44" i="23" s="1"/>
  <c r="AD48" i="23" s="1"/>
  <c r="Z16" i="26" a="1"/>
  <c r="Z16" i="25" a="1"/>
  <c r="AB74" i="25"/>
  <c r="AF89" i="25" s="1"/>
  <c r="AN46" i="23" s="1"/>
  <c r="AH7" i="23" l="1"/>
  <c r="Z17" i="24"/>
  <c r="AA18" i="24"/>
  <c r="AB16" i="24"/>
  <c r="AA16" i="24"/>
  <c r="AB17" i="24"/>
  <c r="Z16" i="24"/>
  <c r="AA17" i="24"/>
  <c r="Z18" i="24"/>
  <c r="AF8" i="23"/>
  <c r="AK8" i="23" s="1"/>
  <c r="AP8" i="23" s="1"/>
  <c r="AU8" i="23" s="1"/>
  <c r="AZ8" i="23" s="1"/>
  <c r="AF10" i="23"/>
  <c r="AK10" i="23" s="1"/>
  <c r="AP10" i="23" s="1"/>
  <c r="AU10" i="23" s="1"/>
  <c r="AZ10" i="23" s="1"/>
  <c r="AF12" i="23"/>
  <c r="AK12" i="23" s="1"/>
  <c r="AP12" i="23" s="1"/>
  <c r="AU12" i="23" s="1"/>
  <c r="AZ12" i="23" s="1"/>
  <c r="AF14" i="23"/>
  <c r="AK14" i="23" s="1"/>
  <c r="AP14" i="23" s="1"/>
  <c r="AU14" i="23" s="1"/>
  <c r="AZ14" i="23" s="1"/>
  <c r="AB18" i="25"/>
  <c r="Z18" i="25"/>
  <c r="AA17" i="25"/>
  <c r="AB16" i="25"/>
  <c r="Z16" i="25"/>
  <c r="AA18" i="25"/>
  <c r="AB17" i="25"/>
  <c r="Z17" i="25"/>
  <c r="AA16" i="25"/>
  <c r="AL28" i="25"/>
  <c r="AM47" i="23"/>
  <c r="AB18" i="27"/>
  <c r="Z18" i="27"/>
  <c r="AA17" i="27"/>
  <c r="AB16" i="27"/>
  <c r="Z16" i="27"/>
  <c r="AA18" i="27"/>
  <c r="AB17" i="27"/>
  <c r="Z17" i="27"/>
  <c r="AA16" i="27"/>
  <c r="Y36" i="24"/>
  <c r="Y37" i="24" s="1"/>
  <c r="AK57" i="24"/>
  <c r="AH31" i="24"/>
  <c r="AH25" i="24"/>
  <c r="AH26" i="24" s="1"/>
  <c r="AK19" i="24"/>
  <c r="AK20" i="24" s="1"/>
  <c r="Y36" i="26"/>
  <c r="Y37" i="26" s="1"/>
  <c r="AK57" i="26"/>
  <c r="AH31" i="26"/>
  <c r="AH25" i="26"/>
  <c r="AH26" i="26" s="1"/>
  <c r="AK19" i="26"/>
  <c r="AK20" i="26" s="1"/>
  <c r="AH34" i="28"/>
  <c r="AH35" i="28"/>
  <c r="AL28" i="27"/>
  <c r="AW47" i="23"/>
  <c r="AL28" i="28"/>
  <c r="BB47" i="23"/>
  <c r="AF9" i="23"/>
  <c r="AK9" i="23" s="1"/>
  <c r="AP9" i="23" s="1"/>
  <c r="AU9" i="23" s="1"/>
  <c r="AZ9" i="23" s="1"/>
  <c r="AF11" i="23"/>
  <c r="AK11" i="23" s="1"/>
  <c r="AP11" i="23" s="1"/>
  <c r="AU11" i="23" s="1"/>
  <c r="AZ11" i="23" s="1"/>
  <c r="AF13" i="23"/>
  <c r="AK13" i="23" s="1"/>
  <c r="AP13" i="23" s="1"/>
  <c r="AU13" i="23" s="1"/>
  <c r="AZ13" i="23" s="1"/>
  <c r="AF15" i="23"/>
  <c r="AK15" i="23" s="1"/>
  <c r="AP15" i="23" s="1"/>
  <c r="AU15" i="23" s="1"/>
  <c r="AZ15" i="23" s="1"/>
  <c r="AB18" i="26"/>
  <c r="Z18" i="26"/>
  <c r="AA17" i="26"/>
  <c r="AB16" i="26"/>
  <c r="Z16" i="26"/>
  <c r="AA18" i="26"/>
  <c r="AB17" i="26"/>
  <c r="Z17" i="26"/>
  <c r="AA16" i="26"/>
  <c r="AL18" i="28"/>
  <c r="BB7" i="23"/>
  <c r="AD67" i="24"/>
  <c r="AG24" i="23" s="1"/>
  <c r="AD65" i="24"/>
  <c r="AG22" i="23" s="1"/>
  <c r="AD63" i="24"/>
  <c r="AG20" i="23" s="1"/>
  <c r="AD61" i="24"/>
  <c r="AG18" i="23" s="1"/>
  <c r="AD60" i="24"/>
  <c r="AG17" i="23" s="1"/>
  <c r="AD68" i="24"/>
  <c r="AD66" i="24"/>
  <c r="AG23" i="23" s="1"/>
  <c r="AD64" i="24"/>
  <c r="AG21" i="23" s="1"/>
  <c r="AD62" i="24"/>
  <c r="AG19" i="23" s="1"/>
  <c r="AG16" i="23"/>
  <c r="AF16" i="23" s="1"/>
  <c r="AK16" i="23" s="1"/>
  <c r="AP16" i="23" s="1"/>
  <c r="AU16" i="23" s="1"/>
  <c r="AZ16" i="23" s="1"/>
  <c r="Y36" i="27"/>
  <c r="Y37" i="27" s="1"/>
  <c r="AK57" i="27"/>
  <c r="AH31" i="27"/>
  <c r="AH25" i="27"/>
  <c r="AH26" i="27" s="1"/>
  <c r="AK19" i="27"/>
  <c r="AK20" i="27" s="1"/>
  <c r="AD68" i="28"/>
  <c r="AD66" i="28"/>
  <c r="BA23" i="23" s="1"/>
  <c r="AD64" i="28"/>
  <c r="BA21" i="23" s="1"/>
  <c r="AD62" i="28"/>
  <c r="BA19" i="23" s="1"/>
  <c r="AD67" i="28"/>
  <c r="BA24" i="23" s="1"/>
  <c r="AD65" i="28"/>
  <c r="BA22" i="23" s="1"/>
  <c r="AD63" i="28"/>
  <c r="BA20" i="23" s="1"/>
  <c r="AD61" i="28"/>
  <c r="BA18" i="23" s="1"/>
  <c r="AD60" i="28"/>
  <c r="BA17" i="23" s="1"/>
  <c r="BA16" i="23"/>
  <c r="AI52" i="25"/>
  <c r="AI38" i="25"/>
  <c r="AI31" i="25"/>
  <c r="AI24" i="25"/>
  <c r="AI21" i="25"/>
  <c r="AI18" i="25"/>
  <c r="AI19" i="25" s="1"/>
  <c r="AI20" i="25" s="1"/>
  <c r="AI45" i="25"/>
  <c r="AA18" i="28"/>
  <c r="AB17" i="28"/>
  <c r="Z17" i="28"/>
  <c r="AA16" i="28"/>
  <c r="AB18" i="28"/>
  <c r="Z18" i="28"/>
  <c r="AA17" i="28"/>
  <c r="AB16" i="28"/>
  <c r="Z16" i="28"/>
  <c r="AH47" i="23"/>
  <c r="AL28" i="24"/>
  <c r="Y36" i="25"/>
  <c r="Y37" i="25" s="1"/>
  <c r="AK57" i="25"/>
  <c r="AH31" i="25"/>
  <c r="AH25" i="25"/>
  <c r="AH26" i="25" s="1"/>
  <c r="AK19" i="25"/>
  <c r="AK20" i="25" s="1"/>
  <c r="AL28" i="26"/>
  <c r="AR47" i="23"/>
  <c r="AK58" i="28"/>
  <c r="AH38" i="28"/>
  <c r="AB36" i="28"/>
  <c r="AB37" i="28" s="1"/>
  <c r="AK21" i="28"/>
  <c r="AK22" i="28" s="1"/>
  <c r="AH32" i="28"/>
  <c r="AH33" i="28" s="1"/>
  <c r="AD77" i="25"/>
  <c r="AD76" i="25"/>
  <c r="AL33" i="23" s="1"/>
  <c r="AD75" i="25"/>
  <c r="AL32" i="23" s="1"/>
  <c r="AD73" i="25"/>
  <c r="AL30" i="23" s="1"/>
  <c r="AD71" i="25"/>
  <c r="AL28" i="23" s="1"/>
  <c r="AD69" i="25"/>
  <c r="AL26" i="23" s="1"/>
  <c r="AD74" i="25"/>
  <c r="AL31" i="23" s="1"/>
  <c r="AD72" i="25"/>
  <c r="AL29" i="23" s="1"/>
  <c r="AD70" i="25"/>
  <c r="AL27" i="23" s="1"/>
  <c r="AL25" i="23"/>
  <c r="AD77" i="26"/>
  <c r="AD76" i="26"/>
  <c r="AQ33" i="23" s="1"/>
  <c r="AD75" i="26"/>
  <c r="AQ32" i="23" s="1"/>
  <c r="AD73" i="26"/>
  <c r="AQ30" i="23" s="1"/>
  <c r="AD71" i="26"/>
  <c r="AQ28" i="23" s="1"/>
  <c r="AD69" i="26"/>
  <c r="AQ26" i="23" s="1"/>
  <c r="AD74" i="26"/>
  <c r="AQ31" i="23" s="1"/>
  <c r="AD72" i="26"/>
  <c r="AQ29" i="23" s="1"/>
  <c r="AD70" i="26"/>
  <c r="AQ27" i="23" s="1"/>
  <c r="AQ25" i="23"/>
  <c r="AD77" i="27"/>
  <c r="AD76" i="27"/>
  <c r="AV33" i="23" s="1"/>
  <c r="AD75" i="27"/>
  <c r="AV32" i="23" s="1"/>
  <c r="AD73" i="27"/>
  <c r="AV30" i="23" s="1"/>
  <c r="AD71" i="27"/>
  <c r="AV28" i="23" s="1"/>
  <c r="AD69" i="27"/>
  <c r="AV26" i="23" s="1"/>
  <c r="AD74" i="27"/>
  <c r="AV31" i="23" s="1"/>
  <c r="AD72" i="27"/>
  <c r="AV29" i="23" s="1"/>
  <c r="AD70" i="27"/>
  <c r="AV27" i="23" s="1"/>
  <c r="AV25" i="23"/>
  <c r="AF19" i="23" l="1"/>
  <c r="AK19" i="23" s="1"/>
  <c r="AP19" i="23" s="1"/>
  <c r="AU19" i="23" s="1"/>
  <c r="AZ19" i="23" s="1"/>
  <c r="AF23" i="23"/>
  <c r="AK23" i="23" s="1"/>
  <c r="AP23" i="23" s="1"/>
  <c r="AU23" i="23" s="1"/>
  <c r="AZ23" i="23" s="1"/>
  <c r="AF17" i="23"/>
  <c r="AK17" i="23" s="1"/>
  <c r="AP17" i="23" s="1"/>
  <c r="AU17" i="23" s="1"/>
  <c r="AZ17" i="23" s="1"/>
  <c r="AF20" i="23"/>
  <c r="AK20" i="23" s="1"/>
  <c r="AP20" i="23" s="1"/>
  <c r="AU20" i="23" s="1"/>
  <c r="AZ20" i="23" s="1"/>
  <c r="AF24" i="23"/>
  <c r="AK24" i="23" s="1"/>
  <c r="AP24" i="23" s="1"/>
  <c r="AU24" i="23" s="1"/>
  <c r="AZ24" i="23" s="1"/>
  <c r="W21" i="24" a="1"/>
  <c r="W22" i="24" s="1"/>
  <c r="AK59" i="28"/>
  <c r="V40" i="28"/>
  <c r="V41" i="28" s="1"/>
  <c r="AH39" i="28"/>
  <c r="AH40" i="28" s="1"/>
  <c r="AH45" i="28"/>
  <c r="AK23" i="28"/>
  <c r="AK24" i="28" s="1"/>
  <c r="AH32" i="25"/>
  <c r="AH33" i="25" s="1"/>
  <c r="AK58" i="25"/>
  <c r="AH38" i="25"/>
  <c r="AB36" i="25"/>
  <c r="AB37" i="25" s="1"/>
  <c r="AK21" i="25"/>
  <c r="AK22" i="25" s="1"/>
  <c r="AI28" i="25"/>
  <c r="AI25" i="25"/>
  <c r="AI26" i="25" s="1"/>
  <c r="AI27" i="25" s="1"/>
  <c r="AI39" i="25"/>
  <c r="AI40" i="25" s="1"/>
  <c r="AI41" i="25" s="1"/>
  <c r="AI42" i="25"/>
  <c r="AD74" i="28"/>
  <c r="BA31" i="23" s="1"/>
  <c r="AD72" i="28"/>
  <c r="BA29" i="23" s="1"/>
  <c r="AD70" i="28"/>
  <c r="BA27" i="23" s="1"/>
  <c r="AD77" i="28"/>
  <c r="AD76" i="28"/>
  <c r="BA33" i="23" s="1"/>
  <c r="AD75" i="28"/>
  <c r="BA32" i="23" s="1"/>
  <c r="AD73" i="28"/>
  <c r="BA30" i="23" s="1"/>
  <c r="AD71" i="28"/>
  <c r="BA28" i="23" s="1"/>
  <c r="AD69" i="28"/>
  <c r="BA26" i="23" s="1"/>
  <c r="BA25" i="23"/>
  <c r="AH32" i="27"/>
  <c r="AH33" i="27" s="1"/>
  <c r="AK58" i="27"/>
  <c r="AH38" i="27"/>
  <c r="AB36" i="27"/>
  <c r="AB37" i="27" s="1"/>
  <c r="AK21" i="27"/>
  <c r="AK22" i="27" s="1"/>
  <c r="AD77" i="24"/>
  <c r="AD76" i="24"/>
  <c r="AG33" i="23" s="1"/>
  <c r="AD75" i="24"/>
  <c r="AG32" i="23" s="1"/>
  <c r="AD73" i="24"/>
  <c r="AG30" i="23" s="1"/>
  <c r="AD71" i="24"/>
  <c r="AG28" i="23" s="1"/>
  <c r="AD69" i="24"/>
  <c r="AG26" i="23" s="1"/>
  <c r="AD74" i="24"/>
  <c r="AG31" i="23" s="1"/>
  <c r="AD72" i="24"/>
  <c r="AG29" i="23" s="1"/>
  <c r="AD70" i="24"/>
  <c r="AG27" i="23" s="1"/>
  <c r="AG25" i="23"/>
  <c r="AF25" i="23" s="1"/>
  <c r="AK25" i="23" s="1"/>
  <c r="AP25" i="23" s="1"/>
  <c r="AU25" i="23" s="1"/>
  <c r="AZ25" i="23" s="1"/>
  <c r="AH32" i="26"/>
  <c r="AH33" i="26" s="1"/>
  <c r="AK58" i="26"/>
  <c r="AH38" i="26"/>
  <c r="AB36" i="26"/>
  <c r="AB37" i="26" s="1"/>
  <c r="AK21" i="26"/>
  <c r="AK22" i="26" s="1"/>
  <c r="AH35" i="24"/>
  <c r="AH34" i="24"/>
  <c r="W21" i="28" a="1"/>
  <c r="AF21" i="23"/>
  <c r="AK21" i="23" s="1"/>
  <c r="AP21" i="23" s="1"/>
  <c r="AU21" i="23" s="1"/>
  <c r="AZ21" i="23" s="1"/>
  <c r="AF18" i="23"/>
  <c r="AK18" i="23" s="1"/>
  <c r="AP18" i="23" s="1"/>
  <c r="AU18" i="23" s="1"/>
  <c r="AZ18" i="23" s="1"/>
  <c r="AF22" i="23"/>
  <c r="AK22" i="23" s="1"/>
  <c r="AP22" i="23" s="1"/>
  <c r="AU22" i="23" s="1"/>
  <c r="AZ22" i="23" s="1"/>
  <c r="W21" i="26" a="1"/>
  <c r="W21" i="25" a="1"/>
  <c r="AD85" i="27"/>
  <c r="AV42" i="23" s="1"/>
  <c r="AD83" i="27"/>
  <c r="AV40" i="23" s="1"/>
  <c r="AD81" i="27"/>
  <c r="AV38" i="23" s="1"/>
  <c r="AD86" i="27"/>
  <c r="AD84" i="27"/>
  <c r="AV41" i="23" s="1"/>
  <c r="AD82" i="27"/>
  <c r="AV39" i="23" s="1"/>
  <c r="AD80" i="27"/>
  <c r="AV37" i="23" s="1"/>
  <c r="AD79" i="27"/>
  <c r="AV36" i="23" s="1"/>
  <c r="AD78" i="27"/>
  <c r="AV35" i="23" s="1"/>
  <c r="AV34" i="23"/>
  <c r="AD86" i="26"/>
  <c r="AD84" i="26"/>
  <c r="AQ41" i="23" s="1"/>
  <c r="AD82" i="26"/>
  <c r="AQ39" i="23" s="1"/>
  <c r="AD80" i="26"/>
  <c r="AQ37" i="23" s="1"/>
  <c r="AD79" i="26"/>
  <c r="AQ36" i="23" s="1"/>
  <c r="AD78" i="26"/>
  <c r="AQ35" i="23" s="1"/>
  <c r="AD85" i="26"/>
  <c r="AQ42" i="23" s="1"/>
  <c r="AD83" i="26"/>
  <c r="AQ40" i="23" s="1"/>
  <c r="AD81" i="26"/>
  <c r="AQ38" i="23" s="1"/>
  <c r="AQ34" i="23"/>
  <c r="AD86" i="25"/>
  <c r="AD84" i="25"/>
  <c r="AL41" i="23" s="1"/>
  <c r="AD82" i="25"/>
  <c r="AL39" i="23" s="1"/>
  <c r="AD80" i="25"/>
  <c r="AL37" i="23" s="1"/>
  <c r="AD79" i="25"/>
  <c r="AL36" i="23" s="1"/>
  <c r="AD78" i="25"/>
  <c r="AL35" i="23" s="1"/>
  <c r="AD85" i="25"/>
  <c r="AL42" i="23" s="1"/>
  <c r="AD83" i="25"/>
  <c r="AL40" i="23" s="1"/>
  <c r="AD81" i="25"/>
  <c r="AL38" i="23" s="1"/>
  <c r="AL34" i="23"/>
  <c r="AH42" i="28"/>
  <c r="AH41" i="28"/>
  <c r="AH35" i="25"/>
  <c r="AH34" i="25"/>
  <c r="AI49" i="25"/>
  <c r="AI46" i="25"/>
  <c r="AI47" i="25" s="1"/>
  <c r="AI48" i="25" s="1"/>
  <c r="AI35" i="25"/>
  <c r="AI32" i="25"/>
  <c r="AI33" i="25" s="1"/>
  <c r="AI34" i="25" s="1"/>
  <c r="AI56" i="25"/>
  <c r="AI53" i="25"/>
  <c r="AI54" i="25" s="1"/>
  <c r="AI55" i="25" s="1"/>
  <c r="AH35" i="27"/>
  <c r="AH34" i="27"/>
  <c r="AH35" i="26"/>
  <c r="AH34" i="26"/>
  <c r="AK58" i="24"/>
  <c r="AH38" i="24"/>
  <c r="AB36" i="24"/>
  <c r="AB37" i="24" s="1"/>
  <c r="AK21" i="24"/>
  <c r="AK22" i="24" s="1"/>
  <c r="AH32" i="24"/>
  <c r="AH33" i="24" s="1"/>
  <c r="W21" i="27" a="1"/>
  <c r="W23" i="24" l="1"/>
  <c r="AD28" i="24" s="1"/>
  <c r="W21" i="24"/>
  <c r="Z28" i="24" s="1"/>
  <c r="AF27" i="23"/>
  <c r="AK27" i="23" s="1"/>
  <c r="AP27" i="23" s="1"/>
  <c r="AU27" i="23" s="1"/>
  <c r="AZ27" i="23" s="1"/>
  <c r="AH45" i="24"/>
  <c r="AK59" i="24"/>
  <c r="V40" i="24"/>
  <c r="V41" i="24" s="1"/>
  <c r="AH39" i="24"/>
  <c r="AH40" i="24" s="1"/>
  <c r="AK23" i="24"/>
  <c r="AK24" i="24" s="1"/>
  <c r="AD90" i="25"/>
  <c r="AL47" i="23" s="1"/>
  <c r="AD88" i="25"/>
  <c r="AL45" i="23" s="1"/>
  <c r="AD89" i="25"/>
  <c r="AL46" i="23" s="1"/>
  <c r="AD87" i="25"/>
  <c r="AL44" i="23" s="1"/>
  <c r="AL43" i="23"/>
  <c r="AD90" i="26"/>
  <c r="AQ47" i="23" s="1"/>
  <c r="AD88" i="26"/>
  <c r="AQ45" i="23" s="1"/>
  <c r="AD89" i="26"/>
  <c r="AQ46" i="23" s="1"/>
  <c r="AD87" i="26"/>
  <c r="AQ44" i="23" s="1"/>
  <c r="AQ43" i="23"/>
  <c r="AB28" i="24"/>
  <c r="W23" i="25"/>
  <c r="W21" i="25"/>
  <c r="W22" i="25"/>
  <c r="W22" i="28"/>
  <c r="W23" i="28"/>
  <c r="W21" i="28"/>
  <c r="AH45" i="26"/>
  <c r="AK23" i="26"/>
  <c r="AK24" i="26" s="1"/>
  <c r="AK59" i="26"/>
  <c r="V40" i="26"/>
  <c r="V41" i="26" s="1"/>
  <c r="AH39" i="26"/>
  <c r="AH40" i="26" s="1"/>
  <c r="AH42" i="27"/>
  <c r="AH41" i="27"/>
  <c r="AH45" i="25"/>
  <c r="AK23" i="25"/>
  <c r="AK24" i="25" s="1"/>
  <c r="AK59" i="25"/>
  <c r="V40" i="25"/>
  <c r="V41" i="25" s="1"/>
  <c r="AH39" i="25"/>
  <c r="AH40" i="25" s="1"/>
  <c r="AK60" i="28"/>
  <c r="AH52" i="28"/>
  <c r="AK25" i="28"/>
  <c r="AK26" i="28" s="1"/>
  <c r="AH46" i="28"/>
  <c r="AH47" i="28" s="1"/>
  <c r="Y40" i="28"/>
  <c r="Y41" i="28" s="1"/>
  <c r="AF29" i="23"/>
  <c r="AK29" i="23" s="1"/>
  <c r="AP29" i="23" s="1"/>
  <c r="AU29" i="23" s="1"/>
  <c r="AZ29" i="23" s="1"/>
  <c r="AF26" i="23"/>
  <c r="AK26" i="23" s="1"/>
  <c r="AP26" i="23" s="1"/>
  <c r="AU26" i="23" s="1"/>
  <c r="AZ26" i="23" s="1"/>
  <c r="AF30" i="23"/>
  <c r="AK30" i="23" s="1"/>
  <c r="AP30" i="23" s="1"/>
  <c r="AU30" i="23" s="1"/>
  <c r="AZ30" i="23" s="1"/>
  <c r="AF33" i="23"/>
  <c r="AK33" i="23" s="1"/>
  <c r="AP33" i="23" s="1"/>
  <c r="AU33" i="23" s="1"/>
  <c r="AZ33" i="23" s="1"/>
  <c r="W23" i="27"/>
  <c r="W21" i="27"/>
  <c r="W22" i="27"/>
  <c r="AH42" i="24"/>
  <c r="AH41" i="24"/>
  <c r="AD89" i="27"/>
  <c r="AV46" i="23" s="1"/>
  <c r="AD87" i="27"/>
  <c r="AV44" i="23" s="1"/>
  <c r="AD90" i="27"/>
  <c r="AV47" i="23" s="1"/>
  <c r="AD88" i="27"/>
  <c r="AV45" i="23" s="1"/>
  <c r="AV43" i="23"/>
  <c r="W23" i="26"/>
  <c r="W21" i="26"/>
  <c r="W22" i="26"/>
  <c r="AH42" i="26"/>
  <c r="AH41" i="26"/>
  <c r="AD86" i="24"/>
  <c r="AD84" i="24"/>
  <c r="AG41" i="23" s="1"/>
  <c r="AD82" i="24"/>
  <c r="AG39" i="23" s="1"/>
  <c r="AD80" i="24"/>
  <c r="AG37" i="23" s="1"/>
  <c r="AD79" i="24"/>
  <c r="AG36" i="23" s="1"/>
  <c r="AD78" i="24"/>
  <c r="AG35" i="23" s="1"/>
  <c r="AD85" i="24"/>
  <c r="AG42" i="23" s="1"/>
  <c r="AD83" i="24"/>
  <c r="AG40" i="23" s="1"/>
  <c r="AD81" i="24"/>
  <c r="AG38" i="23" s="1"/>
  <c r="AG34" i="23"/>
  <c r="AF34" i="23" s="1"/>
  <c r="AK34" i="23" s="1"/>
  <c r="AP34" i="23" s="1"/>
  <c r="AU34" i="23" s="1"/>
  <c r="AZ34" i="23" s="1"/>
  <c r="AH45" i="27"/>
  <c r="AK23" i="27"/>
  <c r="AK24" i="27" s="1"/>
  <c r="AK59" i="27"/>
  <c r="V40" i="27"/>
  <c r="V41" i="27" s="1"/>
  <c r="AH39" i="27"/>
  <c r="AH40" i="27" s="1"/>
  <c r="AD85" i="28"/>
  <c r="BA42" i="23" s="1"/>
  <c r="AD83" i="28"/>
  <c r="BA40" i="23" s="1"/>
  <c r="AD81" i="28"/>
  <c r="BA38" i="23" s="1"/>
  <c r="AD86" i="28"/>
  <c r="AD84" i="28"/>
  <c r="BA41" i="23" s="1"/>
  <c r="AD82" i="28"/>
  <c r="BA39" i="23" s="1"/>
  <c r="AD80" i="28"/>
  <c r="BA37" i="23" s="1"/>
  <c r="AD79" i="28"/>
  <c r="BA36" i="23" s="1"/>
  <c r="AD78" i="28"/>
  <c r="BA35" i="23" s="1"/>
  <c r="BA34" i="23"/>
  <c r="AH42" i="25"/>
  <c r="AH41" i="25"/>
  <c r="AH48" i="28"/>
  <c r="AH49" i="28"/>
  <c r="AI17" i="26"/>
  <c r="AF31" i="23"/>
  <c r="AK31" i="23" s="1"/>
  <c r="AP31" i="23" s="1"/>
  <c r="AU31" i="23" s="1"/>
  <c r="AZ31" i="23" s="1"/>
  <c r="AF28" i="23"/>
  <c r="AK28" i="23" s="1"/>
  <c r="AP28" i="23" s="1"/>
  <c r="AU28" i="23" s="1"/>
  <c r="AZ28" i="23" s="1"/>
  <c r="AF32" i="23"/>
  <c r="AK32" i="23" s="1"/>
  <c r="AP32" i="23" s="1"/>
  <c r="AU32" i="23" s="1"/>
  <c r="AZ32" i="23" s="1"/>
  <c r="X28" i="24" l="1"/>
  <c r="AD89" i="28"/>
  <c r="BA46" i="23" s="1"/>
  <c r="AD87" i="28"/>
  <c r="BA44" i="23" s="1"/>
  <c r="AD90" i="28"/>
  <c r="BA47" i="23" s="1"/>
  <c r="AD88" i="28"/>
  <c r="BA45" i="23" s="1"/>
  <c r="BA43" i="23"/>
  <c r="AH46" i="27"/>
  <c r="AH47" i="27" s="1"/>
  <c r="Y40" i="27"/>
  <c r="Y41" i="27" s="1"/>
  <c r="AK60" i="27"/>
  <c r="AH52" i="27"/>
  <c r="AK25" i="27"/>
  <c r="AK26" i="27" s="1"/>
  <c r="AH49" i="27"/>
  <c r="AH48" i="27"/>
  <c r="AD90" i="24"/>
  <c r="AG47" i="23" s="1"/>
  <c r="AD88" i="24"/>
  <c r="AG45" i="23" s="1"/>
  <c r="AD89" i="24"/>
  <c r="AG46" i="23" s="1"/>
  <c r="AD87" i="24"/>
  <c r="AG44" i="23" s="1"/>
  <c r="AG43" i="23"/>
  <c r="AF43" i="23" s="1"/>
  <c r="AK43" i="23" s="1"/>
  <c r="AP43" i="23" s="1"/>
  <c r="AU43" i="23" s="1"/>
  <c r="AZ43" i="23" s="1"/>
  <c r="X28" i="26"/>
  <c r="Y28" i="24"/>
  <c r="X28" i="27"/>
  <c r="AH53" i="28"/>
  <c r="AH54" i="28" s="1"/>
  <c r="AK27" i="28"/>
  <c r="AK28" i="28" s="1"/>
  <c r="AH46" i="26"/>
  <c r="AH47" i="26" s="1"/>
  <c r="Y40" i="26"/>
  <c r="Y41" i="26" s="1"/>
  <c r="AK60" i="26"/>
  <c r="AH52" i="26"/>
  <c r="AK25" i="26"/>
  <c r="AK26" i="26" s="1"/>
  <c r="AH49" i="26"/>
  <c r="AH48" i="26"/>
  <c r="AB28" i="28"/>
  <c r="AD28" i="28"/>
  <c r="Z28" i="25"/>
  <c r="AB28" i="25"/>
  <c r="AD28" i="25"/>
  <c r="AA28" i="24"/>
  <c r="AH49" i="24"/>
  <c r="AH48" i="24"/>
  <c r="AF38" i="23"/>
  <c r="AK38" i="23" s="1"/>
  <c r="AP38" i="23" s="1"/>
  <c r="AU38" i="23" s="1"/>
  <c r="AZ38" i="23" s="1"/>
  <c r="AF42" i="23"/>
  <c r="AK42" i="23" s="1"/>
  <c r="AP42" i="23" s="1"/>
  <c r="AU42" i="23" s="1"/>
  <c r="AZ42" i="23" s="1"/>
  <c r="AF36" i="23"/>
  <c r="AK36" i="23" s="1"/>
  <c r="AP36" i="23" s="1"/>
  <c r="AU36" i="23" s="1"/>
  <c r="AZ36" i="23" s="1"/>
  <c r="AF39" i="23"/>
  <c r="AK39" i="23" s="1"/>
  <c r="AP39" i="23" s="1"/>
  <c r="AU39" i="23" s="1"/>
  <c r="AZ39" i="23" s="1"/>
  <c r="AI52" i="26"/>
  <c r="AI38" i="26"/>
  <c r="AI31" i="26"/>
  <c r="AI24" i="26"/>
  <c r="AI21" i="26"/>
  <c r="AI18" i="26"/>
  <c r="AI19" i="26" s="1"/>
  <c r="AI20" i="26" s="1"/>
  <c r="AI45" i="26"/>
  <c r="Z28" i="26"/>
  <c r="AB28" i="26"/>
  <c r="AD28" i="26"/>
  <c r="Z28" i="27"/>
  <c r="AB28" i="27"/>
  <c r="AD28" i="27"/>
  <c r="AH56" i="28"/>
  <c r="AH55" i="28"/>
  <c r="AH46" i="25"/>
  <c r="AH47" i="25" s="1"/>
  <c r="Y40" i="25"/>
  <c r="Y41" i="25" s="1"/>
  <c r="AK60" i="25"/>
  <c r="AH52" i="25"/>
  <c r="AK25" i="25"/>
  <c r="AK26" i="25" s="1"/>
  <c r="AH49" i="25"/>
  <c r="AH48" i="25"/>
  <c r="X28" i="28"/>
  <c r="Z28" i="28"/>
  <c r="X28" i="25"/>
  <c r="AB32" i="24"/>
  <c r="AC28" i="24"/>
  <c r="AH46" i="24"/>
  <c r="AH47" i="24" s="1"/>
  <c r="Y40" i="24"/>
  <c r="Y41" i="24" s="1"/>
  <c r="AK60" i="24"/>
  <c r="AH52" i="24"/>
  <c r="AK25" i="24"/>
  <c r="AK26" i="24" s="1"/>
  <c r="AF40" i="23"/>
  <c r="AK40" i="23" s="1"/>
  <c r="AP40" i="23" s="1"/>
  <c r="AU40" i="23" s="1"/>
  <c r="AZ40" i="23" s="1"/>
  <c r="AF35" i="23"/>
  <c r="AK35" i="23" s="1"/>
  <c r="AP35" i="23" s="1"/>
  <c r="AU35" i="23" s="1"/>
  <c r="AZ35" i="23" s="1"/>
  <c r="AF37" i="23"/>
  <c r="AK37" i="23" s="1"/>
  <c r="AP37" i="23" s="1"/>
  <c r="AU37" i="23" s="1"/>
  <c r="AZ37" i="23" s="1"/>
  <c r="AF41" i="23"/>
  <c r="AK41" i="23" s="1"/>
  <c r="AP41" i="23" s="1"/>
  <c r="AU41" i="23" s="1"/>
  <c r="AZ41" i="23" s="1"/>
  <c r="Y32" i="24" l="1"/>
  <c r="Z37" i="24" s="1"/>
  <c r="W28" i="24"/>
  <c r="AL33" i="24" s="1"/>
  <c r="AM33" i="24" s="1"/>
  <c r="AK40" i="24" s="1"/>
  <c r="AK41" i="24" s="1"/>
  <c r="AF44" i="23"/>
  <c r="AK44" i="23" s="1"/>
  <c r="AP44" i="23" s="1"/>
  <c r="AU44" i="23" s="1"/>
  <c r="AZ44" i="23" s="1"/>
  <c r="AF45" i="23"/>
  <c r="AK45" i="23" s="1"/>
  <c r="AP45" i="23" s="1"/>
  <c r="AU45" i="23" s="1"/>
  <c r="AZ45" i="23" s="1"/>
  <c r="AH53" i="24"/>
  <c r="AH54" i="24" s="1"/>
  <c r="AK27" i="24"/>
  <c r="AK28" i="24" s="1"/>
  <c r="AH56" i="24"/>
  <c r="AH55" i="24"/>
  <c r="AL36" i="24"/>
  <c r="AM36" i="24" s="1"/>
  <c r="AK46" i="24" s="1"/>
  <c r="AK47" i="24" s="1"/>
  <c r="X75" i="24"/>
  <c r="AF81" i="24" s="1"/>
  <c r="AI38" i="23" s="1"/>
  <c r="X72" i="24"/>
  <c r="AF78" i="24" s="1"/>
  <c r="AI35" i="23" s="1"/>
  <c r="AB42" i="23" s="1"/>
  <c r="X79" i="24"/>
  <c r="AF85" i="24" s="1"/>
  <c r="AI42" i="23" s="1"/>
  <c r="X77" i="24"/>
  <c r="AF83" i="24" s="1"/>
  <c r="AI40" i="23" s="1"/>
  <c r="X74" i="24"/>
  <c r="AF80" i="24" s="1"/>
  <c r="AI37" i="23" s="1"/>
  <c r="X73" i="24"/>
  <c r="AF79" i="24" s="1"/>
  <c r="AI36" i="23" s="1"/>
  <c r="X80" i="24"/>
  <c r="AF86" i="24" s="1"/>
  <c r="AI43" i="23" s="1"/>
  <c r="AC42" i="23" s="1"/>
  <c r="X78" i="24"/>
  <c r="AF84" i="24" s="1"/>
  <c r="AI41" i="23" s="1"/>
  <c r="X76" i="24"/>
  <c r="AF82" i="24" s="1"/>
  <c r="AI39" i="23" s="1"/>
  <c r="W80" i="24"/>
  <c r="AE86" i="24" s="1"/>
  <c r="W78" i="24"/>
  <c r="AE84" i="24" s="1"/>
  <c r="AH41" i="23" s="1"/>
  <c r="W76" i="24"/>
  <c r="AE82" i="24" s="1"/>
  <c r="AH39" i="23" s="1"/>
  <c r="W75" i="24"/>
  <c r="AE81" i="24" s="1"/>
  <c r="AH38" i="23" s="1"/>
  <c r="W72" i="24"/>
  <c r="AE78" i="24" s="1"/>
  <c r="AH35" i="23" s="1"/>
  <c r="W79" i="24"/>
  <c r="AE85" i="24" s="1"/>
  <c r="AH42" i="23" s="1"/>
  <c r="W77" i="24"/>
  <c r="AE83" i="24" s="1"/>
  <c r="AH40" i="23" s="1"/>
  <c r="W74" i="24"/>
  <c r="AE80" i="24" s="1"/>
  <c r="AH37" i="23" s="1"/>
  <c r="W73" i="24"/>
  <c r="AE79" i="24" s="1"/>
  <c r="AH36" i="23" s="1"/>
  <c r="Z41" i="24"/>
  <c r="AB60" i="23"/>
  <c r="AH56" i="25"/>
  <c r="AH55" i="25"/>
  <c r="AB32" i="27"/>
  <c r="AC28" i="27"/>
  <c r="AA32" i="27" s="1"/>
  <c r="AA28" i="26"/>
  <c r="Z32" i="26" s="1"/>
  <c r="Y28" i="26"/>
  <c r="Y32" i="26" s="1"/>
  <c r="AI49" i="26"/>
  <c r="AI46" i="26"/>
  <c r="AI47" i="26" s="1"/>
  <c r="AI48" i="26" s="1"/>
  <c r="AI35" i="26"/>
  <c r="AI32" i="26"/>
  <c r="AI33" i="26" s="1"/>
  <c r="AI34" i="26" s="1"/>
  <c r="AI56" i="26"/>
  <c r="AI53" i="26"/>
  <c r="AI54" i="26" s="1"/>
  <c r="AI55" i="26" s="1"/>
  <c r="AL35" i="24"/>
  <c r="AM35" i="24" s="1"/>
  <c r="AK44" i="24" s="1"/>
  <c r="AK45" i="24" s="1"/>
  <c r="AB66" i="24"/>
  <c r="AF76" i="24" s="1"/>
  <c r="AI33" i="23" s="1"/>
  <c r="AB62" i="24"/>
  <c r="AF72" i="24" s="1"/>
  <c r="AI29" i="23" s="1"/>
  <c r="AB65" i="24"/>
  <c r="AF75" i="24" s="1"/>
  <c r="AI32" i="23" s="1"/>
  <c r="AB61" i="24"/>
  <c r="AF71" i="24" s="1"/>
  <c r="AI28" i="23" s="1"/>
  <c r="AB59" i="24"/>
  <c r="AF69" i="24" s="1"/>
  <c r="AI26" i="23" s="1"/>
  <c r="Z42" i="23" s="1"/>
  <c r="AB64" i="24"/>
  <c r="AF74" i="24" s="1"/>
  <c r="AI31" i="23" s="1"/>
  <c r="AB67" i="24"/>
  <c r="AF77" i="24" s="1"/>
  <c r="AI34" i="23" s="1"/>
  <c r="AA42" i="23" s="1"/>
  <c r="AB63" i="24"/>
  <c r="AF73" i="24" s="1"/>
  <c r="AI30" i="23" s="1"/>
  <c r="AB60" i="24"/>
  <c r="AF70" i="24" s="1"/>
  <c r="AI27" i="23" s="1"/>
  <c r="AA67" i="24"/>
  <c r="AE77" i="24" s="1"/>
  <c r="AA63" i="24"/>
  <c r="AE73" i="24" s="1"/>
  <c r="AH30" i="23" s="1"/>
  <c r="AA60" i="24"/>
  <c r="AE70" i="24" s="1"/>
  <c r="AH27" i="23" s="1"/>
  <c r="AA66" i="24"/>
  <c r="AE76" i="24" s="1"/>
  <c r="AH33" i="23" s="1"/>
  <c r="AA62" i="24"/>
  <c r="AE72" i="24" s="1"/>
  <c r="AH29" i="23" s="1"/>
  <c r="AA65" i="24"/>
  <c r="AE75" i="24" s="1"/>
  <c r="AH32" i="23" s="1"/>
  <c r="AA61" i="24"/>
  <c r="AE71" i="24" s="1"/>
  <c r="AH28" i="23" s="1"/>
  <c r="AA59" i="24"/>
  <c r="AE69" i="24" s="1"/>
  <c r="AH26" i="23" s="1"/>
  <c r="AA64" i="24"/>
  <c r="AE74" i="24" s="1"/>
  <c r="AH31" i="23" s="1"/>
  <c r="AA28" i="25"/>
  <c r="Z32" i="25" s="1"/>
  <c r="Y28" i="25"/>
  <c r="Y32" i="25" s="1"/>
  <c r="AB32" i="28"/>
  <c r="AC28" i="28"/>
  <c r="AA32" i="28" s="1"/>
  <c r="AH56" i="26"/>
  <c r="AH55" i="26"/>
  <c r="W28" i="27"/>
  <c r="W28" i="26"/>
  <c r="AH56" i="27"/>
  <c r="AH55" i="27"/>
  <c r="AF46" i="23"/>
  <c r="AK46" i="23" s="1"/>
  <c r="AP46" i="23" s="1"/>
  <c r="AU46" i="23" s="1"/>
  <c r="AZ46" i="23" s="1"/>
  <c r="AF47" i="23"/>
  <c r="AK47" i="23" s="1"/>
  <c r="AP47" i="23" s="1"/>
  <c r="AU47" i="23" s="1"/>
  <c r="AZ47" i="23" s="1"/>
  <c r="W28" i="25"/>
  <c r="Y28" i="28"/>
  <c r="Y32" i="28" s="1"/>
  <c r="W28" i="28"/>
  <c r="AK27" i="25"/>
  <c r="AK28" i="25" s="1"/>
  <c r="AH53" i="25"/>
  <c r="AH54" i="25" s="1"/>
  <c r="AA28" i="27"/>
  <c r="Z32" i="27" s="1"/>
  <c r="Y28" i="27"/>
  <c r="AB32" i="26"/>
  <c r="AC28" i="26"/>
  <c r="AA32" i="26" s="1"/>
  <c r="AI28" i="26"/>
  <c r="AI25" i="26"/>
  <c r="AI26" i="26" s="1"/>
  <c r="AI27" i="26" s="1"/>
  <c r="AI39" i="26"/>
  <c r="AI40" i="26" s="1"/>
  <c r="AI41" i="26" s="1"/>
  <c r="AI42" i="26"/>
  <c r="AB32" i="25"/>
  <c r="AC28" i="25"/>
  <c r="AA28" i="28"/>
  <c r="AK27" i="26"/>
  <c r="AK28" i="26" s="1"/>
  <c r="AH53" i="26"/>
  <c r="AH54" i="26" s="1"/>
  <c r="AL34" i="24"/>
  <c r="AM34" i="24" s="1"/>
  <c r="AK42" i="24" s="1"/>
  <c r="AK43" i="24" s="1"/>
  <c r="X65" i="24"/>
  <c r="AF66" i="24" s="1"/>
  <c r="AI23" i="23" s="1"/>
  <c r="X61" i="24"/>
  <c r="AF62" i="24" s="1"/>
  <c r="AI19" i="23" s="1"/>
  <c r="X66" i="24"/>
  <c r="AF67" i="24" s="1"/>
  <c r="AI24" i="23" s="1"/>
  <c r="X62" i="24"/>
  <c r="AF63" i="24" s="1"/>
  <c r="AI20" i="23" s="1"/>
  <c r="X67" i="24"/>
  <c r="AF68" i="24" s="1"/>
  <c r="AI25" i="23" s="1"/>
  <c r="Y42" i="23" s="1"/>
  <c r="X63" i="24"/>
  <c r="AF64" i="24" s="1"/>
  <c r="AI21" i="23" s="1"/>
  <c r="X60" i="24"/>
  <c r="AF61" i="24" s="1"/>
  <c r="AI18" i="23" s="1"/>
  <c r="X64" i="24"/>
  <c r="AF65" i="24" s="1"/>
  <c r="AI22" i="23" s="1"/>
  <c r="X59" i="24"/>
  <c r="AF60" i="24" s="1"/>
  <c r="AI17" i="23" s="1"/>
  <c r="X42" i="23" s="1"/>
  <c r="W66" i="24"/>
  <c r="AE67" i="24" s="1"/>
  <c r="AH24" i="23" s="1"/>
  <c r="W62" i="24"/>
  <c r="AE63" i="24" s="1"/>
  <c r="AH20" i="23" s="1"/>
  <c r="W67" i="24"/>
  <c r="AE68" i="24" s="1"/>
  <c r="W63" i="24"/>
  <c r="AE64" i="24" s="1"/>
  <c r="AH21" i="23" s="1"/>
  <c r="W60" i="24"/>
  <c r="AE61" i="24" s="1"/>
  <c r="AH18" i="23" s="1"/>
  <c r="W64" i="24"/>
  <c r="AE65" i="24" s="1"/>
  <c r="AH22" i="23" s="1"/>
  <c r="W59" i="24"/>
  <c r="AE60" i="24" s="1"/>
  <c r="AH17" i="23" s="1"/>
  <c r="W65" i="24"/>
  <c r="AE66" i="24" s="1"/>
  <c r="AH23" i="23" s="1"/>
  <c r="W61" i="24"/>
  <c r="AE62" i="24" s="1"/>
  <c r="AH19" i="23" s="1"/>
  <c r="AK27" i="27"/>
  <c r="AK28" i="27" s="1"/>
  <c r="AH53" i="27"/>
  <c r="AH54" i="27" s="1"/>
  <c r="AA32" i="24"/>
  <c r="Z32" i="24"/>
  <c r="X32" i="24" l="1"/>
  <c r="W37" i="24" s="1"/>
  <c r="AB53" i="24"/>
  <c r="AF57" i="24" s="1"/>
  <c r="AI14" i="23" s="1"/>
  <c r="AA48" i="24"/>
  <c r="AE52" i="24" s="1"/>
  <c r="AH9" i="23" s="1"/>
  <c r="AA52" i="24"/>
  <c r="AE56" i="24" s="1"/>
  <c r="AH13" i="23" s="1"/>
  <c r="AB54" i="24"/>
  <c r="AF58" i="24" s="1"/>
  <c r="AI15" i="23" s="1"/>
  <c r="Y60" i="23"/>
  <c r="AA53" i="24"/>
  <c r="AE57" i="24" s="1"/>
  <c r="AH14" i="23" s="1"/>
  <c r="AA49" i="24"/>
  <c r="AE53" i="24" s="1"/>
  <c r="AH10" i="23" s="1"/>
  <c r="AB48" i="24"/>
  <c r="AF52" i="24" s="1"/>
  <c r="AI9" i="23" s="1"/>
  <c r="AB50" i="24"/>
  <c r="AF54" i="24" s="1"/>
  <c r="AI11" i="23" s="1"/>
  <c r="AA47" i="24"/>
  <c r="AE51" i="24" s="1"/>
  <c r="AH8" i="23" s="1"/>
  <c r="AA51" i="24"/>
  <c r="AE55" i="24" s="1"/>
  <c r="AH12" i="23" s="1"/>
  <c r="AA55" i="24"/>
  <c r="AE59" i="24" s="1"/>
  <c r="AL20" i="24" s="1"/>
  <c r="AB49" i="24"/>
  <c r="AF53" i="24" s="1"/>
  <c r="AI10" i="23" s="1"/>
  <c r="AA50" i="24"/>
  <c r="AE54" i="24" s="1"/>
  <c r="AH11" i="23" s="1"/>
  <c r="AA54" i="24"/>
  <c r="AE58" i="24" s="1"/>
  <c r="AH15" i="23" s="1"/>
  <c r="AB51" i="24"/>
  <c r="AF55" i="24" s="1"/>
  <c r="AI12" i="23" s="1"/>
  <c r="AB55" i="24"/>
  <c r="AF59" i="24" s="1"/>
  <c r="AI16" i="23" s="1"/>
  <c r="W42" i="23" s="1"/>
  <c r="AB52" i="24"/>
  <c r="AF56" i="24" s="1"/>
  <c r="AI13" i="23" s="1"/>
  <c r="AB47" i="24"/>
  <c r="AF51" i="24" s="1"/>
  <c r="AI8" i="23" s="1"/>
  <c r="V42" i="23" s="1"/>
  <c r="AN33" i="24"/>
  <c r="AL41" i="24" s="1"/>
  <c r="AI17" i="27"/>
  <c r="AI52" i="27" s="1"/>
  <c r="W41" i="26"/>
  <c r="AA62" i="23"/>
  <c r="Z37" i="28"/>
  <c r="Y64" i="23"/>
  <c r="AC37" i="27"/>
  <c r="Z63" i="23"/>
  <c r="AC37" i="25"/>
  <c r="Z61" i="23"/>
  <c r="AC37" i="24"/>
  <c r="Z60" i="23"/>
  <c r="AL35" i="28"/>
  <c r="AM35" i="28" s="1"/>
  <c r="AK44" i="28" s="1"/>
  <c r="AK45" i="28" s="1"/>
  <c r="AB59" i="28"/>
  <c r="AF69" i="28" s="1"/>
  <c r="BC26" i="23" s="1"/>
  <c r="Z54" i="23" s="1"/>
  <c r="AB60" i="28"/>
  <c r="AF70" i="28" s="1"/>
  <c r="BC27" i="23" s="1"/>
  <c r="AB61" i="28"/>
  <c r="AF71" i="28" s="1"/>
  <c r="BC28" i="23" s="1"/>
  <c r="AB63" i="28"/>
  <c r="AF73" i="28" s="1"/>
  <c r="BC30" i="23" s="1"/>
  <c r="AB65" i="28"/>
  <c r="AF75" i="28" s="1"/>
  <c r="BC32" i="23" s="1"/>
  <c r="AB67" i="28"/>
  <c r="AF77" i="28" s="1"/>
  <c r="BC34" i="23" s="1"/>
  <c r="AA54" i="23" s="1"/>
  <c r="AB64" i="28"/>
  <c r="AF74" i="28" s="1"/>
  <c r="BC31" i="23" s="1"/>
  <c r="AB66" i="28"/>
  <c r="AF76" i="28" s="1"/>
  <c r="BC33" i="23" s="1"/>
  <c r="AB62" i="28"/>
  <c r="AF72" i="28" s="1"/>
  <c r="BC29" i="23" s="1"/>
  <c r="AA64" i="28"/>
  <c r="AE74" i="28" s="1"/>
  <c r="BB31" i="23" s="1"/>
  <c r="AA65" i="28"/>
  <c r="AE75" i="28" s="1"/>
  <c r="BB32" i="23" s="1"/>
  <c r="AA61" i="28"/>
  <c r="AE71" i="28" s="1"/>
  <c r="BB28" i="23" s="1"/>
  <c r="AA59" i="28"/>
  <c r="AE69" i="28" s="1"/>
  <c r="BB26" i="23" s="1"/>
  <c r="AA66" i="28"/>
  <c r="AE76" i="28" s="1"/>
  <c r="BB33" i="23" s="1"/>
  <c r="AA62" i="28"/>
  <c r="AE72" i="28" s="1"/>
  <c r="BB29" i="23" s="1"/>
  <c r="AA67" i="28"/>
  <c r="AE77" i="28" s="1"/>
  <c r="AA63" i="28"/>
  <c r="AE73" i="28" s="1"/>
  <c r="BB30" i="23" s="1"/>
  <c r="AA60" i="28"/>
  <c r="AE70" i="28" s="1"/>
  <c r="BB27" i="23" s="1"/>
  <c r="W41" i="28"/>
  <c r="AA64" i="23"/>
  <c r="W41" i="24"/>
  <c r="AA60" i="23"/>
  <c r="AL22" i="24"/>
  <c r="AH25" i="23"/>
  <c r="AL36" i="25"/>
  <c r="AM36" i="25" s="1"/>
  <c r="AK46" i="25" s="1"/>
  <c r="AK47" i="25" s="1"/>
  <c r="X73" i="25"/>
  <c r="AF79" i="25" s="1"/>
  <c r="AN36" i="23" s="1"/>
  <c r="X75" i="25"/>
  <c r="AF81" i="25" s="1"/>
  <c r="AN38" i="23" s="1"/>
  <c r="X72" i="25"/>
  <c r="AF78" i="25" s="1"/>
  <c r="AN35" i="23" s="1"/>
  <c r="AB45" i="23" s="1"/>
  <c r="X77" i="25"/>
  <c r="AF83" i="25" s="1"/>
  <c r="AN40" i="23" s="1"/>
  <c r="X78" i="25"/>
  <c r="AF84" i="25" s="1"/>
  <c r="AN41" i="23" s="1"/>
  <c r="X74" i="25"/>
  <c r="AF80" i="25" s="1"/>
  <c r="AN37" i="23" s="1"/>
  <c r="X79" i="25"/>
  <c r="AF85" i="25" s="1"/>
  <c r="AN42" i="23" s="1"/>
  <c r="X80" i="25"/>
  <c r="AF86" i="25" s="1"/>
  <c r="AN43" i="23" s="1"/>
  <c r="AC45" i="23" s="1"/>
  <c r="X76" i="25"/>
  <c r="AF82" i="25" s="1"/>
  <c r="AN39" i="23" s="1"/>
  <c r="W80" i="25"/>
  <c r="AE86" i="25" s="1"/>
  <c r="W78" i="25"/>
  <c r="AE84" i="25" s="1"/>
  <c r="AM41" i="23" s="1"/>
  <c r="W76" i="25"/>
  <c r="AE82" i="25" s="1"/>
  <c r="AM39" i="23" s="1"/>
  <c r="W75" i="25"/>
  <c r="AE81" i="25" s="1"/>
  <c r="AM38" i="23" s="1"/>
  <c r="W72" i="25"/>
  <c r="AE78" i="25" s="1"/>
  <c r="AM35" i="23" s="1"/>
  <c r="W79" i="25"/>
  <c r="AE85" i="25" s="1"/>
  <c r="AM42" i="23" s="1"/>
  <c r="W77" i="25"/>
  <c r="AE83" i="25" s="1"/>
  <c r="AM40" i="23" s="1"/>
  <c r="W74" i="25"/>
  <c r="AE80" i="25" s="1"/>
  <c r="AM37" i="23" s="1"/>
  <c r="W73" i="25"/>
  <c r="AE79" i="25" s="1"/>
  <c r="AM36" i="23" s="1"/>
  <c r="Z41" i="25"/>
  <c r="AB61" i="23"/>
  <c r="AL34" i="27"/>
  <c r="AM34" i="27" s="1"/>
  <c r="AK42" i="27" s="1"/>
  <c r="AK43" i="27" s="1"/>
  <c r="X62" i="27"/>
  <c r="AF63" i="27" s="1"/>
  <c r="AX20" i="23" s="1"/>
  <c r="X64" i="27"/>
  <c r="AF65" i="27" s="1"/>
  <c r="AX22" i="23" s="1"/>
  <c r="X66" i="27"/>
  <c r="AF67" i="27" s="1"/>
  <c r="AX24" i="23" s="1"/>
  <c r="X67" i="27"/>
  <c r="AF68" i="27" s="1"/>
  <c r="AX25" i="23" s="1"/>
  <c r="Y51" i="23" s="1"/>
  <c r="X59" i="27"/>
  <c r="AF60" i="27" s="1"/>
  <c r="AX17" i="23" s="1"/>
  <c r="X51" i="23" s="1"/>
  <c r="X60" i="27"/>
  <c r="AF61" i="27" s="1"/>
  <c r="AX18" i="23" s="1"/>
  <c r="X63" i="27"/>
  <c r="AF64" i="27" s="1"/>
  <c r="AX21" i="23" s="1"/>
  <c r="X65" i="27"/>
  <c r="AF66" i="27" s="1"/>
  <c r="AX23" i="23" s="1"/>
  <c r="X61" i="27"/>
  <c r="AF62" i="27" s="1"/>
  <c r="AX19" i="23" s="1"/>
  <c r="W66" i="27"/>
  <c r="AE67" i="27" s="1"/>
  <c r="AW24" i="23" s="1"/>
  <c r="W62" i="27"/>
  <c r="AE63" i="27" s="1"/>
  <c r="AW20" i="23" s="1"/>
  <c r="W67" i="27"/>
  <c r="AE68" i="27" s="1"/>
  <c r="W63" i="27"/>
  <c r="AE64" i="27" s="1"/>
  <c r="AW21" i="23" s="1"/>
  <c r="W60" i="27"/>
  <c r="AE61" i="27" s="1"/>
  <c r="AW18" i="23" s="1"/>
  <c r="W64" i="27"/>
  <c r="AE65" i="27" s="1"/>
  <c r="AW22" i="23" s="1"/>
  <c r="W59" i="27"/>
  <c r="AE60" i="27" s="1"/>
  <c r="AW17" i="23" s="1"/>
  <c r="W65" i="27"/>
  <c r="AE66" i="27" s="1"/>
  <c r="AW23" i="23" s="1"/>
  <c r="W61" i="27"/>
  <c r="AE62" i="27" s="1"/>
  <c r="AW19" i="23" s="1"/>
  <c r="AL33" i="28"/>
  <c r="AM33" i="28" s="1"/>
  <c r="AK40" i="28" s="1"/>
  <c r="AK41" i="28" s="1"/>
  <c r="AB55" i="28"/>
  <c r="AF59" i="28" s="1"/>
  <c r="BC16" i="23" s="1"/>
  <c r="W54" i="23" s="1"/>
  <c r="AB47" i="28"/>
  <c r="AF51" i="28" s="1"/>
  <c r="BC8" i="23" s="1"/>
  <c r="V54" i="23" s="1"/>
  <c r="AB48" i="28"/>
  <c r="AF52" i="28" s="1"/>
  <c r="BC9" i="23" s="1"/>
  <c r="AB50" i="28"/>
  <c r="AF54" i="28" s="1"/>
  <c r="BC11" i="23" s="1"/>
  <c r="AB51" i="28"/>
  <c r="AF55" i="28" s="1"/>
  <c r="BC12" i="23" s="1"/>
  <c r="AB52" i="28"/>
  <c r="AF56" i="28" s="1"/>
  <c r="BC13" i="23" s="1"/>
  <c r="AB53" i="28"/>
  <c r="AF57" i="28" s="1"/>
  <c r="BC14" i="23" s="1"/>
  <c r="AB54" i="28"/>
  <c r="AF58" i="28" s="1"/>
  <c r="BC15" i="23" s="1"/>
  <c r="AA47" i="28"/>
  <c r="AE51" i="28" s="1"/>
  <c r="BB8" i="23" s="1"/>
  <c r="AA54" i="28"/>
  <c r="AE58" i="28" s="1"/>
  <c r="BB15" i="23" s="1"/>
  <c r="AA52" i="28"/>
  <c r="AE56" i="28" s="1"/>
  <c r="BB13" i="23" s="1"/>
  <c r="AA50" i="28"/>
  <c r="AE54" i="28" s="1"/>
  <c r="BB11" i="23" s="1"/>
  <c r="AB49" i="28"/>
  <c r="AF53" i="28" s="1"/>
  <c r="BC10" i="23" s="1"/>
  <c r="X32" i="28"/>
  <c r="AA49" i="28"/>
  <c r="AE53" i="28" s="1"/>
  <c r="BB10" i="23" s="1"/>
  <c r="AA55" i="28"/>
  <c r="AE59" i="28" s="1"/>
  <c r="AA53" i="28"/>
  <c r="AE57" i="28" s="1"/>
  <c r="BB14" i="23" s="1"/>
  <c r="AA51" i="28"/>
  <c r="AE55" i="28" s="1"/>
  <c r="BB12" i="23" s="1"/>
  <c r="AA48" i="28"/>
  <c r="AE52" i="28" s="1"/>
  <c r="BB9" i="23" s="1"/>
  <c r="AL33" i="25"/>
  <c r="AM33" i="25" s="1"/>
  <c r="AK40" i="25" s="1"/>
  <c r="AK41" i="25" s="1"/>
  <c r="AB49" i="25"/>
  <c r="AF53" i="25" s="1"/>
  <c r="AN10" i="23" s="1"/>
  <c r="AB50" i="25"/>
  <c r="AF54" i="25" s="1"/>
  <c r="AN11" i="23" s="1"/>
  <c r="AB51" i="25"/>
  <c r="AF55" i="25" s="1"/>
  <c r="AN12" i="23" s="1"/>
  <c r="AB52" i="25"/>
  <c r="AF56" i="25" s="1"/>
  <c r="AN13" i="23" s="1"/>
  <c r="AB53" i="25"/>
  <c r="AF57" i="25" s="1"/>
  <c r="AN14" i="23" s="1"/>
  <c r="AB54" i="25"/>
  <c r="AF58" i="25" s="1"/>
  <c r="AN15" i="23" s="1"/>
  <c r="AB55" i="25"/>
  <c r="AF59" i="25" s="1"/>
  <c r="AN16" i="23" s="1"/>
  <c r="W45" i="23" s="1"/>
  <c r="AB47" i="25"/>
  <c r="AF51" i="25" s="1"/>
  <c r="AN8" i="23" s="1"/>
  <c r="V45" i="23" s="1"/>
  <c r="AB48" i="25"/>
  <c r="AF52" i="25" s="1"/>
  <c r="AN9" i="23" s="1"/>
  <c r="AA54" i="25"/>
  <c r="AE58" i="25" s="1"/>
  <c r="AM15" i="23" s="1"/>
  <c r="AA52" i="25"/>
  <c r="AE56" i="25" s="1"/>
  <c r="AM13" i="23" s="1"/>
  <c r="AA50" i="25"/>
  <c r="AE54" i="25" s="1"/>
  <c r="AM11" i="23" s="1"/>
  <c r="AA49" i="25"/>
  <c r="AE53" i="25" s="1"/>
  <c r="AM10" i="23" s="1"/>
  <c r="X32" i="25"/>
  <c r="AA55" i="25"/>
  <c r="AE59" i="25" s="1"/>
  <c r="AA53" i="25"/>
  <c r="AE57" i="25" s="1"/>
  <c r="AM14" i="23" s="1"/>
  <c r="AA51" i="25"/>
  <c r="AE55" i="25" s="1"/>
  <c r="AM12" i="23" s="1"/>
  <c r="AA48" i="25"/>
  <c r="AE52" i="25" s="1"/>
  <c r="AM9" i="23" s="1"/>
  <c r="AA47" i="25"/>
  <c r="AE51" i="25" s="1"/>
  <c r="AM8" i="23" s="1"/>
  <c r="Z37" i="25"/>
  <c r="Y61" i="23"/>
  <c r="AL33" i="27"/>
  <c r="AM33" i="27" s="1"/>
  <c r="AK40" i="27" s="1"/>
  <c r="AK41" i="27" s="1"/>
  <c r="AB49" i="27"/>
  <c r="AF53" i="27" s="1"/>
  <c r="AX10" i="23" s="1"/>
  <c r="AB48" i="27"/>
  <c r="AF52" i="27" s="1"/>
  <c r="AX9" i="23" s="1"/>
  <c r="AB47" i="27"/>
  <c r="AF51" i="27" s="1"/>
  <c r="AX8" i="23" s="1"/>
  <c r="V51" i="23" s="1"/>
  <c r="AA54" i="27"/>
  <c r="AE58" i="27" s="1"/>
  <c r="AW15" i="23" s="1"/>
  <c r="AA52" i="27"/>
  <c r="AE56" i="27" s="1"/>
  <c r="AW13" i="23" s="1"/>
  <c r="AA50" i="27"/>
  <c r="AE54" i="27" s="1"/>
  <c r="AW11" i="23" s="1"/>
  <c r="AA49" i="27"/>
  <c r="AE53" i="27" s="1"/>
  <c r="AW10" i="23" s="1"/>
  <c r="AB54" i="27"/>
  <c r="AF58" i="27" s="1"/>
  <c r="AX15" i="23" s="1"/>
  <c r="AB52" i="27"/>
  <c r="AF56" i="27" s="1"/>
  <c r="AX13" i="23" s="1"/>
  <c r="AB50" i="27"/>
  <c r="AF54" i="27" s="1"/>
  <c r="AX11" i="23" s="1"/>
  <c r="X32" i="27"/>
  <c r="AA55" i="27"/>
  <c r="AE59" i="27" s="1"/>
  <c r="AA53" i="27"/>
  <c r="AE57" i="27" s="1"/>
  <c r="AW14" i="23" s="1"/>
  <c r="AA51" i="27"/>
  <c r="AE55" i="27" s="1"/>
  <c r="AW12" i="23" s="1"/>
  <c r="AA48" i="27"/>
  <c r="AE52" i="27" s="1"/>
  <c r="AW9" i="23" s="1"/>
  <c r="AA47" i="27"/>
  <c r="AE51" i="27" s="1"/>
  <c r="AW8" i="23" s="1"/>
  <c r="AB55" i="27"/>
  <c r="AF59" i="27" s="1"/>
  <c r="AX16" i="23" s="1"/>
  <c r="W51" i="23" s="1"/>
  <c r="AB53" i="27"/>
  <c r="AF57" i="27" s="1"/>
  <c r="AX14" i="23" s="1"/>
  <c r="AB51" i="27"/>
  <c r="AF55" i="27" s="1"/>
  <c r="AX12" i="23" s="1"/>
  <c r="AL34" i="25"/>
  <c r="AM34" i="25" s="1"/>
  <c r="AK42" i="25" s="1"/>
  <c r="AK43" i="25" s="1"/>
  <c r="X67" i="25"/>
  <c r="AF68" i="25" s="1"/>
  <c r="AN25" i="23" s="1"/>
  <c r="Y45" i="23" s="1"/>
  <c r="X59" i="25"/>
  <c r="AF60" i="25" s="1"/>
  <c r="AN17" i="23" s="1"/>
  <c r="X45" i="23" s="1"/>
  <c r="X60" i="25"/>
  <c r="AF61" i="25" s="1"/>
  <c r="AN18" i="23" s="1"/>
  <c r="X61" i="25"/>
  <c r="AF62" i="25" s="1"/>
  <c r="AN19" i="23" s="1"/>
  <c r="X63" i="25"/>
  <c r="AF64" i="25" s="1"/>
  <c r="AN21" i="23" s="1"/>
  <c r="X65" i="25"/>
  <c r="AF66" i="25" s="1"/>
  <c r="AN23" i="23" s="1"/>
  <c r="X64" i="25"/>
  <c r="AF65" i="25" s="1"/>
  <c r="AN22" i="23" s="1"/>
  <c r="X66" i="25"/>
  <c r="AF67" i="25" s="1"/>
  <c r="AN24" i="23" s="1"/>
  <c r="X62" i="25"/>
  <c r="AF63" i="25" s="1"/>
  <c r="AN20" i="23" s="1"/>
  <c r="W64" i="25"/>
  <c r="AE65" i="25" s="1"/>
  <c r="AM22" i="23" s="1"/>
  <c r="W59" i="25"/>
  <c r="AE60" i="25" s="1"/>
  <c r="AM17" i="23" s="1"/>
  <c r="W61" i="25"/>
  <c r="AE62" i="25" s="1"/>
  <c r="AM19" i="23" s="1"/>
  <c r="W66" i="25"/>
  <c r="AE67" i="25" s="1"/>
  <c r="AM24" i="23" s="1"/>
  <c r="W62" i="25"/>
  <c r="AE63" i="25" s="1"/>
  <c r="AM20" i="23" s="1"/>
  <c r="W67" i="25"/>
  <c r="AE68" i="25" s="1"/>
  <c r="W63" i="25"/>
  <c r="AE64" i="25" s="1"/>
  <c r="AM21" i="23" s="1"/>
  <c r="W60" i="25"/>
  <c r="AE61" i="25" s="1"/>
  <c r="AM18" i="23" s="1"/>
  <c r="W65" i="25"/>
  <c r="AE66" i="25" s="1"/>
  <c r="AM23" i="23" s="1"/>
  <c r="AH34" i="23"/>
  <c r="AL24" i="24"/>
  <c r="AL35" i="26"/>
  <c r="AM35" i="26" s="1"/>
  <c r="AK44" i="26" s="1"/>
  <c r="AK45" i="26" s="1"/>
  <c r="AB66" i="26"/>
  <c r="AF76" i="26" s="1"/>
  <c r="AS33" i="23" s="1"/>
  <c r="AB67" i="26"/>
  <c r="AF77" i="26" s="1"/>
  <c r="AS34" i="23" s="1"/>
  <c r="AA48" i="23" s="1"/>
  <c r="AB63" i="26"/>
  <c r="AF73" i="26" s="1"/>
  <c r="AS30" i="23" s="1"/>
  <c r="AB61" i="26"/>
  <c r="AF71" i="26" s="1"/>
  <c r="AS28" i="23" s="1"/>
  <c r="AB59" i="26"/>
  <c r="AF69" i="26" s="1"/>
  <c r="AS26" i="23" s="1"/>
  <c r="Z48" i="23" s="1"/>
  <c r="AB64" i="26"/>
  <c r="AF74" i="26" s="1"/>
  <c r="AS31" i="23" s="1"/>
  <c r="AB65" i="26"/>
  <c r="AF75" i="26" s="1"/>
  <c r="AS32" i="23" s="1"/>
  <c r="AB62" i="26"/>
  <c r="AF72" i="26" s="1"/>
  <c r="AS29" i="23" s="1"/>
  <c r="AB60" i="26"/>
  <c r="AF70" i="26" s="1"/>
  <c r="AS27" i="23" s="1"/>
  <c r="AA67" i="26"/>
  <c r="AE77" i="26" s="1"/>
  <c r="AA63" i="26"/>
  <c r="AE73" i="26" s="1"/>
  <c r="AR30" i="23" s="1"/>
  <c r="AA64" i="26"/>
  <c r="AE74" i="26" s="1"/>
  <c r="AR31" i="23" s="1"/>
  <c r="AA60" i="26"/>
  <c r="AE70" i="26" s="1"/>
  <c r="AR27" i="23" s="1"/>
  <c r="AA62" i="26"/>
  <c r="AE72" i="26" s="1"/>
  <c r="AR29" i="23" s="1"/>
  <c r="AA65" i="26"/>
  <c r="AE75" i="26" s="1"/>
  <c r="AR32" i="23" s="1"/>
  <c r="AA66" i="26"/>
  <c r="AE76" i="26" s="1"/>
  <c r="AR33" i="23" s="1"/>
  <c r="AA61" i="26"/>
  <c r="AE71" i="26" s="1"/>
  <c r="AR28" i="23" s="1"/>
  <c r="AA59" i="26"/>
  <c r="AE69" i="26" s="1"/>
  <c r="AR26" i="23" s="1"/>
  <c r="AL26" i="24"/>
  <c r="AH43" i="23"/>
  <c r="Y32" i="27"/>
  <c r="AN35" i="24"/>
  <c r="AL45" i="24" s="1"/>
  <c r="AN36" i="24"/>
  <c r="AL47" i="24" s="1"/>
  <c r="AL36" i="26"/>
  <c r="AM36" i="26" s="1"/>
  <c r="AK46" i="26" s="1"/>
  <c r="AK47" i="26" s="1"/>
  <c r="X75" i="26"/>
  <c r="AF81" i="26" s="1"/>
  <c r="AS38" i="23" s="1"/>
  <c r="X72" i="26"/>
  <c r="AF78" i="26" s="1"/>
  <c r="AS35" i="23" s="1"/>
  <c r="AB48" i="23" s="1"/>
  <c r="X79" i="26"/>
  <c r="AF85" i="26" s="1"/>
  <c r="AS42" i="23" s="1"/>
  <c r="X77" i="26"/>
  <c r="AF83" i="26" s="1"/>
  <c r="AS40" i="23" s="1"/>
  <c r="X74" i="26"/>
  <c r="AF80" i="26" s="1"/>
  <c r="AS37" i="23" s="1"/>
  <c r="X73" i="26"/>
  <c r="AF79" i="26" s="1"/>
  <c r="AS36" i="23" s="1"/>
  <c r="X80" i="26"/>
  <c r="AF86" i="26" s="1"/>
  <c r="AS43" i="23" s="1"/>
  <c r="AC48" i="23" s="1"/>
  <c r="X78" i="26"/>
  <c r="AF84" i="26" s="1"/>
  <c r="AS41" i="23" s="1"/>
  <c r="X76" i="26"/>
  <c r="AF82" i="26" s="1"/>
  <c r="AS39" i="23" s="1"/>
  <c r="W80" i="26"/>
  <c r="AE86" i="26" s="1"/>
  <c r="W78" i="26"/>
  <c r="AE84" i="26" s="1"/>
  <c r="AR41" i="23" s="1"/>
  <c r="W76" i="26"/>
  <c r="AE82" i="26" s="1"/>
  <c r="AR39" i="23" s="1"/>
  <c r="W75" i="26"/>
  <c r="AE81" i="26" s="1"/>
  <c r="AR38" i="23" s="1"/>
  <c r="W72" i="26"/>
  <c r="AE78" i="26" s="1"/>
  <c r="AR35" i="23" s="1"/>
  <c r="W79" i="26"/>
  <c r="AE85" i="26" s="1"/>
  <c r="AR42" i="23" s="1"/>
  <c r="W77" i="26"/>
  <c r="AE83" i="26" s="1"/>
  <c r="AR40" i="23" s="1"/>
  <c r="W74" i="26"/>
  <c r="AE80" i="26" s="1"/>
  <c r="AR37" i="23" s="1"/>
  <c r="W73" i="26"/>
  <c r="AE79" i="26" s="1"/>
  <c r="AR36" i="23" s="1"/>
  <c r="Z41" i="26"/>
  <c r="AB62" i="23"/>
  <c r="AL35" i="27"/>
  <c r="AM35" i="27" s="1"/>
  <c r="AK44" i="27" s="1"/>
  <c r="AK45" i="27" s="1"/>
  <c r="AB59" i="27"/>
  <c r="AF69" i="27" s="1"/>
  <c r="AX26" i="23" s="1"/>
  <c r="Z51" i="23" s="1"/>
  <c r="AB60" i="27"/>
  <c r="AF70" i="27" s="1"/>
  <c r="AX27" i="23" s="1"/>
  <c r="AB61" i="27"/>
  <c r="AF71" i="27" s="1"/>
  <c r="AX28" i="23" s="1"/>
  <c r="AB63" i="27"/>
  <c r="AF73" i="27" s="1"/>
  <c r="AX30" i="23" s="1"/>
  <c r="AB65" i="27"/>
  <c r="AF75" i="27" s="1"/>
  <c r="AX32" i="23" s="1"/>
  <c r="AB67" i="27"/>
  <c r="AF77" i="27" s="1"/>
  <c r="AX34" i="23" s="1"/>
  <c r="AA51" i="23" s="1"/>
  <c r="AB66" i="27"/>
  <c r="AF76" i="27" s="1"/>
  <c r="AX33" i="23" s="1"/>
  <c r="AB64" i="27"/>
  <c r="AF74" i="27" s="1"/>
  <c r="AX31" i="23" s="1"/>
  <c r="AB62" i="27"/>
  <c r="AF72" i="27" s="1"/>
  <c r="AX29" i="23" s="1"/>
  <c r="AA65" i="27"/>
  <c r="AE75" i="27" s="1"/>
  <c r="AW32" i="23" s="1"/>
  <c r="AA61" i="27"/>
  <c r="AE71" i="27" s="1"/>
  <c r="AW28" i="23" s="1"/>
  <c r="AA59" i="27"/>
  <c r="AE69" i="27" s="1"/>
  <c r="AW26" i="23" s="1"/>
  <c r="AA64" i="27"/>
  <c r="AE74" i="27" s="1"/>
  <c r="AW31" i="23" s="1"/>
  <c r="AA67" i="27"/>
  <c r="AE77" i="27" s="1"/>
  <c r="AA63" i="27"/>
  <c r="AE73" i="27" s="1"/>
  <c r="AW30" i="23" s="1"/>
  <c r="AA60" i="27"/>
  <c r="AE70" i="27" s="1"/>
  <c r="AW27" i="23" s="1"/>
  <c r="AA66" i="27"/>
  <c r="AE76" i="27" s="1"/>
  <c r="AW33" i="23" s="1"/>
  <c r="AA62" i="27"/>
  <c r="AE72" i="27" s="1"/>
  <c r="AW29" i="23" s="1"/>
  <c r="W41" i="27"/>
  <c r="AA63" i="23"/>
  <c r="AL34" i="28"/>
  <c r="AM34" i="28" s="1"/>
  <c r="AK42" i="28" s="1"/>
  <c r="AK43" i="28" s="1"/>
  <c r="X62" i="28"/>
  <c r="AF63" i="28" s="1"/>
  <c r="BC20" i="23" s="1"/>
  <c r="X64" i="28"/>
  <c r="AF65" i="28" s="1"/>
  <c r="BC22" i="23" s="1"/>
  <c r="X66" i="28"/>
  <c r="AF67" i="28" s="1"/>
  <c r="BC24" i="23" s="1"/>
  <c r="X59" i="28"/>
  <c r="AF60" i="28" s="1"/>
  <c r="BC17" i="23" s="1"/>
  <c r="X54" i="23" s="1"/>
  <c r="X65" i="28"/>
  <c r="AF66" i="28" s="1"/>
  <c r="BC23" i="23" s="1"/>
  <c r="X60" i="28"/>
  <c r="AF61" i="28" s="1"/>
  <c r="BC18" i="23" s="1"/>
  <c r="X67" i="28"/>
  <c r="AF68" i="28" s="1"/>
  <c r="BC25" i="23" s="1"/>
  <c r="Y54" i="23" s="1"/>
  <c r="X61" i="28"/>
  <c r="AF62" i="28" s="1"/>
  <c r="BC19" i="23" s="1"/>
  <c r="X63" i="28"/>
  <c r="AF64" i="28" s="1"/>
  <c r="BC21" i="23" s="1"/>
  <c r="W65" i="28"/>
  <c r="AE66" i="28" s="1"/>
  <c r="BB23" i="23" s="1"/>
  <c r="W61" i="28"/>
  <c r="AE62" i="28" s="1"/>
  <c r="BB19" i="23" s="1"/>
  <c r="W64" i="28"/>
  <c r="AE65" i="28" s="1"/>
  <c r="BB22" i="23" s="1"/>
  <c r="W59" i="28"/>
  <c r="AE60" i="28" s="1"/>
  <c r="BB17" i="23" s="1"/>
  <c r="W67" i="28"/>
  <c r="AE68" i="28" s="1"/>
  <c r="W63" i="28"/>
  <c r="AE64" i="28" s="1"/>
  <c r="BB21" i="23" s="1"/>
  <c r="W60" i="28"/>
  <c r="AE61" i="28" s="1"/>
  <c r="BB18" i="23" s="1"/>
  <c r="W66" i="28"/>
  <c r="AE67" i="28" s="1"/>
  <c r="BB24" i="23" s="1"/>
  <c r="W62" i="28"/>
  <c r="AE63" i="28" s="1"/>
  <c r="BB20" i="23" s="1"/>
  <c r="AL33" i="26"/>
  <c r="AM33" i="26" s="1"/>
  <c r="AK40" i="26" s="1"/>
  <c r="AK41" i="26" s="1"/>
  <c r="AB49" i="26"/>
  <c r="AF53" i="26" s="1"/>
  <c r="AS10" i="23" s="1"/>
  <c r="AB50" i="26"/>
  <c r="AF54" i="26" s="1"/>
  <c r="AS11" i="23" s="1"/>
  <c r="AB51" i="26"/>
  <c r="AF55" i="26" s="1"/>
  <c r="AS12" i="23" s="1"/>
  <c r="AB52" i="26"/>
  <c r="AF56" i="26" s="1"/>
  <c r="AS13" i="23" s="1"/>
  <c r="AB53" i="26"/>
  <c r="AF57" i="26" s="1"/>
  <c r="AS14" i="23" s="1"/>
  <c r="AB54" i="26"/>
  <c r="AF58" i="26" s="1"/>
  <c r="AS15" i="23" s="1"/>
  <c r="AB55" i="26"/>
  <c r="AF59" i="26" s="1"/>
  <c r="AS16" i="23" s="1"/>
  <c r="W48" i="23" s="1"/>
  <c r="AB47" i="26"/>
  <c r="AF51" i="26" s="1"/>
  <c r="AS8" i="23" s="1"/>
  <c r="V48" i="23" s="1"/>
  <c r="X32" i="26"/>
  <c r="AA55" i="26"/>
  <c r="AE59" i="26" s="1"/>
  <c r="AA53" i="26"/>
  <c r="AE57" i="26" s="1"/>
  <c r="AR14" i="23" s="1"/>
  <c r="AA51" i="26"/>
  <c r="AE55" i="26" s="1"/>
  <c r="AR12" i="23" s="1"/>
  <c r="AA48" i="26"/>
  <c r="AE52" i="26" s="1"/>
  <c r="AR9" i="23" s="1"/>
  <c r="AA47" i="26"/>
  <c r="AE51" i="26" s="1"/>
  <c r="AR8" i="23" s="1"/>
  <c r="AB48" i="26"/>
  <c r="AF52" i="26" s="1"/>
  <c r="AS9" i="23" s="1"/>
  <c r="AA54" i="26"/>
  <c r="AE58" i="26" s="1"/>
  <c r="AR15" i="23" s="1"/>
  <c r="AA52" i="26"/>
  <c r="AE56" i="26" s="1"/>
  <c r="AR13" i="23" s="1"/>
  <c r="AA50" i="26"/>
  <c r="AE54" i="26" s="1"/>
  <c r="AR11" i="23" s="1"/>
  <c r="AA49" i="26"/>
  <c r="AE53" i="26" s="1"/>
  <c r="AR10" i="23" s="1"/>
  <c r="Z37" i="26"/>
  <c r="Y62" i="23"/>
  <c r="AL36" i="28"/>
  <c r="AM36" i="28" s="1"/>
  <c r="AK46" i="28" s="1"/>
  <c r="AK47" i="28" s="1"/>
  <c r="X80" i="28"/>
  <c r="AF86" i="28" s="1"/>
  <c r="BC43" i="23" s="1"/>
  <c r="AC54" i="23" s="1"/>
  <c r="X72" i="28"/>
  <c r="AF78" i="28" s="1"/>
  <c r="BC35" i="23" s="1"/>
  <c r="AB54" i="23" s="1"/>
  <c r="X74" i="28"/>
  <c r="AF80" i="28" s="1"/>
  <c r="BC37" i="23" s="1"/>
  <c r="X76" i="28"/>
  <c r="AF82" i="28" s="1"/>
  <c r="BC39" i="23" s="1"/>
  <c r="X77" i="28"/>
  <c r="AF83" i="28" s="1"/>
  <c r="BC40" i="23" s="1"/>
  <c r="X78" i="28"/>
  <c r="AF84" i="28" s="1"/>
  <c r="BC41" i="23" s="1"/>
  <c r="X79" i="28"/>
  <c r="AF85" i="28" s="1"/>
  <c r="BC42" i="23" s="1"/>
  <c r="X73" i="28"/>
  <c r="AF79" i="28" s="1"/>
  <c r="BC36" i="23" s="1"/>
  <c r="X75" i="28"/>
  <c r="AF81" i="28" s="1"/>
  <c r="BC38" i="23" s="1"/>
  <c r="W73" i="28"/>
  <c r="AE79" i="28" s="1"/>
  <c r="BB36" i="23" s="1"/>
  <c r="W79" i="28"/>
  <c r="AE85" i="28" s="1"/>
  <c r="BB42" i="23" s="1"/>
  <c r="W77" i="28"/>
  <c r="AE83" i="28" s="1"/>
  <c r="BB40" i="23" s="1"/>
  <c r="W74" i="28"/>
  <c r="AE80" i="28" s="1"/>
  <c r="BB37" i="23" s="1"/>
  <c r="W75" i="28"/>
  <c r="AE81" i="28" s="1"/>
  <c r="BB38" i="23" s="1"/>
  <c r="W72" i="28"/>
  <c r="AE78" i="28" s="1"/>
  <c r="BB35" i="23" s="1"/>
  <c r="W80" i="28"/>
  <c r="AE86" i="28" s="1"/>
  <c r="W78" i="28"/>
  <c r="AE84" i="28" s="1"/>
  <c r="BB41" i="23" s="1"/>
  <c r="W76" i="28"/>
  <c r="AE82" i="28" s="1"/>
  <c r="BB39" i="23" s="1"/>
  <c r="Z41" i="28"/>
  <c r="AB64" i="23"/>
  <c r="AL35" i="25"/>
  <c r="AM35" i="25" s="1"/>
  <c r="AK44" i="25" s="1"/>
  <c r="AK45" i="25" s="1"/>
  <c r="AB62" i="25"/>
  <c r="AF72" i="25" s="1"/>
  <c r="AN29" i="23" s="1"/>
  <c r="AB64" i="25"/>
  <c r="AF74" i="25" s="1"/>
  <c r="AN31" i="23" s="1"/>
  <c r="AB66" i="25"/>
  <c r="AF76" i="25" s="1"/>
  <c r="AN33" i="23" s="1"/>
  <c r="AB59" i="25"/>
  <c r="AF69" i="25" s="1"/>
  <c r="AN26" i="23" s="1"/>
  <c r="Z45" i="23" s="1"/>
  <c r="AB60" i="25"/>
  <c r="AF70" i="25" s="1"/>
  <c r="AN27" i="23" s="1"/>
  <c r="AB65" i="25"/>
  <c r="AF75" i="25" s="1"/>
  <c r="AN32" i="23" s="1"/>
  <c r="AB61" i="25"/>
  <c r="AF71" i="25" s="1"/>
  <c r="AN28" i="23" s="1"/>
  <c r="AB67" i="25"/>
  <c r="AF77" i="25" s="1"/>
  <c r="AN34" i="23" s="1"/>
  <c r="AA45" i="23" s="1"/>
  <c r="AB63" i="25"/>
  <c r="AF73" i="25" s="1"/>
  <c r="AN30" i="23" s="1"/>
  <c r="AA67" i="25"/>
  <c r="AE77" i="25" s="1"/>
  <c r="AA63" i="25"/>
  <c r="AE73" i="25" s="1"/>
  <c r="AM30" i="23" s="1"/>
  <c r="AA60" i="25"/>
  <c r="AE70" i="25" s="1"/>
  <c r="AM27" i="23" s="1"/>
  <c r="AA66" i="25"/>
  <c r="AE76" i="25" s="1"/>
  <c r="AM33" i="23" s="1"/>
  <c r="AA62" i="25"/>
  <c r="AE72" i="25" s="1"/>
  <c r="AM29" i="23" s="1"/>
  <c r="AA65" i="25"/>
  <c r="AE75" i="25" s="1"/>
  <c r="AM32" i="23" s="1"/>
  <c r="AA61" i="25"/>
  <c r="AE71" i="25" s="1"/>
  <c r="AM28" i="23" s="1"/>
  <c r="AA59" i="25"/>
  <c r="AE69" i="25" s="1"/>
  <c r="AM26" i="23" s="1"/>
  <c r="AA64" i="25"/>
  <c r="AE74" i="25" s="1"/>
  <c r="AM31" i="23" s="1"/>
  <c r="AL34" i="26"/>
  <c r="AM34" i="26" s="1"/>
  <c r="AK42" i="26" s="1"/>
  <c r="AK43" i="26" s="1"/>
  <c r="X65" i="26"/>
  <c r="AF66" i="26" s="1"/>
  <c r="AS23" i="23" s="1"/>
  <c r="X66" i="26"/>
  <c r="AF67" i="26" s="1"/>
  <c r="AS24" i="23" s="1"/>
  <c r="X59" i="26"/>
  <c r="AF60" i="26" s="1"/>
  <c r="AS17" i="23" s="1"/>
  <c r="X48" i="23" s="1"/>
  <c r="X64" i="26"/>
  <c r="AF65" i="26" s="1"/>
  <c r="AS22" i="23" s="1"/>
  <c r="X62" i="26"/>
  <c r="AF63" i="26" s="1"/>
  <c r="AS20" i="23" s="1"/>
  <c r="X67" i="26"/>
  <c r="AF68" i="26" s="1"/>
  <c r="AS25" i="23" s="1"/>
  <c r="Y48" i="23" s="1"/>
  <c r="X60" i="26"/>
  <c r="AF61" i="26" s="1"/>
  <c r="AS18" i="23" s="1"/>
  <c r="X61" i="26"/>
  <c r="AF62" i="26" s="1"/>
  <c r="AS19" i="23" s="1"/>
  <c r="X63" i="26"/>
  <c r="AF64" i="26" s="1"/>
  <c r="AS21" i="23" s="1"/>
  <c r="W66" i="26"/>
  <c r="AE67" i="26" s="1"/>
  <c r="AR24" i="23" s="1"/>
  <c r="W67" i="26"/>
  <c r="AE68" i="26" s="1"/>
  <c r="W63" i="26"/>
  <c r="AE64" i="26" s="1"/>
  <c r="AR21" i="23" s="1"/>
  <c r="W59" i="26"/>
  <c r="AE60" i="26" s="1"/>
  <c r="AR17" i="23" s="1"/>
  <c r="W60" i="26"/>
  <c r="AE61" i="26" s="1"/>
  <c r="AR18" i="23" s="1"/>
  <c r="W64" i="26"/>
  <c r="AE65" i="26" s="1"/>
  <c r="AR22" i="23" s="1"/>
  <c r="W65" i="26"/>
  <c r="AE66" i="26" s="1"/>
  <c r="AR23" i="23" s="1"/>
  <c r="W62" i="26"/>
  <c r="AE63" i="26" s="1"/>
  <c r="AR20" i="23" s="1"/>
  <c r="W61" i="26"/>
  <c r="AE62" i="26" s="1"/>
  <c r="AR19" i="23" s="1"/>
  <c r="AC37" i="26"/>
  <c r="Z62" i="23"/>
  <c r="AL36" i="27"/>
  <c r="AM36" i="27" s="1"/>
  <c r="AK46" i="27" s="1"/>
  <c r="AK47" i="27" s="1"/>
  <c r="X79" i="27"/>
  <c r="AF85" i="27" s="1"/>
  <c r="AX42" i="23" s="1"/>
  <c r="X77" i="27"/>
  <c r="AF83" i="27" s="1"/>
  <c r="AX40" i="23" s="1"/>
  <c r="X75" i="27"/>
  <c r="AF81" i="27" s="1"/>
  <c r="AX38" i="23" s="1"/>
  <c r="X72" i="27"/>
  <c r="AF78" i="27" s="1"/>
  <c r="AX35" i="23" s="1"/>
  <c r="AB51" i="23" s="1"/>
  <c r="X80" i="27"/>
  <c r="AF86" i="27" s="1"/>
  <c r="AX43" i="23" s="1"/>
  <c r="AC51" i="23" s="1"/>
  <c r="X78" i="27"/>
  <c r="AF84" i="27" s="1"/>
  <c r="AX41" i="23" s="1"/>
  <c r="X76" i="27"/>
  <c r="AF82" i="27" s="1"/>
  <c r="AX39" i="23" s="1"/>
  <c r="X73" i="27"/>
  <c r="AF79" i="27" s="1"/>
  <c r="AX36" i="23" s="1"/>
  <c r="X74" i="27"/>
  <c r="AF80" i="27" s="1"/>
  <c r="AX37" i="23" s="1"/>
  <c r="W80" i="27"/>
  <c r="AE86" i="27" s="1"/>
  <c r="W78" i="27"/>
  <c r="AE84" i="27" s="1"/>
  <c r="AW41" i="23" s="1"/>
  <c r="W76" i="27"/>
  <c r="AE82" i="27" s="1"/>
  <c r="AW39" i="23" s="1"/>
  <c r="W73" i="27"/>
  <c r="AE79" i="27" s="1"/>
  <c r="AW36" i="23" s="1"/>
  <c r="W75" i="27"/>
  <c r="AE81" i="27" s="1"/>
  <c r="AW38" i="23" s="1"/>
  <c r="W79" i="27"/>
  <c r="AE85" i="27" s="1"/>
  <c r="AW42" i="23" s="1"/>
  <c r="W77" i="27"/>
  <c r="AE83" i="27" s="1"/>
  <c r="AW40" i="23" s="1"/>
  <c r="W74" i="27"/>
  <c r="AE80" i="27" s="1"/>
  <c r="AW37" i="23" s="1"/>
  <c r="W72" i="27"/>
  <c r="AE78" i="27" s="1"/>
  <c r="AW35" i="23" s="1"/>
  <c r="Z41" i="27"/>
  <c r="AB63" i="23"/>
  <c r="Z32" i="28"/>
  <c r="AA32" i="25"/>
  <c r="AH16" i="23" l="1"/>
  <c r="X60" i="23"/>
  <c r="AN34" i="24"/>
  <c r="AL43" i="24" s="1"/>
  <c r="AN36" i="26"/>
  <c r="AL47" i="26" s="1"/>
  <c r="AN36" i="27"/>
  <c r="AL47" i="27" s="1"/>
  <c r="AI24" i="27"/>
  <c r="AI25" i="27" s="1"/>
  <c r="AI26" i="27" s="1"/>
  <c r="AI27" i="27" s="1"/>
  <c r="AI18" i="27"/>
  <c r="AI19" i="27" s="1"/>
  <c r="AI20" i="27" s="1"/>
  <c r="AI38" i="27"/>
  <c r="AI42" i="27" s="1"/>
  <c r="AI45" i="27"/>
  <c r="AI49" i="27" s="1"/>
  <c r="AI21" i="27"/>
  <c r="AI31" i="27"/>
  <c r="AI35" i="27" s="1"/>
  <c r="AN35" i="25"/>
  <c r="AL45" i="25" s="1"/>
  <c r="AN34" i="28"/>
  <c r="AL43" i="28" s="1"/>
  <c r="AN34" i="25"/>
  <c r="AL43" i="25" s="1"/>
  <c r="AN33" i="27"/>
  <c r="AL41" i="27" s="1"/>
  <c r="AN33" i="25"/>
  <c r="AL41" i="25" s="1"/>
  <c r="AN33" i="28"/>
  <c r="AL41" i="28" s="1"/>
  <c r="W41" i="25"/>
  <c r="AA61" i="23"/>
  <c r="AC37" i="28"/>
  <c r="Z64" i="23"/>
  <c r="AL26" i="28"/>
  <c r="BB43" i="23"/>
  <c r="AL20" i="26"/>
  <c r="AR16" i="23"/>
  <c r="AL24" i="27"/>
  <c r="AW34" i="23"/>
  <c r="Z37" i="27"/>
  <c r="Y63" i="23"/>
  <c r="AL24" i="26"/>
  <c r="AR34" i="23"/>
  <c r="AL22" i="25"/>
  <c r="AM25" i="23"/>
  <c r="W37" i="27"/>
  <c r="X63" i="23"/>
  <c r="AL20" i="25"/>
  <c r="AM16" i="23"/>
  <c r="AL22" i="27"/>
  <c r="AW25" i="23"/>
  <c r="AL24" i="28"/>
  <c r="BB34" i="23"/>
  <c r="AI28" i="27"/>
  <c r="AN34" i="26"/>
  <c r="AL43" i="26" s="1"/>
  <c r="AN36" i="28"/>
  <c r="AL47" i="28" s="1"/>
  <c r="AN33" i="26"/>
  <c r="AL41" i="26" s="1"/>
  <c r="AN35" i="27"/>
  <c r="AL45" i="27" s="1"/>
  <c r="AN35" i="26"/>
  <c r="AL45" i="26" s="1"/>
  <c r="AN34" i="27"/>
  <c r="AL43" i="27" s="1"/>
  <c r="AN35" i="28"/>
  <c r="AL45" i="28" s="1"/>
  <c r="AL26" i="27"/>
  <c r="AW43" i="23"/>
  <c r="AL22" i="26"/>
  <c r="AR25" i="23"/>
  <c r="AL24" i="25"/>
  <c r="AM34" i="23"/>
  <c r="W37" i="26"/>
  <c r="X62" i="23"/>
  <c r="AL22" i="28"/>
  <c r="BB25" i="23"/>
  <c r="AL26" i="26"/>
  <c r="AR43" i="23"/>
  <c r="AL20" i="27"/>
  <c r="AW16" i="23"/>
  <c r="W37" i="25"/>
  <c r="X61" i="23"/>
  <c r="AL20" i="28"/>
  <c r="BB16" i="23"/>
  <c r="W37" i="28"/>
  <c r="X64" i="23"/>
  <c r="AL26" i="25"/>
  <c r="AM43" i="23"/>
  <c r="AI56" i="27"/>
  <c r="AI53" i="27"/>
  <c r="AI54" i="27" s="1"/>
  <c r="AI55" i="27" s="1"/>
  <c r="AN36" i="25"/>
  <c r="AL47" i="25" s="1"/>
  <c r="AI39" i="27" l="1"/>
  <c r="AI40" i="27" s="1"/>
  <c r="AI41" i="27" s="1"/>
  <c r="AI32" i="27"/>
  <c r="AI33" i="27" s="1"/>
  <c r="AI34" i="27" s="1"/>
  <c r="AI46" i="27"/>
  <c r="AI47" i="27" s="1"/>
  <c r="AI48" i="27" s="1"/>
  <c r="AI17" i="28" l="1"/>
  <c r="AI45" i="28" s="1"/>
  <c r="AI21" i="28" l="1"/>
  <c r="AI31" i="28"/>
  <c r="AI35" i="28" s="1"/>
  <c r="AI52" i="28"/>
  <c r="AI53" i="28" s="1"/>
  <c r="AI54" i="28" s="1"/>
  <c r="AI55" i="28" s="1"/>
  <c r="AI18" i="28"/>
  <c r="AI19" i="28" s="1"/>
  <c r="AI20" i="28" s="1"/>
  <c r="AI24" i="28"/>
  <c r="AI25" i="28" s="1"/>
  <c r="AI26" i="28" s="1"/>
  <c r="AI27" i="28" s="1"/>
  <c r="AI38" i="28"/>
  <c r="AI42" i="28" s="1"/>
  <c r="AI49" i="28"/>
  <c r="AI46" i="28"/>
  <c r="AI47" i="28" s="1"/>
  <c r="AI48" i="28" s="1"/>
  <c r="AI56" i="28" l="1"/>
  <c r="AI28" i="28"/>
  <c r="AI39" i="28"/>
  <c r="AI40" i="28" s="1"/>
  <c r="AI41" i="28" s="1"/>
  <c r="AI32" i="28"/>
  <c r="AI33" i="28" s="1"/>
  <c r="AI34" i="28" s="1"/>
  <c r="K5" i="22"/>
  <c r="H5" i="22"/>
  <c r="E5" i="22"/>
  <c r="B5" i="22"/>
  <c r="K4" i="22"/>
  <c r="H4" i="22"/>
  <c r="E4" i="22"/>
  <c r="B4" i="22"/>
  <c r="J2" i="22"/>
  <c r="J5" i="22" s="1"/>
  <c r="G2" i="22"/>
  <c r="G5" i="22" s="1"/>
  <c r="D2" i="22"/>
  <c r="D5" i="22" s="1"/>
  <c r="A2" i="22"/>
  <c r="A5" i="22" s="1"/>
  <c r="AD47" i="21"/>
  <c r="C21" i="21"/>
  <c r="B21" i="21"/>
  <c r="H18" i="21"/>
  <c r="G18" i="21"/>
  <c r="C18" i="21"/>
  <c r="B18" i="21"/>
  <c r="G7" i="21"/>
  <c r="F7" i="21"/>
  <c r="E7" i="21"/>
  <c r="D7" i="21"/>
  <c r="C7" i="21"/>
  <c r="G4" i="21"/>
  <c r="Z75" i="21" s="1"/>
  <c r="F4" i="21"/>
  <c r="Z66" i="21" s="1"/>
  <c r="E4" i="21"/>
  <c r="V67" i="21" s="1"/>
  <c r="D4" i="21"/>
  <c r="Z55" i="21" s="1"/>
  <c r="C4" i="21"/>
  <c r="AK55" i="21" s="1"/>
  <c r="AD47" i="20"/>
  <c r="AV4" i="16" s="1"/>
  <c r="C21" i="20"/>
  <c r="B21" i="20"/>
  <c r="H18" i="20"/>
  <c r="G18" i="20"/>
  <c r="C18" i="20"/>
  <c r="B18" i="20"/>
  <c r="G7" i="20"/>
  <c r="F7" i="20"/>
  <c r="E7" i="20"/>
  <c r="D7" i="20"/>
  <c r="C7" i="20"/>
  <c r="G4" i="20"/>
  <c r="F4" i="20"/>
  <c r="E4" i="20"/>
  <c r="D4" i="20"/>
  <c r="C4" i="20"/>
  <c r="AK55" i="20" s="1"/>
  <c r="AD47" i="19"/>
  <c r="C21" i="19"/>
  <c r="B21" i="19"/>
  <c r="H18" i="19"/>
  <c r="G18" i="19"/>
  <c r="C18" i="19"/>
  <c r="B18" i="19"/>
  <c r="G7" i="19"/>
  <c r="F7" i="19"/>
  <c r="E7" i="19"/>
  <c r="D7" i="19"/>
  <c r="C7" i="19"/>
  <c r="G4" i="19"/>
  <c r="Z75" i="19" s="1"/>
  <c r="F4" i="19"/>
  <c r="Z66" i="19" s="1"/>
  <c r="E4" i="19"/>
  <c r="V67" i="19" s="1"/>
  <c r="D4" i="19"/>
  <c r="Z55" i="19" s="1"/>
  <c r="C4" i="19"/>
  <c r="AK55" i="19" s="1"/>
  <c r="AD47" i="18"/>
  <c r="C21" i="18"/>
  <c r="B21" i="18"/>
  <c r="H18" i="18"/>
  <c r="G18" i="18"/>
  <c r="C18" i="18"/>
  <c r="B18" i="18"/>
  <c r="G7" i="18"/>
  <c r="F7" i="18"/>
  <c r="E7" i="18"/>
  <c r="D7" i="18"/>
  <c r="C7" i="18"/>
  <c r="G4" i="18"/>
  <c r="Z75" i="18" s="1"/>
  <c r="F4" i="18"/>
  <c r="Z66" i="18" s="1"/>
  <c r="E4" i="18"/>
  <c r="V67" i="18" s="1"/>
  <c r="D4" i="18"/>
  <c r="Z55" i="18" s="1"/>
  <c r="C4" i="18"/>
  <c r="AK55" i="18" s="1"/>
  <c r="AD47" i="17"/>
  <c r="AI45" i="17"/>
  <c r="AI49" i="17" s="1"/>
  <c r="AI38" i="17"/>
  <c r="AI42" i="17" s="1"/>
  <c r="AI31" i="17"/>
  <c r="AI35" i="17" s="1"/>
  <c r="AI24" i="17"/>
  <c r="AI28" i="17" s="1"/>
  <c r="AI21" i="17"/>
  <c r="C21" i="17"/>
  <c r="B21" i="17"/>
  <c r="AI18" i="17"/>
  <c r="H18" i="17"/>
  <c r="G18" i="17"/>
  <c r="C18" i="17"/>
  <c r="B18" i="17"/>
  <c r="G7" i="17"/>
  <c r="F7" i="17"/>
  <c r="E7" i="17"/>
  <c r="D7" i="17"/>
  <c r="C7" i="17"/>
  <c r="G4" i="17"/>
  <c r="Z75" i="17" s="1"/>
  <c r="F4" i="17"/>
  <c r="Z66" i="17" s="1"/>
  <c r="E4" i="17"/>
  <c r="V67" i="17" s="1"/>
  <c r="D4" i="17"/>
  <c r="Z55" i="17" s="1"/>
  <c r="C4" i="17"/>
  <c r="AK55" i="17" s="1"/>
  <c r="D80" i="16"/>
  <c r="I77" i="16"/>
  <c r="D77" i="16"/>
  <c r="BA4" i="16"/>
  <c r="AQ4" i="16"/>
  <c r="AL4" i="16"/>
  <c r="AG4" i="16"/>
  <c r="AF4" i="16" s="1"/>
  <c r="D21" i="17" l="1"/>
  <c r="D18" i="18"/>
  <c r="I18" i="18"/>
  <c r="D21" i="18"/>
  <c r="D18" i="20"/>
  <c r="I18" i="20"/>
  <c r="D18" i="17"/>
  <c r="D18" i="19"/>
  <c r="I18" i="19"/>
  <c r="W16" i="19" s="1"/>
  <c r="D21" i="19"/>
  <c r="D18" i="21"/>
  <c r="I18" i="21"/>
  <c r="W16" i="21" s="1"/>
  <c r="D21" i="21"/>
  <c r="D21" i="20"/>
  <c r="I18" i="17"/>
  <c r="W17" i="17" s="1"/>
  <c r="Z22" i="19"/>
  <c r="Z22" i="21"/>
  <c r="Z22" i="18"/>
  <c r="Z22" i="20"/>
  <c r="AI19" i="17"/>
  <c r="AI20" i="17" s="1"/>
  <c r="Z22" i="17"/>
  <c r="AK56" i="20"/>
  <c r="AK57" i="20" s="1"/>
  <c r="AK58" i="20" s="1"/>
  <c r="AK59" i="20" s="1"/>
  <c r="AH46" i="20" s="1"/>
  <c r="AH47" i="20" s="1"/>
  <c r="AZ4" i="16"/>
  <c r="AU4" i="16"/>
  <c r="AP4" i="16"/>
  <c r="AK4" i="16"/>
  <c r="AK56" i="17"/>
  <c r="AK17" i="17"/>
  <c r="AK18" i="17" s="1"/>
  <c r="V36" i="17"/>
  <c r="V37" i="17" s="1"/>
  <c r="AK56" i="18"/>
  <c r="AK17" i="18"/>
  <c r="AK18" i="18" s="1"/>
  <c r="V36" i="18"/>
  <c r="V37" i="18" s="1"/>
  <c r="AK56" i="19"/>
  <c r="AK17" i="19"/>
  <c r="AK18" i="19" s="1"/>
  <c r="V36" i="19"/>
  <c r="V37" i="19" s="1"/>
  <c r="AH18" i="17"/>
  <c r="AH19" i="17" s="1"/>
  <c r="Z21" i="17"/>
  <c r="AI25" i="17"/>
  <c r="AI26" i="17" s="1"/>
  <c r="AI27" i="17" s="1"/>
  <c r="AC28" i="17"/>
  <c r="AI32" i="17"/>
  <c r="AI33" i="17" s="1"/>
  <c r="AI34" i="17" s="1"/>
  <c r="AI39" i="17"/>
  <c r="AI40" i="17" s="1"/>
  <c r="AI41" i="17" s="1"/>
  <c r="AI46" i="17"/>
  <c r="AI47" i="17" s="1"/>
  <c r="AI48" i="17" s="1"/>
  <c r="X47" i="17"/>
  <c r="AF47" i="17" s="1"/>
  <c r="AI4" i="16" s="1"/>
  <c r="V48" i="17"/>
  <c r="AD48" i="17" s="1"/>
  <c r="AG5" i="16" s="1"/>
  <c r="AF5" i="16" s="1"/>
  <c r="Z49" i="17"/>
  <c r="V50" i="17"/>
  <c r="AD50" i="17" s="1"/>
  <c r="V60" i="17"/>
  <c r="Z61" i="17"/>
  <c r="V62" i="17"/>
  <c r="Z63" i="17"/>
  <c r="V64" i="17"/>
  <c r="Z65" i="17"/>
  <c r="V66" i="17"/>
  <c r="Z67" i="17"/>
  <c r="AH18" i="18"/>
  <c r="AH19" i="18" s="1"/>
  <c r="Z21" i="18"/>
  <c r="AC28" i="18"/>
  <c r="X47" i="18"/>
  <c r="AF47" i="18" s="1"/>
  <c r="AN4" i="16" s="1"/>
  <c r="V48" i="18"/>
  <c r="AD48" i="18" s="1"/>
  <c r="AL5" i="16" s="1"/>
  <c r="Z49" i="18"/>
  <c r="V50" i="18"/>
  <c r="AD50" i="18" s="1"/>
  <c r="V60" i="18"/>
  <c r="Z61" i="18"/>
  <c r="V62" i="18"/>
  <c r="Z63" i="18"/>
  <c r="V64" i="18"/>
  <c r="Z65" i="18"/>
  <c r="V66" i="18"/>
  <c r="Z67" i="18"/>
  <c r="AH24" i="17"/>
  <c r="V28" i="17"/>
  <c r="W47" i="17"/>
  <c r="AE47" i="17" s="1"/>
  <c r="AH4" i="16" s="1"/>
  <c r="Z48" i="17"/>
  <c r="V49" i="17"/>
  <c r="AD49" i="17" s="1"/>
  <c r="AG6" i="16" s="1"/>
  <c r="AF6" i="16" s="1"/>
  <c r="Z50" i="17"/>
  <c r="Z51" i="17"/>
  <c r="Z52" i="17"/>
  <c r="Z53" i="17"/>
  <c r="Z54" i="17"/>
  <c r="Z60" i="17"/>
  <c r="V61" i="17"/>
  <c r="Z62" i="17"/>
  <c r="V63" i="17"/>
  <c r="Z64" i="17"/>
  <c r="V65" i="17"/>
  <c r="Z73" i="17"/>
  <c r="Z74" i="17"/>
  <c r="AH24" i="18"/>
  <c r="V28" i="18"/>
  <c r="W47" i="18"/>
  <c r="AE47" i="18" s="1"/>
  <c r="AM4" i="16" s="1"/>
  <c r="Z48" i="18"/>
  <c r="V49" i="18"/>
  <c r="AD49" i="18" s="1"/>
  <c r="AL6" i="16" s="1"/>
  <c r="Z50" i="18"/>
  <c r="Z51" i="18"/>
  <c r="Z52" i="18"/>
  <c r="Z53" i="18"/>
  <c r="Z54" i="18"/>
  <c r="Z60" i="18"/>
  <c r="V61" i="18"/>
  <c r="Z62" i="18"/>
  <c r="V63" i="18"/>
  <c r="Z64" i="18"/>
  <c r="V65" i="18"/>
  <c r="Z73" i="18"/>
  <c r="Z74" i="18"/>
  <c r="Z55" i="20"/>
  <c r="Z54" i="20"/>
  <c r="Z66" i="20"/>
  <c r="Z64" i="20"/>
  <c r="Z62" i="20"/>
  <c r="Z60" i="20"/>
  <c r="Z67" i="20"/>
  <c r="Z65" i="20"/>
  <c r="Z63" i="20"/>
  <c r="Z61" i="20"/>
  <c r="AK56" i="21"/>
  <c r="AK17" i="21"/>
  <c r="AK18" i="21" s="1"/>
  <c r="V36" i="21"/>
  <c r="V37" i="21" s="1"/>
  <c r="AH18" i="19"/>
  <c r="AH19" i="19" s="1"/>
  <c r="Z21" i="19"/>
  <c r="AC28" i="19"/>
  <c r="X47" i="19"/>
  <c r="AF47" i="19" s="1"/>
  <c r="AS4" i="16" s="1"/>
  <c r="V48" i="19"/>
  <c r="AD48" i="19" s="1"/>
  <c r="AQ5" i="16" s="1"/>
  <c r="Z49" i="19"/>
  <c r="V50" i="19"/>
  <c r="AD50" i="19" s="1"/>
  <c r="V60" i="19"/>
  <c r="Z61" i="19"/>
  <c r="V62" i="19"/>
  <c r="Z63" i="19"/>
  <c r="V64" i="19"/>
  <c r="Z65" i="19"/>
  <c r="V66" i="19"/>
  <c r="Z67" i="19"/>
  <c r="W16" i="20"/>
  <c r="AH18" i="20"/>
  <c r="AH19" i="20" s="1"/>
  <c r="Z21" i="20"/>
  <c r="AC28" i="20"/>
  <c r="V36" i="20"/>
  <c r="V37" i="20" s="1"/>
  <c r="X47" i="20"/>
  <c r="AF47" i="20" s="1"/>
  <c r="AX4" i="16" s="1"/>
  <c r="V48" i="20"/>
  <c r="AD48" i="20" s="1"/>
  <c r="AV5" i="16" s="1"/>
  <c r="Z49" i="20"/>
  <c r="V50" i="20"/>
  <c r="AD50" i="20" s="1"/>
  <c r="V67" i="20"/>
  <c r="V65" i="20"/>
  <c r="V63" i="20"/>
  <c r="V61" i="20"/>
  <c r="V66" i="20"/>
  <c r="V64" i="20"/>
  <c r="V62" i="20"/>
  <c r="V60" i="20"/>
  <c r="Z75" i="20"/>
  <c r="Z74" i="20"/>
  <c r="Z73" i="20"/>
  <c r="AH24" i="19"/>
  <c r="V28" i="19"/>
  <c r="W47" i="19"/>
  <c r="AE47" i="19" s="1"/>
  <c r="AR4" i="16" s="1"/>
  <c r="Z48" i="19"/>
  <c r="V49" i="19"/>
  <c r="AD49" i="19" s="1"/>
  <c r="AQ6" i="16" s="1"/>
  <c r="Z50" i="19"/>
  <c r="Z51" i="19"/>
  <c r="Z52" i="19"/>
  <c r="Z53" i="19"/>
  <c r="Z54" i="19"/>
  <c r="Z60" i="19"/>
  <c r="V61" i="19"/>
  <c r="Z62" i="19"/>
  <c r="V63" i="19"/>
  <c r="Z64" i="19"/>
  <c r="V65" i="19"/>
  <c r="Z73" i="19"/>
  <c r="Z74" i="19"/>
  <c r="AK17" i="20"/>
  <c r="AK18" i="20" s="1"/>
  <c r="AH24" i="20"/>
  <c r="V28" i="20"/>
  <c r="W47" i="20"/>
  <c r="AE47" i="20" s="1"/>
  <c r="AW4" i="16" s="1"/>
  <c r="Z48" i="20"/>
  <c r="V49" i="20"/>
  <c r="AD49" i="20" s="1"/>
  <c r="AV6" i="16" s="1"/>
  <c r="Z50" i="20"/>
  <c r="Z51" i="20"/>
  <c r="Z52" i="20"/>
  <c r="Z53" i="20"/>
  <c r="AH18" i="21"/>
  <c r="AH19" i="21" s="1"/>
  <c r="Z21" i="21"/>
  <c r="AC28" i="21"/>
  <c r="X47" i="21"/>
  <c r="AF47" i="21" s="1"/>
  <c r="BC4" i="16" s="1"/>
  <c r="V48" i="21"/>
  <c r="AD48" i="21" s="1"/>
  <c r="BA5" i="16" s="1"/>
  <c r="Z49" i="21"/>
  <c r="V50" i="21"/>
  <c r="AD50" i="21" s="1"/>
  <c r="V60" i="21"/>
  <c r="Z61" i="21"/>
  <c r="V62" i="21"/>
  <c r="Z63" i="21"/>
  <c r="V64" i="21"/>
  <c r="Z65" i="21"/>
  <c r="V66" i="21"/>
  <c r="Z67" i="21"/>
  <c r="D3" i="22"/>
  <c r="J3" i="22"/>
  <c r="AH24" i="21"/>
  <c r="V28" i="21"/>
  <c r="W47" i="21"/>
  <c r="AE47" i="21" s="1"/>
  <c r="BB4" i="16" s="1"/>
  <c r="Z48" i="21"/>
  <c r="V49" i="21"/>
  <c r="AD49" i="21" s="1"/>
  <c r="BA6" i="16" s="1"/>
  <c r="Z50" i="21"/>
  <c r="Z51" i="21"/>
  <c r="Z52" i="21"/>
  <c r="Z53" i="21"/>
  <c r="Z54" i="21"/>
  <c r="Z60" i="21"/>
  <c r="V61" i="21"/>
  <c r="Z62" i="21"/>
  <c r="V63" i="21"/>
  <c r="Z64" i="21"/>
  <c r="V65" i="21"/>
  <c r="Z73" i="21"/>
  <c r="Z74" i="21"/>
  <c r="A3" i="22"/>
  <c r="G3" i="22"/>
  <c r="A4" i="22"/>
  <c r="D4" i="22"/>
  <c r="G4" i="22"/>
  <c r="J4" i="22"/>
  <c r="W17" i="18" l="1"/>
  <c r="W17" i="20"/>
  <c r="V17" i="19"/>
  <c r="W17" i="19"/>
  <c r="V17" i="17"/>
  <c r="W17" i="21"/>
  <c r="AH39" i="20"/>
  <c r="AH40" i="20" s="1"/>
  <c r="W48" i="19"/>
  <c r="AE48" i="19" s="1"/>
  <c r="AR5" i="16" s="1"/>
  <c r="V17" i="21"/>
  <c r="AH31" i="20"/>
  <c r="AH35" i="20" s="1"/>
  <c r="AH25" i="20"/>
  <c r="AH26" i="20" s="1"/>
  <c r="AK23" i="20"/>
  <c r="AK24" i="20" s="1"/>
  <c r="W48" i="17"/>
  <c r="AE48" i="17" s="1"/>
  <c r="AH5" i="16" s="1"/>
  <c r="AA72" i="21"/>
  <c r="AE78" i="21" s="1"/>
  <c r="BB35" i="16" s="1"/>
  <c r="AB22" i="19"/>
  <c r="AE16" i="19" s="1"/>
  <c r="W16" i="17"/>
  <c r="AA75" i="19"/>
  <c r="AE81" i="19" s="1"/>
  <c r="AR38" i="16" s="1"/>
  <c r="W16" i="18"/>
  <c r="AC22" i="18"/>
  <c r="AE17" i="18" s="1"/>
  <c r="AC22" i="19"/>
  <c r="AE17" i="19" s="1"/>
  <c r="AH45" i="20"/>
  <c r="AH48" i="20" s="1"/>
  <c r="Y36" i="20"/>
  <c r="Y37" i="20" s="1"/>
  <c r="AA74" i="19"/>
  <c r="AE80" i="19" s="1"/>
  <c r="AR37" i="16" s="1"/>
  <c r="W48" i="18"/>
  <c r="AE48" i="18" s="1"/>
  <c r="AM5" i="16" s="1"/>
  <c r="AA73" i="19"/>
  <c r="AE79" i="19" s="1"/>
  <c r="AR36" i="16" s="1"/>
  <c r="AA73" i="18"/>
  <c r="AE79" i="18" s="1"/>
  <c r="AM36" i="16" s="1"/>
  <c r="V40" i="20"/>
  <c r="V41" i="20" s="1"/>
  <c r="AH38" i="20"/>
  <c r="AH42" i="20" s="1"/>
  <c r="AH32" i="20"/>
  <c r="AH33" i="20" s="1"/>
  <c r="AB36" i="20"/>
  <c r="AB37" i="20" s="1"/>
  <c r="AK21" i="20"/>
  <c r="AK22" i="20" s="1"/>
  <c r="AK19" i="20"/>
  <c r="AK20" i="20" s="1"/>
  <c r="AB22" i="20"/>
  <c r="AE16" i="20" s="1"/>
  <c r="AC22" i="17"/>
  <c r="AE17" i="17" s="1"/>
  <c r="AA74" i="21"/>
  <c r="AE80" i="21" s="1"/>
  <c r="BB37" i="16" s="1"/>
  <c r="W48" i="20"/>
  <c r="AE48" i="20" s="1"/>
  <c r="AW5" i="16" s="1"/>
  <c r="AC22" i="20"/>
  <c r="AE17" i="20" s="1"/>
  <c r="V17" i="20"/>
  <c r="AA73" i="20"/>
  <c r="AE79" i="20" s="1"/>
  <c r="AW36" i="16" s="1"/>
  <c r="AA75" i="20"/>
  <c r="AE81" i="20" s="1"/>
  <c r="AW38" i="16" s="1"/>
  <c r="AA74" i="18"/>
  <c r="AE80" i="18" s="1"/>
  <c r="AM37" i="16" s="1"/>
  <c r="V16" i="18"/>
  <c r="AA73" i="17"/>
  <c r="AE79" i="17" s="1"/>
  <c r="AH36" i="16" s="1"/>
  <c r="AB22" i="18"/>
  <c r="AE16" i="18" s="1"/>
  <c r="V16" i="19"/>
  <c r="AB22" i="21"/>
  <c r="AE16" i="21" s="1"/>
  <c r="AC22" i="21"/>
  <c r="AE17" i="21" s="1"/>
  <c r="AA73" i="21"/>
  <c r="AE79" i="21" s="1"/>
  <c r="BB36" i="16" s="1"/>
  <c r="W48" i="21"/>
  <c r="AE48" i="21" s="1"/>
  <c r="BB5" i="16" s="1"/>
  <c r="V16" i="21"/>
  <c r="V16" i="20"/>
  <c r="AA74" i="20"/>
  <c r="AE80" i="20" s="1"/>
  <c r="AW37" i="16" s="1"/>
  <c r="V17" i="18"/>
  <c r="AA74" i="17"/>
  <c r="AE80" i="17" s="1"/>
  <c r="AH37" i="16" s="1"/>
  <c r="V16" i="17"/>
  <c r="X49" i="20"/>
  <c r="AF49" i="20" s="1"/>
  <c r="AX6" i="16" s="1"/>
  <c r="X48" i="17"/>
  <c r="AF48" i="17" s="1"/>
  <c r="AI5" i="16" s="1"/>
  <c r="AI17" i="18"/>
  <c r="AI18" i="18" s="1"/>
  <c r="AI19" i="18" s="1"/>
  <c r="AI20" i="18" s="1"/>
  <c r="AB22" i="17"/>
  <c r="AE16" i="17" s="1"/>
  <c r="W49" i="20"/>
  <c r="AE49" i="20" s="1"/>
  <c r="AW6" i="16" s="1"/>
  <c r="X49" i="17"/>
  <c r="AF49" i="17" s="1"/>
  <c r="AI6" i="16" s="1"/>
  <c r="X50" i="18"/>
  <c r="AF50" i="18" s="1"/>
  <c r="AN7" i="16" s="1"/>
  <c r="V45" i="16" s="1"/>
  <c r="X48" i="21"/>
  <c r="AF48" i="21" s="1"/>
  <c r="BC5" i="16" s="1"/>
  <c r="X48" i="19"/>
  <c r="AF48" i="19" s="1"/>
  <c r="AS5" i="16" s="1"/>
  <c r="X49" i="18"/>
  <c r="AF49" i="18" s="1"/>
  <c r="AN6" i="16" s="1"/>
  <c r="W49" i="18"/>
  <c r="AE49" i="18" s="1"/>
  <c r="AM6" i="16" s="1"/>
  <c r="AD59" i="21"/>
  <c r="AD58" i="21"/>
  <c r="BA15" i="16" s="1"/>
  <c r="AD57" i="21"/>
  <c r="BA14" i="16" s="1"/>
  <c r="AD56" i="21"/>
  <c r="BA13" i="16" s="1"/>
  <c r="AD55" i="21"/>
  <c r="BA12" i="16" s="1"/>
  <c r="AD54" i="21"/>
  <c r="BA11" i="16" s="1"/>
  <c r="AD53" i="21"/>
  <c r="BA10" i="16" s="1"/>
  <c r="AD52" i="21"/>
  <c r="BA9" i="16" s="1"/>
  <c r="AD51" i="21"/>
  <c r="BA8" i="16" s="1"/>
  <c r="BA7" i="16"/>
  <c r="AH28" i="21"/>
  <c r="AH27" i="21"/>
  <c r="AH28" i="19"/>
  <c r="AH27" i="19"/>
  <c r="AB75" i="20"/>
  <c r="AF81" i="20" s="1"/>
  <c r="AX38" i="16" s="1"/>
  <c r="AB74" i="20"/>
  <c r="AF80" i="20" s="1"/>
  <c r="AX37" i="16" s="1"/>
  <c r="AB73" i="20"/>
  <c r="AF79" i="20" s="1"/>
  <c r="AX36" i="16" s="1"/>
  <c r="AB72" i="20"/>
  <c r="AF78" i="20" s="1"/>
  <c r="AX35" i="16" s="1"/>
  <c r="AC51" i="16" s="1"/>
  <c r="AK57" i="21"/>
  <c r="Y36" i="21"/>
  <c r="Y37" i="21" s="1"/>
  <c r="AH31" i="21"/>
  <c r="AH25" i="21"/>
  <c r="AH26" i="21" s="1"/>
  <c r="AK19" i="21"/>
  <c r="AK20" i="21" s="1"/>
  <c r="AZ6" i="16"/>
  <c r="AU6" i="16"/>
  <c r="AP6" i="16"/>
  <c r="AK6" i="16"/>
  <c r="AD59" i="18"/>
  <c r="AD58" i="18"/>
  <c r="AL15" i="16" s="1"/>
  <c r="AD57" i="18"/>
  <c r="AL14" i="16" s="1"/>
  <c r="AD56" i="18"/>
  <c r="AL13" i="16" s="1"/>
  <c r="AD55" i="18"/>
  <c r="AL12" i="16" s="1"/>
  <c r="AD54" i="18"/>
  <c r="AL11" i="16" s="1"/>
  <c r="AD53" i="18"/>
  <c r="AL10" i="16" s="1"/>
  <c r="AD52" i="18"/>
  <c r="AL9" i="16" s="1"/>
  <c r="AD51" i="18"/>
  <c r="AL8" i="16" s="1"/>
  <c r="AL7" i="16"/>
  <c r="AB75" i="18"/>
  <c r="AF81" i="18" s="1"/>
  <c r="AN38" i="16" s="1"/>
  <c r="AB74" i="18"/>
  <c r="AF80" i="18" s="1"/>
  <c r="AN37" i="16" s="1"/>
  <c r="AB73" i="18"/>
  <c r="AF79" i="18" s="1"/>
  <c r="AN36" i="16" s="1"/>
  <c r="AB72" i="18"/>
  <c r="AF78" i="18" s="1"/>
  <c r="AN35" i="16" s="1"/>
  <c r="AC45" i="16" s="1"/>
  <c r="AZ5" i="16"/>
  <c r="AU5" i="16"/>
  <c r="AP5" i="16"/>
  <c r="AK5" i="16"/>
  <c r="AB75" i="17"/>
  <c r="AF81" i="17" s="1"/>
  <c r="AI38" i="16" s="1"/>
  <c r="AB74" i="17"/>
  <c r="AF80" i="17" s="1"/>
  <c r="AI37" i="16" s="1"/>
  <c r="AB73" i="17"/>
  <c r="AF79" i="17" s="1"/>
  <c r="AI36" i="16" s="1"/>
  <c r="AB72" i="17"/>
  <c r="AF78" i="17" s="1"/>
  <c r="AI35" i="16" s="1"/>
  <c r="AC42" i="16" s="1"/>
  <c r="AK57" i="18"/>
  <c r="Y36" i="18"/>
  <c r="Y37" i="18" s="1"/>
  <c r="AH31" i="18"/>
  <c r="AH25" i="18"/>
  <c r="AH26" i="18" s="1"/>
  <c r="AK19" i="18"/>
  <c r="AK20" i="18" s="1"/>
  <c r="AK57" i="17"/>
  <c r="Y36" i="17"/>
  <c r="Y37" i="17" s="1"/>
  <c r="AH31" i="17"/>
  <c r="AH25" i="17"/>
  <c r="AH26" i="17" s="1"/>
  <c r="AK19" i="17"/>
  <c r="AK20" i="17" s="1"/>
  <c r="W50" i="21"/>
  <c r="AE50" i="21" s="1"/>
  <c r="X49" i="21"/>
  <c r="AF49" i="21" s="1"/>
  <c r="BC6" i="16" s="1"/>
  <c r="X50" i="21"/>
  <c r="AF50" i="21" s="1"/>
  <c r="BC7" i="16" s="1"/>
  <c r="V54" i="16" s="1"/>
  <c r="W49" i="21"/>
  <c r="AE49" i="21" s="1"/>
  <c r="BB6" i="16" s="1"/>
  <c r="X49" i="19"/>
  <c r="AF49" i="19" s="1"/>
  <c r="AS6" i="16" s="1"/>
  <c r="X50" i="20"/>
  <c r="AF50" i="20" s="1"/>
  <c r="AX7" i="16" s="1"/>
  <c r="V51" i="16" s="1"/>
  <c r="X48" i="20"/>
  <c r="AF48" i="20" s="1"/>
  <c r="AX5" i="16" s="1"/>
  <c r="X50" i="19"/>
  <c r="AF50" i="19" s="1"/>
  <c r="AS7" i="16" s="1"/>
  <c r="V48" i="16" s="1"/>
  <c r="W49" i="19"/>
  <c r="AE49" i="19" s="1"/>
  <c r="AR6" i="16" s="1"/>
  <c r="W50" i="19"/>
  <c r="AE50" i="19" s="1"/>
  <c r="W50" i="20"/>
  <c r="AE50" i="20" s="1"/>
  <c r="X48" i="18"/>
  <c r="AF48" i="18" s="1"/>
  <c r="AN5" i="16" s="1"/>
  <c r="X50" i="17"/>
  <c r="AF50" i="17" s="1"/>
  <c r="AI7" i="16" s="1"/>
  <c r="V42" i="16" s="1"/>
  <c r="W49" i="17"/>
  <c r="AE49" i="17" s="1"/>
  <c r="AH6" i="16" s="1"/>
  <c r="AA75" i="17"/>
  <c r="AE81" i="17" s="1"/>
  <c r="AH38" i="16" s="1"/>
  <c r="W50" i="18"/>
  <c r="AE50" i="18" s="1"/>
  <c r="AA75" i="18"/>
  <c r="AE81" i="18" s="1"/>
  <c r="AM38" i="16" s="1"/>
  <c r="AB75" i="21"/>
  <c r="AF81" i="21" s="1"/>
  <c r="BC38" i="16" s="1"/>
  <c r="AB74" i="21"/>
  <c r="AF80" i="21" s="1"/>
  <c r="BC37" i="16" s="1"/>
  <c r="AB73" i="21"/>
  <c r="AF79" i="21" s="1"/>
  <c r="BC36" i="16" s="1"/>
  <c r="AB72" i="21"/>
  <c r="AF78" i="21" s="1"/>
  <c r="BC35" i="16" s="1"/>
  <c r="AC54" i="16" s="1"/>
  <c r="AH28" i="20"/>
  <c r="AH27" i="20"/>
  <c r="AD59" i="20"/>
  <c r="AD58" i="20"/>
  <c r="AV15" i="16" s="1"/>
  <c r="AD57" i="20"/>
  <c r="AV14" i="16" s="1"/>
  <c r="AD56" i="20"/>
  <c r="AV13" i="16" s="1"/>
  <c r="AD55" i="20"/>
  <c r="AV12" i="16" s="1"/>
  <c r="AD54" i="20"/>
  <c r="AV11" i="16" s="1"/>
  <c r="AD53" i="20"/>
  <c r="AV10" i="16" s="1"/>
  <c r="AD52" i="20"/>
  <c r="AV9" i="16" s="1"/>
  <c r="AD51" i="20"/>
  <c r="AV8" i="16" s="1"/>
  <c r="AV7" i="16"/>
  <c r="AD59" i="19"/>
  <c r="AD58" i="19"/>
  <c r="AQ15" i="16" s="1"/>
  <c r="AD57" i="19"/>
  <c r="AQ14" i="16" s="1"/>
  <c r="AD56" i="19"/>
  <c r="AQ13" i="16" s="1"/>
  <c r="AD55" i="19"/>
  <c r="AQ12" i="16" s="1"/>
  <c r="AD54" i="19"/>
  <c r="AQ11" i="16" s="1"/>
  <c r="AD53" i="19"/>
  <c r="AQ10" i="16" s="1"/>
  <c r="AD52" i="19"/>
  <c r="AQ9" i="16" s="1"/>
  <c r="AD51" i="19"/>
  <c r="AQ8" i="16" s="1"/>
  <c r="AQ7" i="16"/>
  <c r="AB75" i="19"/>
  <c r="AF81" i="19" s="1"/>
  <c r="AS38" i="16" s="1"/>
  <c r="AB74" i="19"/>
  <c r="AF80" i="19" s="1"/>
  <c r="AS37" i="16" s="1"/>
  <c r="AB73" i="19"/>
  <c r="AF79" i="19" s="1"/>
  <c r="AS36" i="16" s="1"/>
  <c r="AB72" i="19"/>
  <c r="AF78" i="19" s="1"/>
  <c r="AS35" i="16" s="1"/>
  <c r="AC48" i="16" s="1"/>
  <c r="AH28" i="18"/>
  <c r="AH27" i="18"/>
  <c r="AH28" i="17"/>
  <c r="AH27" i="17"/>
  <c r="AD59" i="17"/>
  <c r="AD58" i="17"/>
  <c r="AG15" i="16" s="1"/>
  <c r="AD57" i="17"/>
  <c r="AG14" i="16" s="1"/>
  <c r="AD56" i="17"/>
  <c r="AG13" i="16" s="1"/>
  <c r="AD55" i="17"/>
  <c r="AG12" i="16" s="1"/>
  <c r="AD54" i="17"/>
  <c r="AG11" i="16" s="1"/>
  <c r="AD53" i="17"/>
  <c r="AG10" i="16" s="1"/>
  <c r="AD52" i="17"/>
  <c r="AG9" i="16" s="1"/>
  <c r="AD51" i="17"/>
  <c r="AG8" i="16" s="1"/>
  <c r="AG7" i="16"/>
  <c r="AF7" i="16" s="1"/>
  <c r="AK57" i="19"/>
  <c r="Y36" i="19"/>
  <c r="Y37" i="19" s="1"/>
  <c r="AH31" i="19"/>
  <c r="AH25" i="19"/>
  <c r="AH26" i="19" s="1"/>
  <c r="AK19" i="19"/>
  <c r="AK20" i="19" s="1"/>
  <c r="AA75" i="21"/>
  <c r="AE81" i="21" s="1"/>
  <c r="BB38" i="16" s="1"/>
  <c r="AA72" i="19"/>
  <c r="AE78" i="19" s="1"/>
  <c r="AR35" i="16" s="1"/>
  <c r="AA72" i="20"/>
  <c r="AE78" i="20" s="1"/>
  <c r="AW35" i="16" s="1"/>
  <c r="W50" i="17"/>
  <c r="AE50" i="17" s="1"/>
  <c r="AA72" i="17"/>
  <c r="AE78" i="17" s="1"/>
  <c r="AH35" i="16" s="1"/>
  <c r="AA72" i="18"/>
  <c r="AE78" i="18" s="1"/>
  <c r="AM35" i="16" s="1"/>
  <c r="Z16" i="19" l="1" a="1"/>
  <c r="AA17" i="19" s="1"/>
  <c r="AH34" i="20"/>
  <c r="Z16" i="21" a="1"/>
  <c r="AA17" i="21" s="1"/>
  <c r="AH41" i="20"/>
  <c r="AH49" i="20"/>
  <c r="Z16" i="20" a="1"/>
  <c r="AA17" i="20" s="1"/>
  <c r="Z16" i="17" a="1"/>
  <c r="Z17" i="17" s="1"/>
  <c r="Z16" i="18" a="1"/>
  <c r="AA16" i="18" s="1"/>
  <c r="AI45" i="18"/>
  <c r="AI46" i="18" s="1"/>
  <c r="AI47" i="18" s="1"/>
  <c r="AI48" i="18" s="1"/>
  <c r="AI31" i="18"/>
  <c r="AI35" i="18" s="1"/>
  <c r="AI21" i="18"/>
  <c r="Z17" i="19"/>
  <c r="AA16" i="19"/>
  <c r="Z16" i="19"/>
  <c r="AI24" i="18"/>
  <c r="AI28" i="18" s="1"/>
  <c r="AI38" i="18"/>
  <c r="AI39" i="18" s="1"/>
  <c r="AI40" i="18" s="1"/>
  <c r="AI41" i="18" s="1"/>
  <c r="AL18" i="17"/>
  <c r="AH7" i="16"/>
  <c r="AZ7" i="16"/>
  <c r="AU7" i="16"/>
  <c r="AP7" i="16"/>
  <c r="AK7" i="16"/>
  <c r="AD67" i="19"/>
  <c r="AQ24" i="16" s="1"/>
  <c r="AD65" i="19"/>
  <c r="AQ22" i="16" s="1"/>
  <c r="AD63" i="19"/>
  <c r="AQ20" i="16" s="1"/>
  <c r="AD61" i="19"/>
  <c r="AQ18" i="16" s="1"/>
  <c r="AD68" i="19"/>
  <c r="AD66" i="19"/>
  <c r="AQ23" i="16" s="1"/>
  <c r="AD64" i="19"/>
  <c r="AQ21" i="16" s="1"/>
  <c r="AD62" i="19"/>
  <c r="AQ19" i="16" s="1"/>
  <c r="AD60" i="19"/>
  <c r="AQ17" i="16" s="1"/>
  <c r="AQ16" i="16"/>
  <c r="AD67" i="20"/>
  <c r="AV24" i="16" s="1"/>
  <c r="AD65" i="20"/>
  <c r="AV22" i="16" s="1"/>
  <c r="AD63" i="20"/>
  <c r="AV20" i="16" s="1"/>
  <c r="AD61" i="20"/>
  <c r="AV18" i="16" s="1"/>
  <c r="AD68" i="20"/>
  <c r="AD66" i="20"/>
  <c r="AV23" i="16" s="1"/>
  <c r="AD64" i="20"/>
  <c r="AV21" i="16" s="1"/>
  <c r="AD62" i="20"/>
  <c r="AV19" i="16" s="1"/>
  <c r="AD60" i="20"/>
  <c r="AV17" i="16" s="1"/>
  <c r="AV16" i="16"/>
  <c r="AL18" i="20"/>
  <c r="AW7" i="16"/>
  <c r="AL18" i="19"/>
  <c r="AR7" i="16"/>
  <c r="AH35" i="17"/>
  <c r="AH34" i="17"/>
  <c r="AK58" i="17"/>
  <c r="AH38" i="17"/>
  <c r="AH32" i="17"/>
  <c r="AH33" i="17" s="1"/>
  <c r="AB36" i="17"/>
  <c r="AB37" i="17" s="1"/>
  <c r="AK21" i="17"/>
  <c r="AK22" i="17" s="1"/>
  <c r="AD67" i="18"/>
  <c r="AL24" i="16" s="1"/>
  <c r="AD65" i="18"/>
  <c r="AL22" i="16" s="1"/>
  <c r="AD63" i="18"/>
  <c r="AL20" i="16" s="1"/>
  <c r="AD61" i="18"/>
  <c r="AL18" i="16" s="1"/>
  <c r="AD68" i="18"/>
  <c r="AD66" i="18"/>
  <c r="AL23" i="16" s="1"/>
  <c r="AD64" i="18"/>
  <c r="AL21" i="16" s="1"/>
  <c r="AD62" i="18"/>
  <c r="AL19" i="16" s="1"/>
  <c r="AD60" i="18"/>
  <c r="AL17" i="16" s="1"/>
  <c r="AL16" i="16"/>
  <c r="AF9" i="16"/>
  <c r="AF11" i="16"/>
  <c r="AF13" i="16"/>
  <c r="AF15" i="16"/>
  <c r="AH35" i="19"/>
  <c r="AH34" i="19"/>
  <c r="AK58" i="19"/>
  <c r="AH38" i="19"/>
  <c r="AH32" i="19"/>
  <c r="AH33" i="19" s="1"/>
  <c r="AB36" i="19"/>
  <c r="AB37" i="19" s="1"/>
  <c r="AK21" i="19"/>
  <c r="AK22" i="19" s="1"/>
  <c r="AD67" i="17"/>
  <c r="AG24" i="16" s="1"/>
  <c r="AD65" i="17"/>
  <c r="AG22" i="16" s="1"/>
  <c r="AD63" i="17"/>
  <c r="AG20" i="16" s="1"/>
  <c r="AD61" i="17"/>
  <c r="AG18" i="16" s="1"/>
  <c r="AD68" i="17"/>
  <c r="AD66" i="17"/>
  <c r="AG23" i="16" s="1"/>
  <c r="AD64" i="17"/>
  <c r="AG21" i="16" s="1"/>
  <c r="AD62" i="17"/>
  <c r="AG19" i="16" s="1"/>
  <c r="AD60" i="17"/>
  <c r="AG17" i="16" s="1"/>
  <c r="AG16" i="16"/>
  <c r="AF16" i="16" s="1"/>
  <c r="AL18" i="18"/>
  <c r="AM7" i="16"/>
  <c r="AL18" i="21"/>
  <c r="BB7" i="16"/>
  <c r="AH35" i="18"/>
  <c r="AH34" i="18"/>
  <c r="AK58" i="18"/>
  <c r="AH38" i="18"/>
  <c r="AH32" i="18"/>
  <c r="AH33" i="18" s="1"/>
  <c r="AB36" i="18"/>
  <c r="AB37" i="18" s="1"/>
  <c r="AK21" i="18"/>
  <c r="AK22" i="18" s="1"/>
  <c r="AH35" i="21"/>
  <c r="AH34" i="21"/>
  <c r="AK58" i="21"/>
  <c r="AH38" i="21"/>
  <c r="AH32" i="21"/>
  <c r="AH33" i="21" s="1"/>
  <c r="AB36" i="21"/>
  <c r="AB37" i="21" s="1"/>
  <c r="AK21" i="21"/>
  <c r="AK22" i="21" s="1"/>
  <c r="AD67" i="21"/>
  <c r="BA24" i="16" s="1"/>
  <c r="AD65" i="21"/>
  <c r="BA22" i="16" s="1"/>
  <c r="AD63" i="21"/>
  <c r="BA20" i="16" s="1"/>
  <c r="AD61" i="21"/>
  <c r="BA18" i="16" s="1"/>
  <c r="AD68" i="21"/>
  <c r="AD66" i="21"/>
  <c r="BA23" i="16" s="1"/>
  <c r="AD64" i="21"/>
  <c r="BA21" i="16" s="1"/>
  <c r="AD62" i="21"/>
  <c r="BA19" i="16" s="1"/>
  <c r="AD60" i="21"/>
  <c r="BA17" i="16" s="1"/>
  <c r="BA16" i="16"/>
  <c r="AF8" i="16"/>
  <c r="AF10" i="16"/>
  <c r="AF12" i="16"/>
  <c r="AF14" i="16"/>
  <c r="AI49" i="18" l="1"/>
  <c r="Z17" i="21"/>
  <c r="Z16" i="21"/>
  <c r="Z16" i="20"/>
  <c r="AI32" i="18"/>
  <c r="AI33" i="18" s="1"/>
  <c r="AI34" i="18" s="1"/>
  <c r="AA17" i="18"/>
  <c r="AA16" i="21"/>
  <c r="Z17" i="20"/>
  <c r="AA16" i="20"/>
  <c r="AA16" i="17"/>
  <c r="Z16" i="17"/>
  <c r="AA17" i="17"/>
  <c r="Z17" i="18"/>
  <c r="Z16" i="18"/>
  <c r="W21" i="19" a="1"/>
  <c r="W22" i="19" s="1"/>
  <c r="AI42" i="18"/>
  <c r="AI25" i="18"/>
  <c r="AI26" i="18" s="1"/>
  <c r="AI27" i="18" s="1"/>
  <c r="AZ12" i="16"/>
  <c r="AU12" i="16"/>
  <c r="AP12" i="16"/>
  <c r="AK12" i="16"/>
  <c r="AZ8" i="16"/>
  <c r="AU8" i="16"/>
  <c r="AP8" i="16"/>
  <c r="AK8" i="16"/>
  <c r="AD76" i="21"/>
  <c r="BA33" i="16" s="1"/>
  <c r="AD71" i="21"/>
  <c r="BA28" i="16" s="1"/>
  <c r="AD69" i="21"/>
  <c r="BA26" i="16" s="1"/>
  <c r="AD77" i="21"/>
  <c r="AD75" i="21"/>
  <c r="BA32" i="16" s="1"/>
  <c r="AD74" i="21"/>
  <c r="BA31" i="16" s="1"/>
  <c r="AD73" i="21"/>
  <c r="BA30" i="16" s="1"/>
  <c r="AD72" i="21"/>
  <c r="BA29" i="16" s="1"/>
  <c r="AD70" i="21"/>
  <c r="BA27" i="16" s="1"/>
  <c r="BA25" i="16"/>
  <c r="AH42" i="21"/>
  <c r="AH41" i="21"/>
  <c r="AK59" i="18"/>
  <c r="AH46" i="18" s="1"/>
  <c r="AH47" i="18" s="1"/>
  <c r="AH45" i="18"/>
  <c r="V40" i="18"/>
  <c r="V41" i="18" s="1"/>
  <c r="AH39" i="18"/>
  <c r="AH40" i="18" s="1"/>
  <c r="AK23" i="18"/>
  <c r="AK24" i="18" s="1"/>
  <c r="AD76" i="17"/>
  <c r="AG33" i="16" s="1"/>
  <c r="AD71" i="17"/>
  <c r="AG28" i="16" s="1"/>
  <c r="AD69" i="17"/>
  <c r="AG26" i="16" s="1"/>
  <c r="AG25" i="16"/>
  <c r="AF25" i="16" s="1"/>
  <c r="AD77" i="17"/>
  <c r="AD75" i="17"/>
  <c r="AG32" i="16" s="1"/>
  <c r="AF32" i="16" s="1"/>
  <c r="AD74" i="17"/>
  <c r="AG31" i="16" s="1"/>
  <c r="AD73" i="17"/>
  <c r="AG30" i="16" s="1"/>
  <c r="AD72" i="17"/>
  <c r="AG29" i="16" s="1"/>
  <c r="AD70" i="17"/>
  <c r="AG27" i="16" s="1"/>
  <c r="AH42" i="19"/>
  <c r="AH41" i="19"/>
  <c r="AZ15" i="16"/>
  <c r="AU15" i="16"/>
  <c r="AP15" i="16"/>
  <c r="AK15" i="16"/>
  <c r="AZ11" i="16"/>
  <c r="AU11" i="16"/>
  <c r="AP11" i="16"/>
  <c r="AK11" i="16"/>
  <c r="AK59" i="17"/>
  <c r="AH46" i="17" s="1"/>
  <c r="AH47" i="17" s="1"/>
  <c r="AH45" i="17"/>
  <c r="V40" i="17"/>
  <c r="V41" i="17" s="1"/>
  <c r="AH39" i="17"/>
  <c r="AH40" i="17" s="1"/>
  <c r="AK23" i="17"/>
  <c r="AK24" i="17" s="1"/>
  <c r="AD76" i="20"/>
  <c r="AV33" i="16" s="1"/>
  <c r="AD71" i="20"/>
  <c r="AV28" i="16" s="1"/>
  <c r="AD69" i="20"/>
  <c r="AV26" i="16" s="1"/>
  <c r="AD77" i="20"/>
  <c r="AD75" i="20"/>
  <c r="AV32" i="16" s="1"/>
  <c r="AD74" i="20"/>
  <c r="AV31" i="16" s="1"/>
  <c r="AD73" i="20"/>
  <c r="AV30" i="16" s="1"/>
  <c r="AD72" i="20"/>
  <c r="AV29" i="16" s="1"/>
  <c r="AD70" i="20"/>
  <c r="AV27" i="16" s="1"/>
  <c r="AV25" i="16"/>
  <c r="AD76" i="19"/>
  <c r="AQ33" i="16" s="1"/>
  <c r="AD71" i="19"/>
  <c r="AQ28" i="16" s="1"/>
  <c r="AD69" i="19"/>
  <c r="AQ26" i="16" s="1"/>
  <c r="AD77" i="19"/>
  <c r="AD75" i="19"/>
  <c r="AQ32" i="16" s="1"/>
  <c r="AD74" i="19"/>
  <c r="AQ31" i="16" s="1"/>
  <c r="AD73" i="19"/>
  <c r="AQ30" i="16" s="1"/>
  <c r="AD72" i="19"/>
  <c r="AQ29" i="16" s="1"/>
  <c r="AD70" i="19"/>
  <c r="AQ27" i="16" s="1"/>
  <c r="AQ25" i="16"/>
  <c r="AF17" i="16"/>
  <c r="AF21" i="16"/>
  <c r="AF20" i="16"/>
  <c r="AF24" i="16"/>
  <c r="AZ14" i="16"/>
  <c r="AU14" i="16"/>
  <c r="AP14" i="16"/>
  <c r="AK14" i="16"/>
  <c r="AZ10" i="16"/>
  <c r="AU10" i="16"/>
  <c r="AP10" i="16"/>
  <c r="AK10" i="16"/>
  <c r="AK59" i="21"/>
  <c r="AH46" i="21" s="1"/>
  <c r="AH47" i="21" s="1"/>
  <c r="AH45" i="21"/>
  <c r="V40" i="21"/>
  <c r="V41" i="21" s="1"/>
  <c r="AH39" i="21"/>
  <c r="AH40" i="21" s="1"/>
  <c r="AK23" i="21"/>
  <c r="AK24" i="21" s="1"/>
  <c r="AH42" i="18"/>
  <c r="AH41" i="18"/>
  <c r="AZ16" i="16"/>
  <c r="AU16" i="16"/>
  <c r="AP16" i="16"/>
  <c r="AK16" i="16"/>
  <c r="AK59" i="19"/>
  <c r="AH46" i="19" s="1"/>
  <c r="AH47" i="19" s="1"/>
  <c r="AH45" i="19"/>
  <c r="V40" i="19"/>
  <c r="V41" i="19" s="1"/>
  <c r="AH39" i="19"/>
  <c r="AH40" i="19" s="1"/>
  <c r="AK23" i="19"/>
  <c r="AK24" i="19" s="1"/>
  <c r="AZ13" i="16"/>
  <c r="AU13" i="16"/>
  <c r="AP13" i="16"/>
  <c r="AK13" i="16"/>
  <c r="AZ9" i="16"/>
  <c r="AU9" i="16"/>
  <c r="AP9" i="16"/>
  <c r="AK9" i="16"/>
  <c r="AD76" i="18"/>
  <c r="AL33" i="16" s="1"/>
  <c r="AD71" i="18"/>
  <c r="AL28" i="16" s="1"/>
  <c r="AD69" i="18"/>
  <c r="AL26" i="16" s="1"/>
  <c r="AL25" i="16"/>
  <c r="AD77" i="18"/>
  <c r="AD75" i="18"/>
  <c r="AL32" i="16" s="1"/>
  <c r="AD74" i="18"/>
  <c r="AL31" i="16" s="1"/>
  <c r="AD73" i="18"/>
  <c r="AL30" i="16" s="1"/>
  <c r="AD72" i="18"/>
  <c r="AL29" i="16" s="1"/>
  <c r="AD70" i="18"/>
  <c r="AL27" i="16" s="1"/>
  <c r="AH42" i="17"/>
  <c r="AH41" i="17"/>
  <c r="AF19" i="16"/>
  <c r="AF23" i="16"/>
  <c r="AF18" i="16"/>
  <c r="AF22" i="16"/>
  <c r="W21" i="21" l="1" a="1"/>
  <c r="W21" i="21" s="1"/>
  <c r="X28" i="21" s="1"/>
  <c r="AF27" i="16"/>
  <c r="AF30" i="16"/>
  <c r="AU30" i="16" s="1"/>
  <c r="AI17" i="19"/>
  <c r="AI18" i="19" s="1"/>
  <c r="AI19" i="19" s="1"/>
  <c r="AI20" i="19" s="1"/>
  <c r="W21" i="17" a="1"/>
  <c r="W22" i="17" s="1"/>
  <c r="W21" i="20" a="1"/>
  <c r="W21" i="20" s="1"/>
  <c r="X28" i="20" s="1"/>
  <c r="W28" i="20" s="1"/>
  <c r="W21" i="18" a="1"/>
  <c r="W22" i="18" s="1"/>
  <c r="AB28" i="18" s="1"/>
  <c r="W21" i="19"/>
  <c r="Z28" i="19" s="1"/>
  <c r="AF29" i="16"/>
  <c r="AZ29" i="16" s="1"/>
  <c r="AF31" i="16"/>
  <c r="AZ31" i="16" s="1"/>
  <c r="AZ22" i="16"/>
  <c r="AU22" i="16"/>
  <c r="AP22" i="16"/>
  <c r="AK22" i="16"/>
  <c r="AZ23" i="16"/>
  <c r="AU23" i="16"/>
  <c r="AP23" i="16"/>
  <c r="AK23" i="16"/>
  <c r="AH48" i="19"/>
  <c r="AH49" i="19"/>
  <c r="AZ20" i="16"/>
  <c r="AU20" i="16"/>
  <c r="AP20" i="16"/>
  <c r="AK20" i="16"/>
  <c r="AZ17" i="16"/>
  <c r="AU17" i="16"/>
  <c r="AP17" i="16"/>
  <c r="AK17" i="16"/>
  <c r="AH48" i="17"/>
  <c r="AH49" i="17"/>
  <c r="AZ27" i="16"/>
  <c r="AU27" i="16"/>
  <c r="AP27" i="16"/>
  <c r="AK27" i="16"/>
  <c r="AZ30" i="16"/>
  <c r="AP30" i="16"/>
  <c r="AK30" i="16"/>
  <c r="AZ32" i="16"/>
  <c r="AU32" i="16"/>
  <c r="AP32" i="16"/>
  <c r="AK32" i="16"/>
  <c r="AZ25" i="16"/>
  <c r="AU25" i="16"/>
  <c r="AP25" i="16"/>
  <c r="AK25" i="16"/>
  <c r="AB28" i="19"/>
  <c r="AF28" i="16"/>
  <c r="AZ18" i="16"/>
  <c r="AU18" i="16"/>
  <c r="AP18" i="16"/>
  <c r="AK18" i="16"/>
  <c r="AZ19" i="16"/>
  <c r="AU19" i="16"/>
  <c r="AP19" i="16"/>
  <c r="AK19" i="16"/>
  <c r="AD80" i="18"/>
  <c r="AL37" i="16" s="1"/>
  <c r="AD81" i="18"/>
  <c r="AL38" i="16" s="1"/>
  <c r="AD79" i="18"/>
  <c r="AL36" i="16" s="1"/>
  <c r="AD78" i="18"/>
  <c r="AL35" i="16" s="1"/>
  <c r="AL34" i="16"/>
  <c r="AH48" i="21"/>
  <c r="AH49" i="21"/>
  <c r="AZ24" i="16"/>
  <c r="AU24" i="16"/>
  <c r="AP24" i="16"/>
  <c r="AK24" i="16"/>
  <c r="AZ21" i="16"/>
  <c r="AU21" i="16"/>
  <c r="AP21" i="16"/>
  <c r="AK21" i="16"/>
  <c r="AD80" i="19"/>
  <c r="AQ37" i="16" s="1"/>
  <c r="AD78" i="19"/>
  <c r="AQ35" i="16" s="1"/>
  <c r="AD81" i="19"/>
  <c r="AQ38" i="16" s="1"/>
  <c r="AD79" i="19"/>
  <c r="AQ36" i="16" s="1"/>
  <c r="AQ34" i="16"/>
  <c r="AD80" i="20"/>
  <c r="AV37" i="16" s="1"/>
  <c r="AD78" i="20"/>
  <c r="AV35" i="16" s="1"/>
  <c r="AD81" i="20"/>
  <c r="AV38" i="16" s="1"/>
  <c r="AD79" i="20"/>
  <c r="AV36" i="16" s="1"/>
  <c r="AV34" i="16"/>
  <c r="AD80" i="17"/>
  <c r="AG37" i="16" s="1"/>
  <c r="AD78" i="17"/>
  <c r="AG35" i="16" s="1"/>
  <c r="AG34" i="16"/>
  <c r="AF34" i="16" s="1"/>
  <c r="AD81" i="17"/>
  <c r="AG38" i="16" s="1"/>
  <c r="AD79" i="17"/>
  <c r="AG36" i="16" s="1"/>
  <c r="AH48" i="18"/>
  <c r="AH49" i="18"/>
  <c r="AD80" i="21"/>
  <c r="BA37" i="16" s="1"/>
  <c r="AD78" i="21"/>
  <c r="BA35" i="16" s="1"/>
  <c r="AD81" i="21"/>
  <c r="BA38" i="16" s="1"/>
  <c r="AD79" i="21"/>
  <c r="BA36" i="16" s="1"/>
  <c r="BA34" i="16"/>
  <c r="AF26" i="16"/>
  <c r="AF33" i="16"/>
  <c r="W22" i="21" l="1"/>
  <c r="Z28" i="21" s="1"/>
  <c r="Y28" i="21" s="1"/>
  <c r="Y32" i="21" s="1"/>
  <c r="Z64" i="37" s="1"/>
  <c r="AF36" i="16"/>
  <c r="AK31" i="16"/>
  <c r="AU31" i="16"/>
  <c r="AP31" i="16"/>
  <c r="AI45" i="19"/>
  <c r="AI49" i="19" s="1"/>
  <c r="AI31" i="19"/>
  <c r="AI32" i="19" s="1"/>
  <c r="AI33" i="19" s="1"/>
  <c r="AI34" i="19" s="1"/>
  <c r="AI21" i="19"/>
  <c r="W21" i="17"/>
  <c r="X28" i="17" s="1"/>
  <c r="AU29" i="16"/>
  <c r="AI24" i="19"/>
  <c r="AI28" i="19" s="1"/>
  <c r="AI38" i="19"/>
  <c r="AI39" i="19" s="1"/>
  <c r="AI40" i="19" s="1"/>
  <c r="AI41" i="19" s="1"/>
  <c r="W22" i="20"/>
  <c r="AK29" i="16"/>
  <c r="W21" i="18"/>
  <c r="X28" i="18" s="1"/>
  <c r="W28" i="18" s="1"/>
  <c r="X28" i="19"/>
  <c r="AP29" i="16"/>
  <c r="AF38" i="16"/>
  <c r="AU38" i="16" s="1"/>
  <c r="AF35" i="16"/>
  <c r="AZ35" i="16" s="1"/>
  <c r="AZ33" i="16"/>
  <c r="AU33" i="16"/>
  <c r="AP33" i="16"/>
  <c r="AK33" i="16"/>
  <c r="AA32" i="19"/>
  <c r="AB62" i="37" s="1"/>
  <c r="AA28" i="19"/>
  <c r="Z32" i="19" s="1"/>
  <c r="AA62" i="37" s="1"/>
  <c r="Y28" i="19"/>
  <c r="W28" i="21"/>
  <c r="AB28" i="17"/>
  <c r="AZ26" i="16"/>
  <c r="AU26" i="16"/>
  <c r="AP26" i="16"/>
  <c r="AK26" i="16"/>
  <c r="AZ36" i="16"/>
  <c r="AU36" i="16"/>
  <c r="AP36" i="16"/>
  <c r="AK36" i="16"/>
  <c r="AZ34" i="16"/>
  <c r="AU34" i="16"/>
  <c r="AP34" i="16"/>
  <c r="AK34" i="16"/>
  <c r="AA32" i="18"/>
  <c r="AB61" i="37" s="1"/>
  <c r="AA28" i="18"/>
  <c r="AZ28" i="16"/>
  <c r="AU28" i="16"/>
  <c r="AP28" i="16"/>
  <c r="AK28" i="16"/>
  <c r="AL33" i="20"/>
  <c r="AM33" i="20" s="1"/>
  <c r="AK40" i="20" s="1"/>
  <c r="AK41" i="20" s="1"/>
  <c r="AB49" i="20"/>
  <c r="AF53" i="20" s="1"/>
  <c r="AX10" i="37" s="1"/>
  <c r="AB54" i="20"/>
  <c r="AF58" i="20" s="1"/>
  <c r="AX15" i="37" s="1"/>
  <c r="AB48" i="20"/>
  <c r="AF52" i="20" s="1"/>
  <c r="AX9" i="37" s="1"/>
  <c r="AB50" i="20"/>
  <c r="AF54" i="20" s="1"/>
  <c r="AX11" i="37" s="1"/>
  <c r="AB51" i="20"/>
  <c r="AF55" i="20" s="1"/>
  <c r="AX12" i="37" s="1"/>
  <c r="AB52" i="20"/>
  <c r="AF56" i="20" s="1"/>
  <c r="AX13" i="37" s="1"/>
  <c r="AB47" i="20"/>
  <c r="AF51" i="20" s="1"/>
  <c r="AX8" i="37" s="1"/>
  <c r="W51" i="37" s="1"/>
  <c r="AB55" i="20"/>
  <c r="AF59" i="20" s="1"/>
  <c r="AX16" i="37" s="1"/>
  <c r="X51" i="37" s="1"/>
  <c r="AA55" i="20"/>
  <c r="AE59" i="20" s="1"/>
  <c r="AW16" i="37" s="1"/>
  <c r="AA53" i="20"/>
  <c r="AE57" i="20" s="1"/>
  <c r="AW14" i="37" s="1"/>
  <c r="AA47" i="20"/>
  <c r="AE51" i="20" s="1"/>
  <c r="AW8" i="37" s="1"/>
  <c r="AA51" i="20"/>
  <c r="AE55" i="20" s="1"/>
  <c r="AW12" i="37" s="1"/>
  <c r="AA48" i="20"/>
  <c r="AE52" i="20" s="1"/>
  <c r="AW9" i="37" s="1"/>
  <c r="AB53" i="20"/>
  <c r="AF57" i="20" s="1"/>
  <c r="AX14" i="37" s="1"/>
  <c r="AA54" i="20"/>
  <c r="AE58" i="20" s="1"/>
  <c r="AW15" i="37" s="1"/>
  <c r="AA49" i="20"/>
  <c r="AE53" i="20" s="1"/>
  <c r="AW10" i="37" s="1"/>
  <c r="AA52" i="20"/>
  <c r="AE56" i="20" s="1"/>
  <c r="AW13" i="37" s="1"/>
  <c r="AA50" i="20"/>
  <c r="AE54" i="20" s="1"/>
  <c r="AW11" i="37" s="1"/>
  <c r="X32" i="20"/>
  <c r="Y63" i="37" s="1"/>
  <c r="AF37" i="16"/>
  <c r="AW16" i="35" l="1"/>
  <c r="AB62" i="35"/>
  <c r="Y63" i="35"/>
  <c r="AB61" i="35"/>
  <c r="AA62" i="35"/>
  <c r="Z64" i="35"/>
  <c r="AX12" i="16"/>
  <c r="AX12" i="35"/>
  <c r="AX10" i="16"/>
  <c r="AX10" i="35"/>
  <c r="AW12" i="16"/>
  <c r="AW12" i="35"/>
  <c r="AX16" i="16"/>
  <c r="X51" i="16" s="1"/>
  <c r="AX16" i="35"/>
  <c r="X51" i="35" s="1"/>
  <c r="AX11" i="16"/>
  <c r="AX11" i="35"/>
  <c r="AW13" i="16"/>
  <c r="AW13" i="35"/>
  <c r="AW10" i="16"/>
  <c r="AW10" i="35"/>
  <c r="AW15" i="16"/>
  <c r="AW15" i="35"/>
  <c r="AW8" i="16"/>
  <c r="AW8" i="35"/>
  <c r="AX8" i="16"/>
  <c r="W51" i="16" s="1"/>
  <c r="AX8" i="35"/>
  <c r="W51" i="35" s="1"/>
  <c r="AX9" i="16"/>
  <c r="AX9" i="35"/>
  <c r="AW9" i="16"/>
  <c r="AW9" i="35"/>
  <c r="AW11" i="16"/>
  <c r="AW11" i="35"/>
  <c r="AX14" i="16"/>
  <c r="AX14" i="35"/>
  <c r="AW14" i="16"/>
  <c r="AW14" i="35"/>
  <c r="AX13" i="16"/>
  <c r="AX13" i="35"/>
  <c r="AX15" i="16"/>
  <c r="AX15" i="35"/>
  <c r="AI46" i="19"/>
  <c r="AI47" i="19" s="1"/>
  <c r="AI48" i="19" s="1"/>
  <c r="Z28" i="18"/>
  <c r="Y28" i="18" s="1"/>
  <c r="X65" i="18" s="1"/>
  <c r="AF66" i="18" s="1"/>
  <c r="AN23" i="37" s="1"/>
  <c r="AB28" i="21"/>
  <c r="AA32" i="21" s="1"/>
  <c r="AB64" i="37" s="1"/>
  <c r="AI42" i="19"/>
  <c r="AZ38" i="16"/>
  <c r="AI35" i="19"/>
  <c r="Z28" i="17"/>
  <c r="Y28" i="17" s="1"/>
  <c r="Y32" i="17" s="1"/>
  <c r="Z60" i="37" s="1"/>
  <c r="AI25" i="19"/>
  <c r="AI26" i="19" s="1"/>
  <c r="AI27" i="19" s="1"/>
  <c r="AB28" i="20"/>
  <c r="Z28" i="20"/>
  <c r="Y28" i="20" s="1"/>
  <c r="Y32" i="20" s="1"/>
  <c r="Z63" i="37" s="1"/>
  <c r="Y32" i="19"/>
  <c r="Z62" i="37" s="1"/>
  <c r="W28" i="19"/>
  <c r="AB47" i="19" s="1"/>
  <c r="AF51" i="19" s="1"/>
  <c r="AS8" i="37" s="1"/>
  <c r="W48" i="37" s="1"/>
  <c r="AK38" i="16"/>
  <c r="AP38" i="16"/>
  <c r="AK35" i="16"/>
  <c r="AU35" i="16"/>
  <c r="AP35" i="16"/>
  <c r="AN33" i="20"/>
  <c r="AL41" i="20" s="1"/>
  <c r="AC37" i="19"/>
  <c r="AA62" i="16"/>
  <c r="AL33" i="18"/>
  <c r="AM33" i="18" s="1"/>
  <c r="AK40" i="18" s="1"/>
  <c r="AK41" i="18" s="1"/>
  <c r="AB55" i="18"/>
  <c r="AF59" i="18" s="1"/>
  <c r="AN16" i="37" s="1"/>
  <c r="X45" i="37" s="1"/>
  <c r="AB49" i="18"/>
  <c r="AF53" i="18" s="1"/>
  <c r="AN10" i="37" s="1"/>
  <c r="AB48" i="18"/>
  <c r="AF52" i="18" s="1"/>
  <c r="AN9" i="37" s="1"/>
  <c r="AB50" i="18"/>
  <c r="AF54" i="18" s="1"/>
  <c r="AN11" i="37" s="1"/>
  <c r="AB51" i="18"/>
  <c r="AF55" i="18" s="1"/>
  <c r="AN12" i="37" s="1"/>
  <c r="AB52" i="18"/>
  <c r="AF56" i="18" s="1"/>
  <c r="AN13" i="37" s="1"/>
  <c r="AB53" i="18"/>
  <c r="AF57" i="18" s="1"/>
  <c r="AN14" i="37" s="1"/>
  <c r="AB54" i="18"/>
  <c r="AF58" i="18" s="1"/>
  <c r="AN15" i="37" s="1"/>
  <c r="AB47" i="18"/>
  <c r="AF51" i="18" s="1"/>
  <c r="AN8" i="37" s="1"/>
  <c r="W45" i="37" s="1"/>
  <c r="AA49" i="18"/>
  <c r="AE53" i="18" s="1"/>
  <c r="AM10" i="37" s="1"/>
  <c r="AA55" i="18"/>
  <c r="AE59" i="18" s="1"/>
  <c r="AM16" i="37" s="1"/>
  <c r="AA53" i="18"/>
  <c r="AE57" i="18" s="1"/>
  <c r="AM14" i="37" s="1"/>
  <c r="AA51" i="18"/>
  <c r="AE55" i="18" s="1"/>
  <c r="AM12" i="37" s="1"/>
  <c r="AA48" i="18"/>
  <c r="AE52" i="18" s="1"/>
  <c r="AM9" i="37" s="1"/>
  <c r="X32" i="18"/>
  <c r="Y61" i="37" s="1"/>
  <c r="AA47" i="18"/>
  <c r="AE51" i="18" s="1"/>
  <c r="AM8" i="37" s="1"/>
  <c r="AA54" i="18"/>
  <c r="AE58" i="18" s="1"/>
  <c r="AM15" i="37" s="1"/>
  <c r="AA52" i="18"/>
  <c r="AE56" i="18" s="1"/>
  <c r="AM13" i="37" s="1"/>
  <c r="AA50" i="18"/>
  <c r="AE54" i="18" s="1"/>
  <c r="AM11" i="37" s="1"/>
  <c r="AL35" i="18"/>
  <c r="AM35" i="18" s="1"/>
  <c r="AK44" i="18" s="1"/>
  <c r="AK45" i="18" s="1"/>
  <c r="AB61" i="18"/>
  <c r="AF71" i="18" s="1"/>
  <c r="AN28" i="37" s="1"/>
  <c r="AB63" i="18"/>
  <c r="AF73" i="18" s="1"/>
  <c r="AN30" i="37" s="1"/>
  <c r="AB65" i="18"/>
  <c r="AF75" i="18" s="1"/>
  <c r="AN32" i="37" s="1"/>
  <c r="AB67" i="18"/>
  <c r="AF77" i="18" s="1"/>
  <c r="AN34" i="37" s="1"/>
  <c r="AB45" i="37" s="1"/>
  <c r="AB59" i="18"/>
  <c r="AF69" i="18" s="1"/>
  <c r="AN26" i="37" s="1"/>
  <c r="AA45" i="37" s="1"/>
  <c r="AB60" i="18"/>
  <c r="AF70" i="18" s="1"/>
  <c r="AN27" i="37" s="1"/>
  <c r="AB62" i="18"/>
  <c r="AF72" i="18" s="1"/>
  <c r="AN29" i="37" s="1"/>
  <c r="AB64" i="18"/>
  <c r="AF74" i="18" s="1"/>
  <c r="AN31" i="37" s="1"/>
  <c r="AB66" i="18"/>
  <c r="AF76" i="18" s="1"/>
  <c r="AN33" i="37" s="1"/>
  <c r="AA67" i="18"/>
  <c r="AE77" i="18" s="1"/>
  <c r="AM34" i="37" s="1"/>
  <c r="AA63" i="18"/>
  <c r="AE73" i="18" s="1"/>
  <c r="AM30" i="37" s="1"/>
  <c r="AA64" i="18"/>
  <c r="AE74" i="18" s="1"/>
  <c r="AM31" i="37" s="1"/>
  <c r="AA60" i="18"/>
  <c r="AE70" i="18" s="1"/>
  <c r="AM27" i="37" s="1"/>
  <c r="AA65" i="18"/>
  <c r="AE75" i="18" s="1"/>
  <c r="AM32" i="37" s="1"/>
  <c r="AA61" i="18"/>
  <c r="AE71" i="18" s="1"/>
  <c r="AM28" i="37" s="1"/>
  <c r="AA66" i="18"/>
  <c r="AE76" i="18" s="1"/>
  <c r="AM33" i="37" s="1"/>
  <c r="AA62" i="18"/>
  <c r="AE72" i="18" s="1"/>
  <c r="AM29" i="37" s="1"/>
  <c r="AA59" i="18"/>
  <c r="AE69" i="18" s="1"/>
  <c r="AM26" i="37" s="1"/>
  <c r="AB61" i="16"/>
  <c r="W41" i="18"/>
  <c r="AL34" i="19"/>
  <c r="AM34" i="19" s="1"/>
  <c r="AK42" i="19" s="1"/>
  <c r="AK43" i="19" s="1"/>
  <c r="X67" i="19"/>
  <c r="AF68" i="19" s="1"/>
  <c r="AS25" i="37" s="1"/>
  <c r="Z48" i="37" s="1"/>
  <c r="X59" i="19"/>
  <c r="AF60" i="19" s="1"/>
  <c r="AS17" i="37" s="1"/>
  <c r="Y48" i="37" s="1"/>
  <c r="X65" i="19"/>
  <c r="AF66" i="19" s="1"/>
  <c r="AS23" i="37" s="1"/>
  <c r="X61" i="19"/>
  <c r="AF62" i="19" s="1"/>
  <c r="AS19" i="37" s="1"/>
  <c r="X64" i="19"/>
  <c r="AF65" i="19" s="1"/>
  <c r="AS22" i="37" s="1"/>
  <c r="X60" i="19"/>
  <c r="AF61" i="19" s="1"/>
  <c r="AS18" i="37" s="1"/>
  <c r="X63" i="19"/>
  <c r="AF64" i="19" s="1"/>
  <c r="AS21" i="37" s="1"/>
  <c r="X66" i="19"/>
  <c r="AF67" i="19" s="1"/>
  <c r="AS24" i="37" s="1"/>
  <c r="X62" i="19"/>
  <c r="AF63" i="19" s="1"/>
  <c r="AS20" i="37" s="1"/>
  <c r="W66" i="19"/>
  <c r="AE67" i="19" s="1"/>
  <c r="AR24" i="37" s="1"/>
  <c r="W62" i="19"/>
  <c r="AE63" i="19" s="1"/>
  <c r="AR20" i="37" s="1"/>
  <c r="W65" i="19"/>
  <c r="AE66" i="19" s="1"/>
  <c r="AR23" i="37" s="1"/>
  <c r="W61" i="19"/>
  <c r="AE62" i="19" s="1"/>
  <c r="AR19" i="37" s="1"/>
  <c r="W64" i="19"/>
  <c r="AE65" i="19" s="1"/>
  <c r="AR22" i="37" s="1"/>
  <c r="W60" i="19"/>
  <c r="AE61" i="19" s="1"/>
  <c r="AR18" i="37" s="1"/>
  <c r="W67" i="19"/>
  <c r="AE68" i="19" s="1"/>
  <c r="AR25" i="37" s="1"/>
  <c r="W63" i="19"/>
  <c r="AE64" i="19" s="1"/>
  <c r="AR21" i="37" s="1"/>
  <c r="W59" i="19"/>
  <c r="AE60" i="19" s="1"/>
  <c r="AR17" i="37" s="1"/>
  <c r="AZ37" i="16"/>
  <c r="AU37" i="16"/>
  <c r="AP37" i="16"/>
  <c r="AK37" i="16"/>
  <c r="W28" i="17"/>
  <c r="W37" i="20"/>
  <c r="Y63" i="16"/>
  <c r="AL20" i="20"/>
  <c r="AW16" i="16"/>
  <c r="AL34" i="18"/>
  <c r="AM34" i="18" s="1"/>
  <c r="AK42" i="18" s="1"/>
  <c r="AK43" i="18" s="1"/>
  <c r="AA32" i="17"/>
  <c r="AB60" i="37" s="1"/>
  <c r="AA28" i="17"/>
  <c r="AL33" i="21"/>
  <c r="AM33" i="21" s="1"/>
  <c r="AK40" i="21" s="1"/>
  <c r="AK41" i="21" s="1"/>
  <c r="AB55" i="21"/>
  <c r="AF59" i="21" s="1"/>
  <c r="BC16" i="37" s="1"/>
  <c r="X54" i="37" s="1"/>
  <c r="AB47" i="21"/>
  <c r="AF51" i="21" s="1"/>
  <c r="BC8" i="37" s="1"/>
  <c r="W54" i="37" s="1"/>
  <c r="AB54" i="21"/>
  <c r="AF58" i="21" s="1"/>
  <c r="BC15" i="37" s="1"/>
  <c r="AB50" i="21"/>
  <c r="AF54" i="21" s="1"/>
  <c r="BC11" i="37" s="1"/>
  <c r="AB53" i="21"/>
  <c r="AF57" i="21" s="1"/>
  <c r="BC14" i="37" s="1"/>
  <c r="AB49" i="21"/>
  <c r="AF53" i="21" s="1"/>
  <c r="BC10" i="37" s="1"/>
  <c r="AA49" i="21"/>
  <c r="AE53" i="21" s="1"/>
  <c r="BB10" i="37" s="1"/>
  <c r="AA55" i="21"/>
  <c r="AE59" i="21" s="1"/>
  <c r="BB16" i="37" s="1"/>
  <c r="AA53" i="21"/>
  <c r="AE57" i="21" s="1"/>
  <c r="BB14" i="37" s="1"/>
  <c r="AA51" i="21"/>
  <c r="AE55" i="21" s="1"/>
  <c r="BB12" i="37" s="1"/>
  <c r="AA48" i="21"/>
  <c r="AE52" i="21" s="1"/>
  <c r="BB9" i="37" s="1"/>
  <c r="X32" i="21"/>
  <c r="Y64" i="37" s="1"/>
  <c r="AB52" i="21"/>
  <c r="AF56" i="21" s="1"/>
  <c r="BC13" i="37" s="1"/>
  <c r="AB48" i="21"/>
  <c r="AF52" i="21" s="1"/>
  <c r="BC9" i="37" s="1"/>
  <c r="AB51" i="21"/>
  <c r="AF55" i="21" s="1"/>
  <c r="BC12" i="37" s="1"/>
  <c r="AA47" i="21"/>
  <c r="AE51" i="21" s="1"/>
  <c r="BB8" i="37" s="1"/>
  <c r="AA54" i="21"/>
  <c r="AE58" i="21" s="1"/>
  <c r="BB15" i="37" s="1"/>
  <c r="AA52" i="21"/>
  <c r="AE56" i="21" s="1"/>
  <c r="BB13" i="37" s="1"/>
  <c r="AA50" i="21"/>
  <c r="AE54" i="21" s="1"/>
  <c r="BB11" i="37" s="1"/>
  <c r="Z37" i="21"/>
  <c r="Z64" i="16"/>
  <c r="AL35" i="19"/>
  <c r="AM35" i="19" s="1"/>
  <c r="AK44" i="19" s="1"/>
  <c r="AK45" i="19" s="1"/>
  <c r="AB66" i="19"/>
  <c r="AF76" i="19" s="1"/>
  <c r="AS33" i="37" s="1"/>
  <c r="AB59" i="19"/>
  <c r="AF69" i="19" s="1"/>
  <c r="AS26" i="37" s="1"/>
  <c r="AA48" i="37" s="1"/>
  <c r="AB65" i="19"/>
  <c r="AF75" i="19" s="1"/>
  <c r="AS32" i="37" s="1"/>
  <c r="AB61" i="19"/>
  <c r="AF71" i="19" s="1"/>
  <c r="AS28" i="37" s="1"/>
  <c r="AB64" i="19"/>
  <c r="AF74" i="19" s="1"/>
  <c r="AS31" i="37" s="1"/>
  <c r="AB60" i="19"/>
  <c r="AF70" i="19" s="1"/>
  <c r="AS27" i="37" s="1"/>
  <c r="AB67" i="19"/>
  <c r="AF77" i="19" s="1"/>
  <c r="AS34" i="37" s="1"/>
  <c r="AB48" i="37" s="1"/>
  <c r="AB63" i="19"/>
  <c r="AF73" i="19" s="1"/>
  <c r="AS30" i="37" s="1"/>
  <c r="AB62" i="19"/>
  <c r="AF72" i="19" s="1"/>
  <c r="AS29" i="37" s="1"/>
  <c r="AA65" i="19"/>
  <c r="AE75" i="19" s="1"/>
  <c r="AR32" i="37" s="1"/>
  <c r="AA61" i="19"/>
  <c r="AE71" i="19" s="1"/>
  <c r="AR28" i="37" s="1"/>
  <c r="AA66" i="19"/>
  <c r="AE76" i="19" s="1"/>
  <c r="AR33" i="37" s="1"/>
  <c r="AA62" i="19"/>
  <c r="AE72" i="19" s="1"/>
  <c r="AR29" i="37" s="1"/>
  <c r="AA59" i="19"/>
  <c r="AE69" i="19" s="1"/>
  <c r="AR26" i="37" s="1"/>
  <c r="AA67" i="19"/>
  <c r="AE77" i="19" s="1"/>
  <c r="AR34" i="37" s="1"/>
  <c r="AA63" i="19"/>
  <c r="AE73" i="19" s="1"/>
  <c r="AR30" i="37" s="1"/>
  <c r="AA64" i="19"/>
  <c r="AE74" i="19" s="1"/>
  <c r="AR31" i="37" s="1"/>
  <c r="AA60" i="19"/>
  <c r="AE70" i="19" s="1"/>
  <c r="AR27" i="37" s="1"/>
  <c r="W41" i="19"/>
  <c r="AB62" i="16"/>
  <c r="AL34" i="21"/>
  <c r="AM34" i="21" s="1"/>
  <c r="AK42" i="21" s="1"/>
  <c r="AK43" i="21" s="1"/>
  <c r="X67" i="21"/>
  <c r="AF68" i="21" s="1"/>
  <c r="BC25" i="37" s="1"/>
  <c r="Z54" i="37" s="1"/>
  <c r="X59" i="21"/>
  <c r="AF60" i="21" s="1"/>
  <c r="BC17" i="37" s="1"/>
  <c r="Y54" i="37" s="1"/>
  <c r="X63" i="21"/>
  <c r="AF64" i="21" s="1"/>
  <c r="BC21" i="37" s="1"/>
  <c r="X66" i="21"/>
  <c r="AF67" i="21" s="1"/>
  <c r="BC24" i="37" s="1"/>
  <c r="X62" i="21"/>
  <c r="AF63" i="21" s="1"/>
  <c r="BC20" i="37" s="1"/>
  <c r="X65" i="21"/>
  <c r="AF66" i="21" s="1"/>
  <c r="BC23" i="37" s="1"/>
  <c r="X61" i="21"/>
  <c r="AF62" i="21" s="1"/>
  <c r="BC19" i="37" s="1"/>
  <c r="X64" i="21"/>
  <c r="AF65" i="21" s="1"/>
  <c r="BC22" i="37" s="1"/>
  <c r="X60" i="21"/>
  <c r="AF61" i="21" s="1"/>
  <c r="BC18" i="37" s="1"/>
  <c r="W64" i="21"/>
  <c r="AE65" i="21" s="1"/>
  <c r="BB22" i="37" s="1"/>
  <c r="W60" i="21"/>
  <c r="AE61" i="21" s="1"/>
  <c r="BB18" i="37" s="1"/>
  <c r="W67" i="21"/>
  <c r="AE68" i="21" s="1"/>
  <c r="BB25" i="37" s="1"/>
  <c r="W63" i="21"/>
  <c r="AE64" i="21" s="1"/>
  <c r="BB21" i="37" s="1"/>
  <c r="W59" i="21"/>
  <c r="AE60" i="21" s="1"/>
  <c r="BB17" i="37" s="1"/>
  <c r="W66" i="21"/>
  <c r="AE67" i="21" s="1"/>
  <c r="BB24" i="37" s="1"/>
  <c r="W62" i="21"/>
  <c r="AE63" i="21" s="1"/>
  <c r="BB20" i="37" s="1"/>
  <c r="W65" i="21"/>
  <c r="AE66" i="21" s="1"/>
  <c r="BB23" i="37" s="1"/>
  <c r="W61" i="21"/>
  <c r="AE62" i="21" s="1"/>
  <c r="BB19" i="37" s="1"/>
  <c r="AR34" i="35" l="1"/>
  <c r="AR25" i="35"/>
  <c r="Z63" i="35"/>
  <c r="Y64" i="35"/>
  <c r="BB16" i="35"/>
  <c r="BB25" i="35"/>
  <c r="Y61" i="35"/>
  <c r="AM16" i="35"/>
  <c r="AB60" i="35"/>
  <c r="AM34" i="35"/>
  <c r="Z60" i="35"/>
  <c r="W67" i="18"/>
  <c r="AE68" i="18" s="1"/>
  <c r="AM25" i="37" s="1"/>
  <c r="X61" i="18"/>
  <c r="AF62" i="18" s="1"/>
  <c r="AN19" i="37" s="1"/>
  <c r="Z32" i="18"/>
  <c r="AA61" i="37" s="1"/>
  <c r="W60" i="18"/>
  <c r="AE61" i="18" s="1"/>
  <c r="AM18" i="37" s="1"/>
  <c r="X66" i="18"/>
  <c r="AF67" i="18" s="1"/>
  <c r="AN24" i="37" s="1"/>
  <c r="W59" i="18"/>
  <c r="AE60" i="18" s="1"/>
  <c r="AM17" i="37" s="1"/>
  <c r="W65" i="18"/>
  <c r="AE66" i="18" s="1"/>
  <c r="AM23" i="37" s="1"/>
  <c r="X64" i="18"/>
  <c r="AF65" i="18" s="1"/>
  <c r="AN22" i="37" s="1"/>
  <c r="W63" i="18"/>
  <c r="AE64" i="18" s="1"/>
  <c r="AM21" i="37" s="1"/>
  <c r="X63" i="18"/>
  <c r="AF64" i="18" s="1"/>
  <c r="AN21" i="37" s="1"/>
  <c r="X62" i="18"/>
  <c r="AF63" i="18" s="1"/>
  <c r="AN20" i="37" s="1"/>
  <c r="BB20" i="16"/>
  <c r="BB20" i="35"/>
  <c r="BC22" i="16"/>
  <c r="BC22" i="35"/>
  <c r="BC24" i="16"/>
  <c r="BC24" i="35"/>
  <c r="AR31" i="16"/>
  <c r="AR31" i="35"/>
  <c r="AR29" i="16"/>
  <c r="AR29" i="35"/>
  <c r="AS29" i="16"/>
  <c r="AS29" i="35"/>
  <c r="AS31" i="16"/>
  <c r="AS31" i="35"/>
  <c r="AS33" i="16"/>
  <c r="AS33" i="35"/>
  <c r="BB11" i="16"/>
  <c r="BB11" i="35"/>
  <c r="BC12" i="16"/>
  <c r="BC12" i="35"/>
  <c r="BB9" i="16"/>
  <c r="BB9" i="35"/>
  <c r="BB10" i="16"/>
  <c r="BB10" i="35"/>
  <c r="BC15" i="16"/>
  <c r="BC15" i="35"/>
  <c r="AN19" i="16"/>
  <c r="AN19" i="35"/>
  <c r="AR23" i="16"/>
  <c r="AR23" i="35"/>
  <c r="AS24" i="16"/>
  <c r="AS24" i="35"/>
  <c r="AS19" i="16"/>
  <c r="AS19" i="35"/>
  <c r="AM29" i="16"/>
  <c r="AM29" i="35"/>
  <c r="AM27" i="16"/>
  <c r="AM27" i="35"/>
  <c r="AN33" i="16"/>
  <c r="AN33" i="35"/>
  <c r="AN26" i="16"/>
  <c r="AA45" i="16" s="1"/>
  <c r="AN26" i="35"/>
  <c r="AA45" i="35" s="1"/>
  <c r="AN28" i="16"/>
  <c r="AN28" i="35"/>
  <c r="AM15" i="16"/>
  <c r="AM15" i="35"/>
  <c r="AM12" i="16"/>
  <c r="AM12" i="35"/>
  <c r="AN8" i="16"/>
  <c r="W45" i="16" s="1"/>
  <c r="AN8" i="35"/>
  <c r="W45" i="35" s="1"/>
  <c r="AN12" i="16"/>
  <c r="AN12" i="35"/>
  <c r="AN16" i="16"/>
  <c r="X45" i="16" s="1"/>
  <c r="AN16" i="35"/>
  <c r="X45" i="35" s="1"/>
  <c r="AN23" i="16"/>
  <c r="AN23" i="35"/>
  <c r="BB24" i="16"/>
  <c r="BB24" i="35"/>
  <c r="BB18" i="16"/>
  <c r="BB18" i="35"/>
  <c r="BC19" i="16"/>
  <c r="BC19" i="35"/>
  <c r="BC21" i="16"/>
  <c r="BC21" i="35"/>
  <c r="AR30" i="16"/>
  <c r="AR30" i="35"/>
  <c r="AR33" i="16"/>
  <c r="AR33" i="35"/>
  <c r="AS30" i="16"/>
  <c r="AS30" i="35"/>
  <c r="AS28" i="16"/>
  <c r="AS28" i="35"/>
  <c r="BB13" i="16"/>
  <c r="BB13" i="35"/>
  <c r="BC9" i="16"/>
  <c r="BC9" i="35"/>
  <c r="BB12" i="16"/>
  <c r="BB12" i="35"/>
  <c r="BC10" i="16"/>
  <c r="BC10" i="35"/>
  <c r="BC8" i="16"/>
  <c r="W54" i="16" s="1"/>
  <c r="BC8" i="35"/>
  <c r="W54" i="35" s="1"/>
  <c r="AR18" i="16"/>
  <c r="AR18" i="35"/>
  <c r="AR20" i="16"/>
  <c r="AR20" i="35"/>
  <c r="AS21" i="16"/>
  <c r="AS21" i="35"/>
  <c r="AS23" i="16"/>
  <c r="AS23" i="35"/>
  <c r="AM33" i="16"/>
  <c r="AM33" i="35"/>
  <c r="AM31" i="16"/>
  <c r="AM31" i="35"/>
  <c r="AN31" i="16"/>
  <c r="AN31" i="35"/>
  <c r="AN34" i="16"/>
  <c r="AB45" i="16" s="1"/>
  <c r="AN34" i="35"/>
  <c r="AB45" i="35" s="1"/>
  <c r="AM8" i="16"/>
  <c r="AM8" i="35"/>
  <c r="AM14" i="16"/>
  <c r="AM14" i="35"/>
  <c r="AN15" i="16"/>
  <c r="AN15" i="35"/>
  <c r="AN11" i="16"/>
  <c r="AN11" i="35"/>
  <c r="BB19" i="16"/>
  <c r="BB19" i="35"/>
  <c r="BB17" i="16"/>
  <c r="BB17" i="35"/>
  <c r="BB22" i="16"/>
  <c r="BB22" i="35"/>
  <c r="BC23" i="16"/>
  <c r="BC23" i="35"/>
  <c r="BC17" i="16"/>
  <c r="Y54" i="16" s="1"/>
  <c r="BC17" i="35"/>
  <c r="Y54" i="35" s="1"/>
  <c r="AR28" i="16"/>
  <c r="AR28" i="35"/>
  <c r="AS34" i="16"/>
  <c r="AB48" i="16" s="1"/>
  <c r="AS34" i="35"/>
  <c r="AB48" i="35" s="1"/>
  <c r="AS32" i="16"/>
  <c r="AS32" i="35"/>
  <c r="BB15" i="16"/>
  <c r="BB15" i="35"/>
  <c r="BC13" i="16"/>
  <c r="BC13" i="35"/>
  <c r="BB14" i="16"/>
  <c r="BB14" i="35"/>
  <c r="BC14" i="16"/>
  <c r="BC14" i="35"/>
  <c r="BC16" i="16"/>
  <c r="X54" i="16" s="1"/>
  <c r="BC16" i="35"/>
  <c r="X54" i="35" s="1"/>
  <c r="AM23" i="16"/>
  <c r="AM23" i="35"/>
  <c r="AR17" i="16"/>
  <c r="AR17" i="35"/>
  <c r="AR22" i="16"/>
  <c r="AR22" i="35"/>
  <c r="AR24" i="16"/>
  <c r="AR24" i="35"/>
  <c r="AS18" i="16"/>
  <c r="AS18" i="35"/>
  <c r="AS17" i="16"/>
  <c r="Y48" i="16" s="1"/>
  <c r="AS17" i="35"/>
  <c r="Y48" i="35" s="1"/>
  <c r="AM28" i="16"/>
  <c r="AM28" i="35"/>
  <c r="AM30" i="16"/>
  <c r="AM30" i="35"/>
  <c r="AN29" i="16"/>
  <c r="AN29" i="35"/>
  <c r="AN32" i="16"/>
  <c r="AN32" i="35"/>
  <c r="AM11" i="16"/>
  <c r="AM11" i="35"/>
  <c r="AN14" i="16"/>
  <c r="AN14" i="35"/>
  <c r="AN9" i="16"/>
  <c r="AN9" i="35"/>
  <c r="AS8" i="16"/>
  <c r="W48" i="16" s="1"/>
  <c r="AS8" i="35"/>
  <c r="W48" i="35" s="1"/>
  <c r="BB23" i="16"/>
  <c r="BB23" i="35"/>
  <c r="BB21" i="16"/>
  <c r="BB21" i="35"/>
  <c r="BC18" i="16"/>
  <c r="BC18" i="35"/>
  <c r="BC20" i="16"/>
  <c r="BC20" i="35"/>
  <c r="BC25" i="16"/>
  <c r="Z54" i="16" s="1"/>
  <c r="BC25" i="35"/>
  <c r="Z54" i="35" s="1"/>
  <c r="AR27" i="16"/>
  <c r="AR27" i="35"/>
  <c r="AR26" i="16"/>
  <c r="AR26" i="35"/>
  <c r="AR32" i="16"/>
  <c r="AR32" i="35"/>
  <c r="AS27" i="16"/>
  <c r="AS27" i="35"/>
  <c r="AS26" i="16"/>
  <c r="AA48" i="16" s="1"/>
  <c r="AS26" i="35"/>
  <c r="AA48" i="35" s="1"/>
  <c r="BB8" i="16"/>
  <c r="BB8" i="35"/>
  <c r="BC11" i="16"/>
  <c r="BC11" i="35"/>
  <c r="AN21" i="16"/>
  <c r="AN20" i="16"/>
  <c r="AN20" i="35"/>
  <c r="AR21" i="16"/>
  <c r="AR21" i="35"/>
  <c r="AR19" i="16"/>
  <c r="AR19" i="35"/>
  <c r="AS20" i="16"/>
  <c r="AS20" i="35"/>
  <c r="AS22" i="16"/>
  <c r="AS22" i="35"/>
  <c r="AS25" i="16"/>
  <c r="Z48" i="16" s="1"/>
  <c r="AS25" i="35"/>
  <c r="Z48" i="35" s="1"/>
  <c r="AM26" i="16"/>
  <c r="AM26" i="35"/>
  <c r="AM32" i="16"/>
  <c r="AM32" i="35"/>
  <c r="AN27" i="16"/>
  <c r="AN27" i="35"/>
  <c r="AN30" i="16"/>
  <c r="AN30" i="35"/>
  <c r="AM13" i="16"/>
  <c r="AM13" i="35"/>
  <c r="AM9" i="16"/>
  <c r="AM9" i="35"/>
  <c r="AM10" i="16"/>
  <c r="AM10" i="35"/>
  <c r="AN13" i="16"/>
  <c r="AN13" i="35"/>
  <c r="AN10" i="16"/>
  <c r="AN10" i="35"/>
  <c r="Z37" i="19"/>
  <c r="Z62" i="35"/>
  <c r="W41" i="21"/>
  <c r="AB64" i="35"/>
  <c r="AI17" i="20"/>
  <c r="AI21" i="20" s="1"/>
  <c r="Y32" i="18"/>
  <c r="Z61" i="37" s="1"/>
  <c r="W64" i="18"/>
  <c r="AE65" i="18" s="1"/>
  <c r="AM22" i="37" s="1"/>
  <c r="X60" i="18"/>
  <c r="AF61" i="18" s="1"/>
  <c r="AN18" i="37" s="1"/>
  <c r="AA28" i="21"/>
  <c r="Z32" i="21" s="1"/>
  <c r="AA64" i="37" s="1"/>
  <c r="W61" i="18"/>
  <c r="AE62" i="18" s="1"/>
  <c r="AM19" i="37" s="1"/>
  <c r="X67" i="18"/>
  <c r="AF68" i="18" s="1"/>
  <c r="AN25" i="37" s="1"/>
  <c r="Z45" i="37" s="1"/>
  <c r="AB64" i="16"/>
  <c r="W66" i="18"/>
  <c r="AE67" i="18" s="1"/>
  <c r="AM24" i="37" s="1"/>
  <c r="W62" i="18"/>
  <c r="AE63" i="18" s="1"/>
  <c r="AM20" i="37" s="1"/>
  <c r="X59" i="18"/>
  <c r="AF60" i="18" s="1"/>
  <c r="AN17" i="37" s="1"/>
  <c r="Y45" i="37" s="1"/>
  <c r="Z32" i="17"/>
  <c r="AA60" i="37" s="1"/>
  <c r="AA50" i="19"/>
  <c r="AE54" i="19" s="1"/>
  <c r="AR11" i="37" s="1"/>
  <c r="AA51" i="19"/>
  <c r="AE55" i="19" s="1"/>
  <c r="AR12" i="37" s="1"/>
  <c r="AB55" i="19"/>
  <c r="AF59" i="19" s="1"/>
  <c r="AS16" i="37" s="1"/>
  <c r="X48" i="37" s="1"/>
  <c r="AB49" i="19"/>
  <c r="AF53" i="19" s="1"/>
  <c r="AS10" i="37" s="1"/>
  <c r="X32" i="19"/>
  <c r="Y62" i="37" s="1"/>
  <c r="Z62" i="16"/>
  <c r="X59" i="20"/>
  <c r="AF60" i="20" s="1"/>
  <c r="AX17" i="37" s="1"/>
  <c r="Y51" i="37" s="1"/>
  <c r="W63" i="20"/>
  <c r="AE64" i="20" s="1"/>
  <c r="AW21" i="37" s="1"/>
  <c r="W67" i="20"/>
  <c r="AE68" i="20" s="1"/>
  <c r="AW25" i="37" s="1"/>
  <c r="W64" i="20"/>
  <c r="AE65" i="20" s="1"/>
  <c r="AW22" i="37" s="1"/>
  <c r="X66" i="20"/>
  <c r="AF67" i="20" s="1"/>
  <c r="AX24" i="37" s="1"/>
  <c r="X63" i="20"/>
  <c r="AF64" i="20" s="1"/>
  <c r="AX21" i="37" s="1"/>
  <c r="X60" i="20"/>
  <c r="AF61" i="20" s="1"/>
  <c r="AX18" i="37" s="1"/>
  <c r="W61" i="20"/>
  <c r="AE62" i="20" s="1"/>
  <c r="AW19" i="37" s="1"/>
  <c r="AL34" i="20"/>
  <c r="AM34" i="20" s="1"/>
  <c r="AK42" i="20" s="1"/>
  <c r="AK43" i="20" s="1"/>
  <c r="Z63" i="16"/>
  <c r="Z37" i="20"/>
  <c r="AA28" i="20"/>
  <c r="AA32" i="20"/>
  <c r="AB63" i="37" s="1"/>
  <c r="AA55" i="19"/>
  <c r="AE59" i="19" s="1"/>
  <c r="AR16" i="37" s="1"/>
  <c r="AB50" i="19"/>
  <c r="AF54" i="19" s="1"/>
  <c r="AS11" i="37" s="1"/>
  <c r="AA54" i="19"/>
  <c r="AE58" i="19" s="1"/>
  <c r="AR15" i="37" s="1"/>
  <c r="AB48" i="19"/>
  <c r="AF52" i="19" s="1"/>
  <c r="AS9" i="37" s="1"/>
  <c r="AL33" i="19"/>
  <c r="AM33" i="19" s="1"/>
  <c r="AK40" i="19" s="1"/>
  <c r="AK41" i="19" s="1"/>
  <c r="X64" i="20"/>
  <c r="AF65" i="20" s="1"/>
  <c r="AX22" i="37" s="1"/>
  <c r="X65" i="20"/>
  <c r="AF66" i="20" s="1"/>
  <c r="AX23" i="37" s="1"/>
  <c r="X67" i="20"/>
  <c r="AF68" i="20" s="1"/>
  <c r="AX25" i="37" s="1"/>
  <c r="Z51" i="37" s="1"/>
  <c r="W66" i="20"/>
  <c r="AE67" i="20" s="1"/>
  <c r="AW24" i="37" s="1"/>
  <c r="W59" i="20"/>
  <c r="AE60" i="20" s="1"/>
  <c r="AW17" i="37" s="1"/>
  <c r="X61" i="20"/>
  <c r="AF62" i="20" s="1"/>
  <c r="AX19" i="37" s="1"/>
  <c r="W60" i="20"/>
  <c r="AE61" i="20" s="1"/>
  <c r="AW18" i="37" s="1"/>
  <c r="X62" i="20"/>
  <c r="AF63" i="20" s="1"/>
  <c r="AX20" i="37" s="1"/>
  <c r="W62" i="20"/>
  <c r="AE63" i="20" s="1"/>
  <c r="AW20" i="37" s="1"/>
  <c r="W65" i="20"/>
  <c r="AE66" i="20" s="1"/>
  <c r="AW23" i="37" s="1"/>
  <c r="AA48" i="19"/>
  <c r="AE52" i="19" s="1"/>
  <c r="AR9" i="37" s="1"/>
  <c r="AA53" i="19"/>
  <c r="AE57" i="19" s="1"/>
  <c r="AR14" i="37" s="1"/>
  <c r="AA49" i="19"/>
  <c r="AE53" i="19" s="1"/>
  <c r="AR10" i="37" s="1"/>
  <c r="AB53" i="19"/>
  <c r="AF57" i="19" s="1"/>
  <c r="AS14" i="37" s="1"/>
  <c r="AB54" i="19"/>
  <c r="AF58" i="19" s="1"/>
  <c r="AS15" i="37" s="1"/>
  <c r="AA52" i="19"/>
  <c r="AE56" i="19" s="1"/>
  <c r="AR13" i="37" s="1"/>
  <c r="AA47" i="19"/>
  <c r="AE51" i="19" s="1"/>
  <c r="AR8" i="37" s="1"/>
  <c r="AB51" i="19"/>
  <c r="AF55" i="19" s="1"/>
  <c r="AS12" i="37" s="1"/>
  <c r="AB52" i="19"/>
  <c r="AF56" i="19" s="1"/>
  <c r="AS13" i="37" s="1"/>
  <c r="AN34" i="21"/>
  <c r="AL43" i="21" s="1"/>
  <c r="Z60" i="16"/>
  <c r="Z37" i="17"/>
  <c r="AC37" i="18"/>
  <c r="AA61" i="16"/>
  <c r="W37" i="21"/>
  <c r="Y64" i="16"/>
  <c r="AL20" i="21"/>
  <c r="BB16" i="16"/>
  <c r="AL35" i="17"/>
  <c r="AM35" i="17" s="1"/>
  <c r="AK44" i="17" s="1"/>
  <c r="AK45" i="17" s="1"/>
  <c r="AB66" i="17"/>
  <c r="AF76" i="17" s="1"/>
  <c r="AI33" i="37" s="1"/>
  <c r="AB59" i="17"/>
  <c r="AF69" i="17" s="1"/>
  <c r="AI26" i="37" s="1"/>
  <c r="AA42" i="37" s="1"/>
  <c r="AB60" i="17"/>
  <c r="AF70" i="17" s="1"/>
  <c r="AI27" i="37" s="1"/>
  <c r="AB62" i="17"/>
  <c r="AF72" i="17" s="1"/>
  <c r="AI29" i="37" s="1"/>
  <c r="AB64" i="17"/>
  <c r="AF74" i="17" s="1"/>
  <c r="AI31" i="37" s="1"/>
  <c r="AB65" i="17"/>
  <c r="AF75" i="17" s="1"/>
  <c r="AI32" i="37" s="1"/>
  <c r="AB61" i="17"/>
  <c r="AF71" i="17" s="1"/>
  <c r="AI28" i="37" s="1"/>
  <c r="AB67" i="17"/>
  <c r="AF77" i="17" s="1"/>
  <c r="AI34" i="37" s="1"/>
  <c r="AB42" i="37" s="1"/>
  <c r="AB63" i="17"/>
  <c r="AF73" i="17" s="1"/>
  <c r="AI30" i="37" s="1"/>
  <c r="AA67" i="17"/>
  <c r="AE77" i="17" s="1"/>
  <c r="AH34" i="37" s="1"/>
  <c r="AA63" i="17"/>
  <c r="AE73" i="17" s="1"/>
  <c r="AH30" i="37" s="1"/>
  <c r="AA64" i="17"/>
  <c r="AE74" i="17" s="1"/>
  <c r="AH31" i="37" s="1"/>
  <c r="AA60" i="17"/>
  <c r="AE70" i="17" s="1"/>
  <c r="AH27" i="37" s="1"/>
  <c r="AA65" i="17"/>
  <c r="AE75" i="17" s="1"/>
  <c r="AH32" i="37" s="1"/>
  <c r="AA61" i="17"/>
  <c r="AE71" i="17" s="1"/>
  <c r="AH28" i="37" s="1"/>
  <c r="AA66" i="17"/>
  <c r="AE76" i="17" s="1"/>
  <c r="AH33" i="37" s="1"/>
  <c r="AA62" i="17"/>
  <c r="AE72" i="17" s="1"/>
  <c r="AH29" i="37" s="1"/>
  <c r="AA59" i="17"/>
  <c r="AE69" i="17" s="1"/>
  <c r="AH26" i="37" s="1"/>
  <c r="AB60" i="16"/>
  <c r="W41" i="17"/>
  <c r="AL33" i="17"/>
  <c r="AM33" i="17" s="1"/>
  <c r="AK40" i="17" s="1"/>
  <c r="AK41" i="17" s="1"/>
  <c r="AB47" i="17"/>
  <c r="AF51" i="17" s="1"/>
  <c r="AI8" i="37" s="1"/>
  <c r="W42" i="37" s="1"/>
  <c r="AB48" i="17"/>
  <c r="AF52" i="17" s="1"/>
  <c r="AI9" i="37" s="1"/>
  <c r="AB50" i="17"/>
  <c r="AF54" i="17" s="1"/>
  <c r="AI11" i="37" s="1"/>
  <c r="AB51" i="17"/>
  <c r="AF55" i="17" s="1"/>
  <c r="AI12" i="37" s="1"/>
  <c r="AB52" i="17"/>
  <c r="AF56" i="17" s="1"/>
  <c r="AI13" i="37" s="1"/>
  <c r="AB53" i="17"/>
  <c r="AF57" i="17" s="1"/>
  <c r="AI14" i="37" s="1"/>
  <c r="AB54" i="17"/>
  <c r="AF58" i="17" s="1"/>
  <c r="AI15" i="37" s="1"/>
  <c r="AB55" i="17"/>
  <c r="AF59" i="17" s="1"/>
  <c r="AI16" i="37" s="1"/>
  <c r="X42" i="37" s="1"/>
  <c r="AA47" i="17"/>
  <c r="AE51" i="17" s="1"/>
  <c r="AA54" i="17"/>
  <c r="AE58" i="17" s="1"/>
  <c r="AA52" i="17"/>
  <c r="AE56" i="17" s="1"/>
  <c r="AA50" i="17"/>
  <c r="AE54" i="17" s="1"/>
  <c r="AB49" i="17"/>
  <c r="AF53" i="17" s="1"/>
  <c r="AI10" i="37" s="1"/>
  <c r="X32" i="17"/>
  <c r="Y60" i="37" s="1"/>
  <c r="AA49" i="17"/>
  <c r="AE53" i="17" s="1"/>
  <c r="AA55" i="17"/>
  <c r="AE59" i="17" s="1"/>
  <c r="AA53" i="17"/>
  <c r="AE57" i="17" s="1"/>
  <c r="AA51" i="17"/>
  <c r="AE55" i="17" s="1"/>
  <c r="AA48" i="17"/>
  <c r="AE52" i="17" s="1"/>
  <c r="AH9" i="37" s="1"/>
  <c r="AL24" i="18"/>
  <c r="AM34" i="16"/>
  <c r="AN35" i="19"/>
  <c r="AL45" i="19" s="1"/>
  <c r="AN33" i="21"/>
  <c r="AL41" i="21" s="1"/>
  <c r="AN34" i="18"/>
  <c r="AL43" i="18" s="1"/>
  <c r="AN35" i="18"/>
  <c r="AL45" i="18" s="1"/>
  <c r="AN33" i="18"/>
  <c r="AL41" i="18" s="1"/>
  <c r="AL22" i="21"/>
  <c r="BB25" i="16"/>
  <c r="AL24" i="19"/>
  <c r="AR34" i="16"/>
  <c r="AL34" i="17"/>
  <c r="AM34" i="17" s="1"/>
  <c r="AK42" i="17" s="1"/>
  <c r="AK43" i="17" s="1"/>
  <c r="X61" i="17"/>
  <c r="AF62" i="17" s="1"/>
  <c r="AI19" i="37" s="1"/>
  <c r="X63" i="17"/>
  <c r="AF64" i="17" s="1"/>
  <c r="AI21" i="37" s="1"/>
  <c r="X65" i="17"/>
  <c r="AF66" i="17" s="1"/>
  <c r="AI23" i="37" s="1"/>
  <c r="X67" i="17"/>
  <c r="AF68" i="17" s="1"/>
  <c r="AI25" i="37" s="1"/>
  <c r="Z42" i="37" s="1"/>
  <c r="X59" i="17"/>
  <c r="AF60" i="17" s="1"/>
  <c r="AI17" i="37" s="1"/>
  <c r="Y42" i="37" s="1"/>
  <c r="X64" i="17"/>
  <c r="AF65" i="17" s="1"/>
  <c r="AI22" i="37" s="1"/>
  <c r="X60" i="17"/>
  <c r="AF61" i="17" s="1"/>
  <c r="AI18" i="37" s="1"/>
  <c r="X66" i="17"/>
  <c r="AF67" i="17" s="1"/>
  <c r="AI24" i="37" s="1"/>
  <c r="X62" i="17"/>
  <c r="AF63" i="17" s="1"/>
  <c r="AI20" i="37" s="1"/>
  <c r="W66" i="17"/>
  <c r="AE67" i="17" s="1"/>
  <c r="AH24" i="37" s="1"/>
  <c r="W62" i="17"/>
  <c r="AE63" i="17" s="1"/>
  <c r="AH20" i="37" s="1"/>
  <c r="W65" i="17"/>
  <c r="AE66" i="17" s="1"/>
  <c r="AH23" i="37" s="1"/>
  <c r="W61" i="17"/>
  <c r="AE62" i="17" s="1"/>
  <c r="AH19" i="37" s="1"/>
  <c r="W64" i="17"/>
  <c r="AE65" i="17" s="1"/>
  <c r="AH22" i="37" s="1"/>
  <c r="W60" i="17"/>
  <c r="AE61" i="17" s="1"/>
  <c r="AH18" i="37" s="1"/>
  <c r="W67" i="17"/>
  <c r="AE68" i="17" s="1"/>
  <c r="AH25" i="37" s="1"/>
  <c r="W63" i="17"/>
  <c r="AE64" i="17" s="1"/>
  <c r="AH21" i="37" s="1"/>
  <c r="W59" i="17"/>
  <c r="AE60" i="17" s="1"/>
  <c r="AH17" i="37" s="1"/>
  <c r="AL22" i="19"/>
  <c r="AR25" i="16"/>
  <c r="W37" i="18"/>
  <c r="Y61" i="16"/>
  <c r="AL20" i="18"/>
  <c r="AM16" i="16"/>
  <c r="AM25" i="16" l="1"/>
  <c r="AM21" i="35"/>
  <c r="AN24" i="35"/>
  <c r="AL22" i="18"/>
  <c r="AM21" i="16"/>
  <c r="AN24" i="16"/>
  <c r="AH14" i="37"/>
  <c r="AH14" i="35"/>
  <c r="AH8" i="37"/>
  <c r="AH8" i="35"/>
  <c r="AH16" i="37"/>
  <c r="AH16" i="35"/>
  <c r="AH11" i="37"/>
  <c r="AH11" i="35"/>
  <c r="AH10" i="35"/>
  <c r="AH10" i="37"/>
  <c r="AH13" i="37"/>
  <c r="AH13" i="35"/>
  <c r="AH12" i="37"/>
  <c r="AH12" i="35"/>
  <c r="AH15" i="37"/>
  <c r="AH15" i="35"/>
  <c r="Y60" i="35"/>
  <c r="AN21" i="35"/>
  <c r="AM17" i="16"/>
  <c r="AH34" i="35"/>
  <c r="AB63" i="35"/>
  <c r="AM25" i="35"/>
  <c r="Z61" i="16"/>
  <c r="AN22" i="16"/>
  <c r="AM18" i="16"/>
  <c r="AH25" i="35"/>
  <c r="AA61" i="35"/>
  <c r="AB65" i="21"/>
  <c r="AF75" i="21" s="1"/>
  <c r="BC32" i="37" s="1"/>
  <c r="AN22" i="35"/>
  <c r="AM18" i="35"/>
  <c r="AA59" i="21"/>
  <c r="AE69" i="21" s="1"/>
  <c r="BB26" i="37" s="1"/>
  <c r="AM17" i="35"/>
  <c r="AI18" i="16"/>
  <c r="AI18" i="35"/>
  <c r="AH21" i="16"/>
  <c r="AH21" i="35"/>
  <c r="AH19" i="16"/>
  <c r="AH19" i="35"/>
  <c r="AI20" i="16"/>
  <c r="AI20" i="35"/>
  <c r="AI17" i="16"/>
  <c r="Y42" i="16" s="1"/>
  <c r="AI17" i="35"/>
  <c r="Y42" i="35" s="1"/>
  <c r="AI19" i="16"/>
  <c r="AI19" i="35"/>
  <c r="AH11" i="16"/>
  <c r="AI16" i="16"/>
  <c r="X42" i="16" s="1"/>
  <c r="AI16" i="35"/>
  <c r="X42" i="35" s="1"/>
  <c r="AI12" i="16"/>
  <c r="AI12" i="35"/>
  <c r="AH29" i="16"/>
  <c r="AH29" i="35"/>
  <c r="AH27" i="16"/>
  <c r="AH27" i="35"/>
  <c r="AI30" i="16"/>
  <c r="AI30" i="35"/>
  <c r="AI31" i="16"/>
  <c r="AI31" i="35"/>
  <c r="AI33" i="16"/>
  <c r="AI33" i="35"/>
  <c r="AS12" i="16"/>
  <c r="AS12" i="35"/>
  <c r="AS14" i="16"/>
  <c r="AS14" i="35"/>
  <c r="AW23" i="16"/>
  <c r="AW23" i="35"/>
  <c r="AX19" i="16"/>
  <c r="AX19" i="35"/>
  <c r="AX23" i="16"/>
  <c r="AX23" i="35"/>
  <c r="AR15" i="16"/>
  <c r="AR15" i="35"/>
  <c r="AW19" i="16"/>
  <c r="AW19" i="35"/>
  <c r="AW22" i="16"/>
  <c r="AW22" i="35"/>
  <c r="AX17" i="16"/>
  <c r="Y51" i="16" s="1"/>
  <c r="AX17" i="35"/>
  <c r="Y51" i="35" s="1"/>
  <c r="AR12" i="16"/>
  <c r="AR12" i="35"/>
  <c r="AM20" i="16"/>
  <c r="AM20" i="35"/>
  <c r="AM19" i="16"/>
  <c r="AM19" i="35"/>
  <c r="Z37" i="18"/>
  <c r="Z61" i="35"/>
  <c r="AH23" i="16"/>
  <c r="AH23" i="35"/>
  <c r="AI24" i="16"/>
  <c r="AI24" i="35"/>
  <c r="AI25" i="16"/>
  <c r="Z42" i="16" s="1"/>
  <c r="AI25" i="35"/>
  <c r="Z42" i="35" s="1"/>
  <c r="AH9" i="16"/>
  <c r="AH9" i="35"/>
  <c r="AH10" i="16"/>
  <c r="AH13" i="16"/>
  <c r="AI15" i="16"/>
  <c r="AI15" i="35"/>
  <c r="AI11" i="16"/>
  <c r="AI11" i="35"/>
  <c r="AH33" i="16"/>
  <c r="AH33" i="35"/>
  <c r="AH31" i="16"/>
  <c r="AH31" i="35"/>
  <c r="AI34" i="16"/>
  <c r="AB42" i="16" s="1"/>
  <c r="AI34" i="35"/>
  <c r="AB42" i="35" s="1"/>
  <c r="AI29" i="16"/>
  <c r="AI29" i="35"/>
  <c r="AR8" i="16"/>
  <c r="AR8" i="35"/>
  <c r="AR10" i="16"/>
  <c r="AR10" i="35"/>
  <c r="AW20" i="16"/>
  <c r="AW20" i="35"/>
  <c r="AW17" i="16"/>
  <c r="AW17" i="35"/>
  <c r="AX22" i="16"/>
  <c r="AX22" i="35"/>
  <c r="AS11" i="16"/>
  <c r="AS11" i="35"/>
  <c r="AX18" i="16"/>
  <c r="AX18" i="35"/>
  <c r="AL22" i="20"/>
  <c r="AW25" i="35"/>
  <c r="BC32" i="16"/>
  <c r="BC32" i="35"/>
  <c r="Y62" i="16"/>
  <c r="Y62" i="35"/>
  <c r="AR11" i="16"/>
  <c r="AR11" i="35"/>
  <c r="AM24" i="16"/>
  <c r="AM24" i="35"/>
  <c r="AC37" i="21"/>
  <c r="AA64" i="35"/>
  <c r="AH18" i="16"/>
  <c r="AH18" i="35"/>
  <c r="AI23" i="16"/>
  <c r="AI23" i="35"/>
  <c r="AH12" i="16"/>
  <c r="AH15" i="16"/>
  <c r="AI14" i="16"/>
  <c r="AI14" i="35"/>
  <c r="AI9" i="16"/>
  <c r="AI9" i="35"/>
  <c r="AH28" i="16"/>
  <c r="AH28" i="35"/>
  <c r="AH30" i="16"/>
  <c r="AH30" i="35"/>
  <c r="AI28" i="16"/>
  <c r="AI28" i="35"/>
  <c r="AI27" i="16"/>
  <c r="AI27" i="35"/>
  <c r="AR13" i="16"/>
  <c r="AR13" i="35"/>
  <c r="AR14" i="16"/>
  <c r="AR14" i="35"/>
  <c r="AX20" i="16"/>
  <c r="AX20" i="35"/>
  <c r="AW24" i="16"/>
  <c r="AW24" i="35"/>
  <c r="AL20" i="19"/>
  <c r="AR16" i="35"/>
  <c r="AX21" i="16"/>
  <c r="AX21" i="35"/>
  <c r="AS10" i="16"/>
  <c r="AS10" i="35"/>
  <c r="AC37" i="17"/>
  <c r="AA60" i="35"/>
  <c r="AN18" i="16"/>
  <c r="AN18" i="35"/>
  <c r="AH20" i="16"/>
  <c r="AH20" i="35"/>
  <c r="AH17" i="16"/>
  <c r="AH17" i="35"/>
  <c r="AH22" i="16"/>
  <c r="AH22" i="35"/>
  <c r="AH24" i="16"/>
  <c r="AH24" i="35"/>
  <c r="AI22" i="16"/>
  <c r="AI22" i="35"/>
  <c r="AI21" i="16"/>
  <c r="AI21" i="35"/>
  <c r="AH14" i="16"/>
  <c r="AI10" i="16"/>
  <c r="AI10" i="35"/>
  <c r="AH8" i="16"/>
  <c r="AI13" i="16"/>
  <c r="AI13" i="35"/>
  <c r="AI8" i="16"/>
  <c r="W42" i="16" s="1"/>
  <c r="AI8" i="35"/>
  <c r="W42" i="35" s="1"/>
  <c r="AH26" i="16"/>
  <c r="AH26" i="35"/>
  <c r="AH32" i="16"/>
  <c r="AH32" i="35"/>
  <c r="AI32" i="16"/>
  <c r="AI32" i="35"/>
  <c r="AI26" i="16"/>
  <c r="AA42" i="16" s="1"/>
  <c r="AI26" i="35"/>
  <c r="AA42" i="35" s="1"/>
  <c r="AS13" i="16"/>
  <c r="AS13" i="35"/>
  <c r="AS15" i="16"/>
  <c r="AS15" i="35"/>
  <c r="AR9" i="16"/>
  <c r="AR9" i="35"/>
  <c r="AW18" i="16"/>
  <c r="AW18" i="35"/>
  <c r="AX25" i="16"/>
  <c r="Z51" i="16" s="1"/>
  <c r="AX25" i="35"/>
  <c r="Z51" i="35" s="1"/>
  <c r="AS9" i="16"/>
  <c r="AS9" i="35"/>
  <c r="AX24" i="16"/>
  <c r="AX24" i="35"/>
  <c r="AW21" i="16"/>
  <c r="AW21" i="35"/>
  <c r="AA65" i="21"/>
  <c r="AE75" i="21" s="1"/>
  <c r="BB32" i="37" s="1"/>
  <c r="AS16" i="16"/>
  <c r="X48" i="16" s="1"/>
  <c r="AS16" i="35"/>
  <c r="X48" i="35" s="1"/>
  <c r="AN17" i="16"/>
  <c r="Y45" i="16" s="1"/>
  <c r="AN17" i="35"/>
  <c r="Y45" i="35" s="1"/>
  <c r="AN25" i="16"/>
  <c r="Z45" i="16" s="1"/>
  <c r="AN25" i="35"/>
  <c r="Z45" i="35" s="1"/>
  <c r="AM22" i="16"/>
  <c r="AM22" i="35"/>
  <c r="AB59" i="21"/>
  <c r="AF69" i="21" s="1"/>
  <c r="BC26" i="37" s="1"/>
  <c r="AA54" i="37" s="1"/>
  <c r="AB60" i="21"/>
  <c r="AF70" i="21" s="1"/>
  <c r="BC27" i="37" s="1"/>
  <c r="AB61" i="21"/>
  <c r="AF71" i="21" s="1"/>
  <c r="BC28" i="37" s="1"/>
  <c r="AA61" i="21"/>
  <c r="AE71" i="21" s="1"/>
  <c r="BB28" i="37" s="1"/>
  <c r="AA62" i="21"/>
  <c r="AE72" i="21" s="1"/>
  <c r="BB29" i="37" s="1"/>
  <c r="AA67" i="21"/>
  <c r="AE77" i="21" s="1"/>
  <c r="BB34" i="37" s="1"/>
  <c r="AA64" i="21"/>
  <c r="AE74" i="21" s="1"/>
  <c r="BB31" i="37" s="1"/>
  <c r="AB63" i="21"/>
  <c r="AF73" i="21" s="1"/>
  <c r="BC30" i="37" s="1"/>
  <c r="AB64" i="21"/>
  <c r="AF74" i="21" s="1"/>
  <c r="BC31" i="37" s="1"/>
  <c r="AA66" i="21"/>
  <c r="AE76" i="21" s="1"/>
  <c r="BB33" i="37" s="1"/>
  <c r="AA63" i="21"/>
  <c r="AE73" i="21" s="1"/>
  <c r="BB30" i="37" s="1"/>
  <c r="AA60" i="21"/>
  <c r="AE70" i="21" s="1"/>
  <c r="BB27" i="37" s="1"/>
  <c r="AL35" i="21"/>
  <c r="AM35" i="21" s="1"/>
  <c r="AK44" i="21" s="1"/>
  <c r="AK45" i="21" s="1"/>
  <c r="AB67" i="21"/>
  <c r="AF77" i="21" s="1"/>
  <c r="BC34" i="37" s="1"/>
  <c r="AB54" i="37" s="1"/>
  <c r="AA64" i="16"/>
  <c r="AB66" i="21"/>
  <c r="AF76" i="21" s="1"/>
  <c r="BC33" i="37" s="1"/>
  <c r="AB62" i="21"/>
  <c r="AF72" i="21" s="1"/>
  <c r="BC29" i="37" s="1"/>
  <c r="AI45" i="20"/>
  <c r="AI46" i="20" s="1"/>
  <c r="AI47" i="20" s="1"/>
  <c r="AI48" i="20" s="1"/>
  <c r="AI24" i="20"/>
  <c r="AI28" i="20" s="1"/>
  <c r="AI31" i="20"/>
  <c r="AI35" i="20" s="1"/>
  <c r="AI38" i="20"/>
  <c r="AI39" i="20" s="1"/>
  <c r="AI40" i="20" s="1"/>
  <c r="AI41" i="20" s="1"/>
  <c r="AI18" i="20"/>
  <c r="AI19" i="20" s="1"/>
  <c r="AI20" i="20" s="1"/>
  <c r="AR16" i="16"/>
  <c r="W37" i="19"/>
  <c r="AN34" i="20"/>
  <c r="AL43" i="20" s="1"/>
  <c r="AA60" i="16"/>
  <c r="AN34" i="19"/>
  <c r="AL43" i="19" s="1"/>
  <c r="AW25" i="16"/>
  <c r="AN33" i="19"/>
  <c r="AL41" i="19" s="1"/>
  <c r="AB63" i="16"/>
  <c r="W41" i="20"/>
  <c r="Z32" i="20"/>
  <c r="AA63" i="37" s="1"/>
  <c r="AA65" i="20"/>
  <c r="AE75" i="20" s="1"/>
  <c r="AW32" i="37" s="1"/>
  <c r="AA66" i="20"/>
  <c r="AE76" i="20" s="1"/>
  <c r="AW33" i="37" s="1"/>
  <c r="AB64" i="20"/>
  <c r="AF74" i="20" s="1"/>
  <c r="AX31" i="37" s="1"/>
  <c r="AB63" i="20"/>
  <c r="AF73" i="20" s="1"/>
  <c r="AX30" i="37" s="1"/>
  <c r="AA62" i="20"/>
  <c r="AE72" i="20" s="1"/>
  <c r="AW29" i="37" s="1"/>
  <c r="AA60" i="20"/>
  <c r="AE70" i="20" s="1"/>
  <c r="AW27" i="37" s="1"/>
  <c r="AB67" i="20"/>
  <c r="AF77" i="20" s="1"/>
  <c r="AX34" i="37" s="1"/>
  <c r="AB51" i="37" s="1"/>
  <c r="AB61" i="20"/>
  <c r="AF71" i="20" s="1"/>
  <c r="AX28" i="37" s="1"/>
  <c r="AB62" i="20"/>
  <c r="AF72" i="20" s="1"/>
  <c r="AX29" i="37" s="1"/>
  <c r="AB66" i="20"/>
  <c r="AF76" i="20" s="1"/>
  <c r="AX33" i="37" s="1"/>
  <c r="AA59" i="20"/>
  <c r="AE69" i="20" s="1"/>
  <c r="AW26" i="37" s="1"/>
  <c r="AA67" i="20"/>
  <c r="AE77" i="20" s="1"/>
  <c r="AW34" i="37" s="1"/>
  <c r="AA64" i="20"/>
  <c r="AE74" i="20" s="1"/>
  <c r="AW31" i="37" s="1"/>
  <c r="AA63" i="20"/>
  <c r="AE73" i="20" s="1"/>
  <c r="AW30" i="37" s="1"/>
  <c r="AA61" i="20"/>
  <c r="AE71" i="20" s="1"/>
  <c r="AW28" i="37" s="1"/>
  <c r="AB60" i="20"/>
  <c r="AF70" i="20" s="1"/>
  <c r="AX27" i="37" s="1"/>
  <c r="AB65" i="20"/>
  <c r="AF75" i="20" s="1"/>
  <c r="AX32" i="37" s="1"/>
  <c r="AB59" i="20"/>
  <c r="AF69" i="20" s="1"/>
  <c r="AX26" i="37" s="1"/>
  <c r="AA51" i="37" s="1"/>
  <c r="AL35" i="20"/>
  <c r="AN33" i="17"/>
  <c r="AL41" i="17" s="1"/>
  <c r="AN34" i="17"/>
  <c r="AL43" i="17" s="1"/>
  <c r="AI49" i="20"/>
  <c r="AL22" i="17"/>
  <c r="AH25" i="16"/>
  <c r="AL24" i="17"/>
  <c r="AH34" i="16"/>
  <c r="AN35" i="17"/>
  <c r="AL45" i="17" s="1"/>
  <c r="AL20" i="17"/>
  <c r="AH16" i="16"/>
  <c r="W37" i="17"/>
  <c r="Y60" i="16"/>
  <c r="BB26" i="35" l="1"/>
  <c r="AW34" i="35"/>
  <c r="AA63" i="35"/>
  <c r="BB26" i="16"/>
  <c r="AI42" i="20"/>
  <c r="AX32" i="16"/>
  <c r="AX32" i="35"/>
  <c r="AW31" i="16"/>
  <c r="AW31" i="35"/>
  <c r="AX29" i="16"/>
  <c r="AX29" i="35"/>
  <c r="AW29" i="16"/>
  <c r="AW29" i="35"/>
  <c r="AW32" i="16"/>
  <c r="AW32" i="35"/>
  <c r="BC29" i="16"/>
  <c r="BC29" i="35"/>
  <c r="BC31" i="16"/>
  <c r="BC31" i="35"/>
  <c r="BB29" i="16"/>
  <c r="BB29" i="35"/>
  <c r="BC26" i="16"/>
  <c r="AA54" i="16" s="1"/>
  <c r="BC26" i="35"/>
  <c r="AA54" i="35" s="1"/>
  <c r="AX28" i="16"/>
  <c r="AX28" i="35"/>
  <c r="AX30" i="16"/>
  <c r="AX30" i="35"/>
  <c r="BC33" i="16"/>
  <c r="BC33" i="35"/>
  <c r="BB27" i="16"/>
  <c r="BB27" i="35"/>
  <c r="BC30" i="16"/>
  <c r="BC30" i="35"/>
  <c r="BB28" i="16"/>
  <c r="BB28" i="35"/>
  <c r="BB32" i="16"/>
  <c r="BB32" i="35"/>
  <c r="AW28" i="16"/>
  <c r="AW28" i="35"/>
  <c r="AX34" i="16"/>
  <c r="AB51" i="16" s="1"/>
  <c r="AX34" i="35"/>
  <c r="AB51" i="35" s="1"/>
  <c r="BB30" i="16"/>
  <c r="BB30" i="35"/>
  <c r="BB31" i="16"/>
  <c r="BB31" i="35"/>
  <c r="BC28" i="16"/>
  <c r="BC28" i="35"/>
  <c r="AX27" i="16"/>
  <c r="AX27" i="35"/>
  <c r="AW26" i="16"/>
  <c r="AW26" i="35"/>
  <c r="AX31" i="16"/>
  <c r="AX31" i="35"/>
  <c r="AX26" i="16"/>
  <c r="AA51" i="16" s="1"/>
  <c r="AX26" i="35"/>
  <c r="AA51" i="35" s="1"/>
  <c r="AW30" i="16"/>
  <c r="AW30" i="35"/>
  <c r="AX33" i="16"/>
  <c r="AX33" i="35"/>
  <c r="AW27" i="16"/>
  <c r="AW27" i="35"/>
  <c r="AW33" i="16"/>
  <c r="AW33" i="35"/>
  <c r="BC34" i="16"/>
  <c r="AB54" i="16" s="1"/>
  <c r="BC34" i="35"/>
  <c r="AB54" i="35" s="1"/>
  <c r="BB33" i="16"/>
  <c r="BB33" i="35"/>
  <c r="AL24" i="21"/>
  <c r="BB34" i="35"/>
  <c r="BC27" i="16"/>
  <c r="BC27" i="35"/>
  <c r="AN35" i="21"/>
  <c r="AL45" i="21" s="1"/>
  <c r="BB34" i="16"/>
  <c r="AI32" i="20"/>
  <c r="AI33" i="20" s="1"/>
  <c r="AI34" i="20" s="1"/>
  <c r="AI25" i="20"/>
  <c r="AI26" i="20" s="1"/>
  <c r="AI27" i="20" s="1"/>
  <c r="AM35" i="20"/>
  <c r="AK44" i="20" s="1"/>
  <c r="AK45" i="20" s="1"/>
  <c r="AN35" i="20"/>
  <c r="AL45" i="20" s="1"/>
  <c r="AL24" i="20"/>
  <c r="AW34" i="16"/>
  <c r="AC37" i="20"/>
  <c r="AA63" i="16"/>
  <c r="AI17" i="21" l="1"/>
  <c r="AI21" i="21" s="1"/>
  <c r="AI24" i="21" l="1"/>
  <c r="AI25" i="21" s="1"/>
  <c r="AI26" i="21" s="1"/>
  <c r="AI27" i="21" s="1"/>
  <c r="AI31" i="21"/>
  <c r="AI32" i="21" s="1"/>
  <c r="AI33" i="21" s="1"/>
  <c r="AI34" i="21" s="1"/>
  <c r="AI18" i="21"/>
  <c r="AI19" i="21" s="1"/>
  <c r="AI20" i="21" s="1"/>
  <c r="AI45" i="21"/>
  <c r="AI46" i="21" s="1"/>
  <c r="AI47" i="21" s="1"/>
  <c r="AI48" i="21" s="1"/>
  <c r="AI38" i="21"/>
  <c r="AI39" i="21" s="1"/>
  <c r="AI40" i="21" s="1"/>
  <c r="AI41" i="21" s="1"/>
  <c r="AI35" i="21"/>
  <c r="AI28" i="21"/>
  <c r="AI42" i="21"/>
  <c r="H5" i="15"/>
  <c r="E5" i="15"/>
  <c r="B5" i="15"/>
  <c r="H4" i="15"/>
  <c r="E4" i="15"/>
  <c r="B4" i="15"/>
  <c r="G2" i="15"/>
  <c r="G5" i="15" s="1"/>
  <c r="D2" i="15"/>
  <c r="D5" i="15" s="1"/>
  <c r="A2" i="15"/>
  <c r="A5" i="15" s="1"/>
  <c r="AD47" i="14"/>
  <c r="H18" i="14"/>
  <c r="G18" i="14"/>
  <c r="C18" i="14"/>
  <c r="B18" i="14"/>
  <c r="G7" i="14"/>
  <c r="F7" i="14"/>
  <c r="E7" i="14"/>
  <c r="D7" i="14"/>
  <c r="G4" i="14"/>
  <c r="Z61" i="14" s="1"/>
  <c r="F4" i="14"/>
  <c r="V62" i="14" s="1"/>
  <c r="E4" i="14"/>
  <c r="Z55" i="14" s="1"/>
  <c r="D4" i="14"/>
  <c r="AK55" i="14" s="1"/>
  <c r="AD47" i="13"/>
  <c r="H18" i="13"/>
  <c r="G18" i="13"/>
  <c r="C18" i="13"/>
  <c r="B18" i="13"/>
  <c r="G7" i="13"/>
  <c r="F7" i="13"/>
  <c r="E7" i="13"/>
  <c r="D7" i="13"/>
  <c r="G4" i="13"/>
  <c r="Z61" i="13" s="1"/>
  <c r="F4" i="13"/>
  <c r="V62" i="13" s="1"/>
  <c r="E4" i="13"/>
  <c r="Z55" i="13" s="1"/>
  <c r="D4" i="13"/>
  <c r="AK55" i="13" s="1"/>
  <c r="AD47" i="12"/>
  <c r="H18" i="12"/>
  <c r="G18" i="12"/>
  <c r="C18" i="12"/>
  <c r="B18" i="12"/>
  <c r="G7" i="12"/>
  <c r="F7" i="12"/>
  <c r="E7" i="12"/>
  <c r="D7" i="12"/>
  <c r="G4" i="12"/>
  <c r="Z61" i="12" s="1"/>
  <c r="F4" i="12"/>
  <c r="V65" i="12" s="1"/>
  <c r="E4" i="12"/>
  <c r="Z55" i="12" s="1"/>
  <c r="D4" i="12"/>
  <c r="AK55" i="12" s="1"/>
  <c r="AD47" i="11"/>
  <c r="H18" i="11"/>
  <c r="G18" i="11"/>
  <c r="C18" i="11"/>
  <c r="B18" i="11"/>
  <c r="G7" i="11"/>
  <c r="F7" i="11"/>
  <c r="E7" i="11"/>
  <c r="D7" i="11"/>
  <c r="G4" i="11"/>
  <c r="Z61" i="11" s="1"/>
  <c r="F4" i="11"/>
  <c r="V62" i="11" s="1"/>
  <c r="E4" i="11"/>
  <c r="Z55" i="11" s="1"/>
  <c r="D4" i="11"/>
  <c r="AK55" i="11" s="1"/>
  <c r="AD47" i="10"/>
  <c r="AG4" i="9" s="1"/>
  <c r="AF4" i="9" s="1"/>
  <c r="AI38" i="10"/>
  <c r="AI42" i="10" s="1"/>
  <c r="AI31" i="10"/>
  <c r="AI35" i="10" s="1"/>
  <c r="AI24" i="10"/>
  <c r="AI28" i="10" s="1"/>
  <c r="AI21" i="10"/>
  <c r="AI18" i="10"/>
  <c r="H18" i="10"/>
  <c r="G18" i="10"/>
  <c r="C18" i="10"/>
  <c r="B18" i="10"/>
  <c r="G7" i="10"/>
  <c r="F7" i="10"/>
  <c r="E7" i="10"/>
  <c r="D7" i="10"/>
  <c r="G4" i="10"/>
  <c r="Z62" i="10" s="1"/>
  <c r="F4" i="10"/>
  <c r="E4" i="10"/>
  <c r="Z55" i="10" s="1"/>
  <c r="D4" i="10"/>
  <c r="AK55" i="10" s="1"/>
  <c r="I77" i="9"/>
  <c r="D77" i="9"/>
  <c r="BA4" i="9"/>
  <c r="AV4" i="9"/>
  <c r="AQ4" i="9"/>
  <c r="AL4" i="9"/>
  <c r="AI49" i="21" l="1"/>
  <c r="D18" i="12"/>
  <c r="I18" i="12"/>
  <c r="D18" i="14"/>
  <c r="I18" i="14"/>
  <c r="D18" i="10"/>
  <c r="I18" i="10"/>
  <c r="D18" i="11"/>
  <c r="I18" i="11"/>
  <c r="D18" i="13"/>
  <c r="I18" i="13"/>
  <c r="AK56" i="10"/>
  <c r="V36" i="10"/>
  <c r="V37" i="10" s="1"/>
  <c r="AK17" i="10"/>
  <c r="AK18" i="10" s="1"/>
  <c r="AZ4" i="9"/>
  <c r="AU4" i="9"/>
  <c r="AP4" i="9"/>
  <c r="AK4" i="9"/>
  <c r="V62" i="10"/>
  <c r="V67" i="10"/>
  <c r="V66" i="10"/>
  <c r="V65" i="10"/>
  <c r="V64" i="10"/>
  <c r="V63" i="10"/>
  <c r="AK56" i="11"/>
  <c r="V36" i="11"/>
  <c r="V37" i="11" s="1"/>
  <c r="AK17" i="11"/>
  <c r="AK18" i="11" s="1"/>
  <c r="AI19" i="10"/>
  <c r="AI20" i="10" s="1"/>
  <c r="Z21" i="10"/>
  <c r="AI25" i="10"/>
  <c r="AI26" i="10" s="1"/>
  <c r="AI27" i="10" s="1"/>
  <c r="AA28" i="10"/>
  <c r="AI39" i="10"/>
  <c r="AI40" i="10" s="1"/>
  <c r="AI41" i="10" s="1"/>
  <c r="X47" i="10"/>
  <c r="AF47" i="10" s="1"/>
  <c r="AI4" i="9" s="1"/>
  <c r="V48" i="10"/>
  <c r="AD48" i="10" s="1"/>
  <c r="AG5" i="9" s="1"/>
  <c r="AF5" i="9" s="1"/>
  <c r="Z49" i="10"/>
  <c r="V50" i="10"/>
  <c r="AD50" i="10" s="1"/>
  <c r="Z60" i="10"/>
  <c r="V61" i="10"/>
  <c r="AK56" i="12"/>
  <c r="V36" i="12"/>
  <c r="V37" i="12" s="1"/>
  <c r="AK17" i="12"/>
  <c r="AK18" i="12" s="1"/>
  <c r="AH18" i="10"/>
  <c r="AH19" i="10" s="1"/>
  <c r="Z22" i="10"/>
  <c r="AH24" i="10"/>
  <c r="V28" i="10"/>
  <c r="AI32" i="10"/>
  <c r="AI33" i="10" s="1"/>
  <c r="AI34" i="10" s="1"/>
  <c r="W47" i="10"/>
  <c r="AE47" i="10" s="1"/>
  <c r="AH4" i="9" s="1"/>
  <c r="Z48" i="10"/>
  <c r="V49" i="10"/>
  <c r="AD49" i="10" s="1"/>
  <c r="AG6" i="9" s="1"/>
  <c r="AF6" i="9" s="1"/>
  <c r="Z50" i="10"/>
  <c r="Z51" i="10"/>
  <c r="Z52" i="10"/>
  <c r="Z53" i="10"/>
  <c r="Z54" i="10"/>
  <c r="V60" i="10"/>
  <c r="Z61" i="10"/>
  <c r="AK56" i="13"/>
  <c r="V36" i="13"/>
  <c r="V37" i="13" s="1"/>
  <c r="AK17" i="13"/>
  <c r="AK18" i="13" s="1"/>
  <c r="Z21" i="11"/>
  <c r="AA28" i="11"/>
  <c r="X47" i="11"/>
  <c r="AF47" i="11" s="1"/>
  <c r="AN4" i="9" s="1"/>
  <c r="V48" i="11"/>
  <c r="AD48" i="11" s="1"/>
  <c r="AL5" i="9" s="1"/>
  <c r="Z49" i="11"/>
  <c r="V50" i="11"/>
  <c r="AD50" i="11" s="1"/>
  <c r="Z60" i="11"/>
  <c r="V61" i="11"/>
  <c r="Z62" i="11"/>
  <c r="V63" i="11"/>
  <c r="V64" i="11"/>
  <c r="V65" i="11"/>
  <c r="V66" i="11"/>
  <c r="V67" i="11"/>
  <c r="Z21" i="12"/>
  <c r="AA28" i="12"/>
  <c r="X47" i="12"/>
  <c r="AF47" i="12" s="1"/>
  <c r="AS4" i="9" s="1"/>
  <c r="V48" i="12"/>
  <c r="AD48" i="12" s="1"/>
  <c r="AQ5" i="9" s="1"/>
  <c r="Z49" i="12"/>
  <c r="V50" i="12"/>
  <c r="AD50" i="12" s="1"/>
  <c r="Z60" i="12"/>
  <c r="V61" i="12"/>
  <c r="Z62" i="12"/>
  <c r="V63" i="12"/>
  <c r="V64" i="12"/>
  <c r="V67" i="12"/>
  <c r="V66" i="12"/>
  <c r="AK56" i="14"/>
  <c r="V36" i="14"/>
  <c r="V37" i="14" s="1"/>
  <c r="AK17" i="14"/>
  <c r="AK18" i="14" s="1"/>
  <c r="AH18" i="11"/>
  <c r="AH19" i="11" s="1"/>
  <c r="Z22" i="11"/>
  <c r="AH24" i="11"/>
  <c r="V28" i="11"/>
  <c r="W47" i="11"/>
  <c r="AE47" i="11" s="1"/>
  <c r="AM4" i="9" s="1"/>
  <c r="W48" i="11"/>
  <c r="AE48" i="11" s="1"/>
  <c r="AM5" i="9" s="1"/>
  <c r="Z48" i="11"/>
  <c r="V49" i="11"/>
  <c r="AD49" i="11" s="1"/>
  <c r="AL6" i="9" s="1"/>
  <c r="Z50" i="11"/>
  <c r="Z51" i="11"/>
  <c r="Z52" i="11"/>
  <c r="Z53" i="11"/>
  <c r="Z54" i="11"/>
  <c r="V60" i="11"/>
  <c r="AH18" i="12"/>
  <c r="AH19" i="12" s="1"/>
  <c r="Z22" i="12"/>
  <c r="AH24" i="12"/>
  <c r="V28" i="12"/>
  <c r="W47" i="12"/>
  <c r="AE47" i="12" s="1"/>
  <c r="AR4" i="9" s="1"/>
  <c r="W48" i="12"/>
  <c r="AE48" i="12" s="1"/>
  <c r="AR5" i="9" s="1"/>
  <c r="Z48" i="12"/>
  <c r="V49" i="12"/>
  <c r="AD49" i="12" s="1"/>
  <c r="AQ6" i="9" s="1"/>
  <c r="Z50" i="12"/>
  <c r="Z51" i="12"/>
  <c r="Z52" i="12"/>
  <c r="Z53" i="12"/>
  <c r="Z54" i="12"/>
  <c r="V60" i="12"/>
  <c r="V62" i="12"/>
  <c r="Z21" i="13"/>
  <c r="AA28" i="13"/>
  <c r="X47" i="13"/>
  <c r="AF47" i="13" s="1"/>
  <c r="AX4" i="9" s="1"/>
  <c r="V48" i="13"/>
  <c r="AD48" i="13" s="1"/>
  <c r="AV5" i="9" s="1"/>
  <c r="Z49" i="13"/>
  <c r="V50" i="13"/>
  <c r="AD50" i="13" s="1"/>
  <c r="Z60" i="13"/>
  <c r="V61" i="13"/>
  <c r="Z62" i="13"/>
  <c r="V63" i="13"/>
  <c r="V64" i="13"/>
  <c r="V65" i="13"/>
  <c r="V66" i="13"/>
  <c r="V67" i="13"/>
  <c r="Z21" i="14"/>
  <c r="AA28" i="14"/>
  <c r="X47" i="14"/>
  <c r="AF47" i="14" s="1"/>
  <c r="BC4" i="9" s="1"/>
  <c r="V48" i="14"/>
  <c r="AD48" i="14" s="1"/>
  <c r="BA5" i="9" s="1"/>
  <c r="Z49" i="14"/>
  <c r="V50" i="14"/>
  <c r="AD50" i="14" s="1"/>
  <c r="Z60" i="14"/>
  <c r="V61" i="14"/>
  <c r="Z62" i="14"/>
  <c r="V63" i="14"/>
  <c r="V64" i="14"/>
  <c r="V65" i="14"/>
  <c r="V66" i="14"/>
  <c r="V67" i="14"/>
  <c r="A3" i="15"/>
  <c r="G3" i="15"/>
  <c r="AH18" i="13"/>
  <c r="AH19" i="13" s="1"/>
  <c r="Z22" i="13"/>
  <c r="AH24" i="13"/>
  <c r="V28" i="13"/>
  <c r="W47" i="13"/>
  <c r="AE47" i="13" s="1"/>
  <c r="AW4" i="9" s="1"/>
  <c r="Z48" i="13"/>
  <c r="V49" i="13"/>
  <c r="AD49" i="13" s="1"/>
  <c r="AV6" i="9" s="1"/>
  <c r="Z50" i="13"/>
  <c r="Z51" i="13"/>
  <c r="Z52" i="13"/>
  <c r="Z53" i="13"/>
  <c r="Z54" i="13"/>
  <c r="V60" i="13"/>
  <c r="AH18" i="14"/>
  <c r="AH19" i="14" s="1"/>
  <c r="Z22" i="14"/>
  <c r="AH24" i="14"/>
  <c r="V28" i="14"/>
  <c r="W47" i="14"/>
  <c r="AE47" i="14" s="1"/>
  <c r="BB4" i="9" s="1"/>
  <c r="Z48" i="14"/>
  <c r="V49" i="14"/>
  <c r="AD49" i="14" s="1"/>
  <c r="BA6" i="9" s="1"/>
  <c r="Z50" i="14"/>
  <c r="Z51" i="14"/>
  <c r="Z52" i="14"/>
  <c r="Z53" i="14"/>
  <c r="Z54" i="14"/>
  <c r="V60" i="14"/>
  <c r="D3" i="15"/>
  <c r="A4" i="15"/>
  <c r="D4" i="15"/>
  <c r="G4" i="15"/>
  <c r="W48" i="13" l="1"/>
  <c r="AE48" i="13" s="1"/>
  <c r="AW5" i="9" s="1"/>
  <c r="AA61" i="13"/>
  <c r="AE71" i="13" s="1"/>
  <c r="AW28" i="9" s="1"/>
  <c r="AA60" i="11"/>
  <c r="AE70" i="11" s="1"/>
  <c r="AM27" i="9" s="1"/>
  <c r="AA60" i="10"/>
  <c r="AE70" i="10" s="1"/>
  <c r="AH27" i="9" s="1"/>
  <c r="X48" i="13"/>
  <c r="AF48" i="13" s="1"/>
  <c r="AX5" i="9" s="1"/>
  <c r="W48" i="14"/>
  <c r="AE48" i="14" s="1"/>
  <c r="BB5" i="9" s="1"/>
  <c r="AA60" i="13"/>
  <c r="AE70" i="13" s="1"/>
  <c r="AW27" i="9" s="1"/>
  <c r="X50" i="12"/>
  <c r="AF50" i="12" s="1"/>
  <c r="AS7" i="9" s="1"/>
  <c r="W48" i="9" s="1"/>
  <c r="W48" i="10"/>
  <c r="AE48" i="10" s="1"/>
  <c r="AH5" i="9" s="1"/>
  <c r="X49" i="13"/>
  <c r="AF49" i="13" s="1"/>
  <c r="AX6" i="9" s="1"/>
  <c r="AA62" i="14"/>
  <c r="AE72" i="14" s="1"/>
  <c r="BB29" i="9" s="1"/>
  <c r="AA62" i="13"/>
  <c r="AE72" i="13" s="1"/>
  <c r="AW29" i="9" s="1"/>
  <c r="AA59" i="13"/>
  <c r="AE69" i="13" s="1"/>
  <c r="AW26" i="9" s="1"/>
  <c r="AA62" i="11"/>
  <c r="AE72" i="11" s="1"/>
  <c r="AM29" i="9" s="1"/>
  <c r="AA62" i="12"/>
  <c r="AE72" i="12" s="1"/>
  <c r="AR29" i="9" s="1"/>
  <c r="AA61" i="10"/>
  <c r="AE71" i="10" s="1"/>
  <c r="AH28" i="9" s="1"/>
  <c r="X48" i="14"/>
  <c r="AF48" i="14" s="1"/>
  <c r="BC5" i="9" s="1"/>
  <c r="X49" i="11"/>
  <c r="AF49" i="11" s="1"/>
  <c r="AN6" i="9" s="1"/>
  <c r="X50" i="11"/>
  <c r="AF50" i="11" s="1"/>
  <c r="AN7" i="9" s="1"/>
  <c r="W45" i="9" s="1"/>
  <c r="X49" i="10"/>
  <c r="AF49" i="10" s="1"/>
  <c r="AI6" i="9" s="1"/>
  <c r="X48" i="10"/>
  <c r="AF48" i="10" s="1"/>
  <c r="AI5" i="9" s="1"/>
  <c r="AH28" i="13"/>
  <c r="AH27" i="13"/>
  <c r="AD59" i="14"/>
  <c r="AD58" i="14"/>
  <c r="BA15" i="9" s="1"/>
  <c r="AD57" i="14"/>
  <c r="BA14" i="9" s="1"/>
  <c r="AD56" i="14"/>
  <c r="BA13" i="9" s="1"/>
  <c r="AD55" i="14"/>
  <c r="BA12" i="9" s="1"/>
  <c r="AD54" i="14"/>
  <c r="BA11" i="9" s="1"/>
  <c r="AD53" i="14"/>
  <c r="BA10" i="9" s="1"/>
  <c r="AD52" i="14"/>
  <c r="BA9" i="9" s="1"/>
  <c r="AD51" i="14"/>
  <c r="BA8" i="9" s="1"/>
  <c r="BA7" i="9"/>
  <c r="AB22" i="14"/>
  <c r="W21" i="14" s="1"/>
  <c r="Z28" i="14" s="1"/>
  <c r="AD59" i="13"/>
  <c r="AD58" i="13"/>
  <c r="AV15" i="9" s="1"/>
  <c r="AD57" i="13"/>
  <c r="AV14" i="9" s="1"/>
  <c r="AD56" i="13"/>
  <c r="AV13" i="9" s="1"/>
  <c r="AD55" i="13"/>
  <c r="AV12" i="9" s="1"/>
  <c r="AD54" i="13"/>
  <c r="AV11" i="9" s="1"/>
  <c r="AD53" i="13"/>
  <c r="AV10" i="9" s="1"/>
  <c r="AD52" i="13"/>
  <c r="AV9" i="9" s="1"/>
  <c r="AD51" i="13"/>
  <c r="AV8" i="9" s="1"/>
  <c r="AV7" i="9"/>
  <c r="AB22" i="13"/>
  <c r="W21" i="13" s="1"/>
  <c r="Z28" i="13" s="1"/>
  <c r="AH28" i="11"/>
  <c r="AH27" i="11"/>
  <c r="AB61" i="12"/>
  <c r="AF71" i="12" s="1"/>
  <c r="AS28" i="9" s="1"/>
  <c r="AB59" i="12"/>
  <c r="AF69" i="12" s="1"/>
  <c r="AS26" i="9" s="1"/>
  <c r="AB48" i="9" s="1"/>
  <c r="AB62" i="12"/>
  <c r="AF72" i="12" s="1"/>
  <c r="AS29" i="9" s="1"/>
  <c r="AB60" i="12"/>
  <c r="AF70" i="12" s="1"/>
  <c r="AS27" i="9" s="1"/>
  <c r="AB61" i="11"/>
  <c r="AF71" i="11" s="1"/>
  <c r="AN28" i="9" s="1"/>
  <c r="AB59" i="11"/>
  <c r="AF69" i="11" s="1"/>
  <c r="AN26" i="9" s="1"/>
  <c r="AB45" i="9" s="1"/>
  <c r="AB62" i="11"/>
  <c r="AF72" i="11" s="1"/>
  <c r="AN29" i="9" s="1"/>
  <c r="AB60" i="11"/>
  <c r="AF70" i="11" s="1"/>
  <c r="AN27" i="9" s="1"/>
  <c r="AK57" i="13"/>
  <c r="Y36" i="13"/>
  <c r="Y37" i="13" s="1"/>
  <c r="AH31" i="13"/>
  <c r="AH25" i="13"/>
  <c r="AH26" i="13" s="1"/>
  <c r="AK19" i="13"/>
  <c r="AK20" i="13" s="1"/>
  <c r="AK57" i="12"/>
  <c r="Y36" i="12"/>
  <c r="Y37" i="12" s="1"/>
  <c r="AH31" i="12"/>
  <c r="AH25" i="12"/>
  <c r="AH26" i="12" s="1"/>
  <c r="AK19" i="12"/>
  <c r="AK20" i="12" s="1"/>
  <c r="AD59" i="10"/>
  <c r="AD58" i="10"/>
  <c r="AG15" i="9" s="1"/>
  <c r="AD57" i="10"/>
  <c r="AG14" i="9" s="1"/>
  <c r="AD56" i="10"/>
  <c r="AG13" i="9" s="1"/>
  <c r="AD55" i="10"/>
  <c r="AG12" i="9" s="1"/>
  <c r="AD54" i="10"/>
  <c r="AG11" i="9" s="1"/>
  <c r="AD53" i="10"/>
  <c r="AG10" i="9" s="1"/>
  <c r="AD52" i="10"/>
  <c r="AG9" i="9" s="1"/>
  <c r="AD51" i="10"/>
  <c r="AG8" i="9" s="1"/>
  <c r="AG7" i="9"/>
  <c r="AF7" i="9" s="1"/>
  <c r="AB61" i="10"/>
  <c r="AF71" i="10" s="1"/>
  <c r="AI28" i="9" s="1"/>
  <c r="AB62" i="10"/>
  <c r="AF72" i="10" s="1"/>
  <c r="AI29" i="9" s="1"/>
  <c r="AB59" i="10"/>
  <c r="AF69" i="10" s="1"/>
  <c r="AI26" i="9" s="1"/>
  <c r="AB42" i="9" s="1"/>
  <c r="AB60" i="10"/>
  <c r="AF70" i="10" s="1"/>
  <c r="AI27" i="9" s="1"/>
  <c r="AB22" i="10"/>
  <c r="W21" i="10" s="1"/>
  <c r="Z28" i="10" s="1"/>
  <c r="AK57" i="11"/>
  <c r="Y36" i="11"/>
  <c r="Y37" i="11" s="1"/>
  <c r="AH31" i="11"/>
  <c r="AH25" i="11"/>
  <c r="AH26" i="11" s="1"/>
  <c r="AK19" i="11"/>
  <c r="AK20" i="11" s="1"/>
  <c r="AK57" i="10"/>
  <c r="Y36" i="10"/>
  <c r="Y37" i="10" s="1"/>
  <c r="AH31" i="10"/>
  <c r="AH25" i="10"/>
  <c r="AH26" i="10" s="1"/>
  <c r="AK19" i="10"/>
  <c r="AK20" i="10" s="1"/>
  <c r="AA61" i="14"/>
  <c r="AE71" i="14" s="1"/>
  <c r="BB28" i="9" s="1"/>
  <c r="AA59" i="14"/>
  <c r="AE69" i="14" s="1"/>
  <c r="BB26" i="9" s="1"/>
  <c r="W50" i="14"/>
  <c r="AE50" i="14" s="1"/>
  <c r="W49" i="12"/>
  <c r="AE49" i="12" s="1"/>
  <c r="AR6" i="9" s="1"/>
  <c r="W49" i="11"/>
  <c r="AE49" i="11" s="1"/>
  <c r="AM6" i="9" s="1"/>
  <c r="W50" i="12"/>
  <c r="AE50" i="12" s="1"/>
  <c r="W50" i="11"/>
  <c r="AE50" i="11" s="1"/>
  <c r="AA59" i="10"/>
  <c r="AE69" i="10" s="1"/>
  <c r="AH26" i="9" s="1"/>
  <c r="AI17" i="11"/>
  <c r="AH28" i="14"/>
  <c r="AH27" i="14"/>
  <c r="AB61" i="14"/>
  <c r="AF71" i="14" s="1"/>
  <c r="BC28" i="9" s="1"/>
  <c r="AB59" i="14"/>
  <c r="AF69" i="14" s="1"/>
  <c r="BC26" i="9" s="1"/>
  <c r="AB54" i="9" s="1"/>
  <c r="AB62" i="14"/>
  <c r="AF72" i="14" s="1"/>
  <c r="BC29" i="9" s="1"/>
  <c r="AB60" i="14"/>
  <c r="AF70" i="14" s="1"/>
  <c r="BC27" i="9" s="1"/>
  <c r="AB61" i="13"/>
  <c r="AF71" i="13" s="1"/>
  <c r="AX28" i="9" s="1"/>
  <c r="AB59" i="13"/>
  <c r="AF69" i="13" s="1"/>
  <c r="AX26" i="9" s="1"/>
  <c r="AB51" i="9" s="1"/>
  <c r="AB62" i="13"/>
  <c r="AF72" i="13" s="1"/>
  <c r="AX29" i="9" s="1"/>
  <c r="AB60" i="13"/>
  <c r="AF70" i="13" s="1"/>
  <c r="AX27" i="9" s="1"/>
  <c r="AH28" i="12"/>
  <c r="AH27" i="12"/>
  <c r="AK57" i="14"/>
  <c r="Y36" i="14"/>
  <c r="Y37" i="14" s="1"/>
  <c r="AH31" i="14"/>
  <c r="AH25" i="14"/>
  <c r="AH26" i="14" s="1"/>
  <c r="AK19" i="14"/>
  <c r="AK20" i="14" s="1"/>
  <c r="AD59" i="12"/>
  <c r="AD58" i="12"/>
  <c r="AQ15" i="9" s="1"/>
  <c r="AD57" i="12"/>
  <c r="AQ14" i="9" s="1"/>
  <c r="AD56" i="12"/>
  <c r="AQ13" i="9" s="1"/>
  <c r="AD55" i="12"/>
  <c r="AQ12" i="9" s="1"/>
  <c r="AD54" i="12"/>
  <c r="AQ11" i="9" s="1"/>
  <c r="AD53" i="12"/>
  <c r="AQ10" i="9" s="1"/>
  <c r="AD52" i="12"/>
  <c r="AQ9" i="9" s="1"/>
  <c r="AD51" i="12"/>
  <c r="AQ8" i="9" s="1"/>
  <c r="AQ7" i="9"/>
  <c r="AB22" i="12"/>
  <c r="W21" i="12" s="1"/>
  <c r="AD59" i="11"/>
  <c r="AD58" i="11"/>
  <c r="AL15" i="9" s="1"/>
  <c r="AD57" i="11"/>
  <c r="AL14" i="9" s="1"/>
  <c r="AD56" i="11"/>
  <c r="AL13" i="9" s="1"/>
  <c r="AD55" i="11"/>
  <c r="AL12" i="9" s="1"/>
  <c r="AD54" i="11"/>
  <c r="AL11" i="9" s="1"/>
  <c r="AD53" i="11"/>
  <c r="AL10" i="9" s="1"/>
  <c r="AD52" i="11"/>
  <c r="AL9" i="9" s="1"/>
  <c r="AD51" i="11"/>
  <c r="AL8" i="9" s="1"/>
  <c r="AL7" i="9"/>
  <c r="AB22" i="11"/>
  <c r="W21" i="11" s="1"/>
  <c r="Z28" i="11" s="1"/>
  <c r="AZ6" i="9"/>
  <c r="AU6" i="9"/>
  <c r="AP6" i="9"/>
  <c r="AK6" i="9"/>
  <c r="AH28" i="10"/>
  <c r="AH27" i="10"/>
  <c r="AZ5" i="9"/>
  <c r="AU5" i="9"/>
  <c r="AP5" i="9"/>
  <c r="AK5" i="9"/>
  <c r="AA60" i="14"/>
  <c r="AE70" i="14" s="1"/>
  <c r="BB27" i="9" s="1"/>
  <c r="X49" i="14"/>
  <c r="AF49" i="14" s="1"/>
  <c r="BC6" i="9" s="1"/>
  <c r="X50" i="14"/>
  <c r="AF50" i="14" s="1"/>
  <c r="BC7" i="9" s="1"/>
  <c r="W54" i="9" s="1"/>
  <c r="W49" i="14"/>
  <c r="AE49" i="14" s="1"/>
  <c r="BB6" i="9" s="1"/>
  <c r="X50" i="13"/>
  <c r="AF50" i="13" s="1"/>
  <c r="AX7" i="9" s="1"/>
  <c r="W51" i="9" s="1"/>
  <c r="W49" i="13"/>
  <c r="AE49" i="13" s="1"/>
  <c r="AW6" i="9" s="1"/>
  <c r="AA60" i="12"/>
  <c r="AE70" i="12" s="1"/>
  <c r="AR27" i="9" s="1"/>
  <c r="X49" i="12"/>
  <c r="AF49" i="12" s="1"/>
  <c r="AS6" i="9" s="1"/>
  <c r="W50" i="13"/>
  <c r="AE50" i="13" s="1"/>
  <c r="AA61" i="12"/>
  <c r="AE71" i="12" s="1"/>
  <c r="AR28" i="9" s="1"/>
  <c r="AA59" i="12"/>
  <c r="AE69" i="12" s="1"/>
  <c r="AR26" i="9" s="1"/>
  <c r="X48" i="12"/>
  <c r="AF48" i="12" s="1"/>
  <c r="AS5" i="9" s="1"/>
  <c r="AA61" i="11"/>
  <c r="AE71" i="11" s="1"/>
  <c r="AM28" i="9" s="1"/>
  <c r="AA59" i="11"/>
  <c r="AE69" i="11" s="1"/>
  <c r="AM26" i="9" s="1"/>
  <c r="X48" i="11"/>
  <c r="AF48" i="11" s="1"/>
  <c r="AN5" i="9" s="1"/>
  <c r="AA62" i="10"/>
  <c r="AE72" i="10" s="1"/>
  <c r="AH29" i="9" s="1"/>
  <c r="X50" i="10"/>
  <c r="AF50" i="10" s="1"/>
  <c r="AI7" i="9" s="1"/>
  <c r="W42" i="9" s="1"/>
  <c r="W49" i="10"/>
  <c r="AE49" i="10" s="1"/>
  <c r="AH6" i="9" s="1"/>
  <c r="W50" i="10"/>
  <c r="AE50" i="10" s="1"/>
  <c r="AH7" i="9" l="1"/>
  <c r="AL18" i="10"/>
  <c r="AL18" i="13"/>
  <c r="AW7" i="9"/>
  <c r="Z32" i="13"/>
  <c r="Y28" i="13"/>
  <c r="W67" i="13" s="1"/>
  <c r="AE68" i="13" s="1"/>
  <c r="AD67" i="11"/>
  <c r="AL24" i="9" s="1"/>
  <c r="AD66" i="11"/>
  <c r="AL23" i="9" s="1"/>
  <c r="AD65" i="11"/>
  <c r="AL22" i="9" s="1"/>
  <c r="AD64" i="11"/>
  <c r="AL21" i="9" s="1"/>
  <c r="AD63" i="11"/>
  <c r="AL20" i="9" s="1"/>
  <c r="AD62" i="11"/>
  <c r="AL19" i="9" s="1"/>
  <c r="AD60" i="11"/>
  <c r="AL17" i="9" s="1"/>
  <c r="AD68" i="11"/>
  <c r="AD61" i="11"/>
  <c r="AL18" i="9" s="1"/>
  <c r="AL16" i="9"/>
  <c r="AD67" i="12"/>
  <c r="AQ24" i="9" s="1"/>
  <c r="AD66" i="12"/>
  <c r="AQ23" i="9" s="1"/>
  <c r="AD68" i="12"/>
  <c r="AD65" i="12"/>
  <c r="AQ22" i="9" s="1"/>
  <c r="AD64" i="12"/>
  <c r="AQ21" i="9" s="1"/>
  <c r="AD63" i="12"/>
  <c r="AQ20" i="9" s="1"/>
  <c r="AD62" i="12"/>
  <c r="AQ19" i="9" s="1"/>
  <c r="AD60" i="12"/>
  <c r="AQ17" i="9" s="1"/>
  <c r="AD61" i="12"/>
  <c r="AQ18" i="9" s="1"/>
  <c r="AQ16" i="9"/>
  <c r="AI21" i="11"/>
  <c r="AI38" i="11"/>
  <c r="AI31" i="11"/>
  <c r="AI24" i="11"/>
  <c r="AI18" i="11"/>
  <c r="AI19" i="11" s="1"/>
  <c r="AI20" i="11" s="1"/>
  <c r="AL18" i="11"/>
  <c r="AM7" i="9"/>
  <c r="AL18" i="12"/>
  <c r="AR7" i="9"/>
  <c r="AL18" i="14"/>
  <c r="BB7" i="9"/>
  <c r="AH34" i="10"/>
  <c r="AH35" i="10"/>
  <c r="AK58" i="10"/>
  <c r="AH39" i="10" s="1"/>
  <c r="AH40" i="10" s="1"/>
  <c r="AH38" i="10"/>
  <c r="AB36" i="10"/>
  <c r="AB37" i="10" s="1"/>
  <c r="AH32" i="10"/>
  <c r="AH33" i="10" s="1"/>
  <c r="AK21" i="10"/>
  <c r="AK22" i="10" s="1"/>
  <c r="X28" i="10"/>
  <c r="AD67" i="10"/>
  <c r="AG24" i="9" s="1"/>
  <c r="AD66" i="10"/>
  <c r="AG23" i="9" s="1"/>
  <c r="AD65" i="10"/>
  <c r="AG22" i="9" s="1"/>
  <c r="AD64" i="10"/>
  <c r="AG21" i="9" s="1"/>
  <c r="AD63" i="10"/>
  <c r="AG20" i="9" s="1"/>
  <c r="AD62" i="10"/>
  <c r="AG19" i="9" s="1"/>
  <c r="AD68" i="10"/>
  <c r="AD61" i="10"/>
  <c r="AG18" i="9" s="1"/>
  <c r="AD60" i="10"/>
  <c r="AG17" i="9" s="1"/>
  <c r="AG16" i="9"/>
  <c r="AF16" i="9" s="1"/>
  <c r="AH34" i="13"/>
  <c r="AH35" i="13"/>
  <c r="AK58" i="13"/>
  <c r="AH39" i="13" s="1"/>
  <c r="AH40" i="13" s="1"/>
  <c r="AH38" i="13"/>
  <c r="AB36" i="13"/>
  <c r="AB37" i="13" s="1"/>
  <c r="AH32" i="13"/>
  <c r="AH33" i="13" s="1"/>
  <c r="AK21" i="13"/>
  <c r="AK22" i="13" s="1"/>
  <c r="AD67" i="13"/>
  <c r="AV24" i="9" s="1"/>
  <c r="AD66" i="13"/>
  <c r="AV23" i="9" s="1"/>
  <c r="AD65" i="13"/>
  <c r="AV22" i="9" s="1"/>
  <c r="AD64" i="13"/>
  <c r="AV21" i="9" s="1"/>
  <c r="AD63" i="13"/>
  <c r="AV20" i="9" s="1"/>
  <c r="AD62" i="13"/>
  <c r="AV19" i="9" s="1"/>
  <c r="AD60" i="13"/>
  <c r="AV17" i="9" s="1"/>
  <c r="AD68" i="13"/>
  <c r="AD61" i="13"/>
  <c r="AV18" i="9" s="1"/>
  <c r="AV16" i="9"/>
  <c r="AD67" i="14"/>
  <c r="BA24" i="9" s="1"/>
  <c r="AD66" i="14"/>
  <c r="BA23" i="9" s="1"/>
  <c r="AD65" i="14"/>
  <c r="BA22" i="9" s="1"/>
  <c r="AD64" i="14"/>
  <c r="BA21" i="9" s="1"/>
  <c r="AD63" i="14"/>
  <c r="BA20" i="9" s="1"/>
  <c r="AD62" i="14"/>
  <c r="BA19" i="9" s="1"/>
  <c r="AD60" i="14"/>
  <c r="BA17" i="9" s="1"/>
  <c r="AD68" i="14"/>
  <c r="AD61" i="14"/>
  <c r="BA18" i="9" s="1"/>
  <c r="BA16" i="9"/>
  <c r="AF8" i="9"/>
  <c r="AF10" i="9"/>
  <c r="AF12" i="9"/>
  <c r="AF14" i="9"/>
  <c r="Z32" i="11"/>
  <c r="Y28" i="11"/>
  <c r="W67" i="11" s="1"/>
  <c r="AE68" i="11" s="1"/>
  <c r="X28" i="11"/>
  <c r="X28" i="12"/>
  <c r="AH34" i="14"/>
  <c r="AH35" i="14"/>
  <c r="AK58" i="14"/>
  <c r="AH39" i="14" s="1"/>
  <c r="AH40" i="14" s="1"/>
  <c r="AH38" i="14"/>
  <c r="AB36" i="14"/>
  <c r="AB37" i="14" s="1"/>
  <c r="AH32" i="14"/>
  <c r="AH33" i="14" s="1"/>
  <c r="AK21" i="14"/>
  <c r="AK22" i="14" s="1"/>
  <c r="Z32" i="10"/>
  <c r="Y28" i="10"/>
  <c r="W67" i="10" s="1"/>
  <c r="AE68" i="10" s="1"/>
  <c r="Z32" i="14"/>
  <c r="Y28" i="14"/>
  <c r="W67" i="14" s="1"/>
  <c r="AE68" i="14" s="1"/>
  <c r="AH34" i="11"/>
  <c r="AH35" i="11"/>
  <c r="AK58" i="11"/>
  <c r="AH39" i="11" s="1"/>
  <c r="AH40" i="11" s="1"/>
  <c r="AH38" i="11"/>
  <c r="AB36" i="11"/>
  <c r="AB37" i="11" s="1"/>
  <c r="AH32" i="11"/>
  <c r="AH33" i="11" s="1"/>
  <c r="AK21" i="11"/>
  <c r="AK22" i="11" s="1"/>
  <c r="AZ7" i="9"/>
  <c r="AU7" i="9"/>
  <c r="AP7" i="9"/>
  <c r="AK7" i="9"/>
  <c r="AH34" i="12"/>
  <c r="AH35" i="12"/>
  <c r="AK58" i="12"/>
  <c r="AH39" i="12" s="1"/>
  <c r="AH40" i="12" s="1"/>
  <c r="AH38" i="12"/>
  <c r="AB36" i="12"/>
  <c r="AB37" i="12" s="1"/>
  <c r="AH32" i="12"/>
  <c r="AH33" i="12" s="1"/>
  <c r="AK21" i="12"/>
  <c r="AK22" i="12" s="1"/>
  <c r="X28" i="13"/>
  <c r="X28" i="14"/>
  <c r="Z28" i="12"/>
  <c r="AF9" i="9"/>
  <c r="AF11" i="9"/>
  <c r="AF13" i="9"/>
  <c r="AF15" i="9"/>
  <c r="W59" i="14" l="1"/>
  <c r="AE60" i="14" s="1"/>
  <c r="BB17" i="9" s="1"/>
  <c r="W64" i="14"/>
  <c r="AE65" i="14" s="1"/>
  <c r="BB22" i="9" s="1"/>
  <c r="W59" i="13"/>
  <c r="AE60" i="13" s="1"/>
  <c r="AW17" i="9" s="1"/>
  <c r="W64" i="13"/>
  <c r="AE65" i="13" s="1"/>
  <c r="AW22" i="9" s="1"/>
  <c r="W62" i="14"/>
  <c r="AE63" i="14" s="1"/>
  <c r="BB20" i="9" s="1"/>
  <c r="W61" i="14"/>
  <c r="AE62" i="14" s="1"/>
  <c r="BB19" i="9" s="1"/>
  <c r="W66" i="14"/>
  <c r="AE67" i="14" s="1"/>
  <c r="BB24" i="9" s="1"/>
  <c r="W62" i="13"/>
  <c r="AE63" i="13" s="1"/>
  <c r="AW20" i="9" s="1"/>
  <c r="W61" i="13"/>
  <c r="AE62" i="13" s="1"/>
  <c r="AW19" i="9" s="1"/>
  <c r="W66" i="13"/>
  <c r="AE67" i="13" s="1"/>
  <c r="AW24" i="9" s="1"/>
  <c r="W60" i="14"/>
  <c r="AE61" i="14" s="1"/>
  <c r="BB18" i="9" s="1"/>
  <c r="W63" i="14"/>
  <c r="AE64" i="14" s="1"/>
  <c r="BB21" i="9" s="1"/>
  <c r="W65" i="14"/>
  <c r="AE66" i="14" s="1"/>
  <c r="BB23" i="9" s="1"/>
  <c r="W60" i="13"/>
  <c r="AE61" i="13" s="1"/>
  <c r="AW18" i="9" s="1"/>
  <c r="W63" i="13"/>
  <c r="AE64" i="13" s="1"/>
  <c r="AW21" i="9" s="1"/>
  <c r="W65" i="13"/>
  <c r="AE66" i="13" s="1"/>
  <c r="AW23" i="9" s="1"/>
  <c r="W59" i="11"/>
  <c r="AE60" i="11" s="1"/>
  <c r="AM17" i="9" s="1"/>
  <c r="W64" i="11"/>
  <c r="AE65" i="11" s="1"/>
  <c r="AM22" i="9" s="1"/>
  <c r="W62" i="11"/>
  <c r="AE63" i="11" s="1"/>
  <c r="AM20" i="9" s="1"/>
  <c r="W61" i="11"/>
  <c r="AE62" i="11" s="1"/>
  <c r="AM19" i="9" s="1"/>
  <c r="W66" i="11"/>
  <c r="AE67" i="11" s="1"/>
  <c r="AM24" i="9" s="1"/>
  <c r="AH25" i="9"/>
  <c r="AL22" i="10"/>
  <c r="AL22" i="11"/>
  <c r="AM25" i="9"/>
  <c r="AZ13" i="9"/>
  <c r="AU13" i="9"/>
  <c r="AP13" i="9"/>
  <c r="AK13" i="9"/>
  <c r="AZ9" i="9"/>
  <c r="AU9" i="9"/>
  <c r="AP9" i="9"/>
  <c r="AK9" i="9"/>
  <c r="AH42" i="11"/>
  <c r="AH41" i="11"/>
  <c r="AL34" i="14"/>
  <c r="AM34" i="14" s="1"/>
  <c r="AK42" i="14" s="1"/>
  <c r="AK43" i="14" s="1"/>
  <c r="X62" i="14"/>
  <c r="AF63" i="14" s="1"/>
  <c r="BC20" i="9" s="1"/>
  <c r="X59" i="14"/>
  <c r="AF60" i="14" s="1"/>
  <c r="BC17" i="9" s="1"/>
  <c r="Z54" i="9" s="1"/>
  <c r="X60" i="14"/>
  <c r="AF61" i="14" s="1"/>
  <c r="BC18" i="9" s="1"/>
  <c r="X65" i="14"/>
  <c r="AF66" i="14" s="1"/>
  <c r="BC23" i="9" s="1"/>
  <c r="X61" i="14"/>
  <c r="AF62" i="14" s="1"/>
  <c r="BC19" i="9" s="1"/>
  <c r="X66" i="14"/>
  <c r="AF67" i="14" s="1"/>
  <c r="BC24" i="9" s="1"/>
  <c r="X67" i="14"/>
  <c r="AF68" i="14" s="1"/>
  <c r="BC25" i="9" s="1"/>
  <c r="AA54" i="9" s="1"/>
  <c r="X63" i="14"/>
  <c r="AF64" i="14" s="1"/>
  <c r="BC21" i="9" s="1"/>
  <c r="X64" i="14"/>
  <c r="AF65" i="14" s="1"/>
  <c r="BC22" i="9" s="1"/>
  <c r="AC37" i="14"/>
  <c r="AA64" i="9"/>
  <c r="W28" i="12"/>
  <c r="Y32" i="11"/>
  <c r="W28" i="11"/>
  <c r="AZ14" i="9"/>
  <c r="AU14" i="9"/>
  <c r="AP14" i="9"/>
  <c r="AK14" i="9"/>
  <c r="AZ10" i="9"/>
  <c r="AU10" i="9"/>
  <c r="AP10" i="9"/>
  <c r="AK10" i="9"/>
  <c r="AD71" i="14"/>
  <c r="BA28" i="9" s="1"/>
  <c r="AD69" i="14"/>
  <c r="BA26" i="9" s="1"/>
  <c r="AD72" i="14"/>
  <c r="BA29" i="9" s="1"/>
  <c r="AD70" i="14"/>
  <c r="BA27" i="9" s="1"/>
  <c r="BA25" i="9"/>
  <c r="AD71" i="13"/>
  <c r="AV28" i="9" s="1"/>
  <c r="AD69" i="13"/>
  <c r="AV26" i="9" s="1"/>
  <c r="AD72" i="13"/>
  <c r="AV29" i="9" s="1"/>
  <c r="AD70" i="13"/>
  <c r="AV27" i="9" s="1"/>
  <c r="AV25" i="9"/>
  <c r="AD71" i="10"/>
  <c r="AG28" i="9" s="1"/>
  <c r="AD69" i="10"/>
  <c r="AG26" i="9" s="1"/>
  <c r="AD72" i="10"/>
  <c r="AG29" i="9" s="1"/>
  <c r="AD70" i="10"/>
  <c r="AG27" i="9" s="1"/>
  <c r="AG25" i="9"/>
  <c r="AF25" i="9" s="1"/>
  <c r="AH42" i="10"/>
  <c r="AH41" i="10"/>
  <c r="AI35" i="11"/>
  <c r="AI32" i="11"/>
  <c r="AI33" i="11" s="1"/>
  <c r="AI34" i="11" s="1"/>
  <c r="AD71" i="11"/>
  <c r="AL28" i="9" s="1"/>
  <c r="AD69" i="11"/>
  <c r="AL26" i="9" s="1"/>
  <c r="AD72" i="11"/>
  <c r="AL29" i="9" s="1"/>
  <c r="AD70" i="11"/>
  <c r="AL27" i="9" s="1"/>
  <c r="AL25" i="9"/>
  <c r="AL34" i="13"/>
  <c r="AM34" i="13" s="1"/>
  <c r="AK42" i="13" s="1"/>
  <c r="AK43" i="13" s="1"/>
  <c r="X59" i="13"/>
  <c r="AF60" i="13" s="1"/>
  <c r="AX17" i="9" s="1"/>
  <c r="Z51" i="9" s="1"/>
  <c r="X62" i="13"/>
  <c r="AF63" i="13" s="1"/>
  <c r="AX20" i="9" s="1"/>
  <c r="X64" i="13"/>
  <c r="AF65" i="13" s="1"/>
  <c r="AX22" i="9" s="1"/>
  <c r="X65" i="13"/>
  <c r="AF66" i="13" s="1"/>
  <c r="AX23" i="9" s="1"/>
  <c r="X66" i="13"/>
  <c r="AF67" i="13" s="1"/>
  <c r="AX24" i="9" s="1"/>
  <c r="X61" i="13"/>
  <c r="AF62" i="13" s="1"/>
  <c r="AX19" i="9" s="1"/>
  <c r="X60" i="13"/>
  <c r="AF61" i="13" s="1"/>
  <c r="AX18" i="9" s="1"/>
  <c r="X67" i="13"/>
  <c r="AF68" i="13" s="1"/>
  <c r="AX25" i="9" s="1"/>
  <c r="AA51" i="9" s="1"/>
  <c r="X63" i="13"/>
  <c r="AF64" i="13" s="1"/>
  <c r="AX21" i="9" s="1"/>
  <c r="AC37" i="13"/>
  <c r="AA63" i="9"/>
  <c r="W60" i="11"/>
  <c r="AE61" i="11" s="1"/>
  <c r="AM18" i="9" s="1"/>
  <c r="W63" i="11"/>
  <c r="AE64" i="11" s="1"/>
  <c r="AM21" i="9" s="1"/>
  <c r="W65" i="11"/>
  <c r="AE66" i="11" s="1"/>
  <c r="AM23" i="9" s="1"/>
  <c r="AF17" i="9"/>
  <c r="AF20" i="9"/>
  <c r="AF22" i="9"/>
  <c r="AF24" i="9"/>
  <c r="W60" i="10"/>
  <c r="AE61" i="10" s="1"/>
  <c r="AH18" i="9" s="1"/>
  <c r="W61" i="10"/>
  <c r="AE62" i="10" s="1"/>
  <c r="AH19" i="9" s="1"/>
  <c r="W63" i="10"/>
  <c r="AE64" i="10" s="1"/>
  <c r="AH21" i="9" s="1"/>
  <c r="W65" i="10"/>
  <c r="AE66" i="10" s="1"/>
  <c r="AH23" i="9" s="1"/>
  <c r="AZ15" i="9"/>
  <c r="AU15" i="9"/>
  <c r="AP15" i="9"/>
  <c r="AK15" i="9"/>
  <c r="AZ11" i="9"/>
  <c r="AU11" i="9"/>
  <c r="AP11" i="9"/>
  <c r="AK11" i="9"/>
  <c r="Z32" i="12"/>
  <c r="Y28" i="12"/>
  <c r="Y32" i="12" s="1"/>
  <c r="Y32" i="14"/>
  <c r="W28" i="14"/>
  <c r="AL22" i="14"/>
  <c r="BB25" i="9"/>
  <c r="Y32" i="13"/>
  <c r="W28" i="13"/>
  <c r="AL22" i="13"/>
  <c r="AW25" i="9"/>
  <c r="AH42" i="12"/>
  <c r="AH41" i="12"/>
  <c r="AL34" i="10"/>
  <c r="AM34" i="10" s="1"/>
  <c r="AK42" i="10" s="1"/>
  <c r="AK43" i="10" s="1"/>
  <c r="X67" i="10"/>
  <c r="AF68" i="10" s="1"/>
  <c r="AI25" i="9" s="1"/>
  <c r="AA42" i="9" s="1"/>
  <c r="X65" i="10"/>
  <c r="AF66" i="10" s="1"/>
  <c r="AI23" i="9" s="1"/>
  <c r="X63" i="10"/>
  <c r="AF64" i="10" s="1"/>
  <c r="AI21" i="9" s="1"/>
  <c r="X59" i="10"/>
  <c r="AF60" i="10" s="1"/>
  <c r="AI17" i="9" s="1"/>
  <c r="Z42" i="9" s="1"/>
  <c r="X62" i="10"/>
  <c r="AF63" i="10" s="1"/>
  <c r="AI20" i="9" s="1"/>
  <c r="X66" i="10"/>
  <c r="AF67" i="10" s="1"/>
  <c r="AI24" i="9" s="1"/>
  <c r="X64" i="10"/>
  <c r="AF65" i="10" s="1"/>
  <c r="AI22" i="9" s="1"/>
  <c r="X61" i="10"/>
  <c r="AF62" i="10" s="1"/>
  <c r="AI19" i="9" s="1"/>
  <c r="X60" i="10"/>
  <c r="AF61" i="10" s="1"/>
  <c r="AI18" i="9" s="1"/>
  <c r="AA60" i="9"/>
  <c r="AC37" i="10"/>
  <c r="AH42" i="14"/>
  <c r="AH41" i="14"/>
  <c r="AL34" i="11"/>
  <c r="AM34" i="11" s="1"/>
  <c r="AK42" i="11" s="1"/>
  <c r="AK43" i="11" s="1"/>
  <c r="X62" i="11"/>
  <c r="AF63" i="11" s="1"/>
  <c r="AN20" i="9" s="1"/>
  <c r="X59" i="11"/>
  <c r="AF60" i="11" s="1"/>
  <c r="AN17" i="9" s="1"/>
  <c r="Z45" i="9" s="1"/>
  <c r="X61" i="11"/>
  <c r="AF62" i="11" s="1"/>
  <c r="AN19" i="9" s="1"/>
  <c r="X63" i="11"/>
  <c r="AF64" i="11" s="1"/>
  <c r="AN21" i="9" s="1"/>
  <c r="X64" i="11"/>
  <c r="AF65" i="11" s="1"/>
  <c r="AN22" i="9" s="1"/>
  <c r="X65" i="11"/>
  <c r="AF66" i="11" s="1"/>
  <c r="AN23" i="9" s="1"/>
  <c r="X66" i="11"/>
  <c r="AF67" i="11" s="1"/>
  <c r="AN24" i="9" s="1"/>
  <c r="X67" i="11"/>
  <c r="AF68" i="11" s="1"/>
  <c r="AN25" i="9" s="1"/>
  <c r="AA45" i="9" s="1"/>
  <c r="X60" i="11"/>
  <c r="AF61" i="11" s="1"/>
  <c r="AN18" i="9" s="1"/>
  <c r="AC37" i="11"/>
  <c r="AA61" i="9"/>
  <c r="AZ12" i="9"/>
  <c r="AU12" i="9"/>
  <c r="AP12" i="9"/>
  <c r="AK12" i="9"/>
  <c r="AZ8" i="9"/>
  <c r="AU8" i="9"/>
  <c r="AP8" i="9"/>
  <c r="AK8" i="9"/>
  <c r="AH42" i="13"/>
  <c r="AH41" i="13"/>
  <c r="AZ16" i="9"/>
  <c r="AU16" i="9"/>
  <c r="AP16" i="9"/>
  <c r="AK16" i="9"/>
  <c r="Y32" i="10"/>
  <c r="W28" i="10"/>
  <c r="AI28" i="11"/>
  <c r="AI25" i="11"/>
  <c r="AI26" i="11" s="1"/>
  <c r="AI27" i="11" s="1"/>
  <c r="AI42" i="11"/>
  <c r="AI39" i="11"/>
  <c r="AI40" i="11" s="1"/>
  <c r="AI41" i="11" s="1"/>
  <c r="AD71" i="12"/>
  <c r="AQ28" i="9" s="1"/>
  <c r="AD69" i="12"/>
  <c r="AQ26" i="9" s="1"/>
  <c r="AD72" i="12"/>
  <c r="AQ29" i="9" s="1"/>
  <c r="AD70" i="12"/>
  <c r="AQ27" i="9" s="1"/>
  <c r="AQ25" i="9"/>
  <c r="AF18" i="9"/>
  <c r="AF19" i="9"/>
  <c r="AF21" i="9"/>
  <c r="AF23" i="9"/>
  <c r="W59" i="10"/>
  <c r="AE60" i="10" s="1"/>
  <c r="AH17" i="9" s="1"/>
  <c r="W62" i="10"/>
  <c r="AE63" i="10" s="1"/>
  <c r="AH20" i="9" s="1"/>
  <c r="W64" i="10"/>
  <c r="AE65" i="10" s="1"/>
  <c r="AH22" i="9" s="1"/>
  <c r="W66" i="10"/>
  <c r="AE67" i="10" s="1"/>
  <c r="AH24" i="9" s="1"/>
  <c r="AI17" i="12" l="1"/>
  <c r="AI21" i="12" s="1"/>
  <c r="AF27" i="9"/>
  <c r="AU27" i="9" s="1"/>
  <c r="AF26" i="9"/>
  <c r="AU26" i="9" s="1"/>
  <c r="Z37" i="12"/>
  <c r="Z62" i="9"/>
  <c r="AZ21" i="9"/>
  <c r="AU21" i="9"/>
  <c r="AP21" i="9"/>
  <c r="AK21" i="9"/>
  <c r="AZ18" i="9"/>
  <c r="AU18" i="9"/>
  <c r="AP18" i="9"/>
  <c r="AK18" i="9"/>
  <c r="AL33" i="10"/>
  <c r="AM33" i="10" s="1"/>
  <c r="AK40" i="10" s="1"/>
  <c r="AK41" i="10" s="1"/>
  <c r="AB55" i="10"/>
  <c r="AF59" i="10" s="1"/>
  <c r="AI16" i="9" s="1"/>
  <c r="Y42" i="9" s="1"/>
  <c r="AB47" i="10"/>
  <c r="AF51" i="10" s="1"/>
  <c r="AI8" i="9" s="1"/>
  <c r="X42" i="9" s="1"/>
  <c r="AB48" i="10"/>
  <c r="AF52" i="10" s="1"/>
  <c r="AI9" i="9" s="1"/>
  <c r="AB50" i="10"/>
  <c r="AF54" i="10" s="1"/>
  <c r="AI11" i="9" s="1"/>
  <c r="AB51" i="10"/>
  <c r="AF55" i="10" s="1"/>
  <c r="AI12" i="9" s="1"/>
  <c r="AB52" i="10"/>
  <c r="AF56" i="10" s="1"/>
  <c r="AI13" i="9" s="1"/>
  <c r="AB53" i="10"/>
  <c r="AF57" i="10" s="1"/>
  <c r="AI14" i="9" s="1"/>
  <c r="AB54" i="10"/>
  <c r="AF58" i="10" s="1"/>
  <c r="AI15" i="9" s="1"/>
  <c r="AB49" i="10"/>
  <c r="AF53" i="10" s="1"/>
  <c r="AI10" i="9" s="1"/>
  <c r="X32" i="10"/>
  <c r="AA49" i="10"/>
  <c r="AE53" i="10" s="1"/>
  <c r="AH10" i="9" s="1"/>
  <c r="AA55" i="10"/>
  <c r="AE59" i="10" s="1"/>
  <c r="AA53" i="10"/>
  <c r="AE57" i="10" s="1"/>
  <c r="AH14" i="9" s="1"/>
  <c r="AA51" i="10"/>
  <c r="AE55" i="10" s="1"/>
  <c r="AH12" i="9" s="1"/>
  <c r="AA48" i="10"/>
  <c r="AE52" i="10" s="1"/>
  <c r="AH9" i="9" s="1"/>
  <c r="AA47" i="10"/>
  <c r="AE51" i="10" s="1"/>
  <c r="AH8" i="9" s="1"/>
  <c r="AA54" i="10"/>
  <c r="AE58" i="10" s="1"/>
  <c r="AH15" i="9" s="1"/>
  <c r="AA52" i="10"/>
  <c r="AE56" i="10" s="1"/>
  <c r="AH13" i="9" s="1"/>
  <c r="AA50" i="10"/>
  <c r="AE54" i="10" s="1"/>
  <c r="AH11" i="9" s="1"/>
  <c r="AL33" i="14"/>
  <c r="AM33" i="14" s="1"/>
  <c r="AK40" i="14" s="1"/>
  <c r="AK41" i="14" s="1"/>
  <c r="AB55" i="14"/>
  <c r="AF59" i="14" s="1"/>
  <c r="BC16" i="9" s="1"/>
  <c r="Y54" i="9" s="1"/>
  <c r="AB47" i="14"/>
  <c r="AF51" i="14" s="1"/>
  <c r="BC8" i="9" s="1"/>
  <c r="X54" i="9" s="1"/>
  <c r="AB51" i="14"/>
  <c r="AF55" i="14" s="1"/>
  <c r="BC12" i="9" s="1"/>
  <c r="AB52" i="14"/>
  <c r="AF56" i="14" s="1"/>
  <c r="BC13" i="9" s="1"/>
  <c r="AB48" i="14"/>
  <c r="AF52" i="14" s="1"/>
  <c r="BC9" i="9" s="1"/>
  <c r="AB49" i="14"/>
  <c r="AF53" i="14" s="1"/>
  <c r="BC10" i="9" s="1"/>
  <c r="AA47" i="14"/>
  <c r="AE51" i="14" s="1"/>
  <c r="BB8" i="9" s="1"/>
  <c r="AA54" i="14"/>
  <c r="AE58" i="14" s="1"/>
  <c r="BB15" i="9" s="1"/>
  <c r="AA52" i="14"/>
  <c r="AE56" i="14" s="1"/>
  <c r="BB13" i="9" s="1"/>
  <c r="AA50" i="14"/>
  <c r="AE54" i="14" s="1"/>
  <c r="BB11" i="9" s="1"/>
  <c r="AB53" i="14"/>
  <c r="AF57" i="14" s="1"/>
  <c r="BC14" i="9" s="1"/>
  <c r="AB54" i="14"/>
  <c r="AF58" i="14" s="1"/>
  <c r="BC15" i="9" s="1"/>
  <c r="AB50" i="14"/>
  <c r="AF54" i="14" s="1"/>
  <c r="BC11" i="9" s="1"/>
  <c r="X32" i="14"/>
  <c r="AA49" i="14"/>
  <c r="AE53" i="14" s="1"/>
  <c r="BB10" i="9" s="1"/>
  <c r="AA55" i="14"/>
  <c r="AE59" i="14" s="1"/>
  <c r="AA53" i="14"/>
  <c r="AE57" i="14" s="1"/>
  <c r="BB14" i="9" s="1"/>
  <c r="AA51" i="14"/>
  <c r="AE55" i="14" s="1"/>
  <c r="BB12" i="9" s="1"/>
  <c r="AA48" i="14"/>
  <c r="AE52" i="14" s="1"/>
  <c r="BB9" i="9" s="1"/>
  <c r="Z37" i="14"/>
  <c r="Z64" i="9"/>
  <c r="AZ24" i="9"/>
  <c r="AU24" i="9"/>
  <c r="AP24" i="9"/>
  <c r="AK24" i="9"/>
  <c r="AZ20" i="9"/>
  <c r="AU20" i="9"/>
  <c r="AP20" i="9"/>
  <c r="AK20" i="9"/>
  <c r="AZ25" i="9"/>
  <c r="AU25" i="9"/>
  <c r="AP25" i="9"/>
  <c r="AK25" i="9"/>
  <c r="AL33" i="12"/>
  <c r="AM33" i="12" s="1"/>
  <c r="AK40" i="12" s="1"/>
  <c r="AK41" i="12" s="1"/>
  <c r="AB47" i="12"/>
  <c r="AF51" i="12" s="1"/>
  <c r="AS8" i="9" s="1"/>
  <c r="X48" i="9" s="1"/>
  <c r="AB55" i="12"/>
  <c r="AF59" i="12" s="1"/>
  <c r="AS16" i="9" s="1"/>
  <c r="Y48" i="9" s="1"/>
  <c r="AB49" i="12"/>
  <c r="AF53" i="12" s="1"/>
  <c r="AS10" i="9" s="1"/>
  <c r="AB54" i="12"/>
  <c r="AF58" i="12" s="1"/>
  <c r="AS15" i="9" s="1"/>
  <c r="AB50" i="12"/>
  <c r="AF54" i="12" s="1"/>
  <c r="AS11" i="9" s="1"/>
  <c r="AB53" i="12"/>
  <c r="AF57" i="12" s="1"/>
  <c r="AS14" i="9" s="1"/>
  <c r="AA47" i="12"/>
  <c r="AE51" i="12" s="1"/>
  <c r="AR8" i="9" s="1"/>
  <c r="AA54" i="12"/>
  <c r="AE58" i="12" s="1"/>
  <c r="AR15" i="9" s="1"/>
  <c r="AA52" i="12"/>
  <c r="AE56" i="12" s="1"/>
  <c r="AR13" i="9" s="1"/>
  <c r="AA50" i="12"/>
  <c r="AE54" i="12" s="1"/>
  <c r="AR11" i="9" s="1"/>
  <c r="AB52" i="12"/>
  <c r="AF56" i="12" s="1"/>
  <c r="AS13" i="9" s="1"/>
  <c r="AB48" i="12"/>
  <c r="AF52" i="12" s="1"/>
  <c r="AS9" i="9" s="1"/>
  <c r="AB51" i="12"/>
  <c r="AF55" i="12" s="1"/>
  <c r="AS12" i="9" s="1"/>
  <c r="X32" i="12"/>
  <c r="AA49" i="12"/>
  <c r="AE53" i="12" s="1"/>
  <c r="AR10" i="9" s="1"/>
  <c r="AA55" i="12"/>
  <c r="AE59" i="12" s="1"/>
  <c r="AA53" i="12"/>
  <c r="AE57" i="12" s="1"/>
  <c r="AR14" i="9" s="1"/>
  <c r="AA51" i="12"/>
  <c r="AE55" i="12" s="1"/>
  <c r="AR12" i="9" s="1"/>
  <c r="AA48" i="12"/>
  <c r="AE52" i="12" s="1"/>
  <c r="AR9" i="9" s="1"/>
  <c r="AN34" i="11"/>
  <c r="AL43" i="11" s="1"/>
  <c r="AN34" i="10"/>
  <c r="AL43" i="10" s="1"/>
  <c r="AN34" i="13"/>
  <c r="AL43" i="13" s="1"/>
  <c r="AF29" i="9"/>
  <c r="AF28" i="9"/>
  <c r="AN34" i="14"/>
  <c r="AL43" i="14" s="1"/>
  <c r="AZ23" i="9"/>
  <c r="AU23" i="9"/>
  <c r="AP23" i="9"/>
  <c r="AK23" i="9"/>
  <c r="AZ19" i="9"/>
  <c r="AU19" i="9"/>
  <c r="AP19" i="9"/>
  <c r="AK19" i="9"/>
  <c r="Z37" i="10"/>
  <c r="Z60" i="9"/>
  <c r="AL33" i="13"/>
  <c r="AM33" i="13" s="1"/>
  <c r="AK40" i="13" s="1"/>
  <c r="AK41" i="13" s="1"/>
  <c r="AB55" i="13"/>
  <c r="AF59" i="13" s="1"/>
  <c r="AX16" i="9" s="1"/>
  <c r="Y51" i="9" s="1"/>
  <c r="AB47" i="13"/>
  <c r="AF51" i="13" s="1"/>
  <c r="AX8" i="9" s="1"/>
  <c r="X51" i="9" s="1"/>
  <c r="AB48" i="13"/>
  <c r="AF52" i="13" s="1"/>
  <c r="AX9" i="9" s="1"/>
  <c r="AB50" i="13"/>
  <c r="AF54" i="13" s="1"/>
  <c r="AX11" i="9" s="1"/>
  <c r="AB51" i="13"/>
  <c r="AF55" i="13" s="1"/>
  <c r="AX12" i="9" s="1"/>
  <c r="AB52" i="13"/>
  <c r="AF56" i="13" s="1"/>
  <c r="AX13" i="9" s="1"/>
  <c r="AB53" i="13"/>
  <c r="AF57" i="13" s="1"/>
  <c r="AX14" i="9" s="1"/>
  <c r="AB54" i="13"/>
  <c r="AF58" i="13" s="1"/>
  <c r="AX15" i="9" s="1"/>
  <c r="AB49" i="13"/>
  <c r="AF53" i="13" s="1"/>
  <c r="AX10" i="9" s="1"/>
  <c r="AA47" i="13"/>
  <c r="AE51" i="13" s="1"/>
  <c r="AW8" i="9" s="1"/>
  <c r="AA54" i="13"/>
  <c r="AE58" i="13" s="1"/>
  <c r="AW15" i="9" s="1"/>
  <c r="AA52" i="13"/>
  <c r="AE56" i="13" s="1"/>
  <c r="AW13" i="9" s="1"/>
  <c r="AA50" i="13"/>
  <c r="AE54" i="13" s="1"/>
  <c r="AW11" i="9" s="1"/>
  <c r="X32" i="13"/>
  <c r="AA49" i="13"/>
  <c r="AE53" i="13" s="1"/>
  <c r="AW10" i="9" s="1"/>
  <c r="AA55" i="13"/>
  <c r="AE59" i="13" s="1"/>
  <c r="AA53" i="13"/>
  <c r="AE57" i="13" s="1"/>
  <c r="AW14" i="9" s="1"/>
  <c r="AA51" i="13"/>
  <c r="AE55" i="13" s="1"/>
  <c r="AW12" i="9" s="1"/>
  <c r="AA48" i="13"/>
  <c r="AE52" i="13" s="1"/>
  <c r="AW9" i="9" s="1"/>
  <c r="Z37" i="13"/>
  <c r="Z63" i="9"/>
  <c r="AL34" i="12"/>
  <c r="AM34" i="12" s="1"/>
  <c r="AK42" i="12" s="1"/>
  <c r="AK43" i="12" s="1"/>
  <c r="X65" i="12"/>
  <c r="AF66" i="12" s="1"/>
  <c r="AS23" i="9" s="1"/>
  <c r="X67" i="12"/>
  <c r="AF68" i="12" s="1"/>
  <c r="AS25" i="9" s="1"/>
  <c r="AA48" i="9" s="1"/>
  <c r="X61" i="12"/>
  <c r="AF62" i="12" s="1"/>
  <c r="AS19" i="9" s="1"/>
  <c r="X63" i="12"/>
  <c r="AF64" i="12" s="1"/>
  <c r="AS21" i="9" s="1"/>
  <c r="X64" i="12"/>
  <c r="AF65" i="12" s="1"/>
  <c r="AS22" i="9" s="1"/>
  <c r="X66" i="12"/>
  <c r="AF67" i="12" s="1"/>
  <c r="AS24" i="9" s="1"/>
  <c r="X59" i="12"/>
  <c r="AF60" i="12" s="1"/>
  <c r="AS17" i="9" s="1"/>
  <c r="Z48" i="9" s="1"/>
  <c r="X60" i="12"/>
  <c r="AF61" i="12" s="1"/>
  <c r="AS18" i="9" s="1"/>
  <c r="X62" i="12"/>
  <c r="AF63" i="12" s="1"/>
  <c r="AS20" i="9" s="1"/>
  <c r="W66" i="12"/>
  <c r="AE67" i="12" s="1"/>
  <c r="AR24" i="9" s="1"/>
  <c r="W64" i="12"/>
  <c r="AE65" i="12" s="1"/>
  <c r="AR22" i="9" s="1"/>
  <c r="W61" i="12"/>
  <c r="AE62" i="12" s="1"/>
  <c r="AR19" i="9" s="1"/>
  <c r="W62" i="12"/>
  <c r="AE63" i="12" s="1"/>
  <c r="AR20" i="9" s="1"/>
  <c r="W59" i="12"/>
  <c r="AE60" i="12" s="1"/>
  <c r="AR17" i="9" s="1"/>
  <c r="W67" i="12"/>
  <c r="AE68" i="12" s="1"/>
  <c r="W65" i="12"/>
  <c r="AE66" i="12" s="1"/>
  <c r="AR23" i="9" s="1"/>
  <c r="W63" i="12"/>
  <c r="AE64" i="12" s="1"/>
  <c r="AR21" i="9" s="1"/>
  <c r="W60" i="12"/>
  <c r="AE61" i="12" s="1"/>
  <c r="AR18" i="9" s="1"/>
  <c r="AC37" i="12"/>
  <c r="AA62" i="9"/>
  <c r="AZ22" i="9"/>
  <c r="AU22" i="9"/>
  <c r="AP22" i="9"/>
  <c r="AK22" i="9"/>
  <c r="AZ17" i="9"/>
  <c r="AU17" i="9"/>
  <c r="AP17" i="9"/>
  <c r="AK17" i="9"/>
  <c r="AL33" i="11"/>
  <c r="AM33" i="11" s="1"/>
  <c r="AK40" i="11" s="1"/>
  <c r="AK41" i="11" s="1"/>
  <c r="AB47" i="11"/>
  <c r="AF51" i="11" s="1"/>
  <c r="AN8" i="9" s="1"/>
  <c r="X45" i="9" s="1"/>
  <c r="AB55" i="11"/>
  <c r="AF59" i="11" s="1"/>
  <c r="AN16" i="9" s="1"/>
  <c r="Y45" i="9" s="1"/>
  <c r="AB49" i="11"/>
  <c r="AF53" i="11" s="1"/>
  <c r="AN10" i="9" s="1"/>
  <c r="AB48" i="11"/>
  <c r="AF52" i="11" s="1"/>
  <c r="AN9" i="9" s="1"/>
  <c r="AB50" i="11"/>
  <c r="AF54" i="11" s="1"/>
  <c r="AN11" i="9" s="1"/>
  <c r="AB51" i="11"/>
  <c r="AF55" i="11" s="1"/>
  <c r="AN12" i="9" s="1"/>
  <c r="AB52" i="11"/>
  <c r="AF56" i="11" s="1"/>
  <c r="AN13" i="9" s="1"/>
  <c r="AB53" i="11"/>
  <c r="AF57" i="11" s="1"/>
  <c r="AN14" i="9" s="1"/>
  <c r="AB54" i="11"/>
  <c r="AF58" i="11" s="1"/>
  <c r="AN15" i="9" s="1"/>
  <c r="X32" i="11"/>
  <c r="AA47" i="11"/>
  <c r="AE51" i="11" s="1"/>
  <c r="AM8" i="9" s="1"/>
  <c r="AA54" i="11"/>
  <c r="AE58" i="11" s="1"/>
  <c r="AM15" i="9" s="1"/>
  <c r="AA52" i="11"/>
  <c r="AE56" i="11" s="1"/>
  <c r="AM13" i="9" s="1"/>
  <c r="AA50" i="11"/>
  <c r="AE54" i="11" s="1"/>
  <c r="AM11" i="9" s="1"/>
  <c r="AA49" i="11"/>
  <c r="AE53" i="11" s="1"/>
  <c r="AM10" i="9" s="1"/>
  <c r="AA55" i="11"/>
  <c r="AE59" i="11" s="1"/>
  <c r="AA53" i="11"/>
  <c r="AE57" i="11" s="1"/>
  <c r="AM14" i="9" s="1"/>
  <c r="AA51" i="11"/>
  <c r="AE55" i="11" s="1"/>
  <c r="AM12" i="9" s="1"/>
  <c r="AA48" i="11"/>
  <c r="AE52" i="11" s="1"/>
  <c r="AM9" i="9" s="1"/>
  <c r="Z37" i="11"/>
  <c r="Z61" i="9"/>
  <c r="AZ27" i="9" l="1"/>
  <c r="AZ26" i="9"/>
  <c r="AP26" i="9"/>
  <c r="AK26" i="9"/>
  <c r="AP27" i="9"/>
  <c r="AK27" i="9"/>
  <c r="AI24" i="12"/>
  <c r="AI28" i="12" s="1"/>
  <c r="AI38" i="12"/>
  <c r="AI39" i="12" s="1"/>
  <c r="AI40" i="12" s="1"/>
  <c r="AI41" i="12" s="1"/>
  <c r="AI18" i="12"/>
  <c r="AI19" i="12" s="1"/>
  <c r="AI20" i="12" s="1"/>
  <c r="AI31" i="12"/>
  <c r="AI35" i="12" s="1"/>
  <c r="AN33" i="11"/>
  <c r="AL41" i="11" s="1"/>
  <c r="AL20" i="13"/>
  <c r="AW16" i="9"/>
  <c r="W37" i="13"/>
  <c r="Y63" i="9"/>
  <c r="AZ28" i="9"/>
  <c r="AU28" i="9"/>
  <c r="AP28" i="9"/>
  <c r="AK28" i="9"/>
  <c r="AL20" i="12"/>
  <c r="AR16" i="9"/>
  <c r="W37" i="12"/>
  <c r="Y62" i="9"/>
  <c r="AL20" i="14"/>
  <c r="BB16" i="9"/>
  <c r="W37" i="14"/>
  <c r="Y64" i="9"/>
  <c r="AH16" i="9"/>
  <c r="AL20" i="10"/>
  <c r="Y60" i="9"/>
  <c r="W37" i="10"/>
  <c r="AN34" i="12"/>
  <c r="AL43" i="12" s="1"/>
  <c r="AN33" i="13"/>
  <c r="AL41" i="13" s="1"/>
  <c r="AN33" i="12"/>
  <c r="AL41" i="12" s="1"/>
  <c r="AN33" i="14"/>
  <c r="AL41" i="14" s="1"/>
  <c r="AN33" i="10"/>
  <c r="AL41" i="10" s="1"/>
  <c r="AL20" i="11"/>
  <c r="AM16" i="9"/>
  <c r="W37" i="11"/>
  <c r="Y61" i="9"/>
  <c r="AL22" i="12"/>
  <c r="AR25" i="9"/>
  <c r="AZ29" i="9"/>
  <c r="AU29" i="9"/>
  <c r="AP29" i="9"/>
  <c r="AK29" i="9"/>
  <c r="AI32" i="12"/>
  <c r="AI33" i="12" s="1"/>
  <c r="AI34" i="12" s="1"/>
  <c r="AI42" i="12" l="1"/>
  <c r="AI25" i="12"/>
  <c r="AI26" i="12" s="1"/>
  <c r="AI27" i="12" s="1"/>
  <c r="AI17" i="13" l="1"/>
  <c r="AI21" i="13" s="1"/>
  <c r="AI24" i="13" l="1"/>
  <c r="AI25" i="13" s="1"/>
  <c r="AI26" i="13" s="1"/>
  <c r="AI27" i="13" s="1"/>
  <c r="AI38" i="13"/>
  <c r="AI42" i="13" s="1"/>
  <c r="AI18" i="13"/>
  <c r="AI19" i="13" s="1"/>
  <c r="AI20" i="13" s="1"/>
  <c r="AI31" i="13"/>
  <c r="AI35" i="13" s="1"/>
  <c r="AI28" i="13"/>
  <c r="AI39" i="13" l="1"/>
  <c r="AI40" i="13" s="1"/>
  <c r="AI41" i="13" s="1"/>
  <c r="AI32" i="13"/>
  <c r="AI33" i="13" s="1"/>
  <c r="AI34" i="13" s="1"/>
  <c r="AI17" i="14" l="1"/>
  <c r="AI21" i="14" s="1"/>
  <c r="AI24" i="14" l="1"/>
  <c r="AI25" i="14" s="1"/>
  <c r="AI26" i="14" s="1"/>
  <c r="AI27" i="14" s="1"/>
  <c r="AI38" i="14"/>
  <c r="AI42" i="14" s="1"/>
  <c r="AI18" i="14"/>
  <c r="AI19" i="14" s="1"/>
  <c r="AI20" i="14" s="1"/>
  <c r="AI31" i="14"/>
  <c r="AI35" i="14" s="1"/>
  <c r="AI28" i="14" l="1"/>
  <c r="AI39" i="14"/>
  <c r="AI40" i="14" s="1"/>
  <c r="AI41" i="14" s="1"/>
  <c r="AI32" i="14"/>
  <c r="AI33" i="14" s="1"/>
  <c r="AI34" i="14" s="1"/>
  <c r="F7" i="8"/>
  <c r="G7" i="8"/>
  <c r="E7" i="8"/>
  <c r="U41" i="8"/>
  <c r="AG48" i="2" s="1"/>
  <c r="F18" i="8"/>
  <c r="E18" i="8"/>
  <c r="G4" i="8"/>
  <c r="Q44" i="8" s="1"/>
  <c r="F4" i="8"/>
  <c r="M57" i="8" s="1"/>
  <c r="E4" i="8"/>
  <c r="M43" i="8" s="1"/>
  <c r="U43" i="8" s="1"/>
  <c r="AG50" i="2" s="1"/>
  <c r="F7" i="7"/>
  <c r="G7" i="7"/>
  <c r="E7" i="7"/>
  <c r="U41" i="7"/>
  <c r="AL26" i="2" s="1"/>
  <c r="F18" i="7"/>
  <c r="E18" i="7"/>
  <c r="G4" i="7"/>
  <c r="Q44" i="7" s="1"/>
  <c r="F4" i="7"/>
  <c r="M57" i="7" s="1"/>
  <c r="E4" i="7"/>
  <c r="M43" i="7" s="1"/>
  <c r="U43" i="7" s="1"/>
  <c r="AL28" i="2" s="1"/>
  <c r="F7" i="6"/>
  <c r="G7" i="6"/>
  <c r="E7" i="6"/>
  <c r="U41" i="6"/>
  <c r="AG26" i="2" s="1"/>
  <c r="F18" i="6"/>
  <c r="E18" i="6"/>
  <c r="G4" i="6"/>
  <c r="Q44" i="6" s="1"/>
  <c r="F4" i="6"/>
  <c r="M57" i="6" s="1"/>
  <c r="E4" i="6"/>
  <c r="M43" i="6" s="1"/>
  <c r="U43" i="6" s="1"/>
  <c r="AG28" i="2" s="1"/>
  <c r="F7" i="5"/>
  <c r="G7" i="5"/>
  <c r="E7" i="5"/>
  <c r="U41" i="5"/>
  <c r="AL4" i="2" s="1"/>
  <c r="F18" i="5"/>
  <c r="E18" i="5"/>
  <c r="G4" i="5"/>
  <c r="Q44" i="5" s="1"/>
  <c r="F4" i="5"/>
  <c r="M57" i="5" s="1"/>
  <c r="E4" i="5"/>
  <c r="M43" i="5" s="1"/>
  <c r="U43" i="5" s="1"/>
  <c r="AL6" i="2" s="1"/>
  <c r="F7" i="4"/>
  <c r="G7" i="4"/>
  <c r="F4" i="4"/>
  <c r="G4" i="4"/>
  <c r="E4" i="4"/>
  <c r="Q16" i="4" l="1"/>
  <c r="Q16" i="5"/>
  <c r="Q16" i="6"/>
  <c r="Q16" i="7"/>
  <c r="Q16" i="8"/>
  <c r="P22" i="8"/>
  <c r="O41" i="8"/>
  <c r="W41" i="8" s="1"/>
  <c r="AI48" i="2" s="1"/>
  <c r="M42" i="8"/>
  <c r="U42" i="8" s="1"/>
  <c r="AG49" i="2" s="1"/>
  <c r="N43" i="8"/>
  <c r="V43" i="8" s="1"/>
  <c r="AH50" i="2" s="1"/>
  <c r="Q43" i="8"/>
  <c r="M44" i="8"/>
  <c r="U44" i="8" s="1"/>
  <c r="AG51" i="2" s="1"/>
  <c r="AB49" i="8"/>
  <c r="M51" i="8"/>
  <c r="Y12" i="8"/>
  <c r="Y13" i="8" s="1"/>
  <c r="Q15" i="8"/>
  <c r="O22" i="8" s="1"/>
  <c r="Y18" i="8"/>
  <c r="M22" i="8"/>
  <c r="N41" i="8"/>
  <c r="V41" i="8" s="1"/>
  <c r="AH48" i="2" s="1"/>
  <c r="Q42" i="8"/>
  <c r="O43" i="8"/>
  <c r="W43" i="8" s="1"/>
  <c r="AI50" i="2" s="1"/>
  <c r="M50" i="8"/>
  <c r="M52" i="8"/>
  <c r="M53" i="8"/>
  <c r="M54" i="8"/>
  <c r="M55" i="8"/>
  <c r="M56" i="8"/>
  <c r="P22" i="7"/>
  <c r="O41" i="7"/>
  <c r="W41" i="7" s="1"/>
  <c r="AN26" i="2" s="1"/>
  <c r="M42" i="7"/>
  <c r="U42" i="7" s="1"/>
  <c r="AL27" i="2" s="1"/>
  <c r="N43" i="7"/>
  <c r="V43" i="7" s="1"/>
  <c r="AM28" i="2" s="1"/>
  <c r="Q43" i="7"/>
  <c r="M44" i="7"/>
  <c r="U44" i="7" s="1"/>
  <c r="AL29" i="2" s="1"/>
  <c r="AB49" i="7"/>
  <c r="M51" i="7"/>
  <c r="Y12" i="7"/>
  <c r="Y13" i="7" s="1"/>
  <c r="Q15" i="7"/>
  <c r="O22" i="7" s="1"/>
  <c r="Y18" i="7"/>
  <c r="M22" i="7"/>
  <c r="N41" i="7"/>
  <c r="V41" i="7" s="1"/>
  <c r="AM26" i="2" s="1"/>
  <c r="Q42" i="7"/>
  <c r="O43" i="7"/>
  <c r="W43" i="7" s="1"/>
  <c r="AN28" i="2" s="1"/>
  <c r="M50" i="7"/>
  <c r="M52" i="7"/>
  <c r="M53" i="7"/>
  <c r="M54" i="7"/>
  <c r="M55" i="7"/>
  <c r="M56" i="7"/>
  <c r="P22" i="6"/>
  <c r="O41" i="6"/>
  <c r="W41" i="6" s="1"/>
  <c r="AI26" i="2" s="1"/>
  <c r="M42" i="6"/>
  <c r="U42" i="6" s="1"/>
  <c r="AG27" i="2" s="1"/>
  <c r="N43" i="6"/>
  <c r="V43" i="6" s="1"/>
  <c r="AH28" i="2" s="1"/>
  <c r="Q43" i="6"/>
  <c r="M44" i="6"/>
  <c r="U44" i="6" s="1"/>
  <c r="AG29" i="2" s="1"/>
  <c r="AB49" i="6"/>
  <c r="M51" i="6"/>
  <c r="Y12" i="6"/>
  <c r="Y13" i="6" s="1"/>
  <c r="Q15" i="6"/>
  <c r="Y18" i="6"/>
  <c r="M22" i="6"/>
  <c r="N41" i="6"/>
  <c r="V41" i="6" s="1"/>
  <c r="AH26" i="2" s="1"/>
  <c r="Q42" i="6"/>
  <c r="O43" i="6"/>
  <c r="W43" i="6" s="1"/>
  <c r="AI28" i="2" s="1"/>
  <c r="M50" i="6"/>
  <c r="M52" i="6"/>
  <c r="M53" i="6"/>
  <c r="M54" i="6"/>
  <c r="M55" i="6"/>
  <c r="M56" i="6"/>
  <c r="P22" i="5"/>
  <c r="O41" i="5"/>
  <c r="W41" i="5" s="1"/>
  <c r="AN4" i="2" s="1"/>
  <c r="M42" i="5"/>
  <c r="U42" i="5" s="1"/>
  <c r="AL5" i="2" s="1"/>
  <c r="N43" i="5"/>
  <c r="V43" i="5" s="1"/>
  <c r="AM6" i="2" s="1"/>
  <c r="Q43" i="5"/>
  <c r="M44" i="5"/>
  <c r="U44" i="5" s="1"/>
  <c r="AL7" i="2" s="1"/>
  <c r="AB49" i="5"/>
  <c r="M51" i="5"/>
  <c r="Y12" i="5"/>
  <c r="Y13" i="5" s="1"/>
  <c r="Q15" i="5"/>
  <c r="O22" i="5" s="1"/>
  <c r="Y18" i="5"/>
  <c r="M22" i="5"/>
  <c r="N41" i="5"/>
  <c r="V41" i="5" s="1"/>
  <c r="AM4" i="2" s="1"/>
  <c r="Q42" i="5"/>
  <c r="O43" i="5"/>
  <c r="W43" i="5" s="1"/>
  <c r="AN6" i="2" s="1"/>
  <c r="M50" i="5"/>
  <c r="M52" i="5"/>
  <c r="M53" i="5"/>
  <c r="M54" i="5"/>
  <c r="M55" i="5"/>
  <c r="M56" i="5"/>
  <c r="P22" i="4"/>
  <c r="F18" i="4"/>
  <c r="E18" i="4"/>
  <c r="E7" i="4"/>
  <c r="N41" i="4" s="1"/>
  <c r="Q44" i="4"/>
  <c r="M56" i="4"/>
  <c r="M43" i="4"/>
  <c r="U43" i="4" s="1"/>
  <c r="AG6" i="2" s="1"/>
  <c r="E5" i="3"/>
  <c r="E4" i="3"/>
  <c r="D2" i="3"/>
  <c r="B5" i="3"/>
  <c r="B4" i="3"/>
  <c r="A2" i="3"/>
  <c r="Z25" i="4"/>
  <c r="Z26" i="4" s="1"/>
  <c r="Z18" i="4"/>
  <c r="Z19" i="4" s="1"/>
  <c r="AB49" i="4"/>
  <c r="M52" i="4"/>
  <c r="M42" i="4"/>
  <c r="U42" i="4" s="1"/>
  <c r="AG5" i="2" s="1"/>
  <c r="U41" i="4"/>
  <c r="AG4" i="2" s="1"/>
  <c r="Y18" i="4"/>
  <c r="Y22" i="4" s="1"/>
  <c r="Z15" i="4"/>
  <c r="Z12" i="4"/>
  <c r="G77" i="2"/>
  <c r="Z22" i="4" l="1"/>
  <c r="A3" i="3"/>
  <c r="A4" i="3"/>
  <c r="D3" i="3"/>
  <c r="D4" i="3"/>
  <c r="D5" i="3"/>
  <c r="N42" i="6"/>
  <c r="V42" i="6" s="1"/>
  <c r="AH27" i="2" s="1"/>
  <c r="N42" i="7"/>
  <c r="V42" i="7" s="1"/>
  <c r="AM27" i="2" s="1"/>
  <c r="R44" i="4"/>
  <c r="V57" i="4" s="1"/>
  <c r="AH20" i="2" s="1"/>
  <c r="O22" i="6"/>
  <c r="P26" i="6" s="1"/>
  <c r="G18" i="4"/>
  <c r="G18" i="8"/>
  <c r="G18" i="6"/>
  <c r="G18" i="7"/>
  <c r="G18" i="5"/>
  <c r="N42" i="8"/>
  <c r="V42" i="8" s="1"/>
  <c r="AH49" i="2" s="1"/>
  <c r="R42" i="8"/>
  <c r="V55" i="8" s="1"/>
  <c r="AH62" i="2" s="1"/>
  <c r="R43" i="6"/>
  <c r="V56" i="6" s="1"/>
  <c r="AH41" i="2" s="1"/>
  <c r="O42" i="7"/>
  <c r="W42" i="7" s="1"/>
  <c r="AN27" i="2" s="1"/>
  <c r="R44" i="8"/>
  <c r="V57" i="8" s="1"/>
  <c r="AH64" i="2" s="1"/>
  <c r="P26" i="8"/>
  <c r="R43" i="8"/>
  <c r="V56" i="8" s="1"/>
  <c r="AH63" i="2" s="1"/>
  <c r="AB50" i="8"/>
  <c r="M30" i="8"/>
  <c r="M31" i="8" s="1"/>
  <c r="AB11" i="8"/>
  <c r="AB12" i="8" s="1"/>
  <c r="S44" i="8"/>
  <c r="W57" i="8" s="1"/>
  <c r="AI64" i="2" s="1"/>
  <c r="S42" i="8"/>
  <c r="W55" i="8" s="1"/>
  <c r="AI62" i="2" s="1"/>
  <c r="S43" i="8"/>
  <c r="W56" i="8" s="1"/>
  <c r="AI63" i="2" s="1"/>
  <c r="S41" i="8"/>
  <c r="W54" i="8" s="1"/>
  <c r="AI61" i="2" s="1"/>
  <c r="AA54" i="2" s="1"/>
  <c r="O44" i="8"/>
  <c r="W44" i="8" s="1"/>
  <c r="AI51" i="2" s="1"/>
  <c r="X54" i="2" s="1"/>
  <c r="O42" i="8"/>
  <c r="W42" i="8" s="1"/>
  <c r="AI49" i="2" s="1"/>
  <c r="R41" i="8"/>
  <c r="V54" i="8" s="1"/>
  <c r="AH61" i="2" s="1"/>
  <c r="Y22" i="8"/>
  <c r="Y21" i="8"/>
  <c r="U51" i="8"/>
  <c r="AG58" i="2" s="1"/>
  <c r="U49" i="8"/>
  <c r="AG56" i="2" s="1"/>
  <c r="U47" i="8"/>
  <c r="AG54" i="2" s="1"/>
  <c r="U45" i="8"/>
  <c r="AG52" i="2" s="1"/>
  <c r="U53" i="8"/>
  <c r="AG60" i="2" s="1"/>
  <c r="U52" i="8"/>
  <c r="AG59" i="2" s="1"/>
  <c r="U50" i="8"/>
  <c r="AG57" i="2" s="1"/>
  <c r="U48" i="8"/>
  <c r="AG55" i="2" s="1"/>
  <c r="U46" i="8"/>
  <c r="AG53" i="2" s="1"/>
  <c r="N22" i="8"/>
  <c r="N44" i="8"/>
  <c r="V44" i="8" s="1"/>
  <c r="P26" i="7"/>
  <c r="R42" i="7"/>
  <c r="V55" i="7" s="1"/>
  <c r="AM40" i="2" s="1"/>
  <c r="R43" i="7"/>
  <c r="V56" i="7" s="1"/>
  <c r="AM41" i="2" s="1"/>
  <c r="AB50" i="7"/>
  <c r="M30" i="7"/>
  <c r="M31" i="7" s="1"/>
  <c r="AB11" i="7"/>
  <c r="AB12" i="7" s="1"/>
  <c r="S44" i="7"/>
  <c r="W57" i="7" s="1"/>
  <c r="AN42" i="2" s="1"/>
  <c r="S42" i="7"/>
  <c r="W55" i="7" s="1"/>
  <c r="AN40" i="2" s="1"/>
  <c r="S43" i="7"/>
  <c r="W56" i="7" s="1"/>
  <c r="AN41" i="2" s="1"/>
  <c r="S41" i="7"/>
  <c r="W54" i="7" s="1"/>
  <c r="AN39" i="2" s="1"/>
  <c r="AA51" i="2" s="1"/>
  <c r="O44" i="7"/>
  <c r="W44" i="7" s="1"/>
  <c r="AN29" i="2" s="1"/>
  <c r="X51" i="2" s="1"/>
  <c r="R41" i="7"/>
  <c r="V54" i="7" s="1"/>
  <c r="AM39" i="2" s="1"/>
  <c r="Y22" i="7"/>
  <c r="Y21" i="7"/>
  <c r="U51" i="7"/>
  <c r="AL36" i="2" s="1"/>
  <c r="U49" i="7"/>
  <c r="AL34" i="2" s="1"/>
  <c r="U47" i="7"/>
  <c r="AL32" i="2" s="1"/>
  <c r="U45" i="7"/>
  <c r="AL30" i="2" s="1"/>
  <c r="U53" i="7"/>
  <c r="AL38" i="2" s="1"/>
  <c r="U52" i="7"/>
  <c r="AL37" i="2" s="1"/>
  <c r="U50" i="7"/>
  <c r="AL35" i="2" s="1"/>
  <c r="U48" i="7"/>
  <c r="AL33" i="2" s="1"/>
  <c r="U46" i="7"/>
  <c r="AL31" i="2" s="1"/>
  <c r="N22" i="7"/>
  <c r="N44" i="7"/>
  <c r="V44" i="7" s="1"/>
  <c r="R44" i="7"/>
  <c r="V57" i="7" s="1"/>
  <c r="AM42" i="2" s="1"/>
  <c r="R42" i="6"/>
  <c r="V55" i="6" s="1"/>
  <c r="AH40" i="2" s="1"/>
  <c r="R41" i="6"/>
  <c r="V54" i="6" s="1"/>
  <c r="AH39" i="2" s="1"/>
  <c r="AB50" i="6"/>
  <c r="M30" i="6"/>
  <c r="M31" i="6" s="1"/>
  <c r="AB11" i="6"/>
  <c r="AB12" i="6" s="1"/>
  <c r="S44" i="6"/>
  <c r="W57" i="6" s="1"/>
  <c r="AI42" i="2" s="1"/>
  <c r="S42" i="6"/>
  <c r="W55" i="6" s="1"/>
  <c r="AI40" i="2" s="1"/>
  <c r="S43" i="6"/>
  <c r="W56" i="6" s="1"/>
  <c r="AI41" i="2" s="1"/>
  <c r="S41" i="6"/>
  <c r="W54" i="6" s="1"/>
  <c r="AI39" i="2" s="1"/>
  <c r="AA48" i="2" s="1"/>
  <c r="O44" i="6"/>
  <c r="W44" i="6" s="1"/>
  <c r="AI29" i="2" s="1"/>
  <c r="X48" i="2" s="1"/>
  <c r="O42" i="6"/>
  <c r="W42" i="6" s="1"/>
  <c r="AI27" i="2" s="1"/>
  <c r="R44" i="6"/>
  <c r="V57" i="6" s="1"/>
  <c r="AH42" i="2" s="1"/>
  <c r="Y22" i="6"/>
  <c r="Y21" i="6"/>
  <c r="U51" i="6"/>
  <c r="AG36" i="2" s="1"/>
  <c r="U49" i="6"/>
  <c r="AG34" i="2" s="1"/>
  <c r="U47" i="6"/>
  <c r="AG32" i="2" s="1"/>
  <c r="U45" i="6"/>
  <c r="AG30" i="2" s="1"/>
  <c r="U53" i="6"/>
  <c r="AG38" i="2" s="1"/>
  <c r="U52" i="6"/>
  <c r="AG37" i="2" s="1"/>
  <c r="U50" i="6"/>
  <c r="AG35" i="2" s="1"/>
  <c r="U48" i="6"/>
  <c r="AG33" i="2" s="1"/>
  <c r="U46" i="6"/>
  <c r="AG31" i="2" s="1"/>
  <c r="N44" i="6"/>
  <c r="V44" i="6" s="1"/>
  <c r="N42" i="5"/>
  <c r="V42" i="5" s="1"/>
  <c r="AM5" i="2" s="1"/>
  <c r="O44" i="5"/>
  <c r="W44" i="5" s="1"/>
  <c r="AN7" i="2" s="1"/>
  <c r="X45" i="2" s="1"/>
  <c r="O42" i="5"/>
  <c r="W42" i="5" s="1"/>
  <c r="AN5" i="2" s="1"/>
  <c r="N44" i="5"/>
  <c r="V44" i="5" s="1"/>
  <c r="R43" i="5"/>
  <c r="V56" i="5" s="1"/>
  <c r="AM19" i="2" s="1"/>
  <c r="R41" i="5"/>
  <c r="V54" i="5" s="1"/>
  <c r="AM17" i="2" s="1"/>
  <c r="R42" i="5"/>
  <c r="V55" i="5" s="1"/>
  <c r="AM18" i="2" s="1"/>
  <c r="P26" i="5"/>
  <c r="N22" i="5"/>
  <c r="N49" i="5" s="1"/>
  <c r="V45" i="5" s="1"/>
  <c r="AM8" i="2" s="1"/>
  <c r="Y22" i="5"/>
  <c r="Y21" i="5"/>
  <c r="U51" i="5"/>
  <c r="AL14" i="2" s="1"/>
  <c r="U49" i="5"/>
  <c r="AL12" i="2" s="1"/>
  <c r="U47" i="5"/>
  <c r="AL10" i="2" s="1"/>
  <c r="U45" i="5"/>
  <c r="AL8" i="2" s="1"/>
  <c r="U53" i="5"/>
  <c r="AL16" i="2" s="1"/>
  <c r="U52" i="5"/>
  <c r="AL15" i="2" s="1"/>
  <c r="U50" i="5"/>
  <c r="AL13" i="2" s="1"/>
  <c r="U48" i="5"/>
  <c r="AL11" i="2" s="1"/>
  <c r="U46" i="5"/>
  <c r="AL9" i="2" s="1"/>
  <c r="S44" i="5"/>
  <c r="W57" i="5" s="1"/>
  <c r="AN20" i="2" s="1"/>
  <c r="S42" i="5"/>
  <c r="W55" i="5" s="1"/>
  <c r="AN18" i="2" s="1"/>
  <c r="S43" i="5"/>
  <c r="W56" i="5" s="1"/>
  <c r="AN19" i="2" s="1"/>
  <c r="S41" i="5"/>
  <c r="W54" i="5" s="1"/>
  <c r="AN17" i="2" s="1"/>
  <c r="AA45" i="2" s="1"/>
  <c r="R44" i="5"/>
  <c r="V57" i="5" s="1"/>
  <c r="AM20" i="2" s="1"/>
  <c r="AB50" i="5"/>
  <c r="M30" i="5"/>
  <c r="M31" i="5" s="1"/>
  <c r="AB11" i="5"/>
  <c r="AB12" i="5" s="1"/>
  <c r="Z29" i="4"/>
  <c r="R41" i="4"/>
  <c r="V54" i="4" s="1"/>
  <c r="AH17" i="2" s="1"/>
  <c r="Q15" i="4"/>
  <c r="O22" i="4" s="1"/>
  <c r="M22" i="4"/>
  <c r="V41" i="4"/>
  <c r="AH4" i="2" s="1"/>
  <c r="S41" i="4"/>
  <c r="W54" i="4" s="1"/>
  <c r="AI17" i="2" s="1"/>
  <c r="AA42" i="2" s="1"/>
  <c r="S44" i="4"/>
  <c r="W57" i="4" s="1"/>
  <c r="AI20" i="2" s="1"/>
  <c r="Y12" i="4"/>
  <c r="Y13" i="4" s="1"/>
  <c r="Z20" i="4"/>
  <c r="Z21" i="4" s="1"/>
  <c r="AF4" i="2"/>
  <c r="M50" i="4"/>
  <c r="M51" i="4"/>
  <c r="M54" i="4"/>
  <c r="M57" i="4"/>
  <c r="AF5" i="2"/>
  <c r="AF6" i="2"/>
  <c r="M53" i="4"/>
  <c r="M55" i="4"/>
  <c r="AB50" i="4"/>
  <c r="M30" i="4"/>
  <c r="M31" i="4" s="1"/>
  <c r="AB11" i="4"/>
  <c r="AB12" i="4" s="1"/>
  <c r="M44" i="4"/>
  <c r="U44" i="4" s="1"/>
  <c r="AG7" i="2" s="1"/>
  <c r="A5" i="3"/>
  <c r="Q42" i="4"/>
  <c r="R42" i="4" s="1"/>
  <c r="V55" i="4" s="1"/>
  <c r="AH18" i="2" s="1"/>
  <c r="Q43" i="4"/>
  <c r="R43" i="4" s="1"/>
  <c r="V56" i="4" s="1"/>
  <c r="AH19" i="2" s="1"/>
  <c r="N43" i="4"/>
  <c r="Z13" i="4"/>
  <c r="O41" i="4"/>
  <c r="Z27" i="4"/>
  <c r="Z28" i="4" s="1"/>
  <c r="Y21" i="4"/>
  <c r="N42" i="4"/>
  <c r="O43" i="4"/>
  <c r="O42" i="4"/>
  <c r="N22" i="6" l="1"/>
  <c r="N55" i="6" s="1"/>
  <c r="V51" i="6" s="1"/>
  <c r="AH36" i="2" s="1"/>
  <c r="AF48" i="2"/>
  <c r="AK26" i="2"/>
  <c r="AF26" i="2"/>
  <c r="AK4" i="2"/>
  <c r="AK5" i="2"/>
  <c r="AF49" i="2"/>
  <c r="AK27" i="2"/>
  <c r="AF27" i="2"/>
  <c r="AK6" i="2"/>
  <c r="AK28" i="2"/>
  <c r="AF28" i="2"/>
  <c r="AF50" i="2"/>
  <c r="AC12" i="8"/>
  <c r="AH51" i="2"/>
  <c r="Q31" i="8"/>
  <c r="Z64" i="2"/>
  <c r="AC12" i="7"/>
  <c r="AM29" i="2"/>
  <c r="AC27" i="8"/>
  <c r="AD27" i="8" s="1"/>
  <c r="AB34" i="8" s="1"/>
  <c r="AB35" i="8" s="1"/>
  <c r="O49" i="8"/>
  <c r="W45" i="8" s="1"/>
  <c r="AI52" i="2" s="1"/>
  <c r="Y54" i="2" s="1"/>
  <c r="O50" i="8"/>
  <c r="W46" i="8" s="1"/>
  <c r="AI53" i="2" s="1"/>
  <c r="O52" i="8"/>
  <c r="W48" i="8" s="1"/>
  <c r="AI55" i="2" s="1"/>
  <c r="O53" i="8"/>
  <c r="W49" i="8" s="1"/>
  <c r="AI56" i="2" s="1"/>
  <c r="O54" i="8"/>
  <c r="W50" i="8" s="1"/>
  <c r="AI57" i="2" s="1"/>
  <c r="O55" i="8"/>
  <c r="W51" i="8" s="1"/>
  <c r="AI58" i="2" s="1"/>
  <c r="O56" i="8"/>
  <c r="W52" i="8" s="1"/>
  <c r="AI59" i="2" s="1"/>
  <c r="O57" i="8"/>
  <c r="W53" i="8" s="1"/>
  <c r="AI60" i="2" s="1"/>
  <c r="Z54" i="2" s="1"/>
  <c r="P30" i="8"/>
  <c r="P31" i="8" s="1"/>
  <c r="Y25" i="8"/>
  <c r="Y19" i="8"/>
  <c r="Y20" i="8" s="1"/>
  <c r="AB13" i="8"/>
  <c r="AB14" i="8" s="1"/>
  <c r="AB51" i="8"/>
  <c r="Y26" i="8" s="1"/>
  <c r="Y27" i="8" s="1"/>
  <c r="N52" i="8"/>
  <c r="V48" i="8" s="1"/>
  <c r="AH55" i="2" s="1"/>
  <c r="N54" i="8"/>
  <c r="V50" i="8" s="1"/>
  <c r="AH57" i="2" s="1"/>
  <c r="N56" i="8"/>
  <c r="V52" i="8" s="1"/>
  <c r="AH59" i="2" s="1"/>
  <c r="N49" i="8"/>
  <c r="V45" i="8" s="1"/>
  <c r="AH52" i="2" s="1"/>
  <c r="O51" i="8"/>
  <c r="W47" i="8" s="1"/>
  <c r="AI54" i="2" s="1"/>
  <c r="U57" i="8"/>
  <c r="AG64" i="2" s="1"/>
  <c r="U56" i="8"/>
  <c r="AG63" i="2" s="1"/>
  <c r="U55" i="8"/>
  <c r="AG62" i="2" s="1"/>
  <c r="U54" i="8"/>
  <c r="AG61" i="2" s="1"/>
  <c r="O26" i="8"/>
  <c r="N50" i="8"/>
  <c r="V46" i="8" s="1"/>
  <c r="AH53" i="2" s="1"/>
  <c r="N53" i="8"/>
  <c r="V49" i="8" s="1"/>
  <c r="AH56" i="2" s="1"/>
  <c r="N55" i="8"/>
  <c r="V51" i="8" s="1"/>
  <c r="AH58" i="2" s="1"/>
  <c r="N57" i="8"/>
  <c r="V53" i="8" s="1"/>
  <c r="N51" i="8"/>
  <c r="V47" i="8" s="1"/>
  <c r="AH54" i="2" s="1"/>
  <c r="O51" i="7"/>
  <c r="W47" i="7" s="1"/>
  <c r="AN32" i="2" s="1"/>
  <c r="Q31" i="7"/>
  <c r="Z63" i="2"/>
  <c r="U57" i="7"/>
  <c r="AL42" i="2" s="1"/>
  <c r="U56" i="7"/>
  <c r="AL41" i="2" s="1"/>
  <c r="U55" i="7"/>
  <c r="AL40" i="2" s="1"/>
  <c r="U54" i="7"/>
  <c r="AL39" i="2" s="1"/>
  <c r="P30" i="7"/>
  <c r="P31" i="7" s="1"/>
  <c r="Y25" i="7"/>
  <c r="Y19" i="7"/>
  <c r="Y20" i="7" s="1"/>
  <c r="AB13" i="7"/>
  <c r="AB14" i="7" s="1"/>
  <c r="AB51" i="7"/>
  <c r="Y26" i="7" s="1"/>
  <c r="Y27" i="7" s="1"/>
  <c r="N52" i="7"/>
  <c r="V48" i="7" s="1"/>
  <c r="AM33" i="2" s="1"/>
  <c r="N54" i="7"/>
  <c r="V50" i="7" s="1"/>
  <c r="AM35" i="2" s="1"/>
  <c r="N56" i="7"/>
  <c r="V52" i="7" s="1"/>
  <c r="AM37" i="2" s="1"/>
  <c r="N49" i="7"/>
  <c r="V45" i="7" s="1"/>
  <c r="AM30" i="2" s="1"/>
  <c r="AC27" i="7"/>
  <c r="AD27" i="7" s="1"/>
  <c r="AB34" i="7" s="1"/>
  <c r="AB35" i="7" s="1"/>
  <c r="O49" i="7"/>
  <c r="W45" i="7" s="1"/>
  <c r="AN30" i="2" s="1"/>
  <c r="Y51" i="2" s="1"/>
  <c r="O50" i="7"/>
  <c r="W46" i="7" s="1"/>
  <c r="AN31" i="2" s="1"/>
  <c r="O52" i="7"/>
  <c r="W48" i="7" s="1"/>
  <c r="AN33" i="2" s="1"/>
  <c r="O53" i="7"/>
  <c r="W49" i="7" s="1"/>
  <c r="AN34" i="2" s="1"/>
  <c r="O54" i="7"/>
  <c r="W50" i="7" s="1"/>
  <c r="AN35" i="2" s="1"/>
  <c r="O55" i="7"/>
  <c r="W51" i="7" s="1"/>
  <c r="AN36" i="2" s="1"/>
  <c r="O56" i="7"/>
  <c r="W52" i="7" s="1"/>
  <c r="AN37" i="2" s="1"/>
  <c r="O57" i="7"/>
  <c r="W53" i="7" s="1"/>
  <c r="AN38" i="2" s="1"/>
  <c r="Z51" i="2" s="1"/>
  <c r="O26" i="7"/>
  <c r="N50" i="7"/>
  <c r="V46" i="7" s="1"/>
  <c r="AM31" i="2" s="1"/>
  <c r="N53" i="7"/>
  <c r="V49" i="7" s="1"/>
  <c r="AM34" i="2" s="1"/>
  <c r="N55" i="7"/>
  <c r="V51" i="7" s="1"/>
  <c r="AM36" i="2" s="1"/>
  <c r="N57" i="7"/>
  <c r="V53" i="7" s="1"/>
  <c r="N51" i="7"/>
  <c r="V47" i="7" s="1"/>
  <c r="AM32" i="2" s="1"/>
  <c r="AC12" i="6"/>
  <c r="AH29" i="2"/>
  <c r="Q31" i="6"/>
  <c r="Z62" i="2"/>
  <c r="P30" i="6"/>
  <c r="P31" i="6" s="1"/>
  <c r="Y25" i="6"/>
  <c r="Y19" i="6"/>
  <c r="Y20" i="6" s="1"/>
  <c r="AB13" i="6"/>
  <c r="AB14" i="6" s="1"/>
  <c r="AB51" i="6"/>
  <c r="Y26" i="6" s="1"/>
  <c r="Y27" i="6" s="1"/>
  <c r="U57" i="6"/>
  <c r="AG42" i="2" s="1"/>
  <c r="U56" i="6"/>
  <c r="AG41" i="2" s="1"/>
  <c r="U55" i="6"/>
  <c r="AG40" i="2" s="1"/>
  <c r="U54" i="6"/>
  <c r="AG39" i="2" s="1"/>
  <c r="N54" i="5"/>
  <c r="V50" i="5" s="1"/>
  <c r="AM13" i="2" s="1"/>
  <c r="AC12" i="5"/>
  <c r="AM7" i="2"/>
  <c r="O54" i="5"/>
  <c r="W50" i="5" s="1"/>
  <c r="AN13" i="2" s="1"/>
  <c r="Q31" i="5"/>
  <c r="Z61" i="2"/>
  <c r="N52" i="5"/>
  <c r="V48" i="5" s="1"/>
  <c r="AM11" i="2" s="1"/>
  <c r="N56" i="5"/>
  <c r="V52" i="5" s="1"/>
  <c r="AM15" i="2" s="1"/>
  <c r="O52" i="5"/>
  <c r="W48" i="5" s="1"/>
  <c r="AN11" i="2" s="1"/>
  <c r="U57" i="5"/>
  <c r="AL20" i="2" s="1"/>
  <c r="U56" i="5"/>
  <c r="AL19" i="2" s="1"/>
  <c r="U55" i="5"/>
  <c r="AL18" i="2" s="1"/>
  <c r="U54" i="5"/>
  <c r="AL17" i="2" s="1"/>
  <c r="O26" i="5"/>
  <c r="N50" i="5"/>
  <c r="V46" i="5" s="1"/>
  <c r="AM9" i="2" s="1"/>
  <c r="N53" i="5"/>
  <c r="V49" i="5" s="1"/>
  <c r="AM12" i="2" s="1"/>
  <c r="N55" i="5"/>
  <c r="V51" i="5" s="1"/>
  <c r="AM14" i="2" s="1"/>
  <c r="N57" i="5"/>
  <c r="V53" i="5" s="1"/>
  <c r="N51" i="5"/>
  <c r="V47" i="5" s="1"/>
  <c r="AM10" i="2" s="1"/>
  <c r="O56" i="5"/>
  <c r="W52" i="5" s="1"/>
  <c r="AN15" i="2" s="1"/>
  <c r="O53" i="5"/>
  <c r="W49" i="5" s="1"/>
  <c r="AN12" i="2" s="1"/>
  <c r="P30" i="5"/>
  <c r="P31" i="5" s="1"/>
  <c r="Y25" i="5"/>
  <c r="Y19" i="5"/>
  <c r="Y20" i="5" s="1"/>
  <c r="AB13" i="5"/>
  <c r="AB14" i="5" s="1"/>
  <c r="AB51" i="5"/>
  <c r="Y26" i="5" s="1"/>
  <c r="Y27" i="5" s="1"/>
  <c r="AC27" i="5"/>
  <c r="AD27" i="5" s="1"/>
  <c r="AB34" i="5" s="1"/>
  <c r="AB35" i="5" s="1"/>
  <c r="O51" i="5"/>
  <c r="W47" i="5" s="1"/>
  <c r="AN10" i="2" s="1"/>
  <c r="O57" i="5"/>
  <c r="W53" i="5" s="1"/>
  <c r="AN16" i="2" s="1"/>
  <c r="Z45" i="2" s="1"/>
  <c r="O49" i="5"/>
  <c r="W45" i="5" s="1"/>
  <c r="AN8" i="2" s="1"/>
  <c r="Y45" i="2" s="1"/>
  <c r="O50" i="5"/>
  <c r="W46" i="5" s="1"/>
  <c r="AN9" i="2" s="1"/>
  <c r="O55" i="5"/>
  <c r="W51" i="5" s="1"/>
  <c r="AN14" i="2" s="1"/>
  <c r="N22" i="4"/>
  <c r="P26" i="4"/>
  <c r="Z60" i="2" s="1"/>
  <c r="W41" i="4"/>
  <c r="AI4" i="2" s="1"/>
  <c r="S42" i="4"/>
  <c r="W55" i="4" s="1"/>
  <c r="AI18" i="2" s="1"/>
  <c r="S43" i="4"/>
  <c r="W56" i="4" s="1"/>
  <c r="AI19" i="2" s="1"/>
  <c r="W42" i="4"/>
  <c r="AI5" i="2" s="1"/>
  <c r="V42" i="4"/>
  <c r="AH5" i="2" s="1"/>
  <c r="Y25" i="4"/>
  <c r="AB51" i="4"/>
  <c r="Y26" i="4" s="1"/>
  <c r="W43" i="4"/>
  <c r="AI6" i="2" s="1"/>
  <c r="V43" i="4"/>
  <c r="AH6" i="2" s="1"/>
  <c r="P30" i="4"/>
  <c r="P31" i="4" s="1"/>
  <c r="U53" i="4"/>
  <c r="AG16" i="2" s="1"/>
  <c r="AF7" i="2"/>
  <c r="U51" i="4"/>
  <c r="AG14" i="2" s="1"/>
  <c r="N44" i="4"/>
  <c r="U46" i="4"/>
  <c r="AG9" i="2" s="1"/>
  <c r="U47" i="4"/>
  <c r="AG10" i="2" s="1"/>
  <c r="U49" i="4"/>
  <c r="AG12" i="2" s="1"/>
  <c r="Y19" i="4"/>
  <c r="Y20" i="4" s="1"/>
  <c r="O44" i="4"/>
  <c r="U48" i="4"/>
  <c r="AG11" i="2" s="1"/>
  <c r="U50" i="4"/>
  <c r="AG13" i="2" s="1"/>
  <c r="U52" i="4"/>
  <c r="AG15" i="2" s="1"/>
  <c r="U45" i="4"/>
  <c r="AG8" i="2" s="1"/>
  <c r="AB13" i="4"/>
  <c r="AB14" i="4" s="1"/>
  <c r="Z14" i="4"/>
  <c r="Z11" i="5" s="1"/>
  <c r="N56" i="6" l="1"/>
  <c r="V52" i="6" s="1"/>
  <c r="AH37" i="2" s="1"/>
  <c r="O55" i="6"/>
  <c r="W51" i="6" s="1"/>
  <c r="AI36" i="2" s="1"/>
  <c r="O26" i="6"/>
  <c r="Y62" i="2" s="1"/>
  <c r="O50" i="6"/>
  <c r="W46" i="6" s="1"/>
  <c r="AI31" i="2" s="1"/>
  <c r="O51" i="6"/>
  <c r="W47" i="6" s="1"/>
  <c r="AI32" i="2" s="1"/>
  <c r="N52" i="6"/>
  <c r="V48" i="6" s="1"/>
  <c r="AH33" i="2" s="1"/>
  <c r="O57" i="6"/>
  <c r="W53" i="6" s="1"/>
  <c r="AI38" i="2" s="1"/>
  <c r="Z48" i="2" s="1"/>
  <c r="O53" i="6"/>
  <c r="W49" i="6" s="1"/>
  <c r="AI34" i="2" s="1"/>
  <c r="AC27" i="6"/>
  <c r="AD27" i="6" s="1"/>
  <c r="AB34" i="6" s="1"/>
  <c r="AB35" i="6" s="1"/>
  <c r="N53" i="6"/>
  <c r="V49" i="6" s="1"/>
  <c r="AH34" i="2" s="1"/>
  <c r="O26" i="4"/>
  <c r="Y60" i="2" s="1"/>
  <c r="N51" i="6"/>
  <c r="V47" i="6" s="1"/>
  <c r="AH32" i="2" s="1"/>
  <c r="N49" i="6"/>
  <c r="V45" i="6" s="1"/>
  <c r="AH30" i="2" s="1"/>
  <c r="N54" i="6"/>
  <c r="V50" i="6" s="1"/>
  <c r="AH35" i="2" s="1"/>
  <c r="O56" i="6"/>
  <c r="W52" i="6" s="1"/>
  <c r="AI37" i="2" s="1"/>
  <c r="O54" i="6"/>
  <c r="W50" i="6" s="1"/>
  <c r="AI35" i="2" s="1"/>
  <c r="O52" i="6"/>
  <c r="W48" i="6" s="1"/>
  <c r="AI33" i="2" s="1"/>
  <c r="O49" i="6"/>
  <c r="W45" i="6" s="1"/>
  <c r="AI30" i="2" s="1"/>
  <c r="Y48" i="2" s="1"/>
  <c r="N50" i="6"/>
  <c r="V46" i="6" s="1"/>
  <c r="AH31" i="2" s="1"/>
  <c r="N57" i="6"/>
  <c r="V53" i="6" s="1"/>
  <c r="AC14" i="6" s="1"/>
  <c r="AK7" i="2"/>
  <c r="AF51" i="2"/>
  <c r="AK29" i="2"/>
  <c r="AF29" i="2"/>
  <c r="AC14" i="8"/>
  <c r="AH60" i="2"/>
  <c r="N31" i="8"/>
  <c r="Y64" i="2"/>
  <c r="Y29" i="8"/>
  <c r="Y28" i="8"/>
  <c r="AE27" i="8"/>
  <c r="AC35" i="8" s="1"/>
  <c r="AC14" i="7"/>
  <c r="AM38" i="2"/>
  <c r="N31" i="7"/>
  <c r="Y63" i="2"/>
  <c r="AE27" i="7"/>
  <c r="AC35" i="7" s="1"/>
  <c r="Y29" i="7"/>
  <c r="Y28" i="7"/>
  <c r="N31" i="6"/>
  <c r="Y29" i="6"/>
  <c r="Y28" i="6"/>
  <c r="AC14" i="5"/>
  <c r="AM16" i="2"/>
  <c r="N31" i="5"/>
  <c r="Y61" i="2"/>
  <c r="Z25" i="5"/>
  <c r="Z18" i="5"/>
  <c r="Z15" i="5"/>
  <c r="Z12" i="5"/>
  <c r="Z13" i="5" s="1"/>
  <c r="Z14" i="5" s="1"/>
  <c r="AE27" i="5"/>
  <c r="AC35" i="5" s="1"/>
  <c r="Y29" i="5"/>
  <c r="Y28" i="5"/>
  <c r="AF12" i="2"/>
  <c r="W44" i="4"/>
  <c r="AI7" i="2" s="1"/>
  <c r="X42" i="2" s="1"/>
  <c r="V44" i="4"/>
  <c r="AH7" i="2" s="1"/>
  <c r="U56" i="4"/>
  <c r="U54" i="4"/>
  <c r="AG17" i="2" s="1"/>
  <c r="AF17" i="2" s="1"/>
  <c r="U55" i="4"/>
  <c r="U57" i="4"/>
  <c r="AF16" i="2"/>
  <c r="AF9" i="2"/>
  <c r="AF10" i="2"/>
  <c r="AF14" i="2"/>
  <c r="AF8" i="2"/>
  <c r="AF15" i="2"/>
  <c r="AF11" i="2"/>
  <c r="AF13" i="2"/>
  <c r="AE27" i="6" l="1"/>
  <c r="AC35" i="6" s="1"/>
  <c r="AH38" i="2"/>
  <c r="AK8" i="2"/>
  <c r="AK30" i="2"/>
  <c r="AF30" i="2"/>
  <c r="AF52" i="2"/>
  <c r="AK10" i="2"/>
  <c r="AK32" i="2"/>
  <c r="AF32" i="2"/>
  <c r="AF54" i="2"/>
  <c r="AK13" i="2"/>
  <c r="AF57" i="2"/>
  <c r="AK35" i="2"/>
  <c r="AF35" i="2"/>
  <c r="AK15" i="2"/>
  <c r="AF59" i="2"/>
  <c r="AK37" i="2"/>
  <c r="AF37" i="2"/>
  <c r="AK14" i="2"/>
  <c r="AK36" i="2"/>
  <c r="AF36" i="2"/>
  <c r="AF58" i="2"/>
  <c r="AK9" i="2"/>
  <c r="AF53" i="2"/>
  <c r="AK31" i="2"/>
  <c r="AF31" i="2"/>
  <c r="AK17" i="2"/>
  <c r="AF61" i="2"/>
  <c r="AK39" i="2"/>
  <c r="AF39" i="2"/>
  <c r="AK12" i="2"/>
  <c r="AK34" i="2"/>
  <c r="AF34" i="2"/>
  <c r="AF56" i="2"/>
  <c r="AK11" i="2"/>
  <c r="AF55" i="2"/>
  <c r="AK33" i="2"/>
  <c r="AF33" i="2"/>
  <c r="AK16" i="2"/>
  <c r="AK38" i="2"/>
  <c r="AF38" i="2"/>
  <c r="AF60" i="2"/>
  <c r="Z22" i="5"/>
  <c r="Z19" i="5"/>
  <c r="Z20" i="5" s="1"/>
  <c r="Z21" i="5" s="1"/>
  <c r="Z29" i="5"/>
  <c r="Z26" i="5"/>
  <c r="Z27" i="5" s="1"/>
  <c r="Z28" i="5" s="1"/>
  <c r="AG18" i="2"/>
  <c r="AF18" i="2" s="1"/>
  <c r="AG19" i="2"/>
  <c r="AF19" i="2" s="1"/>
  <c r="AG20" i="2"/>
  <c r="AF20" i="2" s="1"/>
  <c r="AC12" i="4"/>
  <c r="AC27" i="4"/>
  <c r="AE27" i="4" s="1"/>
  <c r="AC35" i="4" s="1"/>
  <c r="AK19" i="2" l="1"/>
  <c r="AF63" i="2"/>
  <c r="AK41" i="2"/>
  <c r="AF41" i="2"/>
  <c r="AK20" i="2"/>
  <c r="AK42" i="2"/>
  <c r="AF42" i="2"/>
  <c r="AF64" i="2"/>
  <c r="AK18" i="2"/>
  <c r="AK40" i="2"/>
  <c r="AF40" i="2"/>
  <c r="AF62" i="2"/>
  <c r="Z11" i="6"/>
  <c r="Y29" i="4"/>
  <c r="Y28" i="4"/>
  <c r="Y27" i="4"/>
  <c r="Z25" i="6" l="1"/>
  <c r="Z15" i="6"/>
  <c r="Z12" i="6"/>
  <c r="Z13" i="6" s="1"/>
  <c r="Z14" i="6" s="1"/>
  <c r="Z18" i="6"/>
  <c r="Z19" i="6" l="1"/>
  <c r="Z20" i="6" s="1"/>
  <c r="Z21" i="6" s="1"/>
  <c r="Z22" i="6"/>
  <c r="Z26" i="6"/>
  <c r="Z27" i="6" s="1"/>
  <c r="Z28" i="6" s="1"/>
  <c r="Z29" i="6"/>
  <c r="O49" i="4"/>
  <c r="AD27" i="4"/>
  <c r="AB34" i="4" s="1"/>
  <c r="AB35" i="4" s="1"/>
  <c r="N54" i="4"/>
  <c r="O53" i="4"/>
  <c r="O56" i="4"/>
  <c r="O50" i="4"/>
  <c r="O54" i="4"/>
  <c r="N49" i="4"/>
  <c r="N56" i="4"/>
  <c r="N53" i="4"/>
  <c r="O51" i="4"/>
  <c r="O55" i="4"/>
  <c r="O52" i="4"/>
  <c r="O57" i="4"/>
  <c r="N51" i="4"/>
  <c r="N55" i="4"/>
  <c r="N57" i="4"/>
  <c r="N50" i="4"/>
  <c r="N52" i="4"/>
  <c r="Z11" i="7" l="1"/>
  <c r="Z25" i="7" s="1"/>
  <c r="V51" i="4"/>
  <c r="AH14" i="2" s="1"/>
  <c r="W51" i="4"/>
  <c r="AI14" i="2" s="1"/>
  <c r="V49" i="4"/>
  <c r="AH12" i="2" s="1"/>
  <c r="V45" i="4"/>
  <c r="AH8" i="2" s="1"/>
  <c r="W49" i="4"/>
  <c r="AI12" i="2" s="1"/>
  <c r="V48" i="4"/>
  <c r="AH11" i="2" s="1"/>
  <c r="V53" i="4"/>
  <c r="AH16" i="2" s="1"/>
  <c r="V47" i="4"/>
  <c r="AH10" i="2" s="1"/>
  <c r="W48" i="4"/>
  <c r="AI11" i="2" s="1"/>
  <c r="W47" i="4"/>
  <c r="AI10" i="2" s="1"/>
  <c r="V52" i="4"/>
  <c r="AH15" i="2" s="1"/>
  <c r="W50" i="4"/>
  <c r="AI13" i="2" s="1"/>
  <c r="W52" i="4"/>
  <c r="AI15" i="2" s="1"/>
  <c r="V50" i="4"/>
  <c r="AH13" i="2" s="1"/>
  <c r="W45" i="4"/>
  <c r="AI8" i="2" s="1"/>
  <c r="Y42" i="2" s="1"/>
  <c r="V46" i="4"/>
  <c r="AH9" i="2" s="1"/>
  <c r="W53" i="4"/>
  <c r="AI16" i="2" s="1"/>
  <c r="Z42" i="2" s="1"/>
  <c r="W46" i="4"/>
  <c r="AI9" i="2" s="1"/>
  <c r="Q31" i="4"/>
  <c r="N31" i="4"/>
  <c r="AC14" i="4"/>
  <c r="Z18" i="7" l="1"/>
  <c r="Z22" i="7" s="1"/>
  <c r="Z15" i="7"/>
  <c r="Z12" i="7"/>
  <c r="Z13" i="7" s="1"/>
  <c r="Z14" i="7" s="1"/>
  <c r="Z26" i="7"/>
  <c r="Z27" i="7" s="1"/>
  <c r="Z28" i="7" s="1"/>
  <c r="Z29" i="7"/>
  <c r="Z19" i="7" l="1"/>
  <c r="Z20" i="7" s="1"/>
  <c r="Z21" i="7" s="1"/>
  <c r="Z11" i="8" l="1"/>
  <c r="Z25" i="8" s="1"/>
  <c r="Z12" i="8" l="1"/>
  <c r="Z13" i="8" s="1"/>
  <c r="Z14" i="8" s="1"/>
  <c r="Z15" i="8"/>
  <c r="Z18" i="8"/>
  <c r="Z22" i="8" s="1"/>
  <c r="Z29" i="8"/>
  <c r="Z26" i="8"/>
  <c r="Z27" i="8" s="1"/>
  <c r="Z28" i="8" s="1"/>
  <c r="Z19" i="8" l="1"/>
  <c r="Z20" i="8" s="1"/>
  <c r="Z21" i="8" s="1"/>
</calcChain>
</file>

<file path=xl/sharedStrings.xml><?xml version="1.0" encoding="utf-8"?>
<sst xmlns="http://schemas.openxmlformats.org/spreadsheetml/2006/main" count="2960" uniqueCount="476">
  <si>
    <t>R1</t>
  </si>
  <si>
    <t>R2</t>
  </si>
  <si>
    <t>x</t>
  </si>
  <si>
    <t>M(x)</t>
  </si>
  <si>
    <t>T(x)</t>
  </si>
  <si>
    <t>y</t>
  </si>
  <si>
    <t>trave</t>
  </si>
  <si>
    <t>M2</t>
  </si>
  <si>
    <t>T1s</t>
  </si>
  <si>
    <t>T1d</t>
  </si>
  <si>
    <t>T2s</t>
  </si>
  <si>
    <t>T2d</t>
  </si>
  <si>
    <t>M1</t>
  </si>
  <si>
    <t>momento flettente taglio s-1</t>
  </si>
  <si>
    <t>momento flettente e taglio 1-2</t>
  </si>
  <si>
    <t>momento flettente e taglio</t>
  </si>
  <si>
    <t>carico qs</t>
  </si>
  <si>
    <t>carico q12</t>
  </si>
  <si>
    <t>carico qd</t>
  </si>
  <si>
    <t>vettore reazioni vincolari R1</t>
  </si>
  <si>
    <t>vettore reazioni vincolari R2</t>
  </si>
  <si>
    <t>momento massimo in campata</t>
  </si>
  <si>
    <t>camp.</t>
  </si>
  <si>
    <t>1-2</t>
  </si>
  <si>
    <t>Mmax</t>
  </si>
  <si>
    <t>x(i-j)</t>
  </si>
  <si>
    <t>coord. momento appoggi</t>
  </si>
  <si>
    <t>coord. Momenti max campata</t>
  </si>
  <si>
    <t>TRAVI CONTINUE</t>
  </si>
  <si>
    <t>Lunghezze (m)</t>
  </si>
  <si>
    <t>tratto 1-2</t>
  </si>
  <si>
    <t>Moduli di elasticità "E" (un.misura) e momenti di inerzia "I" (_____) per i vari tratti</t>
  </si>
  <si>
    <r>
      <t>L</t>
    </r>
    <r>
      <rPr>
        <vertAlign val="subscript"/>
        <sz val="9"/>
        <color theme="1"/>
        <rFont val="Calibri"/>
        <family val="2"/>
        <scheme val="minor"/>
      </rPr>
      <t>s</t>
    </r>
  </si>
  <si>
    <r>
      <t>L</t>
    </r>
    <r>
      <rPr>
        <vertAlign val="subscript"/>
        <sz val="9"/>
        <color theme="1"/>
        <rFont val="Calibri"/>
        <family val="2"/>
        <scheme val="minor"/>
      </rPr>
      <t>12</t>
    </r>
  </si>
  <si>
    <r>
      <t>L</t>
    </r>
    <r>
      <rPr>
        <vertAlign val="subscript"/>
        <sz val="9"/>
        <color theme="1"/>
        <rFont val="Calibri"/>
        <family val="2"/>
        <scheme val="minor"/>
      </rPr>
      <t>d</t>
    </r>
  </si>
  <si>
    <r>
      <t>q</t>
    </r>
    <r>
      <rPr>
        <vertAlign val="subscript"/>
        <sz val="9"/>
        <color theme="1"/>
        <rFont val="Calibri"/>
        <family val="2"/>
        <scheme val="minor"/>
      </rPr>
      <t>s</t>
    </r>
  </si>
  <si>
    <r>
      <t>q</t>
    </r>
    <r>
      <rPr>
        <vertAlign val="subscript"/>
        <sz val="9"/>
        <color theme="1"/>
        <rFont val="Calibri"/>
        <family val="2"/>
        <scheme val="minor"/>
      </rPr>
      <t>12</t>
    </r>
  </si>
  <si>
    <r>
      <t>q</t>
    </r>
    <r>
      <rPr>
        <vertAlign val="subscript"/>
        <sz val="9"/>
        <color theme="1"/>
        <rFont val="Calibri"/>
        <family val="2"/>
        <scheme val="minor"/>
      </rPr>
      <t>d</t>
    </r>
  </si>
  <si>
    <r>
      <t>E</t>
    </r>
    <r>
      <rPr>
        <vertAlign val="subscript"/>
        <sz val="9"/>
        <color theme="1"/>
        <rFont val="Calibri"/>
        <family val="2"/>
        <scheme val="minor"/>
      </rPr>
      <t>12</t>
    </r>
  </si>
  <si>
    <r>
      <t>I</t>
    </r>
    <r>
      <rPr>
        <vertAlign val="subscript"/>
        <sz val="9"/>
        <color theme="1"/>
        <rFont val="Calibri"/>
        <family val="2"/>
        <scheme val="minor"/>
      </rPr>
      <t>12</t>
    </r>
  </si>
  <si>
    <r>
      <t>E</t>
    </r>
    <r>
      <rPr>
        <vertAlign val="subscript"/>
        <sz val="9"/>
        <color theme="1"/>
        <rFont val="Calibri"/>
        <family val="2"/>
        <scheme val="minor"/>
      </rPr>
      <t>12</t>
    </r>
    <r>
      <rPr>
        <sz val="9"/>
        <color theme="1"/>
        <rFont val="Calibri"/>
        <family val="2"/>
        <scheme val="minor"/>
      </rPr>
      <t>*I</t>
    </r>
    <r>
      <rPr>
        <vertAlign val="subscript"/>
        <sz val="9"/>
        <color theme="1"/>
        <rFont val="Calibri"/>
        <family val="2"/>
        <scheme val="minor"/>
      </rPr>
      <t>12</t>
    </r>
  </si>
  <si>
    <t>Carichi (kN/m)</t>
  </si>
  <si>
    <t>car.1</t>
  </si>
  <si>
    <t>car.2</t>
  </si>
  <si>
    <t>car.3</t>
  </si>
  <si>
    <t>car.4</t>
  </si>
  <si>
    <t>car.5</t>
  </si>
  <si>
    <t>vincolo 1</t>
  </si>
  <si>
    <t>vincolo 2</t>
  </si>
  <si>
    <t>cond. car.1</t>
  </si>
  <si>
    <t>cond. car.2</t>
  </si>
  <si>
    <t>cond. car.3</t>
  </si>
  <si>
    <t>cond. car.4</t>
  </si>
  <si>
    <t>cond. car.5</t>
  </si>
  <si>
    <r>
      <t>x</t>
    </r>
    <r>
      <rPr>
        <vertAlign val="subscript"/>
        <sz val="9"/>
        <color theme="1"/>
        <rFont val="Calibri"/>
        <family val="2"/>
        <scheme val="minor"/>
      </rPr>
      <t>parz.</t>
    </r>
  </si>
  <si>
    <r>
      <t>x</t>
    </r>
    <r>
      <rPr>
        <vertAlign val="subscript"/>
        <sz val="9"/>
        <color theme="1"/>
        <rFont val="Calibri"/>
        <family val="2"/>
        <scheme val="minor"/>
      </rPr>
      <t>prog.</t>
    </r>
  </si>
  <si>
    <t>sbalzo sinistro</t>
  </si>
  <si>
    <t>sbalzo destro</t>
  </si>
  <si>
    <t>Momento flettente e Taglio - cond. car. 1</t>
  </si>
  <si>
    <t>(m)</t>
  </si>
  <si>
    <t>(kN*m)</t>
  </si>
  <si>
    <t>kN</t>
  </si>
  <si>
    <t>Momento flettente e Taglio - cond. car. 2</t>
  </si>
  <si>
    <t>Momento flettente e Taglio - cond. car. 3</t>
  </si>
  <si>
    <t>Momento flettente e Taglio - cond. car. 4</t>
  </si>
  <si>
    <t>Momento flettente e Taglio - cond. car. 5</t>
  </si>
  <si>
    <t>Taglio sugli appoggi</t>
  </si>
  <si>
    <t>(kN)</t>
  </si>
  <si>
    <t>Reazioni vincolari</t>
  </si>
  <si>
    <t>momento flettente e taglio 4-d</t>
  </si>
  <si>
    <r>
      <t>L</t>
    </r>
    <r>
      <rPr>
        <vertAlign val="subscript"/>
        <sz val="9"/>
        <color theme="1"/>
        <rFont val="Calibri"/>
        <family val="2"/>
        <scheme val="minor"/>
      </rPr>
      <t>23</t>
    </r>
  </si>
  <si>
    <r>
      <t>q</t>
    </r>
    <r>
      <rPr>
        <vertAlign val="subscript"/>
        <sz val="9"/>
        <color theme="1"/>
        <rFont val="Calibri"/>
        <family val="2"/>
        <scheme val="minor"/>
      </rPr>
      <t>23</t>
    </r>
  </si>
  <si>
    <t>tratto 2-3</t>
  </si>
  <si>
    <r>
      <t>E</t>
    </r>
    <r>
      <rPr>
        <vertAlign val="subscript"/>
        <sz val="9"/>
        <color theme="1"/>
        <rFont val="Calibri"/>
        <family val="2"/>
        <scheme val="minor"/>
      </rPr>
      <t>23</t>
    </r>
  </si>
  <si>
    <r>
      <t>I</t>
    </r>
    <r>
      <rPr>
        <vertAlign val="subscript"/>
        <sz val="9"/>
        <color theme="1"/>
        <rFont val="Calibri"/>
        <family val="2"/>
        <scheme val="minor"/>
      </rPr>
      <t>23</t>
    </r>
  </si>
  <si>
    <r>
      <t>E</t>
    </r>
    <r>
      <rPr>
        <vertAlign val="subscript"/>
        <sz val="9"/>
        <color theme="1"/>
        <rFont val="Calibri"/>
        <family val="2"/>
        <scheme val="minor"/>
      </rPr>
      <t>23</t>
    </r>
    <r>
      <rPr>
        <sz val="9"/>
        <color theme="1"/>
        <rFont val="Calibri"/>
        <family val="2"/>
        <scheme val="minor"/>
      </rPr>
      <t>*I</t>
    </r>
    <r>
      <rPr>
        <vertAlign val="subscript"/>
        <sz val="9"/>
        <color theme="1"/>
        <rFont val="Calibri"/>
        <family val="2"/>
        <scheme val="minor"/>
      </rPr>
      <t>23</t>
    </r>
  </si>
  <si>
    <t>T3s</t>
  </si>
  <si>
    <t>T3d</t>
  </si>
  <si>
    <t>R3</t>
  </si>
  <si>
    <t>a</t>
  </si>
  <si>
    <t>M3</t>
  </si>
  <si>
    <t>carico q23</t>
  </si>
  <si>
    <t>2-3</t>
  </si>
  <si>
    <t>vettore reazioni vincolari R3</t>
  </si>
  <si>
    <t>momento flettente e taglio 2-3</t>
  </si>
  <si>
    <t>vincolo 3</t>
  </si>
  <si>
    <r>
      <t>L</t>
    </r>
    <r>
      <rPr>
        <vertAlign val="subscript"/>
        <sz val="9"/>
        <color theme="1"/>
        <rFont val="Calibri"/>
        <family val="2"/>
        <scheme val="minor"/>
      </rPr>
      <t>34</t>
    </r>
  </si>
  <si>
    <r>
      <t>q</t>
    </r>
    <r>
      <rPr>
        <vertAlign val="subscript"/>
        <sz val="9"/>
        <color theme="1"/>
        <rFont val="Calibri"/>
        <family val="2"/>
        <scheme val="minor"/>
      </rPr>
      <t>34</t>
    </r>
  </si>
  <si>
    <t>tratto 3-4</t>
  </si>
  <si>
    <r>
      <t>E</t>
    </r>
    <r>
      <rPr>
        <vertAlign val="subscript"/>
        <sz val="9"/>
        <color theme="1"/>
        <rFont val="Calibri"/>
        <family val="2"/>
        <scheme val="minor"/>
      </rPr>
      <t>34</t>
    </r>
  </si>
  <si>
    <r>
      <t>I</t>
    </r>
    <r>
      <rPr>
        <vertAlign val="subscript"/>
        <sz val="9"/>
        <color theme="1"/>
        <rFont val="Calibri"/>
        <family val="2"/>
        <scheme val="minor"/>
      </rPr>
      <t>34</t>
    </r>
  </si>
  <si>
    <r>
      <t>E</t>
    </r>
    <r>
      <rPr>
        <vertAlign val="subscript"/>
        <sz val="9"/>
        <color theme="1"/>
        <rFont val="Calibri"/>
        <family val="2"/>
        <scheme val="minor"/>
      </rPr>
      <t>34</t>
    </r>
    <r>
      <rPr>
        <sz val="9"/>
        <color theme="1"/>
        <rFont val="Calibri"/>
        <family val="2"/>
        <scheme val="minor"/>
      </rPr>
      <t>*I</t>
    </r>
    <r>
      <rPr>
        <vertAlign val="subscript"/>
        <sz val="9"/>
        <color theme="1"/>
        <rFont val="Calibri"/>
        <family val="2"/>
        <scheme val="minor"/>
      </rPr>
      <t>34</t>
    </r>
  </si>
  <si>
    <t>T4s</t>
  </si>
  <si>
    <t>T4d</t>
  </si>
  <si>
    <t>R4</t>
  </si>
  <si>
    <t>matC</t>
  </si>
  <si>
    <t>matCinv</t>
  </si>
  <si>
    <t>matN</t>
  </si>
  <si>
    <t>b</t>
  </si>
  <si>
    <t>M4</t>
  </si>
  <si>
    <t>matM</t>
  </si>
  <si>
    <t>3-4</t>
  </si>
  <si>
    <t>carico q34</t>
  </si>
  <si>
    <t>vettore reazioni vincolari R4</t>
  </si>
  <si>
    <t>momento flettente e taglio 3-4</t>
  </si>
  <si>
    <t>vincolo 4</t>
  </si>
  <si>
    <r>
      <t>L</t>
    </r>
    <r>
      <rPr>
        <vertAlign val="subscript"/>
        <sz val="9"/>
        <color theme="1"/>
        <rFont val="Calibri"/>
        <family val="2"/>
        <scheme val="minor"/>
      </rPr>
      <t>45</t>
    </r>
  </si>
  <si>
    <r>
      <t>q</t>
    </r>
    <r>
      <rPr>
        <vertAlign val="subscript"/>
        <sz val="9"/>
        <color theme="1"/>
        <rFont val="Calibri"/>
        <family val="2"/>
        <scheme val="minor"/>
      </rPr>
      <t>45</t>
    </r>
  </si>
  <si>
    <t>tratto 4-5</t>
  </si>
  <si>
    <r>
      <t>E</t>
    </r>
    <r>
      <rPr>
        <vertAlign val="subscript"/>
        <sz val="9"/>
        <color theme="1"/>
        <rFont val="Calibri"/>
        <family val="2"/>
        <scheme val="minor"/>
      </rPr>
      <t>45</t>
    </r>
  </si>
  <si>
    <r>
      <t>I</t>
    </r>
    <r>
      <rPr>
        <vertAlign val="subscript"/>
        <sz val="9"/>
        <color theme="1"/>
        <rFont val="Calibri"/>
        <family val="2"/>
        <scheme val="minor"/>
      </rPr>
      <t>45</t>
    </r>
  </si>
  <si>
    <r>
      <t>E</t>
    </r>
    <r>
      <rPr>
        <vertAlign val="subscript"/>
        <sz val="9"/>
        <color theme="1"/>
        <rFont val="Calibri"/>
        <family val="2"/>
        <scheme val="minor"/>
      </rPr>
      <t>45</t>
    </r>
    <r>
      <rPr>
        <sz val="9"/>
        <color theme="1"/>
        <rFont val="Calibri"/>
        <family val="2"/>
        <scheme val="minor"/>
      </rPr>
      <t>*I</t>
    </r>
    <r>
      <rPr>
        <vertAlign val="subscript"/>
        <sz val="9"/>
        <color theme="1"/>
        <rFont val="Calibri"/>
        <family val="2"/>
        <scheme val="minor"/>
      </rPr>
      <t>45</t>
    </r>
  </si>
  <si>
    <t>T5s</t>
  </si>
  <si>
    <t>T5d</t>
  </si>
  <si>
    <t>R5</t>
  </si>
  <si>
    <t>c</t>
  </si>
  <si>
    <t>M5</t>
  </si>
  <si>
    <t>4-5</t>
  </si>
  <si>
    <t>vettore reazioni vincolari R5</t>
  </si>
  <si>
    <t>carico q45</t>
  </si>
  <si>
    <t>momento flettente e taglio 4-5</t>
  </si>
  <si>
    <t>momento flettente e taglio 5-d</t>
  </si>
  <si>
    <t>vincolo 5</t>
  </si>
  <si>
    <t>TRAVE AD UNA CAMPATA</t>
  </si>
  <si>
    <t>acciaio</t>
  </si>
  <si>
    <t>h</t>
  </si>
  <si>
    <t>Peso</t>
  </si>
  <si>
    <t>Sezione</t>
  </si>
  <si>
    <t>Momenti di inerzia</t>
  </si>
  <si>
    <t>Moduli di resistenza</t>
  </si>
  <si>
    <t>Raggi di inerzia</t>
  </si>
  <si>
    <t>mm</t>
  </si>
  <si>
    <t>kg/m</t>
  </si>
  <si>
    <t>cm2</t>
  </si>
  <si>
    <t>Jx</t>
  </si>
  <si>
    <t>Jy</t>
  </si>
  <si>
    <t>Wx</t>
  </si>
  <si>
    <t>Wy</t>
  </si>
  <si>
    <r>
      <t>i</t>
    </r>
    <r>
      <rPr>
        <b/>
        <sz val="9"/>
        <color theme="1"/>
        <rFont val="Calibri"/>
        <family val="2"/>
        <scheme val="minor"/>
      </rPr>
      <t>x</t>
    </r>
  </si>
  <si>
    <r>
      <t>i</t>
    </r>
    <r>
      <rPr>
        <b/>
        <sz val="9"/>
        <color theme="1"/>
        <rFont val="Calibri"/>
        <family val="2"/>
        <scheme val="minor"/>
      </rPr>
      <t>y</t>
    </r>
  </si>
  <si>
    <t>cm4</t>
  </si>
  <si>
    <t>cm3</t>
  </si>
  <si>
    <t>cm</t>
  </si>
  <si>
    <t>IPE 80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</si>
  <si>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</si>
  <si>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</si>
  <si>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</si>
  <si>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</si>
  <si>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</si>
  <si>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</si>
  <si>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</si>
  <si>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</si>
  <si>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</si>
  <si>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</si>
  <si>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</si>
  <si>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</si>
  <si>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</si>
  <si>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</si>
  <si>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</si>
  <si>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</si>
  <si>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</si>
  <si>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INP 80</t>
  </si>
  <si>
    <t>INP 100</t>
  </si>
  <si>
    <t>INP 120</t>
  </si>
  <si>
    <t>INP 140</t>
  </si>
  <si>
    <t>INP 160</t>
  </si>
  <si>
    <t>INP 180</t>
  </si>
  <si>
    <t>INP 200</t>
  </si>
  <si>
    <t>INP 220</t>
  </si>
  <si>
    <t>INP 240</t>
  </si>
  <si>
    <t>INP 260</t>
  </si>
  <si>
    <t>INP 280</t>
  </si>
  <si>
    <t>INP 300</t>
  </si>
  <si>
    <t>INP 320</t>
  </si>
  <si>
    <t>INP 340</t>
  </si>
  <si>
    <t>INP 360</t>
  </si>
  <si>
    <t>INP 380</t>
  </si>
  <si>
    <t>INP 400</t>
  </si>
  <si>
    <t>INP 450</t>
  </si>
  <si>
    <t>INP 500</t>
  </si>
  <si>
    <t>INP 550</t>
  </si>
  <si>
    <t>INP 600</t>
  </si>
  <si>
    <t>HEA 100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</si>
  <si>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</si>
  <si>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</si>
  <si>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</si>
  <si>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</si>
  <si>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</si>
  <si>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</si>
  <si>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</si>
  <si>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</si>
  <si>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</si>
  <si>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</si>
  <si>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</si>
  <si>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</si>
  <si>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</si>
  <si>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</si>
  <si>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</si>
  <si>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</si>
  <si>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</si>
  <si>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</si>
  <si>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</si>
  <si>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</si>
  <si>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</si>
  <si>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</si>
  <si>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HEA 1000</t>
  </si>
  <si>
    <t>HEB 100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</si>
  <si>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</si>
  <si>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</si>
  <si>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</si>
  <si>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</si>
  <si>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</si>
  <si>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</si>
  <si>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</si>
  <si>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</si>
  <si>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</si>
  <si>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</si>
  <si>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</si>
  <si>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</si>
  <si>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</si>
  <si>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</si>
  <si>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</si>
  <si>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</si>
  <si>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</si>
  <si>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</si>
  <si>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</si>
  <si>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</si>
  <si>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</si>
  <si>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</si>
  <si>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HEB 1000</t>
  </si>
  <si>
    <t>HEM 100</t>
  </si>
  <si>
    <t>HEM 120</t>
  </si>
  <si>
    <t>HEM 140</t>
  </si>
  <si>
    <t>HEM 160</t>
  </si>
  <si>
    <t>HEM 180</t>
  </si>
  <si>
    <t>HEM 200</t>
  </si>
  <si>
    <t>HEM 220</t>
  </si>
  <si>
    <t>HEM 240</t>
  </si>
  <si>
    <t>HEM 260</t>
  </si>
  <si>
    <t>HEM 280</t>
  </si>
  <si>
    <t>HEM 300</t>
  </si>
  <si>
    <t>HEM 320</t>
  </si>
  <si>
    <t>HEM 340</t>
  </si>
  <si>
    <t>HEM 360</t>
  </si>
  <si>
    <t>HEM 400</t>
  </si>
  <si>
    <t>HEM 450</t>
  </si>
  <si>
    <t>HEM 500</t>
  </si>
  <si>
    <t>HEM 550</t>
  </si>
  <si>
    <t>HEM 600</t>
  </si>
  <si>
    <t>HEM 650</t>
  </si>
  <si>
    <t>HEM 700</t>
  </si>
  <si>
    <t>HEM 800</t>
  </si>
  <si>
    <t>HEM 900</t>
  </si>
  <si>
    <t>HEM 1000</t>
  </si>
  <si>
    <t>UPN 30</t>
  </si>
  <si>
    <t>UPN 40</t>
  </si>
  <si>
    <t>UPN 50</t>
  </si>
  <si>
    <t>UPN 65</t>
  </si>
  <si>
    <t>UPN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</si>
  <si>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</si>
  <si>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</si>
  <si>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</si>
  <si>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</si>
  <si>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</si>
  <si>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</si>
  <si>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</si>
  <si>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</si>
  <si>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</si>
  <si>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</si>
  <si>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300</t>
  </si>
  <si>
    <t>T 20</t>
  </si>
  <si>
    <t>T 25</t>
  </si>
  <si>
    <t>T 30</t>
  </si>
  <si>
    <t>T 35</t>
  </si>
  <si>
    <t>T 40</t>
  </si>
  <si>
    <t>T 45</t>
  </si>
  <si>
    <t>T 50</t>
  </si>
  <si>
    <t>T 60</t>
  </si>
  <si>
    <t>T 70</t>
  </si>
  <si>
    <t>T 80</t>
  </si>
  <si>
    <t>T 100</t>
  </si>
  <si>
    <t>s.q. 12x1,5</t>
  </si>
  <si>
    <t>s.q. 15x1,5</t>
  </si>
  <si>
    <t>s.q. 20x1,5</t>
  </si>
  <si>
    <t>s.q. 20x2</t>
  </si>
  <si>
    <t>s.q. 25x1,5</t>
  </si>
  <si>
    <t>s.q. 25x2</t>
  </si>
  <si>
    <t>s.q. 30x1,5</t>
  </si>
  <si>
    <t>s.q. 30x2</t>
  </si>
  <si>
    <t>s.q. 30x3</t>
  </si>
  <si>
    <t>s.q. 35x2</t>
  </si>
  <si>
    <t>s.q. 35x3</t>
  </si>
  <si>
    <t>s.q. 40x2</t>
  </si>
  <si>
    <t>s.q. 40x3</t>
  </si>
  <si>
    <t>s.q. 50x2</t>
  </si>
  <si>
    <t>s.q. 50x3</t>
  </si>
  <si>
    <t>s.q. 60x2</t>
  </si>
  <si>
    <t>s.q. 60x3</t>
  </si>
  <si>
    <t>s.q. 80x2</t>
  </si>
  <si>
    <t>s.q. 80x3</t>
  </si>
  <si>
    <t>s.q. 80x4</t>
  </si>
  <si>
    <t>s.q. 100x3</t>
  </si>
  <si>
    <t>s.q. 100x4</t>
  </si>
  <si>
    <t>s.q. 120x3</t>
  </si>
  <si>
    <t>s.q. 120x4</t>
  </si>
  <si>
    <t>s.q. 120x5</t>
  </si>
  <si>
    <t>s.q. 150x3</t>
  </si>
  <si>
    <t>s.q. 150x4</t>
  </si>
  <si>
    <t>s.q. 150x5</t>
  </si>
  <si>
    <t>s.q. 200x3</t>
  </si>
  <si>
    <t>s.q. 200x4</t>
  </si>
  <si>
    <t>s.q. 200x5</t>
  </si>
  <si>
    <t>s.q. 250x8</t>
  </si>
  <si>
    <t>s.q. 250x10</t>
  </si>
  <si>
    <t>s.q. 300x10</t>
  </si>
  <si>
    <t>s.q. 300x16</t>
  </si>
  <si>
    <t>s.q. 400x10</t>
  </si>
  <si>
    <t>s.q. 400x16</t>
  </si>
  <si>
    <t>scat. 20 x 10x1,05</t>
  </si>
  <si>
    <t>scat. 25 x 10x1,5</t>
  </si>
  <si>
    <t>scat. 25 x 10x2</t>
  </si>
  <si>
    <t>scat. 30 x 10x1,5</t>
  </si>
  <si>
    <t>scat. 30 x 10x2</t>
  </si>
  <si>
    <t>scat. 30 x 15x1,5</t>
  </si>
  <si>
    <t>scat. 30 x 15x2</t>
  </si>
  <si>
    <t>scat. 30 x 20x1,5</t>
  </si>
  <si>
    <t>scat. 30 x 20x2</t>
  </si>
  <si>
    <t>scat. 40 x 20x2</t>
  </si>
  <si>
    <t>scat. 40 x 20x3</t>
  </si>
  <si>
    <t>scat. 40 x 30x2</t>
  </si>
  <si>
    <t>scat. 40 x 30x3</t>
  </si>
  <si>
    <t>scat. 50 x 20x2</t>
  </si>
  <si>
    <t>scat. 50 x 20x3</t>
  </si>
  <si>
    <t>scat. 50 x 25x2</t>
  </si>
  <si>
    <t>scat. 50 x 25x3</t>
  </si>
  <si>
    <t>scat. 50 x 30x2</t>
  </si>
  <si>
    <t>scat. 50 x 30x3</t>
  </si>
  <si>
    <t>scat. 60 x 20x2</t>
  </si>
  <si>
    <t>scat. 60 x 20x3</t>
  </si>
  <si>
    <t>scat. 60 x 30x2</t>
  </si>
  <si>
    <t>scat. 60 x 30x3</t>
  </si>
  <si>
    <t>scat. 60 x 40x2</t>
  </si>
  <si>
    <t>scat. 60 x 40x3</t>
  </si>
  <si>
    <t>scat. 80 x 20x2</t>
  </si>
  <si>
    <t>scat. 80 x 20x3</t>
  </si>
  <si>
    <t>scat. 80 x 30x2</t>
  </si>
  <si>
    <t>scat. 80 x 30x3</t>
  </si>
  <si>
    <t>scat. 80 x 40x2</t>
  </si>
  <si>
    <t>scat. 80 x 40x3</t>
  </si>
  <si>
    <t>scat. 80 x 60x2</t>
  </si>
  <si>
    <t>scat. 80 x 60x3</t>
  </si>
  <si>
    <t>scat. 100 x 30x2</t>
  </si>
  <si>
    <t>scat. 100 x 30x3</t>
  </si>
  <si>
    <t>scat. 100 x 30x4</t>
  </si>
  <si>
    <t>scat. 100 x 40x2</t>
  </si>
  <si>
    <t>scat. 100 x 40x3</t>
  </si>
  <si>
    <t>scat. 100 x 40x4</t>
  </si>
  <si>
    <t>scat. 100 x 50x2</t>
  </si>
  <si>
    <t>scat. 100 x 50x3</t>
  </si>
  <si>
    <t>scat. 100 x 50x3,5</t>
  </si>
  <si>
    <t>scat. 100 x 50x4</t>
  </si>
  <si>
    <t>scat. 120 x 40x2</t>
  </si>
  <si>
    <t>scat. 120 x 40x3</t>
  </si>
  <si>
    <t>scat. 120 x 40x4</t>
  </si>
  <si>
    <t>scat. 120 x 60x2</t>
  </si>
  <si>
    <t>scat. 120 x 60x3</t>
  </si>
  <si>
    <t>scat. 120 x 60x3,5</t>
  </si>
  <si>
    <t>scat. 120 x 60x4</t>
  </si>
  <si>
    <t>scat. 150 x 60x3</t>
  </si>
  <si>
    <t>scat. 150 x 60x4</t>
  </si>
  <si>
    <t>scat. 150 x 60x5</t>
  </si>
  <si>
    <t>scat. 150 x 80x3</t>
  </si>
  <si>
    <t>scat. 150 x 80x4</t>
  </si>
  <si>
    <t>scat. 150 x 80x5</t>
  </si>
  <si>
    <t>scat. 150 x 100x3</t>
  </si>
  <si>
    <t>scat. 150 x 100x4</t>
  </si>
  <si>
    <t>scat. 150 x 100x5</t>
  </si>
  <si>
    <t>scat. 180 x 90x3</t>
  </si>
  <si>
    <t>scat. 180 x 90x4</t>
  </si>
  <si>
    <t>scat. 180 x 90x5</t>
  </si>
  <si>
    <t>scat. 200 x 100x3</t>
  </si>
  <si>
    <t>scat. 200 x 100x4</t>
  </si>
  <si>
    <t>scat. 200 x 100x5</t>
  </si>
  <si>
    <t>scat. 250 x 120x3</t>
  </si>
  <si>
    <t>scat. 250 x 120x4</t>
  </si>
  <si>
    <t>scat. 250 x 120x5</t>
  </si>
  <si>
    <t>scat. 250 x 150x3</t>
  </si>
  <si>
    <t>scat. 250 x 150x4</t>
  </si>
  <si>
    <t>scat. 250 x 150x5</t>
  </si>
  <si>
    <t>scat. 300 x 100x4</t>
  </si>
  <si>
    <t>scat. 300 x 100x5</t>
  </si>
  <si>
    <t>scat. 300 x 100x6</t>
  </si>
  <si>
    <t>Tubo 33,7 x 2,6</t>
  </si>
  <si>
    <t>Tubo 33,7 x 2,9</t>
  </si>
  <si>
    <t>Tubo 33,7 x 3,2</t>
  </si>
  <si>
    <t>Tubo 42,4 x 2,6</t>
  </si>
  <si>
    <t>Tubo 42,4 x 2,9</t>
  </si>
  <si>
    <t>Tubo 42,4 x 3,2</t>
  </si>
  <si>
    <t>Tubo 48,3 x 2,6</t>
  </si>
  <si>
    <t>Tubo 48,3 x 2,9</t>
  </si>
  <si>
    <t>Tubo 48,3 x 3,2</t>
  </si>
  <si>
    <t>Tubo 60,3 x 2,9</t>
  </si>
  <si>
    <t>Tubo 60,3 x 3,2</t>
  </si>
  <si>
    <t>Tubo 60,3 x 3,6</t>
  </si>
  <si>
    <t>Tubo 76,1 x 2,6</t>
  </si>
  <si>
    <t>Tubo 76,1 x 2,9</t>
  </si>
  <si>
    <t>Tubo 76,1 x 3,2</t>
  </si>
  <si>
    <t>Tubo 76,1 x 3,6</t>
  </si>
  <si>
    <t>Tubo 88,9 x 2,6</t>
  </si>
  <si>
    <t>Tubo 88,9 x 3,2</t>
  </si>
  <si>
    <t>Tubo 88,9 x 3,6</t>
  </si>
  <si>
    <t>Tubo 88,9 x 4,0</t>
  </si>
  <si>
    <t>Tubo 114,3 x 3,6</t>
  </si>
  <si>
    <t>Tubo 114,3 x 4,0</t>
  </si>
  <si>
    <t>Tubo 114,3 x 4,5</t>
  </si>
  <si>
    <t>Tubo 139,7 x 2,9</t>
  </si>
  <si>
    <t>Tubo 139,7 x 3,6</t>
  </si>
  <si>
    <t>Tubo 139,7 x 4,0</t>
  </si>
  <si>
    <t>Tubo 139,7 x 4,5</t>
  </si>
  <si>
    <t>Tubo 168,3 x 3,2</t>
  </si>
  <si>
    <t>Tubo 168,3 x 4,0</t>
  </si>
  <si>
    <t>Tubo 168,3 x 4,5</t>
  </si>
  <si>
    <t>Tubo 168,3 x 5,0</t>
  </si>
  <si>
    <t>Tubo 219,1 x 4,0</t>
  </si>
  <si>
    <t>Tubo 219,1 x 5,0</t>
  </si>
  <si>
    <t>Tubo 219,1 x 5,9</t>
  </si>
  <si>
    <t>Tubo 273,0 x 4,0</t>
  </si>
  <si>
    <t>Tubo 273,0 x 5,6</t>
  </si>
  <si>
    <t>Tubo 273,0 x 6,3</t>
  </si>
  <si>
    <t>Tubo 323,9 x 4,0</t>
  </si>
  <si>
    <t>Tubo 323,9 x 5,9</t>
  </si>
  <si>
    <t>Tubo 323,9 x 7,1</t>
  </si>
  <si>
    <t>Tubo 355,6 x 5,0</t>
  </si>
  <si>
    <t>Tubo 355,6 x 6,3</t>
  </si>
  <si>
    <t>Tubo 355,6 x 8,0</t>
  </si>
  <si>
    <t>Tubo 406,4 x 5,0</t>
  </si>
  <si>
    <t>Tubo 406,4 x 6,3</t>
  </si>
  <si>
    <t>Tubo 406,4 x 7,1</t>
  </si>
  <si>
    <t>Tubo 457,2 x 5,6</t>
  </si>
  <si>
    <t>Tubo 457,2 x 6,3</t>
  </si>
  <si>
    <t>Tubo 457,2 x 8,0</t>
  </si>
  <si>
    <t>bxh</t>
  </si>
  <si>
    <t>Ix</t>
  </si>
  <si>
    <t>cmxcm</t>
  </si>
  <si>
    <t>sezione</t>
  </si>
  <si>
    <t>peso</t>
  </si>
  <si>
    <t>kN/m</t>
  </si>
  <si>
    <t>Lunghezza</t>
  </si>
  <si>
    <t>No</t>
  </si>
  <si>
    <t>m</t>
  </si>
  <si>
    <t>Materiale</t>
  </si>
  <si>
    <t>Ubicazione</t>
  </si>
  <si>
    <t>ca</t>
  </si>
  <si>
    <t>Sbalzo sx</t>
  </si>
  <si>
    <t>Camp. 1-2</t>
  </si>
  <si>
    <t>Camp. 2-3</t>
  </si>
  <si>
    <t>Camp. 3-4</t>
  </si>
  <si>
    <t>Camp. 4-5</t>
  </si>
  <si>
    <t>Sbalzo dx</t>
  </si>
  <si>
    <t>TRAVE CONTINUA A QUATTRO CAMPATE</t>
  </si>
  <si>
    <t xml:space="preserve">Peso </t>
  </si>
  <si>
    <t xml:space="preserve">Ix </t>
  </si>
  <si>
    <t>Sbalzosx</t>
  </si>
  <si>
    <t>presente</t>
  </si>
  <si>
    <t>assente</t>
  </si>
  <si>
    <t xml:space="preserve">Materiale </t>
  </si>
  <si>
    <t>Dati singole campate e sbalzi</t>
  </si>
  <si>
    <t>TRAVE CONTINUA A TRE CAMPATE</t>
  </si>
  <si>
    <t>TRAVE CONTINUA A DUE CAMPATE</t>
  </si>
  <si>
    <t>una campata</t>
  </si>
  <si>
    <t>due campate</t>
  </si>
  <si>
    <t>tre campate</t>
  </si>
  <si>
    <t>quattro campate</t>
  </si>
  <si>
    <t xml:space="preserve">Carichi </t>
  </si>
  <si>
    <t>30x50</t>
  </si>
  <si>
    <t>20x20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</si>
</sst>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0"/>
  </numFmts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vertAlign val="subscript"/>
      <sz val="9"/>
      <color theme="1"/>
      <name val="Calibri"/>
      <family val="2"/>
      <scheme val="minor"/>
    </font>
    <font>
      <b/>
      <sz val="9"/>
      <color theme="1"/>
      <name val="Verdana"/>
      <family val="2"/>
    </font>
    <font>
      <b/>
      <u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7"/>
      <color rgb="FF000000"/>
      <name val="Calibri"/>
      <family val="2"/>
    </font>
    <font>
      <sz val="8"/>
      <color rgb="FF000000"/>
      <name val="Calibri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CCFD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4" tint="0.79998168889431442"/>
        <bgColor indexed="64"/>
      </patternFill>
    </fill>
  </fills>
  <borders count="9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double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auto="1"/>
      </bottom>
      <diagonal/>
    </border>
    <border>
      <left style="medium">
        <color indexed="64"/>
      </left>
      <right style="thin">
        <color indexed="64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auto="1"/>
      </bottom>
      <diagonal/>
    </border>
    <border>
      <left style="thin">
        <color indexed="64"/>
      </left>
      <right style="medium">
        <color indexed="64"/>
      </right>
      <top/>
      <bottom style="double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/>
      <diagonal/>
    </border>
    <border>
      <left style="thin">
        <color rgb="FFF5F5F5"/>
      </left>
      <right style="thin">
        <color rgb="FFF5F5F5"/>
      </right>
      <top style="thin">
        <color rgb="FFF5F5F5"/>
      </top>
      <bottom/>
      <diagonal/>
    </border>
    <border>
      <left style="thin">
        <color rgb="FFF5F5F5"/>
      </left>
      <right style="thin">
        <color rgb="FFF5F5F5"/>
      </right>
      <top/>
      <bottom/>
      <diagonal/>
    </border>
    <border>
      <left style="thin">
        <color rgb="FFF5F5F5"/>
      </left>
      <right style="thin">
        <color rgb="FFF5F5F5"/>
      </right>
      <top/>
      <bottom style="thin">
        <color rgb="FFF5F5F5"/>
      </bottom>
      <diagonal/>
    </border>
    <border>
      <left style="thin">
        <color rgb="FFCCCFDF"/>
      </left>
      <right style="thin">
        <color rgb="FFCCCFDF"/>
      </right>
      <top style="thin">
        <color rgb="FFCCCFDF"/>
      </top>
      <bottom style="thin">
        <color rgb="FFCCCFD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F5F5F5"/>
      </right>
      <top style="thin">
        <color indexed="64"/>
      </top>
      <bottom/>
      <diagonal/>
    </border>
    <border>
      <left style="thin">
        <color rgb="FFF5F5F5"/>
      </left>
      <right style="thin">
        <color rgb="FFF5F5F5"/>
      </right>
      <top style="thin">
        <color indexed="64"/>
      </top>
      <bottom/>
      <diagonal/>
    </border>
    <border>
      <left style="thin">
        <color rgb="FFF5F5F5"/>
      </left>
      <right/>
      <top style="thin">
        <color indexed="64"/>
      </top>
      <bottom style="thin">
        <color rgb="FFF5F5F5"/>
      </bottom>
      <diagonal/>
    </border>
    <border>
      <left/>
      <right style="thin">
        <color rgb="FFF5F5F5"/>
      </right>
      <top style="thin">
        <color indexed="64"/>
      </top>
      <bottom style="thin">
        <color rgb="FFF5F5F5"/>
      </bottom>
      <diagonal/>
    </border>
    <border>
      <left/>
      <right style="thin">
        <color indexed="64"/>
      </right>
      <top style="thin">
        <color indexed="64"/>
      </top>
      <bottom style="thin">
        <color rgb="FFF5F5F5"/>
      </bottom>
      <diagonal/>
    </border>
    <border>
      <left style="thin">
        <color indexed="64"/>
      </left>
      <right style="thin">
        <color rgb="FFF5F5F5"/>
      </right>
      <top/>
      <bottom/>
      <diagonal/>
    </border>
    <border>
      <left style="thin">
        <color rgb="FFF5F5F5"/>
      </left>
      <right style="thin">
        <color indexed="64"/>
      </right>
      <top style="thin">
        <color rgb="FFF5F5F5"/>
      </top>
      <bottom/>
      <diagonal/>
    </border>
    <border>
      <left style="thin">
        <color indexed="64"/>
      </left>
      <right style="thin">
        <color rgb="FFF5F5F5"/>
      </right>
      <top/>
      <bottom style="thin">
        <color rgb="FFF5F5F5"/>
      </bottom>
      <diagonal/>
    </border>
    <border>
      <left style="thin">
        <color rgb="FFF5F5F5"/>
      </left>
      <right style="thin">
        <color indexed="64"/>
      </right>
      <top/>
      <bottom style="thin">
        <color rgb="FFF5F5F5"/>
      </bottom>
      <diagonal/>
    </border>
    <border>
      <left style="thin">
        <color indexed="64"/>
      </left>
      <right style="thin">
        <color rgb="FFCCCFDF"/>
      </right>
      <top style="thin">
        <color rgb="FFCCCFDF"/>
      </top>
      <bottom style="thin">
        <color rgb="FFCCCFDF"/>
      </bottom>
      <diagonal/>
    </border>
    <border>
      <left style="thin">
        <color rgb="FFCCCFDF"/>
      </left>
      <right style="thin">
        <color indexed="64"/>
      </right>
      <top style="thin">
        <color rgb="FFCCCFDF"/>
      </top>
      <bottom style="thin">
        <color rgb="FFCCCFDF"/>
      </bottom>
      <diagonal/>
    </border>
    <border>
      <left style="thin">
        <color indexed="64"/>
      </left>
      <right style="thin">
        <color rgb="FFCCCFDF"/>
      </right>
      <top style="thin">
        <color rgb="FFCCCFDF"/>
      </top>
      <bottom/>
      <diagonal/>
    </border>
    <border>
      <left style="thin">
        <color rgb="FFCCCFDF"/>
      </left>
      <right style="thin">
        <color rgb="FFCCCFDF"/>
      </right>
      <top style="thin">
        <color rgb="FFCCCFDF"/>
      </top>
      <bottom/>
      <diagonal/>
    </border>
    <border>
      <left style="thin">
        <color rgb="FFCCCFDF"/>
      </left>
      <right style="thin">
        <color indexed="64"/>
      </right>
      <top style="thin">
        <color rgb="FFCCCFDF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2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2" fillId="0" borderId="0" xfId="0" applyFont="1"/>
    <xf numFmtId="0" fontId="1" fillId="0" borderId="3" xfId="0" applyFont="1" applyFill="1" applyBorder="1" applyAlignment="1">
      <alignment horizontal="center"/>
    </xf>
    <xf numFmtId="2" fontId="1" fillId="0" borderId="3" xfId="0" applyNumberFormat="1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0" xfId="0" applyFont="1" applyAlignment="1">
      <alignment horizontal="left"/>
    </xf>
    <xf numFmtId="0" fontId="1" fillId="0" borderId="0" xfId="0" applyFont="1" applyFill="1" applyAlignment="1">
      <alignment horizontal="center"/>
    </xf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9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2" fontId="1" fillId="2" borderId="7" xfId="0" applyNumberFormat="1" applyFont="1" applyFill="1" applyBorder="1" applyAlignment="1">
      <alignment horizontal="center"/>
    </xf>
    <xf numFmtId="0" fontId="1" fillId="0" borderId="4" xfId="0" applyFont="1" applyBorder="1"/>
    <xf numFmtId="0" fontId="1" fillId="0" borderId="11" xfId="0" applyFont="1" applyBorder="1"/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2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0" fontId="1" fillId="0" borderId="0" xfId="0" applyFont="1" applyAlignment="1">
      <alignment horizontal="right" vertical="center" textRotation="90"/>
    </xf>
    <xf numFmtId="0" fontId="1" fillId="0" borderId="2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0" xfId="0" applyFont="1" applyBorder="1" applyAlignment="1">
      <alignment horizontal="right" vertical="center" textRotation="90"/>
    </xf>
    <xf numFmtId="0" fontId="1" fillId="0" borderId="3" xfId="0" applyFont="1" applyBorder="1"/>
    <xf numFmtId="0" fontId="1" fillId="0" borderId="13" xfId="0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1" fillId="0" borderId="0" xfId="0" applyFont="1" applyAlignment="1">
      <alignment horizontal="center"/>
    </xf>
    <xf numFmtId="2" fontId="1" fillId="0" borderId="0" xfId="0" applyNumberFormat="1" applyFont="1" applyBorder="1"/>
    <xf numFmtId="0" fontId="1" fillId="0" borderId="0" xfId="0" quotePrefix="1" applyFont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0" fontId="1" fillId="0" borderId="0" xfId="0" applyFont="1" applyBorder="1" applyAlignment="1"/>
    <xf numFmtId="0" fontId="1" fillId="0" borderId="0" xfId="0" applyFont="1" applyBorder="1" applyAlignment="1">
      <alignment vertical="center" textRotation="90"/>
    </xf>
    <xf numFmtId="0" fontId="1" fillId="0" borderId="0" xfId="0" applyFont="1" applyAlignment="1">
      <alignment vertical="center" textRotation="90"/>
    </xf>
    <xf numFmtId="0" fontId="1" fillId="0" borderId="17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164" fontId="1" fillId="0" borderId="5" xfId="0" applyNumberFormat="1" applyFont="1" applyBorder="1" applyAlignment="1">
      <alignment horizontal="center"/>
    </xf>
    <xf numFmtId="2" fontId="1" fillId="0" borderId="9" xfId="0" applyNumberFormat="1" applyFont="1" applyBorder="1"/>
    <xf numFmtId="0" fontId="1" fillId="0" borderId="0" xfId="0" applyFont="1" applyBorder="1" applyAlignment="1">
      <alignment horizontal="right" vertical="center" textRotation="90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2" fontId="1" fillId="0" borderId="20" xfId="0" applyNumberFormat="1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2" fontId="1" fillId="0" borderId="22" xfId="0" applyNumberFormat="1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2" fontId="1" fillId="0" borderId="18" xfId="0" applyNumberFormat="1" applyFont="1" applyBorder="1" applyAlignment="1">
      <alignment horizontal="center"/>
    </xf>
    <xf numFmtId="2" fontId="1" fillId="0" borderId="19" xfId="0" applyNumberFormat="1" applyFont="1" applyBorder="1" applyAlignment="1">
      <alignment horizontal="center"/>
    </xf>
    <xf numFmtId="2" fontId="1" fillId="0" borderId="23" xfId="0" applyNumberFormat="1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2" fontId="1" fillId="0" borderId="25" xfId="0" applyNumberFormat="1" applyFont="1" applyBorder="1" applyAlignment="1">
      <alignment horizontal="center"/>
    </xf>
    <xf numFmtId="2" fontId="1" fillId="0" borderId="18" xfId="0" applyNumberFormat="1" applyFont="1" applyBorder="1"/>
    <xf numFmtId="0" fontId="1" fillId="0" borderId="19" xfId="0" applyFont="1" applyBorder="1"/>
    <xf numFmtId="2" fontId="1" fillId="0" borderId="22" xfId="0" applyNumberFormat="1" applyFont="1" applyBorder="1"/>
    <xf numFmtId="2" fontId="1" fillId="0" borderId="23" xfId="0" applyNumberFormat="1" applyFont="1" applyBorder="1"/>
    <xf numFmtId="0" fontId="1" fillId="2" borderId="26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2" fontId="1" fillId="2" borderId="20" xfId="0" applyNumberFormat="1" applyFont="1" applyFill="1" applyBorder="1" applyAlignment="1">
      <alignment horizontal="center"/>
    </xf>
    <xf numFmtId="2" fontId="1" fillId="2" borderId="21" xfId="0" applyNumberFormat="1" applyFont="1" applyFill="1" applyBorder="1" applyAlignment="1">
      <alignment horizontal="center"/>
    </xf>
    <xf numFmtId="2" fontId="1" fillId="2" borderId="27" xfId="0" applyNumberFormat="1" applyFont="1" applyFill="1" applyBorder="1" applyAlignment="1">
      <alignment horizontal="center"/>
    </xf>
    <xf numFmtId="2" fontId="1" fillId="2" borderId="23" xfId="0" applyNumberFormat="1" applyFont="1" applyFill="1" applyBorder="1" applyAlignment="1">
      <alignment horizontal="center"/>
    </xf>
    <xf numFmtId="2" fontId="1" fillId="0" borderId="28" xfId="0" applyNumberFormat="1" applyFont="1" applyBorder="1" applyAlignment="1">
      <alignment horizontal="center"/>
    </xf>
    <xf numFmtId="0" fontId="1" fillId="0" borderId="18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2" fontId="1" fillId="3" borderId="20" xfId="0" applyNumberFormat="1" applyFont="1" applyFill="1" applyBorder="1" applyAlignment="1">
      <alignment horizontal="center"/>
    </xf>
    <xf numFmtId="2" fontId="1" fillId="3" borderId="21" xfId="0" applyNumberFormat="1" applyFont="1" applyFill="1" applyBorder="1" applyAlignment="1">
      <alignment horizontal="center"/>
    </xf>
    <xf numFmtId="2" fontId="1" fillId="0" borderId="21" xfId="0" applyNumberFormat="1" applyFont="1" applyBorder="1" applyAlignment="1">
      <alignment horizontal="center"/>
    </xf>
    <xf numFmtId="2" fontId="1" fillId="0" borderId="27" xfId="0" applyNumberFormat="1" applyFont="1" applyBorder="1" applyAlignment="1">
      <alignment horizontal="center"/>
    </xf>
    <xf numFmtId="0" fontId="1" fillId="0" borderId="29" xfId="0" applyFont="1" applyFill="1" applyBorder="1" applyAlignment="1">
      <alignment horizontal="center"/>
    </xf>
    <xf numFmtId="0" fontId="1" fillId="0" borderId="30" xfId="0" applyFont="1" applyFill="1" applyBorder="1" applyAlignment="1">
      <alignment horizontal="center"/>
    </xf>
    <xf numFmtId="0" fontId="1" fillId="0" borderId="31" xfId="0" applyFont="1" applyFill="1" applyBorder="1" applyAlignment="1">
      <alignment horizontal="center"/>
    </xf>
    <xf numFmtId="2" fontId="1" fillId="0" borderId="32" xfId="0" applyNumberFormat="1" applyFont="1" applyBorder="1" applyAlignment="1">
      <alignment horizontal="center"/>
    </xf>
    <xf numFmtId="2" fontId="1" fillId="0" borderId="33" xfId="0" applyNumberFormat="1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16" fontId="1" fillId="0" borderId="22" xfId="0" quotePrefix="1" applyNumberFormat="1" applyFont="1" applyBorder="1" applyAlignment="1">
      <alignment horizontal="center"/>
    </xf>
    <xf numFmtId="2" fontId="1" fillId="0" borderId="2" xfId="0" applyNumberFormat="1" applyFont="1" applyFill="1" applyBorder="1" applyAlignment="1">
      <alignment horizontal="center"/>
    </xf>
    <xf numFmtId="2" fontId="1" fillId="0" borderId="2" xfId="0" applyNumberFormat="1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2" fontId="1" fillId="0" borderId="36" xfId="0" applyNumberFormat="1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/>
    <xf numFmtId="2" fontId="1" fillId="0" borderId="40" xfId="0" applyNumberFormat="1" applyFont="1" applyBorder="1"/>
    <xf numFmtId="0" fontId="1" fillId="2" borderId="39" xfId="0" applyFont="1" applyFill="1" applyBorder="1" applyAlignment="1">
      <alignment horizontal="center"/>
    </xf>
    <xf numFmtId="2" fontId="1" fillId="2" borderId="40" xfId="0" applyNumberFormat="1" applyFont="1" applyFill="1" applyBorder="1" applyAlignment="1">
      <alignment horizontal="center"/>
    </xf>
    <xf numFmtId="0" fontId="1" fillId="0" borderId="39" xfId="0" applyFont="1" applyFill="1" applyBorder="1" applyAlignment="1">
      <alignment horizontal="center"/>
    </xf>
    <xf numFmtId="2" fontId="1" fillId="3" borderId="7" xfId="0" applyNumberFormat="1" applyFont="1" applyFill="1" applyBorder="1" applyAlignment="1">
      <alignment horizontal="center"/>
    </xf>
    <xf numFmtId="2" fontId="1" fillId="3" borderId="41" xfId="0" applyNumberFormat="1" applyFont="1" applyFill="1" applyBorder="1" applyAlignment="1">
      <alignment horizontal="center"/>
    </xf>
    <xf numFmtId="2" fontId="1" fillId="3" borderId="10" xfId="0" applyNumberFormat="1" applyFont="1" applyFill="1" applyBorder="1" applyAlignment="1">
      <alignment horizontal="center"/>
    </xf>
    <xf numFmtId="2" fontId="1" fillId="3" borderId="42" xfId="0" applyNumberFormat="1" applyFont="1" applyFill="1" applyBorder="1" applyAlignment="1">
      <alignment horizontal="center"/>
    </xf>
    <xf numFmtId="2" fontId="1" fillId="0" borderId="43" xfId="0" applyNumberFormat="1" applyFont="1" applyBorder="1" applyAlignment="1">
      <alignment horizontal="center"/>
    </xf>
    <xf numFmtId="2" fontId="1" fillId="0" borderId="44" xfId="0" applyNumberFormat="1" applyFont="1" applyBorder="1" applyAlignment="1">
      <alignment horizontal="center"/>
    </xf>
    <xf numFmtId="2" fontId="1" fillId="0" borderId="45" xfId="0" applyNumberFormat="1" applyFont="1" applyBorder="1" applyAlignment="1">
      <alignment horizontal="center"/>
    </xf>
    <xf numFmtId="2" fontId="1" fillId="0" borderId="5" xfId="0" applyNumberFormat="1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0" xfId="0" applyFont="1" applyBorder="1" applyAlignment="1">
      <alignment horizontal="right" vertical="center" textRotation="90"/>
    </xf>
    <xf numFmtId="0" fontId="1" fillId="0" borderId="0" xfId="0" applyFont="1" applyAlignment="1">
      <alignment horizontal="right" vertical="center" textRotation="90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right" vertical="center" textRotation="90"/>
    </xf>
    <xf numFmtId="0" fontId="1" fillId="0" borderId="0" xfId="0" applyFont="1" applyAlignment="1">
      <alignment horizontal="right" vertical="center" textRotation="90"/>
    </xf>
    <xf numFmtId="0" fontId="1" fillId="0" borderId="14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2" fontId="1" fillId="0" borderId="7" xfId="0" applyNumberFormat="1" applyFont="1" applyBorder="1" applyAlignment="1">
      <alignment horizontal="center"/>
    </xf>
    <xf numFmtId="0" fontId="1" fillId="0" borderId="46" xfId="0" applyFont="1" applyBorder="1" applyAlignment="1">
      <alignment horizontal="center"/>
    </xf>
    <xf numFmtId="16" fontId="1" fillId="0" borderId="1" xfId="0" quotePrefix="1" applyNumberFormat="1" applyFont="1" applyBorder="1" applyAlignment="1">
      <alignment horizontal="center"/>
    </xf>
    <xf numFmtId="2" fontId="1" fillId="0" borderId="46" xfId="0" applyNumberFormat="1" applyFont="1" applyBorder="1" applyAlignment="1">
      <alignment horizontal="center"/>
    </xf>
    <xf numFmtId="0" fontId="1" fillId="0" borderId="1" xfId="0" quotePrefix="1" applyFont="1" applyBorder="1" applyAlignment="1">
      <alignment horizontal="center"/>
    </xf>
    <xf numFmtId="2" fontId="1" fillId="0" borderId="7" xfId="0" applyNumberFormat="1" applyFont="1" applyBorder="1"/>
    <xf numFmtId="0" fontId="1" fillId="0" borderId="1" xfId="0" applyFont="1" applyBorder="1"/>
    <xf numFmtId="2" fontId="1" fillId="0" borderId="1" xfId="0" applyNumberFormat="1" applyFont="1" applyBorder="1"/>
    <xf numFmtId="0" fontId="1" fillId="2" borderId="7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1" xfId="0" applyNumberFormat="1" applyFont="1" applyFill="1" applyBorder="1" applyAlignment="1">
      <alignment horizontal="center"/>
    </xf>
    <xf numFmtId="0" fontId="1" fillId="0" borderId="47" xfId="0" applyFont="1" applyFill="1" applyBorder="1" applyAlignment="1">
      <alignment horizontal="center"/>
    </xf>
    <xf numFmtId="2" fontId="1" fillId="0" borderId="4" xfId="0" applyNumberFormat="1" applyFont="1" applyFill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48" xfId="0" applyFont="1" applyFill="1" applyBorder="1" applyAlignment="1">
      <alignment horizontal="center"/>
    </xf>
    <xf numFmtId="0" fontId="1" fillId="0" borderId="49" xfId="0" applyFont="1" applyFill="1" applyBorder="1" applyAlignment="1">
      <alignment horizontal="center"/>
    </xf>
    <xf numFmtId="0" fontId="1" fillId="0" borderId="50" xfId="0" applyFont="1" applyBorder="1" applyAlignment="1">
      <alignment horizontal="center"/>
    </xf>
    <xf numFmtId="0" fontId="1" fillId="0" borderId="49" xfId="0" applyFont="1" applyBorder="1" applyAlignment="1">
      <alignment horizontal="center"/>
    </xf>
    <xf numFmtId="164" fontId="1" fillId="0" borderId="51" xfId="0" applyNumberFormat="1" applyFont="1" applyBorder="1" applyAlignment="1">
      <alignment horizontal="center"/>
    </xf>
    <xf numFmtId="0" fontId="1" fillId="0" borderId="40" xfId="0" applyFont="1" applyFill="1" applyBorder="1" applyAlignment="1">
      <alignment horizontal="center"/>
    </xf>
    <xf numFmtId="0" fontId="1" fillId="0" borderId="23" xfId="0" applyFont="1" applyFill="1" applyBorder="1" applyAlignment="1">
      <alignment horizontal="center"/>
    </xf>
    <xf numFmtId="164" fontId="1" fillId="0" borderId="25" xfId="0" applyNumberFormat="1" applyFont="1" applyBorder="1" applyAlignment="1">
      <alignment horizontal="center"/>
    </xf>
    <xf numFmtId="2" fontId="1" fillId="0" borderId="24" xfId="0" applyNumberFormat="1" applyFont="1" applyBorder="1" applyAlignment="1">
      <alignment horizontal="center"/>
    </xf>
    <xf numFmtId="164" fontId="1" fillId="0" borderId="22" xfId="0" applyNumberFormat="1" applyFont="1" applyBorder="1" applyAlignment="1">
      <alignment horizontal="center"/>
    </xf>
    <xf numFmtId="164" fontId="1" fillId="0" borderId="23" xfId="0" applyNumberFormat="1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2" fontId="1" fillId="0" borderId="53" xfId="0" applyNumberFormat="1" applyFont="1" applyBorder="1" applyAlignment="1">
      <alignment horizontal="center"/>
    </xf>
    <xf numFmtId="16" fontId="1" fillId="0" borderId="54" xfId="0" quotePrefix="1" applyNumberFormat="1" applyFont="1" applyBorder="1" applyAlignment="1">
      <alignment horizontal="center"/>
    </xf>
    <xf numFmtId="0" fontId="1" fillId="0" borderId="54" xfId="0" quotePrefix="1" applyFont="1" applyBorder="1" applyAlignment="1">
      <alignment horizontal="center"/>
    </xf>
    <xf numFmtId="0" fontId="1" fillId="0" borderId="53" xfId="0" quotePrefix="1" applyFont="1" applyBorder="1" applyAlignment="1">
      <alignment horizontal="center"/>
    </xf>
    <xf numFmtId="2" fontId="1" fillId="2" borderId="18" xfId="0" applyNumberFormat="1" applyFont="1" applyFill="1" applyBorder="1" applyAlignment="1">
      <alignment horizontal="center"/>
    </xf>
    <xf numFmtId="2" fontId="1" fillId="2" borderId="26" xfId="0" applyNumberFormat="1" applyFont="1" applyFill="1" applyBorder="1" applyAlignment="1">
      <alignment horizontal="center"/>
    </xf>
    <xf numFmtId="2" fontId="1" fillId="2" borderId="19" xfId="0" applyNumberFormat="1" applyFont="1" applyFill="1" applyBorder="1" applyAlignment="1">
      <alignment horizontal="center"/>
    </xf>
    <xf numFmtId="2" fontId="1" fillId="2" borderId="22" xfId="0" applyNumberFormat="1" applyFont="1" applyFill="1" applyBorder="1" applyAlignment="1">
      <alignment horizontal="center"/>
    </xf>
    <xf numFmtId="2" fontId="1" fillId="3" borderId="18" xfId="0" applyNumberFormat="1" applyFont="1" applyFill="1" applyBorder="1" applyAlignment="1">
      <alignment horizontal="center"/>
    </xf>
    <xf numFmtId="2" fontId="1" fillId="3" borderId="26" xfId="0" applyNumberFormat="1" applyFont="1" applyFill="1" applyBorder="1" applyAlignment="1">
      <alignment horizontal="center"/>
    </xf>
    <xf numFmtId="2" fontId="1" fillId="3" borderId="19" xfId="0" applyNumberFormat="1" applyFont="1" applyFill="1" applyBorder="1" applyAlignment="1">
      <alignment horizontal="center"/>
    </xf>
    <xf numFmtId="2" fontId="1" fillId="3" borderId="22" xfId="0" applyNumberFormat="1" applyFont="1" applyFill="1" applyBorder="1" applyAlignment="1">
      <alignment horizontal="center"/>
    </xf>
    <xf numFmtId="2" fontId="1" fillId="3" borderId="27" xfId="0" applyNumberFormat="1" applyFont="1" applyFill="1" applyBorder="1" applyAlignment="1">
      <alignment horizontal="center"/>
    </xf>
    <xf numFmtId="2" fontId="1" fillId="3" borderId="23" xfId="0" applyNumberFormat="1" applyFont="1" applyFill="1" applyBorder="1" applyAlignment="1">
      <alignment horizontal="center"/>
    </xf>
    <xf numFmtId="2" fontId="1" fillId="4" borderId="21" xfId="0" applyNumberFormat="1" applyFont="1" applyFill="1" applyBorder="1" applyAlignment="1">
      <alignment horizontal="center"/>
    </xf>
    <xf numFmtId="2" fontId="1" fillId="5" borderId="20" xfId="0" applyNumberFormat="1" applyFont="1" applyFill="1" applyBorder="1" applyAlignment="1">
      <alignment horizontal="center"/>
    </xf>
    <xf numFmtId="2" fontId="1" fillId="5" borderId="1" xfId="0" applyNumberFormat="1" applyFont="1" applyFill="1" applyBorder="1" applyAlignment="1">
      <alignment horizontal="center"/>
    </xf>
    <xf numFmtId="2" fontId="1" fillId="5" borderId="21" xfId="0" applyNumberFormat="1" applyFont="1" applyFill="1" applyBorder="1" applyAlignment="1">
      <alignment horizontal="center"/>
    </xf>
    <xf numFmtId="2" fontId="1" fillId="4" borderId="18" xfId="0" applyNumberFormat="1" applyFont="1" applyFill="1" applyBorder="1" applyAlignment="1">
      <alignment horizontal="center"/>
    </xf>
    <xf numFmtId="2" fontId="1" fillId="4" borderId="26" xfId="0" applyNumberFormat="1" applyFont="1" applyFill="1" applyBorder="1" applyAlignment="1">
      <alignment horizontal="center"/>
    </xf>
    <xf numFmtId="2" fontId="1" fillId="4" borderId="19" xfId="0" applyNumberFormat="1" applyFont="1" applyFill="1" applyBorder="1" applyAlignment="1">
      <alignment horizontal="center"/>
    </xf>
    <xf numFmtId="2" fontId="1" fillId="4" borderId="20" xfId="0" applyNumberFormat="1" applyFont="1" applyFill="1" applyBorder="1" applyAlignment="1">
      <alignment horizontal="center"/>
    </xf>
    <xf numFmtId="2" fontId="1" fillId="4" borderId="40" xfId="0" applyNumberFormat="1" applyFont="1" applyFill="1" applyBorder="1" applyAlignment="1">
      <alignment horizontal="center"/>
    </xf>
    <xf numFmtId="2" fontId="1" fillId="4" borderId="27" xfId="0" applyNumberFormat="1" applyFont="1" applyFill="1" applyBorder="1" applyAlignment="1">
      <alignment horizontal="center"/>
    </xf>
    <xf numFmtId="2" fontId="1" fillId="4" borderId="23" xfId="0" applyNumberFormat="1" applyFont="1" applyFill="1" applyBorder="1" applyAlignment="1">
      <alignment horizontal="center"/>
    </xf>
    <xf numFmtId="2" fontId="1" fillId="5" borderId="22" xfId="0" applyNumberFormat="1" applyFont="1" applyFill="1" applyBorder="1" applyAlignment="1">
      <alignment horizontal="center"/>
    </xf>
    <xf numFmtId="2" fontId="1" fillId="5" borderId="27" xfId="0" applyNumberFormat="1" applyFont="1" applyFill="1" applyBorder="1" applyAlignment="1">
      <alignment horizontal="center"/>
    </xf>
    <xf numFmtId="2" fontId="1" fillId="5" borderId="23" xfId="0" applyNumberFormat="1" applyFont="1" applyFill="1" applyBorder="1" applyAlignment="1">
      <alignment horizontal="center"/>
    </xf>
    <xf numFmtId="2" fontId="1" fillId="4" borderId="22" xfId="0" applyNumberFormat="1" applyFont="1" applyFill="1" applyBorder="1" applyAlignment="1">
      <alignment horizontal="center"/>
    </xf>
    <xf numFmtId="2" fontId="1" fillId="5" borderId="18" xfId="0" applyNumberFormat="1" applyFont="1" applyFill="1" applyBorder="1" applyAlignment="1">
      <alignment horizontal="center"/>
    </xf>
    <xf numFmtId="2" fontId="1" fillId="5" borderId="26" xfId="0" applyNumberFormat="1" applyFont="1" applyFill="1" applyBorder="1" applyAlignment="1">
      <alignment horizontal="center"/>
    </xf>
    <xf numFmtId="2" fontId="1" fillId="5" borderId="19" xfId="0" applyNumberFormat="1" applyFont="1" applyFill="1" applyBorder="1" applyAlignment="1">
      <alignment horizontal="center"/>
    </xf>
    <xf numFmtId="2" fontId="1" fillId="0" borderId="26" xfId="0" applyNumberFormat="1" applyFont="1" applyBorder="1" applyAlignment="1">
      <alignment horizontal="center"/>
    </xf>
    <xf numFmtId="0" fontId="1" fillId="0" borderId="47" xfId="0" applyFont="1" applyBorder="1"/>
    <xf numFmtId="2" fontId="1" fillId="0" borderId="55" xfId="0" applyNumberFormat="1" applyFont="1" applyBorder="1" applyAlignment="1">
      <alignment horizontal="center"/>
    </xf>
    <xf numFmtId="2" fontId="1" fillId="0" borderId="42" xfId="0" applyNumberFormat="1" applyFont="1" applyBorder="1" applyAlignment="1">
      <alignment horizontal="center"/>
    </xf>
    <xf numFmtId="0" fontId="1" fillId="0" borderId="56" xfId="0" applyFont="1" applyFill="1" applyBorder="1" applyAlignment="1">
      <alignment horizontal="center"/>
    </xf>
    <xf numFmtId="0" fontId="1" fillId="0" borderId="56" xfId="0" applyFont="1" applyBorder="1" applyAlignment="1">
      <alignment horizontal="center"/>
    </xf>
    <xf numFmtId="164" fontId="1" fillId="0" borderId="56" xfId="0" applyNumberFormat="1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16" fontId="1" fillId="0" borderId="57" xfId="0" quotePrefix="1" applyNumberFormat="1" applyFont="1" applyBorder="1" applyAlignment="1">
      <alignment horizontal="center"/>
    </xf>
    <xf numFmtId="0" fontId="1" fillId="0" borderId="57" xfId="0" quotePrefix="1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2" fontId="1" fillId="6" borderId="1" xfId="0" applyNumberFormat="1" applyFont="1" applyFill="1" applyBorder="1" applyAlignment="1">
      <alignment horizontal="center"/>
    </xf>
    <xf numFmtId="2" fontId="1" fillId="0" borderId="3" xfId="0" applyNumberFormat="1" applyFont="1" applyBorder="1" applyAlignment="1" applyProtection="1">
      <alignment horizontal="center"/>
      <protection hidden="1"/>
    </xf>
    <xf numFmtId="0" fontId="1" fillId="0" borderId="3" xfId="0" applyFont="1" applyBorder="1" applyAlignment="1" applyProtection="1">
      <alignment horizontal="center"/>
      <protection hidden="1"/>
    </xf>
    <xf numFmtId="2" fontId="1" fillId="0" borderId="15" xfId="0" applyNumberFormat="1" applyFont="1" applyBorder="1" applyAlignment="1" applyProtection="1">
      <alignment horizontal="center"/>
      <protection hidden="1"/>
    </xf>
    <xf numFmtId="2" fontId="1" fillId="0" borderId="16" xfId="0" applyNumberFormat="1" applyFont="1" applyBorder="1" applyAlignment="1" applyProtection="1">
      <alignment horizontal="center"/>
      <protection hidden="1"/>
    </xf>
    <xf numFmtId="2" fontId="1" fillId="0" borderId="15" xfId="0" applyNumberFormat="1" applyFont="1" applyFill="1" applyBorder="1" applyAlignment="1" applyProtection="1">
      <alignment horizontal="center"/>
      <protection hidden="1"/>
    </xf>
    <xf numFmtId="2" fontId="1" fillId="0" borderId="3" xfId="0" applyNumberFormat="1" applyFont="1" applyFill="1" applyBorder="1" applyAlignment="1" applyProtection="1">
      <alignment horizontal="center"/>
      <protection hidden="1"/>
    </xf>
    <xf numFmtId="2" fontId="1" fillId="0" borderId="16" xfId="0" applyNumberFormat="1" applyFont="1" applyFill="1" applyBorder="1" applyAlignment="1" applyProtection="1">
      <alignment horizontal="center"/>
      <protection hidden="1"/>
    </xf>
    <xf numFmtId="2" fontId="1" fillId="0" borderId="34" xfId="0" applyNumberFormat="1" applyFont="1" applyFill="1" applyBorder="1" applyAlignment="1" applyProtection="1">
      <alignment horizontal="center"/>
      <protection hidden="1"/>
    </xf>
    <xf numFmtId="2" fontId="1" fillId="0" borderId="34" xfId="0" applyNumberFormat="1" applyFont="1" applyBorder="1" applyAlignment="1" applyProtection="1">
      <alignment horizontal="center"/>
      <protection hidden="1"/>
    </xf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7" borderId="59" xfId="0" applyFont="1" applyFill="1" applyBorder="1" applyAlignment="1">
      <alignment horizontal="center" wrapText="1"/>
    </xf>
    <xf numFmtId="0" fontId="1" fillId="7" borderId="60" xfId="0" applyFont="1" applyFill="1" applyBorder="1" applyAlignment="1">
      <alignment horizontal="center" wrapText="1"/>
    </xf>
    <xf numFmtId="0" fontId="4" fillId="7" borderId="59" xfId="0" applyFont="1" applyFill="1" applyBorder="1" applyAlignment="1">
      <alignment horizontal="center" wrapText="1"/>
    </xf>
    <xf numFmtId="0" fontId="1" fillId="7" borderId="61" xfId="0" applyFont="1" applyFill="1" applyBorder="1" applyAlignment="1">
      <alignment wrapText="1"/>
    </xf>
    <xf numFmtId="0" fontId="1" fillId="7" borderId="61" xfId="0" applyFont="1" applyFill="1" applyBorder="1" applyAlignment="1">
      <alignment horizontal="center" wrapText="1"/>
    </xf>
    <xf numFmtId="0" fontId="1" fillId="0" borderId="62" xfId="0" applyFont="1" applyBorder="1" applyAlignment="1">
      <alignment horizontal="center" wrapText="1"/>
    </xf>
    <xf numFmtId="3" fontId="1" fillId="0" borderId="62" xfId="0" applyNumberFormat="1" applyFont="1" applyBorder="1" applyAlignment="1">
      <alignment horizontal="center" wrapText="1"/>
    </xf>
    <xf numFmtId="20" fontId="1" fillId="0" borderId="62" xfId="0" applyNumberFormat="1" applyFont="1" applyBorder="1" applyAlignment="1">
      <alignment horizontal="center" wrapText="1"/>
    </xf>
    <xf numFmtId="2" fontId="1" fillId="0" borderId="62" xfId="0" applyNumberFormat="1" applyFont="1" applyFill="1" applyBorder="1" applyAlignment="1">
      <alignment horizontal="center" wrapText="1"/>
    </xf>
    <xf numFmtId="0" fontId="1" fillId="0" borderId="62" xfId="0" applyNumberFormat="1" applyFont="1" applyBorder="1" applyAlignment="1">
      <alignment horizontal="center" wrapText="1"/>
    </xf>
    <xf numFmtId="0" fontId="1" fillId="8" borderId="62" xfId="0" applyFont="1" applyFill="1" applyBorder="1" applyAlignment="1">
      <alignment horizontal="center" wrapText="1"/>
    </xf>
    <xf numFmtId="3" fontId="1" fillId="8" borderId="62" xfId="0" applyNumberFormat="1" applyFont="1" applyFill="1" applyBorder="1" applyAlignment="1">
      <alignment horizontal="center" wrapText="1"/>
    </xf>
    <xf numFmtId="1" fontId="1" fillId="0" borderId="0" xfId="0" applyNumberFormat="1" applyFont="1" applyAlignment="1">
      <alignment horizontal="center"/>
    </xf>
    <xf numFmtId="0" fontId="1" fillId="0" borderId="63" xfId="0" applyFont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2" fillId="7" borderId="67" xfId="0" applyFont="1" applyFill="1" applyBorder="1" applyAlignment="1">
      <alignment horizontal="center" wrapText="1"/>
    </xf>
    <xf numFmtId="0" fontId="2" fillId="7" borderId="68" xfId="0" applyFont="1" applyFill="1" applyBorder="1" applyAlignment="1">
      <alignment horizontal="center" wrapText="1"/>
    </xf>
    <xf numFmtId="0" fontId="1" fillId="7" borderId="72" xfId="0" applyFont="1" applyFill="1" applyBorder="1" applyAlignment="1">
      <alignment horizontal="center" wrapText="1"/>
    </xf>
    <xf numFmtId="0" fontId="4" fillId="7" borderId="73" xfId="0" applyFont="1" applyFill="1" applyBorder="1" applyAlignment="1">
      <alignment horizontal="center" wrapText="1"/>
    </xf>
    <xf numFmtId="0" fontId="1" fillId="7" borderId="74" xfId="0" applyFont="1" applyFill="1" applyBorder="1" applyAlignment="1">
      <alignment wrapText="1"/>
    </xf>
    <xf numFmtId="0" fontId="1" fillId="7" borderId="75" xfId="0" applyFont="1" applyFill="1" applyBorder="1" applyAlignment="1">
      <alignment horizontal="center" wrapText="1"/>
    </xf>
    <xf numFmtId="0" fontId="1" fillId="0" borderId="76" xfId="0" applyFont="1" applyBorder="1" applyAlignment="1">
      <alignment horizontal="center" wrapText="1"/>
    </xf>
    <xf numFmtId="0" fontId="1" fillId="0" borderId="77" xfId="0" applyFont="1" applyBorder="1" applyAlignment="1">
      <alignment horizontal="center" wrapText="1"/>
    </xf>
    <xf numFmtId="20" fontId="1" fillId="0" borderId="77" xfId="0" applyNumberFormat="1" applyFont="1" applyBorder="1" applyAlignment="1">
      <alignment horizontal="center" wrapText="1"/>
    </xf>
    <xf numFmtId="0" fontId="1" fillId="8" borderId="76" xfId="0" applyFont="1" applyFill="1" applyBorder="1" applyAlignment="1">
      <alignment horizontal="center" wrapText="1"/>
    </xf>
    <xf numFmtId="0" fontId="1" fillId="8" borderId="77" xfId="0" applyFont="1" applyFill="1" applyBorder="1" applyAlignment="1">
      <alignment horizontal="center" wrapText="1"/>
    </xf>
    <xf numFmtId="0" fontId="1" fillId="0" borderId="78" xfId="0" applyFont="1" applyBorder="1" applyAlignment="1">
      <alignment horizontal="center" wrapText="1"/>
    </xf>
    <xf numFmtId="0" fontId="1" fillId="8" borderId="78" xfId="0" applyFont="1" applyFill="1" applyBorder="1" applyAlignment="1">
      <alignment horizontal="center" wrapText="1"/>
    </xf>
    <xf numFmtId="0" fontId="1" fillId="0" borderId="77" xfId="0" applyNumberFormat="1" applyFont="1" applyBorder="1" applyAlignment="1">
      <alignment horizontal="center" wrapText="1"/>
    </xf>
    <xf numFmtId="1" fontId="2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0" fontId="1" fillId="0" borderId="63" xfId="0" applyFont="1" applyFill="1" applyBorder="1" applyAlignment="1">
      <alignment horizontal="center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Fill="1" applyBorder="1" applyAlignment="1">
      <alignment horizontal="center" wrapText="1"/>
    </xf>
    <xf numFmtId="0" fontId="1" fillId="0" borderId="64" xfId="0" applyFont="1" applyFill="1" applyBorder="1" applyAlignment="1">
      <alignment horizontal="center" wrapText="1"/>
    </xf>
    <xf numFmtId="0" fontId="1" fillId="8" borderId="79" xfId="0" applyFont="1" applyFill="1" applyBorder="1" applyAlignment="1">
      <alignment horizontal="center" wrapText="1"/>
    </xf>
    <xf numFmtId="0" fontId="1" fillId="0" borderId="79" xfId="0" applyFont="1" applyBorder="1" applyAlignment="1">
      <alignment horizontal="center" wrapText="1"/>
    </xf>
    <xf numFmtId="3" fontId="1" fillId="8" borderId="79" xfId="0" applyNumberFormat="1" applyFont="1" applyFill="1" applyBorder="1" applyAlignment="1">
      <alignment horizontal="center" wrapText="1"/>
    </xf>
    <xf numFmtId="0" fontId="1" fillId="8" borderId="80" xfId="0" applyFont="1" applyFill="1" applyBorder="1" applyAlignment="1">
      <alignment horizontal="center" wrapText="1"/>
    </xf>
    <xf numFmtId="0" fontId="1" fillId="0" borderId="1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0" xfId="0" applyFont="1" applyBorder="1" applyAlignment="1"/>
    <xf numFmtId="0" fontId="2" fillId="0" borderId="3" xfId="0" applyFont="1" applyBorder="1"/>
    <xf numFmtId="0" fontId="1" fillId="0" borderId="14" xfId="0" applyFont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2" fillId="0" borderId="34" xfId="0" applyFont="1" applyBorder="1"/>
    <xf numFmtId="0" fontId="2" fillId="0" borderId="82" xfId="0" applyFont="1" applyFill="1" applyBorder="1" applyAlignment="1"/>
    <xf numFmtId="0" fontId="2" fillId="0" borderId="2" xfId="0" applyFont="1" applyFill="1" applyBorder="1" applyAlignment="1"/>
    <xf numFmtId="0" fontId="2" fillId="0" borderId="83" xfId="0" applyFont="1" applyFill="1" applyBorder="1" applyAlignment="1"/>
    <xf numFmtId="0" fontId="1" fillId="0" borderId="63" xfId="0" applyFont="1" applyBorder="1"/>
    <xf numFmtId="0" fontId="1" fillId="0" borderId="64" xfId="0" applyFont="1" applyBorder="1"/>
    <xf numFmtId="0" fontId="2" fillId="0" borderId="63" xfId="0" applyFont="1" applyBorder="1" applyAlignment="1">
      <alignment horizontal="left"/>
    </xf>
    <xf numFmtId="0" fontId="1" fillId="0" borderId="84" xfId="0" applyFont="1" applyBorder="1" applyAlignment="1">
      <alignment horizontal="center"/>
    </xf>
    <xf numFmtId="0" fontId="1" fillId="0" borderId="84" xfId="0" applyFont="1" applyBorder="1" applyAlignment="1" applyProtection="1">
      <alignment horizontal="center"/>
      <protection hidden="1"/>
    </xf>
    <xf numFmtId="0" fontId="1" fillId="0" borderId="64" xfId="0" applyFont="1" applyBorder="1" applyAlignment="1">
      <alignment horizontal="center"/>
    </xf>
    <xf numFmtId="0" fontId="1" fillId="0" borderId="65" xfId="0" applyFont="1" applyBorder="1"/>
    <xf numFmtId="0" fontId="1" fillId="0" borderId="16" xfId="0" applyFont="1" applyBorder="1" applyAlignment="1">
      <alignment horizontal="center"/>
    </xf>
    <xf numFmtId="0" fontId="1" fillId="0" borderId="16" xfId="0" applyFont="1" applyBorder="1" applyAlignment="1" applyProtection="1">
      <alignment horizontal="center"/>
      <protection hidden="1"/>
    </xf>
    <xf numFmtId="0" fontId="1" fillId="0" borderId="85" xfId="0" applyFont="1" applyBorder="1" applyAlignment="1" applyProtection="1">
      <alignment horizontal="center"/>
      <protection hidden="1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9" borderId="3" xfId="0" applyFont="1" applyFill="1" applyBorder="1" applyAlignment="1" applyProtection="1">
      <alignment horizontal="center"/>
      <protection locked="0"/>
    </xf>
    <xf numFmtId="2" fontId="1" fillId="9" borderId="81" xfId="0" applyNumberFormat="1" applyFont="1" applyFill="1" applyBorder="1" applyAlignment="1" applyProtection="1">
      <alignment horizontal="center"/>
      <protection locked="0"/>
    </xf>
    <xf numFmtId="2" fontId="1" fillId="9" borderId="3" xfId="0" applyNumberFormat="1" applyFont="1" applyFill="1" applyBorder="1" applyAlignment="1" applyProtection="1">
      <alignment horizontal="center"/>
      <protection locked="0"/>
    </xf>
    <xf numFmtId="0" fontId="6" fillId="9" borderId="3" xfId="0" applyFont="1" applyFill="1" applyBorder="1" applyAlignment="1" applyProtection="1">
      <alignment horizontal="center"/>
      <protection locked="0"/>
    </xf>
    <xf numFmtId="0" fontId="5" fillId="0" borderId="81" xfId="0" applyFont="1" applyBorder="1" applyAlignment="1"/>
    <xf numFmtId="165" fontId="1" fillId="0" borderId="3" xfId="0" applyNumberFormat="1" applyFont="1" applyBorder="1" applyAlignment="1">
      <alignment horizontal="center"/>
    </xf>
    <xf numFmtId="165" fontId="1" fillId="0" borderId="16" xfId="0" applyNumberFormat="1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2" fillId="0" borderId="0" xfId="0" applyFont="1" applyBorder="1"/>
    <xf numFmtId="0" fontId="5" fillId="0" borderId="0" xfId="0" applyFont="1" applyBorder="1" applyAlignment="1"/>
    <xf numFmtId="0" fontId="1" fillId="0" borderId="14" xfId="0" applyFont="1" applyBorder="1"/>
    <xf numFmtId="0" fontId="0" fillId="0" borderId="0" xfId="0" applyFill="1" applyBorder="1" applyAlignment="1">
      <alignment horizontal="center"/>
    </xf>
    <xf numFmtId="0" fontId="0" fillId="0" borderId="63" xfId="0" applyBorder="1"/>
    <xf numFmtId="0" fontId="0" fillId="0" borderId="1" xfId="0" applyFill="1" applyBorder="1" applyAlignment="1">
      <alignment horizontal="center"/>
    </xf>
    <xf numFmtId="0" fontId="0" fillId="0" borderId="86" xfId="0" applyBorder="1"/>
    <xf numFmtId="0" fontId="0" fillId="0" borderId="87" xfId="0" applyBorder="1"/>
    <xf numFmtId="0" fontId="0" fillId="0" borderId="86" xfId="0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88" xfId="0" applyFill="1" applyBorder="1" applyAlignment="1">
      <alignment horizontal="center"/>
    </xf>
    <xf numFmtId="0" fontId="0" fillId="0" borderId="89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14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81" xfId="0" applyFont="1" applyFill="1" applyBorder="1" applyAlignment="1">
      <alignment horizontal="center"/>
    </xf>
    <xf numFmtId="0" fontId="1" fillId="0" borderId="81" xfId="0" applyFont="1" applyBorder="1"/>
    <xf numFmtId="0" fontId="1" fillId="0" borderId="2" xfId="0" applyFont="1" applyBorder="1"/>
    <xf numFmtId="0" fontId="1" fillId="9" borderId="3" xfId="0" applyFont="1" applyFill="1" applyBorder="1" applyAlignment="1" applyProtection="1">
      <alignment horizontal="center"/>
      <protection locked="0"/>
    </xf>
    <xf numFmtId="1" fontId="1" fillId="0" borderId="3" xfId="0" applyNumberFormat="1" applyFont="1" applyBorder="1" applyAlignment="1" applyProtection="1">
      <alignment horizontal="center"/>
      <protection hidden="1"/>
    </xf>
    <xf numFmtId="0" fontId="1" fillId="9" borderId="3" xfId="0" applyFont="1" applyFill="1" applyBorder="1" applyAlignment="1" applyProtection="1">
      <alignment horizontal="center"/>
      <protection locked="0"/>
    </xf>
    <xf numFmtId="0" fontId="1" fillId="9" borderId="3" xfId="0" applyFont="1" applyFill="1" applyBorder="1" applyAlignment="1" applyProtection="1">
      <alignment horizontal="center"/>
      <protection locked="0"/>
    </xf>
    <xf numFmtId="0" fontId="1" fillId="9" borderId="3" xfId="0" applyFont="1" applyFill="1" applyBorder="1" applyAlignment="1" applyProtection="1">
      <alignment horizontal="center"/>
      <protection locked="0"/>
    </xf>
    <xf numFmtId="0" fontId="1" fillId="9" borderId="3" xfId="0" applyFont="1" applyFill="1" applyBorder="1" applyAlignment="1" applyProtection="1">
      <alignment horizontal="center"/>
      <protection locked="0"/>
    </xf>
    <xf numFmtId="0" fontId="1" fillId="0" borderId="15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90" xfId="0" applyFont="1" applyBorder="1" applyAlignment="1">
      <alignment horizontal="center"/>
    </xf>
    <xf numFmtId="1" fontId="1" fillId="0" borderId="91" xfId="0" applyNumberFormat="1" applyFont="1" applyBorder="1" applyAlignment="1">
      <alignment horizontal="center"/>
    </xf>
    <xf numFmtId="0" fontId="1" fillId="0" borderId="92" xfId="0" applyFont="1" applyBorder="1" applyAlignment="1">
      <alignment horizontal="center"/>
    </xf>
    <xf numFmtId="2" fontId="1" fillId="0" borderId="3" xfId="0" applyNumberFormat="1" applyFont="1" applyBorder="1" applyAlignment="1">
      <alignment horizontal="center"/>
    </xf>
    <xf numFmtId="1" fontId="1" fillId="0" borderId="84" xfId="0" applyNumberFormat="1" applyFont="1" applyBorder="1" applyAlignment="1">
      <alignment horizontal="center"/>
    </xf>
    <xf numFmtId="2" fontId="1" fillId="0" borderId="16" xfId="0" applyNumberFormat="1" applyFont="1" applyBorder="1" applyAlignment="1">
      <alignment horizontal="center"/>
    </xf>
    <xf numFmtId="1" fontId="1" fillId="0" borderId="85" xfId="0" applyNumberFormat="1" applyFont="1" applyBorder="1" applyAlignment="1">
      <alignment horizontal="center"/>
    </xf>
    <xf numFmtId="0" fontId="1" fillId="9" borderId="92" xfId="0" applyFont="1" applyFill="1" applyBorder="1" applyAlignment="1" applyProtection="1">
      <alignment horizontal="center"/>
      <protection locked="0"/>
    </xf>
    <xf numFmtId="0" fontId="1" fillId="9" borderId="93" xfId="0" applyFont="1" applyFill="1" applyBorder="1" applyAlignment="1" applyProtection="1">
      <alignment horizontal="center"/>
      <protection locked="0"/>
    </xf>
    <xf numFmtId="0" fontId="1" fillId="9" borderId="16" xfId="0" applyFont="1" applyFill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9" borderId="3" xfId="0" applyFont="1" applyFill="1" applyBorder="1" applyAlignment="1" applyProtection="1">
      <alignment horizontal="center"/>
      <protection locked="0"/>
    </xf>
    <xf numFmtId="0" fontId="1" fillId="9" borderId="3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>
      <alignment horizontal="right" vertical="center" textRotation="90"/>
    </xf>
    <xf numFmtId="0" fontId="1" fillId="0" borderId="0" xfId="0" applyFont="1" applyAlignment="1">
      <alignment horizontal="right" vertical="center" textRotation="90"/>
    </xf>
    <xf numFmtId="0" fontId="1" fillId="0" borderId="14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9" borderId="3" xfId="0" applyFont="1" applyFill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hidden="1"/>
    </xf>
    <xf numFmtId="0" fontId="1" fillId="0" borderId="3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8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83" xfId="0" applyFont="1" applyFill="1" applyBorder="1" applyAlignment="1">
      <alignment horizontal="center"/>
    </xf>
    <xf numFmtId="0" fontId="1" fillId="0" borderId="0" xfId="0" applyFont="1" applyAlignment="1">
      <alignment horizontal="right" vertical="center" textRotation="90"/>
    </xf>
    <xf numFmtId="0" fontId="1" fillId="0" borderId="0" xfId="0" applyFont="1" applyBorder="1" applyAlignment="1">
      <alignment horizontal="right" vertical="center" textRotation="90"/>
    </xf>
    <xf numFmtId="0" fontId="1" fillId="9" borderId="3" xfId="0" applyFont="1" applyFill="1" applyBorder="1" applyAlignment="1" applyProtection="1">
      <alignment horizontal="center"/>
      <protection locked="0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1" fillId="0" borderId="3" xfId="0" applyFont="1" applyBorder="1" applyAlignment="1" applyProtection="1">
      <alignment horizontal="center"/>
      <protection hidden="1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2" fillId="7" borderId="69" xfId="0" applyFont="1" applyFill="1" applyBorder="1" applyAlignment="1">
      <alignment horizontal="center" wrapText="1"/>
    </xf>
    <xf numFmtId="0" fontId="2" fillId="7" borderId="70" xfId="0" applyFont="1" applyFill="1" applyBorder="1" applyAlignment="1">
      <alignment horizontal="center" wrapText="1"/>
    </xf>
    <xf numFmtId="0" fontId="2" fillId="7" borderId="71" xfId="0" applyFont="1" applyFill="1" applyBorder="1" applyAlignment="1">
      <alignment horizontal="center" wrapText="1"/>
    </xf>
  </cellXfs>
  <cellStyles count="1"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Trave ad una campata</a:t>
            </a:r>
          </a:p>
        </c:rich>
      </c:tx>
      <c:layout>
        <c:manualLayout>
          <c:xMode val="edge"/>
          <c:yMode val="edge"/>
          <c:x val="0.34045560930290142"/>
          <c:y val="1.716463524251264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44"/>
          <c:w val="0.90742455710851788"/>
          <c:h val="0.72388118151897674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'Coordinate travi Menu'!$A$4:$A$7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</c:numCache>
            </c:numRef>
          </c:xVal>
          <c:yVal>
            <c:numRef>
              <c:f>'Coordinate travi Menu'!$B$4:$B$7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B7-4F06-B752-C2258089C67F}"/>
            </c:ext>
          </c:extLst>
        </c:ser>
        <c:ser>
          <c:idx val="1"/>
          <c:order val="1"/>
          <c:tx>
            <c:v>vinccolo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0B7-4F06-B752-C2258089C6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Menu'!$A$11:$A$14</c:f>
              <c:numCache>
                <c:formatCode>General</c:formatCode>
                <c:ptCount val="4"/>
                <c:pt idx="0">
                  <c:v>1</c:v>
                </c:pt>
                <c:pt idx="1">
                  <c:v>0.75</c:v>
                </c:pt>
                <c:pt idx="2">
                  <c:v>1.25</c:v>
                </c:pt>
                <c:pt idx="3">
                  <c:v>1</c:v>
                </c:pt>
              </c:numCache>
            </c:numRef>
          </c:xVal>
          <c:yVal>
            <c:numRef>
              <c:f>'Coordinate travi Menu'!$B$11:$B$14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B7-4F06-B752-C2258089C67F}"/>
            </c:ext>
          </c:extLst>
        </c:ser>
        <c:ser>
          <c:idx val="2"/>
          <c:order val="2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B7-4F06-B752-C2258089C6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Menu'!$D$11:$D$14</c:f>
              <c:numCache>
                <c:formatCode>General</c:formatCode>
                <c:ptCount val="4"/>
                <c:pt idx="0">
                  <c:v>6</c:v>
                </c:pt>
                <c:pt idx="1">
                  <c:v>5.75</c:v>
                </c:pt>
                <c:pt idx="2">
                  <c:v>6.25</c:v>
                </c:pt>
                <c:pt idx="3">
                  <c:v>6</c:v>
                </c:pt>
              </c:numCache>
            </c:numRef>
          </c:xVal>
          <c:yVal>
            <c:numRef>
              <c:f>'Coordinate travi Menu'!$E$11:$E$14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B7-4F06-B752-C2258089C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4448"/>
        <c:axId val="306395008"/>
      </c:scatterChart>
      <c:valAx>
        <c:axId val="306394448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06395008"/>
        <c:crosses val="autoZero"/>
        <c:crossBetween val="midCat"/>
        <c:majorUnit val="1"/>
      </c:valAx>
      <c:valAx>
        <c:axId val="306395008"/>
        <c:scaling>
          <c:orientation val="minMax"/>
          <c:max val="0.8"/>
          <c:min val="-0.5"/>
        </c:scaling>
        <c:delete val="1"/>
        <c:axPos val="l"/>
        <c:numFmt formatCode="General" sourceLinked="1"/>
        <c:majorTickMark val="out"/>
        <c:minorTickMark val="none"/>
        <c:tickLblPos val="none"/>
        <c:crossAx val="306394448"/>
        <c:crosses val="autoZero"/>
        <c:crossBetween val="midCat"/>
        <c:majorUnit val="0.05"/>
        <c:minorUnit val="0.0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solidFill>
        <a:schemeClr val="tx1"/>
      </a:solidFill>
    </a:ln>
    <a:scene3d>
      <a:camera prst="orthographicFront"/>
      <a:lightRig rig="threePt" dir="t"/>
    </a:scene3d>
    <a:sp3d prstMaterial="matte">
      <a:bevelT w="127000" h="63500"/>
    </a:sp3d>
  </c:spPr>
  <c:printSettings>
    <c:headerFooter/>
    <c:pageMargins b="0.75000000000001366" l="0.70000000000000062" r="0.70000000000000062" t="0.75000000000001366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Trave continua a due campate</a:t>
            </a:r>
          </a:p>
        </c:rich>
      </c:tx>
      <c:layout>
        <c:manualLayout>
          <c:xMode val="edge"/>
          <c:yMode val="edge"/>
          <c:x val="0.32391632893626116"/>
          <c:y val="1.716456507575230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52"/>
          <c:w val="0.90742455710851755"/>
          <c:h val="0.64690585877040774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'Coordinate travi Menu'!$G$4:$G$8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11</c:v>
                </c:pt>
                <c:pt idx="4">
                  <c:v>12</c:v>
                </c:pt>
              </c:numCache>
            </c:numRef>
          </c:xVal>
          <c:yVal>
            <c:numRef>
              <c:f>'Coordinate travi Menu'!$H$4:$H$8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05-47F4-83C3-AFF86243B2EE}"/>
            </c:ext>
          </c:extLst>
        </c:ser>
        <c:ser>
          <c:idx val="1"/>
          <c:order val="1"/>
          <c:tx>
            <c:v>vinccolo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05-47F4-83C3-AFF86243B2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Menu'!$G$12:$G$15</c:f>
              <c:numCache>
                <c:formatCode>General</c:formatCode>
                <c:ptCount val="4"/>
                <c:pt idx="0">
                  <c:v>1</c:v>
                </c:pt>
                <c:pt idx="1">
                  <c:v>0.75</c:v>
                </c:pt>
                <c:pt idx="2">
                  <c:v>1.25</c:v>
                </c:pt>
                <c:pt idx="3">
                  <c:v>1</c:v>
                </c:pt>
              </c:numCache>
            </c:numRef>
          </c:xVal>
          <c:yVal>
            <c:numRef>
              <c:f>'Coordinate travi Menu'!$H$12:$H$15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05-47F4-83C3-AFF86243B2EE}"/>
            </c:ext>
          </c:extLst>
        </c:ser>
        <c:ser>
          <c:idx val="2"/>
          <c:order val="2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05-47F4-83C3-AFF86243B2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Menu'!$J$12:$J$15</c:f>
              <c:numCache>
                <c:formatCode>General</c:formatCode>
                <c:ptCount val="4"/>
                <c:pt idx="0">
                  <c:v>6</c:v>
                </c:pt>
                <c:pt idx="1">
                  <c:v>5.75</c:v>
                </c:pt>
                <c:pt idx="2">
                  <c:v>6.25</c:v>
                </c:pt>
                <c:pt idx="3">
                  <c:v>6</c:v>
                </c:pt>
              </c:numCache>
            </c:numRef>
          </c:xVal>
          <c:yVal>
            <c:numRef>
              <c:f>'Coordinate travi Menu'!$K$12:$K$15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905-47F4-83C3-AFF86243B2EE}"/>
            </c:ext>
          </c:extLst>
        </c:ser>
        <c:ser>
          <c:idx val="3"/>
          <c:order val="3"/>
          <c:tx>
            <c:v>vincolo 3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905-47F4-83C3-AFF86243B2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Menu'!$G$18:$G$21</c:f>
              <c:numCache>
                <c:formatCode>General</c:formatCode>
                <c:ptCount val="4"/>
                <c:pt idx="0">
                  <c:v>11</c:v>
                </c:pt>
                <c:pt idx="1">
                  <c:v>10.75</c:v>
                </c:pt>
                <c:pt idx="2">
                  <c:v>11.25</c:v>
                </c:pt>
                <c:pt idx="3">
                  <c:v>11</c:v>
                </c:pt>
              </c:numCache>
            </c:numRef>
          </c:xVal>
          <c:yVal>
            <c:numRef>
              <c:f>'Coordinate travi Menu'!$H$18:$H$21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905-47F4-83C3-AFF86243B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155792"/>
        <c:axId val="309156352"/>
      </c:scatterChart>
      <c:valAx>
        <c:axId val="309155792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09156352"/>
        <c:crosses val="autoZero"/>
        <c:crossBetween val="midCat"/>
        <c:majorUnit val="1"/>
      </c:valAx>
      <c:valAx>
        <c:axId val="309156352"/>
        <c:scaling>
          <c:orientation val="minMax"/>
          <c:max val="0.8"/>
          <c:min val="-0.30000000000000032"/>
        </c:scaling>
        <c:delete val="1"/>
        <c:axPos val="l"/>
        <c:numFmt formatCode="General" sourceLinked="1"/>
        <c:majorTickMark val="out"/>
        <c:minorTickMark val="none"/>
        <c:tickLblPos val="none"/>
        <c:crossAx val="309155792"/>
        <c:crosses val="autoZero"/>
        <c:crossBetween val="midCat"/>
        <c:majorUnit val="0.05"/>
        <c:minorUnit val="0.0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solidFill>
        <a:sysClr val="windowText" lastClr="000000"/>
      </a:solidFill>
    </a:ln>
    <a:scene3d>
      <a:camera prst="orthographicFront"/>
      <a:lightRig rig="threePt" dir="t"/>
    </a:scene3d>
    <a:sp3d prstMaterial="matte">
      <a:bevelT w="127000" h="63500"/>
    </a:sp3d>
  </c:spPr>
  <c:printSettings>
    <c:headerFooter/>
    <c:pageMargins b="0.75000000000001332" l="0.70000000000000062" r="0.70000000000000062" t="0.75000000000001332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Trave continua a tre campate</a:t>
            </a:r>
          </a:p>
        </c:rich>
      </c:tx>
      <c:layout>
        <c:manualLayout>
          <c:xMode val="edge"/>
          <c:yMode val="edge"/>
          <c:x val="0.33741926920636595"/>
          <c:y val="1.716460310015874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75"/>
          <c:w val="0.90742455710851666"/>
          <c:h val="0.61562731463349807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'Coordinate travi Menu'!$M$4:$M$9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11</c:v>
                </c:pt>
                <c:pt idx="4">
                  <c:v>16</c:v>
                </c:pt>
                <c:pt idx="5">
                  <c:v>17</c:v>
                </c:pt>
              </c:numCache>
            </c:numRef>
          </c:xVal>
          <c:yVal>
            <c:numRef>
              <c:f>'Coordinate travi Menu'!$N$4:$N$9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16-4FFC-921F-4C5778AC4422}"/>
            </c:ext>
          </c:extLst>
        </c:ser>
        <c:ser>
          <c:idx val="1"/>
          <c:order val="1"/>
          <c:tx>
            <c:v>vinccolo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416-4FFC-921F-4C5778AC44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Menu'!$M$12:$M$15</c:f>
              <c:numCache>
                <c:formatCode>General</c:formatCode>
                <c:ptCount val="4"/>
                <c:pt idx="0">
                  <c:v>1</c:v>
                </c:pt>
                <c:pt idx="1">
                  <c:v>0.75</c:v>
                </c:pt>
                <c:pt idx="2">
                  <c:v>1.25</c:v>
                </c:pt>
                <c:pt idx="3">
                  <c:v>1</c:v>
                </c:pt>
              </c:numCache>
            </c:numRef>
          </c:xVal>
          <c:yVal>
            <c:numRef>
              <c:f>'Coordinate travi Menu'!$N$12:$N$15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16-4FFC-921F-4C5778AC4422}"/>
            </c:ext>
          </c:extLst>
        </c:ser>
        <c:ser>
          <c:idx val="2"/>
          <c:order val="2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16-4FFC-921F-4C5778AC44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Menu'!$P$12:$P$15</c:f>
              <c:numCache>
                <c:formatCode>General</c:formatCode>
                <c:ptCount val="4"/>
                <c:pt idx="0">
                  <c:v>6</c:v>
                </c:pt>
                <c:pt idx="1">
                  <c:v>5.75</c:v>
                </c:pt>
                <c:pt idx="2">
                  <c:v>6.25</c:v>
                </c:pt>
                <c:pt idx="3">
                  <c:v>6</c:v>
                </c:pt>
              </c:numCache>
            </c:numRef>
          </c:xVal>
          <c:yVal>
            <c:numRef>
              <c:f>'Coordinate travi Menu'!$Q$12:$Q$15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16-4FFC-921F-4C5778AC4422}"/>
            </c:ext>
          </c:extLst>
        </c:ser>
        <c:ser>
          <c:idx val="3"/>
          <c:order val="3"/>
          <c:tx>
            <c:v>vincolo 3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416-4FFC-921F-4C5778AC44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Menu'!$M$18:$M$21</c:f>
              <c:numCache>
                <c:formatCode>General</c:formatCode>
                <c:ptCount val="4"/>
                <c:pt idx="0">
                  <c:v>11</c:v>
                </c:pt>
                <c:pt idx="1">
                  <c:v>10.75</c:v>
                </c:pt>
                <c:pt idx="2">
                  <c:v>11.25</c:v>
                </c:pt>
                <c:pt idx="3">
                  <c:v>11</c:v>
                </c:pt>
              </c:numCache>
            </c:numRef>
          </c:xVal>
          <c:yVal>
            <c:numRef>
              <c:f>'Coordinate travi Menu'!$N$18:$N$21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16-4FFC-921F-4C5778AC4422}"/>
            </c:ext>
          </c:extLst>
        </c:ser>
        <c:ser>
          <c:idx val="4"/>
          <c:order val="4"/>
          <c:tx>
            <c:v>vincolo 4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16-4FFC-921F-4C5778AC44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Menu'!$P$18:$P$21</c:f>
              <c:numCache>
                <c:formatCode>General</c:formatCode>
                <c:ptCount val="4"/>
                <c:pt idx="0">
                  <c:v>16</c:v>
                </c:pt>
                <c:pt idx="1">
                  <c:v>15.75</c:v>
                </c:pt>
                <c:pt idx="2">
                  <c:v>16.25</c:v>
                </c:pt>
                <c:pt idx="3">
                  <c:v>16</c:v>
                </c:pt>
              </c:numCache>
            </c:numRef>
          </c:xVal>
          <c:yVal>
            <c:numRef>
              <c:f>'Coordinate travi Menu'!$Q$18:$Q$21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416-4FFC-921F-4C5778AC4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161392"/>
        <c:axId val="309161952"/>
      </c:scatterChart>
      <c:valAx>
        <c:axId val="309161392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09161952"/>
        <c:crosses val="autoZero"/>
        <c:crossBetween val="midCat"/>
        <c:majorUnit val="1"/>
      </c:valAx>
      <c:valAx>
        <c:axId val="309161952"/>
        <c:scaling>
          <c:orientation val="minMax"/>
          <c:max val="0.8"/>
          <c:min val="-0.30000000000000032"/>
        </c:scaling>
        <c:delete val="1"/>
        <c:axPos val="l"/>
        <c:numFmt formatCode="General" sourceLinked="1"/>
        <c:majorTickMark val="out"/>
        <c:minorTickMark val="none"/>
        <c:tickLblPos val="none"/>
        <c:crossAx val="30916139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solidFill>
        <a:sysClr val="windowText" lastClr="000000"/>
      </a:solidFill>
    </a:ln>
    <a:scene3d>
      <a:camera prst="orthographicFront"/>
      <a:lightRig rig="threePt" dir="t"/>
    </a:scene3d>
    <a:sp3d prstMaterial="matte">
      <a:bevelT w="127000" h="63500"/>
    </a:sp3d>
  </c:spPr>
  <c:printSettings>
    <c:headerFooter/>
    <c:pageMargins b="0.75000000000001243" l="0.70000000000000062" r="0.70000000000000062" t="0.75000000000001243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Trave continua a quattro campate</a:t>
            </a:r>
          </a:p>
        </c:rich>
      </c:tx>
      <c:layout>
        <c:manualLayout>
          <c:xMode val="edge"/>
          <c:yMode val="edge"/>
          <c:x val="0.31449870422585796"/>
          <c:y val="1.7164671924202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205"/>
          <c:w val="0.90742455710851555"/>
          <c:h val="0.65779853679241418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'Coordinate travi Menu'!$S$4:$S$10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11</c:v>
                </c:pt>
                <c:pt idx="4">
                  <c:v>16</c:v>
                </c:pt>
                <c:pt idx="5">
                  <c:v>21</c:v>
                </c:pt>
                <c:pt idx="6">
                  <c:v>22</c:v>
                </c:pt>
              </c:numCache>
            </c:numRef>
          </c:xVal>
          <c:yVal>
            <c:numRef>
              <c:f>'Coordinate travi Menu'!$T$4:$T$10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2D-4ED7-AAB0-F727CCC44084}"/>
            </c:ext>
          </c:extLst>
        </c:ser>
        <c:ser>
          <c:idx val="1"/>
          <c:order val="1"/>
          <c:tx>
            <c:v>vincolo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2D-4ED7-AAB0-F727CCC440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Menu'!$S$13:$S$16</c:f>
              <c:numCache>
                <c:formatCode>General</c:formatCode>
                <c:ptCount val="4"/>
                <c:pt idx="0">
                  <c:v>1</c:v>
                </c:pt>
                <c:pt idx="1">
                  <c:v>0.75</c:v>
                </c:pt>
                <c:pt idx="2">
                  <c:v>1.25</c:v>
                </c:pt>
                <c:pt idx="3">
                  <c:v>1</c:v>
                </c:pt>
              </c:numCache>
            </c:numRef>
          </c:xVal>
          <c:yVal>
            <c:numRef>
              <c:f>'Coordinate travi Menu'!$T$13:$T$16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2D-4ED7-AAB0-F727CCC44084}"/>
            </c:ext>
          </c:extLst>
        </c:ser>
        <c:ser>
          <c:idx val="2"/>
          <c:order val="2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2D-4ED7-AAB0-F727CCC440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Menu'!$V$13:$V$16</c:f>
              <c:numCache>
                <c:formatCode>General</c:formatCode>
                <c:ptCount val="4"/>
                <c:pt idx="0">
                  <c:v>6</c:v>
                </c:pt>
                <c:pt idx="1">
                  <c:v>5.75</c:v>
                </c:pt>
                <c:pt idx="2">
                  <c:v>6.25</c:v>
                </c:pt>
                <c:pt idx="3">
                  <c:v>6</c:v>
                </c:pt>
              </c:numCache>
            </c:numRef>
          </c:xVal>
          <c:yVal>
            <c:numRef>
              <c:f>'Coordinate travi Menu'!$W$13:$W$16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2D-4ED7-AAB0-F727CCC44084}"/>
            </c:ext>
          </c:extLst>
        </c:ser>
        <c:ser>
          <c:idx val="3"/>
          <c:order val="3"/>
          <c:tx>
            <c:v>vincolo 3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C2D-4ED7-AAB0-F727CCC440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Menu'!$S$19:$S$22</c:f>
              <c:numCache>
                <c:formatCode>General</c:formatCode>
                <c:ptCount val="4"/>
                <c:pt idx="0">
                  <c:v>11</c:v>
                </c:pt>
                <c:pt idx="1">
                  <c:v>10.75</c:v>
                </c:pt>
                <c:pt idx="2">
                  <c:v>11.25</c:v>
                </c:pt>
                <c:pt idx="3">
                  <c:v>11</c:v>
                </c:pt>
              </c:numCache>
            </c:numRef>
          </c:xVal>
          <c:yVal>
            <c:numRef>
              <c:f>'Coordinate travi Menu'!$T$19:$T$22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C2D-4ED7-AAB0-F727CCC44084}"/>
            </c:ext>
          </c:extLst>
        </c:ser>
        <c:ser>
          <c:idx val="4"/>
          <c:order val="4"/>
          <c:tx>
            <c:v>vincolo 4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2D-4ED7-AAB0-F727CCC440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Menu'!$V$19:$V$22</c:f>
              <c:numCache>
                <c:formatCode>General</c:formatCode>
                <c:ptCount val="4"/>
                <c:pt idx="0">
                  <c:v>16</c:v>
                </c:pt>
                <c:pt idx="1">
                  <c:v>15.75</c:v>
                </c:pt>
                <c:pt idx="2">
                  <c:v>16.25</c:v>
                </c:pt>
                <c:pt idx="3">
                  <c:v>16</c:v>
                </c:pt>
              </c:numCache>
            </c:numRef>
          </c:xVal>
          <c:yVal>
            <c:numRef>
              <c:f>'Coordinate travi Menu'!$W$19:$W$22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C2D-4ED7-AAB0-F727CCC44084}"/>
            </c:ext>
          </c:extLst>
        </c:ser>
        <c:ser>
          <c:idx val="5"/>
          <c:order val="5"/>
          <c:tx>
            <c:v>vincolo 5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2D-4ED7-AAB0-F727CCC440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'Coordinate travi Menu'!$S$25:$S$28</c:f>
              <c:numCache>
                <c:formatCode>General</c:formatCode>
                <c:ptCount val="4"/>
                <c:pt idx="0">
                  <c:v>21</c:v>
                </c:pt>
                <c:pt idx="1">
                  <c:v>20.75</c:v>
                </c:pt>
                <c:pt idx="2">
                  <c:v>21.25</c:v>
                </c:pt>
                <c:pt idx="3">
                  <c:v>21</c:v>
                </c:pt>
              </c:numCache>
            </c:numRef>
          </c:xVal>
          <c:yVal>
            <c:numRef>
              <c:f>'Coordinate travi Menu'!$T$25:$T$28</c:f>
              <c:numCache>
                <c:formatCode>General</c:formatCode>
                <c:ptCount val="4"/>
                <c:pt idx="0">
                  <c:v>0</c:v>
                </c:pt>
                <c:pt idx="1">
                  <c:v>-0.25</c:v>
                </c:pt>
                <c:pt idx="2">
                  <c:v>-0.25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C2D-4ED7-AAB0-F727CCC44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994928"/>
        <c:axId val="308995488"/>
      </c:scatterChart>
      <c:valAx>
        <c:axId val="308994928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08995488"/>
        <c:crosses val="autoZero"/>
        <c:crossBetween val="midCat"/>
        <c:majorUnit val="1"/>
      </c:valAx>
      <c:valAx>
        <c:axId val="308995488"/>
        <c:scaling>
          <c:orientation val="minMax"/>
          <c:max val="0.8"/>
          <c:min val="-0.30000000000000032"/>
        </c:scaling>
        <c:delete val="1"/>
        <c:axPos val="l"/>
        <c:numFmt formatCode="General" sourceLinked="1"/>
        <c:majorTickMark val="out"/>
        <c:minorTickMark val="none"/>
        <c:tickLblPos val="none"/>
        <c:crossAx val="30899492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solidFill>
        <a:sysClr val="windowText" lastClr="000000"/>
      </a:solidFill>
    </a:ln>
    <a:scene3d>
      <a:camera prst="orthographicFront"/>
      <a:lightRig rig="threePt" dir="t"/>
    </a:scene3d>
    <a:sp3d prstMaterial="matte">
      <a:bevelT w="127000" h="63500"/>
    </a:sp3d>
  </c:spPr>
  <c:printSettings>
    <c:headerFooter/>
    <c:pageMargins b="0.75000000000001132" l="0.70000000000000062" r="0.70000000000000062" t="0.75000000000001132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16E-2"/>
          <c:y val="9.9061975819114148E-2"/>
          <c:w val="0.94847987950390944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'C-car.1'!$U$41:$U$57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'C-car.1'!$V$41:$V$57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0.32602499999999995</c:v>
                </c:pt>
                <c:pt idx="6">
                  <c:v>0.55889999999999995</c:v>
                </c:pt>
                <c:pt idx="7">
                  <c:v>0.69862499999999983</c:v>
                </c:pt>
                <c:pt idx="8">
                  <c:v>0.74519999999999986</c:v>
                </c:pt>
                <c:pt idx="9">
                  <c:v>0.69862499999999961</c:v>
                </c:pt>
                <c:pt idx="10">
                  <c:v>0.55889999999999995</c:v>
                </c:pt>
                <c:pt idx="11">
                  <c:v>0.32602499999999957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D6-4DE7-AA6B-491FF2E020F2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14D6-4DE7-AA6B-491FF2E020F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'C-car.1'!$AC$11:$AC$12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4D6-4DE7-AA6B-491FF2E020F2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6-14D6-4DE7-AA6B-491FF2E020F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'C-car.1'!$AC$13:$AC$14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4D6-4DE7-AA6B-491FF2E020F2}"/>
            </c:ext>
          </c:extLst>
        </c:ser>
        <c:ser>
          <c:idx val="10"/>
          <c:order val="3"/>
          <c:tx>
            <c:v>camp1-2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'C-car.1'!$AB$34:$AB$35</c:f>
              <c:numCache>
                <c:formatCode>0.00</c:formatCode>
                <c:ptCount val="2"/>
                <c:pt idx="0">
                  <c:v>0.6</c:v>
                </c:pt>
                <c:pt idx="1">
                  <c:v>0.6</c:v>
                </c:pt>
              </c:numCache>
            </c:numRef>
          </c:xVal>
          <c:yVal>
            <c:numRef>
              <c:f>'C-car.1'!$AC$34:$AC$35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0.74519999999999986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4D6-4DE7-AA6B-491FF2E020F2}"/>
            </c:ext>
          </c:extLst>
        </c:ser>
        <c:ser>
          <c:idx val="4"/>
          <c:order val="4"/>
          <c:tx>
            <c:v>M2(x)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'C-car.2'!$U$41:$U$57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'C-car.2'!$V$41:$V$57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4D6-4DE7-AA6B-491FF2E020F2}"/>
            </c:ext>
          </c:extLst>
        </c:ser>
        <c:ser>
          <c:idx val="5"/>
          <c:order val="5"/>
          <c:tx>
            <c:v>2-app.1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'C-car.2'!$AC$11:$AC$12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4D6-4DE7-AA6B-491FF2E020F2}"/>
            </c:ext>
          </c:extLst>
        </c:ser>
        <c:ser>
          <c:idx val="6"/>
          <c:order val="6"/>
          <c:tx>
            <c:v>2-app.2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'C-car.2'!$AC$13:$AC$14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4D6-4DE7-AA6B-491FF2E020F2}"/>
            </c:ext>
          </c:extLst>
        </c:ser>
        <c:ser>
          <c:idx val="8"/>
          <c:order val="7"/>
          <c:tx>
            <c:v>2-camp.1-2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'C-car.2'!$AC$34:$AC$35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4D6-4DE7-AA6B-491FF2E020F2}"/>
            </c:ext>
          </c:extLst>
        </c:ser>
        <c:ser>
          <c:idx val="12"/>
          <c:order val="8"/>
          <c:tx>
            <c:v>M3(x)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'C-car.3'!$U$41:$U$57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'C-car.3'!$V$41:$V$57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4D6-4DE7-AA6B-491FF2E020F2}"/>
            </c:ext>
          </c:extLst>
        </c:ser>
        <c:ser>
          <c:idx val="13"/>
          <c:order val="9"/>
          <c:tx>
            <c:v>3-app.1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'C-car.3'!$AC$11:$AC$12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14D6-4DE7-AA6B-491FF2E020F2}"/>
            </c:ext>
          </c:extLst>
        </c:ser>
        <c:ser>
          <c:idx val="14"/>
          <c:order val="10"/>
          <c:tx>
            <c:v>3-app.2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'C-car.3'!$AC$13:$AC$14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14D6-4DE7-AA6B-491FF2E020F2}"/>
            </c:ext>
          </c:extLst>
        </c:ser>
        <c:ser>
          <c:idx val="16"/>
          <c:order val="11"/>
          <c:tx>
            <c:v>3-camp.1-2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'C-car.3'!$AC$34:$AC$35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14D6-4DE7-AA6B-491FF2E020F2}"/>
            </c:ext>
          </c:extLst>
        </c:ser>
        <c:ser>
          <c:idx val="18"/>
          <c:order val="12"/>
          <c:tx>
            <c:v>M4(x)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'C-car.4'!$U$41:$U$57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'C-car.4'!$V$41:$V$57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14D6-4DE7-AA6B-491FF2E020F2}"/>
            </c:ext>
          </c:extLst>
        </c:ser>
        <c:ser>
          <c:idx val="19"/>
          <c:order val="13"/>
          <c:tx>
            <c:v>4-app.1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'C-car.4'!$AC$11:$AC$12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14D6-4DE7-AA6B-491FF2E020F2}"/>
            </c:ext>
          </c:extLst>
        </c:ser>
        <c:ser>
          <c:idx val="20"/>
          <c:order val="14"/>
          <c:tx>
            <c:v>4-app.2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'C-car.4'!$AC$13:$AC$14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14D6-4DE7-AA6B-491FF2E020F2}"/>
            </c:ext>
          </c:extLst>
        </c:ser>
        <c:ser>
          <c:idx val="22"/>
          <c:order val="15"/>
          <c:tx>
            <c:v>4-camp.1-2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'C-car.4'!$AC$34:$AC$35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14D6-4DE7-AA6B-491FF2E020F2}"/>
            </c:ext>
          </c:extLst>
        </c:ser>
        <c:ser>
          <c:idx val="24"/>
          <c:order val="16"/>
          <c:tx>
            <c:v>M5(x)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4D6-4DE7-AA6B-491FF2E020F2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14D6-4DE7-AA6B-491FF2E020F2}"/>
                </c:ext>
              </c:extLst>
            </c:dLbl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'C-car.5'!$V$41:$V$57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14D6-4DE7-AA6B-491FF2E020F2}"/>
            </c:ext>
          </c:extLst>
        </c:ser>
        <c:ser>
          <c:idx val="25"/>
          <c:order val="17"/>
          <c:tx>
            <c:v>5-app.1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'C-car.5'!$AB$11:$AB$12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'C-car.5'!$AC$11:$AC$12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14D6-4DE7-AA6B-491FF2E020F2}"/>
            </c:ext>
          </c:extLst>
        </c:ser>
        <c:ser>
          <c:idx val="26"/>
          <c:order val="18"/>
          <c:tx>
            <c:v>5-app.2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'C-car.5'!$AB$13:$AB$14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'C-car.5'!$AC$13:$AC$14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14D6-4DE7-AA6B-491FF2E020F2}"/>
            </c:ext>
          </c:extLst>
        </c:ser>
        <c:ser>
          <c:idx val="28"/>
          <c:order val="19"/>
          <c:tx>
            <c:v>5-camp.1-2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14D6-4DE7-AA6B-491FF2E020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'C-car.5'!$AC$34:$AC$35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14D6-4DE7-AA6B-491FF2E020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0889312"/>
        <c:axId val="310889872"/>
      </c:scatterChart>
      <c:valAx>
        <c:axId val="310889312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2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10889872"/>
        <c:crosses val="autoZero"/>
        <c:crossBetween val="midCat"/>
        <c:majorUnit val="1"/>
      </c:valAx>
      <c:valAx>
        <c:axId val="310889872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08893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1343" l="0.70000000000000062" r="0.70000000000000062" t="0.7500000000000134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09"/>
          <c:w val="0.94796977526453763"/>
          <c:h val="0.77738578636805189"/>
        </c:manualLayout>
      </c:layout>
      <c:scatterChart>
        <c:scatterStyle val="lineMarker"/>
        <c:varyColors val="0"/>
        <c:ser>
          <c:idx val="0"/>
          <c:order val="0"/>
          <c:tx>
            <c:v>T1(x)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F7-4B3F-AD46-EE8D010B9AD3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DF7-4B3F-AD46-EE8D010B9AD3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F7-4B3F-AD46-EE8D010B9AD3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F7-4B3F-AD46-EE8D010B9AD3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F7-4B3F-AD46-EE8D010B9AD3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F7-4B3F-AD46-EE8D010B9AD3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F7-4B3F-AD46-EE8D010B9AD3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F7-4B3F-AD46-EE8D010B9AD3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F7-4B3F-AD46-EE8D010B9AD3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DF7-4B3F-AD46-EE8D010B9A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'C-car.1'!$W$41:$W$57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2.4839999999999995</c:v>
                </c:pt>
                <c:pt idx="5">
                  <c:v>1.8629999999999995</c:v>
                </c:pt>
                <c:pt idx="6">
                  <c:v>1.2419999999999998</c:v>
                </c:pt>
                <c:pt idx="7">
                  <c:v>0.62099999999999977</c:v>
                </c:pt>
                <c:pt idx="8">
                  <c:v>0</c:v>
                </c:pt>
                <c:pt idx="9">
                  <c:v>-0.621</c:v>
                </c:pt>
                <c:pt idx="10">
                  <c:v>-1.242</c:v>
                </c:pt>
                <c:pt idx="11">
                  <c:v>-1.863</c:v>
                </c:pt>
                <c:pt idx="12">
                  <c:v>-2.4839999999999995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DF7-4B3F-AD46-EE8D010B9AD3}"/>
            </c:ext>
          </c:extLst>
        </c:ser>
        <c:ser>
          <c:idx val="1"/>
          <c:order val="1"/>
          <c:tx>
            <c:v>T2(x)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'C-car.2'!$U$41:$U$57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'C-car.2'!$W$41:$W$57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DF7-4B3F-AD46-EE8D010B9AD3}"/>
            </c:ext>
          </c:extLst>
        </c:ser>
        <c:ser>
          <c:idx val="2"/>
          <c:order val="2"/>
          <c:tx>
            <c:v>T3(x)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'C-car.3'!$U$41:$U$57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'C-car.3'!$W$41:$W$57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DF7-4B3F-AD46-EE8D010B9AD3}"/>
            </c:ext>
          </c:extLst>
        </c:ser>
        <c:ser>
          <c:idx val="3"/>
          <c:order val="3"/>
          <c:tx>
            <c:v>T4(x)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'C-car.4'!$U$41:$U$57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'C-car.4'!$W$41:$W$57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DF7-4B3F-AD46-EE8D010B9AD3}"/>
            </c:ext>
          </c:extLst>
        </c:ser>
        <c:ser>
          <c:idx val="4"/>
          <c:order val="4"/>
          <c:tx>
            <c:v>T5(x)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'C-car.5'!$U$41:$U$57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0.3</c:v>
                </c:pt>
                <c:pt idx="7">
                  <c:v>0.44999999999999996</c:v>
                </c:pt>
                <c:pt idx="8">
                  <c:v>0.6</c:v>
                </c:pt>
                <c:pt idx="9">
                  <c:v>0.75</c:v>
                </c:pt>
                <c:pt idx="10">
                  <c:v>0.89999999999999991</c:v>
                </c:pt>
                <c:pt idx="11">
                  <c:v>1.05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</c:numCache>
            </c:numRef>
          </c:xVal>
          <c:yVal>
            <c:numRef>
              <c:f>'C-car.5'!$W$41:$W$57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DF7-4B3F-AD46-EE8D010B9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90736"/>
        <c:axId val="311291296"/>
      </c:scatterChart>
      <c:valAx>
        <c:axId val="311290736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73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1291296"/>
        <c:crosses val="autoZero"/>
        <c:crossBetween val="midCat"/>
        <c:majorUnit val="1"/>
      </c:valAx>
      <c:valAx>
        <c:axId val="31129129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19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2907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43" l="0.70000000000000062" r="0.70000000000000062" t="0.75000000000001343" header="0.30000000000000032" footer="0.3000000000000003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06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5"/>
          <c:w val="0.90742455710851766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2950144904096403E-2"/>
                  <c:y val="0.1096930448814071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23F-452C-849B-9CE1479255B5}"/>
                </c:ext>
              </c:extLst>
            </c:dLbl>
            <c:dLbl>
              <c:idx val="1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3F-452C-849B-9CE1479255B5}"/>
                </c:ext>
              </c:extLst>
            </c:dLbl>
            <c:dLbl>
              <c:idx val="2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23F-452C-849B-9CE1479255B5}"/>
                </c:ext>
              </c:extLst>
            </c:dLbl>
            <c:dLbl>
              <c:idx val="3"/>
              <c:layout>
                <c:manualLayout>
                  <c:x val="-3.7234620506346655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3F-452C-849B-9CE1479255B5}"/>
                </c:ext>
              </c:extLst>
            </c:dLbl>
            <c:dLbl>
              <c:idx val="4"/>
              <c:layout>
                <c:manualLayout>
                  <c:x val="-3.7234620506346655E-2"/>
                  <c:y val="0.11974228108655609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3F-452C-849B-9CE1479255B5}"/>
                </c:ext>
              </c:extLst>
            </c:dLbl>
            <c:dLbl>
              <c:idx val="5"/>
              <c:layout>
                <c:manualLayout>
                  <c:x val="-3.7234620506346655E-2"/>
                  <c:y val="0.1096930448814071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3F-452C-849B-9CE1479255B5}"/>
                </c:ext>
              </c:extLst>
            </c:dLbl>
            <c:dLbl>
              <c:idx val="6"/>
              <c:layout>
                <c:manualLayout>
                  <c:x val="-3.7234620506346655E-2"/>
                  <c:y val="0.1096930448814071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23F-452C-849B-9CE1479255B5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'C-car.1'!$AB$48:$AB$52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'C-car.1'!$AC$48:$AC$52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23F-452C-849B-9CE1479255B5}"/>
            </c:ext>
          </c:extLst>
        </c:ser>
        <c:ser>
          <c:idx val="6"/>
          <c:order val="1"/>
          <c:tx>
            <c:v>qs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'C-car.1'!$Y$11:$Y$15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'C-car.1'!$Z$11:$Z$15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23F-452C-849B-9CE1479255B5}"/>
            </c:ext>
          </c:extLst>
        </c:ser>
        <c:ser>
          <c:idx val="7"/>
          <c:order val="2"/>
          <c:tx>
            <c:v>q12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'C-car.1'!$Y$18:$Y$22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'C-car.1'!$Z$18:$Z$22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14.14</c:v>
                </c:pt>
                <c:pt idx="3">
                  <c:v>14.14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23F-452C-849B-9CE1479255B5}"/>
            </c:ext>
          </c:extLst>
        </c:ser>
        <c:ser>
          <c:idx val="11"/>
          <c:order val="3"/>
          <c:tx>
            <c:v>qd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'C-car.1'!$Y$25:$Y$29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'C-car.1'!$Z$25:$Z$29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23F-452C-849B-9CE1479255B5}"/>
            </c:ext>
          </c:extLst>
        </c:ser>
        <c:ser>
          <c:idx val="1"/>
          <c:order val="4"/>
          <c:tx>
            <c:v>vinccolo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23F-452C-849B-9CE1479255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'C-Vincoli trave'!$A$2:$A$5</c:f>
              <c:numCache>
                <c:formatCode>0.00</c:formatCode>
                <c:ptCount val="4"/>
                <c:pt idx="0">
                  <c:v>0</c:v>
                </c:pt>
                <c:pt idx="1">
                  <c:v>-0.2</c:v>
                </c:pt>
                <c:pt idx="2">
                  <c:v>0.2</c:v>
                </c:pt>
                <c:pt idx="3">
                  <c:v>0</c:v>
                </c:pt>
              </c:numCache>
            </c:numRef>
          </c:xVal>
          <c:yVal>
            <c:numRef>
              <c:f>'C-Vincoli trave'!$B$2:$B$5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23F-452C-849B-9CE1479255B5}"/>
            </c:ext>
          </c:extLst>
        </c:ser>
        <c:ser>
          <c:idx val="2"/>
          <c:order val="5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23F-452C-849B-9CE1479255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'C-Vincoli trave'!$D$2:$D$5</c:f>
              <c:numCache>
                <c:formatCode>0.00</c:formatCode>
                <c:ptCount val="4"/>
                <c:pt idx="0">
                  <c:v>1.2</c:v>
                </c:pt>
                <c:pt idx="1">
                  <c:v>1</c:v>
                </c:pt>
                <c:pt idx="2">
                  <c:v>1.4</c:v>
                </c:pt>
                <c:pt idx="3">
                  <c:v>1.2</c:v>
                </c:pt>
              </c:numCache>
            </c:numRef>
          </c:xVal>
          <c:yVal>
            <c:numRef>
              <c:f>'C-Vincoli trave'!$E$2:$E$5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23F-452C-849B-9CE1479255B5}"/>
            </c:ext>
          </c:extLst>
        </c:ser>
        <c:ser>
          <c:idx val="4"/>
          <c:order val="6"/>
          <c:tx>
            <c:v>2-qs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'C-car.2'!$Y$11:$Y$15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'C-car.2'!$Z$11:$Z$15</c:f>
              <c:numCache>
                <c:formatCode>General</c:formatCode>
                <c:ptCount val="5"/>
                <c:pt idx="0">
                  <c:v>19.14</c:v>
                </c:pt>
                <c:pt idx="1">
                  <c:v>19.14</c:v>
                </c:pt>
                <c:pt idx="2">
                  <c:v>19.14</c:v>
                </c:pt>
                <c:pt idx="3">
                  <c:v>19.14</c:v>
                </c:pt>
                <c:pt idx="4">
                  <c:v>19.14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23F-452C-849B-9CE1479255B5}"/>
            </c:ext>
          </c:extLst>
        </c:ser>
        <c:ser>
          <c:idx val="5"/>
          <c:order val="7"/>
          <c:tx>
            <c:v>2-q12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'C-car.2'!$Y$18:$Y$22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'C-car.2'!$Z$18:$Z$22</c:f>
              <c:numCache>
                <c:formatCode>General</c:formatCode>
                <c:ptCount val="5"/>
                <c:pt idx="0">
                  <c:v>19.14</c:v>
                </c:pt>
                <c:pt idx="1">
                  <c:v>19.14</c:v>
                </c:pt>
                <c:pt idx="2">
                  <c:v>19.14</c:v>
                </c:pt>
                <c:pt idx="3">
                  <c:v>19.14</c:v>
                </c:pt>
                <c:pt idx="4">
                  <c:v>19.14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23F-452C-849B-9CE1479255B5}"/>
            </c:ext>
          </c:extLst>
        </c:ser>
        <c:ser>
          <c:idx val="10"/>
          <c:order val="8"/>
          <c:tx>
            <c:v>2-qd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'C-car.2'!$Y$25:$Y$29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'C-car.2'!$Z$25:$Z$29</c:f>
              <c:numCache>
                <c:formatCode>General</c:formatCode>
                <c:ptCount val="5"/>
                <c:pt idx="0">
                  <c:v>19.14</c:v>
                </c:pt>
                <c:pt idx="1">
                  <c:v>19.14</c:v>
                </c:pt>
                <c:pt idx="2">
                  <c:v>19.14</c:v>
                </c:pt>
                <c:pt idx="3">
                  <c:v>19.14</c:v>
                </c:pt>
                <c:pt idx="4">
                  <c:v>19.14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23F-452C-849B-9CE1479255B5}"/>
            </c:ext>
          </c:extLst>
        </c:ser>
        <c:ser>
          <c:idx val="12"/>
          <c:order val="9"/>
          <c:tx>
            <c:v>3-qs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'C-car.3'!$Y$11:$Y$15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'C-car.3'!$Z$11:$Z$15</c:f>
              <c:numCache>
                <c:formatCode>General</c:formatCode>
                <c:ptCount val="5"/>
                <c:pt idx="0">
                  <c:v>24.14</c:v>
                </c:pt>
                <c:pt idx="1">
                  <c:v>24.14</c:v>
                </c:pt>
                <c:pt idx="2">
                  <c:v>24.14</c:v>
                </c:pt>
                <c:pt idx="3">
                  <c:v>24.14</c:v>
                </c:pt>
                <c:pt idx="4">
                  <c:v>24.14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23F-452C-849B-9CE1479255B5}"/>
            </c:ext>
          </c:extLst>
        </c:ser>
        <c:ser>
          <c:idx val="13"/>
          <c:order val="10"/>
          <c:tx>
            <c:v>3-q12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'C-car.3'!$Y$18:$Y$22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'C-car.3'!$Z$18:$Z$22</c:f>
              <c:numCache>
                <c:formatCode>General</c:formatCode>
                <c:ptCount val="5"/>
                <c:pt idx="0">
                  <c:v>24.14</c:v>
                </c:pt>
                <c:pt idx="1">
                  <c:v>24.14</c:v>
                </c:pt>
                <c:pt idx="2">
                  <c:v>24.14</c:v>
                </c:pt>
                <c:pt idx="3">
                  <c:v>24.14</c:v>
                </c:pt>
                <c:pt idx="4">
                  <c:v>24.14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23F-452C-849B-9CE1479255B5}"/>
            </c:ext>
          </c:extLst>
        </c:ser>
        <c:ser>
          <c:idx val="15"/>
          <c:order val="11"/>
          <c:tx>
            <c:v>3-qd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'C-car.3'!$Y$25:$Y$29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'C-car.3'!$Z$25:$Z$29</c:f>
              <c:numCache>
                <c:formatCode>General</c:formatCode>
                <c:ptCount val="5"/>
                <c:pt idx="0">
                  <c:v>24.14</c:v>
                </c:pt>
                <c:pt idx="1">
                  <c:v>24.14</c:v>
                </c:pt>
                <c:pt idx="2">
                  <c:v>24.14</c:v>
                </c:pt>
                <c:pt idx="3">
                  <c:v>24.14</c:v>
                </c:pt>
                <c:pt idx="4">
                  <c:v>24.14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23F-452C-849B-9CE1479255B5}"/>
            </c:ext>
          </c:extLst>
        </c:ser>
        <c:ser>
          <c:idx val="16"/>
          <c:order val="12"/>
          <c:tx>
            <c:v>4-qs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'C-car.4'!$Y$11:$Y$15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'C-car.4'!$Z$11:$Z$15</c:f>
              <c:numCache>
                <c:formatCode>General</c:formatCode>
                <c:ptCount val="5"/>
                <c:pt idx="0">
                  <c:v>29.14</c:v>
                </c:pt>
                <c:pt idx="1">
                  <c:v>29.14</c:v>
                </c:pt>
                <c:pt idx="2">
                  <c:v>29.14</c:v>
                </c:pt>
                <c:pt idx="3">
                  <c:v>29.14</c:v>
                </c:pt>
                <c:pt idx="4">
                  <c:v>29.14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23F-452C-849B-9CE1479255B5}"/>
            </c:ext>
          </c:extLst>
        </c:ser>
        <c:ser>
          <c:idx val="17"/>
          <c:order val="13"/>
          <c:tx>
            <c:v>4-q12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'C-car.4'!$Y$18:$Y$22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'C-car.4'!$Z$18:$Z$22</c:f>
              <c:numCache>
                <c:formatCode>General</c:formatCode>
                <c:ptCount val="5"/>
                <c:pt idx="0">
                  <c:v>29.14</c:v>
                </c:pt>
                <c:pt idx="1">
                  <c:v>29.14</c:v>
                </c:pt>
                <c:pt idx="2">
                  <c:v>29.14</c:v>
                </c:pt>
                <c:pt idx="3">
                  <c:v>29.14</c:v>
                </c:pt>
                <c:pt idx="4">
                  <c:v>29.14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23F-452C-849B-9CE1479255B5}"/>
            </c:ext>
          </c:extLst>
        </c:ser>
        <c:ser>
          <c:idx val="19"/>
          <c:order val="14"/>
          <c:tx>
            <c:v>4-qd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'C-car.4'!$Y$25:$Y$29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'C-car.4'!$Z$25:$Z$29</c:f>
              <c:numCache>
                <c:formatCode>General</c:formatCode>
                <c:ptCount val="5"/>
                <c:pt idx="0">
                  <c:v>29.14</c:v>
                </c:pt>
                <c:pt idx="1">
                  <c:v>29.14</c:v>
                </c:pt>
                <c:pt idx="2">
                  <c:v>29.14</c:v>
                </c:pt>
                <c:pt idx="3">
                  <c:v>29.14</c:v>
                </c:pt>
                <c:pt idx="4">
                  <c:v>29.14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23F-452C-849B-9CE1479255B5}"/>
            </c:ext>
          </c:extLst>
        </c:ser>
        <c:ser>
          <c:idx val="20"/>
          <c:order val="15"/>
          <c:tx>
            <c:v>5-qs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'C-car.5'!$Y$11:$Y$15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'C-car.5'!$Z$11:$Z$15</c:f>
              <c:numCache>
                <c:formatCode>General</c:formatCode>
                <c:ptCount val="5"/>
                <c:pt idx="0">
                  <c:v>34.14</c:v>
                </c:pt>
                <c:pt idx="1">
                  <c:v>34.14</c:v>
                </c:pt>
                <c:pt idx="2">
                  <c:v>34.14</c:v>
                </c:pt>
                <c:pt idx="3">
                  <c:v>34.14</c:v>
                </c:pt>
                <c:pt idx="4">
                  <c:v>34.14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23F-452C-849B-9CE1479255B5}"/>
            </c:ext>
          </c:extLst>
        </c:ser>
        <c:ser>
          <c:idx val="21"/>
          <c:order val="16"/>
          <c:tx>
            <c:v>5-q12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'C-car.5'!$Y$18:$Y$22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'C-car.5'!$Z$18:$Z$22</c:f>
              <c:numCache>
                <c:formatCode>General</c:formatCode>
                <c:ptCount val="5"/>
                <c:pt idx="0">
                  <c:v>34.14</c:v>
                </c:pt>
                <c:pt idx="1">
                  <c:v>34.14</c:v>
                </c:pt>
                <c:pt idx="2">
                  <c:v>34.14</c:v>
                </c:pt>
                <c:pt idx="3">
                  <c:v>34.14</c:v>
                </c:pt>
                <c:pt idx="4">
                  <c:v>34.14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23F-452C-849B-9CE1479255B5}"/>
            </c:ext>
          </c:extLst>
        </c:ser>
        <c:ser>
          <c:idx val="23"/>
          <c:order val="17"/>
          <c:tx>
            <c:v>5-qd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'C-car.5'!$Y$25:$Y$29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'C-car.5'!$Z$25:$Z$29</c:f>
              <c:numCache>
                <c:formatCode>General</c:formatCode>
                <c:ptCount val="5"/>
                <c:pt idx="0">
                  <c:v>34.14</c:v>
                </c:pt>
                <c:pt idx="1">
                  <c:v>34.14</c:v>
                </c:pt>
                <c:pt idx="2">
                  <c:v>34.14</c:v>
                </c:pt>
                <c:pt idx="3">
                  <c:v>34.14</c:v>
                </c:pt>
                <c:pt idx="4">
                  <c:v>34.14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23F-452C-849B-9CE147925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057632"/>
        <c:axId val="311148656"/>
      </c:scatterChart>
      <c:valAx>
        <c:axId val="311057632"/>
        <c:scaling>
          <c:orientation val="minMax"/>
          <c:min val="0"/>
        </c:scaling>
        <c:delete val="1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82734758996"/>
              <c:y val="0.78534972060076269"/>
            </c:manualLayout>
          </c:layout>
          <c:overlay val="0"/>
        </c:title>
        <c:numFmt formatCode="0" sourceLinked="0"/>
        <c:majorTickMark val="out"/>
        <c:minorTickMark val="none"/>
        <c:tickLblPos val="none"/>
        <c:crossAx val="311148656"/>
        <c:crosses val="autoZero"/>
        <c:crossBetween val="midCat"/>
        <c:majorUnit val="1"/>
      </c:valAx>
      <c:valAx>
        <c:axId val="3111486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05763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1343" l="0.70000000000000062" r="0.70000000000000062" t="0.75000000000001343" header="0.30000000000000032" footer="0.3000000000000003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44"/>
          <c:w val="0.90742455710851788"/>
          <c:h val="0.67859019160259604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'C-car.1'!$AB$48:$AB$54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'C-car.1'!$AC$48:$AC$54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56-40AC-B8C7-2EEB1BA3B467}"/>
            </c:ext>
          </c:extLst>
        </c:ser>
        <c:ser>
          <c:idx val="1"/>
          <c:order val="1"/>
          <c:tx>
            <c:v>R1</c:v>
          </c:tx>
          <c:spPr>
            <a:ln w="19050">
              <a:solidFill>
                <a:schemeClr val="accent1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B56-40AC-B8C7-2EEB1BA3B4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'C-car.1'!$N$30:$N$31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56-40AC-B8C7-2EEB1BA3B467}"/>
            </c:ext>
          </c:extLst>
        </c:ser>
        <c:ser>
          <c:idx val="2"/>
          <c:order val="2"/>
          <c:tx>
            <c:v>R2</c:v>
          </c:tx>
          <c:spPr>
            <a:ln w="19050">
              <a:solidFill>
                <a:schemeClr val="accent1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B56-40AC-B8C7-2EEB1BA3B4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'C-car.1'!$Q$30:$Q$31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56-40AC-B8C7-2EEB1BA3B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154816"/>
        <c:axId val="311155376"/>
      </c:scatterChart>
      <c:valAx>
        <c:axId val="31115481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1155376"/>
        <c:crosses val="autoZero"/>
        <c:crossBetween val="midCat"/>
        <c:majorUnit val="1"/>
      </c:valAx>
      <c:valAx>
        <c:axId val="31115537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1548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66" l="0.70000000000000062" r="0.70000000000000062" t="0.75000000000001366" header="0.30000000000000032" footer="0.3000000000000003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36"/>
          <c:w val="0.9074245571085181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'C-car.1'!$AB$48:$AB$54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'C-car.1'!$AC$48:$AC$54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AA-4709-A013-3E80C52A0B32}"/>
            </c:ext>
          </c:extLst>
        </c:ser>
        <c:ser>
          <c:idx val="1"/>
          <c:order val="1"/>
          <c:tx>
            <c:v>2-R1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3AA-4709-A013-3E80C52A0B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'C-car.2'!$N$30:$N$31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AA-4709-A013-3E80C52A0B32}"/>
            </c:ext>
          </c:extLst>
        </c:ser>
        <c:ser>
          <c:idx val="2"/>
          <c:order val="2"/>
          <c:tx>
            <c:v>2-R2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AA-4709-A013-3E80C52A0B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'C-car.2'!$Q$30:$Q$31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AA-4709-A013-3E80C52A0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98928"/>
        <c:axId val="311299488"/>
      </c:scatterChart>
      <c:valAx>
        <c:axId val="311298928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1299488"/>
        <c:crosses val="autoZero"/>
        <c:crossBetween val="midCat"/>
        <c:majorUnit val="1"/>
      </c:valAx>
      <c:valAx>
        <c:axId val="311299488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2989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88" l="0.70000000000000062" r="0.70000000000000062" t="0.75000000000001388" header="0.30000000000000032" footer="0.30000000000000032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3"/>
          <c:w val="0.90742455710851833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'C-car.1'!$AB$48:$AB$54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'C-car.1'!$AC$48:$AC$54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AC-48F5-BAEB-237568A60D8E}"/>
            </c:ext>
          </c:extLst>
        </c:ser>
        <c:ser>
          <c:idx val="1"/>
          <c:order val="1"/>
          <c:tx>
            <c:v>3-R1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4AC-48F5-BAEB-237568A60D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'C-car.3'!$N$30:$N$31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AC-48F5-BAEB-237568A60D8E}"/>
            </c:ext>
          </c:extLst>
        </c:ser>
        <c:ser>
          <c:idx val="2"/>
          <c:order val="2"/>
          <c:tx>
            <c:v>3-R2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AC-48F5-BAEB-237568A60D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'C-car.3'!$Q$30:$Q$31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AC-48F5-BAEB-237568A60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302848"/>
        <c:axId val="311303408"/>
      </c:scatterChart>
      <c:valAx>
        <c:axId val="311302848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1303408"/>
        <c:crosses val="autoZero"/>
        <c:crossBetween val="midCat"/>
        <c:majorUnit val="1"/>
      </c:valAx>
      <c:valAx>
        <c:axId val="311303408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3028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25"/>
          <c:w val="0.90742455710851855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'C-car.1'!$AB$48:$AB$54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'C-car.1'!$AC$48:$AC$54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EA-48F3-AF1C-5D54CFE239B7}"/>
            </c:ext>
          </c:extLst>
        </c:ser>
        <c:ser>
          <c:idx val="1"/>
          <c:order val="1"/>
          <c:tx>
            <c:v>4-R1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6EA-48F3-AF1C-5D54CFE239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'C-car.4'!$N$30:$N$31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EA-48F3-AF1C-5D54CFE239B7}"/>
            </c:ext>
          </c:extLst>
        </c:ser>
        <c:ser>
          <c:idx val="2"/>
          <c:order val="2"/>
          <c:tx>
            <c:v>4-R2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EA-48F3-AF1C-5D54CFE239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'C-car.4'!$Q$30:$Q$31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6EA-48F3-AF1C-5D54CFE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306768"/>
        <c:axId val="311307328"/>
      </c:scatterChart>
      <c:valAx>
        <c:axId val="311306768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1307328"/>
        <c:crosses val="autoZero"/>
        <c:crossBetween val="midCat"/>
        <c:majorUnit val="1"/>
      </c:valAx>
      <c:valAx>
        <c:axId val="311307328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3067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19"/>
          <c:w val="0.90742455710851877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'C-car.1'!$AB$48:$AB$54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'C-car.1'!$AC$48:$AC$54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1-4E3C-ABEF-633E15E8A83A}"/>
            </c:ext>
          </c:extLst>
        </c:ser>
        <c:ser>
          <c:idx val="1"/>
          <c:order val="1"/>
          <c:tx>
            <c:v>5-R1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471-4E3C-ABEF-633E15E8A8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'C-car.5'!$N$30:$N$31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71-4E3C-ABEF-633E15E8A83A}"/>
            </c:ext>
          </c:extLst>
        </c:ser>
        <c:ser>
          <c:idx val="2"/>
          <c:order val="2"/>
          <c:tx>
            <c:v>5-R2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71-4E3C-ABEF-633E15E8A8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'C-car.5'!$Q$30:$Q$31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71-4E3C-ABEF-633E15E8A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310688"/>
        <c:axId val="311311248"/>
      </c:scatterChart>
      <c:valAx>
        <c:axId val="311310688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1311248"/>
        <c:crosses val="autoZero"/>
        <c:crossBetween val="midCat"/>
        <c:majorUnit val="1"/>
      </c:valAx>
      <c:valAx>
        <c:axId val="311311248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3106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54" l="0.70000000000000062" r="0.70000000000000062" t="0.75000000000001454" header="0.30000000000000032" footer="0.30000000000000032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188E-2"/>
          <c:y val="9.9061975819114148E-2"/>
          <c:w val="0.94847987950390966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'C-car.1'!$AD$47:$AD$77</c:f>
              <c:numCache>
                <c:formatCode>General</c:formatCode>
                <c:ptCount val="31"/>
              </c:numCache>
            </c:numRef>
          </c:xVal>
          <c:yVal>
            <c:numRef>
              <c:f>'C-car.1'!$AE$47:$AE$77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35-4CC9-BF97-C32F60585FFA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'C-car.1'!$AC$11:$AC$12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35-4CC9-BF97-C32F60585FFA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'C-car.1'!$AC$13:$AC$14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435-4CC9-BF97-C32F60585FFA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'C-car.1'!$AB$15:$AB$16</c:f>
              <c:numCache>
                <c:formatCode>0.00</c:formatCode>
                <c:ptCount val="2"/>
              </c:numCache>
            </c:numRef>
          </c:xVal>
          <c:yVal>
            <c:numRef>
              <c:f>'C-car.1'!$AC$15:$AC$16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435-4CC9-BF97-C32F60585FFA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'C-car.1'!$AB$17:$AB$18</c:f>
              <c:numCache>
                <c:formatCode>0.00</c:formatCode>
                <c:ptCount val="2"/>
              </c:numCache>
            </c:numRef>
          </c:xVal>
          <c:yVal>
            <c:numRef>
              <c:f>'C-car.1'!$AC$17:$AC$18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435-4CC9-BF97-C32F60585FFA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6435-4CC9-BF97-C32F60585FF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'C-car.1'!$AB$19:$AB$20</c:f>
              <c:numCache>
                <c:formatCode>0.00</c:formatCode>
                <c:ptCount val="2"/>
              </c:numCache>
            </c:numRef>
          </c:xVal>
          <c:yVal>
            <c:numRef>
              <c:f>'C-car.1'!$AC$19:$AC$20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435-4CC9-BF97-C32F60585FFA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'C-car.1'!$AB$34:$AB$35</c:f>
              <c:numCache>
                <c:formatCode>0.00</c:formatCode>
                <c:ptCount val="2"/>
                <c:pt idx="0">
                  <c:v>0.6</c:v>
                </c:pt>
                <c:pt idx="1">
                  <c:v>0.6</c:v>
                </c:pt>
              </c:numCache>
            </c:numRef>
          </c:xVal>
          <c:yVal>
            <c:numRef>
              <c:f>'C-car.1'!$AC$34:$AC$35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0.74519999999999986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435-4CC9-BF97-C32F60585FFA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'C-car.1'!$AB$36:$AB$37</c:f>
              <c:numCache>
                <c:formatCode>0.00</c:formatCode>
                <c:ptCount val="2"/>
              </c:numCache>
            </c:numRef>
          </c:xVal>
          <c:yVal>
            <c:numRef>
              <c:f>'C-car.1'!$AC$36:$AC$37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435-4CC9-BF97-C32F60585FFA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'C-car.1'!$AB$38:$AB$39</c:f>
              <c:numCache>
                <c:formatCode>0.00</c:formatCode>
                <c:ptCount val="2"/>
              </c:numCache>
            </c:numRef>
          </c:xVal>
          <c:yVal>
            <c:numRef>
              <c:f>'C-car.1'!$AC$38:$AC$39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435-4CC9-BF97-C32F60585FFA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435-4CC9-BF97-C32F60585F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'C-car.1'!$AB$40:$AB$41</c:f>
              <c:numCache>
                <c:formatCode>0.00</c:formatCode>
                <c:ptCount val="2"/>
              </c:numCache>
            </c:numRef>
          </c:xVal>
          <c:yVal>
            <c:numRef>
              <c:f>'C-car.1'!$AC$40:$AC$41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6435-4CC9-BF97-C32F60585F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1376624"/>
        <c:axId val="311377184"/>
      </c:scatterChart>
      <c:valAx>
        <c:axId val="31137662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4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11377184"/>
        <c:crosses val="autoZero"/>
        <c:crossBetween val="midCat"/>
        <c:majorUnit val="1"/>
      </c:valAx>
      <c:valAx>
        <c:axId val="311377184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13766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66" l="0.70000000000000062" r="0.70000000000000062" t="0.75000000000001366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17"/>
          <c:w val="0.94796977526453763"/>
          <c:h val="0.77738578636805211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55-4739-84C1-7802D7505BCE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055-4739-84C1-7802D7505BCE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55-4739-84C1-7802D7505BCE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55-4739-84C1-7802D7505BCE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55-4739-84C1-7802D7505BCE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055-4739-84C1-7802D7505BCE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55-4739-84C1-7802D7505BCE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55-4739-84C1-7802D7505BCE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55-4739-84C1-7802D7505BCE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055-4739-84C1-7802D7505B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'C-car.1'!$AD$47:$AD$86</c:f>
              <c:numCache>
                <c:formatCode>General</c:formatCode>
                <c:ptCount val="40"/>
              </c:numCache>
            </c:numRef>
          </c:xVal>
          <c:yVal>
            <c:numRef>
              <c:f>'C-car.1'!$AF$47:$AF$86</c:f>
              <c:numCache>
                <c:formatCode>General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055-4739-84C1-7802D7505BCE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'C-car.1'!$U$44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'C-car.1'!$W$44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055-4739-84C1-7802D7505BCE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'C-car.1'!$U$45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'C-car.1'!$W$45</c:f>
              <c:numCache>
                <c:formatCode>0.00</c:formatCode>
                <c:ptCount val="1"/>
                <c:pt idx="0">
                  <c:v>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055-4739-84C1-7802D7505BCE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'C-car.1'!$U$53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'C-car.1'!$W$53</c:f>
              <c:numCache>
                <c:formatCode>0.00</c:formatCode>
                <c:ptCount val="1"/>
                <c:pt idx="0">
                  <c:v>-2.4839999999999995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055-4739-84C1-7802D7505BCE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055-4739-84C1-7802D7505BCE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'C-car.1'!$U$62</c:f>
              <c:numCache>
                <c:formatCode>0.00</c:formatCode>
                <c:ptCount val="1"/>
              </c:numCache>
            </c:numRef>
          </c:xVal>
          <c:yVal>
            <c:numRef>
              <c:f>'C-car.1'!$W$62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055-4739-84C1-7802D7505BCE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055-4739-84C1-7802D7505BCE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'C-car.1'!$AD$77</c:f>
              <c:numCache>
                <c:formatCode>0.00</c:formatCode>
                <c:ptCount val="1"/>
              </c:numCache>
            </c:numRef>
          </c:xVal>
          <c:yVal>
            <c:numRef>
              <c:f>'C-car.1'!$AF$77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055-4739-84C1-7802D7505BCE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055-4739-84C1-7802D7505BCE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'C-car.1'!$AD$86</c:f>
              <c:numCache>
                <c:formatCode>0.00</c:formatCode>
                <c:ptCount val="1"/>
              </c:numCache>
            </c:numRef>
          </c:xVal>
          <c:yVal>
            <c:numRef>
              <c:f>'C-car.1'!$AF$86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055-4739-84C1-7802D7505BCE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'C-car.1'!$U$54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'C-car.1'!$W$54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055-4739-84C1-7802D7505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209040"/>
        <c:axId val="312209600"/>
      </c:scatterChart>
      <c:valAx>
        <c:axId val="312209040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77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2209600"/>
        <c:crosses val="autoZero"/>
        <c:crossBetween val="midCat"/>
        <c:majorUnit val="1"/>
      </c:valAx>
      <c:valAx>
        <c:axId val="31220960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29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22090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66" l="0.70000000000000062" r="0.70000000000000062" t="0.75000000000001366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17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44"/>
          <c:w val="0.90742455710851788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'C-car.1'!$AC$48:$AC$54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EF-4462-B1FC-E798BBCB5F99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4EF-4462-B1FC-E798BBCB5F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'C-car.1'!$N$30:$N$31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EF-4462-B1FC-E798BBCB5F99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EF-4462-B1FC-E798BBCB5F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'C-car.1'!$Q$30:$Q$31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4EF-4462-B1FC-E798BBCB5F99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4EF-4462-B1FC-E798BBCB5F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'C-car.1'!$S$30:$S$31</c:f>
              <c:numCache>
                <c:formatCode>0.00</c:formatCode>
                <c:ptCount val="2"/>
              </c:numCache>
            </c:numRef>
          </c:xVal>
          <c:yVal>
            <c:numRef>
              <c:f>'C-car.1'!$T$30:$T$31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EF-4462-B1FC-E798BBCB5F99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'C-car.1'!$Y$11:$Y$15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'C-car.1'!$Z$11:$Z$15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4EF-4462-B1FC-E798BBCB5F99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'C-car.1'!$Y$18:$Y$22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'C-car.1'!$Z$18:$Z$22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14.14</c:v>
                </c:pt>
                <c:pt idx="3">
                  <c:v>14.14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4EF-4462-B1FC-E798BBCB5F99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4EF-4462-B1FC-E798BBCB5F99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'C-car.1'!$Y$25:$Y$29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'C-car.1'!$Z$25:$Z$29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4EF-4462-B1FC-E798BBCB5F99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'C-car.1'!$M$31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'C-car.1'!$N$31</c:f>
              <c:numCache>
                <c:formatCode>0.00</c:formatCode>
                <c:ptCount val="1"/>
                <c:pt idx="0">
                  <c:v>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4EF-4462-B1FC-E798BBCB5F99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'C-car.1'!$P$31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'C-car.1'!$Q$31</c:f>
              <c:numCache>
                <c:formatCode>0.00</c:formatCode>
                <c:ptCount val="1"/>
                <c:pt idx="0">
                  <c:v>2.4839999999999995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4EF-4462-B1FC-E798BBCB5F99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'C-car.1'!$S$31</c:f>
              <c:numCache>
                <c:formatCode>0.00</c:formatCode>
                <c:ptCount val="1"/>
              </c:numCache>
            </c:numRef>
          </c:xVal>
          <c:yVal>
            <c:numRef>
              <c:f>'C-car.1'!$T$31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4EF-4462-B1FC-E798BBCB5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2400"/>
        <c:axId val="312782960"/>
      </c:scatterChart>
      <c:valAx>
        <c:axId val="31278240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32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12782960"/>
        <c:crosses val="autoZero"/>
        <c:crossBetween val="midCat"/>
        <c:majorUnit val="1"/>
      </c:valAx>
      <c:valAx>
        <c:axId val="3127829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27824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66" l="0.70000000000000062" r="0.70000000000000062" t="0.75000000000001366" header="0.30000000000000032" footer="0.30000000000000032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209E-2"/>
          <c:y val="9.9061975819114148E-2"/>
          <c:w val="0.94847987950390988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'C-car.2'!$AD$47:$AD$77</c:f>
              <c:numCache>
                <c:formatCode>General</c:formatCode>
                <c:ptCount val="31"/>
              </c:numCache>
            </c:numRef>
          </c:xVal>
          <c:yVal>
            <c:numRef>
              <c:f>'C-car.2'!$AE$47:$AE$77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9C-4463-A959-F1B00B33E382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'C-car.2'!$AC$11:$AC$12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9C-4463-A959-F1B00B33E382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'C-car.2'!$AC$13:$AC$14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9C-4463-A959-F1B00B33E382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'C-car.2'!$AB$15:$AB$16</c:f>
              <c:numCache>
                <c:formatCode>0.00</c:formatCode>
                <c:ptCount val="2"/>
              </c:numCache>
            </c:numRef>
          </c:xVal>
          <c:yVal>
            <c:numRef>
              <c:f>'C-car.2'!$AC$15:$AC$16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C9C-4463-A959-F1B00B33E382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'C-car.2'!$AB$17:$AB$18</c:f>
              <c:numCache>
                <c:formatCode>0.00</c:formatCode>
                <c:ptCount val="2"/>
              </c:numCache>
            </c:numRef>
          </c:xVal>
          <c:yVal>
            <c:numRef>
              <c:f>'C-car.2'!$AC$17:$AC$18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C9C-4463-A959-F1B00B33E382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6C9C-4463-A959-F1B00B33E38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'C-car.2'!$AB$19:$AB$20</c:f>
              <c:numCache>
                <c:formatCode>0.00</c:formatCode>
                <c:ptCount val="2"/>
              </c:numCache>
            </c:numRef>
          </c:xVal>
          <c:yVal>
            <c:numRef>
              <c:f>'C-car.2'!$AC$19:$AC$20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C9C-4463-A959-F1B00B33E382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'C-car.2'!$AC$34:$AC$35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C9C-4463-A959-F1B00B33E382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'C-car.2'!$AB$36:$AB$37</c:f>
              <c:numCache>
                <c:formatCode>0.00</c:formatCode>
                <c:ptCount val="2"/>
              </c:numCache>
            </c:numRef>
          </c:xVal>
          <c:yVal>
            <c:numRef>
              <c:f>'C-car.2'!$AC$36:$AC$37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C9C-4463-A959-F1B00B33E382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'C-car.2'!$AB$38:$AB$39</c:f>
              <c:numCache>
                <c:formatCode>0.00</c:formatCode>
                <c:ptCount val="2"/>
              </c:numCache>
            </c:numRef>
          </c:xVal>
          <c:yVal>
            <c:numRef>
              <c:f>'C-car.2'!$AC$38:$AC$39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C9C-4463-A959-F1B00B33E382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C9C-4463-A959-F1B00B33E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'C-car.2'!$AB$40:$AB$41</c:f>
              <c:numCache>
                <c:formatCode>0.00</c:formatCode>
                <c:ptCount val="2"/>
              </c:numCache>
            </c:numRef>
          </c:xVal>
          <c:yVal>
            <c:numRef>
              <c:f>'C-car.2'!$AC$40:$AC$41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6C9C-4463-A959-F1B00B33E38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2790800"/>
        <c:axId val="312791360"/>
      </c:scatterChart>
      <c:valAx>
        <c:axId val="312790800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7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12791360"/>
        <c:crosses val="autoZero"/>
        <c:crossBetween val="midCat"/>
        <c:majorUnit val="1"/>
      </c:valAx>
      <c:valAx>
        <c:axId val="312791360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27908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25"/>
          <c:w val="0.94796977526453763"/>
          <c:h val="0.77738578636805233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71-452B-892B-1425869D11D7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71-452B-892B-1425869D11D7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71-452B-892B-1425869D11D7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71-452B-892B-1425869D11D7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71-452B-892B-1425869D11D7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971-452B-892B-1425869D11D7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71-452B-892B-1425869D11D7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71-452B-892B-1425869D11D7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71-452B-892B-1425869D11D7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971-452B-892B-1425869D11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'C-car.2'!$AD$47:$AD$86</c:f>
              <c:numCache>
                <c:formatCode>General</c:formatCode>
                <c:ptCount val="40"/>
              </c:numCache>
            </c:numRef>
          </c:xVal>
          <c:yVal>
            <c:numRef>
              <c:f>'C-car.2'!$AF$47:$AF$86</c:f>
              <c:numCache>
                <c:formatCode>General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971-452B-892B-1425869D11D7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'C-car.2'!$U$44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'C-car.2'!$W$44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971-452B-892B-1425869D11D7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'C-car.2'!$U$45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'C-car.2'!$W$45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971-452B-892B-1425869D11D7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'C-car.2'!$U$53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'C-car.2'!$W$53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971-452B-892B-1425869D11D7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971-452B-892B-1425869D11D7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'C-car.2'!$U$62</c:f>
              <c:numCache>
                <c:formatCode>0.00</c:formatCode>
                <c:ptCount val="1"/>
              </c:numCache>
            </c:numRef>
          </c:xVal>
          <c:yVal>
            <c:numRef>
              <c:f>'C-car.2'!$W$62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971-452B-892B-1425869D11D7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971-452B-892B-1425869D11D7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'C-car.2'!$AD$77</c:f>
              <c:numCache>
                <c:formatCode>0.00</c:formatCode>
                <c:ptCount val="1"/>
              </c:numCache>
            </c:numRef>
          </c:xVal>
          <c:yVal>
            <c:numRef>
              <c:f>'C-car.2'!$AF$77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971-452B-892B-1425869D11D7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971-452B-892B-1425869D11D7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'C-car.2'!$AD$86</c:f>
              <c:numCache>
                <c:formatCode>0.00</c:formatCode>
                <c:ptCount val="1"/>
              </c:numCache>
            </c:numRef>
          </c:xVal>
          <c:yVal>
            <c:numRef>
              <c:f>'C-car.2'!$AF$86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971-452B-892B-1425869D11D7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'C-car.2'!$U$54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'C-car.2'!$W$54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971-452B-892B-1425869D1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271008"/>
        <c:axId val="313271568"/>
      </c:scatterChart>
      <c:valAx>
        <c:axId val="31327100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82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3271568"/>
        <c:crosses val="autoZero"/>
        <c:crossBetween val="midCat"/>
        <c:majorUnit val="1"/>
      </c:valAx>
      <c:valAx>
        <c:axId val="31327156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4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32710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28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36"/>
          <c:w val="0.9074245571085181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'C-car.2'!$AC$48:$AC$54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8F-49BE-994B-7244ABE005D9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98F-49BE-994B-7244ABE005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'C-car.2'!$N$30:$N$31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8F-49BE-994B-7244ABE005D9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8F-49BE-994B-7244ABE005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'C-car.2'!$Q$30:$Q$31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8F-49BE-994B-7244ABE005D9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98F-49BE-994B-7244ABE005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'C-car.2'!$S$30:$S$31</c:f>
              <c:numCache>
                <c:formatCode>0.00</c:formatCode>
                <c:ptCount val="2"/>
              </c:numCache>
            </c:numRef>
          </c:xVal>
          <c:yVal>
            <c:numRef>
              <c:f>'C-car.2'!$T$30:$T$31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98F-49BE-994B-7244ABE005D9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'C-car.2'!$Y$11:$Y$15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'C-car.2'!$Z$11:$Z$15</c:f>
              <c:numCache>
                <c:formatCode>General</c:formatCode>
                <c:ptCount val="5"/>
                <c:pt idx="0">
                  <c:v>19.14</c:v>
                </c:pt>
                <c:pt idx="1">
                  <c:v>19.14</c:v>
                </c:pt>
                <c:pt idx="2">
                  <c:v>19.14</c:v>
                </c:pt>
                <c:pt idx="3">
                  <c:v>19.14</c:v>
                </c:pt>
                <c:pt idx="4">
                  <c:v>19.14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98F-49BE-994B-7244ABE005D9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'C-car.2'!$Y$18:$Y$22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'C-car.2'!$Z$18:$Z$22</c:f>
              <c:numCache>
                <c:formatCode>General</c:formatCode>
                <c:ptCount val="5"/>
                <c:pt idx="0">
                  <c:v>19.14</c:v>
                </c:pt>
                <c:pt idx="1">
                  <c:v>19.14</c:v>
                </c:pt>
                <c:pt idx="2">
                  <c:v>19.14</c:v>
                </c:pt>
                <c:pt idx="3">
                  <c:v>19.14</c:v>
                </c:pt>
                <c:pt idx="4">
                  <c:v>19.14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98F-49BE-994B-7244ABE005D9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98F-49BE-994B-7244ABE005D9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'C-car.2'!$Y$25:$Y$29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'C-car.2'!$Z$25:$Z$29</c:f>
              <c:numCache>
                <c:formatCode>General</c:formatCode>
                <c:ptCount val="5"/>
                <c:pt idx="0">
                  <c:v>19.14</c:v>
                </c:pt>
                <c:pt idx="1">
                  <c:v>19.14</c:v>
                </c:pt>
                <c:pt idx="2">
                  <c:v>19.14</c:v>
                </c:pt>
                <c:pt idx="3">
                  <c:v>19.14</c:v>
                </c:pt>
                <c:pt idx="4">
                  <c:v>19.14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98F-49BE-994B-7244ABE005D9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'C-car.2'!$M$31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'C-car.2'!$N$31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98F-49BE-994B-7244ABE005D9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'C-car.2'!$P$31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'C-car.2'!$Q$31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98F-49BE-994B-7244ABE005D9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'C-car.2'!$S$31</c:f>
              <c:numCache>
                <c:formatCode>0.00</c:formatCode>
                <c:ptCount val="1"/>
              </c:numCache>
            </c:numRef>
          </c:xVal>
          <c:yVal>
            <c:numRef>
              <c:f>'C-car.2'!$T$31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98F-49BE-994B-7244ABE00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279968"/>
        <c:axId val="313280528"/>
      </c:scatterChart>
      <c:valAx>
        <c:axId val="31327996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54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13280528"/>
        <c:crosses val="autoZero"/>
        <c:crossBetween val="midCat"/>
        <c:majorUnit val="1"/>
      </c:valAx>
      <c:valAx>
        <c:axId val="313280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32799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88" l="0.70000000000000062" r="0.70000000000000062" t="0.75000000000001388" header="0.30000000000000032" footer="0.30000000000000032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226E-2"/>
          <c:y val="9.9061975819114148E-2"/>
          <c:w val="0.94847987950391011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'C-car.3'!$AD$47:$AD$77</c:f>
              <c:numCache>
                <c:formatCode>General</c:formatCode>
                <c:ptCount val="31"/>
              </c:numCache>
            </c:numRef>
          </c:xVal>
          <c:yVal>
            <c:numRef>
              <c:f>'C-car.3'!$AE$47:$AE$77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CF-4516-B393-5A1E8AC25F32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'C-car.3'!$AC$11:$AC$12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CF-4516-B393-5A1E8AC25F32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'C-car.3'!$AC$13:$AC$14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CF-4516-B393-5A1E8AC25F32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'C-car.3'!$AB$15:$AB$16</c:f>
              <c:numCache>
                <c:formatCode>0.00</c:formatCode>
                <c:ptCount val="2"/>
              </c:numCache>
            </c:numRef>
          </c:xVal>
          <c:yVal>
            <c:numRef>
              <c:f>'C-car.3'!$AC$15:$AC$16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ACF-4516-B393-5A1E8AC25F32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'C-car.3'!$AB$17:$AB$18</c:f>
              <c:numCache>
                <c:formatCode>0.00</c:formatCode>
                <c:ptCount val="2"/>
              </c:numCache>
            </c:numRef>
          </c:xVal>
          <c:yVal>
            <c:numRef>
              <c:f>'C-car.3'!$AC$17:$AC$18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ACF-4516-B393-5A1E8AC25F32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6ACF-4516-B393-5A1E8AC25F3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'C-car.3'!$AB$19:$AB$20</c:f>
              <c:numCache>
                <c:formatCode>0.00</c:formatCode>
                <c:ptCount val="2"/>
              </c:numCache>
            </c:numRef>
          </c:xVal>
          <c:yVal>
            <c:numRef>
              <c:f>'C-car.3'!$AC$19:$AC$20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ACF-4516-B393-5A1E8AC25F32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'C-car.3'!$AC$34:$AC$35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ACF-4516-B393-5A1E8AC25F32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'C-car.3'!$AB$36:$AB$37</c:f>
              <c:numCache>
                <c:formatCode>0.00</c:formatCode>
                <c:ptCount val="2"/>
              </c:numCache>
            </c:numRef>
          </c:xVal>
          <c:yVal>
            <c:numRef>
              <c:f>'C-car.3'!$AC$36:$AC$37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ACF-4516-B393-5A1E8AC25F32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'C-car.3'!$AB$38:$AB$39</c:f>
              <c:numCache>
                <c:formatCode>0.00</c:formatCode>
                <c:ptCount val="2"/>
              </c:numCache>
            </c:numRef>
          </c:xVal>
          <c:yVal>
            <c:numRef>
              <c:f>'C-car.3'!$AC$38:$AC$39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ACF-4516-B393-5A1E8AC25F32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ACF-4516-B393-5A1E8AC25F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'C-car.3'!$AB$40:$AB$41</c:f>
              <c:numCache>
                <c:formatCode>0.00</c:formatCode>
                <c:ptCount val="2"/>
              </c:numCache>
            </c:numRef>
          </c:xVal>
          <c:yVal>
            <c:numRef>
              <c:f>'C-car.3'!$AC$40:$AC$41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6ACF-4516-B393-5A1E8AC25F3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0693744"/>
        <c:axId val="310694304"/>
      </c:scatterChart>
      <c:valAx>
        <c:axId val="31069374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10694304"/>
        <c:crosses val="autoZero"/>
        <c:crossBetween val="midCat"/>
        <c:majorUnit val="1"/>
      </c:valAx>
      <c:valAx>
        <c:axId val="310694304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06937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31"/>
          <c:w val="0.94796977526453763"/>
          <c:h val="0.77738578636805256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A7-49BE-AF20-55107BDF85A0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A7-49BE-AF20-55107BDF85A0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A7-49BE-AF20-55107BDF85A0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A7-49BE-AF20-55107BDF85A0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A7-49BE-AF20-55107BDF85A0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FA7-49BE-AF20-55107BDF85A0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A7-49BE-AF20-55107BDF85A0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A7-49BE-AF20-55107BDF85A0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A7-49BE-AF20-55107BDF85A0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FA7-49BE-AF20-55107BDF85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'C-car.3'!$AD$47:$AD$86</c:f>
              <c:numCache>
                <c:formatCode>General</c:formatCode>
                <c:ptCount val="40"/>
              </c:numCache>
            </c:numRef>
          </c:xVal>
          <c:yVal>
            <c:numRef>
              <c:f>'C-car.3'!$AF$47:$AF$86</c:f>
              <c:numCache>
                <c:formatCode>General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FA7-49BE-AF20-55107BDF85A0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'C-car.3'!$U$44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'C-car.3'!$W$44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FA7-49BE-AF20-55107BDF85A0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'C-car.3'!$U$45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'C-car.3'!$W$45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FA7-49BE-AF20-55107BDF85A0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'C-car.3'!$U$53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'C-car.3'!$W$53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FA7-49BE-AF20-55107BDF85A0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FA7-49BE-AF20-55107BDF85A0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'C-car.3'!$U$62</c:f>
              <c:numCache>
                <c:formatCode>0.00</c:formatCode>
                <c:ptCount val="1"/>
              </c:numCache>
            </c:numRef>
          </c:xVal>
          <c:yVal>
            <c:numRef>
              <c:f>'C-car.3'!$W$62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FA7-49BE-AF20-55107BDF85A0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FA7-49BE-AF20-55107BDF85A0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'C-car.3'!$AD$77</c:f>
              <c:numCache>
                <c:formatCode>0.00</c:formatCode>
                <c:ptCount val="1"/>
              </c:numCache>
            </c:numRef>
          </c:xVal>
          <c:yVal>
            <c:numRef>
              <c:f>'C-car.3'!$AF$77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FA7-49BE-AF20-55107BDF85A0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FA7-49BE-AF20-55107BDF85A0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'C-car.3'!$AD$86</c:f>
              <c:numCache>
                <c:formatCode>0.00</c:formatCode>
                <c:ptCount val="1"/>
              </c:numCache>
            </c:numRef>
          </c:xVal>
          <c:yVal>
            <c:numRef>
              <c:f>'C-car.3'!$AF$86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FA7-49BE-AF20-55107BDF85A0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'C-car.3'!$U$54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'C-car.3'!$W$54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FA7-49BE-AF20-55107BDF8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02704"/>
        <c:axId val="310703264"/>
      </c:scatterChart>
      <c:valAx>
        <c:axId val="310702704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86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0703264"/>
        <c:crosses val="autoZero"/>
        <c:crossBetween val="midCat"/>
        <c:majorUnit val="1"/>
      </c:valAx>
      <c:valAx>
        <c:axId val="310703264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5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07027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39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3"/>
          <c:w val="0.90742455710851833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'C-car.3'!$AC$48:$AC$54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8C-467A-B4B8-1BFC33B1C128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48C-467A-B4B8-1BFC33B1C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'C-car.3'!$N$30:$N$31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8C-467A-B4B8-1BFC33B1C128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8C-467A-B4B8-1BFC33B1C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'C-car.3'!$Q$30:$Q$31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48C-467A-B4B8-1BFC33B1C128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48C-467A-B4B8-1BFC33B1C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'C-car.3'!$S$30:$S$31</c:f>
              <c:numCache>
                <c:formatCode>0.00</c:formatCode>
                <c:ptCount val="2"/>
              </c:numCache>
            </c:numRef>
          </c:xVal>
          <c:yVal>
            <c:numRef>
              <c:f>'C-car.3'!$T$30:$T$31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48C-467A-B4B8-1BFC33B1C128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'C-car.3'!$Y$11:$Y$15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'C-car.3'!$Z$11:$Z$15</c:f>
              <c:numCache>
                <c:formatCode>General</c:formatCode>
                <c:ptCount val="5"/>
                <c:pt idx="0">
                  <c:v>24.14</c:v>
                </c:pt>
                <c:pt idx="1">
                  <c:v>24.14</c:v>
                </c:pt>
                <c:pt idx="2">
                  <c:v>24.14</c:v>
                </c:pt>
                <c:pt idx="3">
                  <c:v>24.14</c:v>
                </c:pt>
                <c:pt idx="4">
                  <c:v>24.14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48C-467A-B4B8-1BFC33B1C128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'C-car.3'!$Y$18:$Y$22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'C-car.3'!$Z$18:$Z$22</c:f>
              <c:numCache>
                <c:formatCode>General</c:formatCode>
                <c:ptCount val="5"/>
                <c:pt idx="0">
                  <c:v>24.14</c:v>
                </c:pt>
                <c:pt idx="1">
                  <c:v>24.14</c:v>
                </c:pt>
                <c:pt idx="2">
                  <c:v>24.14</c:v>
                </c:pt>
                <c:pt idx="3">
                  <c:v>24.14</c:v>
                </c:pt>
                <c:pt idx="4">
                  <c:v>24.14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48C-467A-B4B8-1BFC33B1C128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48C-467A-B4B8-1BFC33B1C128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'C-car.3'!$Y$25:$Y$29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'C-car.3'!$Z$25:$Z$29</c:f>
              <c:numCache>
                <c:formatCode>General</c:formatCode>
                <c:ptCount val="5"/>
                <c:pt idx="0">
                  <c:v>24.14</c:v>
                </c:pt>
                <c:pt idx="1">
                  <c:v>24.14</c:v>
                </c:pt>
                <c:pt idx="2">
                  <c:v>24.14</c:v>
                </c:pt>
                <c:pt idx="3">
                  <c:v>24.14</c:v>
                </c:pt>
                <c:pt idx="4">
                  <c:v>24.14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48C-467A-B4B8-1BFC33B1C128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'C-car.3'!$M$31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'C-car.3'!$N$31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48C-467A-B4B8-1BFC33B1C128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'C-car.3'!$P$31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'C-car.3'!$Q$31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48C-467A-B4B8-1BFC33B1C128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'C-car.3'!$S$31</c:f>
              <c:numCache>
                <c:formatCode>0.00</c:formatCode>
                <c:ptCount val="1"/>
              </c:numCache>
            </c:numRef>
          </c:xVal>
          <c:yVal>
            <c:numRef>
              <c:f>'C-car.3'!$T$31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48C-467A-B4B8-1BFC33B1C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25360"/>
        <c:axId val="313925920"/>
      </c:scatterChart>
      <c:valAx>
        <c:axId val="3139253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77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13925920"/>
        <c:crosses val="autoZero"/>
        <c:crossBetween val="midCat"/>
        <c:majorUnit val="1"/>
      </c:valAx>
      <c:valAx>
        <c:axId val="3139259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39253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 orientation="portrait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251E-2"/>
          <c:y val="9.9061975819114148E-2"/>
          <c:w val="0.94847987950391033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'C-car.4'!$AD$47:$AD$77</c:f>
              <c:numCache>
                <c:formatCode>General</c:formatCode>
                <c:ptCount val="31"/>
              </c:numCache>
            </c:numRef>
          </c:xVal>
          <c:yVal>
            <c:numRef>
              <c:f>'C-car.4'!$AE$47:$AE$77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29-4230-9414-BD9667E99CA6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'C-car.4'!$AC$11:$AC$12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29-4230-9414-BD9667E99CA6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'C-car.4'!$AC$13:$AC$14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B29-4230-9414-BD9667E99CA6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'C-car.4'!$AB$15:$AB$16</c:f>
              <c:numCache>
                <c:formatCode>0.00</c:formatCode>
                <c:ptCount val="2"/>
              </c:numCache>
            </c:numRef>
          </c:xVal>
          <c:yVal>
            <c:numRef>
              <c:f>'C-car.4'!$AC$15:$AC$16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B29-4230-9414-BD9667E99CA6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'C-car.4'!$AB$17:$AB$18</c:f>
              <c:numCache>
                <c:formatCode>0.00</c:formatCode>
                <c:ptCount val="2"/>
              </c:numCache>
            </c:numRef>
          </c:xVal>
          <c:yVal>
            <c:numRef>
              <c:f>'C-car.4'!$AC$17:$AC$18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B29-4230-9414-BD9667E99CA6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9B29-4230-9414-BD9667E99CA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'C-car.4'!$AB$19:$AB$20</c:f>
              <c:numCache>
                <c:formatCode>0.00</c:formatCode>
                <c:ptCount val="2"/>
              </c:numCache>
            </c:numRef>
          </c:xVal>
          <c:yVal>
            <c:numRef>
              <c:f>'C-car.4'!$AC$19:$AC$20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B29-4230-9414-BD9667E99CA6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'C-car.4'!$AC$34:$AC$35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B29-4230-9414-BD9667E99CA6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'C-car.4'!$AB$36:$AB$37</c:f>
              <c:numCache>
                <c:formatCode>0.00</c:formatCode>
                <c:ptCount val="2"/>
              </c:numCache>
            </c:numRef>
          </c:xVal>
          <c:yVal>
            <c:numRef>
              <c:f>'C-car.4'!$AC$36:$AC$37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B29-4230-9414-BD9667E99CA6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'C-car.4'!$AB$38:$AB$39</c:f>
              <c:numCache>
                <c:formatCode>0.00</c:formatCode>
                <c:ptCount val="2"/>
              </c:numCache>
            </c:numRef>
          </c:xVal>
          <c:yVal>
            <c:numRef>
              <c:f>'C-car.4'!$AC$38:$AC$39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B29-4230-9414-BD9667E99CA6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B29-4230-9414-BD9667E99C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'C-car.4'!$AB$40:$AB$41</c:f>
              <c:numCache>
                <c:formatCode>0.00</c:formatCode>
                <c:ptCount val="2"/>
              </c:numCache>
            </c:numRef>
          </c:xVal>
          <c:yVal>
            <c:numRef>
              <c:f>'C-car.4'!$AC$40:$AC$41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B29-4230-9414-BD9667E99C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3933760"/>
        <c:axId val="313934320"/>
      </c:scatterChart>
      <c:valAx>
        <c:axId val="313933760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62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13934320"/>
        <c:crosses val="autoZero"/>
        <c:crossBetween val="midCat"/>
        <c:majorUnit val="1"/>
      </c:valAx>
      <c:valAx>
        <c:axId val="313934320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39337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37"/>
          <c:w val="0.94796977526453763"/>
          <c:h val="0.77738578636805289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F2-419C-9234-E3BD33B23941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EF2-419C-9234-E3BD33B23941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F2-419C-9234-E3BD33B23941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F2-419C-9234-E3BD33B23941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EF2-419C-9234-E3BD33B23941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EF2-419C-9234-E3BD33B23941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F2-419C-9234-E3BD33B23941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F2-419C-9234-E3BD33B23941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F2-419C-9234-E3BD33B23941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EF2-419C-9234-E3BD33B23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'C-car.4'!$AD$47:$AD$86</c:f>
              <c:numCache>
                <c:formatCode>General</c:formatCode>
                <c:ptCount val="40"/>
              </c:numCache>
            </c:numRef>
          </c:xVal>
          <c:yVal>
            <c:numRef>
              <c:f>'C-car.4'!$AF$47:$AF$86</c:f>
              <c:numCache>
                <c:formatCode>General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EF2-419C-9234-E3BD33B23941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'C-car.4'!$U$44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'C-car.4'!$W$44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EF2-419C-9234-E3BD33B23941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'C-car.4'!$U$45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'C-car.4'!$W$45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EF2-419C-9234-E3BD33B23941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'C-car.4'!$U$53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'C-car.4'!$W$53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EF2-419C-9234-E3BD33B23941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EF2-419C-9234-E3BD33B23941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'C-car.4'!$U$62</c:f>
              <c:numCache>
                <c:formatCode>0.00</c:formatCode>
                <c:ptCount val="1"/>
              </c:numCache>
            </c:numRef>
          </c:xVal>
          <c:yVal>
            <c:numRef>
              <c:f>'C-car.4'!$W$62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EF2-419C-9234-E3BD33B23941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EF2-419C-9234-E3BD33B23941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'C-car.4'!$AD$77</c:f>
              <c:numCache>
                <c:formatCode>0.00</c:formatCode>
                <c:ptCount val="1"/>
              </c:numCache>
            </c:numRef>
          </c:xVal>
          <c:yVal>
            <c:numRef>
              <c:f>'C-car.4'!$AF$77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EF2-419C-9234-E3BD33B23941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EF2-419C-9234-E3BD33B23941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'C-car.4'!$AD$86</c:f>
              <c:numCache>
                <c:formatCode>0.00</c:formatCode>
                <c:ptCount val="1"/>
              </c:numCache>
            </c:numRef>
          </c:xVal>
          <c:yVal>
            <c:numRef>
              <c:f>'C-car.4'!$AF$86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EF2-419C-9234-E3BD33B23941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'C-car.4'!$U$54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'C-car.4'!$W$54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EF2-419C-9234-E3BD33B23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261344"/>
        <c:axId val="314261904"/>
      </c:scatterChart>
      <c:valAx>
        <c:axId val="314261344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89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4261904"/>
        <c:crosses val="autoZero"/>
        <c:crossBetween val="midCat"/>
        <c:majorUnit val="1"/>
      </c:valAx>
      <c:valAx>
        <c:axId val="314261904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6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42613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5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25"/>
          <c:w val="0.90742455710851855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'C-car.4'!$AC$48:$AC$54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62-4D6C-95D9-A8F33E22536E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562-4D6C-95D9-A8F33E2253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'C-car.4'!$N$30:$N$31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62-4D6C-95D9-A8F33E22536E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562-4D6C-95D9-A8F33E2253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'C-car.4'!$Q$30:$Q$31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562-4D6C-95D9-A8F33E22536E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562-4D6C-95D9-A8F33E2253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'C-car.4'!$S$30:$S$31</c:f>
              <c:numCache>
                <c:formatCode>0.00</c:formatCode>
                <c:ptCount val="2"/>
              </c:numCache>
            </c:numRef>
          </c:xVal>
          <c:yVal>
            <c:numRef>
              <c:f>'C-car.4'!$T$30:$T$31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562-4D6C-95D9-A8F33E22536E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'C-car.4'!$Y$11:$Y$15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'C-car.4'!$Z$11:$Z$15</c:f>
              <c:numCache>
                <c:formatCode>General</c:formatCode>
                <c:ptCount val="5"/>
                <c:pt idx="0">
                  <c:v>29.14</c:v>
                </c:pt>
                <c:pt idx="1">
                  <c:v>29.14</c:v>
                </c:pt>
                <c:pt idx="2">
                  <c:v>29.14</c:v>
                </c:pt>
                <c:pt idx="3">
                  <c:v>29.14</c:v>
                </c:pt>
                <c:pt idx="4">
                  <c:v>29.14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562-4D6C-95D9-A8F33E22536E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'C-car.4'!$Y$18:$Y$22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'C-car.4'!$Z$18:$Z$22</c:f>
              <c:numCache>
                <c:formatCode>General</c:formatCode>
                <c:ptCount val="5"/>
                <c:pt idx="0">
                  <c:v>29.14</c:v>
                </c:pt>
                <c:pt idx="1">
                  <c:v>29.14</c:v>
                </c:pt>
                <c:pt idx="2">
                  <c:v>29.14</c:v>
                </c:pt>
                <c:pt idx="3">
                  <c:v>29.14</c:v>
                </c:pt>
                <c:pt idx="4">
                  <c:v>29.14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562-4D6C-95D9-A8F33E22536E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562-4D6C-95D9-A8F33E22536E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'C-car.4'!$Y$25:$Y$29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'C-car.4'!$Z$25:$Z$29</c:f>
              <c:numCache>
                <c:formatCode>General</c:formatCode>
                <c:ptCount val="5"/>
                <c:pt idx="0">
                  <c:v>29.14</c:v>
                </c:pt>
                <c:pt idx="1">
                  <c:v>29.14</c:v>
                </c:pt>
                <c:pt idx="2">
                  <c:v>29.14</c:v>
                </c:pt>
                <c:pt idx="3">
                  <c:v>29.14</c:v>
                </c:pt>
                <c:pt idx="4">
                  <c:v>29.14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562-4D6C-95D9-A8F33E22536E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'C-car.4'!$M$31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'C-car.4'!$N$31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562-4D6C-95D9-A8F33E22536E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'C-car.4'!$P$31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'C-car.4'!$Q$31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562-4D6C-95D9-A8F33E22536E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'C-car.4'!$S$31</c:f>
              <c:numCache>
                <c:formatCode>0.00</c:formatCode>
                <c:ptCount val="1"/>
              </c:numCache>
            </c:numRef>
          </c:xVal>
          <c:yVal>
            <c:numRef>
              <c:f>'C-car.4'!$T$31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562-4D6C-95D9-A8F33E225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270304"/>
        <c:axId val="314270864"/>
      </c:scatterChart>
      <c:valAx>
        <c:axId val="31427030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99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14270864"/>
        <c:crosses val="autoZero"/>
        <c:crossBetween val="midCat"/>
        <c:majorUnit val="1"/>
      </c:valAx>
      <c:valAx>
        <c:axId val="3142708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42703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268E-2"/>
          <c:y val="9.9061975819114148E-2"/>
          <c:w val="0.94847987950391055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'C-car.5'!$AD$47:$AD$77</c:f>
              <c:numCache>
                <c:formatCode>General</c:formatCode>
                <c:ptCount val="31"/>
              </c:numCache>
            </c:numRef>
          </c:xVal>
          <c:yVal>
            <c:numRef>
              <c:f>'C-car.5'!$AE$47:$AE$77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23-4CFE-BB7C-DF579C3F0174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'C-car.5'!$AB$11:$AB$12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'C-car.5'!$AC$11:$AC$12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23-4CFE-BB7C-DF579C3F0174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'C-car.5'!$AB$13:$AB$14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'C-car.5'!$AC$13:$AC$14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323-4CFE-BB7C-DF579C3F0174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'C-car.5'!$AB$15:$AB$16</c:f>
              <c:numCache>
                <c:formatCode>0.00</c:formatCode>
                <c:ptCount val="2"/>
              </c:numCache>
            </c:numRef>
          </c:xVal>
          <c:yVal>
            <c:numRef>
              <c:f>'C-car.5'!$AC$15:$AC$16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323-4CFE-BB7C-DF579C3F0174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'C-car.5'!$AB$17:$AB$18</c:f>
              <c:numCache>
                <c:formatCode>0.00</c:formatCode>
                <c:ptCount val="2"/>
              </c:numCache>
            </c:numRef>
          </c:xVal>
          <c:yVal>
            <c:numRef>
              <c:f>'C-car.5'!$AC$17:$AC$18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323-4CFE-BB7C-DF579C3F0174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E323-4CFE-BB7C-DF579C3F0174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'C-car.5'!$AB$19:$AB$20</c:f>
              <c:numCache>
                <c:formatCode>0.00</c:formatCode>
                <c:ptCount val="2"/>
              </c:numCache>
            </c:numRef>
          </c:xVal>
          <c:yVal>
            <c:numRef>
              <c:f>'C-car.5'!$AC$19:$AC$20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323-4CFE-BB7C-DF579C3F0174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'C-car.5'!$AB$34:$AB$35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'C-car.5'!$AC$34:$AC$35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323-4CFE-BB7C-DF579C3F0174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'C-car.5'!$AB$36:$AB$37</c:f>
              <c:numCache>
                <c:formatCode>0.00</c:formatCode>
                <c:ptCount val="2"/>
              </c:numCache>
            </c:numRef>
          </c:xVal>
          <c:yVal>
            <c:numRef>
              <c:f>'C-car.5'!$AC$36:$AC$37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E323-4CFE-BB7C-DF579C3F0174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'C-car.5'!$AB$38:$AB$39</c:f>
              <c:numCache>
                <c:formatCode>0.00</c:formatCode>
                <c:ptCount val="2"/>
              </c:numCache>
            </c:numRef>
          </c:xVal>
          <c:yVal>
            <c:numRef>
              <c:f>'C-car.5'!$AC$38:$AC$39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E323-4CFE-BB7C-DF579C3F0174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323-4CFE-BB7C-DF579C3F0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'C-car.5'!$AB$40:$AB$41</c:f>
              <c:numCache>
                <c:formatCode>0.00</c:formatCode>
                <c:ptCount val="2"/>
              </c:numCache>
            </c:numRef>
          </c:xVal>
          <c:yVal>
            <c:numRef>
              <c:f>'C-car.5'!$AC$40:$AC$41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E323-4CFE-BB7C-DF579C3F01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5245792"/>
        <c:axId val="315246352"/>
      </c:scatterChart>
      <c:valAx>
        <c:axId val="315245792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64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15246352"/>
        <c:crosses val="autoZero"/>
        <c:crossBetween val="midCat"/>
        <c:majorUnit val="1"/>
      </c:valAx>
      <c:valAx>
        <c:axId val="315246352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52457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54" l="0.70000000000000062" r="0.70000000000000062" t="0.75000000000001454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45"/>
          <c:w val="0.94796977526453763"/>
          <c:h val="0.77738578636805311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FA-439C-AA62-34466D204A2C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FA-439C-AA62-34466D204A2C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FA-439C-AA62-34466D204A2C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FA-439C-AA62-34466D204A2C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FA-439C-AA62-34466D204A2C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0FA-439C-AA62-34466D204A2C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FA-439C-AA62-34466D204A2C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FA-439C-AA62-34466D204A2C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FA-439C-AA62-34466D204A2C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0FA-439C-AA62-34466D204A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'C-car.5'!$AD$47:$AD$86</c:f>
              <c:numCache>
                <c:formatCode>General</c:formatCode>
                <c:ptCount val="40"/>
              </c:numCache>
            </c:numRef>
          </c:xVal>
          <c:yVal>
            <c:numRef>
              <c:f>'C-car.5'!$AF$47:$AF$86</c:f>
              <c:numCache>
                <c:formatCode>General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0FA-439C-AA62-34466D204A2C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'C-car.5'!$U$44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'C-car.5'!$W$44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0FA-439C-AA62-34466D204A2C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'C-car.5'!$U$45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'C-car.5'!$W$45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0FA-439C-AA62-34466D204A2C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'C-car.5'!$U$53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'C-car.5'!$W$53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0FA-439C-AA62-34466D204A2C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0FA-439C-AA62-34466D204A2C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'C-car.5'!$U$62</c:f>
              <c:numCache>
                <c:formatCode>0.00</c:formatCode>
                <c:ptCount val="1"/>
              </c:numCache>
            </c:numRef>
          </c:xVal>
          <c:yVal>
            <c:numRef>
              <c:f>'C-car.5'!$W$62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0FA-439C-AA62-34466D204A2C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0FA-439C-AA62-34466D204A2C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'C-car.5'!$AD$77</c:f>
              <c:numCache>
                <c:formatCode>0.00</c:formatCode>
                <c:ptCount val="1"/>
              </c:numCache>
            </c:numRef>
          </c:xVal>
          <c:yVal>
            <c:numRef>
              <c:f>'C-car.5'!$AF$77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0FA-439C-AA62-34466D204A2C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0FA-439C-AA62-34466D204A2C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'C-car.5'!$AD$86</c:f>
              <c:numCache>
                <c:formatCode>0.00</c:formatCode>
                <c:ptCount val="1"/>
              </c:numCache>
            </c:numRef>
          </c:xVal>
          <c:yVal>
            <c:numRef>
              <c:f>'C-car.5'!$AF$86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0FA-439C-AA62-34466D204A2C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'C-car.5'!$U$54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'C-car.5'!$W$54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0FA-439C-AA62-34466D204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254752"/>
        <c:axId val="315604976"/>
      </c:scatterChart>
      <c:valAx>
        <c:axId val="315254752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94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5604976"/>
        <c:crosses val="autoZero"/>
        <c:crossBetween val="midCat"/>
        <c:majorUnit val="1"/>
      </c:valAx>
      <c:valAx>
        <c:axId val="31560497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69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52547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54" l="0.70000000000000062" r="0.70000000000000062" t="0.75000000000001454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61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19"/>
          <c:w val="0.90742455710851877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'C-car.5'!$AB$48:$AB$54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1.2</c:v>
                </c:pt>
              </c:numCache>
            </c:numRef>
          </c:xVal>
          <c:yVal>
            <c:numRef>
              <c:f>'C-car.5'!$AC$48:$AC$54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7A-4B9C-8643-F6C719C73A40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47A-4B9C-8643-F6C719C73A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'C-car.5'!$M$30:$M$31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'C-car.5'!$N$30:$N$31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7A-4B9C-8643-F6C719C73A40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7A-4B9C-8643-F6C719C73A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'C-car.5'!$P$30:$P$31</c:f>
              <c:numCache>
                <c:formatCode>0.00</c:formatCode>
                <c:ptCount val="2"/>
                <c:pt idx="0">
                  <c:v>1.2</c:v>
                </c:pt>
                <c:pt idx="1">
                  <c:v>1.2</c:v>
                </c:pt>
              </c:numCache>
            </c:numRef>
          </c:xVal>
          <c:yVal>
            <c:numRef>
              <c:f>'C-car.5'!$Q$30:$Q$31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7A-4B9C-8643-F6C719C73A40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47A-4B9C-8643-F6C719C73A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'C-car.5'!$S$30:$S$31</c:f>
              <c:numCache>
                <c:formatCode>0.00</c:formatCode>
                <c:ptCount val="2"/>
              </c:numCache>
            </c:numRef>
          </c:xVal>
          <c:yVal>
            <c:numRef>
              <c:f>'C-car.5'!$T$30:$T$31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47A-4B9C-8643-F6C719C73A40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'C-car.5'!$Y$11:$Y$15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'C-car.5'!$Z$11:$Z$15</c:f>
              <c:numCache>
                <c:formatCode>General</c:formatCode>
                <c:ptCount val="5"/>
                <c:pt idx="0">
                  <c:v>34.14</c:v>
                </c:pt>
                <c:pt idx="1">
                  <c:v>34.14</c:v>
                </c:pt>
                <c:pt idx="2">
                  <c:v>34.14</c:v>
                </c:pt>
                <c:pt idx="3">
                  <c:v>34.14</c:v>
                </c:pt>
                <c:pt idx="4">
                  <c:v>34.14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47A-4B9C-8643-F6C719C73A40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'C-car.5'!$Y$18:$Y$22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1.2</c:v>
                </c:pt>
                <c:pt idx="2">
                  <c:v>1.2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'C-car.5'!$Z$18:$Z$22</c:f>
              <c:numCache>
                <c:formatCode>General</c:formatCode>
                <c:ptCount val="5"/>
                <c:pt idx="0">
                  <c:v>34.14</c:v>
                </c:pt>
                <c:pt idx="1">
                  <c:v>34.14</c:v>
                </c:pt>
                <c:pt idx="2">
                  <c:v>34.14</c:v>
                </c:pt>
                <c:pt idx="3">
                  <c:v>34.14</c:v>
                </c:pt>
                <c:pt idx="4">
                  <c:v>34.14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47A-4B9C-8643-F6C719C73A40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47A-4B9C-8643-F6C719C73A40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'C-car.5'!$Y$25:$Y$29</c:f>
              <c:numCache>
                <c:formatCode>0.00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xVal>
          <c:yVal>
            <c:numRef>
              <c:f>'C-car.5'!$Z$25:$Z$29</c:f>
              <c:numCache>
                <c:formatCode>General</c:formatCode>
                <c:ptCount val="5"/>
                <c:pt idx="0">
                  <c:v>34.14</c:v>
                </c:pt>
                <c:pt idx="1">
                  <c:v>34.14</c:v>
                </c:pt>
                <c:pt idx="2">
                  <c:v>34.14</c:v>
                </c:pt>
                <c:pt idx="3">
                  <c:v>34.14</c:v>
                </c:pt>
                <c:pt idx="4">
                  <c:v>34.14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47A-4B9C-8643-F6C719C73A40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'C-car.5'!$M$31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'C-car.5'!$N$31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47A-4B9C-8643-F6C719C73A40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'C-car.5'!$P$31</c:f>
              <c:numCache>
                <c:formatCode>0.00</c:formatCode>
                <c:ptCount val="1"/>
                <c:pt idx="0">
                  <c:v>1.2</c:v>
                </c:pt>
              </c:numCache>
            </c:numRef>
          </c:xVal>
          <c:yVal>
            <c:numRef>
              <c:f>'C-car.5'!$Q$31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47A-4B9C-8643-F6C719C73A40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'C-car.5'!$S$31</c:f>
              <c:numCache>
                <c:formatCode>0.00</c:formatCode>
                <c:ptCount val="1"/>
              </c:numCache>
            </c:numRef>
          </c:xVal>
          <c:yVal>
            <c:numRef>
              <c:f>'C-car.5'!$T$31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47A-4B9C-8643-F6C719C73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13376"/>
        <c:axId val="315613936"/>
      </c:scatterChart>
      <c:valAx>
        <c:axId val="31561337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321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15613936"/>
        <c:crosses val="autoZero"/>
        <c:crossBetween val="midCat"/>
        <c:majorUnit val="1"/>
      </c:valAx>
      <c:valAx>
        <c:axId val="315613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56133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54" l="0.70000000000000062" r="0.70000000000000062" t="0.75000000000001454" header="0.30000000000000032" footer="0.30000000000000032"/>
    <c:pageSetup orientation="portrait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122E-2"/>
          <c:y val="9.9061975819114148E-2"/>
          <c:w val="0.94847987950390911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'CC-car.1'!$AD$47:$AD$72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'CC-car.1'!$AE$47:$AE$72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5.8018750000000008</c:v>
                </c:pt>
                <c:pt idx="6">
                  <c:v>9.2600000000000016</c:v>
                </c:pt>
                <c:pt idx="7">
                  <c:v>10.374375000000001</c:v>
                </c:pt>
                <c:pt idx="8">
                  <c:v>9.1450000000000031</c:v>
                </c:pt>
                <c:pt idx="9">
                  <c:v>5.5718750000000057</c:v>
                </c:pt>
                <c:pt idx="10">
                  <c:v>-0.34499999999999886</c:v>
                </c:pt>
                <c:pt idx="11">
                  <c:v>-8.6056249999999963</c:v>
                </c:pt>
                <c:pt idx="12">
                  <c:v>-19.209999999999994</c:v>
                </c:pt>
                <c:pt idx="13">
                  <c:v>-19.209999999999997</c:v>
                </c:pt>
                <c:pt idx="14">
                  <c:v>-7.8124999999999982</c:v>
                </c:pt>
                <c:pt idx="15">
                  <c:v>0.88500000000000156</c:v>
                </c:pt>
                <c:pt idx="16">
                  <c:v>6.8825000000000003</c:v>
                </c:pt>
                <c:pt idx="17">
                  <c:v>10.18</c:v>
                </c:pt>
                <c:pt idx="18">
                  <c:v>10.777500000000011</c:v>
                </c:pt>
                <c:pt idx="19">
                  <c:v>8.6749999999999972</c:v>
                </c:pt>
                <c:pt idx="20">
                  <c:v>3.8725000000000023</c:v>
                </c:pt>
                <c:pt idx="21">
                  <c:v>-3.6299999999999955</c:v>
                </c:pt>
                <c:pt idx="22">
                  <c:v>-3.6300000000000008</c:v>
                </c:pt>
                <c:pt idx="23">
                  <c:v>-1.6133333333333337</c:v>
                </c:pt>
                <c:pt idx="24">
                  <c:v>-0.40333333333333332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A6-4C8B-AFA1-1B5A534D4751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8A6-4C8B-AFA1-1B5A534D475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'CC-car.1'!$AL$17:$AL$18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8A6-4C8B-AFA1-1B5A534D4751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6-68A6-4C8B-AFA1-1B5A534D475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'CC-car.1'!$AL$19:$AL$20</c:f>
              <c:numCache>
                <c:formatCode>0.00</c:formatCode>
                <c:ptCount val="2"/>
                <c:pt idx="0">
                  <c:v>0</c:v>
                </c:pt>
                <c:pt idx="1">
                  <c:v>-19.209999999999994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8A6-4C8B-AFA1-1B5A534D4751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68A6-4C8B-AFA1-1B5A534D475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'CC-car.1'!$AL$21:$AL$22</c:f>
              <c:numCache>
                <c:formatCode>0.00</c:formatCode>
                <c:ptCount val="2"/>
                <c:pt idx="0">
                  <c:v>0</c:v>
                </c:pt>
                <c:pt idx="1">
                  <c:v>-3.6299999999999955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8A6-4C8B-AFA1-1B5A534D4751}"/>
            </c:ext>
          </c:extLst>
        </c:ser>
        <c:ser>
          <c:idx val="10"/>
          <c:order val="4"/>
          <c:tx>
            <c:v>camp1-2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'CC-car.1'!$AK$40:$AK$41</c:f>
              <c:numCache>
                <c:formatCode>0.00</c:formatCode>
                <c:ptCount val="2"/>
                <c:pt idx="0">
                  <c:v>1.8596666666666668</c:v>
                </c:pt>
                <c:pt idx="1">
                  <c:v>1.8596666666666668</c:v>
                </c:pt>
              </c:numCache>
            </c:numRef>
          </c:xVal>
          <c:yVal>
            <c:numRef>
              <c:f>'CC-car.1'!$AL$40:$AL$41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10.375080333333335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8A6-4C8B-AFA1-1B5A534D4751}"/>
            </c:ext>
          </c:extLst>
        </c:ser>
        <c:ser>
          <c:idx val="11"/>
          <c:order val="5"/>
          <c:tx>
            <c:v>camp.2-3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'CC-car.1'!$AK$42:$AK$43</c:f>
              <c:numCache>
                <c:formatCode>0.00</c:formatCode>
                <c:ptCount val="2"/>
                <c:pt idx="0">
                  <c:v>7.3606481481481483</c:v>
                </c:pt>
                <c:pt idx="1">
                  <c:v>7.3606481481481483</c:v>
                </c:pt>
              </c:numCache>
            </c:numRef>
          </c:xVal>
          <c:yVal>
            <c:numRef>
              <c:f>'CC-car.1'!$AL$42:$AL$43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10.88236226851852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8A6-4C8B-AFA1-1B5A534D4751}"/>
            </c:ext>
          </c:extLst>
        </c:ser>
        <c:ser>
          <c:idx val="4"/>
          <c:order val="6"/>
          <c:tx>
            <c:v>M2(x)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'CC-car.2'!$AD$47:$AD$72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'CC-car.2'!$AE$47:$AE$72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11.936708333333335</c:v>
                </c:pt>
                <c:pt idx="6">
                  <c:v>19.654666666666671</c:v>
                </c:pt>
                <c:pt idx="7">
                  <c:v>23.153875000000006</c:v>
                </c:pt>
                <c:pt idx="8">
                  <c:v>22.434333333333342</c:v>
                </c:pt>
                <c:pt idx="9">
                  <c:v>17.49604166666667</c:v>
                </c:pt>
                <c:pt idx="10">
                  <c:v>8.3390000000000128</c:v>
                </c:pt>
                <c:pt idx="11">
                  <c:v>-5.0367916666666588</c:v>
                </c:pt>
                <c:pt idx="12">
                  <c:v>-22.631333333333316</c:v>
                </c:pt>
                <c:pt idx="13">
                  <c:v>-22.631333333333327</c:v>
                </c:pt>
                <c:pt idx="14">
                  <c:v>-15.369166666666661</c:v>
                </c:pt>
                <c:pt idx="15">
                  <c:v>-9.6069999999999958</c:v>
                </c:pt>
                <c:pt idx="16">
                  <c:v>-5.3448333333333302</c:v>
                </c:pt>
                <c:pt idx="17">
                  <c:v>-2.5826666666666682</c:v>
                </c:pt>
                <c:pt idx="18">
                  <c:v>-1.3205000000000027</c:v>
                </c:pt>
                <c:pt idx="19">
                  <c:v>-1.5583333333333371</c:v>
                </c:pt>
                <c:pt idx="20">
                  <c:v>-3.2961666666666716</c:v>
                </c:pt>
                <c:pt idx="21">
                  <c:v>-6.534000000000006</c:v>
                </c:pt>
                <c:pt idx="22">
                  <c:v>-6.5340000000000016</c:v>
                </c:pt>
                <c:pt idx="23">
                  <c:v>-2.9039999999999999</c:v>
                </c:pt>
                <c:pt idx="24">
                  <c:v>-0.72599999999999909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68A6-4C8B-AFA1-1B5A534D4751}"/>
            </c:ext>
          </c:extLst>
        </c:ser>
        <c:ser>
          <c:idx val="5"/>
          <c:order val="7"/>
          <c:tx>
            <c:v>2-app.1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'CC-car.2'!$AL$17:$AL$18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68A6-4C8B-AFA1-1B5A534D4751}"/>
            </c:ext>
          </c:extLst>
        </c:ser>
        <c:ser>
          <c:idx val="6"/>
          <c:order val="8"/>
          <c:tx>
            <c:v>2-app.2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'CC-car.2'!$AL$19:$AL$20</c:f>
              <c:numCache>
                <c:formatCode>0.00</c:formatCode>
                <c:ptCount val="2"/>
                <c:pt idx="0">
                  <c:v>0</c:v>
                </c:pt>
                <c:pt idx="1">
                  <c:v>-22.631333333333316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68A6-4C8B-AFA1-1B5A534D4751}"/>
            </c:ext>
          </c:extLst>
        </c:ser>
        <c:ser>
          <c:idx val="7"/>
          <c:order val="9"/>
          <c:tx>
            <c:v>3-app.3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'CC-car.2'!$AL$21:$AL$22</c:f>
              <c:numCache>
                <c:formatCode>0.00</c:formatCode>
                <c:ptCount val="2"/>
                <c:pt idx="0">
                  <c:v>0</c:v>
                </c:pt>
                <c:pt idx="1">
                  <c:v>-6.534000000000006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68A6-4C8B-AFA1-1B5A534D4751}"/>
            </c:ext>
          </c:extLst>
        </c:ser>
        <c:ser>
          <c:idx val="8"/>
          <c:order val="10"/>
          <c:tx>
            <c:v>2-camp.1-2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'CC-car.2'!$AK$40:$AK$41</c:f>
              <c:numCache>
                <c:formatCode>0.00</c:formatCode>
                <c:ptCount val="2"/>
                <c:pt idx="0">
                  <c:v>2.0809012345679014</c:v>
                </c:pt>
                <c:pt idx="1">
                  <c:v>2.0809012345679014</c:v>
                </c:pt>
              </c:numCache>
            </c:numRef>
          </c:xVal>
          <c:yVal>
            <c:numRef>
              <c:f>'CC-car.2'!$AL$40:$AL$41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23.382809719341569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68A6-4C8B-AFA1-1B5A534D4751}"/>
            </c:ext>
          </c:extLst>
        </c:ser>
        <c:ser>
          <c:idx val="9"/>
          <c:order val="11"/>
          <c:tx>
            <c:v>2-camp.2-3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'CC-car.2'!$AK$42:$AK$43</c:f>
              <c:numCache>
                <c:formatCode>0.00</c:formatCode>
                <c:ptCount val="2"/>
                <c:pt idx="0">
                  <c:v>7.6707222222222224</c:v>
                </c:pt>
                <c:pt idx="1">
                  <c:v>7.6707222222222224</c:v>
                </c:pt>
              </c:numCache>
            </c:numRef>
          </c:xVal>
          <c:yVal>
            <c:numRef>
              <c:f>'CC-car.2'!$AL$42:$AL$43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-1.2330617685185175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68A6-4C8B-AFA1-1B5A534D4751}"/>
            </c:ext>
          </c:extLst>
        </c:ser>
        <c:ser>
          <c:idx val="12"/>
          <c:order val="12"/>
          <c:tx>
            <c:v>M3(x)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'CC-car.3'!$AD$47:$AD$72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'CC-car.3'!$AE$47:$AE$72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11.322708333333335</c:v>
                </c:pt>
                <c:pt idx="6">
                  <c:v>18.426666666666669</c:v>
                </c:pt>
                <c:pt idx="7">
                  <c:v>21.311875000000008</c:v>
                </c:pt>
                <c:pt idx="8">
                  <c:v>19.978333333333339</c:v>
                </c:pt>
                <c:pt idx="9">
                  <c:v>14.426041666666677</c:v>
                </c:pt>
                <c:pt idx="10">
                  <c:v>4.6550000000000153</c:v>
                </c:pt>
                <c:pt idx="11">
                  <c:v>-9.3347916666666464</c:v>
                </c:pt>
                <c:pt idx="12">
                  <c:v>-27.543333333333322</c:v>
                </c:pt>
                <c:pt idx="13">
                  <c:v>-27.543333333333329</c:v>
                </c:pt>
                <c:pt idx="14">
                  <c:v>-15.104166666666664</c:v>
                </c:pt>
                <c:pt idx="15">
                  <c:v>-5.3649999999999949</c:v>
                </c:pt>
                <c:pt idx="16">
                  <c:v>1.6741666666666717</c:v>
                </c:pt>
                <c:pt idx="17">
                  <c:v>6.0133333333333354</c:v>
                </c:pt>
                <c:pt idx="18">
                  <c:v>7.6524999999999963</c:v>
                </c:pt>
                <c:pt idx="19">
                  <c:v>6.5916666666666686</c:v>
                </c:pt>
                <c:pt idx="20">
                  <c:v>2.8308333333333451</c:v>
                </c:pt>
                <c:pt idx="21">
                  <c:v>-3.6299999999999955</c:v>
                </c:pt>
                <c:pt idx="22">
                  <c:v>-3.6300000000000008</c:v>
                </c:pt>
                <c:pt idx="23">
                  <c:v>-1.6133333333333337</c:v>
                </c:pt>
                <c:pt idx="24">
                  <c:v>-0.40333333333333332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68A6-4C8B-AFA1-1B5A534D4751}"/>
            </c:ext>
          </c:extLst>
        </c:ser>
        <c:ser>
          <c:idx val="13"/>
          <c:order val="13"/>
          <c:tx>
            <c:v>3-app.1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'CC-car.3'!$AL$17:$AL$18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68A6-4C8B-AFA1-1B5A534D4751}"/>
            </c:ext>
          </c:extLst>
        </c:ser>
        <c:ser>
          <c:idx val="14"/>
          <c:order val="14"/>
          <c:tx>
            <c:v>3-app.2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'CC-car.3'!$AL$19:$AL$20</c:f>
              <c:numCache>
                <c:formatCode>0.00</c:formatCode>
                <c:ptCount val="2"/>
                <c:pt idx="0">
                  <c:v>0</c:v>
                </c:pt>
                <c:pt idx="1">
                  <c:v>-27.543333333333322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68A6-4C8B-AFA1-1B5A534D4751}"/>
            </c:ext>
          </c:extLst>
        </c:ser>
        <c:ser>
          <c:idx val="15"/>
          <c:order val="15"/>
          <c:tx>
            <c:v>3-app.3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'CC-car.3'!$AL$21:$AL$22</c:f>
              <c:numCache>
                <c:formatCode>0.00</c:formatCode>
                <c:ptCount val="2"/>
                <c:pt idx="0">
                  <c:v>0</c:v>
                </c:pt>
                <c:pt idx="1">
                  <c:v>-3.6299999999999955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68A6-4C8B-AFA1-1B5A534D4751}"/>
            </c:ext>
          </c:extLst>
        </c:ser>
        <c:ser>
          <c:idx val="16"/>
          <c:order val="16"/>
          <c:tx>
            <c:v>3-camp.1-2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'CC-car.3'!$AK$40:$AK$41</c:f>
              <c:numCache>
                <c:formatCode>0.00</c:formatCode>
                <c:ptCount val="2"/>
                <c:pt idx="0">
                  <c:v>1.9899382716049385</c:v>
                </c:pt>
                <c:pt idx="1">
                  <c:v>1.9899382716049385</c:v>
                </c:pt>
              </c:numCache>
            </c:numRef>
          </c:xVal>
          <c:yVal>
            <c:numRef>
              <c:f>'CC-car.3'!$AL$40:$AL$41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21.383213353909472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68A6-4C8B-AFA1-1B5A534D4751}"/>
            </c:ext>
          </c:extLst>
        </c:ser>
        <c:ser>
          <c:idx val="17"/>
          <c:order val="17"/>
          <c:tx>
            <c:v>3-camp.2-3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'CC-car.3'!$AK$42:$AK$43</c:f>
              <c:numCache>
                <c:formatCode>0.00</c:formatCode>
                <c:ptCount val="2"/>
                <c:pt idx="0">
                  <c:v>7.5535493827160494</c:v>
                </c:pt>
                <c:pt idx="1">
                  <c:v>7.5535493827160494</c:v>
                </c:pt>
              </c:numCache>
            </c:numRef>
          </c:xVal>
          <c:yVal>
            <c:numRef>
              <c:f>'CC-car.3'!$AL$42:$AL$43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7.6679846965020531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68A6-4C8B-AFA1-1B5A534D4751}"/>
            </c:ext>
          </c:extLst>
        </c:ser>
        <c:ser>
          <c:idx val="18"/>
          <c:order val="18"/>
          <c:tx>
            <c:v>M4(x)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'CC-car.4'!$AD$47:$AD$72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'CC-car.4'!$AE$47:$AE$72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5.8825416666666674</c:v>
                </c:pt>
                <c:pt idx="6">
                  <c:v>9.4213333333333349</c:v>
                </c:pt>
                <c:pt idx="7">
                  <c:v>10.616375000000001</c:v>
                </c:pt>
                <c:pt idx="8">
                  <c:v>9.4676666666666698</c:v>
                </c:pt>
                <c:pt idx="9">
                  <c:v>5.9752083333333346</c:v>
                </c:pt>
                <c:pt idx="10">
                  <c:v>0.1390000000000029</c:v>
                </c:pt>
                <c:pt idx="11">
                  <c:v>-8.0409583333333288</c:v>
                </c:pt>
                <c:pt idx="12">
                  <c:v>-18.56466666666666</c:v>
                </c:pt>
                <c:pt idx="13">
                  <c:v>-18.564666666666664</c:v>
                </c:pt>
                <c:pt idx="14">
                  <c:v>-7.610833333333332</c:v>
                </c:pt>
                <c:pt idx="15">
                  <c:v>0.64300000000000068</c:v>
                </c:pt>
                <c:pt idx="16">
                  <c:v>6.1968333333333376</c:v>
                </c:pt>
                <c:pt idx="17">
                  <c:v>9.0506666666666717</c:v>
                </c:pt>
                <c:pt idx="18">
                  <c:v>9.2044999999999959</c:v>
                </c:pt>
                <c:pt idx="19">
                  <c:v>6.6583333333333456</c:v>
                </c:pt>
                <c:pt idx="20">
                  <c:v>1.4121666666666641</c:v>
                </c:pt>
                <c:pt idx="21">
                  <c:v>-6.534000000000006</c:v>
                </c:pt>
                <c:pt idx="22">
                  <c:v>-6.5340000000000016</c:v>
                </c:pt>
                <c:pt idx="23">
                  <c:v>-2.9039999999999999</c:v>
                </c:pt>
                <c:pt idx="24">
                  <c:v>-0.72599999999999909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68A6-4C8B-AFA1-1B5A534D4751}"/>
            </c:ext>
          </c:extLst>
        </c:ser>
        <c:ser>
          <c:idx val="19"/>
          <c:order val="19"/>
          <c:tx>
            <c:v>4-app.1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'CC-car.4'!$AL$17:$AL$18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68A6-4C8B-AFA1-1B5A534D4751}"/>
            </c:ext>
          </c:extLst>
        </c:ser>
        <c:ser>
          <c:idx val="20"/>
          <c:order val="20"/>
          <c:tx>
            <c:v>4-app.2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'CC-car.4'!$AL$19:$AL$20</c:f>
              <c:numCache>
                <c:formatCode>0.00</c:formatCode>
                <c:ptCount val="2"/>
                <c:pt idx="0">
                  <c:v>0</c:v>
                </c:pt>
                <c:pt idx="1">
                  <c:v>-18.56466666666666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68A6-4C8B-AFA1-1B5A534D4751}"/>
            </c:ext>
          </c:extLst>
        </c:ser>
        <c:ser>
          <c:idx val="21"/>
          <c:order val="21"/>
          <c:tx>
            <c:v>4-app.3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'CC-car.4'!$AL$21:$AL$22</c:f>
              <c:numCache>
                <c:formatCode>0.00</c:formatCode>
                <c:ptCount val="2"/>
                <c:pt idx="0">
                  <c:v>0</c:v>
                </c:pt>
                <c:pt idx="1">
                  <c:v>-6.534000000000006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68A6-4C8B-AFA1-1B5A534D4751}"/>
            </c:ext>
          </c:extLst>
        </c:ser>
        <c:ser>
          <c:idx val="22"/>
          <c:order val="22"/>
          <c:tx>
            <c:v>4-camp.1-2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'CC-car.4'!$AK$40:$AK$41</c:f>
              <c:numCache>
                <c:formatCode>0.00</c:formatCode>
                <c:ptCount val="2"/>
                <c:pt idx="0">
                  <c:v>1.8811777777777781</c:v>
                </c:pt>
                <c:pt idx="1">
                  <c:v>1.8811777777777781</c:v>
                </c:pt>
              </c:numCache>
            </c:numRef>
          </c:xVal>
          <c:yVal>
            <c:numRef>
              <c:f>'CC-car.4'!$AL$40:$AL$41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10.616489494814818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68A6-4C8B-AFA1-1B5A534D4751}"/>
            </c:ext>
          </c:extLst>
        </c:ser>
        <c:ser>
          <c:idx val="23"/>
          <c:order val="23"/>
          <c:tx>
            <c:v>4-camp.2-3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'CC-car.4'!$AK$42:$AK$43</c:f>
              <c:numCache>
                <c:formatCode>0.00</c:formatCode>
                <c:ptCount val="2"/>
                <c:pt idx="0">
                  <c:v>7.2784876543209869</c:v>
                </c:pt>
                <c:pt idx="1">
                  <c:v>7.2784876543209869</c:v>
                </c:pt>
              </c:numCache>
            </c:numRef>
          </c:xVal>
          <c:yVal>
            <c:numRef>
              <c:f>'CC-car.4'!$AL$42:$AL$43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9.4694656841563756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68A6-4C8B-AFA1-1B5A534D4751}"/>
            </c:ext>
          </c:extLst>
        </c:ser>
        <c:ser>
          <c:idx val="24"/>
          <c:order val="24"/>
          <c:tx>
            <c:v>M5(x)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68A6-4C8B-AFA1-1B5A534D4751}"/>
                </c:ext>
              </c:extLst>
            </c:dLbl>
            <c:dLbl>
              <c:idx val="1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68A6-4C8B-AFA1-1B5A534D4751}"/>
                </c:ext>
              </c:extLst>
            </c:dLbl>
            <c:dLbl>
              <c:idx val="2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'CC-car.5'!$AE$47:$AE$72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68A6-4C8B-AFA1-1B5A534D4751}"/>
            </c:ext>
          </c:extLst>
        </c:ser>
        <c:ser>
          <c:idx val="25"/>
          <c:order val="25"/>
          <c:tx>
            <c:v>5-app.1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'CC-car.5'!$AK$17:$AK$18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68A6-4C8B-AFA1-1B5A534D4751}"/>
            </c:ext>
          </c:extLst>
        </c:ser>
        <c:ser>
          <c:idx val="26"/>
          <c:order val="26"/>
          <c:tx>
            <c:v>5-app.2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'CC-car.5'!$AK$19:$AK$20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'CC-car.5'!$AL$19:$AL$20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68A6-4C8B-AFA1-1B5A534D4751}"/>
            </c:ext>
          </c:extLst>
        </c:ser>
        <c:ser>
          <c:idx val="27"/>
          <c:order val="27"/>
          <c:tx>
            <c:v>5-app.3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'CC-car.5'!$AK$21:$AK$22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'CC-car.5'!$AL$21:$AL$22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68A6-4C8B-AFA1-1B5A534D4751}"/>
            </c:ext>
          </c:extLst>
        </c:ser>
        <c:ser>
          <c:idx val="28"/>
          <c:order val="28"/>
          <c:tx>
            <c:v>5-camp.1-2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'CC-car.5'!$AK$40:$AK$41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68A6-4C8B-AFA1-1B5A534D4751}"/>
            </c:ext>
          </c:extLst>
        </c:ser>
        <c:ser>
          <c:idx val="29"/>
          <c:order val="29"/>
          <c:tx>
            <c:v>5-camp.2-3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68A6-4C8B-AFA1-1B5A534D47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'CC-car.5'!$AK$42:$AK$43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68A6-4C8B-AFA1-1B5A534D475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5634096"/>
        <c:axId val="315634656"/>
      </c:scatterChart>
      <c:valAx>
        <c:axId val="315634096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48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15634656"/>
        <c:crosses val="autoZero"/>
        <c:crossBetween val="midCat"/>
        <c:majorUnit val="1"/>
      </c:valAx>
      <c:valAx>
        <c:axId val="315634656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563409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01"/>
          <c:w val="0.94796977526453763"/>
          <c:h val="0.77738578636805145"/>
        </c:manualLayout>
      </c:layout>
      <c:scatterChart>
        <c:scatterStyle val="lineMarker"/>
        <c:varyColors val="0"/>
        <c:ser>
          <c:idx val="0"/>
          <c:order val="0"/>
          <c:tx>
            <c:v>T1(x)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2F-41A0-8B0C-F7E6239CE5AA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2F-41A0-8B0C-F7E6239CE5AA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2F-41A0-8B0C-F7E6239CE5AA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2F-41A0-8B0C-F7E6239CE5AA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2F-41A0-8B0C-F7E6239CE5AA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C2F-41A0-8B0C-F7E6239CE5AA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2F-41A0-8B0C-F7E6239CE5AA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2F-41A0-8B0C-F7E6239CE5AA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2F-41A0-8B0C-F7E6239CE5AA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C2F-41A0-8B0C-F7E6239CE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'CC-car.1'!$AF$47:$AF$72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11.158000000000001</c:v>
                </c:pt>
                <c:pt idx="5">
                  <c:v>7.4080000000000013</c:v>
                </c:pt>
                <c:pt idx="6">
                  <c:v>3.6580000000000013</c:v>
                </c:pt>
                <c:pt idx="7">
                  <c:v>-9.1999999999998749E-2</c:v>
                </c:pt>
                <c:pt idx="8">
                  <c:v>-3.8419999999999987</c:v>
                </c:pt>
                <c:pt idx="9">
                  <c:v>-7.5919999999999987</c:v>
                </c:pt>
                <c:pt idx="10">
                  <c:v>-11.341999999999999</c:v>
                </c:pt>
                <c:pt idx="11">
                  <c:v>-15.091999999999999</c:v>
                </c:pt>
                <c:pt idx="12">
                  <c:v>-18.841999999999999</c:v>
                </c:pt>
                <c:pt idx="13">
                  <c:v>25.495000000000001</c:v>
                </c:pt>
                <c:pt idx="14">
                  <c:v>20.094999999999999</c:v>
                </c:pt>
                <c:pt idx="15">
                  <c:v>14.695</c:v>
                </c:pt>
                <c:pt idx="16">
                  <c:v>9.2949999999999982</c:v>
                </c:pt>
                <c:pt idx="17">
                  <c:v>3.8949999999999996</c:v>
                </c:pt>
                <c:pt idx="18">
                  <c:v>-1.504999999999999</c:v>
                </c:pt>
                <c:pt idx="19">
                  <c:v>-6.9050000000000047</c:v>
                </c:pt>
                <c:pt idx="20">
                  <c:v>-12.305000000000003</c:v>
                </c:pt>
                <c:pt idx="21">
                  <c:v>-17.705000000000002</c:v>
                </c:pt>
                <c:pt idx="22">
                  <c:v>6.6000000000000005</c:v>
                </c:pt>
                <c:pt idx="23">
                  <c:v>4.4000000000000004</c:v>
                </c:pt>
                <c:pt idx="24">
                  <c:v>2.2000000000000002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C2F-41A0-8B0C-F7E6239CE5AA}"/>
            </c:ext>
          </c:extLst>
        </c:ser>
        <c:ser>
          <c:idx val="1"/>
          <c:order val="1"/>
          <c:tx>
            <c:v>T2(x)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2F-41A0-8B0C-F7E6239CE5AA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2F-41A0-8B0C-F7E6239CE5AA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C2F-41A0-8B0C-F7E6239CE5AA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C2F-41A0-8B0C-F7E6239CE5AA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C2F-41A0-8B0C-F7E6239CE5AA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C2F-41A0-8B0C-F7E6239CE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'CC-car.2'!$AF$47:$AF$72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22.473733333333335</c:v>
                </c:pt>
                <c:pt idx="5">
                  <c:v>15.723733333333335</c:v>
                </c:pt>
                <c:pt idx="6">
                  <c:v>8.9737333333333353</c:v>
                </c:pt>
                <c:pt idx="7">
                  <c:v>2.2237333333333353</c:v>
                </c:pt>
                <c:pt idx="8">
                  <c:v>-4.5262666666666647</c:v>
                </c:pt>
                <c:pt idx="9">
                  <c:v>-11.276266666666665</c:v>
                </c:pt>
                <c:pt idx="10">
                  <c:v>-18.026266666666665</c:v>
                </c:pt>
                <c:pt idx="11">
                  <c:v>-24.776266666666665</c:v>
                </c:pt>
                <c:pt idx="12">
                  <c:v>-31.526266666666665</c:v>
                </c:pt>
                <c:pt idx="13">
                  <c:v>16.024333333333331</c:v>
                </c:pt>
                <c:pt idx="14">
                  <c:v>13.024333333333331</c:v>
                </c:pt>
                <c:pt idx="15">
                  <c:v>10.024333333333331</c:v>
                </c:pt>
                <c:pt idx="16">
                  <c:v>7.0243333333333311</c:v>
                </c:pt>
                <c:pt idx="17">
                  <c:v>4.0243333333333311</c:v>
                </c:pt>
                <c:pt idx="18">
                  <c:v>1.0243333333333311</c:v>
                </c:pt>
                <c:pt idx="19">
                  <c:v>-1.9756666666666689</c:v>
                </c:pt>
                <c:pt idx="20">
                  <c:v>-4.9756666666666689</c:v>
                </c:pt>
                <c:pt idx="21">
                  <c:v>-7.9756666666666689</c:v>
                </c:pt>
                <c:pt idx="22">
                  <c:v>11.880000000000003</c:v>
                </c:pt>
                <c:pt idx="23">
                  <c:v>7.9200000000000017</c:v>
                </c:pt>
                <c:pt idx="24">
                  <c:v>3.9600000000000017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C2F-41A0-8B0C-F7E6239CE5AA}"/>
            </c:ext>
          </c:extLst>
        </c:ser>
        <c:ser>
          <c:idx val="2"/>
          <c:order val="2"/>
          <c:tx>
            <c:v>T3(x)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C2F-41A0-8B0C-F7E6239CE5AA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C2F-41A0-8B0C-F7E6239CE5AA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C2F-41A0-8B0C-F7E6239CE5AA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C2F-41A0-8B0C-F7E6239CE5AA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6C2F-41A0-8B0C-F7E6239CE5AA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C2F-41A0-8B0C-F7E6239CE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'CC-car.3'!$AF$47:$AF$72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21.491333333333337</c:v>
                </c:pt>
                <c:pt idx="5">
                  <c:v>14.741333333333337</c:v>
                </c:pt>
                <c:pt idx="6">
                  <c:v>7.991333333333337</c:v>
                </c:pt>
                <c:pt idx="7">
                  <c:v>1.241333333333337</c:v>
                </c:pt>
                <c:pt idx="8">
                  <c:v>-5.508666666666663</c:v>
                </c:pt>
                <c:pt idx="9">
                  <c:v>-12.258666666666663</c:v>
                </c:pt>
                <c:pt idx="10">
                  <c:v>-19.008666666666663</c:v>
                </c:pt>
                <c:pt idx="11">
                  <c:v>-25.758666666666663</c:v>
                </c:pt>
                <c:pt idx="12">
                  <c:v>-32.508666666666663</c:v>
                </c:pt>
                <c:pt idx="13">
                  <c:v>27.578333333333333</c:v>
                </c:pt>
                <c:pt idx="14">
                  <c:v>22.178333333333335</c:v>
                </c:pt>
                <c:pt idx="15">
                  <c:v>16.778333333333332</c:v>
                </c:pt>
                <c:pt idx="16">
                  <c:v>11.37833333333333</c:v>
                </c:pt>
                <c:pt idx="17">
                  <c:v>5.9783333333333317</c:v>
                </c:pt>
                <c:pt idx="18">
                  <c:v>0.57833333333333314</c:v>
                </c:pt>
                <c:pt idx="19">
                  <c:v>-4.8216666666666725</c:v>
                </c:pt>
                <c:pt idx="20">
                  <c:v>-10.221666666666671</c:v>
                </c:pt>
                <c:pt idx="21">
                  <c:v>-15.62166666666667</c:v>
                </c:pt>
                <c:pt idx="22">
                  <c:v>6.6000000000000005</c:v>
                </c:pt>
                <c:pt idx="23">
                  <c:v>4.4000000000000004</c:v>
                </c:pt>
                <c:pt idx="24">
                  <c:v>2.2000000000000002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C2F-41A0-8B0C-F7E6239CE5AA}"/>
            </c:ext>
          </c:extLst>
        </c:ser>
        <c:ser>
          <c:idx val="3"/>
          <c:order val="3"/>
          <c:tx>
            <c:v>T4(x)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6C2F-41A0-8B0C-F7E6239CE5AA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6C2F-41A0-8B0C-F7E6239CE5AA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6C2F-41A0-8B0C-F7E6239CE5AA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6C2F-41A0-8B0C-F7E6239CE5AA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6C2F-41A0-8B0C-F7E6239CE5AA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C2F-41A0-8B0C-F7E6239CE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'CC-car.4'!$AF$47:$AF$72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11.287066666666668</c:v>
                </c:pt>
                <c:pt idx="5">
                  <c:v>7.5370666666666679</c:v>
                </c:pt>
                <c:pt idx="6">
                  <c:v>3.7870666666666679</c:v>
                </c:pt>
                <c:pt idx="7">
                  <c:v>3.7066666666667913E-2</c:v>
                </c:pt>
                <c:pt idx="8">
                  <c:v>-3.7129333333333321</c:v>
                </c:pt>
                <c:pt idx="9">
                  <c:v>-7.4629333333333321</c:v>
                </c:pt>
                <c:pt idx="10">
                  <c:v>-11.212933333333332</c:v>
                </c:pt>
                <c:pt idx="11">
                  <c:v>-14.962933333333332</c:v>
                </c:pt>
                <c:pt idx="12">
                  <c:v>-18.712933333333332</c:v>
                </c:pt>
                <c:pt idx="13">
                  <c:v>24.607666666666667</c:v>
                </c:pt>
                <c:pt idx="14">
                  <c:v>19.207666666666668</c:v>
                </c:pt>
                <c:pt idx="15">
                  <c:v>13.807666666666666</c:v>
                </c:pt>
                <c:pt idx="16">
                  <c:v>8.407666666666664</c:v>
                </c:pt>
                <c:pt idx="17">
                  <c:v>3.0076666666666654</c:v>
                </c:pt>
                <c:pt idx="18">
                  <c:v>-2.3923333333333332</c:v>
                </c:pt>
                <c:pt idx="19">
                  <c:v>-7.7923333333333389</c:v>
                </c:pt>
                <c:pt idx="20">
                  <c:v>-13.192333333333337</c:v>
                </c:pt>
                <c:pt idx="21">
                  <c:v>-18.592333333333336</c:v>
                </c:pt>
                <c:pt idx="22">
                  <c:v>11.880000000000003</c:v>
                </c:pt>
                <c:pt idx="23">
                  <c:v>7.9200000000000017</c:v>
                </c:pt>
                <c:pt idx="24">
                  <c:v>3.9600000000000017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6C2F-41A0-8B0C-F7E6239CE5AA}"/>
            </c:ext>
          </c:extLst>
        </c:ser>
        <c:ser>
          <c:idx val="4"/>
          <c:order val="4"/>
          <c:tx>
            <c:v>T5(x)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C2F-41A0-8B0C-F7E6239CE5AA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6C2F-41A0-8B0C-F7E6239CE5AA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C2F-41A0-8B0C-F7E6239CE5AA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6C2F-41A0-8B0C-F7E6239CE5AA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6C2F-41A0-8B0C-F7E6239CE5AA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6C2F-41A0-8B0C-F7E6239CE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'CC-car.5'!$AD$47:$AD$72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'CC-car.5'!$AF$47:$AF$72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6C2F-41A0-8B0C-F7E6239CE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773680"/>
        <c:axId val="316774240"/>
      </c:scatterChart>
      <c:valAx>
        <c:axId val="316773680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66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6774240"/>
        <c:crosses val="autoZero"/>
        <c:crossBetween val="midCat"/>
        <c:majorUnit val="1"/>
      </c:valAx>
      <c:valAx>
        <c:axId val="31677424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03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67736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89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58"/>
          <c:w val="0.90742455710851733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2950144904096403E-2"/>
                  <c:y val="0.1096930448814070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80-4DAA-BD34-ABC861A23AFC}"/>
                </c:ext>
              </c:extLst>
            </c:dLbl>
            <c:dLbl>
              <c:idx val="1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280-4DAA-BD34-ABC861A23AFC}"/>
                </c:ext>
              </c:extLst>
            </c:dLbl>
            <c:dLbl>
              <c:idx val="2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80-4DAA-BD34-ABC861A23AFC}"/>
                </c:ext>
              </c:extLst>
            </c:dLbl>
            <c:dLbl>
              <c:idx val="3"/>
              <c:layout>
                <c:manualLayout>
                  <c:x val="-3.7234620506346655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80-4DAA-BD34-ABC861A23AFC}"/>
                </c:ext>
              </c:extLst>
            </c:dLbl>
            <c:dLbl>
              <c:idx val="4"/>
              <c:layout>
                <c:manualLayout>
                  <c:x val="-3.7234620506346655E-2"/>
                  <c:y val="0.11974228108655599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80-4DAA-BD34-ABC861A23AFC}"/>
                </c:ext>
              </c:extLst>
            </c:dLbl>
            <c:dLbl>
              <c:idx val="5"/>
              <c:layout>
                <c:manualLayout>
                  <c:x val="-3.7234620506346655E-2"/>
                  <c:y val="0.1096930448814070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280-4DAA-BD34-ABC861A23AFC}"/>
                </c:ext>
              </c:extLst>
            </c:dLbl>
            <c:dLbl>
              <c:idx val="6"/>
              <c:layout>
                <c:manualLayout>
                  <c:x val="-3.7234620506346655E-2"/>
                  <c:y val="0.1096930448814070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280-4DAA-BD34-ABC861A23AF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'CC-car.1'!$AK$54:$AK$58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'CC-car.1'!$AL$54:$AL$58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280-4DAA-BD34-ABC861A23AFC}"/>
            </c:ext>
          </c:extLst>
        </c:ser>
        <c:ser>
          <c:idx val="6"/>
          <c:order val="1"/>
          <c:tx>
            <c:v>qs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'CC-car.1'!$AH$17:$AH$21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'CC-car.1'!$AI$17:$AI$21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280-4DAA-BD34-ABC861A23AFC}"/>
            </c:ext>
          </c:extLst>
        </c:ser>
        <c:ser>
          <c:idx val="7"/>
          <c:order val="2"/>
          <c:tx>
            <c:v>q12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'CC-car.1'!$AH$24:$AH$28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'CC-car.1'!$AI$24:$AI$28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16</c:v>
                </c:pt>
                <c:pt idx="3">
                  <c:v>16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280-4DAA-BD34-ABC861A23AFC}"/>
            </c:ext>
          </c:extLst>
        </c:ser>
        <c:ser>
          <c:idx val="8"/>
          <c:order val="3"/>
          <c:tx>
            <c:v>q23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'CC-car.1'!$AH$31:$AH$35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'CC-car.1'!$AI$31:$AI$35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20.8</c:v>
                </c:pt>
                <c:pt idx="3">
                  <c:v>20.8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280-4DAA-BD34-ABC861A23AFC}"/>
            </c:ext>
          </c:extLst>
        </c:ser>
        <c:ser>
          <c:idx val="11"/>
          <c:order val="4"/>
          <c:tx>
            <c:v>qd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'CC-car.1'!$AH$38:$AH$42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'CC-car.1'!$AI$38:$AI$42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16</c:v>
                </c:pt>
                <c:pt idx="3">
                  <c:v>16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280-4DAA-BD34-ABC861A23AFC}"/>
            </c:ext>
          </c:extLst>
        </c:ser>
        <c:ser>
          <c:idx val="1"/>
          <c:order val="5"/>
          <c:tx>
            <c:v>vinccolo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280-4DAA-BD34-ABC861A23A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'CC-Vincoli trave'!$A$2:$A$5</c:f>
              <c:numCache>
                <c:formatCode>0.00</c:formatCode>
                <c:ptCount val="4"/>
                <c:pt idx="0">
                  <c:v>0</c:v>
                </c:pt>
                <c:pt idx="1">
                  <c:v>-0.4</c:v>
                </c:pt>
                <c:pt idx="2">
                  <c:v>0.4</c:v>
                </c:pt>
                <c:pt idx="3">
                  <c:v>0</c:v>
                </c:pt>
              </c:numCache>
            </c:numRef>
          </c:xVal>
          <c:yVal>
            <c:numRef>
              <c:f>'CC-Vincoli trave'!$B$2:$B$5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280-4DAA-BD34-ABC861A23AFC}"/>
            </c:ext>
          </c:extLst>
        </c:ser>
        <c:ser>
          <c:idx val="2"/>
          <c:order val="6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280-4DAA-BD34-ABC861A23A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'CC-Vincoli trave'!$D$2:$D$5</c:f>
              <c:numCache>
                <c:formatCode>0.00</c:formatCode>
                <c:ptCount val="4"/>
                <c:pt idx="0">
                  <c:v>5</c:v>
                </c:pt>
                <c:pt idx="1">
                  <c:v>4.5999999999999996</c:v>
                </c:pt>
                <c:pt idx="2">
                  <c:v>5.4</c:v>
                </c:pt>
                <c:pt idx="3">
                  <c:v>5</c:v>
                </c:pt>
              </c:numCache>
            </c:numRef>
          </c:xVal>
          <c:yVal>
            <c:numRef>
              <c:f>'CC-Vincoli trave'!$E$2:$E$5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280-4DAA-BD34-ABC861A23AFC}"/>
            </c:ext>
          </c:extLst>
        </c:ser>
        <c:ser>
          <c:idx val="3"/>
          <c:order val="7"/>
          <c:tx>
            <c:v>vincolo 3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280-4DAA-BD34-ABC861A23A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'CC-Vincoli trave'!$G$2:$G$5</c:f>
              <c:numCache>
                <c:formatCode>0.00</c:formatCode>
                <c:ptCount val="4"/>
                <c:pt idx="0">
                  <c:v>9</c:v>
                </c:pt>
                <c:pt idx="1">
                  <c:v>8.6</c:v>
                </c:pt>
                <c:pt idx="2">
                  <c:v>9.4</c:v>
                </c:pt>
                <c:pt idx="3">
                  <c:v>9</c:v>
                </c:pt>
              </c:numCache>
            </c:numRef>
          </c:xVal>
          <c:yVal>
            <c:numRef>
              <c:f>'CC-Vincoli trave'!$H$2:$H$5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280-4DAA-BD34-ABC861A23AFC}"/>
            </c:ext>
          </c:extLst>
        </c:ser>
        <c:ser>
          <c:idx val="4"/>
          <c:order val="8"/>
          <c:tx>
            <c:v>2-qs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'CC-car.2'!$AH$17:$AH$21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'CC-car.2'!$AI$17:$AI$21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25.8</c:v>
                </c:pt>
                <c:pt idx="3">
                  <c:v>25.8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280-4DAA-BD34-ABC861A23AFC}"/>
            </c:ext>
          </c:extLst>
        </c:ser>
        <c:ser>
          <c:idx val="5"/>
          <c:order val="9"/>
          <c:tx>
            <c:v>2-q12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'CC-car.2'!$AH$24:$AH$28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'CC-car.2'!$AI$24:$AI$28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36.6</c:v>
                </c:pt>
                <c:pt idx="3">
                  <c:v>36.6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280-4DAA-BD34-ABC861A23AFC}"/>
            </c:ext>
          </c:extLst>
        </c:ser>
        <c:ser>
          <c:idx val="9"/>
          <c:order val="10"/>
          <c:tx>
            <c:v>2-q23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'CC-car.2'!$AH$31:$AH$35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'CC-car.2'!$AI$31:$AI$35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31.8</c:v>
                </c:pt>
                <c:pt idx="3">
                  <c:v>31.8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280-4DAA-BD34-ABC861A23AFC}"/>
            </c:ext>
          </c:extLst>
        </c:ser>
        <c:ser>
          <c:idx val="10"/>
          <c:order val="11"/>
          <c:tx>
            <c:v>2-qd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'CC-car.2'!$AH$38:$AH$42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'CC-car.2'!$AI$38:$AI$42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36.6</c:v>
                </c:pt>
                <c:pt idx="3">
                  <c:v>36.6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280-4DAA-BD34-ABC861A23AFC}"/>
            </c:ext>
          </c:extLst>
        </c:ser>
        <c:ser>
          <c:idx val="12"/>
          <c:order val="12"/>
          <c:tx>
            <c:v>3-qs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'CC-car.3'!$AH$17:$AH$21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'CC-car.3'!$AI$17:$AI$21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41.6</c:v>
                </c:pt>
                <c:pt idx="3">
                  <c:v>41.6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280-4DAA-BD34-ABC861A23AFC}"/>
            </c:ext>
          </c:extLst>
        </c:ser>
        <c:ser>
          <c:idx val="13"/>
          <c:order val="13"/>
          <c:tx>
            <c:v>3-q12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'CC-car.3'!$AH$24:$AH$28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'CC-car.3'!$AI$24:$AI$28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52.400000000000006</c:v>
                </c:pt>
                <c:pt idx="3">
                  <c:v>52.400000000000006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280-4DAA-BD34-ABC861A23AFC}"/>
            </c:ext>
          </c:extLst>
        </c:ser>
        <c:ser>
          <c:idx val="14"/>
          <c:order val="14"/>
          <c:tx>
            <c:v>3-q23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'CC-car.3'!$AH$31:$AH$35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'CC-car.3'!$AI$31:$AI$35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52.400000000000006</c:v>
                </c:pt>
                <c:pt idx="3">
                  <c:v>52.400000000000006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280-4DAA-BD34-ABC861A23AFC}"/>
            </c:ext>
          </c:extLst>
        </c:ser>
        <c:ser>
          <c:idx val="15"/>
          <c:order val="15"/>
          <c:tx>
            <c:v>3-qd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'CC-car.3'!$AH$38:$AH$42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'CC-car.3'!$AI$38:$AI$42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47.6</c:v>
                </c:pt>
                <c:pt idx="3">
                  <c:v>47.6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280-4DAA-BD34-ABC861A23AFC}"/>
            </c:ext>
          </c:extLst>
        </c:ser>
        <c:ser>
          <c:idx val="16"/>
          <c:order val="16"/>
          <c:tx>
            <c:v>4-qs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'CC-car.4'!$AH$17:$AH$21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'CC-car.4'!$AI$17:$AI$21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57.400000000000006</c:v>
                </c:pt>
                <c:pt idx="3">
                  <c:v>57.400000000000006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280-4DAA-BD34-ABC861A23AFC}"/>
            </c:ext>
          </c:extLst>
        </c:ser>
        <c:ser>
          <c:idx val="17"/>
          <c:order val="17"/>
          <c:tx>
            <c:v>4-q12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'CC-car.4'!$AH$24:$AH$28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'CC-car.4'!$AI$24:$AI$28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63.400000000000006</c:v>
                </c:pt>
                <c:pt idx="3">
                  <c:v>63.400000000000006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280-4DAA-BD34-ABC861A23AFC}"/>
            </c:ext>
          </c:extLst>
        </c:ser>
        <c:ser>
          <c:idx val="18"/>
          <c:order val="18"/>
          <c:tx>
            <c:v>4-q23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'CC-car.4'!$AH$31:$AH$35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'CC-car.4'!$AI$31:$AI$35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68.2</c:v>
                </c:pt>
                <c:pt idx="3">
                  <c:v>68.2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280-4DAA-BD34-ABC861A23AFC}"/>
            </c:ext>
          </c:extLst>
        </c:ser>
        <c:ser>
          <c:idx val="19"/>
          <c:order val="19"/>
          <c:tx>
            <c:v>4-qd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'CC-car.4'!$AH$38:$AH$42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'CC-car.4'!$AI$38:$AI$42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68.2</c:v>
                </c:pt>
                <c:pt idx="3">
                  <c:v>68.2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280-4DAA-BD34-ABC861A23AFC}"/>
            </c:ext>
          </c:extLst>
        </c:ser>
        <c:ser>
          <c:idx val="20"/>
          <c:order val="20"/>
          <c:tx>
            <c:v>5-qs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'CC-car.5'!$AH$17:$AH$21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'CC-car.5'!$AI$17:$AI$21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280-4DAA-BD34-ABC861A23AFC}"/>
            </c:ext>
          </c:extLst>
        </c:ser>
        <c:ser>
          <c:idx val="21"/>
          <c:order val="21"/>
          <c:tx>
            <c:v>5-q12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'CC-car.5'!$AH$24:$AH$28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'CC-car.5'!$AI$24:$AI$28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280-4DAA-BD34-ABC861A23AFC}"/>
            </c:ext>
          </c:extLst>
        </c:ser>
        <c:ser>
          <c:idx val="22"/>
          <c:order val="22"/>
          <c:tx>
            <c:v>5-q23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'CC-car.5'!$AH$31:$AH$35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'CC-car.5'!$AI$31:$AI$35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280-4DAA-BD34-ABC861A23AFC}"/>
            </c:ext>
          </c:extLst>
        </c:ser>
        <c:ser>
          <c:idx val="23"/>
          <c:order val="23"/>
          <c:tx>
            <c:v>5-qd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'CC-car.5'!$AH$38:$AH$42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'CC-car.5'!$AI$38:$AI$42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280-4DAA-BD34-ABC861A23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789360"/>
        <c:axId val="316789920"/>
      </c:scatterChart>
      <c:valAx>
        <c:axId val="316789360"/>
        <c:scaling>
          <c:orientation val="minMax"/>
          <c:min val="0"/>
        </c:scaling>
        <c:delete val="1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82734758963"/>
              <c:y val="0.78534972060076269"/>
            </c:manualLayout>
          </c:layout>
          <c:overlay val="0"/>
        </c:title>
        <c:numFmt formatCode="0" sourceLinked="0"/>
        <c:majorTickMark val="out"/>
        <c:minorTickMark val="none"/>
        <c:tickLblPos val="none"/>
        <c:crossAx val="316789920"/>
        <c:crosses val="autoZero"/>
        <c:crossBetween val="midCat"/>
        <c:majorUnit val="1"/>
      </c:valAx>
      <c:valAx>
        <c:axId val="3167899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678936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52"/>
          <c:w val="0.90742455710851755"/>
          <c:h val="0.6785901916025957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94-4562-B341-92B27313F4E5}"/>
            </c:ext>
          </c:extLst>
        </c:ser>
        <c:ser>
          <c:idx val="1"/>
          <c:order val="1"/>
          <c:tx>
            <c:v>R1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C94-4562-B341-92B27313F4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'CC-car.1'!$W$36:$W$37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11.158000000000001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94-4562-B341-92B27313F4E5}"/>
            </c:ext>
          </c:extLst>
        </c:ser>
        <c:ser>
          <c:idx val="2"/>
          <c:order val="2"/>
          <c:tx>
            <c:v>R2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C94-4562-B341-92B27313F4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'CC-car.1'!$Z$36:$Z$37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44.337000000000003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94-4562-B341-92B27313F4E5}"/>
            </c:ext>
          </c:extLst>
        </c:ser>
        <c:ser>
          <c:idx val="3"/>
          <c:order val="3"/>
          <c:tx>
            <c:v>R3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C94-4562-B341-92B27313F4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'CC-car.1'!$AC$36:$AC$37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24.305000000000003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C94-4562-B341-92B27313F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797200"/>
        <c:axId val="316797760"/>
      </c:scatterChart>
      <c:valAx>
        <c:axId val="316797200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6797760"/>
        <c:crosses val="autoZero"/>
        <c:crossBetween val="midCat"/>
        <c:majorUnit val="1"/>
      </c:valAx>
      <c:valAx>
        <c:axId val="31679776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67972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47"/>
          <c:w val="0.90742455710851777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67-43E7-9F71-021A97D056D6}"/>
            </c:ext>
          </c:extLst>
        </c:ser>
        <c:ser>
          <c:idx val="1"/>
          <c:order val="1"/>
          <c:tx>
            <c:v>2-R1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667-43E7-9F71-021A97D056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'CC-car.2'!$W$36:$W$37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22.473733333333335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67-43E7-9F71-021A97D056D6}"/>
            </c:ext>
          </c:extLst>
        </c:ser>
        <c:ser>
          <c:idx val="2"/>
          <c:order val="2"/>
          <c:tx>
            <c:v>2-R2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67-43E7-9F71-021A97D056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'CC-car.2'!$Z$36:$Z$37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47.550599999999996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667-43E7-9F71-021A97D056D6}"/>
            </c:ext>
          </c:extLst>
        </c:ser>
        <c:ser>
          <c:idx val="3"/>
          <c:order val="3"/>
          <c:tx>
            <c:v>2-R3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667-43E7-9F71-021A97D056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'CC-car.2'!$AC$36:$AC$37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19.855666666666671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667-43E7-9F71-021A97D05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290416"/>
        <c:axId val="317290976"/>
      </c:scatterChart>
      <c:valAx>
        <c:axId val="31729041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7290976"/>
        <c:crosses val="autoZero"/>
        <c:crossBetween val="midCat"/>
        <c:majorUnit val="1"/>
      </c:valAx>
      <c:valAx>
        <c:axId val="31729097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7290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54" l="0.70000000000000062" r="0.70000000000000062" t="0.75000000000001354" header="0.30000000000000032" footer="0.30000000000000032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39"/>
          <c:w val="0.90742455710851799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50-453B-9163-DA2D13F63B55}"/>
            </c:ext>
          </c:extLst>
        </c:ser>
        <c:ser>
          <c:idx val="1"/>
          <c:order val="1"/>
          <c:tx>
            <c:v>3-R1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550-453B-9163-DA2D13F63B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'CC-car.3'!$W$36:$W$37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21.491333333333337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50-453B-9163-DA2D13F63B55}"/>
            </c:ext>
          </c:extLst>
        </c:ser>
        <c:ser>
          <c:idx val="2"/>
          <c:order val="2"/>
          <c:tx>
            <c:v>3-R2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50-453B-9163-DA2D13F63B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'CC-car.3'!$Z$36:$Z$37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60.086999999999996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550-453B-9163-DA2D13F63B55}"/>
            </c:ext>
          </c:extLst>
        </c:ser>
        <c:ser>
          <c:idx val="3"/>
          <c:order val="3"/>
          <c:tx>
            <c:v>3-R3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50-453B-9163-DA2D13F63B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'CC-car.3'!$AC$36:$AC$37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22.221666666666671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550-453B-9163-DA2D13F63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295456"/>
        <c:axId val="317296016"/>
      </c:scatterChart>
      <c:valAx>
        <c:axId val="31729545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7296016"/>
        <c:crosses val="autoZero"/>
        <c:crossBetween val="midCat"/>
        <c:majorUnit val="1"/>
      </c:valAx>
      <c:valAx>
        <c:axId val="31729601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72954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77" l="0.70000000000000062" r="0.70000000000000062" t="0.75000000000001377" header="0.30000000000000032" footer="0.30000000000000032"/>
    <c:pageSetup orientation="portrait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33"/>
          <c:w val="0.90742455710851821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DA-4366-9DCB-BD8FBF99DC2E}"/>
            </c:ext>
          </c:extLst>
        </c:ser>
        <c:ser>
          <c:idx val="1"/>
          <c:order val="1"/>
          <c:tx>
            <c:v>4-R1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8DA-4366-9DCB-BD8FBF99DC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'CC-car.4'!$W$36:$W$37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11.287066666666668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DA-4366-9DCB-BD8FBF99DC2E}"/>
            </c:ext>
          </c:extLst>
        </c:ser>
        <c:ser>
          <c:idx val="2"/>
          <c:order val="2"/>
          <c:tx>
            <c:v>4-R2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DA-4366-9DCB-BD8FBF99DC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'CC-car.4'!$Z$36:$Z$37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43.320599999999999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8DA-4366-9DCB-BD8FBF99DC2E}"/>
            </c:ext>
          </c:extLst>
        </c:ser>
        <c:ser>
          <c:idx val="3"/>
          <c:order val="3"/>
          <c:tx>
            <c:v>4-R3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8DA-4366-9DCB-BD8FBF99DC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'CC-car.4'!$AC$36:$AC$37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30.472333333333339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8DA-4366-9DCB-BD8FBF99D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00496"/>
        <c:axId val="317301056"/>
      </c:scatterChart>
      <c:valAx>
        <c:axId val="31730049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7301056"/>
        <c:crosses val="autoZero"/>
        <c:crossBetween val="midCat"/>
        <c:majorUnit val="1"/>
      </c:valAx>
      <c:valAx>
        <c:axId val="3173010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73004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99" l="0.70000000000000062" r="0.70000000000000062" t="0.75000000000001399" header="0.30000000000000032" footer="0.30000000000000032"/>
    <c:pageSetup orientation="portrait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27"/>
          <c:w val="0.90742455710851844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7D-42E2-A52A-AE4C72FD3443}"/>
            </c:ext>
          </c:extLst>
        </c:ser>
        <c:ser>
          <c:idx val="1"/>
          <c:order val="1"/>
          <c:tx>
            <c:v>5-R1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C7D-42E2-A52A-AE4C72FD34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7D-42E2-A52A-AE4C72FD3443}"/>
            </c:ext>
          </c:extLst>
        </c:ser>
        <c:ser>
          <c:idx val="2"/>
          <c:order val="2"/>
          <c:tx>
            <c:v>5-R2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7D-42E2-A52A-AE4C72FD34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'CC-car.5'!$Z$36:$Z$37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C7D-42E2-A52A-AE4C72FD3443}"/>
            </c:ext>
          </c:extLst>
        </c:ser>
        <c:ser>
          <c:idx val="3"/>
          <c:order val="3"/>
          <c:tx>
            <c:v>5-R3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C7D-42E2-A52A-AE4C72FD34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'CC-car.5'!$AC$36:$AC$37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C7D-42E2-A52A-AE4C72FD3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05536"/>
        <c:axId val="317306096"/>
      </c:scatterChart>
      <c:valAx>
        <c:axId val="31730553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7306096"/>
        <c:crosses val="autoZero"/>
        <c:crossBetween val="midCat"/>
        <c:majorUnit val="1"/>
      </c:valAx>
      <c:valAx>
        <c:axId val="31730609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73055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21" l="0.70000000000000062" r="0.70000000000000062" t="0.75000000000001421" header="0.30000000000000032" footer="0.30000000000000032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7423330216279029E-2"/>
          <c:y val="9.9061975819114148E-2"/>
          <c:w val="0.8428226862835777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'CCC-car.1'!$AE$47:$AE$81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25.23372130102041</c:v>
                </c:pt>
                <c:pt idx="6">
                  <c:v>39.612442602040822</c:v>
                </c:pt>
                <c:pt idx="7">
                  <c:v>43.136163903061224</c:v>
                </c:pt>
                <c:pt idx="8">
                  <c:v>35.804885204081643</c:v>
                </c:pt>
                <c:pt idx="9">
                  <c:v>17.618606505102065</c:v>
                </c:pt>
                <c:pt idx="10">
                  <c:v>-11.42267219387756</c:v>
                </c:pt>
                <c:pt idx="11">
                  <c:v>-51.318950892857117</c:v>
                </c:pt>
                <c:pt idx="12">
                  <c:v>-102.07022959183672</c:v>
                </c:pt>
                <c:pt idx="13">
                  <c:v>-102.07022959183672</c:v>
                </c:pt>
                <c:pt idx="14">
                  <c:v>-30.240659279336725</c:v>
                </c:pt>
                <c:pt idx="15">
                  <c:v>21.066176658163272</c:v>
                </c:pt>
                <c:pt idx="16">
                  <c:v>51.850278220663256</c:v>
                </c:pt>
                <c:pt idx="17">
                  <c:v>62.111645408163213</c:v>
                </c:pt>
                <c:pt idx="18">
                  <c:v>51.850278220663256</c:v>
                </c:pt>
                <c:pt idx="19">
                  <c:v>21.066176658163215</c:v>
                </c:pt>
                <c:pt idx="20">
                  <c:v>-30.240659279336796</c:v>
                </c:pt>
                <c:pt idx="21">
                  <c:v>-102.07022959183678</c:v>
                </c:pt>
                <c:pt idx="22">
                  <c:v>-102.07022959183672</c:v>
                </c:pt>
                <c:pt idx="23">
                  <c:v>-51.318950892857124</c:v>
                </c:pt>
                <c:pt idx="24">
                  <c:v>-11.422672193877546</c:v>
                </c:pt>
                <c:pt idx="25">
                  <c:v>17.618606505102065</c:v>
                </c:pt>
                <c:pt idx="26">
                  <c:v>35.804885204081643</c:v>
                </c:pt>
                <c:pt idx="27">
                  <c:v>43.136163903061231</c:v>
                </c:pt>
                <c:pt idx="28">
                  <c:v>39.612442602040801</c:v>
                </c:pt>
                <c:pt idx="29">
                  <c:v>25.23372130102041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20-4070-A227-5EB24F53B5ED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7D20-4070-A227-5EB24F53B5ED}"/>
              </c:ext>
            </c:extLst>
          </c:dPt>
          <c:xVal>
            <c:numRef>
              <c:f>'CCC-car.1'!$AK$17:$AK$18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20-4070-A227-5EB24F53B5ED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6-7D20-4070-A227-5EB24F53B5ED}"/>
              </c:ext>
            </c:extLst>
          </c:dPt>
          <c:xVal>
            <c:numRef>
              <c:f>'CCC-car.1'!$AK$19:$AK$20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'CCC-car.1'!$AL$19:$AL$20</c:f>
              <c:numCache>
                <c:formatCode>0.00</c:formatCode>
                <c:ptCount val="2"/>
                <c:pt idx="0">
                  <c:v>0</c:v>
                </c:pt>
                <c:pt idx="1">
                  <c:v>-102.07022959183672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D20-4070-A227-5EB24F53B5ED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7D20-4070-A227-5EB24F53B5ED}"/>
              </c:ext>
            </c:extLst>
          </c:dPt>
          <c:xVal>
            <c:numRef>
              <c:f>'CCC-car.1'!$AK$21:$AK$22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'CCC-car.1'!$AL$21:$AL$22</c:f>
              <c:numCache>
                <c:formatCode>0.00</c:formatCode>
                <c:ptCount val="2"/>
                <c:pt idx="0">
                  <c:v>0</c:v>
                </c:pt>
                <c:pt idx="1">
                  <c:v>-102.07022959183678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D20-4070-A227-5EB24F53B5ED}"/>
            </c:ext>
          </c:extLst>
        </c:ser>
        <c:ser>
          <c:idx val="4"/>
          <c:order val="4"/>
          <c:tx>
            <c:v>app4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'CCC-car.1'!$AK$23:$AK$24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'CCC-car.1'!$AL$23:$AL$24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7D20-4070-A227-5EB24F53B5ED}"/>
            </c:ext>
          </c:extLst>
        </c:ser>
        <c:ser>
          <c:idx val="10"/>
          <c:order val="5"/>
          <c:tx>
            <c:v>camp1-2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'CCC-car.1'!$AK$40:$AK$41</c:f>
              <c:numCache>
                <c:formatCode>0.00</c:formatCode>
                <c:ptCount val="2"/>
                <c:pt idx="0">
                  <c:v>1.4123086734693879</c:v>
                </c:pt>
                <c:pt idx="1">
                  <c:v>1.4123086734693879</c:v>
                </c:pt>
              </c:numCache>
            </c:numRef>
          </c:xVal>
          <c:yVal>
            <c:numRef>
              <c:f>'CCC-car.1'!$AL$40:$AL$41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43.30310878259548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7D20-4070-A227-5EB24F53B5ED}"/>
            </c:ext>
          </c:extLst>
        </c:ser>
        <c:ser>
          <c:idx val="11"/>
          <c:order val="6"/>
          <c:tx>
            <c:v>camp.2-3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'CCC-car.1'!$AK$42:$AK$43</c:f>
              <c:numCache>
                <c:formatCode>0.00</c:formatCode>
                <c:ptCount val="2"/>
                <c:pt idx="0">
                  <c:v>6.75</c:v>
                </c:pt>
                <c:pt idx="1">
                  <c:v>6.75</c:v>
                </c:pt>
              </c:numCache>
            </c:numRef>
          </c:xVal>
          <c:yVal>
            <c:numRef>
              <c:f>'CCC-car.1'!$AL$42:$AL$43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62.111645408163241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7D20-4070-A227-5EB24F53B5ED}"/>
            </c:ext>
          </c:extLst>
        </c:ser>
        <c:ser>
          <c:idx val="12"/>
          <c:order val="7"/>
          <c:tx>
            <c:v>camp.3-4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'CCC-car.1'!$AK$44:$AK$45</c:f>
              <c:numCache>
                <c:formatCode>0.00</c:formatCode>
                <c:ptCount val="2"/>
                <c:pt idx="0">
                  <c:v>12.087691326530612</c:v>
                </c:pt>
                <c:pt idx="1">
                  <c:v>12.087691326530612</c:v>
                </c:pt>
              </c:numCache>
            </c:numRef>
          </c:xVal>
          <c:yVal>
            <c:numRef>
              <c:f>'CCC-car.1'!$AL$44:$AL$45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43.303108782595416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7D20-4070-A227-5EB24F53B5ED}"/>
            </c:ext>
          </c:extLst>
        </c:ser>
        <c:ser>
          <c:idx val="5"/>
          <c:order val="8"/>
          <c:tx>
            <c:v>M2(x)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'CCC-car.2'!$AE$47:$AE$81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16.363874362244893</c:v>
                </c:pt>
                <c:pt idx="6">
                  <c:v>24.66774872448979</c:v>
                </c:pt>
                <c:pt idx="7">
                  <c:v>24.911623086734686</c:v>
                </c:pt>
                <c:pt idx="8">
                  <c:v>17.095497448979586</c:v>
                </c:pt>
                <c:pt idx="9">
                  <c:v>1.2193718112244909</c:v>
                </c:pt>
                <c:pt idx="10">
                  <c:v>-22.716753826530621</c:v>
                </c:pt>
                <c:pt idx="11">
                  <c:v>-54.71287946428572</c:v>
                </c:pt>
                <c:pt idx="12">
                  <c:v>-94.769005102040808</c:v>
                </c:pt>
                <c:pt idx="13">
                  <c:v>-94.769005102040808</c:v>
                </c:pt>
                <c:pt idx="14">
                  <c:v>-22.939434789540812</c:v>
                </c:pt>
                <c:pt idx="15">
                  <c:v>28.367401147959185</c:v>
                </c:pt>
                <c:pt idx="16">
                  <c:v>59.15150271045917</c:v>
                </c:pt>
                <c:pt idx="17">
                  <c:v>69.412869897959126</c:v>
                </c:pt>
                <c:pt idx="18">
                  <c:v>59.15150271045917</c:v>
                </c:pt>
                <c:pt idx="19">
                  <c:v>28.367401147959129</c:v>
                </c:pt>
                <c:pt idx="20">
                  <c:v>-22.939434789540883</c:v>
                </c:pt>
                <c:pt idx="21">
                  <c:v>-94.769005102040865</c:v>
                </c:pt>
                <c:pt idx="22">
                  <c:v>-94.769005102040808</c:v>
                </c:pt>
                <c:pt idx="23">
                  <c:v>-54.712879464285713</c:v>
                </c:pt>
                <c:pt idx="24">
                  <c:v>-22.716753826530621</c:v>
                </c:pt>
                <c:pt idx="25">
                  <c:v>1.2193718112245051</c:v>
                </c:pt>
                <c:pt idx="26">
                  <c:v>17.095497448979586</c:v>
                </c:pt>
                <c:pt idx="27">
                  <c:v>24.911623086734664</c:v>
                </c:pt>
                <c:pt idx="28">
                  <c:v>24.667748724489797</c:v>
                </c:pt>
                <c:pt idx="29">
                  <c:v>16.363874362244871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7D20-4070-A227-5EB24F53B5ED}"/>
            </c:ext>
          </c:extLst>
        </c:ser>
        <c:ser>
          <c:idx val="6"/>
          <c:order val="9"/>
          <c:tx>
            <c:v>2-app.1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'CCC-car.2'!$AK$17:$AK$18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'CCC-car.2'!$AL$17:$AL$18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7D20-4070-A227-5EB24F53B5ED}"/>
            </c:ext>
          </c:extLst>
        </c:ser>
        <c:ser>
          <c:idx val="7"/>
          <c:order val="10"/>
          <c:tx>
            <c:v>2-app.2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'CCC-car.2'!$AK$19:$AK$20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'CCC-car.2'!$AL$19:$AL$20</c:f>
              <c:numCache>
                <c:formatCode>0.00</c:formatCode>
                <c:ptCount val="2"/>
                <c:pt idx="0">
                  <c:v>0</c:v>
                </c:pt>
                <c:pt idx="1">
                  <c:v>-94.769005102040808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7D20-4070-A227-5EB24F53B5ED}"/>
            </c:ext>
          </c:extLst>
        </c:ser>
        <c:ser>
          <c:idx val="8"/>
          <c:order val="11"/>
          <c:tx>
            <c:v>2-app.3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'CCC-car.2'!$AK$21:$AK$22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'CCC-car.2'!$AL$21:$AL$22</c:f>
              <c:numCache>
                <c:formatCode>0.00</c:formatCode>
                <c:ptCount val="2"/>
                <c:pt idx="0">
                  <c:v>0</c:v>
                </c:pt>
                <c:pt idx="1">
                  <c:v>-94.769005102040865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7D20-4070-A227-5EB24F53B5ED}"/>
            </c:ext>
          </c:extLst>
        </c:ser>
        <c:ser>
          <c:idx val="9"/>
          <c:order val="12"/>
          <c:tx>
            <c:v>2-app.4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'CCC-car.2'!$AK$23:$AK$24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'CCC-car.2'!$AL$23:$AL$24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7D20-4070-A227-5EB24F53B5ED}"/>
            </c:ext>
          </c:extLst>
        </c:ser>
        <c:ser>
          <c:idx val="13"/>
          <c:order val="13"/>
          <c:tx>
            <c:v>2-camp.1-2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'CCC-car.2'!$AK$40:$AK$41</c:f>
              <c:numCache>
                <c:formatCode>0.00</c:formatCode>
                <c:ptCount val="2"/>
                <c:pt idx="0">
                  <c:v>1.2651286825213957</c:v>
                </c:pt>
                <c:pt idx="1">
                  <c:v>1.2651286825213957</c:v>
                </c:pt>
              </c:numCache>
            </c:numRef>
          </c:xVal>
          <c:yVal>
            <c:numRef>
              <c:f>'CCC-car.2'!$AL$40:$AL$41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25.800875403413752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7D20-4070-A227-5EB24F53B5ED}"/>
            </c:ext>
          </c:extLst>
        </c:ser>
        <c:ser>
          <c:idx val="14"/>
          <c:order val="14"/>
          <c:tx>
            <c:v>2-camp.2-3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'CCC-car.2'!$AK$42:$AK$43</c:f>
              <c:numCache>
                <c:formatCode>0.00</c:formatCode>
                <c:ptCount val="2"/>
                <c:pt idx="0">
                  <c:v>6.75</c:v>
                </c:pt>
                <c:pt idx="1">
                  <c:v>6.75</c:v>
                </c:pt>
              </c:numCache>
            </c:numRef>
          </c:xVal>
          <c:yVal>
            <c:numRef>
              <c:f>'CCC-car.2'!$AL$42:$AL$43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69.412869897959155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7D20-4070-A227-5EB24F53B5ED}"/>
            </c:ext>
          </c:extLst>
        </c:ser>
        <c:ser>
          <c:idx val="15"/>
          <c:order val="15"/>
          <c:tx>
            <c:v>2-camp.3-4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'CCC-car.2'!$AK$44:$AK$45</c:f>
              <c:numCache>
                <c:formatCode>0.00</c:formatCode>
                <c:ptCount val="2"/>
                <c:pt idx="0">
                  <c:v>12.234871317478603</c:v>
                </c:pt>
                <c:pt idx="1">
                  <c:v>12.234871317478603</c:v>
                </c:pt>
              </c:numCache>
            </c:numRef>
          </c:xVal>
          <c:yVal>
            <c:numRef>
              <c:f>'CCC-car.2'!$AL$44:$AL$45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25.80087540341367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7D20-4070-A227-5EB24F53B5ED}"/>
            </c:ext>
          </c:extLst>
        </c:ser>
        <c:ser>
          <c:idx val="16"/>
          <c:order val="16"/>
          <c:tx>
            <c:v>M3(x)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'CCC-car.3'!$AD$47:$AD$81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'CCC-car.3'!$AE$47:$AE$81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27.606262755102044</c:v>
                </c:pt>
                <c:pt idx="6">
                  <c:v>44.357525510204091</c:v>
                </c:pt>
                <c:pt idx="7">
                  <c:v>50.253788265306135</c:v>
                </c:pt>
                <c:pt idx="8">
                  <c:v>45.295051020408181</c:v>
                </c:pt>
                <c:pt idx="9">
                  <c:v>29.481313775510216</c:v>
                </c:pt>
                <c:pt idx="10">
                  <c:v>2.8125765306122616</c:v>
                </c:pt>
                <c:pt idx="11">
                  <c:v>-34.711160714285654</c:v>
                </c:pt>
                <c:pt idx="12">
                  <c:v>-83.089897959183645</c:v>
                </c:pt>
                <c:pt idx="13">
                  <c:v>-83.089897959183673</c:v>
                </c:pt>
                <c:pt idx="14">
                  <c:v>-29.75536670918369</c:v>
                </c:pt>
                <c:pt idx="15">
                  <c:v>8.3407270408163043</c:v>
                </c:pt>
                <c:pt idx="16">
                  <c:v>31.198383290816281</c:v>
                </c:pt>
                <c:pt idx="17">
                  <c:v>38.817602040816269</c:v>
                </c:pt>
                <c:pt idx="18">
                  <c:v>31.198383290816309</c:v>
                </c:pt>
                <c:pt idx="19">
                  <c:v>8.3407270408162617</c:v>
                </c:pt>
                <c:pt idx="20">
                  <c:v>-29.755366709183647</c:v>
                </c:pt>
                <c:pt idx="21">
                  <c:v>-83.089897959183759</c:v>
                </c:pt>
                <c:pt idx="22">
                  <c:v>-83.089897959183673</c:v>
                </c:pt>
                <c:pt idx="23">
                  <c:v>-34.711160714285711</c:v>
                </c:pt>
                <c:pt idx="24">
                  <c:v>2.8125765306122332</c:v>
                </c:pt>
                <c:pt idx="25">
                  <c:v>29.481313775510216</c:v>
                </c:pt>
                <c:pt idx="26">
                  <c:v>45.295051020408152</c:v>
                </c:pt>
                <c:pt idx="27">
                  <c:v>50.253788265306099</c:v>
                </c:pt>
                <c:pt idx="28">
                  <c:v>44.357525510204084</c:v>
                </c:pt>
                <c:pt idx="29">
                  <c:v>27.60626275510208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7D20-4070-A227-5EB24F53B5ED}"/>
            </c:ext>
          </c:extLst>
        </c:ser>
        <c:ser>
          <c:idx val="17"/>
          <c:order val="17"/>
          <c:tx>
            <c:v>3-app.1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'CCC-car.3'!$AK$17:$AK$18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7D20-4070-A227-5EB24F53B5ED}"/>
            </c:ext>
          </c:extLst>
        </c:ser>
        <c:ser>
          <c:idx val="18"/>
          <c:order val="18"/>
          <c:tx>
            <c:v>3-app.2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'CCC-car.3'!$AK$19:$AK$20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'CCC-car.3'!$AL$19:$AL$20</c:f>
              <c:numCache>
                <c:formatCode>0.00</c:formatCode>
                <c:ptCount val="2"/>
                <c:pt idx="0">
                  <c:v>0</c:v>
                </c:pt>
                <c:pt idx="1">
                  <c:v>-83.089897959183645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7D20-4070-A227-5EB24F53B5ED}"/>
            </c:ext>
          </c:extLst>
        </c:ser>
        <c:ser>
          <c:idx val="19"/>
          <c:order val="19"/>
          <c:tx>
            <c:v>3-app.3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'CCC-car.3'!$AK$21:$AK$22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'CCC-car.3'!$AL$21:$AL$22</c:f>
              <c:numCache>
                <c:formatCode>0.00</c:formatCode>
                <c:ptCount val="2"/>
                <c:pt idx="0">
                  <c:v>0</c:v>
                </c:pt>
                <c:pt idx="1">
                  <c:v>-83.089897959183759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7D20-4070-A227-5EB24F53B5ED}"/>
            </c:ext>
          </c:extLst>
        </c:ser>
        <c:ser>
          <c:idx val="20"/>
          <c:order val="20"/>
          <c:tx>
            <c:v>3-app.4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'CCC-car.3'!$AK$23:$AK$24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'CCC-car.3'!$AL$23:$AL$24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7D20-4070-A227-5EB24F53B5ED}"/>
            </c:ext>
          </c:extLst>
        </c:ser>
        <c:ser>
          <c:idx val="21"/>
          <c:order val="21"/>
          <c:tx>
            <c:v>3-camp.1-2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'CCC-car.3'!$AK$40:$AK$41</c:f>
              <c:numCache>
                <c:formatCode>0.00</c:formatCode>
                <c:ptCount val="2"/>
                <c:pt idx="0">
                  <c:v>1.5215920200415498</c:v>
                </c:pt>
                <c:pt idx="1">
                  <c:v>1.5215920200415498</c:v>
                </c:pt>
              </c:numCache>
            </c:numRef>
          </c:xVal>
          <c:yVal>
            <c:numRef>
              <c:f>'CCC-car.3'!$AL$40:$AL$41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50.263909800109033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7D20-4070-A227-5EB24F53B5ED}"/>
            </c:ext>
          </c:extLst>
        </c:ser>
        <c:ser>
          <c:idx val="22"/>
          <c:order val="22"/>
          <c:tx>
            <c:v>3-camp.2-3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'CCC-car.3'!$AK$42:$AK$43</c:f>
              <c:numCache>
                <c:formatCode>0.00</c:formatCode>
                <c:ptCount val="2"/>
                <c:pt idx="0">
                  <c:v>6.75</c:v>
                </c:pt>
                <c:pt idx="1">
                  <c:v>6.75</c:v>
                </c:pt>
              </c:numCache>
            </c:numRef>
          </c:xVal>
          <c:yVal>
            <c:numRef>
              <c:f>'CCC-car.3'!$AL$42:$AL$43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38.817602040816311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7D20-4070-A227-5EB24F53B5ED}"/>
            </c:ext>
          </c:extLst>
        </c:ser>
        <c:ser>
          <c:idx val="23"/>
          <c:order val="23"/>
          <c:tx>
            <c:v>3-camp.3-4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'CCC-car.3'!$AK$44:$AK$45</c:f>
              <c:numCache>
                <c:formatCode>0.00</c:formatCode>
                <c:ptCount val="2"/>
                <c:pt idx="0">
                  <c:v>11.978407979958451</c:v>
                </c:pt>
                <c:pt idx="1">
                  <c:v>11.978407979958451</c:v>
                </c:pt>
              </c:numCache>
            </c:numRef>
          </c:xVal>
          <c:yVal>
            <c:numRef>
              <c:f>'CCC-car.3'!$AL$44:$AL$45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50.263909800108905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7D20-4070-A227-5EB24F53B5ED}"/>
            </c:ext>
          </c:extLst>
        </c:ser>
        <c:ser>
          <c:idx val="24"/>
          <c:order val="24"/>
          <c:tx>
            <c:v>M4(x)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'CCC-car.4'!$AE$47:$AE$81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16.7356959797808</c:v>
                </c:pt>
                <c:pt idx="6">
                  <c:v>25.411391959561605</c:v>
                </c:pt>
                <c:pt idx="7">
                  <c:v>26.027087939342408</c:v>
                </c:pt>
                <c:pt idx="8">
                  <c:v>18.582783919123216</c:v>
                </c:pt>
                <c:pt idx="9">
                  <c:v>3.0784798989040212</c:v>
                </c:pt>
                <c:pt idx="10">
                  <c:v>-20.485824121315176</c:v>
                </c:pt>
                <c:pt idx="11">
                  <c:v>-52.110128141534346</c:v>
                </c:pt>
                <c:pt idx="12">
                  <c:v>-91.794432161753548</c:v>
                </c:pt>
                <c:pt idx="13">
                  <c:v>-91.794432161753576</c:v>
                </c:pt>
                <c:pt idx="14">
                  <c:v>-21.621158145549884</c:v>
                </c:pt>
                <c:pt idx="15">
                  <c:v>28.029381495653809</c:v>
                </c:pt>
                <c:pt idx="16">
                  <c:v>57.157186761857503</c:v>
                </c:pt>
                <c:pt idx="17">
                  <c:v>65.76225765306117</c:v>
                </c:pt>
                <c:pt idx="18">
                  <c:v>53.844594169264894</c:v>
                </c:pt>
                <c:pt idx="19">
                  <c:v>21.404196310468592</c:v>
                </c:pt>
                <c:pt idx="20">
                  <c:v>-31.558935923327795</c:v>
                </c:pt>
                <c:pt idx="21">
                  <c:v>-105.04480253212409</c:v>
                </c:pt>
                <c:pt idx="22">
                  <c:v>-105.04480253212395</c:v>
                </c:pt>
                <c:pt idx="23">
                  <c:v>-53.921702215608448</c:v>
                </c:pt>
                <c:pt idx="24">
                  <c:v>-13.653601899092962</c:v>
                </c:pt>
                <c:pt idx="25">
                  <c:v>15.759498417422549</c:v>
                </c:pt>
                <c:pt idx="26">
                  <c:v>34.317598733938041</c:v>
                </c:pt>
                <c:pt idx="27">
                  <c:v>42.020699050453544</c:v>
                </c:pt>
                <c:pt idx="28">
                  <c:v>38.868799366969029</c:v>
                </c:pt>
                <c:pt idx="29">
                  <c:v>24.861899683484523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7D20-4070-A227-5EB24F53B5ED}"/>
            </c:ext>
          </c:extLst>
        </c:ser>
        <c:ser>
          <c:idx val="25"/>
          <c:order val="25"/>
          <c:tx>
            <c:v>4-app.1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'CCC-car.4'!$AK$17:$AK$18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7D20-4070-A227-5EB24F53B5ED}"/>
            </c:ext>
          </c:extLst>
        </c:ser>
        <c:ser>
          <c:idx val="26"/>
          <c:order val="26"/>
          <c:tx>
            <c:v>4-app.2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'CCC-car.4'!$AK$19:$AK$20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'CCC-car.4'!$AL$19:$AL$20</c:f>
              <c:numCache>
                <c:formatCode>0.00</c:formatCode>
                <c:ptCount val="2"/>
                <c:pt idx="0">
                  <c:v>0</c:v>
                </c:pt>
                <c:pt idx="1">
                  <c:v>-91.794432161753548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7D20-4070-A227-5EB24F53B5ED}"/>
            </c:ext>
          </c:extLst>
        </c:ser>
        <c:ser>
          <c:idx val="27"/>
          <c:order val="27"/>
          <c:tx>
            <c:v>4-app.3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'CCC-car.4'!$AK$21:$AK$22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'CCC-car.4'!$AL$21:$AL$22</c:f>
              <c:numCache>
                <c:formatCode>0.00</c:formatCode>
                <c:ptCount val="2"/>
                <c:pt idx="0">
                  <c:v>0</c:v>
                </c:pt>
                <c:pt idx="1">
                  <c:v>-105.04480253212409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7D20-4070-A227-5EB24F53B5ED}"/>
            </c:ext>
          </c:extLst>
        </c:ser>
        <c:ser>
          <c:idx val="28"/>
          <c:order val="28"/>
          <c:tx>
            <c:v>4-app.4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'CCC-car.4'!$AK$23:$AK$24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'CCC-car.4'!$AL$23:$AL$24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7D20-4070-A227-5EB24F53B5ED}"/>
            </c:ext>
          </c:extLst>
        </c:ser>
        <c:ser>
          <c:idx val="29"/>
          <c:order val="29"/>
          <c:tx>
            <c:v>4-camp.1-2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'CCC-car.4'!$AK$40:$AK$41</c:f>
              <c:numCache>
                <c:formatCode>0.00</c:formatCode>
                <c:ptCount val="2"/>
                <c:pt idx="0">
                  <c:v>1.2881945396886356</c:v>
                </c:pt>
                <c:pt idx="1">
                  <c:v>1.2881945396886356</c:v>
                </c:pt>
              </c:numCache>
            </c:numRef>
          </c:xVal>
          <c:yVal>
            <c:numRef>
              <c:f>'CCC-car.4'!$AL$40:$AL$41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26.750256173987882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7D20-4070-A227-5EB24F53B5ED}"/>
            </c:ext>
          </c:extLst>
        </c:ser>
        <c:ser>
          <c:idx val="30"/>
          <c:order val="30"/>
          <c:tx>
            <c:v>4-camp.2-3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'CCC-car.4'!$AK$42:$AK$43</c:f>
              <c:numCache>
                <c:formatCode>0.00</c:formatCode>
                <c:ptCount val="2"/>
                <c:pt idx="0">
                  <c:v>6.6945150103832738</c:v>
                </c:pt>
                <c:pt idx="1">
                  <c:v>6.6945150103832738</c:v>
                </c:pt>
              </c:numCache>
            </c:numRef>
          </c:xVal>
          <c:yVal>
            <c:numRef>
              <c:f>'CCC-car.4'!$AL$42:$AL$43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65.829093713281054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7D20-4070-A227-5EB24F53B5ED}"/>
            </c:ext>
          </c:extLst>
        </c:ser>
        <c:ser>
          <c:idx val="31"/>
          <c:order val="31"/>
          <c:tx>
            <c:v>4-camp.3-4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'CCC-car.4'!$AK$44:$AK$45</c:f>
              <c:numCache>
                <c:formatCode>0.00</c:formatCode>
                <c:ptCount val="2"/>
                <c:pt idx="0">
                  <c:v>12.104818070774551</c:v>
                </c:pt>
                <c:pt idx="1">
                  <c:v>12.104818070774551</c:v>
                </c:pt>
              </c:numCache>
            </c:numRef>
          </c:xVal>
          <c:yVal>
            <c:numRef>
              <c:f>'CCC-car.4'!$AL$44:$AL$45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42.259223085484479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7D20-4070-A227-5EB24F53B5ED}"/>
            </c:ext>
          </c:extLst>
        </c:ser>
        <c:ser>
          <c:idx val="32"/>
          <c:order val="32"/>
          <c:tx>
            <c:v>M5(x)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'CCC-car.5'!$AE$47:$AE$81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24.861899683484502</c:v>
                </c:pt>
                <c:pt idx="6">
                  <c:v>38.868799366969007</c:v>
                </c:pt>
                <c:pt idx="7">
                  <c:v>42.020699050453509</c:v>
                </c:pt>
                <c:pt idx="8">
                  <c:v>34.317598733938013</c:v>
                </c:pt>
                <c:pt idx="9">
                  <c:v>15.75949841742252</c:v>
                </c:pt>
                <c:pt idx="10">
                  <c:v>-13.65360189909299</c:v>
                </c:pt>
                <c:pt idx="11">
                  <c:v>-53.921702215608462</c:v>
                </c:pt>
                <c:pt idx="12">
                  <c:v>-105.04480253212398</c:v>
                </c:pt>
                <c:pt idx="13">
                  <c:v>-105.04480253212395</c:v>
                </c:pt>
                <c:pt idx="14">
                  <c:v>-31.558935923327653</c:v>
                </c:pt>
                <c:pt idx="15">
                  <c:v>21.404196310468649</c:v>
                </c:pt>
                <c:pt idx="16">
                  <c:v>53.844594169264923</c:v>
                </c:pt>
                <c:pt idx="17">
                  <c:v>65.762257653061226</c:v>
                </c:pt>
                <c:pt idx="18">
                  <c:v>57.157186761857531</c:v>
                </c:pt>
                <c:pt idx="19">
                  <c:v>28.029381495653752</c:v>
                </c:pt>
                <c:pt idx="20">
                  <c:v>-21.621158145549884</c:v>
                </c:pt>
                <c:pt idx="21">
                  <c:v>-91.794432161753662</c:v>
                </c:pt>
                <c:pt idx="22">
                  <c:v>-91.794432161753576</c:v>
                </c:pt>
                <c:pt idx="23">
                  <c:v>-52.110128141534389</c:v>
                </c:pt>
                <c:pt idx="24">
                  <c:v>-20.485824121315204</c:v>
                </c:pt>
                <c:pt idx="25">
                  <c:v>3.0784798989039928</c:v>
                </c:pt>
                <c:pt idx="26">
                  <c:v>18.582783919123187</c:v>
                </c:pt>
                <c:pt idx="27">
                  <c:v>26.02708793934238</c:v>
                </c:pt>
                <c:pt idx="28">
                  <c:v>25.411391959561598</c:v>
                </c:pt>
                <c:pt idx="29">
                  <c:v>16.735695979780758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7D20-4070-A227-5EB24F53B5ED}"/>
            </c:ext>
          </c:extLst>
        </c:ser>
        <c:ser>
          <c:idx val="33"/>
          <c:order val="33"/>
          <c:tx>
            <c:v>5-app.1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'CCC-car.5'!$AK$17:$AK$18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7D20-4070-A227-5EB24F53B5ED}"/>
            </c:ext>
          </c:extLst>
        </c:ser>
        <c:ser>
          <c:idx val="34"/>
          <c:order val="34"/>
          <c:tx>
            <c:v>5-app.2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'CCC-car.5'!$AK$19:$AK$20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'CCC-car.5'!$AL$19:$AL$20</c:f>
              <c:numCache>
                <c:formatCode>0.00</c:formatCode>
                <c:ptCount val="2"/>
                <c:pt idx="0">
                  <c:v>0</c:v>
                </c:pt>
                <c:pt idx="1">
                  <c:v>-105.04480253212398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7D20-4070-A227-5EB24F53B5ED}"/>
            </c:ext>
          </c:extLst>
        </c:ser>
        <c:ser>
          <c:idx val="35"/>
          <c:order val="35"/>
          <c:tx>
            <c:v>5-app.3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'CCC-car.5'!$AK$21:$AK$22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'CCC-car.5'!$AL$21:$AL$22</c:f>
              <c:numCache>
                <c:formatCode>0.00</c:formatCode>
                <c:ptCount val="2"/>
                <c:pt idx="0">
                  <c:v>0</c:v>
                </c:pt>
                <c:pt idx="1">
                  <c:v>-91.794432161753662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7D20-4070-A227-5EB24F53B5ED}"/>
            </c:ext>
          </c:extLst>
        </c:ser>
        <c:ser>
          <c:idx val="36"/>
          <c:order val="36"/>
          <c:tx>
            <c:v>5-app.4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'CCC-car.5'!$AK$23:$AK$24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'CCC-car.5'!$AL$23:$AL$24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7D20-4070-A227-5EB24F53B5ED}"/>
            </c:ext>
          </c:extLst>
        </c:ser>
        <c:ser>
          <c:idx val="37"/>
          <c:order val="37"/>
          <c:tx>
            <c:v>5-camp.1-2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'CCC-car.5'!$AK$40:$AK$41</c:f>
              <c:numCache>
                <c:formatCode>0.00</c:formatCode>
                <c:ptCount val="2"/>
                <c:pt idx="0">
                  <c:v>1.3951819292254493</c:v>
                </c:pt>
                <c:pt idx="1">
                  <c:v>1.3951819292254493</c:v>
                </c:pt>
              </c:numCache>
            </c:numRef>
          </c:xVal>
          <c:yVal>
            <c:numRef>
              <c:f>'CCC-car.5'!$AL$40:$AL$41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42.259223085484621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7D20-4070-A227-5EB24F53B5ED}"/>
            </c:ext>
          </c:extLst>
        </c:ser>
        <c:ser>
          <c:idx val="38"/>
          <c:order val="38"/>
          <c:tx>
            <c:v>5-camp.2-3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'CCC-car.5'!$AK$42:$AK$43</c:f>
              <c:numCache>
                <c:formatCode>0.00</c:formatCode>
                <c:ptCount val="2"/>
                <c:pt idx="0">
                  <c:v>6.8054849896167262</c:v>
                </c:pt>
                <c:pt idx="1">
                  <c:v>6.8054849896167262</c:v>
                </c:pt>
              </c:numCache>
            </c:numRef>
          </c:xVal>
          <c:yVal>
            <c:numRef>
              <c:f>'CCC-car.5'!$AL$42:$AL$43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65.829093713281026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7D20-4070-A227-5EB24F53B5ED}"/>
            </c:ext>
          </c:extLst>
        </c:ser>
        <c:ser>
          <c:idx val="39"/>
          <c:order val="39"/>
          <c:tx>
            <c:v>5-camp.3-4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'CCC-car.5'!$AK$44:$AK$45</c:f>
              <c:numCache>
                <c:formatCode>0.00</c:formatCode>
                <c:ptCount val="2"/>
                <c:pt idx="0">
                  <c:v>12.211805460311364</c:v>
                </c:pt>
                <c:pt idx="1">
                  <c:v>12.211805460311364</c:v>
                </c:pt>
              </c:numCache>
            </c:numRef>
          </c:xVal>
          <c:yVal>
            <c:numRef>
              <c:f>'CCC-car.5'!$AL$44:$AL$45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26.750256173987751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7D20-4070-A227-5EB24F53B5ED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axId val="318488352"/>
        <c:axId val="318488912"/>
      </c:scatterChart>
      <c:valAx>
        <c:axId val="318488352"/>
        <c:scaling>
          <c:orientation val="minMax"/>
          <c:max val="13.5"/>
          <c:min val="0"/>
        </c:scaling>
        <c:delete val="1"/>
        <c:axPos val="t"/>
        <c:numFmt formatCode="0.00" sourceLinked="0"/>
        <c:majorTickMark val="out"/>
        <c:minorTickMark val="none"/>
        <c:tickLblPos val="high"/>
        <c:crossAx val="318488912"/>
        <c:crosses val="autoZero"/>
        <c:crossBetween val="midCat"/>
        <c:majorUnit val="1"/>
      </c:valAx>
      <c:valAx>
        <c:axId val="318488912"/>
        <c:scaling>
          <c:orientation val="maxMin"/>
        </c:scaling>
        <c:delete val="1"/>
        <c:axPos val="l"/>
        <c:majorGridlines>
          <c:spPr>
            <a:ln w="3175"/>
          </c:spPr>
        </c:majorGridlines>
        <c:numFmt formatCode="0" sourceLinked="0"/>
        <c:majorTickMark val="out"/>
        <c:minorTickMark val="none"/>
        <c:tickLblPos val="nextTo"/>
        <c:crossAx val="318488352"/>
        <c:crossesAt val="0"/>
        <c:crossBetween val="midCat"/>
      </c:valAx>
      <c:spPr>
        <a:solidFill>
          <a:schemeClr val="bg1">
            <a:alpha val="0"/>
          </a:schemeClr>
        </a:solidFill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76"/>
          <c:w val="0.94796977526453763"/>
          <c:h val="0.77738578636805045"/>
        </c:manualLayout>
      </c:layout>
      <c:scatterChart>
        <c:scatterStyle val="lineMarker"/>
        <c:varyColors val="0"/>
        <c:ser>
          <c:idx val="0"/>
          <c:order val="0"/>
          <c:tx>
            <c:v>T1(x)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55B-4A27-B866-0BEA3095DC37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55B-4A27-B866-0BEA3095DC37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5B-4A27-B866-0BEA3095DC37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55B-4A27-B866-0BEA3095DC37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55B-4A27-B866-0BEA3095DC37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55B-4A27-B866-0BEA3095DC37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55B-4A27-B866-0BEA3095DC37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55B-4A27-B866-0BEA3095DC37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55B-4A27-B866-0BEA3095DC37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55B-4A27-B866-0BEA3095DC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'CCC-car.1'!$AF$47:$AF$81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61.322442602040823</c:v>
                </c:pt>
                <c:pt idx="5">
                  <c:v>39.612442602040822</c:v>
                </c:pt>
                <c:pt idx="6">
                  <c:v>17.902442602040821</c:v>
                </c:pt>
                <c:pt idx="7">
                  <c:v>-3.8075573979591724</c:v>
                </c:pt>
                <c:pt idx="8">
                  <c:v>-25.51755739795918</c:v>
                </c:pt>
                <c:pt idx="9">
                  <c:v>-47.227557397959188</c:v>
                </c:pt>
                <c:pt idx="10">
                  <c:v>-68.937557397959168</c:v>
                </c:pt>
                <c:pt idx="11">
                  <c:v>-90.647557397959176</c:v>
                </c:pt>
                <c:pt idx="12">
                  <c:v>-112.35755739795918</c:v>
                </c:pt>
                <c:pt idx="13">
                  <c:v>119.40499999999999</c:v>
                </c:pt>
                <c:pt idx="14">
                  <c:v>89.55374999999998</c:v>
                </c:pt>
                <c:pt idx="15">
                  <c:v>59.702499999999986</c:v>
                </c:pt>
                <c:pt idx="16">
                  <c:v>29.851249999999979</c:v>
                </c:pt>
                <c:pt idx="17">
                  <c:v>0</c:v>
                </c:pt>
                <c:pt idx="18">
                  <c:v>-29.851250000000007</c:v>
                </c:pt>
                <c:pt idx="19">
                  <c:v>-59.702500000000029</c:v>
                </c:pt>
                <c:pt idx="20">
                  <c:v>-89.553750000000022</c:v>
                </c:pt>
                <c:pt idx="21">
                  <c:v>-119.40500000000002</c:v>
                </c:pt>
                <c:pt idx="22">
                  <c:v>112.35755739795918</c:v>
                </c:pt>
                <c:pt idx="23">
                  <c:v>90.64755739795919</c:v>
                </c:pt>
                <c:pt idx="24">
                  <c:v>68.937557397959182</c:v>
                </c:pt>
                <c:pt idx="25">
                  <c:v>47.227557397959188</c:v>
                </c:pt>
                <c:pt idx="26">
                  <c:v>25.51755739795918</c:v>
                </c:pt>
                <c:pt idx="27">
                  <c:v>3.8075573979591724</c:v>
                </c:pt>
                <c:pt idx="28">
                  <c:v>-17.902442602040807</c:v>
                </c:pt>
                <c:pt idx="29">
                  <c:v>-39.612442602040815</c:v>
                </c:pt>
                <c:pt idx="30">
                  <c:v>-61.322442602040823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55B-4A27-B866-0BEA3095DC37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'CCC-Trave esterna (P1)'!$AN$49</c:f>
              <c:numCache>
                <c:formatCode>0.00</c:formatCode>
                <c:ptCount val="1"/>
              </c:numCache>
            </c:numRef>
          </c:xVal>
          <c:yVal>
            <c:numRef>
              <c:f>'CCC-Trave esterna (P1)'!$AP$49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55B-4A27-B866-0BEA3095DC37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'CCC-Trave esterna (P1)'!$AN$50</c:f>
              <c:numCache>
                <c:formatCode>0.00</c:formatCode>
                <c:ptCount val="1"/>
              </c:numCache>
            </c:numRef>
          </c:xVal>
          <c:yVal>
            <c:numRef>
              <c:f>'CCC-Trave esterna (P1)'!$AP$50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55B-4A27-B866-0BEA3095DC37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'CCC-Trave esterna (P1)'!$AN$58</c:f>
              <c:numCache>
                <c:formatCode>0.00</c:formatCode>
                <c:ptCount val="1"/>
              </c:numCache>
            </c:numRef>
          </c:xVal>
          <c:yVal>
            <c:numRef>
              <c:f>'CCC-Trave esterna (P1)'!$AP$58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55B-4A27-B866-0BEA3095DC37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'CCC-Trave esterna (P1)'!$AN$59</c:f>
              <c:numCache>
                <c:formatCode>0.00</c:formatCode>
                <c:ptCount val="1"/>
              </c:numCache>
            </c:numRef>
          </c:xVal>
          <c:yVal>
            <c:numRef>
              <c:f>'CCC-Trave esterna (P1)'!$AP$59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55B-4A27-B866-0BEA3095DC37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'CCC-Trave esterna (P1)'!$AN$67</c:f>
              <c:numCache>
                <c:formatCode>0.00</c:formatCode>
                <c:ptCount val="1"/>
              </c:numCache>
            </c:numRef>
          </c:xVal>
          <c:yVal>
            <c:numRef>
              <c:f>'CCC-Trave esterna (P1)'!$AP$67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55B-4A27-B866-0BEA3095DC37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'CCC-Trave esterna (P1)'!$AN$68</c:f>
              <c:numCache>
                <c:formatCode>0.00</c:formatCode>
                <c:ptCount val="1"/>
              </c:numCache>
            </c:numRef>
          </c:xVal>
          <c:yVal>
            <c:numRef>
              <c:f>'CCC-Trave esterna (P1)'!$AP$68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55B-4A27-B866-0BEA3095DC37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'CCC-Trave int1 (P1)'!$AN$76</c:f>
            </c:numRef>
          </c:xVal>
          <c:yVal>
            <c:numRef>
              <c:f>'CCC-Trave int1 (P1)'!$AP$76</c:f>
            </c:numRef>
          </c:yVal>
          <c:smooth val="0"/>
          <c:extLst>
            <c:ext xmlns:c16="http://schemas.microsoft.com/office/drawing/2014/chart" uri="{C3380CC4-5D6E-409C-BE32-E72D297353CC}">
              <c16:uniqueId val="{00000011-055B-4A27-B866-0BEA3095DC37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'CCC-Trave int1 (P1)'!$AN$77</c:f>
            </c:numRef>
          </c:xVal>
          <c:yVal>
            <c:numRef>
              <c:f>'CCC-Trave int1 (P1)'!$AP$77</c:f>
            </c:numRef>
          </c:yVal>
          <c:smooth val="0"/>
          <c:extLst>
            <c:ext xmlns:c16="http://schemas.microsoft.com/office/drawing/2014/chart" uri="{C3380CC4-5D6E-409C-BE32-E72D297353CC}">
              <c16:uniqueId val="{00000012-055B-4A27-B866-0BEA3095DC37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'CCC-Trave esterna (P1)'!$AN$85</c:f>
              <c:numCache>
                <c:formatCode>0.00</c:formatCode>
                <c:ptCount val="1"/>
              </c:numCache>
            </c:numRef>
          </c:xVal>
          <c:yVal>
            <c:numRef>
              <c:f>'CCC-Trave esterna (P1)'!$AP$85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55B-4A27-B866-0BEA3095DC37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'CCC-Trave esterna (P1)'!$AN$86</c:f>
              <c:numCache>
                <c:formatCode>0.00</c:formatCode>
                <c:ptCount val="1"/>
              </c:numCache>
            </c:numRef>
          </c:xVal>
          <c:yVal>
            <c:numRef>
              <c:f>'CCC-Trave esterna (P1)'!$AP$86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55B-4A27-B866-0BEA3095DC37}"/>
            </c:ext>
          </c:extLst>
        </c:ser>
        <c:ser>
          <c:idx val="11"/>
          <c:order val="11"/>
          <c:tx>
            <c:v>T2(x)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55B-4A27-B866-0BEA3095DC37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55B-4A27-B866-0BEA3095DC37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55B-4A27-B866-0BEA3095DC37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55B-4A27-B866-0BEA3095DC37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055B-4A27-B866-0BEA3095DC37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55B-4A27-B866-0BEA3095DC37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055B-4A27-B866-0BEA3095DC37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055B-4A27-B866-0BEA3095DC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'CCC-car.2'!$AF$47:$AF$81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40.787748724489788</c:v>
                </c:pt>
                <c:pt idx="5">
                  <c:v>24.66774872448979</c:v>
                </c:pt>
                <c:pt idx="6">
                  <c:v>8.5477487244897929</c:v>
                </c:pt>
                <c:pt idx="7">
                  <c:v>-7.5722512755102045</c:v>
                </c:pt>
                <c:pt idx="8">
                  <c:v>-23.692251275510202</c:v>
                </c:pt>
                <c:pt idx="9">
                  <c:v>-39.812251275510206</c:v>
                </c:pt>
                <c:pt idx="10">
                  <c:v>-55.932251275510197</c:v>
                </c:pt>
                <c:pt idx="11">
                  <c:v>-72.052251275510187</c:v>
                </c:pt>
                <c:pt idx="12">
                  <c:v>-88.172251275510192</c:v>
                </c:pt>
                <c:pt idx="13">
                  <c:v>119.40499999999999</c:v>
                </c:pt>
                <c:pt idx="14">
                  <c:v>89.55374999999998</c:v>
                </c:pt>
                <c:pt idx="15">
                  <c:v>59.702499999999986</c:v>
                </c:pt>
                <c:pt idx="16">
                  <c:v>29.851249999999979</c:v>
                </c:pt>
                <c:pt idx="17">
                  <c:v>0</c:v>
                </c:pt>
                <c:pt idx="18">
                  <c:v>-29.851250000000007</c:v>
                </c:pt>
                <c:pt idx="19">
                  <c:v>-59.702500000000029</c:v>
                </c:pt>
                <c:pt idx="20">
                  <c:v>-89.553750000000022</c:v>
                </c:pt>
                <c:pt idx="21">
                  <c:v>-119.40500000000002</c:v>
                </c:pt>
                <c:pt idx="22">
                  <c:v>88.172251275510192</c:v>
                </c:pt>
                <c:pt idx="23">
                  <c:v>72.052251275510201</c:v>
                </c:pt>
                <c:pt idx="24">
                  <c:v>55.932251275510197</c:v>
                </c:pt>
                <c:pt idx="25">
                  <c:v>39.812251275510199</c:v>
                </c:pt>
                <c:pt idx="26">
                  <c:v>23.692251275510202</c:v>
                </c:pt>
                <c:pt idx="27">
                  <c:v>7.5722512755101974</c:v>
                </c:pt>
                <c:pt idx="28">
                  <c:v>-8.5477487244897929</c:v>
                </c:pt>
                <c:pt idx="29">
                  <c:v>-24.667748724489783</c:v>
                </c:pt>
                <c:pt idx="30">
                  <c:v>-40.787748724489788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55B-4A27-B866-0BEA3095DC37}"/>
            </c:ext>
          </c:extLst>
        </c:ser>
        <c:ser>
          <c:idx val="12"/>
          <c:order val="12"/>
          <c:tx>
            <c:v>T3(x)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055B-4A27-B866-0BEA3095DC37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055B-4A27-B866-0BEA3095DC37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055B-4A27-B866-0BEA3095DC37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055B-4A27-B866-0BEA3095DC37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055B-4A27-B866-0BEA3095DC37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055B-4A27-B866-0BEA3095DC37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055B-4A27-B866-0BEA3095DC37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055B-4A27-B866-0BEA3095DC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'CCC-car.3'!$AF$47:$AF$81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66.067525510204092</c:v>
                </c:pt>
                <c:pt idx="5">
                  <c:v>44.357525510204091</c:v>
                </c:pt>
                <c:pt idx="6">
                  <c:v>22.64752551020409</c:v>
                </c:pt>
                <c:pt idx="7">
                  <c:v>0.93752551020409669</c:v>
                </c:pt>
                <c:pt idx="8">
                  <c:v>-20.772474489795911</c:v>
                </c:pt>
                <c:pt idx="9">
                  <c:v>-42.482474489795919</c:v>
                </c:pt>
                <c:pt idx="10">
                  <c:v>-64.192474489795899</c:v>
                </c:pt>
                <c:pt idx="11">
                  <c:v>-85.902474489795907</c:v>
                </c:pt>
                <c:pt idx="12">
                  <c:v>-107.61247448979591</c:v>
                </c:pt>
                <c:pt idx="13">
                  <c:v>88.659999999999982</c:v>
                </c:pt>
                <c:pt idx="14">
                  <c:v>66.49499999999999</c:v>
                </c:pt>
                <c:pt idx="15">
                  <c:v>44.329999999999991</c:v>
                </c:pt>
                <c:pt idx="16">
                  <c:v>22.164999999999992</c:v>
                </c:pt>
                <c:pt idx="17">
                  <c:v>0</c:v>
                </c:pt>
                <c:pt idx="18">
                  <c:v>-22.165000000000006</c:v>
                </c:pt>
                <c:pt idx="19">
                  <c:v>-44.33</c:v>
                </c:pt>
                <c:pt idx="20">
                  <c:v>-66.49499999999999</c:v>
                </c:pt>
                <c:pt idx="21">
                  <c:v>-88.659999999999982</c:v>
                </c:pt>
                <c:pt idx="22">
                  <c:v>107.61247448979591</c:v>
                </c:pt>
                <c:pt idx="23">
                  <c:v>85.902474489795907</c:v>
                </c:pt>
                <c:pt idx="24">
                  <c:v>64.192474489795913</c:v>
                </c:pt>
                <c:pt idx="25">
                  <c:v>42.482474489795919</c:v>
                </c:pt>
                <c:pt idx="26">
                  <c:v>20.772474489795911</c:v>
                </c:pt>
                <c:pt idx="27">
                  <c:v>-0.93752551020409669</c:v>
                </c:pt>
                <c:pt idx="28">
                  <c:v>-22.647525510204076</c:v>
                </c:pt>
                <c:pt idx="29">
                  <c:v>-44.357525510204084</c:v>
                </c:pt>
                <c:pt idx="30">
                  <c:v>-66.067525510204092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55B-4A27-B866-0BEA3095DC37}"/>
            </c:ext>
          </c:extLst>
        </c:ser>
        <c:ser>
          <c:idx val="13"/>
          <c:order val="13"/>
          <c:tx>
            <c:v>T4(x)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055B-4A27-B866-0BEA3095DC37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055B-4A27-B866-0BEA3095DC37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055B-4A27-B866-0BEA3095DC37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055B-4A27-B866-0BEA3095DC37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055B-4A27-B866-0BEA3095DC37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055B-4A27-B866-0BEA3095DC37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055B-4A27-B866-0BEA3095DC37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055B-4A27-B866-0BEA3095DC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'CCC-car.4'!$AF$47:$AF$81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41.531391959561603</c:v>
                </c:pt>
                <c:pt idx="5">
                  <c:v>25.411391959561605</c:v>
                </c:pt>
                <c:pt idx="6">
                  <c:v>9.2913919595616079</c:v>
                </c:pt>
                <c:pt idx="7">
                  <c:v>-6.8286080404383895</c:v>
                </c:pt>
                <c:pt idx="8">
                  <c:v>-22.948608040438387</c:v>
                </c:pt>
                <c:pt idx="9">
                  <c:v>-39.068608040438392</c:v>
                </c:pt>
                <c:pt idx="10">
                  <c:v>-55.188608040438382</c:v>
                </c:pt>
                <c:pt idx="11">
                  <c:v>-71.308608040438372</c:v>
                </c:pt>
                <c:pt idx="12">
                  <c:v>-87.428608040438377</c:v>
                </c:pt>
                <c:pt idx="13">
                  <c:v>116.99584175084173</c:v>
                </c:pt>
                <c:pt idx="14">
                  <c:v>87.144591750841727</c:v>
                </c:pt>
                <c:pt idx="15">
                  <c:v>57.293341750841734</c:v>
                </c:pt>
                <c:pt idx="16">
                  <c:v>27.442091750841726</c:v>
                </c:pt>
                <c:pt idx="17">
                  <c:v>-2.409158249158267</c:v>
                </c:pt>
                <c:pt idx="18">
                  <c:v>-32.26040824915826</c:v>
                </c:pt>
                <c:pt idx="19">
                  <c:v>-62.111658249158282</c:v>
                </c:pt>
                <c:pt idx="20">
                  <c:v>-91.962908249158275</c:v>
                </c:pt>
                <c:pt idx="21">
                  <c:v>-121.81415824915827</c:v>
                </c:pt>
                <c:pt idx="22">
                  <c:v>113.101200633031</c:v>
                </c:pt>
                <c:pt idx="23">
                  <c:v>91.391200633030991</c:v>
                </c:pt>
                <c:pt idx="24">
                  <c:v>69.681200633030997</c:v>
                </c:pt>
                <c:pt idx="25">
                  <c:v>47.971200633031003</c:v>
                </c:pt>
                <c:pt idx="26">
                  <c:v>26.261200633030995</c:v>
                </c:pt>
                <c:pt idx="27">
                  <c:v>4.5512006330309873</c:v>
                </c:pt>
                <c:pt idx="28">
                  <c:v>-17.158799366968992</c:v>
                </c:pt>
                <c:pt idx="29">
                  <c:v>-38.868799366969</c:v>
                </c:pt>
                <c:pt idx="30">
                  <c:v>-60.578799366969008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55B-4A27-B866-0BEA3095DC37}"/>
            </c:ext>
          </c:extLst>
        </c:ser>
        <c:ser>
          <c:idx val="14"/>
          <c:order val="14"/>
          <c:tx>
            <c:v>T5(x)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055B-4A27-B866-0BEA3095DC37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055B-4A27-B866-0BEA3095DC37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055B-4A27-B866-0BEA3095DC37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055B-4A27-B866-0BEA3095DC37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055B-4A27-B866-0BEA3095DC37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055B-4A27-B866-0BEA3095DC37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055B-4A27-B866-0BEA3095DC37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055B-4A27-B866-0BEA3095DC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'CCC-car.5'!$AF$47:$AF$81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60.578799366969008</c:v>
                </c:pt>
                <c:pt idx="5">
                  <c:v>38.868799366969007</c:v>
                </c:pt>
                <c:pt idx="6">
                  <c:v>17.158799366969006</c:v>
                </c:pt>
                <c:pt idx="7">
                  <c:v>-4.5512006330309873</c:v>
                </c:pt>
                <c:pt idx="8">
                  <c:v>-26.261200633030995</c:v>
                </c:pt>
                <c:pt idx="9">
                  <c:v>-47.971200633031003</c:v>
                </c:pt>
                <c:pt idx="10">
                  <c:v>-69.681200633030983</c:v>
                </c:pt>
                <c:pt idx="11">
                  <c:v>-91.391200633030991</c:v>
                </c:pt>
                <c:pt idx="12">
                  <c:v>-113.101200633031</c:v>
                </c:pt>
                <c:pt idx="13">
                  <c:v>121.81415824915825</c:v>
                </c:pt>
                <c:pt idx="14">
                  <c:v>91.962908249158261</c:v>
                </c:pt>
                <c:pt idx="15">
                  <c:v>62.111658249158253</c:v>
                </c:pt>
                <c:pt idx="16">
                  <c:v>32.260408249158246</c:v>
                </c:pt>
                <c:pt idx="17">
                  <c:v>2.4091582491582528</c:v>
                </c:pt>
                <c:pt idx="18">
                  <c:v>-27.44209175084174</c:v>
                </c:pt>
                <c:pt idx="19">
                  <c:v>-57.293341750841762</c:v>
                </c:pt>
                <c:pt idx="20">
                  <c:v>-87.144591750841755</c:v>
                </c:pt>
                <c:pt idx="21">
                  <c:v>-116.99584175084175</c:v>
                </c:pt>
                <c:pt idx="22">
                  <c:v>87.428608040438377</c:v>
                </c:pt>
                <c:pt idx="23">
                  <c:v>71.308608040438372</c:v>
                </c:pt>
                <c:pt idx="24">
                  <c:v>55.188608040438382</c:v>
                </c:pt>
                <c:pt idx="25">
                  <c:v>39.068608040438384</c:v>
                </c:pt>
                <c:pt idx="26">
                  <c:v>22.948608040438387</c:v>
                </c:pt>
                <c:pt idx="27">
                  <c:v>6.8286080404383824</c:v>
                </c:pt>
                <c:pt idx="28">
                  <c:v>-9.2913919595616079</c:v>
                </c:pt>
                <c:pt idx="29">
                  <c:v>-25.411391959561598</c:v>
                </c:pt>
                <c:pt idx="30">
                  <c:v>-41.531391959561603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055B-4A27-B866-0BEA3095D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501792"/>
        <c:axId val="318502352"/>
      </c:scatterChart>
      <c:valAx>
        <c:axId val="318501792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48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8502352"/>
        <c:crosses val="autoZero"/>
        <c:crossBetween val="midCat"/>
        <c:majorUnit val="1"/>
      </c:valAx>
      <c:valAx>
        <c:axId val="31850235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75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85017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39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8"/>
          <c:w val="0.90742455710851644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2950144904096403E-2"/>
                  <c:y val="0.10969304488140677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225-4E98-A86F-CCD3B84BB6FA}"/>
                </c:ext>
              </c:extLst>
            </c:dLbl>
            <c:dLbl>
              <c:idx val="1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225-4E98-A86F-CCD3B84BB6FA}"/>
                </c:ext>
              </c:extLst>
            </c:dLbl>
            <c:dLbl>
              <c:idx val="2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25-4E98-A86F-CCD3B84BB6FA}"/>
                </c:ext>
              </c:extLst>
            </c:dLbl>
            <c:dLbl>
              <c:idx val="3"/>
              <c:layout>
                <c:manualLayout>
                  <c:x val="-3.7234620506346655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25-4E98-A86F-CCD3B84BB6FA}"/>
                </c:ext>
              </c:extLst>
            </c:dLbl>
            <c:dLbl>
              <c:idx val="4"/>
              <c:layout>
                <c:manualLayout>
                  <c:x val="-3.7234620506346655E-2"/>
                  <c:y val="0.11974228108655573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225-4E98-A86F-CCD3B84BB6FA}"/>
                </c:ext>
              </c:extLst>
            </c:dLbl>
            <c:dLbl>
              <c:idx val="5"/>
              <c:layout>
                <c:manualLayout>
                  <c:x val="-3.7234620506346655E-2"/>
                  <c:y val="0.10969304488140677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225-4E98-A86F-CCD3B84BB6FA}"/>
                </c:ext>
              </c:extLst>
            </c:dLbl>
            <c:dLbl>
              <c:idx val="6"/>
              <c:layout>
                <c:manualLayout>
                  <c:x val="-3.7234620506346655E-2"/>
                  <c:y val="0.10969304488140677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225-4E98-A86F-CCD3B84BB6FA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'CCC-car.1'!$AK$54:$AK$59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9.5</c:v>
                </c:pt>
                <c:pt idx="4">
                  <c:v>13.5</c:v>
                </c:pt>
                <c:pt idx="5">
                  <c:v>13.5</c:v>
                </c:pt>
              </c:numCache>
            </c:numRef>
          </c:xVal>
          <c:yVal>
            <c:numRef>
              <c:f>'CCC-car.1'!$AL$54:$AL$59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225-4E98-A86F-CCD3B84BB6FA}"/>
            </c:ext>
          </c:extLst>
        </c:ser>
        <c:ser>
          <c:idx val="6"/>
          <c:order val="1"/>
          <c:tx>
            <c:v>qs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'CCC-car.1'!$AI$17:$AI$21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225-4E98-A86F-CCD3B84BB6FA}"/>
            </c:ext>
          </c:extLst>
        </c:ser>
        <c:ser>
          <c:idx val="7"/>
          <c:order val="2"/>
          <c:tx>
            <c:v>q12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'CCC-car.1'!$AI$24:$AI$28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53.42</c:v>
                </c:pt>
                <c:pt idx="3">
                  <c:v>53.42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225-4E98-A86F-CCD3B84BB6FA}"/>
            </c:ext>
          </c:extLst>
        </c:ser>
        <c:ser>
          <c:idx val="8"/>
          <c:order val="3"/>
          <c:tx>
            <c:v>q23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'CCC-car.1'!$AH$31:$AH$35</c:f>
              <c:numCache>
                <c:formatCode>0.00</c:formatCode>
                <c:ptCount val="5"/>
                <c:pt idx="0">
                  <c:v>4</c:v>
                </c:pt>
                <c:pt idx="1">
                  <c:v>9.5</c:v>
                </c:pt>
                <c:pt idx="2">
                  <c:v>9.5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'CCC-car.1'!$AI$31:$AI$35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53.42</c:v>
                </c:pt>
                <c:pt idx="3">
                  <c:v>53.42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225-4E98-A86F-CCD3B84BB6FA}"/>
            </c:ext>
          </c:extLst>
        </c:ser>
        <c:ser>
          <c:idx val="9"/>
          <c:order val="4"/>
          <c:tx>
            <c:v>q34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'CCC-car.1'!$AH$38:$AH$42</c:f>
              <c:numCache>
                <c:formatCode>0.00</c:formatCode>
                <c:ptCount val="5"/>
                <c:pt idx="0">
                  <c:v>9.5</c:v>
                </c:pt>
                <c:pt idx="1">
                  <c:v>13.5</c:v>
                </c:pt>
                <c:pt idx="2">
                  <c:v>13.5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'CCC-car.1'!$AI$38:$AI$42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53.42</c:v>
                </c:pt>
                <c:pt idx="3">
                  <c:v>53.42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225-4E98-A86F-CCD3B84BB6FA}"/>
            </c:ext>
          </c:extLst>
        </c:ser>
        <c:ser>
          <c:idx val="11"/>
          <c:order val="5"/>
          <c:tx>
            <c:v>qd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'CCC-car.1'!$AI$45:$AI$49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225-4E98-A86F-CCD3B84BB6FA}"/>
            </c:ext>
          </c:extLst>
        </c:ser>
        <c:ser>
          <c:idx val="17"/>
          <c:order val="6"/>
          <c:tx>
            <c:v>2-qs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225-4E98-A86F-CCD3B84BB6FA}"/>
            </c:ext>
          </c:extLst>
        </c:ser>
        <c:ser>
          <c:idx val="18"/>
          <c:order val="7"/>
          <c:tx>
            <c:v>2-q12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225-4E98-A86F-CCD3B84BB6FA}"/>
            </c:ext>
          </c:extLst>
        </c:ser>
        <c:ser>
          <c:idx val="19"/>
          <c:order val="8"/>
          <c:tx>
            <c:v>2-q23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225-4E98-A86F-CCD3B84BB6FA}"/>
            </c:ext>
          </c:extLst>
        </c:ser>
        <c:ser>
          <c:idx val="20"/>
          <c:order val="9"/>
          <c:tx>
            <c:v>2-q34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225-4E98-A86F-CCD3B84BB6FA}"/>
            </c:ext>
          </c:extLst>
        </c:ser>
        <c:ser>
          <c:idx val="21"/>
          <c:order val="10"/>
          <c:tx>
            <c:v>2-q45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225-4E98-A86F-CCD3B84BB6FA}"/>
            </c:ext>
          </c:extLst>
        </c:ser>
        <c:ser>
          <c:idx val="22"/>
          <c:order val="11"/>
          <c:tx>
            <c:v>2-qd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225-4E98-A86F-CCD3B84BB6FA}"/>
            </c:ext>
          </c:extLst>
        </c:ser>
        <c:ser>
          <c:idx val="23"/>
          <c:order val="12"/>
          <c:tx>
            <c:v>3-qs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225-4E98-A86F-CCD3B84BB6FA}"/>
            </c:ext>
          </c:extLst>
        </c:ser>
        <c:ser>
          <c:idx val="24"/>
          <c:order val="13"/>
          <c:tx>
            <c:v>3-q12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225-4E98-A86F-CCD3B84BB6FA}"/>
            </c:ext>
          </c:extLst>
        </c:ser>
        <c:ser>
          <c:idx val="25"/>
          <c:order val="14"/>
          <c:tx>
            <c:v>3-q23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225-4E98-A86F-CCD3B84BB6FA}"/>
            </c:ext>
          </c:extLst>
        </c:ser>
        <c:ser>
          <c:idx val="26"/>
          <c:order val="15"/>
          <c:tx>
            <c:v>3-q34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225-4E98-A86F-CCD3B84BB6FA}"/>
            </c:ext>
          </c:extLst>
        </c:ser>
        <c:ser>
          <c:idx val="27"/>
          <c:order val="16"/>
          <c:tx>
            <c:v>3-q45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225-4E98-A86F-CCD3B84BB6FA}"/>
            </c:ext>
          </c:extLst>
        </c:ser>
        <c:ser>
          <c:idx val="28"/>
          <c:order val="17"/>
          <c:tx>
            <c:v>3-qd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225-4E98-A86F-CCD3B84BB6FA}"/>
            </c:ext>
          </c:extLst>
        </c:ser>
        <c:ser>
          <c:idx val="29"/>
          <c:order val="18"/>
          <c:tx>
            <c:v>4-qs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225-4E98-A86F-CCD3B84BB6FA}"/>
            </c:ext>
          </c:extLst>
        </c:ser>
        <c:ser>
          <c:idx val="30"/>
          <c:order val="19"/>
          <c:tx>
            <c:v>4-q12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225-4E98-A86F-CCD3B84BB6FA}"/>
            </c:ext>
          </c:extLst>
        </c:ser>
        <c:ser>
          <c:idx val="31"/>
          <c:order val="20"/>
          <c:tx>
            <c:v>4-q23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225-4E98-A86F-CCD3B84BB6FA}"/>
            </c:ext>
          </c:extLst>
        </c:ser>
        <c:ser>
          <c:idx val="32"/>
          <c:order val="21"/>
          <c:tx>
            <c:v>4-q34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225-4E98-A86F-CCD3B84BB6FA}"/>
            </c:ext>
          </c:extLst>
        </c:ser>
        <c:ser>
          <c:idx val="33"/>
          <c:order val="22"/>
          <c:tx>
            <c:v>4-q45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225-4E98-A86F-CCD3B84BB6FA}"/>
            </c:ext>
          </c:extLst>
        </c:ser>
        <c:ser>
          <c:idx val="34"/>
          <c:order val="23"/>
          <c:tx>
            <c:v>4-qd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225-4E98-A86F-CCD3B84BB6FA}"/>
            </c:ext>
          </c:extLst>
        </c:ser>
        <c:ser>
          <c:idx val="35"/>
          <c:order val="24"/>
          <c:tx>
            <c:v>5-qs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'CCC-car.5'!$AI$17:$AI$21</c:f>
              <c:numCache>
                <c:formatCode>General</c:formatCode>
                <c:ptCount val="5"/>
                <c:pt idx="0">
                  <c:v>203.68</c:v>
                </c:pt>
                <c:pt idx="1">
                  <c:v>203.68</c:v>
                </c:pt>
                <c:pt idx="2">
                  <c:v>203.68</c:v>
                </c:pt>
                <c:pt idx="3">
                  <c:v>203.68</c:v>
                </c:pt>
                <c:pt idx="4">
                  <c:v>203.68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225-4E98-A86F-CCD3B84BB6FA}"/>
            </c:ext>
          </c:extLst>
        </c:ser>
        <c:ser>
          <c:idx val="36"/>
          <c:order val="25"/>
          <c:tx>
            <c:v>5-q12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'CCC-car.5'!$AI$24:$AI$28</c:f>
              <c:numCache>
                <c:formatCode>General</c:formatCode>
                <c:ptCount val="5"/>
                <c:pt idx="0">
                  <c:v>203.68</c:v>
                </c:pt>
                <c:pt idx="1">
                  <c:v>203.68</c:v>
                </c:pt>
                <c:pt idx="2">
                  <c:v>247.10000000000002</c:v>
                </c:pt>
                <c:pt idx="3">
                  <c:v>247.10000000000002</c:v>
                </c:pt>
                <c:pt idx="4">
                  <c:v>203.68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225-4E98-A86F-CCD3B84BB6FA}"/>
            </c:ext>
          </c:extLst>
        </c:ser>
        <c:ser>
          <c:idx val="37"/>
          <c:order val="26"/>
          <c:tx>
            <c:v>5-q23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'CCC-car.5'!$AH$31:$AH$35</c:f>
              <c:numCache>
                <c:formatCode>0.00</c:formatCode>
                <c:ptCount val="5"/>
                <c:pt idx="0">
                  <c:v>4</c:v>
                </c:pt>
                <c:pt idx="1">
                  <c:v>9.5</c:v>
                </c:pt>
                <c:pt idx="2">
                  <c:v>9.5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'CCC-car.5'!$AI$31:$AI$35</c:f>
              <c:numCache>
                <c:formatCode>General</c:formatCode>
                <c:ptCount val="5"/>
                <c:pt idx="0">
                  <c:v>203.68</c:v>
                </c:pt>
                <c:pt idx="1">
                  <c:v>203.68</c:v>
                </c:pt>
                <c:pt idx="2">
                  <c:v>247.10000000000002</c:v>
                </c:pt>
                <c:pt idx="3">
                  <c:v>247.10000000000002</c:v>
                </c:pt>
                <c:pt idx="4">
                  <c:v>203.68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225-4E98-A86F-CCD3B84BB6FA}"/>
            </c:ext>
          </c:extLst>
        </c:ser>
        <c:ser>
          <c:idx val="38"/>
          <c:order val="27"/>
          <c:tx>
            <c:v>5-q34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'CCC-car.5'!$AH$38:$AH$42</c:f>
              <c:numCache>
                <c:formatCode>0.00</c:formatCode>
                <c:ptCount val="5"/>
                <c:pt idx="0">
                  <c:v>9.5</c:v>
                </c:pt>
                <c:pt idx="1">
                  <c:v>13.5</c:v>
                </c:pt>
                <c:pt idx="2">
                  <c:v>13.5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'CCC-car.5'!$AI$38:$AI$42</c:f>
              <c:numCache>
                <c:formatCode>General</c:formatCode>
                <c:ptCount val="5"/>
                <c:pt idx="0">
                  <c:v>203.68</c:v>
                </c:pt>
                <c:pt idx="1">
                  <c:v>203.68</c:v>
                </c:pt>
                <c:pt idx="2">
                  <c:v>235.92000000000002</c:v>
                </c:pt>
                <c:pt idx="3">
                  <c:v>235.92000000000002</c:v>
                </c:pt>
                <c:pt idx="4">
                  <c:v>203.68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225-4E98-A86F-CCD3B84BB6FA}"/>
            </c:ext>
          </c:extLst>
        </c:ser>
        <c:ser>
          <c:idx val="40"/>
          <c:order val="28"/>
          <c:tx>
            <c:v>5-qd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'CCC-car.5'!$AI$45:$AI$49</c:f>
              <c:numCache>
                <c:formatCode>General</c:formatCode>
                <c:ptCount val="5"/>
                <c:pt idx="0">
                  <c:v>203.68</c:v>
                </c:pt>
                <c:pt idx="1">
                  <c:v>203.68</c:v>
                </c:pt>
                <c:pt idx="2">
                  <c:v>203.68</c:v>
                </c:pt>
                <c:pt idx="3">
                  <c:v>203.68</c:v>
                </c:pt>
                <c:pt idx="4">
                  <c:v>203.68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225-4E98-A86F-CCD3B84BB6FA}"/>
            </c:ext>
          </c:extLst>
        </c:ser>
        <c:ser>
          <c:idx val="1"/>
          <c:order val="29"/>
          <c:tx>
            <c:v>vinccolo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5225-4E98-A86F-CCD3B84BB6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trave'!$A$2:$A$5</c:f>
              <c:numCache>
                <c:formatCode>0.00</c:formatCode>
                <c:ptCount val="4"/>
                <c:pt idx="0">
                  <c:v>0</c:v>
                </c:pt>
                <c:pt idx="1">
                  <c:v>-0.4</c:v>
                </c:pt>
                <c:pt idx="2">
                  <c:v>0.4</c:v>
                </c:pt>
                <c:pt idx="3">
                  <c:v>0</c:v>
                </c:pt>
              </c:numCache>
            </c:numRef>
          </c:xVal>
          <c:yVal>
            <c:numRef>
              <c:f>'CCC-Vincoli trave'!$B$2:$B$5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225-4E98-A86F-CCD3B84BB6FA}"/>
            </c:ext>
          </c:extLst>
        </c:ser>
        <c:ser>
          <c:idx val="2"/>
          <c:order val="30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5225-4E98-A86F-CCD3B84BB6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trave'!$D$2:$D$5</c:f>
              <c:numCache>
                <c:formatCode>0.00</c:formatCode>
                <c:ptCount val="4"/>
                <c:pt idx="0">
                  <c:v>4</c:v>
                </c:pt>
                <c:pt idx="1">
                  <c:v>3.6</c:v>
                </c:pt>
                <c:pt idx="2">
                  <c:v>4.4000000000000004</c:v>
                </c:pt>
                <c:pt idx="3">
                  <c:v>4</c:v>
                </c:pt>
              </c:numCache>
            </c:numRef>
          </c:xVal>
          <c:yVal>
            <c:numRef>
              <c:f>'CCC-Vincoli trave'!$E$2:$E$5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5225-4E98-A86F-CCD3B84BB6FA}"/>
            </c:ext>
          </c:extLst>
        </c:ser>
        <c:ser>
          <c:idx val="3"/>
          <c:order val="31"/>
          <c:tx>
            <c:v>vincolo 3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5225-4E98-A86F-CCD3B84BB6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trave'!$G$2:$G$5</c:f>
              <c:numCache>
                <c:formatCode>0.00</c:formatCode>
                <c:ptCount val="4"/>
                <c:pt idx="0">
                  <c:v>9.5</c:v>
                </c:pt>
                <c:pt idx="1">
                  <c:v>9.1</c:v>
                </c:pt>
                <c:pt idx="2">
                  <c:v>9.9</c:v>
                </c:pt>
                <c:pt idx="3">
                  <c:v>9.5</c:v>
                </c:pt>
              </c:numCache>
            </c:numRef>
          </c:xVal>
          <c:yVal>
            <c:numRef>
              <c:f>'CCC-Vincoli trave'!$H$2:$H$5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5225-4E98-A86F-CCD3B84BB6FA}"/>
            </c:ext>
          </c:extLst>
        </c:ser>
        <c:ser>
          <c:idx val="4"/>
          <c:order val="32"/>
          <c:tx>
            <c:v>vincolo 4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5225-4E98-A86F-CCD3B84BB6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trave'!$J$2:$J$5</c:f>
              <c:numCache>
                <c:formatCode>0.00</c:formatCode>
                <c:ptCount val="4"/>
                <c:pt idx="0">
                  <c:v>13.5</c:v>
                </c:pt>
                <c:pt idx="1">
                  <c:v>13.1</c:v>
                </c:pt>
                <c:pt idx="2">
                  <c:v>13.9</c:v>
                </c:pt>
                <c:pt idx="3">
                  <c:v>13.5</c:v>
                </c:pt>
              </c:numCache>
            </c:numRef>
          </c:xVal>
          <c:yVal>
            <c:numRef>
              <c:f>'CCC-Vincoli trave'!$K$2:$K$5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5225-4E98-A86F-CCD3B84BB6FA}"/>
            </c:ext>
          </c:extLst>
        </c:ser>
        <c:ser>
          <c:idx val="5"/>
          <c:order val="33"/>
          <c:tx>
            <c:v>vincolo 5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4.2518309237671824E-3"/>
                  <c:y val="3.78198494650880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5225-4E98-A86F-CCD3B84BB6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trave'!$M$2:$M$5</c:f>
              <c:numCache>
                <c:formatCode>0.00</c:formatCode>
                <c:ptCount val="4"/>
              </c:numCache>
            </c:numRef>
          </c:xVal>
          <c:yVal>
            <c:numRef>
              <c:f>'CCC-Vincoli trave'!$N$2:$N$5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5225-4E98-A86F-CCD3B84BB6FA}"/>
            </c:ext>
          </c:extLst>
        </c:ser>
        <c:ser>
          <c:idx val="10"/>
          <c:order val="34"/>
          <c:tx>
            <c:v>2-qs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'CCC-car.2'!$AI$17:$AI$21</c:f>
              <c:numCache>
                <c:formatCode>General</c:formatCode>
                <c:ptCount val="5"/>
                <c:pt idx="0">
                  <c:v>58.42</c:v>
                </c:pt>
                <c:pt idx="1">
                  <c:v>58.42</c:v>
                </c:pt>
                <c:pt idx="2">
                  <c:v>58.42</c:v>
                </c:pt>
                <c:pt idx="3">
                  <c:v>58.42</c:v>
                </c:pt>
                <c:pt idx="4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5225-4E98-A86F-CCD3B84BB6FA}"/>
            </c:ext>
          </c:extLst>
        </c:ser>
        <c:ser>
          <c:idx val="12"/>
          <c:order val="35"/>
          <c:tx>
            <c:v>2-q12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'CCC-car.2'!$AI$24:$AI$28</c:f>
              <c:numCache>
                <c:formatCode>General</c:formatCode>
                <c:ptCount val="5"/>
                <c:pt idx="0">
                  <c:v>58.42</c:v>
                </c:pt>
                <c:pt idx="1">
                  <c:v>58.42</c:v>
                </c:pt>
                <c:pt idx="2">
                  <c:v>90.66</c:v>
                </c:pt>
                <c:pt idx="3">
                  <c:v>90.66</c:v>
                </c:pt>
                <c:pt idx="4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5225-4E98-A86F-CCD3B84BB6FA}"/>
            </c:ext>
          </c:extLst>
        </c:ser>
        <c:ser>
          <c:idx val="13"/>
          <c:order val="36"/>
          <c:tx>
            <c:v>2-q23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'CCC-car.2'!$AH$31:$AH$35</c:f>
              <c:numCache>
                <c:formatCode>0.00</c:formatCode>
                <c:ptCount val="5"/>
                <c:pt idx="0">
                  <c:v>4</c:v>
                </c:pt>
                <c:pt idx="1">
                  <c:v>9.5</c:v>
                </c:pt>
                <c:pt idx="2">
                  <c:v>9.5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'CCC-car.2'!$AI$31:$AI$35</c:f>
              <c:numCache>
                <c:formatCode>General</c:formatCode>
                <c:ptCount val="5"/>
                <c:pt idx="0">
                  <c:v>58.42</c:v>
                </c:pt>
                <c:pt idx="1">
                  <c:v>58.42</c:v>
                </c:pt>
                <c:pt idx="2">
                  <c:v>101.84</c:v>
                </c:pt>
                <c:pt idx="3">
                  <c:v>101.84</c:v>
                </c:pt>
                <c:pt idx="4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5225-4E98-A86F-CCD3B84BB6FA}"/>
            </c:ext>
          </c:extLst>
        </c:ser>
        <c:ser>
          <c:idx val="14"/>
          <c:order val="37"/>
          <c:tx>
            <c:v>2-q34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'CCC-car.2'!$AH$38:$AH$42</c:f>
              <c:numCache>
                <c:formatCode>0.00</c:formatCode>
                <c:ptCount val="5"/>
                <c:pt idx="0">
                  <c:v>9.5</c:v>
                </c:pt>
                <c:pt idx="1">
                  <c:v>13.5</c:v>
                </c:pt>
                <c:pt idx="2">
                  <c:v>13.5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'CCC-car.2'!$AI$38:$AI$42</c:f>
              <c:numCache>
                <c:formatCode>General</c:formatCode>
                <c:ptCount val="5"/>
                <c:pt idx="0">
                  <c:v>58.42</c:v>
                </c:pt>
                <c:pt idx="1">
                  <c:v>58.42</c:v>
                </c:pt>
                <c:pt idx="2">
                  <c:v>90.66</c:v>
                </c:pt>
                <c:pt idx="3">
                  <c:v>90.66</c:v>
                </c:pt>
                <c:pt idx="4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5225-4E98-A86F-CCD3B84BB6FA}"/>
            </c:ext>
          </c:extLst>
        </c:ser>
        <c:ser>
          <c:idx val="15"/>
          <c:order val="38"/>
          <c:tx>
            <c:v>2-qd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'CCC-car.2'!$AI$45:$AI$49</c:f>
              <c:numCache>
                <c:formatCode>General</c:formatCode>
                <c:ptCount val="5"/>
                <c:pt idx="0">
                  <c:v>58.42</c:v>
                </c:pt>
                <c:pt idx="1">
                  <c:v>58.42</c:v>
                </c:pt>
                <c:pt idx="2">
                  <c:v>58.42</c:v>
                </c:pt>
                <c:pt idx="3">
                  <c:v>58.42</c:v>
                </c:pt>
                <c:pt idx="4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5225-4E98-A86F-CCD3B84BB6FA}"/>
            </c:ext>
          </c:extLst>
        </c:ser>
        <c:ser>
          <c:idx val="16"/>
          <c:order val="39"/>
          <c:tx>
            <c:v>3-qs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'CCC-car.3'!$AI$17:$AI$21</c:f>
              <c:numCache>
                <c:formatCode>General</c:formatCode>
                <c:ptCount val="5"/>
                <c:pt idx="0">
                  <c:v>106.84</c:v>
                </c:pt>
                <c:pt idx="1">
                  <c:v>106.84</c:v>
                </c:pt>
                <c:pt idx="2">
                  <c:v>106.84</c:v>
                </c:pt>
                <c:pt idx="3">
                  <c:v>106.84</c:v>
                </c:pt>
                <c:pt idx="4">
                  <c:v>106.84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5225-4E98-A86F-CCD3B84BB6FA}"/>
            </c:ext>
          </c:extLst>
        </c:ser>
        <c:ser>
          <c:idx val="41"/>
          <c:order val="40"/>
          <c:tx>
            <c:v>3-q12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'CCC-car.3'!$AI$24:$AI$28</c:f>
              <c:numCache>
                <c:formatCode>General</c:formatCode>
                <c:ptCount val="5"/>
                <c:pt idx="0">
                  <c:v>106.84</c:v>
                </c:pt>
                <c:pt idx="1">
                  <c:v>106.84</c:v>
                </c:pt>
                <c:pt idx="2">
                  <c:v>150.26</c:v>
                </c:pt>
                <c:pt idx="3">
                  <c:v>150.26</c:v>
                </c:pt>
                <c:pt idx="4">
                  <c:v>106.84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5225-4E98-A86F-CCD3B84BB6FA}"/>
            </c:ext>
          </c:extLst>
        </c:ser>
        <c:ser>
          <c:idx val="42"/>
          <c:order val="41"/>
          <c:tx>
            <c:v>3-q23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'CCC-car.3'!$AH$31:$AH$35</c:f>
              <c:numCache>
                <c:formatCode>0.00</c:formatCode>
                <c:ptCount val="5"/>
                <c:pt idx="0">
                  <c:v>4</c:v>
                </c:pt>
                <c:pt idx="1">
                  <c:v>9.5</c:v>
                </c:pt>
                <c:pt idx="2">
                  <c:v>9.5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'CCC-car.3'!$AI$31:$AI$35</c:f>
              <c:numCache>
                <c:formatCode>General</c:formatCode>
                <c:ptCount val="5"/>
                <c:pt idx="0">
                  <c:v>106.84</c:v>
                </c:pt>
                <c:pt idx="1">
                  <c:v>106.84</c:v>
                </c:pt>
                <c:pt idx="2">
                  <c:v>139.07999999999998</c:v>
                </c:pt>
                <c:pt idx="3">
                  <c:v>139.07999999999998</c:v>
                </c:pt>
                <c:pt idx="4">
                  <c:v>106.84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5225-4E98-A86F-CCD3B84BB6FA}"/>
            </c:ext>
          </c:extLst>
        </c:ser>
        <c:ser>
          <c:idx val="43"/>
          <c:order val="42"/>
          <c:tx>
            <c:v>3-q34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'CCC-car.3'!$AH$38:$AH$42</c:f>
              <c:numCache>
                <c:formatCode>0.00</c:formatCode>
                <c:ptCount val="5"/>
                <c:pt idx="0">
                  <c:v>9.5</c:v>
                </c:pt>
                <c:pt idx="1">
                  <c:v>13.5</c:v>
                </c:pt>
                <c:pt idx="2">
                  <c:v>13.5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'CCC-car.3'!$AI$38:$AI$42</c:f>
              <c:numCache>
                <c:formatCode>General</c:formatCode>
                <c:ptCount val="5"/>
                <c:pt idx="0">
                  <c:v>106.84</c:v>
                </c:pt>
                <c:pt idx="1">
                  <c:v>106.84</c:v>
                </c:pt>
                <c:pt idx="2">
                  <c:v>150.26</c:v>
                </c:pt>
                <c:pt idx="3">
                  <c:v>150.26</c:v>
                </c:pt>
                <c:pt idx="4">
                  <c:v>106.84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225-4E98-A86F-CCD3B84BB6FA}"/>
            </c:ext>
          </c:extLst>
        </c:ser>
        <c:ser>
          <c:idx val="44"/>
          <c:order val="43"/>
          <c:tx>
            <c:v>3-qd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'CCC-car.3'!$AI$45:$AI$49</c:f>
              <c:numCache>
                <c:formatCode>General</c:formatCode>
                <c:ptCount val="5"/>
                <c:pt idx="0">
                  <c:v>106.84</c:v>
                </c:pt>
                <c:pt idx="1">
                  <c:v>106.84</c:v>
                </c:pt>
                <c:pt idx="2">
                  <c:v>106.84</c:v>
                </c:pt>
                <c:pt idx="3">
                  <c:v>106.84</c:v>
                </c:pt>
                <c:pt idx="4">
                  <c:v>106.84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5225-4E98-A86F-CCD3B84BB6FA}"/>
            </c:ext>
          </c:extLst>
        </c:ser>
        <c:ser>
          <c:idx val="45"/>
          <c:order val="44"/>
          <c:tx>
            <c:v>4-qs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'CCC-car.4'!$AI$17:$AI$21</c:f>
              <c:numCache>
                <c:formatCode>General</c:formatCode>
                <c:ptCount val="5"/>
                <c:pt idx="0">
                  <c:v>155.26</c:v>
                </c:pt>
                <c:pt idx="1">
                  <c:v>155.26</c:v>
                </c:pt>
                <c:pt idx="2">
                  <c:v>155.26</c:v>
                </c:pt>
                <c:pt idx="3">
                  <c:v>155.26</c:v>
                </c:pt>
                <c:pt idx="4">
                  <c:v>155.26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5225-4E98-A86F-CCD3B84BB6FA}"/>
            </c:ext>
          </c:extLst>
        </c:ser>
        <c:ser>
          <c:idx val="46"/>
          <c:order val="45"/>
          <c:tx>
            <c:v>4-q12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'CCC-car.4'!$AI$24:$AI$28</c:f>
              <c:numCache>
                <c:formatCode>General</c:formatCode>
                <c:ptCount val="5"/>
                <c:pt idx="0">
                  <c:v>155.26</c:v>
                </c:pt>
                <c:pt idx="1">
                  <c:v>155.26</c:v>
                </c:pt>
                <c:pt idx="2">
                  <c:v>187.5</c:v>
                </c:pt>
                <c:pt idx="3">
                  <c:v>187.5</c:v>
                </c:pt>
                <c:pt idx="4">
                  <c:v>155.26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225-4E98-A86F-CCD3B84BB6FA}"/>
            </c:ext>
          </c:extLst>
        </c:ser>
        <c:ser>
          <c:idx val="47"/>
          <c:order val="46"/>
          <c:tx>
            <c:v>4-q23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'CCC-car.4'!$AH$31:$AH$35</c:f>
              <c:numCache>
                <c:formatCode>0.00</c:formatCode>
                <c:ptCount val="5"/>
                <c:pt idx="0">
                  <c:v>4</c:v>
                </c:pt>
                <c:pt idx="1">
                  <c:v>9.5</c:v>
                </c:pt>
                <c:pt idx="2">
                  <c:v>9.5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'CCC-car.4'!$AI$31:$AI$35</c:f>
              <c:numCache>
                <c:formatCode>General</c:formatCode>
                <c:ptCount val="5"/>
                <c:pt idx="0">
                  <c:v>155.26</c:v>
                </c:pt>
                <c:pt idx="1">
                  <c:v>155.26</c:v>
                </c:pt>
                <c:pt idx="2">
                  <c:v>198.68</c:v>
                </c:pt>
                <c:pt idx="3">
                  <c:v>198.68</c:v>
                </c:pt>
                <c:pt idx="4">
                  <c:v>155.26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5225-4E98-A86F-CCD3B84BB6FA}"/>
            </c:ext>
          </c:extLst>
        </c:ser>
        <c:ser>
          <c:idx val="48"/>
          <c:order val="47"/>
          <c:tx>
            <c:v>4-q34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'CCC-car.4'!$AH$38:$AH$42</c:f>
              <c:numCache>
                <c:formatCode>0.00</c:formatCode>
                <c:ptCount val="5"/>
                <c:pt idx="0">
                  <c:v>9.5</c:v>
                </c:pt>
                <c:pt idx="1">
                  <c:v>13.5</c:v>
                </c:pt>
                <c:pt idx="2">
                  <c:v>13.5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'CCC-car.4'!$AI$38:$AI$42</c:f>
              <c:numCache>
                <c:formatCode>General</c:formatCode>
                <c:ptCount val="5"/>
                <c:pt idx="0">
                  <c:v>155.26</c:v>
                </c:pt>
                <c:pt idx="1">
                  <c:v>155.26</c:v>
                </c:pt>
                <c:pt idx="2">
                  <c:v>198.68</c:v>
                </c:pt>
                <c:pt idx="3">
                  <c:v>198.68</c:v>
                </c:pt>
                <c:pt idx="4">
                  <c:v>155.26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5225-4E98-A86F-CCD3B84BB6FA}"/>
            </c:ext>
          </c:extLst>
        </c:ser>
        <c:ser>
          <c:idx val="49"/>
          <c:order val="48"/>
          <c:tx>
            <c:v>4-qd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'CCC-car.4'!$AI$45:$AI$49</c:f>
              <c:numCache>
                <c:formatCode>General</c:formatCode>
                <c:ptCount val="5"/>
                <c:pt idx="0">
                  <c:v>155.26</c:v>
                </c:pt>
                <c:pt idx="1">
                  <c:v>155.26</c:v>
                </c:pt>
                <c:pt idx="2">
                  <c:v>155.26</c:v>
                </c:pt>
                <c:pt idx="3">
                  <c:v>155.26</c:v>
                </c:pt>
                <c:pt idx="4">
                  <c:v>155.26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5225-4E98-A86F-CCD3B84BB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220464"/>
        <c:axId val="319221024"/>
      </c:scatterChart>
      <c:valAx>
        <c:axId val="319220464"/>
        <c:scaling>
          <c:orientation val="minMax"/>
          <c:min val="0"/>
        </c:scaling>
        <c:delete val="1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82734758819"/>
              <c:y val="0.78534972060076269"/>
            </c:manualLayout>
          </c:layout>
          <c:overlay val="0"/>
        </c:title>
        <c:numFmt formatCode="0" sourceLinked="0"/>
        <c:majorTickMark val="out"/>
        <c:minorTickMark val="none"/>
        <c:tickLblPos val="none"/>
        <c:crossAx val="319221024"/>
        <c:crosses val="autoZero"/>
        <c:crossBetween val="midCat"/>
        <c:majorUnit val="1"/>
      </c:valAx>
      <c:valAx>
        <c:axId val="3192210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92204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 orientation="portrait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75"/>
          <c:w val="0.90742455710851666"/>
          <c:h val="0.67859019160259448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9.5</c:v>
                </c:pt>
                <c:pt idx="4">
                  <c:v>13.5</c:v>
                </c:pt>
                <c:pt idx="5">
                  <c:v>13.5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46-476C-BBB8-3EEC6213C79A}"/>
            </c:ext>
          </c:extLst>
        </c:ser>
        <c:ser>
          <c:idx val="1"/>
          <c:order val="1"/>
          <c:tx>
            <c:v>R1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446-476C-BBB8-3EEC6213C7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61.322442602040823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46-476C-BBB8-3EEC6213C79A}"/>
            </c:ext>
          </c:extLst>
        </c:ser>
        <c:ser>
          <c:idx val="2"/>
          <c:order val="2"/>
          <c:tx>
            <c:v>R2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46-476C-BBB8-3EEC6213C7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'CCC-car.1'!$Z$36:$Z$37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231.76255739795917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446-476C-BBB8-3EEC6213C79A}"/>
            </c:ext>
          </c:extLst>
        </c:ser>
        <c:ser>
          <c:idx val="3"/>
          <c:order val="3"/>
          <c:tx>
            <c:v>R3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446-476C-BBB8-3EEC6213C7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'CCC-car.1'!$AB$36:$AB$37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'CCC-car.1'!$AC$36:$AC$37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231.7625573979592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446-476C-BBB8-3EEC6213C79A}"/>
            </c:ext>
          </c:extLst>
        </c:ser>
        <c:ser>
          <c:idx val="4"/>
          <c:order val="4"/>
          <c:tx>
            <c:v>R4</c:v>
          </c:tx>
          <c:spPr>
            <a:ln w="19050">
              <a:solidFill>
                <a:schemeClr val="tx2"/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46-476C-BBB8-3EEC6213C7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'CCC-car.1'!$W$40:$W$41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61.322442602040823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446-476C-BBB8-3EEC6213C79A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446-476C-BBB8-3EEC6213C7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'CCC-car.1'!$Y$40:$Y$41</c:f>
              <c:numCache>
                <c:formatCode>0.00</c:formatCode>
                <c:ptCount val="2"/>
              </c:numCache>
            </c:numRef>
          </c:xVal>
          <c:yVal>
            <c:numRef>
              <c:f>'CCC-car.1'!$Z$40:$Z$41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446-476C-BBB8-3EEC6213C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229424"/>
        <c:axId val="319229984"/>
      </c:scatterChart>
      <c:valAx>
        <c:axId val="319229424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9229984"/>
        <c:crosses val="autoZero"/>
        <c:crossBetween val="midCat"/>
        <c:majorUnit val="1"/>
      </c:valAx>
      <c:valAx>
        <c:axId val="31922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92294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43" l="0.70000000000000062" r="0.70000000000000062" t="0.75000000000001243" header="0.30000000000000032" footer="0.30000000000000032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69"/>
          <c:w val="0.90742455710851688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9.5</c:v>
                </c:pt>
                <c:pt idx="4">
                  <c:v>13.5</c:v>
                </c:pt>
                <c:pt idx="5">
                  <c:v>13.5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56-433D-88C5-30D7ADBAC7B1}"/>
            </c:ext>
          </c:extLst>
        </c:ser>
        <c:ser>
          <c:idx val="1"/>
          <c:order val="1"/>
          <c:tx>
            <c:v>2-R1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956-433D-88C5-30D7ADBAC7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'CCC-car.2'!$W$36:$W$37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40.787748724489788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56-433D-88C5-30D7ADBAC7B1}"/>
            </c:ext>
          </c:extLst>
        </c:ser>
        <c:ser>
          <c:idx val="2"/>
          <c:order val="2"/>
          <c:tx>
            <c:v>2-R2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956-433D-88C5-30D7ADBAC7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'CCC-car.2'!$Z$36:$Z$37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207.57725127551018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56-433D-88C5-30D7ADBAC7B1}"/>
            </c:ext>
          </c:extLst>
        </c:ser>
        <c:ser>
          <c:idx val="3"/>
          <c:order val="3"/>
          <c:tx>
            <c:v>2-R3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956-433D-88C5-30D7ADBAC7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'CCC-car.2'!$AB$36:$AB$37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'CCC-car.2'!$AC$36:$AC$37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207.57725127551021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956-433D-88C5-30D7ADBAC7B1}"/>
            </c:ext>
          </c:extLst>
        </c:ser>
        <c:ser>
          <c:idx val="4"/>
          <c:order val="4"/>
          <c:tx>
            <c:v>2-R4</c:v>
          </c:tx>
          <c:spPr>
            <a:ln w="19050">
              <a:solidFill>
                <a:schemeClr val="accent2"/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956-433D-88C5-30D7ADBAC7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'CCC-car.2'!$W$40:$W$41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40.787748724489788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956-433D-88C5-30D7ADBAC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46096"/>
        <c:axId val="341446656"/>
      </c:scatterChart>
      <c:valAx>
        <c:axId val="34144609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41446656"/>
        <c:crosses val="autoZero"/>
        <c:crossBetween val="midCat"/>
        <c:majorUnit val="1"/>
      </c:valAx>
      <c:valAx>
        <c:axId val="341446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14460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66" l="0.70000000000000062" r="0.70000000000000062" t="0.75000000000001266" header="0.30000000000000032" footer="0.30000000000000032"/>
    <c:pageSetup orientation="portrait"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63"/>
          <c:w val="0.9074245571085171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9.5</c:v>
                </c:pt>
                <c:pt idx="4">
                  <c:v>13.5</c:v>
                </c:pt>
                <c:pt idx="5">
                  <c:v>13.5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0-487D-B017-694DC3EA83FC}"/>
            </c:ext>
          </c:extLst>
        </c:ser>
        <c:ser>
          <c:idx val="1"/>
          <c:order val="1"/>
          <c:tx>
            <c:v>3-R1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750-487D-B017-694DC3EA83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66.067525510204092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50-487D-B017-694DC3EA83FC}"/>
            </c:ext>
          </c:extLst>
        </c:ser>
        <c:ser>
          <c:idx val="2"/>
          <c:order val="2"/>
          <c:tx>
            <c:v>3-R2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50-487D-B017-694DC3EA83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'CCC-car.3'!$Z$36:$Z$37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196.27247448979591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750-487D-B017-694DC3EA83FC}"/>
            </c:ext>
          </c:extLst>
        </c:ser>
        <c:ser>
          <c:idx val="3"/>
          <c:order val="3"/>
          <c:tx>
            <c:v>3-R3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750-487D-B017-694DC3EA83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'CCC-car.3'!$AB$36:$AB$37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'CCC-car.3'!$AC$36:$AC$37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196.27247448979591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750-487D-B017-694DC3EA83FC}"/>
            </c:ext>
          </c:extLst>
        </c:ser>
        <c:ser>
          <c:idx val="4"/>
          <c:order val="4"/>
          <c:tx>
            <c:v>3-R4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50-487D-B017-694DC3EA83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'CCC-car.3'!$W$40:$W$41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66.067525510204092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750-487D-B017-694DC3EA8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51696"/>
        <c:axId val="341452256"/>
      </c:scatterChart>
      <c:valAx>
        <c:axId val="34145169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41452256"/>
        <c:crosses val="autoZero"/>
        <c:crossBetween val="midCat"/>
        <c:majorUnit val="1"/>
      </c:valAx>
      <c:valAx>
        <c:axId val="3414522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1451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88" l="0.70000000000000062" r="0.70000000000000062" t="0.75000000000001288" header="0.30000000000000032" footer="0.30000000000000032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58"/>
          <c:w val="0.90742455710851733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9.5</c:v>
                </c:pt>
                <c:pt idx="4">
                  <c:v>13.5</c:v>
                </c:pt>
                <c:pt idx="5">
                  <c:v>13.5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D8-4AAF-9E40-ABBDBCAAA666}"/>
            </c:ext>
          </c:extLst>
        </c:ser>
        <c:ser>
          <c:idx val="1"/>
          <c:order val="1"/>
          <c:tx>
            <c:v>4-R1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9D8-4AAF-9E40-ABBDBCAAA6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41.531391959561603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D8-4AAF-9E40-ABBDBCAAA666}"/>
            </c:ext>
          </c:extLst>
        </c:ser>
        <c:ser>
          <c:idx val="2"/>
          <c:order val="2"/>
          <c:tx>
            <c:v>4-R2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D8-4AAF-9E40-ABBDBCAAA6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'CCC-car.4'!$Z$36:$Z$37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204.4244497912801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D8-4AAF-9E40-ABBDBCAAA666}"/>
            </c:ext>
          </c:extLst>
        </c:ser>
        <c:ser>
          <c:idx val="3"/>
          <c:order val="3"/>
          <c:tx>
            <c:v>4-R3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9D8-4AAF-9E40-ABBDBCAAA6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'CCC-car.4'!$AB$36:$AB$37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'CCC-car.4'!$AC$36:$AC$37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234.91535888218925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9D8-4AAF-9E40-ABBDBCAAA666}"/>
            </c:ext>
          </c:extLst>
        </c:ser>
        <c:ser>
          <c:idx val="4"/>
          <c:order val="4"/>
          <c:tx>
            <c:v>4-R4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D8-4AAF-9E40-ABBDBCAAA6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'CCC-car.4'!$W$40:$W$41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60.578799366969015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9D8-4AAF-9E40-ABBDBCAAA666}"/>
            </c:ext>
          </c:extLst>
        </c:ser>
        <c:ser>
          <c:idx val="5"/>
          <c:order val="5"/>
          <c:tx>
            <c:v>4-R5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9D8-4AAF-9E40-ABBDBCAAA6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9D8-4AAF-9E40-ABBDBCAAA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57856"/>
        <c:axId val="341458416"/>
      </c:scatterChart>
      <c:valAx>
        <c:axId val="34145785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41458416"/>
        <c:crosses val="autoZero"/>
        <c:crossBetween val="midCat"/>
        <c:majorUnit val="1"/>
      </c:valAx>
      <c:valAx>
        <c:axId val="34145841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1457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52"/>
          <c:w val="0.90742455710851755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9.5</c:v>
                </c:pt>
                <c:pt idx="4">
                  <c:v>13.5</c:v>
                </c:pt>
                <c:pt idx="5">
                  <c:v>13.5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71-4847-93E2-47A1A6507F1E}"/>
            </c:ext>
          </c:extLst>
        </c:ser>
        <c:ser>
          <c:idx val="1"/>
          <c:order val="1"/>
          <c:tx>
            <c:v>5-R1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71-4847-93E2-47A1A6507F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60.578799366969008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71-4847-93E2-47A1A6507F1E}"/>
            </c:ext>
          </c:extLst>
        </c:ser>
        <c:ser>
          <c:idx val="2"/>
          <c:order val="2"/>
          <c:tx>
            <c:v>5-R2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71-4847-93E2-47A1A6507F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'CCC-car.5'!$Z$36:$Z$37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234.91535888218925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71-4847-93E2-47A1A6507F1E}"/>
            </c:ext>
          </c:extLst>
        </c:ser>
        <c:ser>
          <c:idx val="3"/>
          <c:order val="3"/>
          <c:tx>
            <c:v>5-R3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71-4847-93E2-47A1A6507F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'CCC-car.5'!$AB$36:$AB$37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'CCC-car.5'!$AC$36:$AC$37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204.42444979128013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71-4847-93E2-47A1A6507F1E}"/>
            </c:ext>
          </c:extLst>
        </c:ser>
        <c:ser>
          <c:idx val="4"/>
          <c:order val="4"/>
          <c:tx>
            <c:v>5-R4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71-4847-93E2-47A1A6507F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'CCC-car.5'!$W$40:$W$41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41.531391959561596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71-4847-93E2-47A1A6507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63456"/>
        <c:axId val="341464016"/>
      </c:scatterChart>
      <c:valAx>
        <c:axId val="34146345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41464016"/>
        <c:crosses val="autoZero"/>
        <c:crossBetween val="midCat"/>
        <c:majorUnit val="1"/>
      </c:valAx>
      <c:valAx>
        <c:axId val="34146401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14634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 orientation="portrait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7423330216279029E-2"/>
          <c:y val="9.9061975819114148E-2"/>
          <c:w val="0.8428226862835777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'CCC-car.1'!$AD$47:$AD$81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'CCC-car.1'!$AE$47:$AE$81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25.23372130102041</c:v>
                </c:pt>
                <c:pt idx="6">
                  <c:v>39.612442602040822</c:v>
                </c:pt>
                <c:pt idx="7">
                  <c:v>43.136163903061224</c:v>
                </c:pt>
                <c:pt idx="8">
                  <c:v>35.804885204081643</c:v>
                </c:pt>
                <c:pt idx="9">
                  <c:v>17.618606505102065</c:v>
                </c:pt>
                <c:pt idx="10">
                  <c:v>-11.42267219387756</c:v>
                </c:pt>
                <c:pt idx="11">
                  <c:v>-51.318950892857117</c:v>
                </c:pt>
                <c:pt idx="12">
                  <c:v>-102.07022959183672</c:v>
                </c:pt>
                <c:pt idx="13">
                  <c:v>-102.07022959183672</c:v>
                </c:pt>
                <c:pt idx="14">
                  <c:v>-30.240659279336725</c:v>
                </c:pt>
                <c:pt idx="15">
                  <c:v>21.066176658163272</c:v>
                </c:pt>
                <c:pt idx="16">
                  <c:v>51.850278220663256</c:v>
                </c:pt>
                <c:pt idx="17">
                  <c:v>62.111645408163213</c:v>
                </c:pt>
                <c:pt idx="18">
                  <c:v>51.850278220663256</c:v>
                </c:pt>
                <c:pt idx="19">
                  <c:v>21.066176658163215</c:v>
                </c:pt>
                <c:pt idx="20">
                  <c:v>-30.240659279336796</c:v>
                </c:pt>
                <c:pt idx="21">
                  <c:v>-102.07022959183678</c:v>
                </c:pt>
                <c:pt idx="22">
                  <c:v>-102.07022959183672</c:v>
                </c:pt>
                <c:pt idx="23">
                  <c:v>-51.318950892857124</c:v>
                </c:pt>
                <c:pt idx="24">
                  <c:v>-11.422672193877546</c:v>
                </c:pt>
                <c:pt idx="25">
                  <c:v>17.618606505102065</c:v>
                </c:pt>
                <c:pt idx="26">
                  <c:v>35.804885204081643</c:v>
                </c:pt>
                <c:pt idx="27">
                  <c:v>43.136163903061231</c:v>
                </c:pt>
                <c:pt idx="28">
                  <c:v>39.612442602040801</c:v>
                </c:pt>
                <c:pt idx="29">
                  <c:v>25.23372130102041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34-49F6-8DCD-C4AC74DE90F1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D234-49F6-8DCD-C4AC74DE90F1}"/>
              </c:ext>
            </c:extLst>
          </c:dPt>
          <c:dLbls>
            <c:delete val="1"/>
          </c:dLbls>
          <c:xVal>
            <c:numRef>
              <c:f>'CCC-car.1'!$AK$17:$AK$18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234-49F6-8DCD-C4AC74DE90F1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6-D234-49F6-8DCD-C4AC74DE90F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'CCC-car.1'!$AL$19:$AL$20</c:f>
              <c:numCache>
                <c:formatCode>0.00</c:formatCode>
                <c:ptCount val="2"/>
                <c:pt idx="0">
                  <c:v>0</c:v>
                </c:pt>
                <c:pt idx="1">
                  <c:v>-102.07022959183672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234-49F6-8DCD-C4AC74DE90F1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D234-49F6-8DCD-C4AC74DE90F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'CCC-car.1'!$AK$21:$AK$22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'CCC-car.1'!$AL$21:$AL$22</c:f>
              <c:numCache>
                <c:formatCode>0.00</c:formatCode>
                <c:ptCount val="2"/>
                <c:pt idx="0">
                  <c:v>0</c:v>
                </c:pt>
                <c:pt idx="1">
                  <c:v>-102.07022959183678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234-49F6-8DCD-C4AC74DE90F1}"/>
            </c:ext>
          </c:extLst>
        </c:ser>
        <c:ser>
          <c:idx val="4"/>
          <c:order val="4"/>
          <c:tx>
            <c:v>app4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'CCC-car.1'!$AK$23:$AK$24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'CCC-car.1'!$AL$23:$AL$24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234-49F6-8DCD-C4AC74DE90F1}"/>
            </c:ext>
          </c:extLst>
        </c:ser>
        <c:ser>
          <c:idx val="10"/>
          <c:order val="5"/>
          <c:tx>
            <c:v>camp1-2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'CCC-car.1'!$AK$40:$AK$41</c:f>
              <c:numCache>
                <c:formatCode>0.00</c:formatCode>
                <c:ptCount val="2"/>
                <c:pt idx="0">
                  <c:v>1.4123086734693879</c:v>
                </c:pt>
                <c:pt idx="1">
                  <c:v>1.4123086734693879</c:v>
                </c:pt>
              </c:numCache>
            </c:numRef>
          </c:xVal>
          <c:yVal>
            <c:numRef>
              <c:f>'CCC-car.1'!$AL$40:$AL$41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43.30310878259548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234-49F6-8DCD-C4AC74DE90F1}"/>
            </c:ext>
          </c:extLst>
        </c:ser>
        <c:ser>
          <c:idx val="11"/>
          <c:order val="6"/>
          <c:tx>
            <c:v>camp.2-3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'CCC-car.1'!$AK$42:$AK$43</c:f>
              <c:numCache>
                <c:formatCode>0.00</c:formatCode>
                <c:ptCount val="2"/>
                <c:pt idx="0">
                  <c:v>6.75</c:v>
                </c:pt>
                <c:pt idx="1">
                  <c:v>6.75</c:v>
                </c:pt>
              </c:numCache>
            </c:numRef>
          </c:xVal>
          <c:yVal>
            <c:numRef>
              <c:f>'CCC-car.1'!$AL$42:$AL$43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62.111645408163241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234-49F6-8DCD-C4AC74DE90F1}"/>
            </c:ext>
          </c:extLst>
        </c:ser>
        <c:ser>
          <c:idx val="12"/>
          <c:order val="7"/>
          <c:tx>
            <c:v>camp.3-4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'CCC-car.1'!$AK$44:$AK$45</c:f>
              <c:numCache>
                <c:formatCode>0.00</c:formatCode>
                <c:ptCount val="2"/>
                <c:pt idx="0">
                  <c:v>12.087691326530612</c:v>
                </c:pt>
                <c:pt idx="1">
                  <c:v>12.087691326530612</c:v>
                </c:pt>
              </c:numCache>
            </c:numRef>
          </c:xVal>
          <c:yVal>
            <c:numRef>
              <c:f>'CCC-car.1'!$AL$44:$AL$45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43.303108782595416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D234-49F6-8DCD-C4AC74DE90F1}"/>
            </c:ext>
          </c:extLst>
        </c:ser>
        <c:ser>
          <c:idx val="5"/>
          <c:order val="8"/>
          <c:tx>
            <c:v>M2(x)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'CCC-car.2'!$AD$47:$AD$81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'CCC-car.2'!$AE$47:$AE$81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16.363874362244893</c:v>
                </c:pt>
                <c:pt idx="6">
                  <c:v>24.66774872448979</c:v>
                </c:pt>
                <c:pt idx="7">
                  <c:v>24.911623086734686</c:v>
                </c:pt>
                <c:pt idx="8">
                  <c:v>17.095497448979586</c:v>
                </c:pt>
                <c:pt idx="9">
                  <c:v>1.2193718112244909</c:v>
                </c:pt>
                <c:pt idx="10">
                  <c:v>-22.716753826530621</c:v>
                </c:pt>
                <c:pt idx="11">
                  <c:v>-54.71287946428572</c:v>
                </c:pt>
                <c:pt idx="12">
                  <c:v>-94.769005102040808</c:v>
                </c:pt>
                <c:pt idx="13">
                  <c:v>-94.769005102040808</c:v>
                </c:pt>
                <c:pt idx="14">
                  <c:v>-22.939434789540812</c:v>
                </c:pt>
                <c:pt idx="15">
                  <c:v>28.367401147959185</c:v>
                </c:pt>
                <c:pt idx="16">
                  <c:v>59.15150271045917</c:v>
                </c:pt>
                <c:pt idx="17">
                  <c:v>69.412869897959126</c:v>
                </c:pt>
                <c:pt idx="18">
                  <c:v>59.15150271045917</c:v>
                </c:pt>
                <c:pt idx="19">
                  <c:v>28.367401147959129</c:v>
                </c:pt>
                <c:pt idx="20">
                  <c:v>-22.939434789540883</c:v>
                </c:pt>
                <c:pt idx="21">
                  <c:v>-94.769005102040865</c:v>
                </c:pt>
                <c:pt idx="22">
                  <c:v>-94.769005102040808</c:v>
                </c:pt>
                <c:pt idx="23">
                  <c:v>-54.712879464285713</c:v>
                </c:pt>
                <c:pt idx="24">
                  <c:v>-22.716753826530621</c:v>
                </c:pt>
                <c:pt idx="25">
                  <c:v>1.2193718112245051</c:v>
                </c:pt>
                <c:pt idx="26">
                  <c:v>17.095497448979586</c:v>
                </c:pt>
                <c:pt idx="27">
                  <c:v>24.911623086734664</c:v>
                </c:pt>
                <c:pt idx="28">
                  <c:v>24.667748724489797</c:v>
                </c:pt>
                <c:pt idx="29">
                  <c:v>16.363874362244871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D234-49F6-8DCD-C4AC74DE90F1}"/>
            </c:ext>
          </c:extLst>
        </c:ser>
        <c:ser>
          <c:idx val="6"/>
          <c:order val="9"/>
          <c:tx>
            <c:v>2-app.1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'CCC-car.2'!$AK$17:$AK$18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'CCC-car.2'!$AL$17:$AL$18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D234-49F6-8DCD-C4AC74DE90F1}"/>
            </c:ext>
          </c:extLst>
        </c:ser>
        <c:ser>
          <c:idx val="7"/>
          <c:order val="10"/>
          <c:tx>
            <c:v>2-app.2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'CCC-car.2'!$AL$19:$AL$20</c:f>
              <c:numCache>
                <c:formatCode>0.00</c:formatCode>
                <c:ptCount val="2"/>
                <c:pt idx="0">
                  <c:v>0</c:v>
                </c:pt>
                <c:pt idx="1">
                  <c:v>-94.769005102040808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D234-49F6-8DCD-C4AC74DE90F1}"/>
            </c:ext>
          </c:extLst>
        </c:ser>
        <c:ser>
          <c:idx val="8"/>
          <c:order val="11"/>
          <c:tx>
            <c:v>2-app.3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'CCC-car.2'!$AK$21:$AK$22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'CCC-car.2'!$AL$21:$AL$22</c:f>
              <c:numCache>
                <c:formatCode>0.00</c:formatCode>
                <c:ptCount val="2"/>
                <c:pt idx="0">
                  <c:v>0</c:v>
                </c:pt>
                <c:pt idx="1">
                  <c:v>-94.769005102040865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234-49F6-8DCD-C4AC74DE90F1}"/>
            </c:ext>
          </c:extLst>
        </c:ser>
        <c:ser>
          <c:idx val="9"/>
          <c:order val="12"/>
          <c:tx>
            <c:v>2-app.4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'CCC-car.2'!$AK$23:$AK$24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'CCC-car.2'!$AL$23:$AL$24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D234-49F6-8DCD-C4AC74DE90F1}"/>
            </c:ext>
          </c:extLst>
        </c:ser>
        <c:ser>
          <c:idx val="13"/>
          <c:order val="13"/>
          <c:tx>
            <c:v>2-camp.1-2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'CCC-car.2'!$AK$40:$AK$41</c:f>
              <c:numCache>
                <c:formatCode>0.00</c:formatCode>
                <c:ptCount val="2"/>
                <c:pt idx="0">
                  <c:v>1.2651286825213957</c:v>
                </c:pt>
                <c:pt idx="1">
                  <c:v>1.2651286825213957</c:v>
                </c:pt>
              </c:numCache>
            </c:numRef>
          </c:xVal>
          <c:yVal>
            <c:numRef>
              <c:f>'CCC-car.2'!$AL$40:$AL$41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25.800875403413752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D234-49F6-8DCD-C4AC74DE90F1}"/>
            </c:ext>
          </c:extLst>
        </c:ser>
        <c:ser>
          <c:idx val="14"/>
          <c:order val="14"/>
          <c:tx>
            <c:v>2-camp.2-3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'CCC-car.2'!$AK$42:$AK$43</c:f>
              <c:numCache>
                <c:formatCode>0.00</c:formatCode>
                <c:ptCount val="2"/>
                <c:pt idx="0">
                  <c:v>6.75</c:v>
                </c:pt>
                <c:pt idx="1">
                  <c:v>6.75</c:v>
                </c:pt>
              </c:numCache>
            </c:numRef>
          </c:xVal>
          <c:yVal>
            <c:numRef>
              <c:f>'CCC-car.2'!$AL$42:$AL$43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69.412869897959155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D234-49F6-8DCD-C4AC74DE90F1}"/>
            </c:ext>
          </c:extLst>
        </c:ser>
        <c:ser>
          <c:idx val="15"/>
          <c:order val="15"/>
          <c:tx>
            <c:v>2-camp.3-4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'CCC-car.2'!$AK$44:$AK$45</c:f>
              <c:numCache>
                <c:formatCode>0.00</c:formatCode>
                <c:ptCount val="2"/>
                <c:pt idx="0">
                  <c:v>12.234871317478603</c:v>
                </c:pt>
                <c:pt idx="1">
                  <c:v>12.234871317478603</c:v>
                </c:pt>
              </c:numCache>
            </c:numRef>
          </c:xVal>
          <c:yVal>
            <c:numRef>
              <c:f>'CCC-car.2'!$AL$44:$AL$45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25.80087540341367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D234-49F6-8DCD-C4AC74DE90F1}"/>
            </c:ext>
          </c:extLst>
        </c:ser>
        <c:ser>
          <c:idx val="16"/>
          <c:order val="16"/>
          <c:tx>
            <c:v>M3(x)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'CCC-car.3'!$AD$47:$AD$81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'CCC-car.3'!$AE$47:$AE$81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27.606262755102044</c:v>
                </c:pt>
                <c:pt idx="6">
                  <c:v>44.357525510204091</c:v>
                </c:pt>
                <c:pt idx="7">
                  <c:v>50.253788265306135</c:v>
                </c:pt>
                <c:pt idx="8">
                  <c:v>45.295051020408181</c:v>
                </c:pt>
                <c:pt idx="9">
                  <c:v>29.481313775510216</c:v>
                </c:pt>
                <c:pt idx="10">
                  <c:v>2.8125765306122616</c:v>
                </c:pt>
                <c:pt idx="11">
                  <c:v>-34.711160714285654</c:v>
                </c:pt>
                <c:pt idx="12">
                  <c:v>-83.089897959183645</c:v>
                </c:pt>
                <c:pt idx="13">
                  <c:v>-83.089897959183673</c:v>
                </c:pt>
                <c:pt idx="14">
                  <c:v>-29.75536670918369</c:v>
                </c:pt>
                <c:pt idx="15">
                  <c:v>8.3407270408163043</c:v>
                </c:pt>
                <c:pt idx="16">
                  <c:v>31.198383290816281</c:v>
                </c:pt>
                <c:pt idx="17">
                  <c:v>38.817602040816269</c:v>
                </c:pt>
                <c:pt idx="18">
                  <c:v>31.198383290816309</c:v>
                </c:pt>
                <c:pt idx="19">
                  <c:v>8.3407270408162617</c:v>
                </c:pt>
                <c:pt idx="20">
                  <c:v>-29.755366709183647</c:v>
                </c:pt>
                <c:pt idx="21">
                  <c:v>-83.089897959183759</c:v>
                </c:pt>
                <c:pt idx="22">
                  <c:v>-83.089897959183673</c:v>
                </c:pt>
                <c:pt idx="23">
                  <c:v>-34.711160714285711</c:v>
                </c:pt>
                <c:pt idx="24">
                  <c:v>2.8125765306122332</c:v>
                </c:pt>
                <c:pt idx="25">
                  <c:v>29.481313775510216</c:v>
                </c:pt>
                <c:pt idx="26">
                  <c:v>45.295051020408152</c:v>
                </c:pt>
                <c:pt idx="27">
                  <c:v>50.253788265306099</c:v>
                </c:pt>
                <c:pt idx="28">
                  <c:v>44.357525510204084</c:v>
                </c:pt>
                <c:pt idx="29">
                  <c:v>27.60626275510208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D234-49F6-8DCD-C4AC74DE90F1}"/>
            </c:ext>
          </c:extLst>
        </c:ser>
        <c:ser>
          <c:idx val="17"/>
          <c:order val="17"/>
          <c:tx>
            <c:v>3-app.1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'CCC-car.3'!$AK$17:$AK$18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D234-49F6-8DCD-C4AC74DE90F1}"/>
            </c:ext>
          </c:extLst>
        </c:ser>
        <c:ser>
          <c:idx val="18"/>
          <c:order val="18"/>
          <c:tx>
            <c:v>3-app.2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'CCC-car.3'!$AL$19:$AL$20</c:f>
              <c:numCache>
                <c:formatCode>0.00</c:formatCode>
                <c:ptCount val="2"/>
                <c:pt idx="0">
                  <c:v>0</c:v>
                </c:pt>
                <c:pt idx="1">
                  <c:v>-83.089897959183645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234-49F6-8DCD-C4AC74DE90F1}"/>
            </c:ext>
          </c:extLst>
        </c:ser>
        <c:ser>
          <c:idx val="19"/>
          <c:order val="19"/>
          <c:tx>
            <c:v>3-app.3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'CCC-car.3'!$AK$21:$AK$22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'CCC-car.3'!$AL$21:$AL$22</c:f>
              <c:numCache>
                <c:formatCode>0.00</c:formatCode>
                <c:ptCount val="2"/>
                <c:pt idx="0">
                  <c:v>0</c:v>
                </c:pt>
                <c:pt idx="1">
                  <c:v>-83.089897959183759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D234-49F6-8DCD-C4AC74DE90F1}"/>
            </c:ext>
          </c:extLst>
        </c:ser>
        <c:ser>
          <c:idx val="20"/>
          <c:order val="20"/>
          <c:tx>
            <c:v>3-app.4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'CCC-car.3'!$AK$23:$AK$24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'CCC-car.3'!$AL$23:$AL$24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D234-49F6-8DCD-C4AC74DE90F1}"/>
            </c:ext>
          </c:extLst>
        </c:ser>
        <c:ser>
          <c:idx val="21"/>
          <c:order val="21"/>
          <c:tx>
            <c:v>3-camp.1-2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'CCC-car.3'!$AK$40:$AK$41</c:f>
              <c:numCache>
                <c:formatCode>0.00</c:formatCode>
                <c:ptCount val="2"/>
                <c:pt idx="0">
                  <c:v>1.5215920200415498</c:v>
                </c:pt>
                <c:pt idx="1">
                  <c:v>1.5215920200415498</c:v>
                </c:pt>
              </c:numCache>
            </c:numRef>
          </c:xVal>
          <c:yVal>
            <c:numRef>
              <c:f>'CCC-car.3'!$AL$40:$AL$41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50.263909800109033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D234-49F6-8DCD-C4AC74DE90F1}"/>
            </c:ext>
          </c:extLst>
        </c:ser>
        <c:ser>
          <c:idx val="22"/>
          <c:order val="22"/>
          <c:tx>
            <c:v>3-camp.2-3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'CCC-car.3'!$AK$42:$AK$43</c:f>
              <c:numCache>
                <c:formatCode>0.00</c:formatCode>
                <c:ptCount val="2"/>
                <c:pt idx="0">
                  <c:v>6.75</c:v>
                </c:pt>
                <c:pt idx="1">
                  <c:v>6.75</c:v>
                </c:pt>
              </c:numCache>
            </c:numRef>
          </c:xVal>
          <c:yVal>
            <c:numRef>
              <c:f>'CCC-car.3'!$AL$42:$AL$43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38.817602040816311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D234-49F6-8DCD-C4AC74DE90F1}"/>
            </c:ext>
          </c:extLst>
        </c:ser>
        <c:ser>
          <c:idx val="23"/>
          <c:order val="23"/>
          <c:tx>
            <c:v>3-camp.3-4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'CCC-car.3'!$AK$44:$AK$45</c:f>
              <c:numCache>
                <c:formatCode>0.00</c:formatCode>
                <c:ptCount val="2"/>
                <c:pt idx="0">
                  <c:v>11.978407979958451</c:v>
                </c:pt>
                <c:pt idx="1">
                  <c:v>11.978407979958451</c:v>
                </c:pt>
              </c:numCache>
            </c:numRef>
          </c:xVal>
          <c:yVal>
            <c:numRef>
              <c:f>'CCC-car.3'!$AL$44:$AL$45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50.263909800108905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D234-49F6-8DCD-C4AC74DE90F1}"/>
            </c:ext>
          </c:extLst>
        </c:ser>
        <c:ser>
          <c:idx val="24"/>
          <c:order val="24"/>
          <c:tx>
            <c:v>M4(x)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'CCC-car.4'!$AD$47:$AD$81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'CCC-car.4'!$AE$47:$AE$81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16.7356959797808</c:v>
                </c:pt>
                <c:pt idx="6">
                  <c:v>25.411391959561605</c:v>
                </c:pt>
                <c:pt idx="7">
                  <c:v>26.027087939342408</c:v>
                </c:pt>
                <c:pt idx="8">
                  <c:v>18.582783919123216</c:v>
                </c:pt>
                <c:pt idx="9">
                  <c:v>3.0784798989040212</c:v>
                </c:pt>
                <c:pt idx="10">
                  <c:v>-20.485824121315176</c:v>
                </c:pt>
                <c:pt idx="11">
                  <c:v>-52.110128141534346</c:v>
                </c:pt>
                <c:pt idx="12">
                  <c:v>-91.794432161753548</c:v>
                </c:pt>
                <c:pt idx="13">
                  <c:v>-91.794432161753576</c:v>
                </c:pt>
                <c:pt idx="14">
                  <c:v>-21.621158145549884</c:v>
                </c:pt>
                <c:pt idx="15">
                  <c:v>28.029381495653809</c:v>
                </c:pt>
                <c:pt idx="16">
                  <c:v>57.157186761857503</c:v>
                </c:pt>
                <c:pt idx="17">
                  <c:v>65.76225765306117</c:v>
                </c:pt>
                <c:pt idx="18">
                  <c:v>53.844594169264894</c:v>
                </c:pt>
                <c:pt idx="19">
                  <c:v>21.404196310468592</c:v>
                </c:pt>
                <c:pt idx="20">
                  <c:v>-31.558935923327795</c:v>
                </c:pt>
                <c:pt idx="21">
                  <c:v>-105.04480253212409</c:v>
                </c:pt>
                <c:pt idx="22">
                  <c:v>-105.04480253212395</c:v>
                </c:pt>
                <c:pt idx="23">
                  <c:v>-53.921702215608448</c:v>
                </c:pt>
                <c:pt idx="24">
                  <c:v>-13.653601899092962</c:v>
                </c:pt>
                <c:pt idx="25">
                  <c:v>15.759498417422549</c:v>
                </c:pt>
                <c:pt idx="26">
                  <c:v>34.317598733938041</c:v>
                </c:pt>
                <c:pt idx="27">
                  <c:v>42.020699050453544</c:v>
                </c:pt>
                <c:pt idx="28">
                  <c:v>38.868799366969029</c:v>
                </c:pt>
                <c:pt idx="29">
                  <c:v>24.861899683484523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D234-49F6-8DCD-C4AC74DE90F1}"/>
            </c:ext>
          </c:extLst>
        </c:ser>
        <c:ser>
          <c:idx val="25"/>
          <c:order val="25"/>
          <c:tx>
            <c:v>4-app.1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'CCC-car.4'!$AK$17:$AK$18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D234-49F6-8DCD-C4AC74DE90F1}"/>
            </c:ext>
          </c:extLst>
        </c:ser>
        <c:ser>
          <c:idx val="26"/>
          <c:order val="26"/>
          <c:tx>
            <c:v>4-app.2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'CCC-car.4'!$AL$19:$AL$20</c:f>
              <c:numCache>
                <c:formatCode>0.00</c:formatCode>
                <c:ptCount val="2"/>
                <c:pt idx="0">
                  <c:v>0</c:v>
                </c:pt>
                <c:pt idx="1">
                  <c:v>-91.794432161753548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D234-49F6-8DCD-C4AC74DE90F1}"/>
            </c:ext>
          </c:extLst>
        </c:ser>
        <c:ser>
          <c:idx val="27"/>
          <c:order val="27"/>
          <c:tx>
            <c:v>4-app.3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'CCC-car.4'!$AK$21:$AK$22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'CCC-car.4'!$AL$21:$AL$22</c:f>
              <c:numCache>
                <c:formatCode>0.00</c:formatCode>
                <c:ptCount val="2"/>
                <c:pt idx="0">
                  <c:v>0</c:v>
                </c:pt>
                <c:pt idx="1">
                  <c:v>-105.04480253212409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D234-49F6-8DCD-C4AC74DE90F1}"/>
            </c:ext>
          </c:extLst>
        </c:ser>
        <c:ser>
          <c:idx val="28"/>
          <c:order val="28"/>
          <c:tx>
            <c:v>4-app.4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'CCC-car.4'!$AK$23:$AK$24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'CCC-car.4'!$AL$23:$AL$24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D234-49F6-8DCD-C4AC74DE90F1}"/>
            </c:ext>
          </c:extLst>
        </c:ser>
        <c:ser>
          <c:idx val="29"/>
          <c:order val="29"/>
          <c:tx>
            <c:v>4-camp.1-2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'CCC-car.4'!$AK$40:$AK$41</c:f>
              <c:numCache>
                <c:formatCode>0.00</c:formatCode>
                <c:ptCount val="2"/>
                <c:pt idx="0">
                  <c:v>1.2881945396886356</c:v>
                </c:pt>
                <c:pt idx="1">
                  <c:v>1.2881945396886356</c:v>
                </c:pt>
              </c:numCache>
            </c:numRef>
          </c:xVal>
          <c:yVal>
            <c:numRef>
              <c:f>'CCC-car.4'!$AL$40:$AL$41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26.750256173987882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D234-49F6-8DCD-C4AC74DE90F1}"/>
            </c:ext>
          </c:extLst>
        </c:ser>
        <c:ser>
          <c:idx val="30"/>
          <c:order val="30"/>
          <c:tx>
            <c:v>4-camp.2-3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'CCC-car.4'!$AK$42:$AK$43</c:f>
              <c:numCache>
                <c:formatCode>0.00</c:formatCode>
                <c:ptCount val="2"/>
                <c:pt idx="0">
                  <c:v>6.6945150103832738</c:v>
                </c:pt>
                <c:pt idx="1">
                  <c:v>6.6945150103832738</c:v>
                </c:pt>
              </c:numCache>
            </c:numRef>
          </c:xVal>
          <c:yVal>
            <c:numRef>
              <c:f>'CCC-car.4'!$AL$42:$AL$43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65.829093713281054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D234-49F6-8DCD-C4AC74DE90F1}"/>
            </c:ext>
          </c:extLst>
        </c:ser>
        <c:ser>
          <c:idx val="31"/>
          <c:order val="31"/>
          <c:tx>
            <c:v>4-camp.3-4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'CCC-car.4'!$AK$44:$AK$45</c:f>
              <c:numCache>
                <c:formatCode>0.00</c:formatCode>
                <c:ptCount val="2"/>
                <c:pt idx="0">
                  <c:v>12.104818070774551</c:v>
                </c:pt>
                <c:pt idx="1">
                  <c:v>12.104818070774551</c:v>
                </c:pt>
              </c:numCache>
            </c:numRef>
          </c:xVal>
          <c:yVal>
            <c:numRef>
              <c:f>'CCC-car.4'!$AL$44:$AL$45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42.259223085484479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D234-49F6-8DCD-C4AC74DE90F1}"/>
            </c:ext>
          </c:extLst>
        </c:ser>
        <c:ser>
          <c:idx val="32"/>
          <c:order val="32"/>
          <c:tx>
            <c:v>M5(x)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'CCC-car.5'!$AD$47:$AD$81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'CCC-car.5'!$AE$47:$AE$81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24.861899683484502</c:v>
                </c:pt>
                <c:pt idx="6">
                  <c:v>38.868799366969007</c:v>
                </c:pt>
                <c:pt idx="7">
                  <c:v>42.020699050453509</c:v>
                </c:pt>
                <c:pt idx="8">
                  <c:v>34.317598733938013</c:v>
                </c:pt>
                <c:pt idx="9">
                  <c:v>15.75949841742252</c:v>
                </c:pt>
                <c:pt idx="10">
                  <c:v>-13.65360189909299</c:v>
                </c:pt>
                <c:pt idx="11">
                  <c:v>-53.921702215608462</c:v>
                </c:pt>
                <c:pt idx="12">
                  <c:v>-105.04480253212398</c:v>
                </c:pt>
                <c:pt idx="13">
                  <c:v>-105.04480253212395</c:v>
                </c:pt>
                <c:pt idx="14">
                  <c:v>-31.558935923327653</c:v>
                </c:pt>
                <c:pt idx="15">
                  <c:v>21.404196310468649</c:v>
                </c:pt>
                <c:pt idx="16">
                  <c:v>53.844594169264923</c:v>
                </c:pt>
                <c:pt idx="17">
                  <c:v>65.762257653061226</c:v>
                </c:pt>
                <c:pt idx="18">
                  <c:v>57.157186761857531</c:v>
                </c:pt>
                <c:pt idx="19">
                  <c:v>28.029381495653752</c:v>
                </c:pt>
                <c:pt idx="20">
                  <c:v>-21.621158145549884</c:v>
                </c:pt>
                <c:pt idx="21">
                  <c:v>-91.794432161753662</c:v>
                </c:pt>
                <c:pt idx="22">
                  <c:v>-91.794432161753576</c:v>
                </c:pt>
                <c:pt idx="23">
                  <c:v>-52.110128141534389</c:v>
                </c:pt>
                <c:pt idx="24">
                  <c:v>-20.485824121315204</c:v>
                </c:pt>
                <c:pt idx="25">
                  <c:v>3.0784798989039928</c:v>
                </c:pt>
                <c:pt idx="26">
                  <c:v>18.582783919123187</c:v>
                </c:pt>
                <c:pt idx="27">
                  <c:v>26.02708793934238</c:v>
                </c:pt>
                <c:pt idx="28">
                  <c:v>25.411391959561598</c:v>
                </c:pt>
                <c:pt idx="29">
                  <c:v>16.735695979780758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D234-49F6-8DCD-C4AC74DE90F1}"/>
            </c:ext>
          </c:extLst>
        </c:ser>
        <c:ser>
          <c:idx val="33"/>
          <c:order val="33"/>
          <c:tx>
            <c:v>5-app.1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'CCC-car.5'!$AK$17:$AK$18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D234-49F6-8DCD-C4AC74DE90F1}"/>
            </c:ext>
          </c:extLst>
        </c:ser>
        <c:ser>
          <c:idx val="34"/>
          <c:order val="34"/>
          <c:tx>
            <c:v>5-app.2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'CCC-car.5'!$AL$19:$AL$20</c:f>
              <c:numCache>
                <c:formatCode>0.00</c:formatCode>
                <c:ptCount val="2"/>
                <c:pt idx="0">
                  <c:v>0</c:v>
                </c:pt>
                <c:pt idx="1">
                  <c:v>-105.04480253212398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D234-49F6-8DCD-C4AC74DE90F1}"/>
            </c:ext>
          </c:extLst>
        </c:ser>
        <c:ser>
          <c:idx val="35"/>
          <c:order val="35"/>
          <c:tx>
            <c:v>5-app.3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'CCC-car.5'!$AK$21:$AK$22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'CCC-car.5'!$AL$21:$AL$22</c:f>
              <c:numCache>
                <c:formatCode>0.00</c:formatCode>
                <c:ptCount val="2"/>
                <c:pt idx="0">
                  <c:v>0</c:v>
                </c:pt>
                <c:pt idx="1">
                  <c:v>-91.794432161753662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D234-49F6-8DCD-C4AC74DE90F1}"/>
            </c:ext>
          </c:extLst>
        </c:ser>
        <c:ser>
          <c:idx val="36"/>
          <c:order val="36"/>
          <c:tx>
            <c:v>5-app.4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'CCC-car.5'!$AK$23:$AK$24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'CCC-car.5'!$AL$23:$AL$24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D234-49F6-8DCD-C4AC74DE90F1}"/>
            </c:ext>
          </c:extLst>
        </c:ser>
        <c:ser>
          <c:idx val="37"/>
          <c:order val="37"/>
          <c:tx>
            <c:v>5-camp.1-2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'CCC-car.5'!$AK$40:$AK$41</c:f>
              <c:numCache>
                <c:formatCode>0.00</c:formatCode>
                <c:ptCount val="2"/>
                <c:pt idx="0">
                  <c:v>1.3951819292254493</c:v>
                </c:pt>
                <c:pt idx="1">
                  <c:v>1.3951819292254493</c:v>
                </c:pt>
              </c:numCache>
            </c:numRef>
          </c:xVal>
          <c:yVal>
            <c:numRef>
              <c:f>'CCC-car.5'!$AL$40:$AL$41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42.259223085484621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D234-49F6-8DCD-C4AC74DE90F1}"/>
            </c:ext>
          </c:extLst>
        </c:ser>
        <c:ser>
          <c:idx val="38"/>
          <c:order val="38"/>
          <c:tx>
            <c:v>5-camp.2-3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'CCC-car.5'!$AK$42:$AK$43</c:f>
              <c:numCache>
                <c:formatCode>0.00</c:formatCode>
                <c:ptCount val="2"/>
                <c:pt idx="0">
                  <c:v>6.8054849896167262</c:v>
                </c:pt>
                <c:pt idx="1">
                  <c:v>6.8054849896167262</c:v>
                </c:pt>
              </c:numCache>
            </c:numRef>
          </c:xVal>
          <c:yVal>
            <c:numRef>
              <c:f>'CCC-car.5'!$AL$42:$AL$43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65.829093713281026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D234-49F6-8DCD-C4AC74DE90F1}"/>
            </c:ext>
          </c:extLst>
        </c:ser>
        <c:ser>
          <c:idx val="39"/>
          <c:order val="39"/>
          <c:tx>
            <c:v>5-camp.3-4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D234-49F6-8DCD-C4AC74DE9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'CCC-car.5'!$AK$44:$AK$45</c:f>
              <c:numCache>
                <c:formatCode>0.00</c:formatCode>
                <c:ptCount val="2"/>
                <c:pt idx="0">
                  <c:v>12.211805460311364</c:v>
                </c:pt>
                <c:pt idx="1">
                  <c:v>12.211805460311364</c:v>
                </c:pt>
              </c:numCache>
            </c:numRef>
          </c:xVal>
          <c:yVal>
            <c:numRef>
              <c:f>'CCC-car.5'!$AL$44:$AL$45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26.750256173987751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D234-49F6-8DCD-C4AC74DE90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8488352"/>
        <c:axId val="318488912"/>
      </c:scatterChart>
      <c:valAx>
        <c:axId val="318488352"/>
        <c:scaling>
          <c:orientation val="minMax"/>
          <c:max val="14"/>
          <c:min val="0"/>
        </c:scaling>
        <c:delete val="1"/>
        <c:axPos val="t"/>
        <c:numFmt formatCode="0" sourceLinked="0"/>
        <c:majorTickMark val="out"/>
        <c:minorTickMark val="none"/>
        <c:tickLblPos val="nextTo"/>
        <c:crossAx val="318488912"/>
        <c:crosses val="autoZero"/>
        <c:crossBetween val="midCat"/>
        <c:majorUnit val="1"/>
      </c:valAx>
      <c:valAx>
        <c:axId val="318488912"/>
        <c:scaling>
          <c:orientation val="maxMin"/>
        </c:scaling>
        <c:delete val="1"/>
        <c:axPos val="l"/>
        <c:majorGridlines>
          <c:spPr>
            <a:ln w="3175">
              <a:solidFill>
                <a:schemeClr val="bg1">
                  <a:lumMod val="85000"/>
                </a:schemeClr>
              </a:solidFill>
            </a:ln>
          </c:spPr>
        </c:majorGridlines>
        <c:numFmt formatCode="0" sourceLinked="0"/>
        <c:majorTickMark val="out"/>
        <c:minorTickMark val="none"/>
        <c:tickLblPos val="nextTo"/>
        <c:crossAx val="3184883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76"/>
          <c:w val="0.94796977526453763"/>
          <c:h val="0.77738578636805045"/>
        </c:manualLayout>
      </c:layout>
      <c:scatterChart>
        <c:scatterStyle val="lineMarker"/>
        <c:varyColors val="0"/>
        <c:ser>
          <c:idx val="0"/>
          <c:order val="0"/>
          <c:tx>
            <c:v>T1(x)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A0-4E00-BACE-13E56AF8A232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9A0-4E00-BACE-13E56AF8A232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A0-4E00-BACE-13E56AF8A232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A0-4E00-BACE-13E56AF8A232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A0-4E00-BACE-13E56AF8A232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9A0-4E00-BACE-13E56AF8A232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A0-4E00-BACE-13E56AF8A232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9A0-4E00-BACE-13E56AF8A232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A0-4E00-BACE-13E56AF8A232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9A0-4E00-BACE-13E56AF8A2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'CCC-car.1'!$AF$47:$AF$81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61.322442602040823</c:v>
                </c:pt>
                <c:pt idx="5">
                  <c:v>39.612442602040822</c:v>
                </c:pt>
                <c:pt idx="6">
                  <c:v>17.902442602040821</c:v>
                </c:pt>
                <c:pt idx="7">
                  <c:v>-3.8075573979591724</c:v>
                </c:pt>
                <c:pt idx="8">
                  <c:v>-25.51755739795918</c:v>
                </c:pt>
                <c:pt idx="9">
                  <c:v>-47.227557397959188</c:v>
                </c:pt>
                <c:pt idx="10">
                  <c:v>-68.937557397959168</c:v>
                </c:pt>
                <c:pt idx="11">
                  <c:v>-90.647557397959176</c:v>
                </c:pt>
                <c:pt idx="12">
                  <c:v>-112.35755739795918</c:v>
                </c:pt>
                <c:pt idx="13">
                  <c:v>119.40499999999999</c:v>
                </c:pt>
                <c:pt idx="14">
                  <c:v>89.55374999999998</c:v>
                </c:pt>
                <c:pt idx="15">
                  <c:v>59.702499999999986</c:v>
                </c:pt>
                <c:pt idx="16">
                  <c:v>29.851249999999979</c:v>
                </c:pt>
                <c:pt idx="17">
                  <c:v>0</c:v>
                </c:pt>
                <c:pt idx="18">
                  <c:v>-29.851250000000007</c:v>
                </c:pt>
                <c:pt idx="19">
                  <c:v>-59.702500000000029</c:v>
                </c:pt>
                <c:pt idx="20">
                  <c:v>-89.553750000000022</c:v>
                </c:pt>
                <c:pt idx="21">
                  <c:v>-119.40500000000002</c:v>
                </c:pt>
                <c:pt idx="22">
                  <c:v>112.35755739795918</c:v>
                </c:pt>
                <c:pt idx="23">
                  <c:v>90.64755739795919</c:v>
                </c:pt>
                <c:pt idx="24">
                  <c:v>68.937557397959182</c:v>
                </c:pt>
                <c:pt idx="25">
                  <c:v>47.227557397959188</c:v>
                </c:pt>
                <c:pt idx="26">
                  <c:v>25.51755739795918</c:v>
                </c:pt>
                <c:pt idx="27">
                  <c:v>3.8075573979591724</c:v>
                </c:pt>
                <c:pt idx="28">
                  <c:v>-17.902442602040807</c:v>
                </c:pt>
                <c:pt idx="29">
                  <c:v>-39.612442602040815</c:v>
                </c:pt>
                <c:pt idx="30">
                  <c:v>-61.322442602040823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9A0-4E00-BACE-13E56AF8A232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'CCC-Trave int1 (P1)'!$AN$49</c:f>
              <c:numCache>
                <c:formatCode>0.00</c:formatCode>
                <c:ptCount val="1"/>
              </c:numCache>
            </c:numRef>
          </c:xVal>
          <c:yVal>
            <c:numRef>
              <c:f>'CCC-Trave int1 (P1)'!$AP$49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9A0-4E00-BACE-13E56AF8A232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'CCC-Trave int1 (P1)'!$AN$50</c:f>
              <c:numCache>
                <c:formatCode>0.00</c:formatCode>
                <c:ptCount val="1"/>
              </c:numCache>
            </c:numRef>
          </c:xVal>
          <c:yVal>
            <c:numRef>
              <c:f>'CCC-Trave int1 (P1)'!$AP$50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9A0-4E00-BACE-13E56AF8A232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'CCC-Trave int1 (P1)'!$AN$58</c:f>
              <c:numCache>
                <c:formatCode>0.00</c:formatCode>
                <c:ptCount val="1"/>
              </c:numCache>
            </c:numRef>
          </c:xVal>
          <c:yVal>
            <c:numRef>
              <c:f>'CCC-Trave int1 (P1)'!$AP$58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9A0-4E00-BACE-13E56AF8A232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'CCC-Trave int1 (P1)'!$AN$59</c:f>
              <c:numCache>
                <c:formatCode>0.00</c:formatCode>
                <c:ptCount val="1"/>
              </c:numCache>
            </c:numRef>
          </c:xVal>
          <c:yVal>
            <c:numRef>
              <c:f>'CCC-Trave int1 (P1)'!$AP$59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9A0-4E00-BACE-13E56AF8A232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'CCC-Trave int1 (P1)'!$AN$67</c:f>
              <c:numCache>
                <c:formatCode>0.00</c:formatCode>
                <c:ptCount val="1"/>
              </c:numCache>
            </c:numRef>
          </c:xVal>
          <c:yVal>
            <c:numRef>
              <c:f>'CCC-Trave int1 (P1)'!$AP$67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9A0-4E00-BACE-13E56AF8A232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'CCC-Trave int1 (P1)'!$AN$68</c:f>
              <c:numCache>
                <c:formatCode>0.00</c:formatCode>
                <c:ptCount val="1"/>
              </c:numCache>
            </c:numRef>
          </c:xVal>
          <c:yVal>
            <c:numRef>
              <c:f>'CCC-Trave int1 (P1)'!$AP$68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9A0-4E00-BACE-13E56AF8A232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'CCC-Trave int1 (P1)'!$AN$76</c:f>
            </c:numRef>
          </c:xVal>
          <c:yVal>
            <c:numRef>
              <c:f>'CCC-Trave int1 (P1)'!$AP$76</c:f>
            </c:numRef>
          </c:yVal>
          <c:smooth val="0"/>
          <c:extLst>
            <c:ext xmlns:c16="http://schemas.microsoft.com/office/drawing/2014/chart" uri="{C3380CC4-5D6E-409C-BE32-E72D297353CC}">
              <c16:uniqueId val="{00000011-79A0-4E00-BACE-13E56AF8A232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'CCC-Trave int1 (P1)'!$AN$77</c:f>
            </c:numRef>
          </c:xVal>
          <c:yVal>
            <c:numRef>
              <c:f>'CCC-Trave int1 (P1)'!$AP$77</c:f>
            </c:numRef>
          </c:yVal>
          <c:smooth val="0"/>
          <c:extLst>
            <c:ext xmlns:c16="http://schemas.microsoft.com/office/drawing/2014/chart" uri="{C3380CC4-5D6E-409C-BE32-E72D297353CC}">
              <c16:uniqueId val="{00000012-79A0-4E00-BACE-13E56AF8A232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'CCC-Trave int1 (P1)'!$AN$85</c:f>
              <c:numCache>
                <c:formatCode>0.00</c:formatCode>
                <c:ptCount val="1"/>
              </c:numCache>
            </c:numRef>
          </c:xVal>
          <c:yVal>
            <c:numRef>
              <c:f>'CCC-Trave int1 (P1)'!$AP$85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9A0-4E00-BACE-13E56AF8A232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'CCC-Trave int1 (P1)'!$AN$86</c:f>
              <c:numCache>
                <c:formatCode>0.00</c:formatCode>
                <c:ptCount val="1"/>
              </c:numCache>
            </c:numRef>
          </c:xVal>
          <c:yVal>
            <c:numRef>
              <c:f>'CCC-Trave int1 (P1)'!$AP$86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9A0-4E00-BACE-13E56AF8A232}"/>
            </c:ext>
          </c:extLst>
        </c:ser>
        <c:ser>
          <c:idx val="11"/>
          <c:order val="11"/>
          <c:tx>
            <c:v>T2(x)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9A0-4E00-BACE-13E56AF8A232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9A0-4E00-BACE-13E56AF8A232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9A0-4E00-BACE-13E56AF8A232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9A0-4E00-BACE-13E56AF8A232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9A0-4E00-BACE-13E56AF8A232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9A0-4E00-BACE-13E56AF8A232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9A0-4E00-BACE-13E56AF8A232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9A0-4E00-BACE-13E56AF8A2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'CCC-car.2'!$AF$47:$AF$81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40.787748724489788</c:v>
                </c:pt>
                <c:pt idx="5">
                  <c:v>24.66774872448979</c:v>
                </c:pt>
                <c:pt idx="6">
                  <c:v>8.5477487244897929</c:v>
                </c:pt>
                <c:pt idx="7">
                  <c:v>-7.5722512755102045</c:v>
                </c:pt>
                <c:pt idx="8">
                  <c:v>-23.692251275510202</c:v>
                </c:pt>
                <c:pt idx="9">
                  <c:v>-39.812251275510206</c:v>
                </c:pt>
                <c:pt idx="10">
                  <c:v>-55.932251275510197</c:v>
                </c:pt>
                <c:pt idx="11">
                  <c:v>-72.052251275510187</c:v>
                </c:pt>
                <c:pt idx="12">
                  <c:v>-88.172251275510192</c:v>
                </c:pt>
                <c:pt idx="13">
                  <c:v>119.40499999999999</c:v>
                </c:pt>
                <c:pt idx="14">
                  <c:v>89.55374999999998</c:v>
                </c:pt>
                <c:pt idx="15">
                  <c:v>59.702499999999986</c:v>
                </c:pt>
                <c:pt idx="16">
                  <c:v>29.851249999999979</c:v>
                </c:pt>
                <c:pt idx="17">
                  <c:v>0</c:v>
                </c:pt>
                <c:pt idx="18">
                  <c:v>-29.851250000000007</c:v>
                </c:pt>
                <c:pt idx="19">
                  <c:v>-59.702500000000029</c:v>
                </c:pt>
                <c:pt idx="20">
                  <c:v>-89.553750000000022</c:v>
                </c:pt>
                <c:pt idx="21">
                  <c:v>-119.40500000000002</c:v>
                </c:pt>
                <c:pt idx="22">
                  <c:v>88.172251275510192</c:v>
                </c:pt>
                <c:pt idx="23">
                  <c:v>72.052251275510201</c:v>
                </c:pt>
                <c:pt idx="24">
                  <c:v>55.932251275510197</c:v>
                </c:pt>
                <c:pt idx="25">
                  <c:v>39.812251275510199</c:v>
                </c:pt>
                <c:pt idx="26">
                  <c:v>23.692251275510202</c:v>
                </c:pt>
                <c:pt idx="27">
                  <c:v>7.5722512755101974</c:v>
                </c:pt>
                <c:pt idx="28">
                  <c:v>-8.5477487244897929</c:v>
                </c:pt>
                <c:pt idx="29">
                  <c:v>-24.667748724489783</c:v>
                </c:pt>
                <c:pt idx="30">
                  <c:v>-40.787748724489788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79A0-4E00-BACE-13E56AF8A232}"/>
            </c:ext>
          </c:extLst>
        </c:ser>
        <c:ser>
          <c:idx val="12"/>
          <c:order val="12"/>
          <c:tx>
            <c:v>T3(x)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79A0-4E00-BACE-13E56AF8A232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79A0-4E00-BACE-13E56AF8A232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79A0-4E00-BACE-13E56AF8A232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79A0-4E00-BACE-13E56AF8A232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79A0-4E00-BACE-13E56AF8A232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79A0-4E00-BACE-13E56AF8A232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79A0-4E00-BACE-13E56AF8A232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79A0-4E00-BACE-13E56AF8A2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'CCC-car.3'!$AF$47:$AF$81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66.067525510204092</c:v>
                </c:pt>
                <c:pt idx="5">
                  <c:v>44.357525510204091</c:v>
                </c:pt>
                <c:pt idx="6">
                  <c:v>22.64752551020409</c:v>
                </c:pt>
                <c:pt idx="7">
                  <c:v>0.93752551020409669</c:v>
                </c:pt>
                <c:pt idx="8">
                  <c:v>-20.772474489795911</c:v>
                </c:pt>
                <c:pt idx="9">
                  <c:v>-42.482474489795919</c:v>
                </c:pt>
                <c:pt idx="10">
                  <c:v>-64.192474489795899</c:v>
                </c:pt>
                <c:pt idx="11">
                  <c:v>-85.902474489795907</c:v>
                </c:pt>
                <c:pt idx="12">
                  <c:v>-107.61247448979591</c:v>
                </c:pt>
                <c:pt idx="13">
                  <c:v>88.659999999999982</c:v>
                </c:pt>
                <c:pt idx="14">
                  <c:v>66.49499999999999</c:v>
                </c:pt>
                <c:pt idx="15">
                  <c:v>44.329999999999991</c:v>
                </c:pt>
                <c:pt idx="16">
                  <c:v>22.164999999999992</c:v>
                </c:pt>
                <c:pt idx="17">
                  <c:v>0</c:v>
                </c:pt>
                <c:pt idx="18">
                  <c:v>-22.165000000000006</c:v>
                </c:pt>
                <c:pt idx="19">
                  <c:v>-44.33</c:v>
                </c:pt>
                <c:pt idx="20">
                  <c:v>-66.49499999999999</c:v>
                </c:pt>
                <c:pt idx="21">
                  <c:v>-88.659999999999982</c:v>
                </c:pt>
                <c:pt idx="22">
                  <c:v>107.61247448979591</c:v>
                </c:pt>
                <c:pt idx="23">
                  <c:v>85.902474489795907</c:v>
                </c:pt>
                <c:pt idx="24">
                  <c:v>64.192474489795913</c:v>
                </c:pt>
                <c:pt idx="25">
                  <c:v>42.482474489795919</c:v>
                </c:pt>
                <c:pt idx="26">
                  <c:v>20.772474489795911</c:v>
                </c:pt>
                <c:pt idx="27">
                  <c:v>-0.93752551020409669</c:v>
                </c:pt>
                <c:pt idx="28">
                  <c:v>-22.647525510204076</c:v>
                </c:pt>
                <c:pt idx="29">
                  <c:v>-44.357525510204084</c:v>
                </c:pt>
                <c:pt idx="30">
                  <c:v>-66.067525510204092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79A0-4E00-BACE-13E56AF8A232}"/>
            </c:ext>
          </c:extLst>
        </c:ser>
        <c:ser>
          <c:idx val="13"/>
          <c:order val="13"/>
          <c:tx>
            <c:v>T4(x)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79A0-4E00-BACE-13E56AF8A232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79A0-4E00-BACE-13E56AF8A232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79A0-4E00-BACE-13E56AF8A232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79A0-4E00-BACE-13E56AF8A232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79A0-4E00-BACE-13E56AF8A232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79A0-4E00-BACE-13E56AF8A232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79A0-4E00-BACE-13E56AF8A232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79A0-4E00-BACE-13E56AF8A2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'CCC-car.4'!$AF$47:$AF$81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41.531391959561603</c:v>
                </c:pt>
                <c:pt idx="5">
                  <c:v>25.411391959561605</c:v>
                </c:pt>
                <c:pt idx="6">
                  <c:v>9.2913919595616079</c:v>
                </c:pt>
                <c:pt idx="7">
                  <c:v>-6.8286080404383895</c:v>
                </c:pt>
                <c:pt idx="8">
                  <c:v>-22.948608040438387</c:v>
                </c:pt>
                <c:pt idx="9">
                  <c:v>-39.068608040438392</c:v>
                </c:pt>
                <c:pt idx="10">
                  <c:v>-55.188608040438382</c:v>
                </c:pt>
                <c:pt idx="11">
                  <c:v>-71.308608040438372</c:v>
                </c:pt>
                <c:pt idx="12">
                  <c:v>-87.428608040438377</c:v>
                </c:pt>
                <c:pt idx="13">
                  <c:v>116.99584175084173</c:v>
                </c:pt>
                <c:pt idx="14">
                  <c:v>87.144591750841727</c:v>
                </c:pt>
                <c:pt idx="15">
                  <c:v>57.293341750841734</c:v>
                </c:pt>
                <c:pt idx="16">
                  <c:v>27.442091750841726</c:v>
                </c:pt>
                <c:pt idx="17">
                  <c:v>-2.409158249158267</c:v>
                </c:pt>
                <c:pt idx="18">
                  <c:v>-32.26040824915826</c:v>
                </c:pt>
                <c:pt idx="19">
                  <c:v>-62.111658249158282</c:v>
                </c:pt>
                <c:pt idx="20">
                  <c:v>-91.962908249158275</c:v>
                </c:pt>
                <c:pt idx="21">
                  <c:v>-121.81415824915827</c:v>
                </c:pt>
                <c:pt idx="22">
                  <c:v>113.101200633031</c:v>
                </c:pt>
                <c:pt idx="23">
                  <c:v>91.391200633030991</c:v>
                </c:pt>
                <c:pt idx="24">
                  <c:v>69.681200633030997</c:v>
                </c:pt>
                <c:pt idx="25">
                  <c:v>47.971200633031003</c:v>
                </c:pt>
                <c:pt idx="26">
                  <c:v>26.261200633030995</c:v>
                </c:pt>
                <c:pt idx="27">
                  <c:v>4.5512006330309873</c:v>
                </c:pt>
                <c:pt idx="28">
                  <c:v>-17.158799366968992</c:v>
                </c:pt>
                <c:pt idx="29">
                  <c:v>-38.868799366969</c:v>
                </c:pt>
                <c:pt idx="30">
                  <c:v>-60.578799366969008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79A0-4E00-BACE-13E56AF8A232}"/>
            </c:ext>
          </c:extLst>
        </c:ser>
        <c:ser>
          <c:idx val="14"/>
          <c:order val="14"/>
          <c:tx>
            <c:v>T5(x)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79A0-4E00-BACE-13E56AF8A232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79A0-4E00-BACE-13E56AF8A232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79A0-4E00-BACE-13E56AF8A232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79A0-4E00-BACE-13E56AF8A232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79A0-4E00-BACE-13E56AF8A232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79A0-4E00-BACE-13E56AF8A232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79A0-4E00-BACE-13E56AF8A232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79A0-4E00-BACE-13E56AF8A2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'CCC-car.5'!$AF$47:$AF$81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60.578799366969008</c:v>
                </c:pt>
                <c:pt idx="5">
                  <c:v>38.868799366969007</c:v>
                </c:pt>
                <c:pt idx="6">
                  <c:v>17.158799366969006</c:v>
                </c:pt>
                <c:pt idx="7">
                  <c:v>-4.5512006330309873</c:v>
                </c:pt>
                <c:pt idx="8">
                  <c:v>-26.261200633030995</c:v>
                </c:pt>
                <c:pt idx="9">
                  <c:v>-47.971200633031003</c:v>
                </c:pt>
                <c:pt idx="10">
                  <c:v>-69.681200633030983</c:v>
                </c:pt>
                <c:pt idx="11">
                  <c:v>-91.391200633030991</c:v>
                </c:pt>
                <c:pt idx="12">
                  <c:v>-113.101200633031</c:v>
                </c:pt>
                <c:pt idx="13">
                  <c:v>121.81415824915825</c:v>
                </c:pt>
                <c:pt idx="14">
                  <c:v>91.962908249158261</c:v>
                </c:pt>
                <c:pt idx="15">
                  <c:v>62.111658249158253</c:v>
                </c:pt>
                <c:pt idx="16">
                  <c:v>32.260408249158246</c:v>
                </c:pt>
                <c:pt idx="17">
                  <c:v>2.4091582491582528</c:v>
                </c:pt>
                <c:pt idx="18">
                  <c:v>-27.44209175084174</c:v>
                </c:pt>
                <c:pt idx="19">
                  <c:v>-57.293341750841762</c:v>
                </c:pt>
                <c:pt idx="20">
                  <c:v>-87.144591750841755</c:v>
                </c:pt>
                <c:pt idx="21">
                  <c:v>-116.99584175084175</c:v>
                </c:pt>
                <c:pt idx="22">
                  <c:v>87.428608040438377</c:v>
                </c:pt>
                <c:pt idx="23">
                  <c:v>71.308608040438372</c:v>
                </c:pt>
                <c:pt idx="24">
                  <c:v>55.188608040438382</c:v>
                </c:pt>
                <c:pt idx="25">
                  <c:v>39.068608040438384</c:v>
                </c:pt>
                <c:pt idx="26">
                  <c:v>22.948608040438387</c:v>
                </c:pt>
                <c:pt idx="27">
                  <c:v>6.8286080404383824</c:v>
                </c:pt>
                <c:pt idx="28">
                  <c:v>-9.2913919595616079</c:v>
                </c:pt>
                <c:pt idx="29">
                  <c:v>-25.411391959561598</c:v>
                </c:pt>
                <c:pt idx="30">
                  <c:v>-41.531391959561603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79A0-4E00-BACE-13E56AF8A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501792"/>
        <c:axId val="318502352"/>
      </c:scatterChart>
      <c:valAx>
        <c:axId val="318501792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48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8502352"/>
        <c:crosses val="autoZero"/>
        <c:crossBetween val="midCat"/>
        <c:majorUnit val="1"/>
      </c:valAx>
      <c:valAx>
        <c:axId val="31850235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75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85017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39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8"/>
          <c:w val="0.90742455710851644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2950144904096403E-2"/>
                  <c:y val="0.10969304488140677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D7-47AC-90A5-23BC6941C769}"/>
                </c:ext>
              </c:extLst>
            </c:dLbl>
            <c:dLbl>
              <c:idx val="1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D7-47AC-90A5-23BC6941C769}"/>
                </c:ext>
              </c:extLst>
            </c:dLbl>
            <c:dLbl>
              <c:idx val="2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D7-47AC-90A5-23BC6941C769}"/>
                </c:ext>
              </c:extLst>
            </c:dLbl>
            <c:dLbl>
              <c:idx val="3"/>
              <c:layout>
                <c:manualLayout>
                  <c:x val="-3.7234620506346655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D7-47AC-90A5-23BC6941C769}"/>
                </c:ext>
              </c:extLst>
            </c:dLbl>
            <c:dLbl>
              <c:idx val="4"/>
              <c:layout>
                <c:manualLayout>
                  <c:x val="-3.7234620506346655E-2"/>
                  <c:y val="0.11974228108655573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D7-47AC-90A5-23BC6941C769}"/>
                </c:ext>
              </c:extLst>
            </c:dLbl>
            <c:dLbl>
              <c:idx val="5"/>
              <c:layout>
                <c:manualLayout>
                  <c:x val="-3.7234620506346655E-2"/>
                  <c:y val="0.10969304488140677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FD7-47AC-90A5-23BC6941C769}"/>
                </c:ext>
              </c:extLst>
            </c:dLbl>
            <c:dLbl>
              <c:idx val="6"/>
              <c:layout>
                <c:manualLayout>
                  <c:x val="-3.7234620506346655E-2"/>
                  <c:y val="0.10969304488140677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D7-47AC-90A5-23BC6941C769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'CCC-car.1'!$AK$54:$AK$59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9.5</c:v>
                </c:pt>
                <c:pt idx="4">
                  <c:v>13.5</c:v>
                </c:pt>
                <c:pt idx="5">
                  <c:v>13.5</c:v>
                </c:pt>
              </c:numCache>
            </c:numRef>
          </c:xVal>
          <c:yVal>
            <c:numRef>
              <c:f>'CCC-car.1'!$AL$54:$AL$59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FD7-47AC-90A5-23BC6941C769}"/>
            </c:ext>
          </c:extLst>
        </c:ser>
        <c:ser>
          <c:idx val="6"/>
          <c:order val="1"/>
          <c:tx>
            <c:v>qs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'CCC-car.1'!$AI$17:$AI$21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D7-47AC-90A5-23BC6941C769}"/>
            </c:ext>
          </c:extLst>
        </c:ser>
        <c:ser>
          <c:idx val="7"/>
          <c:order val="2"/>
          <c:tx>
            <c:v>q12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'CCC-car.1'!$AI$24:$AI$28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53.42</c:v>
                </c:pt>
                <c:pt idx="3">
                  <c:v>53.42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FD7-47AC-90A5-23BC6941C769}"/>
            </c:ext>
          </c:extLst>
        </c:ser>
        <c:ser>
          <c:idx val="8"/>
          <c:order val="3"/>
          <c:tx>
            <c:v>q23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'CCC-car.1'!$AH$31:$AH$35</c:f>
              <c:numCache>
                <c:formatCode>0.00</c:formatCode>
                <c:ptCount val="5"/>
                <c:pt idx="0">
                  <c:v>4</c:v>
                </c:pt>
                <c:pt idx="1">
                  <c:v>9.5</c:v>
                </c:pt>
                <c:pt idx="2">
                  <c:v>9.5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'CCC-car.1'!$AI$31:$AI$35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53.42</c:v>
                </c:pt>
                <c:pt idx="3">
                  <c:v>53.42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FD7-47AC-90A5-23BC6941C769}"/>
            </c:ext>
          </c:extLst>
        </c:ser>
        <c:ser>
          <c:idx val="9"/>
          <c:order val="4"/>
          <c:tx>
            <c:v>q34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'CCC-car.1'!$AH$38:$AH$42</c:f>
              <c:numCache>
                <c:formatCode>0.00</c:formatCode>
                <c:ptCount val="5"/>
                <c:pt idx="0">
                  <c:v>9.5</c:v>
                </c:pt>
                <c:pt idx="1">
                  <c:v>13.5</c:v>
                </c:pt>
                <c:pt idx="2">
                  <c:v>13.5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'CCC-car.1'!$AI$38:$AI$42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53.42</c:v>
                </c:pt>
                <c:pt idx="3">
                  <c:v>53.42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FD7-47AC-90A5-23BC6941C769}"/>
            </c:ext>
          </c:extLst>
        </c:ser>
        <c:ser>
          <c:idx val="11"/>
          <c:order val="5"/>
          <c:tx>
            <c:v>qd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'CCC-car.1'!$AI$45:$AI$49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FD7-47AC-90A5-23BC6941C769}"/>
            </c:ext>
          </c:extLst>
        </c:ser>
        <c:ser>
          <c:idx val="17"/>
          <c:order val="6"/>
          <c:tx>
            <c:v>2-qs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FD7-47AC-90A5-23BC6941C769}"/>
            </c:ext>
          </c:extLst>
        </c:ser>
        <c:ser>
          <c:idx val="18"/>
          <c:order val="7"/>
          <c:tx>
            <c:v>2-q12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FD7-47AC-90A5-23BC6941C769}"/>
            </c:ext>
          </c:extLst>
        </c:ser>
        <c:ser>
          <c:idx val="19"/>
          <c:order val="8"/>
          <c:tx>
            <c:v>2-q23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FD7-47AC-90A5-23BC6941C769}"/>
            </c:ext>
          </c:extLst>
        </c:ser>
        <c:ser>
          <c:idx val="20"/>
          <c:order val="9"/>
          <c:tx>
            <c:v>2-q34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FD7-47AC-90A5-23BC6941C769}"/>
            </c:ext>
          </c:extLst>
        </c:ser>
        <c:ser>
          <c:idx val="21"/>
          <c:order val="10"/>
          <c:tx>
            <c:v>2-q45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FD7-47AC-90A5-23BC6941C769}"/>
            </c:ext>
          </c:extLst>
        </c:ser>
        <c:ser>
          <c:idx val="22"/>
          <c:order val="11"/>
          <c:tx>
            <c:v>2-qd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FD7-47AC-90A5-23BC6941C769}"/>
            </c:ext>
          </c:extLst>
        </c:ser>
        <c:ser>
          <c:idx val="23"/>
          <c:order val="12"/>
          <c:tx>
            <c:v>3-qs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FD7-47AC-90A5-23BC6941C769}"/>
            </c:ext>
          </c:extLst>
        </c:ser>
        <c:ser>
          <c:idx val="24"/>
          <c:order val="13"/>
          <c:tx>
            <c:v>3-q12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FD7-47AC-90A5-23BC6941C769}"/>
            </c:ext>
          </c:extLst>
        </c:ser>
        <c:ser>
          <c:idx val="25"/>
          <c:order val="14"/>
          <c:tx>
            <c:v>3-q23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FD7-47AC-90A5-23BC6941C769}"/>
            </c:ext>
          </c:extLst>
        </c:ser>
        <c:ser>
          <c:idx val="26"/>
          <c:order val="15"/>
          <c:tx>
            <c:v>3-q34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FD7-47AC-90A5-23BC6941C769}"/>
            </c:ext>
          </c:extLst>
        </c:ser>
        <c:ser>
          <c:idx val="27"/>
          <c:order val="16"/>
          <c:tx>
            <c:v>3-q45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FD7-47AC-90A5-23BC6941C769}"/>
            </c:ext>
          </c:extLst>
        </c:ser>
        <c:ser>
          <c:idx val="28"/>
          <c:order val="17"/>
          <c:tx>
            <c:v>3-qd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FD7-47AC-90A5-23BC6941C769}"/>
            </c:ext>
          </c:extLst>
        </c:ser>
        <c:ser>
          <c:idx val="29"/>
          <c:order val="18"/>
          <c:tx>
            <c:v>4-qs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FD7-47AC-90A5-23BC6941C769}"/>
            </c:ext>
          </c:extLst>
        </c:ser>
        <c:ser>
          <c:idx val="30"/>
          <c:order val="19"/>
          <c:tx>
            <c:v>4-q12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FD7-47AC-90A5-23BC6941C769}"/>
            </c:ext>
          </c:extLst>
        </c:ser>
        <c:ser>
          <c:idx val="31"/>
          <c:order val="20"/>
          <c:tx>
            <c:v>4-q23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FD7-47AC-90A5-23BC6941C769}"/>
            </c:ext>
          </c:extLst>
        </c:ser>
        <c:ser>
          <c:idx val="32"/>
          <c:order val="21"/>
          <c:tx>
            <c:v>4-q34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FD7-47AC-90A5-23BC6941C769}"/>
            </c:ext>
          </c:extLst>
        </c:ser>
        <c:ser>
          <c:idx val="33"/>
          <c:order val="22"/>
          <c:tx>
            <c:v>4-q45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FD7-47AC-90A5-23BC6941C769}"/>
            </c:ext>
          </c:extLst>
        </c:ser>
        <c:ser>
          <c:idx val="34"/>
          <c:order val="23"/>
          <c:tx>
            <c:v>4-qd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3FD7-47AC-90A5-23BC6941C769}"/>
            </c:ext>
          </c:extLst>
        </c:ser>
        <c:ser>
          <c:idx val="35"/>
          <c:order val="24"/>
          <c:tx>
            <c:v>5-qs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'CCC-car.5'!$AI$17:$AI$21</c:f>
              <c:numCache>
                <c:formatCode>General</c:formatCode>
                <c:ptCount val="5"/>
                <c:pt idx="0">
                  <c:v>203.68</c:v>
                </c:pt>
                <c:pt idx="1">
                  <c:v>203.68</c:v>
                </c:pt>
                <c:pt idx="2">
                  <c:v>203.68</c:v>
                </c:pt>
                <c:pt idx="3">
                  <c:v>203.68</c:v>
                </c:pt>
                <c:pt idx="4">
                  <c:v>203.68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FD7-47AC-90A5-23BC6941C769}"/>
            </c:ext>
          </c:extLst>
        </c:ser>
        <c:ser>
          <c:idx val="36"/>
          <c:order val="25"/>
          <c:tx>
            <c:v>5-q12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'CCC-car.5'!$AI$24:$AI$28</c:f>
              <c:numCache>
                <c:formatCode>General</c:formatCode>
                <c:ptCount val="5"/>
                <c:pt idx="0">
                  <c:v>203.68</c:v>
                </c:pt>
                <c:pt idx="1">
                  <c:v>203.68</c:v>
                </c:pt>
                <c:pt idx="2">
                  <c:v>247.10000000000002</c:v>
                </c:pt>
                <c:pt idx="3">
                  <c:v>247.10000000000002</c:v>
                </c:pt>
                <c:pt idx="4">
                  <c:v>203.68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3FD7-47AC-90A5-23BC6941C769}"/>
            </c:ext>
          </c:extLst>
        </c:ser>
        <c:ser>
          <c:idx val="37"/>
          <c:order val="26"/>
          <c:tx>
            <c:v>5-q23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'CCC-car.5'!$AH$31:$AH$35</c:f>
              <c:numCache>
                <c:formatCode>0.00</c:formatCode>
                <c:ptCount val="5"/>
                <c:pt idx="0">
                  <c:v>4</c:v>
                </c:pt>
                <c:pt idx="1">
                  <c:v>9.5</c:v>
                </c:pt>
                <c:pt idx="2">
                  <c:v>9.5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'CCC-car.5'!$AI$31:$AI$35</c:f>
              <c:numCache>
                <c:formatCode>General</c:formatCode>
                <c:ptCount val="5"/>
                <c:pt idx="0">
                  <c:v>203.68</c:v>
                </c:pt>
                <c:pt idx="1">
                  <c:v>203.68</c:v>
                </c:pt>
                <c:pt idx="2">
                  <c:v>247.10000000000002</c:v>
                </c:pt>
                <c:pt idx="3">
                  <c:v>247.10000000000002</c:v>
                </c:pt>
                <c:pt idx="4">
                  <c:v>203.68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FD7-47AC-90A5-23BC6941C769}"/>
            </c:ext>
          </c:extLst>
        </c:ser>
        <c:ser>
          <c:idx val="38"/>
          <c:order val="27"/>
          <c:tx>
            <c:v>5-q34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'CCC-car.5'!$AH$38:$AH$42</c:f>
              <c:numCache>
                <c:formatCode>0.00</c:formatCode>
                <c:ptCount val="5"/>
                <c:pt idx="0">
                  <c:v>9.5</c:v>
                </c:pt>
                <c:pt idx="1">
                  <c:v>13.5</c:v>
                </c:pt>
                <c:pt idx="2">
                  <c:v>13.5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'CCC-car.5'!$AI$38:$AI$42</c:f>
              <c:numCache>
                <c:formatCode>General</c:formatCode>
                <c:ptCount val="5"/>
                <c:pt idx="0">
                  <c:v>203.68</c:v>
                </c:pt>
                <c:pt idx="1">
                  <c:v>203.68</c:v>
                </c:pt>
                <c:pt idx="2">
                  <c:v>235.92000000000002</c:v>
                </c:pt>
                <c:pt idx="3">
                  <c:v>235.92000000000002</c:v>
                </c:pt>
                <c:pt idx="4">
                  <c:v>203.68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FD7-47AC-90A5-23BC6941C769}"/>
            </c:ext>
          </c:extLst>
        </c:ser>
        <c:ser>
          <c:idx val="40"/>
          <c:order val="28"/>
          <c:tx>
            <c:v>5-qd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'CCC-car.5'!$AI$45:$AI$49</c:f>
              <c:numCache>
                <c:formatCode>General</c:formatCode>
                <c:ptCount val="5"/>
                <c:pt idx="0">
                  <c:v>203.68</c:v>
                </c:pt>
                <c:pt idx="1">
                  <c:v>203.68</c:v>
                </c:pt>
                <c:pt idx="2">
                  <c:v>203.68</c:v>
                </c:pt>
                <c:pt idx="3">
                  <c:v>203.68</c:v>
                </c:pt>
                <c:pt idx="4">
                  <c:v>203.68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FD7-47AC-90A5-23BC6941C769}"/>
            </c:ext>
          </c:extLst>
        </c:ser>
        <c:ser>
          <c:idx val="1"/>
          <c:order val="29"/>
          <c:tx>
            <c:v>vinccolo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3FD7-47AC-90A5-23BC6941C7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trave'!$A$2:$A$5</c:f>
              <c:numCache>
                <c:formatCode>0.00</c:formatCode>
                <c:ptCount val="4"/>
                <c:pt idx="0">
                  <c:v>0</c:v>
                </c:pt>
                <c:pt idx="1">
                  <c:v>-0.4</c:v>
                </c:pt>
                <c:pt idx="2">
                  <c:v>0.4</c:v>
                </c:pt>
                <c:pt idx="3">
                  <c:v>0</c:v>
                </c:pt>
              </c:numCache>
            </c:numRef>
          </c:xVal>
          <c:yVal>
            <c:numRef>
              <c:f>'CCC-Vincoli trave'!$B$2:$B$5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3FD7-47AC-90A5-23BC6941C769}"/>
            </c:ext>
          </c:extLst>
        </c:ser>
        <c:ser>
          <c:idx val="2"/>
          <c:order val="30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3FD7-47AC-90A5-23BC6941C7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trave'!$D$2:$D$5</c:f>
              <c:numCache>
                <c:formatCode>0.00</c:formatCode>
                <c:ptCount val="4"/>
                <c:pt idx="0">
                  <c:v>4</c:v>
                </c:pt>
                <c:pt idx="1">
                  <c:v>3.6</c:v>
                </c:pt>
                <c:pt idx="2">
                  <c:v>4.4000000000000004</c:v>
                </c:pt>
                <c:pt idx="3">
                  <c:v>4</c:v>
                </c:pt>
              </c:numCache>
            </c:numRef>
          </c:xVal>
          <c:yVal>
            <c:numRef>
              <c:f>'CCC-Vincoli trave'!$E$2:$E$5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3FD7-47AC-90A5-23BC6941C769}"/>
            </c:ext>
          </c:extLst>
        </c:ser>
        <c:ser>
          <c:idx val="3"/>
          <c:order val="31"/>
          <c:tx>
            <c:v>vincolo 3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FD7-47AC-90A5-23BC6941C7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trave'!$G$2:$G$5</c:f>
              <c:numCache>
                <c:formatCode>0.00</c:formatCode>
                <c:ptCount val="4"/>
                <c:pt idx="0">
                  <c:v>9.5</c:v>
                </c:pt>
                <c:pt idx="1">
                  <c:v>9.1</c:v>
                </c:pt>
                <c:pt idx="2">
                  <c:v>9.9</c:v>
                </c:pt>
                <c:pt idx="3">
                  <c:v>9.5</c:v>
                </c:pt>
              </c:numCache>
            </c:numRef>
          </c:xVal>
          <c:yVal>
            <c:numRef>
              <c:f>'CCC-Vincoli trave'!$H$2:$H$5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FD7-47AC-90A5-23BC6941C769}"/>
            </c:ext>
          </c:extLst>
        </c:ser>
        <c:ser>
          <c:idx val="4"/>
          <c:order val="32"/>
          <c:tx>
            <c:v>vincolo 4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3FD7-47AC-90A5-23BC6941C7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trave'!$J$2:$J$5</c:f>
              <c:numCache>
                <c:formatCode>0.00</c:formatCode>
                <c:ptCount val="4"/>
                <c:pt idx="0">
                  <c:v>13.5</c:v>
                </c:pt>
                <c:pt idx="1">
                  <c:v>13.1</c:v>
                </c:pt>
                <c:pt idx="2">
                  <c:v>13.9</c:v>
                </c:pt>
                <c:pt idx="3">
                  <c:v>13.5</c:v>
                </c:pt>
              </c:numCache>
            </c:numRef>
          </c:xVal>
          <c:yVal>
            <c:numRef>
              <c:f>'CCC-Vincoli trave'!$K$2:$K$5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FD7-47AC-90A5-23BC6941C769}"/>
            </c:ext>
          </c:extLst>
        </c:ser>
        <c:ser>
          <c:idx val="5"/>
          <c:order val="33"/>
          <c:tx>
            <c:v>vincolo 5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4.2518309237671824E-3"/>
                  <c:y val="3.78198494650880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3FD7-47AC-90A5-23BC6941C7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trave'!$M$2:$M$5</c:f>
              <c:numCache>
                <c:formatCode>0.00</c:formatCode>
                <c:ptCount val="4"/>
              </c:numCache>
            </c:numRef>
          </c:xVal>
          <c:yVal>
            <c:numRef>
              <c:f>'CCC-Vincoli trave'!$N$2:$N$5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3FD7-47AC-90A5-23BC6941C769}"/>
            </c:ext>
          </c:extLst>
        </c:ser>
        <c:ser>
          <c:idx val="10"/>
          <c:order val="34"/>
          <c:tx>
            <c:v>2-qs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'CCC-car.2'!$AI$17:$AI$21</c:f>
              <c:numCache>
                <c:formatCode>General</c:formatCode>
                <c:ptCount val="5"/>
                <c:pt idx="0">
                  <c:v>58.42</c:v>
                </c:pt>
                <c:pt idx="1">
                  <c:v>58.42</c:v>
                </c:pt>
                <c:pt idx="2">
                  <c:v>58.42</c:v>
                </c:pt>
                <c:pt idx="3">
                  <c:v>58.42</c:v>
                </c:pt>
                <c:pt idx="4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3FD7-47AC-90A5-23BC6941C769}"/>
            </c:ext>
          </c:extLst>
        </c:ser>
        <c:ser>
          <c:idx val="12"/>
          <c:order val="35"/>
          <c:tx>
            <c:v>2-q12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'CCC-car.2'!$AI$24:$AI$28</c:f>
              <c:numCache>
                <c:formatCode>General</c:formatCode>
                <c:ptCount val="5"/>
                <c:pt idx="0">
                  <c:v>58.42</c:v>
                </c:pt>
                <c:pt idx="1">
                  <c:v>58.42</c:v>
                </c:pt>
                <c:pt idx="2">
                  <c:v>90.66</c:v>
                </c:pt>
                <c:pt idx="3">
                  <c:v>90.66</c:v>
                </c:pt>
                <c:pt idx="4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3FD7-47AC-90A5-23BC6941C769}"/>
            </c:ext>
          </c:extLst>
        </c:ser>
        <c:ser>
          <c:idx val="13"/>
          <c:order val="36"/>
          <c:tx>
            <c:v>2-q23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'CCC-car.2'!$AH$31:$AH$35</c:f>
              <c:numCache>
                <c:formatCode>0.00</c:formatCode>
                <c:ptCount val="5"/>
                <c:pt idx="0">
                  <c:v>4</c:v>
                </c:pt>
                <c:pt idx="1">
                  <c:v>9.5</c:v>
                </c:pt>
                <c:pt idx="2">
                  <c:v>9.5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'CCC-car.2'!$AI$31:$AI$35</c:f>
              <c:numCache>
                <c:formatCode>General</c:formatCode>
                <c:ptCount val="5"/>
                <c:pt idx="0">
                  <c:v>58.42</c:v>
                </c:pt>
                <c:pt idx="1">
                  <c:v>58.42</c:v>
                </c:pt>
                <c:pt idx="2">
                  <c:v>101.84</c:v>
                </c:pt>
                <c:pt idx="3">
                  <c:v>101.84</c:v>
                </c:pt>
                <c:pt idx="4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3FD7-47AC-90A5-23BC6941C769}"/>
            </c:ext>
          </c:extLst>
        </c:ser>
        <c:ser>
          <c:idx val="14"/>
          <c:order val="37"/>
          <c:tx>
            <c:v>2-q34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'CCC-car.2'!$AH$38:$AH$42</c:f>
              <c:numCache>
                <c:formatCode>0.00</c:formatCode>
                <c:ptCount val="5"/>
                <c:pt idx="0">
                  <c:v>9.5</c:v>
                </c:pt>
                <c:pt idx="1">
                  <c:v>13.5</c:v>
                </c:pt>
                <c:pt idx="2">
                  <c:v>13.5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'CCC-car.2'!$AI$38:$AI$42</c:f>
              <c:numCache>
                <c:formatCode>General</c:formatCode>
                <c:ptCount val="5"/>
                <c:pt idx="0">
                  <c:v>58.42</c:v>
                </c:pt>
                <c:pt idx="1">
                  <c:v>58.42</c:v>
                </c:pt>
                <c:pt idx="2">
                  <c:v>90.66</c:v>
                </c:pt>
                <c:pt idx="3">
                  <c:v>90.66</c:v>
                </c:pt>
                <c:pt idx="4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3FD7-47AC-90A5-23BC6941C769}"/>
            </c:ext>
          </c:extLst>
        </c:ser>
        <c:ser>
          <c:idx val="15"/>
          <c:order val="38"/>
          <c:tx>
            <c:v>2-qd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'CCC-car.2'!$AI$45:$AI$49</c:f>
              <c:numCache>
                <c:formatCode>General</c:formatCode>
                <c:ptCount val="5"/>
                <c:pt idx="0">
                  <c:v>58.42</c:v>
                </c:pt>
                <c:pt idx="1">
                  <c:v>58.42</c:v>
                </c:pt>
                <c:pt idx="2">
                  <c:v>58.42</c:v>
                </c:pt>
                <c:pt idx="3">
                  <c:v>58.42</c:v>
                </c:pt>
                <c:pt idx="4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3FD7-47AC-90A5-23BC6941C769}"/>
            </c:ext>
          </c:extLst>
        </c:ser>
        <c:ser>
          <c:idx val="16"/>
          <c:order val="39"/>
          <c:tx>
            <c:v>3-qs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'CCC-car.3'!$AI$17:$AI$21</c:f>
              <c:numCache>
                <c:formatCode>General</c:formatCode>
                <c:ptCount val="5"/>
                <c:pt idx="0">
                  <c:v>106.84</c:v>
                </c:pt>
                <c:pt idx="1">
                  <c:v>106.84</c:v>
                </c:pt>
                <c:pt idx="2">
                  <c:v>106.84</c:v>
                </c:pt>
                <c:pt idx="3">
                  <c:v>106.84</c:v>
                </c:pt>
                <c:pt idx="4">
                  <c:v>106.84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3FD7-47AC-90A5-23BC6941C769}"/>
            </c:ext>
          </c:extLst>
        </c:ser>
        <c:ser>
          <c:idx val="41"/>
          <c:order val="40"/>
          <c:tx>
            <c:v>3-q12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'CCC-car.3'!$AI$24:$AI$28</c:f>
              <c:numCache>
                <c:formatCode>General</c:formatCode>
                <c:ptCount val="5"/>
                <c:pt idx="0">
                  <c:v>106.84</c:v>
                </c:pt>
                <c:pt idx="1">
                  <c:v>106.84</c:v>
                </c:pt>
                <c:pt idx="2">
                  <c:v>150.26</c:v>
                </c:pt>
                <c:pt idx="3">
                  <c:v>150.26</c:v>
                </c:pt>
                <c:pt idx="4">
                  <c:v>106.84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3FD7-47AC-90A5-23BC6941C769}"/>
            </c:ext>
          </c:extLst>
        </c:ser>
        <c:ser>
          <c:idx val="42"/>
          <c:order val="41"/>
          <c:tx>
            <c:v>3-q23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'CCC-car.3'!$AH$31:$AH$35</c:f>
              <c:numCache>
                <c:formatCode>0.00</c:formatCode>
                <c:ptCount val="5"/>
                <c:pt idx="0">
                  <c:v>4</c:v>
                </c:pt>
                <c:pt idx="1">
                  <c:v>9.5</c:v>
                </c:pt>
                <c:pt idx="2">
                  <c:v>9.5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'CCC-car.3'!$AI$31:$AI$35</c:f>
              <c:numCache>
                <c:formatCode>General</c:formatCode>
                <c:ptCount val="5"/>
                <c:pt idx="0">
                  <c:v>106.84</c:v>
                </c:pt>
                <c:pt idx="1">
                  <c:v>106.84</c:v>
                </c:pt>
                <c:pt idx="2">
                  <c:v>139.07999999999998</c:v>
                </c:pt>
                <c:pt idx="3">
                  <c:v>139.07999999999998</c:v>
                </c:pt>
                <c:pt idx="4">
                  <c:v>106.84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3FD7-47AC-90A5-23BC6941C769}"/>
            </c:ext>
          </c:extLst>
        </c:ser>
        <c:ser>
          <c:idx val="43"/>
          <c:order val="42"/>
          <c:tx>
            <c:v>3-q34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'CCC-car.3'!$AH$38:$AH$42</c:f>
              <c:numCache>
                <c:formatCode>0.00</c:formatCode>
                <c:ptCount val="5"/>
                <c:pt idx="0">
                  <c:v>9.5</c:v>
                </c:pt>
                <c:pt idx="1">
                  <c:v>13.5</c:v>
                </c:pt>
                <c:pt idx="2">
                  <c:v>13.5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'CCC-car.3'!$AI$38:$AI$42</c:f>
              <c:numCache>
                <c:formatCode>General</c:formatCode>
                <c:ptCount val="5"/>
                <c:pt idx="0">
                  <c:v>106.84</c:v>
                </c:pt>
                <c:pt idx="1">
                  <c:v>106.84</c:v>
                </c:pt>
                <c:pt idx="2">
                  <c:v>150.26</c:v>
                </c:pt>
                <c:pt idx="3">
                  <c:v>150.26</c:v>
                </c:pt>
                <c:pt idx="4">
                  <c:v>106.84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3FD7-47AC-90A5-23BC6941C769}"/>
            </c:ext>
          </c:extLst>
        </c:ser>
        <c:ser>
          <c:idx val="44"/>
          <c:order val="43"/>
          <c:tx>
            <c:v>3-qd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'CCC-car.3'!$AI$45:$AI$49</c:f>
              <c:numCache>
                <c:formatCode>General</c:formatCode>
                <c:ptCount val="5"/>
                <c:pt idx="0">
                  <c:v>106.84</c:v>
                </c:pt>
                <c:pt idx="1">
                  <c:v>106.84</c:v>
                </c:pt>
                <c:pt idx="2">
                  <c:v>106.84</c:v>
                </c:pt>
                <c:pt idx="3">
                  <c:v>106.84</c:v>
                </c:pt>
                <c:pt idx="4">
                  <c:v>106.84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3FD7-47AC-90A5-23BC6941C769}"/>
            </c:ext>
          </c:extLst>
        </c:ser>
        <c:ser>
          <c:idx val="45"/>
          <c:order val="44"/>
          <c:tx>
            <c:v>4-qs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'CCC-car.4'!$AI$17:$AI$21</c:f>
              <c:numCache>
                <c:formatCode>General</c:formatCode>
                <c:ptCount val="5"/>
                <c:pt idx="0">
                  <c:v>155.26</c:v>
                </c:pt>
                <c:pt idx="1">
                  <c:v>155.26</c:v>
                </c:pt>
                <c:pt idx="2">
                  <c:v>155.26</c:v>
                </c:pt>
                <c:pt idx="3">
                  <c:v>155.26</c:v>
                </c:pt>
                <c:pt idx="4">
                  <c:v>155.26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3FD7-47AC-90A5-23BC6941C769}"/>
            </c:ext>
          </c:extLst>
        </c:ser>
        <c:ser>
          <c:idx val="46"/>
          <c:order val="45"/>
          <c:tx>
            <c:v>4-q12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'CCC-car.4'!$AI$24:$AI$28</c:f>
              <c:numCache>
                <c:formatCode>General</c:formatCode>
                <c:ptCount val="5"/>
                <c:pt idx="0">
                  <c:v>155.26</c:v>
                </c:pt>
                <c:pt idx="1">
                  <c:v>155.26</c:v>
                </c:pt>
                <c:pt idx="2">
                  <c:v>187.5</c:v>
                </c:pt>
                <c:pt idx="3">
                  <c:v>187.5</c:v>
                </c:pt>
                <c:pt idx="4">
                  <c:v>155.26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3FD7-47AC-90A5-23BC6941C769}"/>
            </c:ext>
          </c:extLst>
        </c:ser>
        <c:ser>
          <c:idx val="47"/>
          <c:order val="46"/>
          <c:tx>
            <c:v>4-q23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'CCC-car.4'!$AH$31:$AH$35</c:f>
              <c:numCache>
                <c:formatCode>0.00</c:formatCode>
                <c:ptCount val="5"/>
                <c:pt idx="0">
                  <c:v>4</c:v>
                </c:pt>
                <c:pt idx="1">
                  <c:v>9.5</c:v>
                </c:pt>
                <c:pt idx="2">
                  <c:v>9.5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'CCC-car.4'!$AI$31:$AI$35</c:f>
              <c:numCache>
                <c:formatCode>General</c:formatCode>
                <c:ptCount val="5"/>
                <c:pt idx="0">
                  <c:v>155.26</c:v>
                </c:pt>
                <c:pt idx="1">
                  <c:v>155.26</c:v>
                </c:pt>
                <c:pt idx="2">
                  <c:v>198.68</c:v>
                </c:pt>
                <c:pt idx="3">
                  <c:v>198.68</c:v>
                </c:pt>
                <c:pt idx="4">
                  <c:v>155.26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3FD7-47AC-90A5-23BC6941C769}"/>
            </c:ext>
          </c:extLst>
        </c:ser>
        <c:ser>
          <c:idx val="48"/>
          <c:order val="47"/>
          <c:tx>
            <c:v>4-q34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'CCC-car.4'!$AH$38:$AH$42</c:f>
              <c:numCache>
                <c:formatCode>0.00</c:formatCode>
                <c:ptCount val="5"/>
                <c:pt idx="0">
                  <c:v>9.5</c:v>
                </c:pt>
                <c:pt idx="1">
                  <c:v>13.5</c:v>
                </c:pt>
                <c:pt idx="2">
                  <c:v>13.5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'CCC-car.4'!$AI$38:$AI$42</c:f>
              <c:numCache>
                <c:formatCode>General</c:formatCode>
                <c:ptCount val="5"/>
                <c:pt idx="0">
                  <c:v>155.26</c:v>
                </c:pt>
                <c:pt idx="1">
                  <c:v>155.26</c:v>
                </c:pt>
                <c:pt idx="2">
                  <c:v>198.68</c:v>
                </c:pt>
                <c:pt idx="3">
                  <c:v>198.68</c:v>
                </c:pt>
                <c:pt idx="4">
                  <c:v>155.26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3FD7-47AC-90A5-23BC6941C769}"/>
            </c:ext>
          </c:extLst>
        </c:ser>
        <c:ser>
          <c:idx val="49"/>
          <c:order val="48"/>
          <c:tx>
            <c:v>4-qd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'CCC-car.4'!$AI$45:$AI$49</c:f>
              <c:numCache>
                <c:formatCode>General</c:formatCode>
                <c:ptCount val="5"/>
                <c:pt idx="0">
                  <c:v>155.26</c:v>
                </c:pt>
                <c:pt idx="1">
                  <c:v>155.26</c:v>
                </c:pt>
                <c:pt idx="2">
                  <c:v>155.26</c:v>
                </c:pt>
                <c:pt idx="3">
                  <c:v>155.26</c:v>
                </c:pt>
                <c:pt idx="4">
                  <c:v>155.26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3FD7-47AC-90A5-23BC6941C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220464"/>
        <c:axId val="319221024"/>
      </c:scatterChart>
      <c:valAx>
        <c:axId val="319220464"/>
        <c:scaling>
          <c:orientation val="minMax"/>
          <c:min val="0"/>
        </c:scaling>
        <c:delete val="1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82734758819"/>
              <c:y val="0.78534972060076269"/>
            </c:manualLayout>
          </c:layout>
          <c:overlay val="0"/>
        </c:title>
        <c:numFmt formatCode="0" sourceLinked="0"/>
        <c:majorTickMark val="out"/>
        <c:minorTickMark val="none"/>
        <c:tickLblPos val="none"/>
        <c:crossAx val="319221024"/>
        <c:crosses val="autoZero"/>
        <c:crossBetween val="midCat"/>
        <c:majorUnit val="1"/>
      </c:valAx>
      <c:valAx>
        <c:axId val="3192210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92204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 orientation="portrait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75"/>
          <c:w val="0.90742455710851666"/>
          <c:h val="0.67859019160259448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9.5</c:v>
                </c:pt>
                <c:pt idx="4">
                  <c:v>13.5</c:v>
                </c:pt>
                <c:pt idx="5">
                  <c:v>13.5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0-4266-B45C-D0AFD3DCC9D4}"/>
            </c:ext>
          </c:extLst>
        </c:ser>
        <c:ser>
          <c:idx val="1"/>
          <c:order val="1"/>
          <c:tx>
            <c:v>R1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9F0-4266-B45C-D0AFD3DCC9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61.322442602040823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F0-4266-B45C-D0AFD3DCC9D4}"/>
            </c:ext>
          </c:extLst>
        </c:ser>
        <c:ser>
          <c:idx val="2"/>
          <c:order val="2"/>
          <c:tx>
            <c:v>R2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9F0-4266-B45C-D0AFD3DCC9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'CCC-car.1'!$Z$36:$Z$37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231.76255739795917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9F0-4266-B45C-D0AFD3DCC9D4}"/>
            </c:ext>
          </c:extLst>
        </c:ser>
        <c:ser>
          <c:idx val="3"/>
          <c:order val="3"/>
          <c:tx>
            <c:v>R3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9F0-4266-B45C-D0AFD3DCC9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'CCC-car.1'!$AB$36:$AB$37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'CCC-car.1'!$AC$36:$AC$37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231.7625573979592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9F0-4266-B45C-D0AFD3DCC9D4}"/>
            </c:ext>
          </c:extLst>
        </c:ser>
        <c:ser>
          <c:idx val="4"/>
          <c:order val="4"/>
          <c:tx>
            <c:v>R4</c:v>
          </c:tx>
          <c:spPr>
            <a:ln w="19050">
              <a:solidFill>
                <a:schemeClr val="tx2"/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9F0-4266-B45C-D0AFD3DCC9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'CCC-car.1'!$W$40:$W$41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61.322442602040823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9F0-4266-B45C-D0AFD3DCC9D4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9F0-4266-B45C-D0AFD3DCC9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'CCC-car.1'!$Y$40:$Y$41</c:f>
              <c:numCache>
                <c:formatCode>0.00</c:formatCode>
                <c:ptCount val="2"/>
              </c:numCache>
            </c:numRef>
          </c:xVal>
          <c:yVal>
            <c:numRef>
              <c:f>'CCC-car.1'!$Z$40:$Z$41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9F0-4266-B45C-D0AFD3DCC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229424"/>
        <c:axId val="319229984"/>
      </c:scatterChart>
      <c:valAx>
        <c:axId val="319229424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9229984"/>
        <c:crosses val="autoZero"/>
        <c:crossBetween val="midCat"/>
        <c:majorUnit val="1"/>
      </c:valAx>
      <c:valAx>
        <c:axId val="31922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92294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43" l="0.70000000000000062" r="0.70000000000000062" t="0.75000000000001243" header="0.30000000000000032" footer="0.30000000000000032"/>
    <c:pageSetup orientation="portrait"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69"/>
          <c:w val="0.90742455710851688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9.5</c:v>
                </c:pt>
                <c:pt idx="4">
                  <c:v>13.5</c:v>
                </c:pt>
                <c:pt idx="5">
                  <c:v>13.5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2D-4DE5-9D45-A80573C7F972}"/>
            </c:ext>
          </c:extLst>
        </c:ser>
        <c:ser>
          <c:idx val="1"/>
          <c:order val="1"/>
          <c:tx>
            <c:v>2-R1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82D-4DE5-9D45-A80573C7F9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'CCC-car.2'!$W$36:$W$37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40.787748724489788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2D-4DE5-9D45-A80573C7F972}"/>
            </c:ext>
          </c:extLst>
        </c:ser>
        <c:ser>
          <c:idx val="2"/>
          <c:order val="2"/>
          <c:tx>
            <c:v>2-R2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2D-4DE5-9D45-A80573C7F9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'CCC-car.2'!$Z$36:$Z$37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207.57725127551018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82D-4DE5-9D45-A80573C7F972}"/>
            </c:ext>
          </c:extLst>
        </c:ser>
        <c:ser>
          <c:idx val="3"/>
          <c:order val="3"/>
          <c:tx>
            <c:v>2-R3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82D-4DE5-9D45-A80573C7F9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'CCC-car.2'!$AB$36:$AB$37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'CCC-car.2'!$AC$36:$AC$37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207.57725127551021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82D-4DE5-9D45-A80573C7F972}"/>
            </c:ext>
          </c:extLst>
        </c:ser>
        <c:ser>
          <c:idx val="4"/>
          <c:order val="4"/>
          <c:tx>
            <c:v>2-R4</c:v>
          </c:tx>
          <c:spPr>
            <a:ln w="19050">
              <a:solidFill>
                <a:schemeClr val="accent2"/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82D-4DE5-9D45-A80573C7F9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'CCC-car.2'!$W$40:$W$41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40.787748724489788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82D-4DE5-9D45-A80573C7F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46096"/>
        <c:axId val="341446656"/>
      </c:scatterChart>
      <c:valAx>
        <c:axId val="34144609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41446656"/>
        <c:crosses val="autoZero"/>
        <c:crossBetween val="midCat"/>
        <c:majorUnit val="1"/>
      </c:valAx>
      <c:valAx>
        <c:axId val="341446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14460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66" l="0.70000000000000062" r="0.70000000000000062" t="0.75000000000001266" header="0.30000000000000032" footer="0.30000000000000032"/>
    <c:pageSetup orientation="portrait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63"/>
          <c:w val="0.9074245571085171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9.5</c:v>
                </c:pt>
                <c:pt idx="4">
                  <c:v>13.5</c:v>
                </c:pt>
                <c:pt idx="5">
                  <c:v>13.5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23-4665-BC3E-AA8460FEF72C}"/>
            </c:ext>
          </c:extLst>
        </c:ser>
        <c:ser>
          <c:idx val="1"/>
          <c:order val="1"/>
          <c:tx>
            <c:v>3-R1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A23-4665-BC3E-AA8460FEF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66.067525510204092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23-4665-BC3E-AA8460FEF72C}"/>
            </c:ext>
          </c:extLst>
        </c:ser>
        <c:ser>
          <c:idx val="2"/>
          <c:order val="2"/>
          <c:tx>
            <c:v>3-R2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3-4665-BC3E-AA8460FEF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'CCC-car.3'!$Z$36:$Z$37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196.27247448979591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23-4665-BC3E-AA8460FEF72C}"/>
            </c:ext>
          </c:extLst>
        </c:ser>
        <c:ser>
          <c:idx val="3"/>
          <c:order val="3"/>
          <c:tx>
            <c:v>3-R3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A23-4665-BC3E-AA8460FEF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'CCC-car.3'!$AB$36:$AB$37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'CCC-car.3'!$AC$36:$AC$37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196.27247448979591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A23-4665-BC3E-AA8460FEF72C}"/>
            </c:ext>
          </c:extLst>
        </c:ser>
        <c:ser>
          <c:idx val="4"/>
          <c:order val="4"/>
          <c:tx>
            <c:v>3-R4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3-4665-BC3E-AA8460FEF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'CCC-car.3'!$W$40:$W$41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66.067525510204092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A23-4665-BC3E-AA8460FEF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51696"/>
        <c:axId val="341452256"/>
      </c:scatterChart>
      <c:valAx>
        <c:axId val="34145169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41452256"/>
        <c:crosses val="autoZero"/>
        <c:crossBetween val="midCat"/>
        <c:majorUnit val="1"/>
      </c:valAx>
      <c:valAx>
        <c:axId val="3414522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1451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88" l="0.70000000000000062" r="0.70000000000000062" t="0.75000000000001288" header="0.30000000000000032" footer="0.30000000000000032"/>
    <c:pageSetup orientation="portrait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58"/>
          <c:w val="0.90742455710851733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9.5</c:v>
                </c:pt>
                <c:pt idx="4">
                  <c:v>13.5</c:v>
                </c:pt>
                <c:pt idx="5">
                  <c:v>13.5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CE-416B-BCF8-3B95A4E28731}"/>
            </c:ext>
          </c:extLst>
        </c:ser>
        <c:ser>
          <c:idx val="1"/>
          <c:order val="1"/>
          <c:tx>
            <c:v>4-R1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CE-416B-BCF8-3B95A4E287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41.531391959561603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CE-416B-BCF8-3B95A4E28731}"/>
            </c:ext>
          </c:extLst>
        </c:ser>
        <c:ser>
          <c:idx val="2"/>
          <c:order val="2"/>
          <c:tx>
            <c:v>4-R2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CE-416B-BCF8-3B95A4E287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'CCC-car.4'!$Z$36:$Z$37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204.4244497912801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8CE-416B-BCF8-3B95A4E28731}"/>
            </c:ext>
          </c:extLst>
        </c:ser>
        <c:ser>
          <c:idx val="3"/>
          <c:order val="3"/>
          <c:tx>
            <c:v>4-R3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8CE-416B-BCF8-3B95A4E287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'CCC-car.4'!$AB$36:$AB$37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'CCC-car.4'!$AC$36:$AC$37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234.91535888218925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8CE-416B-BCF8-3B95A4E28731}"/>
            </c:ext>
          </c:extLst>
        </c:ser>
        <c:ser>
          <c:idx val="4"/>
          <c:order val="4"/>
          <c:tx>
            <c:v>4-R4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CE-416B-BCF8-3B95A4E287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'CCC-car.4'!$W$40:$W$41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60.578799366969015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8CE-416B-BCF8-3B95A4E28731}"/>
            </c:ext>
          </c:extLst>
        </c:ser>
        <c:ser>
          <c:idx val="5"/>
          <c:order val="5"/>
          <c:tx>
            <c:v>4-R5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8CE-416B-BCF8-3B95A4E287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8CE-416B-BCF8-3B95A4E28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57856"/>
        <c:axId val="341458416"/>
      </c:scatterChart>
      <c:valAx>
        <c:axId val="34145785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41458416"/>
        <c:crosses val="autoZero"/>
        <c:crossBetween val="midCat"/>
        <c:majorUnit val="1"/>
      </c:valAx>
      <c:valAx>
        <c:axId val="34145841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1457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 orientation="portrait"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52"/>
          <c:w val="0.90742455710851755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9.5</c:v>
                </c:pt>
                <c:pt idx="4">
                  <c:v>13.5</c:v>
                </c:pt>
                <c:pt idx="5">
                  <c:v>13.5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5-4365-9D38-77182C0D3B48}"/>
            </c:ext>
          </c:extLst>
        </c:ser>
        <c:ser>
          <c:idx val="1"/>
          <c:order val="1"/>
          <c:tx>
            <c:v>5-R1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815-4365-9D38-77182C0D3B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60.578799366969008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15-4365-9D38-77182C0D3B48}"/>
            </c:ext>
          </c:extLst>
        </c:ser>
        <c:ser>
          <c:idx val="2"/>
          <c:order val="2"/>
          <c:tx>
            <c:v>5-R2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815-4365-9D38-77182C0D3B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'CCC-car.5'!$Z$36:$Z$37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234.91535888218925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15-4365-9D38-77182C0D3B48}"/>
            </c:ext>
          </c:extLst>
        </c:ser>
        <c:ser>
          <c:idx val="3"/>
          <c:order val="3"/>
          <c:tx>
            <c:v>5-R3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815-4365-9D38-77182C0D3B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'CCC-car.5'!$AB$36:$AB$37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'CCC-car.5'!$AC$36:$AC$37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204.42444979128013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815-4365-9D38-77182C0D3B48}"/>
            </c:ext>
          </c:extLst>
        </c:ser>
        <c:ser>
          <c:idx val="4"/>
          <c:order val="4"/>
          <c:tx>
            <c:v>5-R4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815-4365-9D38-77182C0D3B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'CCC-car.5'!$W$40:$W$41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41.531391959561596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815-4365-9D38-77182C0D3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63456"/>
        <c:axId val="341464016"/>
      </c:scatterChart>
      <c:valAx>
        <c:axId val="34146345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41464016"/>
        <c:crosses val="autoZero"/>
        <c:crossBetween val="midCat"/>
        <c:majorUnit val="1"/>
      </c:valAx>
      <c:valAx>
        <c:axId val="34146401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14634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 orientation="portrait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7423330216279029E-2"/>
          <c:y val="9.9061975819114148E-2"/>
          <c:w val="0.8428226862835777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'CCC-car.1'!$AD$47:$AD$81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'CCC-car.1'!$AE$47:$AE$81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25.23372130102041</c:v>
                </c:pt>
                <c:pt idx="6">
                  <c:v>39.612442602040822</c:v>
                </c:pt>
                <c:pt idx="7">
                  <c:v>43.136163903061224</c:v>
                </c:pt>
                <c:pt idx="8">
                  <c:v>35.804885204081643</c:v>
                </c:pt>
                <c:pt idx="9">
                  <c:v>17.618606505102065</c:v>
                </c:pt>
                <c:pt idx="10">
                  <c:v>-11.42267219387756</c:v>
                </c:pt>
                <c:pt idx="11">
                  <c:v>-51.318950892857117</c:v>
                </c:pt>
                <c:pt idx="12">
                  <c:v>-102.07022959183672</c:v>
                </c:pt>
                <c:pt idx="13">
                  <c:v>-102.07022959183672</c:v>
                </c:pt>
                <c:pt idx="14">
                  <c:v>-30.240659279336725</c:v>
                </c:pt>
                <c:pt idx="15">
                  <c:v>21.066176658163272</c:v>
                </c:pt>
                <c:pt idx="16">
                  <c:v>51.850278220663256</c:v>
                </c:pt>
                <c:pt idx="17">
                  <c:v>62.111645408163213</c:v>
                </c:pt>
                <c:pt idx="18">
                  <c:v>51.850278220663256</c:v>
                </c:pt>
                <c:pt idx="19">
                  <c:v>21.066176658163215</c:v>
                </c:pt>
                <c:pt idx="20">
                  <c:v>-30.240659279336796</c:v>
                </c:pt>
                <c:pt idx="21">
                  <c:v>-102.07022959183678</c:v>
                </c:pt>
                <c:pt idx="22">
                  <c:v>-102.07022959183672</c:v>
                </c:pt>
                <c:pt idx="23">
                  <c:v>-51.318950892857124</c:v>
                </c:pt>
                <c:pt idx="24">
                  <c:v>-11.422672193877546</c:v>
                </c:pt>
                <c:pt idx="25">
                  <c:v>17.618606505102065</c:v>
                </c:pt>
                <c:pt idx="26">
                  <c:v>35.804885204081643</c:v>
                </c:pt>
                <c:pt idx="27">
                  <c:v>43.136163903061231</c:v>
                </c:pt>
                <c:pt idx="28">
                  <c:v>39.612442602040801</c:v>
                </c:pt>
                <c:pt idx="29">
                  <c:v>25.23372130102041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03-4DBB-A653-1411907CCAA8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A03-4DBB-A653-1411907CCAA8}"/>
              </c:ext>
            </c:extLst>
          </c:dPt>
          <c:dLbls>
            <c:delete val="1"/>
          </c:dLbls>
          <c:xVal>
            <c:numRef>
              <c:f>'CCC-car.1'!$AK$17:$AK$18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03-4DBB-A653-1411907CCAA8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8A03-4DBB-A653-1411907CCAA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'CCC-car.1'!$AL$19:$AL$20</c:f>
              <c:numCache>
                <c:formatCode>0.00</c:formatCode>
                <c:ptCount val="2"/>
                <c:pt idx="0">
                  <c:v>0</c:v>
                </c:pt>
                <c:pt idx="1">
                  <c:v>-102.07022959183672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A03-4DBB-A653-1411907CCAA8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8A03-4DBB-A653-1411907CCAA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'CCC-car.1'!$AK$21:$AK$22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'CCC-car.1'!$AL$21:$AL$22</c:f>
              <c:numCache>
                <c:formatCode>0.00</c:formatCode>
                <c:ptCount val="2"/>
                <c:pt idx="0">
                  <c:v>0</c:v>
                </c:pt>
                <c:pt idx="1">
                  <c:v>-102.07022959183678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A03-4DBB-A653-1411907CCAA8}"/>
            </c:ext>
          </c:extLst>
        </c:ser>
        <c:ser>
          <c:idx val="4"/>
          <c:order val="4"/>
          <c:tx>
            <c:v>app4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'CCC-car.1'!$AK$23:$AK$24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'CCC-car.1'!$AL$23:$AL$24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A03-4DBB-A653-1411907CCAA8}"/>
            </c:ext>
          </c:extLst>
        </c:ser>
        <c:ser>
          <c:idx val="10"/>
          <c:order val="5"/>
          <c:tx>
            <c:v>camp1-2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'CCC-car.1'!$AK$40:$AK$41</c:f>
              <c:numCache>
                <c:formatCode>0.00</c:formatCode>
                <c:ptCount val="2"/>
                <c:pt idx="0">
                  <c:v>1.4123086734693879</c:v>
                </c:pt>
                <c:pt idx="1">
                  <c:v>1.4123086734693879</c:v>
                </c:pt>
              </c:numCache>
            </c:numRef>
          </c:xVal>
          <c:yVal>
            <c:numRef>
              <c:f>'CCC-car.1'!$AL$40:$AL$41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43.30310878259548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8A03-4DBB-A653-1411907CCAA8}"/>
            </c:ext>
          </c:extLst>
        </c:ser>
        <c:ser>
          <c:idx val="11"/>
          <c:order val="6"/>
          <c:tx>
            <c:v>camp.2-3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'CCC-car.1'!$AK$42:$AK$43</c:f>
              <c:numCache>
                <c:formatCode>0.00</c:formatCode>
                <c:ptCount val="2"/>
                <c:pt idx="0">
                  <c:v>6.75</c:v>
                </c:pt>
                <c:pt idx="1">
                  <c:v>6.75</c:v>
                </c:pt>
              </c:numCache>
            </c:numRef>
          </c:xVal>
          <c:yVal>
            <c:numRef>
              <c:f>'CCC-car.1'!$AL$42:$AL$43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62.111645408163241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8A03-4DBB-A653-1411907CCAA8}"/>
            </c:ext>
          </c:extLst>
        </c:ser>
        <c:ser>
          <c:idx val="12"/>
          <c:order val="7"/>
          <c:tx>
            <c:v>camp.3-4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'CCC-car.1'!$AK$44:$AK$45</c:f>
              <c:numCache>
                <c:formatCode>0.00</c:formatCode>
                <c:ptCount val="2"/>
                <c:pt idx="0">
                  <c:v>12.087691326530612</c:v>
                </c:pt>
                <c:pt idx="1">
                  <c:v>12.087691326530612</c:v>
                </c:pt>
              </c:numCache>
            </c:numRef>
          </c:xVal>
          <c:yVal>
            <c:numRef>
              <c:f>'CCC-car.1'!$AL$44:$AL$45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43.303108782595416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8A03-4DBB-A653-1411907CCAA8}"/>
            </c:ext>
          </c:extLst>
        </c:ser>
        <c:ser>
          <c:idx val="5"/>
          <c:order val="8"/>
          <c:tx>
            <c:v>M2(x)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'CCC-car.2'!$AD$47:$AD$81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'CCC-car.2'!$AE$47:$AE$81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16.363874362244893</c:v>
                </c:pt>
                <c:pt idx="6">
                  <c:v>24.66774872448979</c:v>
                </c:pt>
                <c:pt idx="7">
                  <c:v>24.911623086734686</c:v>
                </c:pt>
                <c:pt idx="8">
                  <c:v>17.095497448979586</c:v>
                </c:pt>
                <c:pt idx="9">
                  <c:v>1.2193718112244909</c:v>
                </c:pt>
                <c:pt idx="10">
                  <c:v>-22.716753826530621</c:v>
                </c:pt>
                <c:pt idx="11">
                  <c:v>-54.71287946428572</c:v>
                </c:pt>
                <c:pt idx="12">
                  <c:v>-94.769005102040808</c:v>
                </c:pt>
                <c:pt idx="13">
                  <c:v>-94.769005102040808</c:v>
                </c:pt>
                <c:pt idx="14">
                  <c:v>-22.939434789540812</c:v>
                </c:pt>
                <c:pt idx="15">
                  <c:v>28.367401147959185</c:v>
                </c:pt>
                <c:pt idx="16">
                  <c:v>59.15150271045917</c:v>
                </c:pt>
                <c:pt idx="17">
                  <c:v>69.412869897959126</c:v>
                </c:pt>
                <c:pt idx="18">
                  <c:v>59.15150271045917</c:v>
                </c:pt>
                <c:pt idx="19">
                  <c:v>28.367401147959129</c:v>
                </c:pt>
                <c:pt idx="20">
                  <c:v>-22.939434789540883</c:v>
                </c:pt>
                <c:pt idx="21">
                  <c:v>-94.769005102040865</c:v>
                </c:pt>
                <c:pt idx="22">
                  <c:v>-94.769005102040808</c:v>
                </c:pt>
                <c:pt idx="23">
                  <c:v>-54.712879464285713</c:v>
                </c:pt>
                <c:pt idx="24">
                  <c:v>-22.716753826530621</c:v>
                </c:pt>
                <c:pt idx="25">
                  <c:v>1.2193718112245051</c:v>
                </c:pt>
                <c:pt idx="26">
                  <c:v>17.095497448979586</c:v>
                </c:pt>
                <c:pt idx="27">
                  <c:v>24.911623086734664</c:v>
                </c:pt>
                <c:pt idx="28">
                  <c:v>24.667748724489797</c:v>
                </c:pt>
                <c:pt idx="29">
                  <c:v>16.363874362244871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8A03-4DBB-A653-1411907CCAA8}"/>
            </c:ext>
          </c:extLst>
        </c:ser>
        <c:ser>
          <c:idx val="6"/>
          <c:order val="9"/>
          <c:tx>
            <c:v>2-app.1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'CCC-car.2'!$AK$17:$AK$18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'CCC-car.2'!$AL$17:$AL$18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8A03-4DBB-A653-1411907CCAA8}"/>
            </c:ext>
          </c:extLst>
        </c:ser>
        <c:ser>
          <c:idx val="7"/>
          <c:order val="10"/>
          <c:tx>
            <c:v>2-app.2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'CCC-car.2'!$AL$19:$AL$20</c:f>
              <c:numCache>
                <c:formatCode>0.00</c:formatCode>
                <c:ptCount val="2"/>
                <c:pt idx="0">
                  <c:v>0</c:v>
                </c:pt>
                <c:pt idx="1">
                  <c:v>-94.769005102040808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8A03-4DBB-A653-1411907CCAA8}"/>
            </c:ext>
          </c:extLst>
        </c:ser>
        <c:ser>
          <c:idx val="8"/>
          <c:order val="11"/>
          <c:tx>
            <c:v>2-app.3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'CCC-car.2'!$AK$21:$AK$22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'CCC-car.2'!$AL$21:$AL$22</c:f>
              <c:numCache>
                <c:formatCode>0.00</c:formatCode>
                <c:ptCount val="2"/>
                <c:pt idx="0">
                  <c:v>0</c:v>
                </c:pt>
                <c:pt idx="1">
                  <c:v>-94.769005102040865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8A03-4DBB-A653-1411907CCAA8}"/>
            </c:ext>
          </c:extLst>
        </c:ser>
        <c:ser>
          <c:idx val="9"/>
          <c:order val="12"/>
          <c:tx>
            <c:v>2-app.4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'CCC-car.2'!$AK$23:$AK$24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'CCC-car.2'!$AL$23:$AL$24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A03-4DBB-A653-1411907CCAA8}"/>
            </c:ext>
          </c:extLst>
        </c:ser>
        <c:ser>
          <c:idx val="13"/>
          <c:order val="13"/>
          <c:tx>
            <c:v>2-camp.1-2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'CCC-car.2'!$AK$40:$AK$41</c:f>
              <c:numCache>
                <c:formatCode>0.00</c:formatCode>
                <c:ptCount val="2"/>
                <c:pt idx="0">
                  <c:v>1.2651286825213957</c:v>
                </c:pt>
                <c:pt idx="1">
                  <c:v>1.2651286825213957</c:v>
                </c:pt>
              </c:numCache>
            </c:numRef>
          </c:xVal>
          <c:yVal>
            <c:numRef>
              <c:f>'CCC-car.2'!$AL$40:$AL$41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25.800875403413752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8A03-4DBB-A653-1411907CCAA8}"/>
            </c:ext>
          </c:extLst>
        </c:ser>
        <c:ser>
          <c:idx val="14"/>
          <c:order val="14"/>
          <c:tx>
            <c:v>2-camp.2-3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'CCC-car.2'!$AK$42:$AK$43</c:f>
              <c:numCache>
                <c:formatCode>0.00</c:formatCode>
                <c:ptCount val="2"/>
                <c:pt idx="0">
                  <c:v>6.75</c:v>
                </c:pt>
                <c:pt idx="1">
                  <c:v>6.75</c:v>
                </c:pt>
              </c:numCache>
            </c:numRef>
          </c:xVal>
          <c:yVal>
            <c:numRef>
              <c:f>'CCC-car.2'!$AL$42:$AL$43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69.412869897959155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8A03-4DBB-A653-1411907CCAA8}"/>
            </c:ext>
          </c:extLst>
        </c:ser>
        <c:ser>
          <c:idx val="15"/>
          <c:order val="15"/>
          <c:tx>
            <c:v>2-camp.3-4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'CCC-car.2'!$AK$44:$AK$45</c:f>
              <c:numCache>
                <c:formatCode>0.00</c:formatCode>
                <c:ptCount val="2"/>
                <c:pt idx="0">
                  <c:v>12.234871317478603</c:v>
                </c:pt>
                <c:pt idx="1">
                  <c:v>12.234871317478603</c:v>
                </c:pt>
              </c:numCache>
            </c:numRef>
          </c:xVal>
          <c:yVal>
            <c:numRef>
              <c:f>'CCC-car.2'!$AL$44:$AL$45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25.80087540341367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8A03-4DBB-A653-1411907CCAA8}"/>
            </c:ext>
          </c:extLst>
        </c:ser>
        <c:ser>
          <c:idx val="16"/>
          <c:order val="16"/>
          <c:tx>
            <c:v>M3(x)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'CCC-car.3'!$AD$47:$AD$81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'CCC-car.3'!$AE$47:$AE$81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27.606262755102044</c:v>
                </c:pt>
                <c:pt idx="6">
                  <c:v>44.357525510204091</c:v>
                </c:pt>
                <c:pt idx="7">
                  <c:v>50.253788265306135</c:v>
                </c:pt>
                <c:pt idx="8">
                  <c:v>45.295051020408181</c:v>
                </c:pt>
                <c:pt idx="9">
                  <c:v>29.481313775510216</c:v>
                </c:pt>
                <c:pt idx="10">
                  <c:v>2.8125765306122616</c:v>
                </c:pt>
                <c:pt idx="11">
                  <c:v>-34.711160714285654</c:v>
                </c:pt>
                <c:pt idx="12">
                  <c:v>-83.089897959183645</c:v>
                </c:pt>
                <c:pt idx="13">
                  <c:v>-83.089897959183673</c:v>
                </c:pt>
                <c:pt idx="14">
                  <c:v>-29.75536670918369</c:v>
                </c:pt>
                <c:pt idx="15">
                  <c:v>8.3407270408163043</c:v>
                </c:pt>
                <c:pt idx="16">
                  <c:v>31.198383290816281</c:v>
                </c:pt>
                <c:pt idx="17">
                  <c:v>38.817602040816269</c:v>
                </c:pt>
                <c:pt idx="18">
                  <c:v>31.198383290816309</c:v>
                </c:pt>
                <c:pt idx="19">
                  <c:v>8.3407270408162617</c:v>
                </c:pt>
                <c:pt idx="20">
                  <c:v>-29.755366709183647</c:v>
                </c:pt>
                <c:pt idx="21">
                  <c:v>-83.089897959183759</c:v>
                </c:pt>
                <c:pt idx="22">
                  <c:v>-83.089897959183673</c:v>
                </c:pt>
                <c:pt idx="23">
                  <c:v>-34.711160714285711</c:v>
                </c:pt>
                <c:pt idx="24">
                  <c:v>2.8125765306122332</c:v>
                </c:pt>
                <c:pt idx="25">
                  <c:v>29.481313775510216</c:v>
                </c:pt>
                <c:pt idx="26">
                  <c:v>45.295051020408152</c:v>
                </c:pt>
                <c:pt idx="27">
                  <c:v>50.253788265306099</c:v>
                </c:pt>
                <c:pt idx="28">
                  <c:v>44.357525510204084</c:v>
                </c:pt>
                <c:pt idx="29">
                  <c:v>27.60626275510208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8A03-4DBB-A653-1411907CCAA8}"/>
            </c:ext>
          </c:extLst>
        </c:ser>
        <c:ser>
          <c:idx val="17"/>
          <c:order val="17"/>
          <c:tx>
            <c:v>3-app.1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'CCC-car.3'!$AK$17:$AK$18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8A03-4DBB-A653-1411907CCAA8}"/>
            </c:ext>
          </c:extLst>
        </c:ser>
        <c:ser>
          <c:idx val="18"/>
          <c:order val="18"/>
          <c:tx>
            <c:v>3-app.2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'CCC-car.3'!$AL$19:$AL$20</c:f>
              <c:numCache>
                <c:formatCode>0.00</c:formatCode>
                <c:ptCount val="2"/>
                <c:pt idx="0">
                  <c:v>0</c:v>
                </c:pt>
                <c:pt idx="1">
                  <c:v>-83.089897959183645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8A03-4DBB-A653-1411907CCAA8}"/>
            </c:ext>
          </c:extLst>
        </c:ser>
        <c:ser>
          <c:idx val="19"/>
          <c:order val="19"/>
          <c:tx>
            <c:v>3-app.3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'CCC-car.3'!$AK$21:$AK$22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'CCC-car.3'!$AL$21:$AL$22</c:f>
              <c:numCache>
                <c:formatCode>0.00</c:formatCode>
                <c:ptCount val="2"/>
                <c:pt idx="0">
                  <c:v>0</c:v>
                </c:pt>
                <c:pt idx="1">
                  <c:v>-83.089897959183759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8A03-4DBB-A653-1411907CCAA8}"/>
            </c:ext>
          </c:extLst>
        </c:ser>
        <c:ser>
          <c:idx val="20"/>
          <c:order val="20"/>
          <c:tx>
            <c:v>3-app.4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'CCC-car.3'!$AK$23:$AK$24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'CCC-car.3'!$AL$23:$AL$24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8A03-4DBB-A653-1411907CCAA8}"/>
            </c:ext>
          </c:extLst>
        </c:ser>
        <c:ser>
          <c:idx val="21"/>
          <c:order val="21"/>
          <c:tx>
            <c:v>3-camp.1-2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'CCC-car.3'!$AK$40:$AK$41</c:f>
              <c:numCache>
                <c:formatCode>0.00</c:formatCode>
                <c:ptCount val="2"/>
                <c:pt idx="0">
                  <c:v>1.5215920200415498</c:v>
                </c:pt>
                <c:pt idx="1">
                  <c:v>1.5215920200415498</c:v>
                </c:pt>
              </c:numCache>
            </c:numRef>
          </c:xVal>
          <c:yVal>
            <c:numRef>
              <c:f>'CCC-car.3'!$AL$40:$AL$41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50.263909800109033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8A03-4DBB-A653-1411907CCAA8}"/>
            </c:ext>
          </c:extLst>
        </c:ser>
        <c:ser>
          <c:idx val="22"/>
          <c:order val="22"/>
          <c:tx>
            <c:v>3-camp.2-3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'CCC-car.3'!$AK$42:$AK$43</c:f>
              <c:numCache>
                <c:formatCode>0.00</c:formatCode>
                <c:ptCount val="2"/>
                <c:pt idx="0">
                  <c:v>6.75</c:v>
                </c:pt>
                <c:pt idx="1">
                  <c:v>6.75</c:v>
                </c:pt>
              </c:numCache>
            </c:numRef>
          </c:xVal>
          <c:yVal>
            <c:numRef>
              <c:f>'CCC-car.3'!$AL$42:$AL$43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38.817602040816311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8A03-4DBB-A653-1411907CCAA8}"/>
            </c:ext>
          </c:extLst>
        </c:ser>
        <c:ser>
          <c:idx val="23"/>
          <c:order val="23"/>
          <c:tx>
            <c:v>3-camp.3-4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'CCC-car.3'!$AK$44:$AK$45</c:f>
              <c:numCache>
                <c:formatCode>0.00</c:formatCode>
                <c:ptCount val="2"/>
                <c:pt idx="0">
                  <c:v>11.978407979958451</c:v>
                </c:pt>
                <c:pt idx="1">
                  <c:v>11.978407979958451</c:v>
                </c:pt>
              </c:numCache>
            </c:numRef>
          </c:xVal>
          <c:yVal>
            <c:numRef>
              <c:f>'CCC-car.3'!$AL$44:$AL$45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50.263909800108905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8A03-4DBB-A653-1411907CCAA8}"/>
            </c:ext>
          </c:extLst>
        </c:ser>
        <c:ser>
          <c:idx val="24"/>
          <c:order val="24"/>
          <c:tx>
            <c:v>M4(x)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'CCC-car.4'!$AD$47:$AD$81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'CCC-car.4'!$AE$47:$AE$81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16.7356959797808</c:v>
                </c:pt>
                <c:pt idx="6">
                  <c:v>25.411391959561605</c:v>
                </c:pt>
                <c:pt idx="7">
                  <c:v>26.027087939342408</c:v>
                </c:pt>
                <c:pt idx="8">
                  <c:v>18.582783919123216</c:v>
                </c:pt>
                <c:pt idx="9">
                  <c:v>3.0784798989040212</c:v>
                </c:pt>
                <c:pt idx="10">
                  <c:v>-20.485824121315176</c:v>
                </c:pt>
                <c:pt idx="11">
                  <c:v>-52.110128141534346</c:v>
                </c:pt>
                <c:pt idx="12">
                  <c:v>-91.794432161753548</c:v>
                </c:pt>
                <c:pt idx="13">
                  <c:v>-91.794432161753576</c:v>
                </c:pt>
                <c:pt idx="14">
                  <c:v>-21.621158145549884</c:v>
                </c:pt>
                <c:pt idx="15">
                  <c:v>28.029381495653809</c:v>
                </c:pt>
                <c:pt idx="16">
                  <c:v>57.157186761857503</c:v>
                </c:pt>
                <c:pt idx="17">
                  <c:v>65.76225765306117</c:v>
                </c:pt>
                <c:pt idx="18">
                  <c:v>53.844594169264894</c:v>
                </c:pt>
                <c:pt idx="19">
                  <c:v>21.404196310468592</c:v>
                </c:pt>
                <c:pt idx="20">
                  <c:v>-31.558935923327795</c:v>
                </c:pt>
                <c:pt idx="21">
                  <c:v>-105.04480253212409</c:v>
                </c:pt>
                <c:pt idx="22">
                  <c:v>-105.04480253212395</c:v>
                </c:pt>
                <c:pt idx="23">
                  <c:v>-53.921702215608448</c:v>
                </c:pt>
                <c:pt idx="24">
                  <c:v>-13.653601899092962</c:v>
                </c:pt>
                <c:pt idx="25">
                  <c:v>15.759498417422549</c:v>
                </c:pt>
                <c:pt idx="26">
                  <c:v>34.317598733938041</c:v>
                </c:pt>
                <c:pt idx="27">
                  <c:v>42.020699050453544</c:v>
                </c:pt>
                <c:pt idx="28">
                  <c:v>38.868799366969029</c:v>
                </c:pt>
                <c:pt idx="29">
                  <c:v>24.861899683484523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8A03-4DBB-A653-1411907CCAA8}"/>
            </c:ext>
          </c:extLst>
        </c:ser>
        <c:ser>
          <c:idx val="25"/>
          <c:order val="25"/>
          <c:tx>
            <c:v>4-app.1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'CCC-car.4'!$AK$17:$AK$18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8A03-4DBB-A653-1411907CCAA8}"/>
            </c:ext>
          </c:extLst>
        </c:ser>
        <c:ser>
          <c:idx val="26"/>
          <c:order val="26"/>
          <c:tx>
            <c:v>4-app.2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'CCC-car.4'!$AL$19:$AL$20</c:f>
              <c:numCache>
                <c:formatCode>0.00</c:formatCode>
                <c:ptCount val="2"/>
                <c:pt idx="0">
                  <c:v>0</c:v>
                </c:pt>
                <c:pt idx="1">
                  <c:v>-91.794432161753548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8A03-4DBB-A653-1411907CCAA8}"/>
            </c:ext>
          </c:extLst>
        </c:ser>
        <c:ser>
          <c:idx val="27"/>
          <c:order val="27"/>
          <c:tx>
            <c:v>4-app.3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'CCC-car.4'!$AK$21:$AK$22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'CCC-car.4'!$AL$21:$AL$22</c:f>
              <c:numCache>
                <c:formatCode>0.00</c:formatCode>
                <c:ptCount val="2"/>
                <c:pt idx="0">
                  <c:v>0</c:v>
                </c:pt>
                <c:pt idx="1">
                  <c:v>-105.04480253212409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8A03-4DBB-A653-1411907CCAA8}"/>
            </c:ext>
          </c:extLst>
        </c:ser>
        <c:ser>
          <c:idx val="28"/>
          <c:order val="28"/>
          <c:tx>
            <c:v>4-app.4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'CCC-car.4'!$AK$23:$AK$24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'CCC-car.4'!$AL$23:$AL$24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8A03-4DBB-A653-1411907CCAA8}"/>
            </c:ext>
          </c:extLst>
        </c:ser>
        <c:ser>
          <c:idx val="29"/>
          <c:order val="29"/>
          <c:tx>
            <c:v>4-camp.1-2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'CCC-car.4'!$AK$40:$AK$41</c:f>
              <c:numCache>
                <c:formatCode>0.00</c:formatCode>
                <c:ptCount val="2"/>
                <c:pt idx="0">
                  <c:v>1.2881945396886356</c:v>
                </c:pt>
                <c:pt idx="1">
                  <c:v>1.2881945396886356</c:v>
                </c:pt>
              </c:numCache>
            </c:numRef>
          </c:xVal>
          <c:yVal>
            <c:numRef>
              <c:f>'CCC-car.4'!$AL$40:$AL$41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26.750256173987882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8A03-4DBB-A653-1411907CCAA8}"/>
            </c:ext>
          </c:extLst>
        </c:ser>
        <c:ser>
          <c:idx val="30"/>
          <c:order val="30"/>
          <c:tx>
            <c:v>4-camp.2-3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'CCC-car.4'!$AK$42:$AK$43</c:f>
              <c:numCache>
                <c:formatCode>0.00</c:formatCode>
                <c:ptCount val="2"/>
                <c:pt idx="0">
                  <c:v>6.6945150103832738</c:v>
                </c:pt>
                <c:pt idx="1">
                  <c:v>6.6945150103832738</c:v>
                </c:pt>
              </c:numCache>
            </c:numRef>
          </c:xVal>
          <c:yVal>
            <c:numRef>
              <c:f>'CCC-car.4'!$AL$42:$AL$43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65.829093713281054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8A03-4DBB-A653-1411907CCAA8}"/>
            </c:ext>
          </c:extLst>
        </c:ser>
        <c:ser>
          <c:idx val="31"/>
          <c:order val="31"/>
          <c:tx>
            <c:v>4-camp.3-4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'CCC-car.4'!$AK$44:$AK$45</c:f>
              <c:numCache>
                <c:formatCode>0.00</c:formatCode>
                <c:ptCount val="2"/>
                <c:pt idx="0">
                  <c:v>12.104818070774551</c:v>
                </c:pt>
                <c:pt idx="1">
                  <c:v>12.104818070774551</c:v>
                </c:pt>
              </c:numCache>
            </c:numRef>
          </c:xVal>
          <c:yVal>
            <c:numRef>
              <c:f>'CCC-car.4'!$AL$44:$AL$45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42.259223085484479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8A03-4DBB-A653-1411907CCAA8}"/>
            </c:ext>
          </c:extLst>
        </c:ser>
        <c:ser>
          <c:idx val="32"/>
          <c:order val="32"/>
          <c:tx>
            <c:v>M5(x)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'CCC-car.5'!$AD$47:$AD$81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'CCC-car.5'!$AE$47:$AE$81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24.861899683484502</c:v>
                </c:pt>
                <c:pt idx="6">
                  <c:v>38.868799366969007</c:v>
                </c:pt>
                <c:pt idx="7">
                  <c:v>42.020699050453509</c:v>
                </c:pt>
                <c:pt idx="8">
                  <c:v>34.317598733938013</c:v>
                </c:pt>
                <c:pt idx="9">
                  <c:v>15.75949841742252</c:v>
                </c:pt>
                <c:pt idx="10">
                  <c:v>-13.65360189909299</c:v>
                </c:pt>
                <c:pt idx="11">
                  <c:v>-53.921702215608462</c:v>
                </c:pt>
                <c:pt idx="12">
                  <c:v>-105.04480253212398</c:v>
                </c:pt>
                <c:pt idx="13">
                  <c:v>-105.04480253212395</c:v>
                </c:pt>
                <c:pt idx="14">
                  <c:v>-31.558935923327653</c:v>
                </c:pt>
                <c:pt idx="15">
                  <c:v>21.404196310468649</c:v>
                </c:pt>
                <c:pt idx="16">
                  <c:v>53.844594169264923</c:v>
                </c:pt>
                <c:pt idx="17">
                  <c:v>65.762257653061226</c:v>
                </c:pt>
                <c:pt idx="18">
                  <c:v>57.157186761857531</c:v>
                </c:pt>
                <c:pt idx="19">
                  <c:v>28.029381495653752</c:v>
                </c:pt>
                <c:pt idx="20">
                  <c:v>-21.621158145549884</c:v>
                </c:pt>
                <c:pt idx="21">
                  <c:v>-91.794432161753662</c:v>
                </c:pt>
                <c:pt idx="22">
                  <c:v>-91.794432161753576</c:v>
                </c:pt>
                <c:pt idx="23">
                  <c:v>-52.110128141534389</c:v>
                </c:pt>
                <c:pt idx="24">
                  <c:v>-20.485824121315204</c:v>
                </c:pt>
                <c:pt idx="25">
                  <c:v>3.0784798989039928</c:v>
                </c:pt>
                <c:pt idx="26">
                  <c:v>18.582783919123187</c:v>
                </c:pt>
                <c:pt idx="27">
                  <c:v>26.02708793934238</c:v>
                </c:pt>
                <c:pt idx="28">
                  <c:v>25.411391959561598</c:v>
                </c:pt>
                <c:pt idx="29">
                  <c:v>16.735695979780758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8A03-4DBB-A653-1411907CCAA8}"/>
            </c:ext>
          </c:extLst>
        </c:ser>
        <c:ser>
          <c:idx val="33"/>
          <c:order val="33"/>
          <c:tx>
            <c:v>5-app.1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'CCC-car.5'!$AK$17:$AK$18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8A03-4DBB-A653-1411907CCAA8}"/>
            </c:ext>
          </c:extLst>
        </c:ser>
        <c:ser>
          <c:idx val="34"/>
          <c:order val="34"/>
          <c:tx>
            <c:v>5-app.2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'CCC-car.5'!$AL$19:$AL$20</c:f>
              <c:numCache>
                <c:formatCode>0.00</c:formatCode>
                <c:ptCount val="2"/>
                <c:pt idx="0">
                  <c:v>0</c:v>
                </c:pt>
                <c:pt idx="1">
                  <c:v>-105.04480253212398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8A03-4DBB-A653-1411907CCAA8}"/>
            </c:ext>
          </c:extLst>
        </c:ser>
        <c:ser>
          <c:idx val="35"/>
          <c:order val="35"/>
          <c:tx>
            <c:v>5-app.3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'CCC-car.5'!$AK$21:$AK$22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'CCC-car.5'!$AL$21:$AL$22</c:f>
              <c:numCache>
                <c:formatCode>0.00</c:formatCode>
                <c:ptCount val="2"/>
                <c:pt idx="0">
                  <c:v>0</c:v>
                </c:pt>
                <c:pt idx="1">
                  <c:v>-91.794432161753662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8A03-4DBB-A653-1411907CCAA8}"/>
            </c:ext>
          </c:extLst>
        </c:ser>
        <c:ser>
          <c:idx val="36"/>
          <c:order val="36"/>
          <c:tx>
            <c:v>5-app.4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'CCC-car.5'!$AK$23:$AK$24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'CCC-car.5'!$AL$23:$AL$24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8A03-4DBB-A653-1411907CCAA8}"/>
            </c:ext>
          </c:extLst>
        </c:ser>
        <c:ser>
          <c:idx val="37"/>
          <c:order val="37"/>
          <c:tx>
            <c:v>5-camp.1-2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'CCC-car.5'!$AK$40:$AK$41</c:f>
              <c:numCache>
                <c:formatCode>0.00</c:formatCode>
                <c:ptCount val="2"/>
                <c:pt idx="0">
                  <c:v>1.3951819292254493</c:v>
                </c:pt>
                <c:pt idx="1">
                  <c:v>1.3951819292254493</c:v>
                </c:pt>
              </c:numCache>
            </c:numRef>
          </c:xVal>
          <c:yVal>
            <c:numRef>
              <c:f>'CCC-car.5'!$AL$40:$AL$41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42.259223085484621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8A03-4DBB-A653-1411907CCAA8}"/>
            </c:ext>
          </c:extLst>
        </c:ser>
        <c:ser>
          <c:idx val="38"/>
          <c:order val="38"/>
          <c:tx>
            <c:v>5-camp.2-3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'CCC-car.5'!$AK$42:$AK$43</c:f>
              <c:numCache>
                <c:formatCode>0.00</c:formatCode>
                <c:ptCount val="2"/>
                <c:pt idx="0">
                  <c:v>6.8054849896167262</c:v>
                </c:pt>
                <c:pt idx="1">
                  <c:v>6.8054849896167262</c:v>
                </c:pt>
              </c:numCache>
            </c:numRef>
          </c:xVal>
          <c:yVal>
            <c:numRef>
              <c:f>'CCC-car.5'!$AL$42:$AL$43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65.829093713281026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8A03-4DBB-A653-1411907CCAA8}"/>
            </c:ext>
          </c:extLst>
        </c:ser>
        <c:ser>
          <c:idx val="39"/>
          <c:order val="39"/>
          <c:tx>
            <c:v>5-camp.3-4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8A03-4DBB-A653-1411907CCA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'CCC-car.5'!$AK$44:$AK$45</c:f>
              <c:numCache>
                <c:formatCode>0.00</c:formatCode>
                <c:ptCount val="2"/>
                <c:pt idx="0">
                  <c:v>12.211805460311364</c:v>
                </c:pt>
                <c:pt idx="1">
                  <c:v>12.211805460311364</c:v>
                </c:pt>
              </c:numCache>
            </c:numRef>
          </c:xVal>
          <c:yVal>
            <c:numRef>
              <c:f>'CCC-car.5'!$AL$44:$AL$45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26.750256173987751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8A03-4DBB-A653-1411907CCAA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18488352"/>
        <c:axId val="318488912"/>
      </c:scatterChart>
      <c:valAx>
        <c:axId val="318488352"/>
        <c:scaling>
          <c:orientation val="minMax"/>
          <c:max val="14"/>
          <c:min val="0"/>
        </c:scaling>
        <c:delete val="1"/>
        <c:axPos val="t"/>
        <c:numFmt formatCode="0" sourceLinked="0"/>
        <c:majorTickMark val="out"/>
        <c:minorTickMark val="none"/>
        <c:tickLblPos val="nextTo"/>
        <c:crossAx val="318488912"/>
        <c:crosses val="autoZero"/>
        <c:crossBetween val="midCat"/>
        <c:majorUnit val="1"/>
      </c:valAx>
      <c:valAx>
        <c:axId val="318488912"/>
        <c:scaling>
          <c:orientation val="maxMin"/>
        </c:scaling>
        <c:delete val="1"/>
        <c:axPos val="l"/>
        <c:majorGridlines>
          <c:spPr>
            <a:ln w="3175">
              <a:solidFill>
                <a:schemeClr val="bg1">
                  <a:lumMod val="85000"/>
                </a:schemeClr>
              </a:solidFill>
            </a:ln>
          </c:spPr>
        </c:majorGridlines>
        <c:numFmt formatCode="0" sourceLinked="0"/>
        <c:majorTickMark val="out"/>
        <c:minorTickMark val="none"/>
        <c:tickLblPos val="nextTo"/>
        <c:crossAx val="3184883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76"/>
          <c:w val="0.94796977526453763"/>
          <c:h val="0.77738578636805045"/>
        </c:manualLayout>
      </c:layout>
      <c:scatterChart>
        <c:scatterStyle val="lineMarker"/>
        <c:varyColors val="0"/>
        <c:ser>
          <c:idx val="0"/>
          <c:order val="0"/>
          <c:tx>
            <c:v>T1(x)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DB-4BC9-87FA-D9F1C67C542B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DB-4BC9-87FA-D9F1C67C542B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DB-4BC9-87FA-D9F1C67C542B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DB-4BC9-87FA-D9F1C67C542B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DB-4BC9-87FA-D9F1C67C542B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1DB-4BC9-87FA-D9F1C67C542B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1DB-4BC9-87FA-D9F1C67C542B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DB-4BC9-87FA-D9F1C67C542B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1DB-4BC9-87FA-D9F1C67C542B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1DB-4BC9-87FA-D9F1C67C54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'CCC-car.1'!$AF$47:$AF$81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61.322442602040823</c:v>
                </c:pt>
                <c:pt idx="5">
                  <c:v>39.612442602040822</c:v>
                </c:pt>
                <c:pt idx="6">
                  <c:v>17.902442602040821</c:v>
                </c:pt>
                <c:pt idx="7">
                  <c:v>-3.8075573979591724</c:v>
                </c:pt>
                <c:pt idx="8">
                  <c:v>-25.51755739795918</c:v>
                </c:pt>
                <c:pt idx="9">
                  <c:v>-47.227557397959188</c:v>
                </c:pt>
                <c:pt idx="10">
                  <c:v>-68.937557397959168</c:v>
                </c:pt>
                <c:pt idx="11">
                  <c:v>-90.647557397959176</c:v>
                </c:pt>
                <c:pt idx="12">
                  <c:v>-112.35755739795918</c:v>
                </c:pt>
                <c:pt idx="13">
                  <c:v>119.40499999999999</c:v>
                </c:pt>
                <c:pt idx="14">
                  <c:v>89.55374999999998</c:v>
                </c:pt>
                <c:pt idx="15">
                  <c:v>59.702499999999986</c:v>
                </c:pt>
                <c:pt idx="16">
                  <c:v>29.851249999999979</c:v>
                </c:pt>
                <c:pt idx="17">
                  <c:v>0</c:v>
                </c:pt>
                <c:pt idx="18">
                  <c:v>-29.851250000000007</c:v>
                </c:pt>
                <c:pt idx="19">
                  <c:v>-59.702500000000029</c:v>
                </c:pt>
                <c:pt idx="20">
                  <c:v>-89.553750000000022</c:v>
                </c:pt>
                <c:pt idx="21">
                  <c:v>-119.40500000000002</c:v>
                </c:pt>
                <c:pt idx="22">
                  <c:v>112.35755739795918</c:v>
                </c:pt>
                <c:pt idx="23">
                  <c:v>90.64755739795919</c:v>
                </c:pt>
                <c:pt idx="24">
                  <c:v>68.937557397959182</c:v>
                </c:pt>
                <c:pt idx="25">
                  <c:v>47.227557397959188</c:v>
                </c:pt>
                <c:pt idx="26">
                  <c:v>25.51755739795918</c:v>
                </c:pt>
                <c:pt idx="27">
                  <c:v>3.8075573979591724</c:v>
                </c:pt>
                <c:pt idx="28">
                  <c:v>-17.902442602040807</c:v>
                </c:pt>
                <c:pt idx="29">
                  <c:v>-39.612442602040815</c:v>
                </c:pt>
                <c:pt idx="30">
                  <c:v>-61.322442602040823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1DB-4BC9-87FA-D9F1C67C542B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'CCC-Trave int2 (P1)'!$AN$49</c:f>
              <c:numCache>
                <c:formatCode>0.00</c:formatCode>
                <c:ptCount val="1"/>
              </c:numCache>
            </c:numRef>
          </c:xVal>
          <c:yVal>
            <c:numRef>
              <c:f>'CCC-Trave int2 (P1)'!$AP$49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1DB-4BC9-87FA-D9F1C67C542B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'CCC-Trave int2 (P1)'!$AN$50</c:f>
              <c:numCache>
                <c:formatCode>0.00</c:formatCode>
                <c:ptCount val="1"/>
              </c:numCache>
            </c:numRef>
          </c:xVal>
          <c:yVal>
            <c:numRef>
              <c:f>'CCC-Trave int2 (P1)'!$AP$50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1DB-4BC9-87FA-D9F1C67C542B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'CCC-Trave int2 (P1)'!$AN$58</c:f>
              <c:numCache>
                <c:formatCode>0.00</c:formatCode>
                <c:ptCount val="1"/>
              </c:numCache>
            </c:numRef>
          </c:xVal>
          <c:yVal>
            <c:numRef>
              <c:f>'CCC-Trave int2 (P1)'!$AP$58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1DB-4BC9-87FA-D9F1C67C542B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'CCC-Trave int2 (P1)'!$AN$59</c:f>
              <c:numCache>
                <c:formatCode>0.00</c:formatCode>
                <c:ptCount val="1"/>
              </c:numCache>
            </c:numRef>
          </c:xVal>
          <c:yVal>
            <c:numRef>
              <c:f>'CCC-Trave int2 (P1)'!$AP$59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1DB-4BC9-87FA-D9F1C67C542B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'CCC-Trave int2 (P1)'!$AN$67</c:f>
              <c:numCache>
                <c:formatCode>0.00</c:formatCode>
                <c:ptCount val="1"/>
              </c:numCache>
            </c:numRef>
          </c:xVal>
          <c:yVal>
            <c:numRef>
              <c:f>'CCC-Trave int2 (P1)'!$AP$67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1DB-4BC9-87FA-D9F1C67C542B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'CCC-Trave int2 (P1)'!$AN$68</c:f>
              <c:numCache>
                <c:formatCode>0.00</c:formatCode>
                <c:ptCount val="1"/>
              </c:numCache>
            </c:numRef>
          </c:xVal>
          <c:yVal>
            <c:numRef>
              <c:f>'CCC-Trave int2 (P1)'!$AP$68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1DB-4BC9-87FA-D9F1C67C542B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'CCC-Trave int1 (P1)'!$AN$76</c:f>
            </c:numRef>
          </c:xVal>
          <c:yVal>
            <c:numRef>
              <c:f>'CCC-Trave int1 (P1)'!$AP$76</c:f>
            </c:numRef>
          </c:yVal>
          <c:smooth val="0"/>
          <c:extLst>
            <c:ext xmlns:c16="http://schemas.microsoft.com/office/drawing/2014/chart" uri="{C3380CC4-5D6E-409C-BE32-E72D297353CC}">
              <c16:uniqueId val="{00000011-01DB-4BC9-87FA-D9F1C67C542B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'CCC-Trave int1 (P1)'!$AN$77</c:f>
            </c:numRef>
          </c:xVal>
          <c:yVal>
            <c:numRef>
              <c:f>'CCC-Trave int1 (P1)'!$AP$77</c:f>
            </c:numRef>
          </c:yVal>
          <c:smooth val="0"/>
          <c:extLst>
            <c:ext xmlns:c16="http://schemas.microsoft.com/office/drawing/2014/chart" uri="{C3380CC4-5D6E-409C-BE32-E72D297353CC}">
              <c16:uniqueId val="{00000012-01DB-4BC9-87FA-D9F1C67C542B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'CCC-Trave int2 (P1)'!$AN$85</c:f>
              <c:numCache>
                <c:formatCode>0.00</c:formatCode>
                <c:ptCount val="1"/>
              </c:numCache>
            </c:numRef>
          </c:xVal>
          <c:yVal>
            <c:numRef>
              <c:f>'CCC-Trave int2 (P1)'!$AP$85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1DB-4BC9-87FA-D9F1C67C542B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'CCC-Trave int2 (P1)'!$AN$86</c:f>
              <c:numCache>
                <c:formatCode>0.00</c:formatCode>
                <c:ptCount val="1"/>
              </c:numCache>
            </c:numRef>
          </c:xVal>
          <c:yVal>
            <c:numRef>
              <c:f>'CCC-Trave int2 (P1)'!$AP$86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1DB-4BC9-87FA-D9F1C67C542B}"/>
            </c:ext>
          </c:extLst>
        </c:ser>
        <c:ser>
          <c:idx val="11"/>
          <c:order val="11"/>
          <c:tx>
            <c:v>T2(x)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1DB-4BC9-87FA-D9F1C67C542B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1DB-4BC9-87FA-D9F1C67C542B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1DB-4BC9-87FA-D9F1C67C542B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1DB-4BC9-87FA-D9F1C67C542B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01DB-4BC9-87FA-D9F1C67C542B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1DB-4BC9-87FA-D9F1C67C542B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01DB-4BC9-87FA-D9F1C67C542B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01DB-4BC9-87FA-D9F1C67C54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'CCC-car.2'!$AF$47:$AF$81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40.787748724489788</c:v>
                </c:pt>
                <c:pt idx="5">
                  <c:v>24.66774872448979</c:v>
                </c:pt>
                <c:pt idx="6">
                  <c:v>8.5477487244897929</c:v>
                </c:pt>
                <c:pt idx="7">
                  <c:v>-7.5722512755102045</c:v>
                </c:pt>
                <c:pt idx="8">
                  <c:v>-23.692251275510202</c:v>
                </c:pt>
                <c:pt idx="9">
                  <c:v>-39.812251275510206</c:v>
                </c:pt>
                <c:pt idx="10">
                  <c:v>-55.932251275510197</c:v>
                </c:pt>
                <c:pt idx="11">
                  <c:v>-72.052251275510187</c:v>
                </c:pt>
                <c:pt idx="12">
                  <c:v>-88.172251275510192</c:v>
                </c:pt>
                <c:pt idx="13">
                  <c:v>119.40499999999999</c:v>
                </c:pt>
                <c:pt idx="14">
                  <c:v>89.55374999999998</c:v>
                </c:pt>
                <c:pt idx="15">
                  <c:v>59.702499999999986</c:v>
                </c:pt>
                <c:pt idx="16">
                  <c:v>29.851249999999979</c:v>
                </c:pt>
                <c:pt idx="17">
                  <c:v>0</c:v>
                </c:pt>
                <c:pt idx="18">
                  <c:v>-29.851250000000007</c:v>
                </c:pt>
                <c:pt idx="19">
                  <c:v>-59.702500000000029</c:v>
                </c:pt>
                <c:pt idx="20">
                  <c:v>-89.553750000000022</c:v>
                </c:pt>
                <c:pt idx="21">
                  <c:v>-119.40500000000002</c:v>
                </c:pt>
                <c:pt idx="22">
                  <c:v>88.172251275510192</c:v>
                </c:pt>
                <c:pt idx="23">
                  <c:v>72.052251275510201</c:v>
                </c:pt>
                <c:pt idx="24">
                  <c:v>55.932251275510197</c:v>
                </c:pt>
                <c:pt idx="25">
                  <c:v>39.812251275510199</c:v>
                </c:pt>
                <c:pt idx="26">
                  <c:v>23.692251275510202</c:v>
                </c:pt>
                <c:pt idx="27">
                  <c:v>7.5722512755101974</c:v>
                </c:pt>
                <c:pt idx="28">
                  <c:v>-8.5477487244897929</c:v>
                </c:pt>
                <c:pt idx="29">
                  <c:v>-24.667748724489783</c:v>
                </c:pt>
                <c:pt idx="30">
                  <c:v>-40.787748724489788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1DB-4BC9-87FA-D9F1C67C542B}"/>
            </c:ext>
          </c:extLst>
        </c:ser>
        <c:ser>
          <c:idx val="12"/>
          <c:order val="12"/>
          <c:tx>
            <c:v>T3(x)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01DB-4BC9-87FA-D9F1C67C542B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01DB-4BC9-87FA-D9F1C67C542B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01DB-4BC9-87FA-D9F1C67C542B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01DB-4BC9-87FA-D9F1C67C542B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01DB-4BC9-87FA-D9F1C67C542B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01DB-4BC9-87FA-D9F1C67C542B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01DB-4BC9-87FA-D9F1C67C542B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01DB-4BC9-87FA-D9F1C67C54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'CCC-car.3'!$AF$47:$AF$81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66.067525510204092</c:v>
                </c:pt>
                <c:pt idx="5">
                  <c:v>44.357525510204091</c:v>
                </c:pt>
                <c:pt idx="6">
                  <c:v>22.64752551020409</c:v>
                </c:pt>
                <c:pt idx="7">
                  <c:v>0.93752551020409669</c:v>
                </c:pt>
                <c:pt idx="8">
                  <c:v>-20.772474489795911</c:v>
                </c:pt>
                <c:pt idx="9">
                  <c:v>-42.482474489795919</c:v>
                </c:pt>
                <c:pt idx="10">
                  <c:v>-64.192474489795899</c:v>
                </c:pt>
                <c:pt idx="11">
                  <c:v>-85.902474489795907</c:v>
                </c:pt>
                <c:pt idx="12">
                  <c:v>-107.61247448979591</c:v>
                </c:pt>
                <c:pt idx="13">
                  <c:v>88.659999999999982</c:v>
                </c:pt>
                <c:pt idx="14">
                  <c:v>66.49499999999999</c:v>
                </c:pt>
                <c:pt idx="15">
                  <c:v>44.329999999999991</c:v>
                </c:pt>
                <c:pt idx="16">
                  <c:v>22.164999999999992</c:v>
                </c:pt>
                <c:pt idx="17">
                  <c:v>0</c:v>
                </c:pt>
                <c:pt idx="18">
                  <c:v>-22.165000000000006</c:v>
                </c:pt>
                <c:pt idx="19">
                  <c:v>-44.33</c:v>
                </c:pt>
                <c:pt idx="20">
                  <c:v>-66.49499999999999</c:v>
                </c:pt>
                <c:pt idx="21">
                  <c:v>-88.659999999999982</c:v>
                </c:pt>
                <c:pt idx="22">
                  <c:v>107.61247448979591</c:v>
                </c:pt>
                <c:pt idx="23">
                  <c:v>85.902474489795907</c:v>
                </c:pt>
                <c:pt idx="24">
                  <c:v>64.192474489795913</c:v>
                </c:pt>
                <c:pt idx="25">
                  <c:v>42.482474489795919</c:v>
                </c:pt>
                <c:pt idx="26">
                  <c:v>20.772474489795911</c:v>
                </c:pt>
                <c:pt idx="27">
                  <c:v>-0.93752551020409669</c:v>
                </c:pt>
                <c:pt idx="28">
                  <c:v>-22.647525510204076</c:v>
                </c:pt>
                <c:pt idx="29">
                  <c:v>-44.357525510204084</c:v>
                </c:pt>
                <c:pt idx="30">
                  <c:v>-66.067525510204092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1DB-4BC9-87FA-D9F1C67C542B}"/>
            </c:ext>
          </c:extLst>
        </c:ser>
        <c:ser>
          <c:idx val="13"/>
          <c:order val="13"/>
          <c:tx>
            <c:v>T4(x)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01DB-4BC9-87FA-D9F1C67C542B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01DB-4BC9-87FA-D9F1C67C542B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01DB-4BC9-87FA-D9F1C67C542B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01DB-4BC9-87FA-D9F1C67C542B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01DB-4BC9-87FA-D9F1C67C542B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01DB-4BC9-87FA-D9F1C67C542B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01DB-4BC9-87FA-D9F1C67C542B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01DB-4BC9-87FA-D9F1C67C54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'CCC-car.4'!$AF$47:$AF$81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41.531391959561603</c:v>
                </c:pt>
                <c:pt idx="5">
                  <c:v>25.411391959561605</c:v>
                </c:pt>
                <c:pt idx="6">
                  <c:v>9.2913919595616079</c:v>
                </c:pt>
                <c:pt idx="7">
                  <c:v>-6.8286080404383895</c:v>
                </c:pt>
                <c:pt idx="8">
                  <c:v>-22.948608040438387</c:v>
                </c:pt>
                <c:pt idx="9">
                  <c:v>-39.068608040438392</c:v>
                </c:pt>
                <c:pt idx="10">
                  <c:v>-55.188608040438382</c:v>
                </c:pt>
                <c:pt idx="11">
                  <c:v>-71.308608040438372</c:v>
                </c:pt>
                <c:pt idx="12">
                  <c:v>-87.428608040438377</c:v>
                </c:pt>
                <c:pt idx="13">
                  <c:v>116.99584175084173</c:v>
                </c:pt>
                <c:pt idx="14">
                  <c:v>87.144591750841727</c:v>
                </c:pt>
                <c:pt idx="15">
                  <c:v>57.293341750841734</c:v>
                </c:pt>
                <c:pt idx="16">
                  <c:v>27.442091750841726</c:v>
                </c:pt>
                <c:pt idx="17">
                  <c:v>-2.409158249158267</c:v>
                </c:pt>
                <c:pt idx="18">
                  <c:v>-32.26040824915826</c:v>
                </c:pt>
                <c:pt idx="19">
                  <c:v>-62.111658249158282</c:v>
                </c:pt>
                <c:pt idx="20">
                  <c:v>-91.962908249158275</c:v>
                </c:pt>
                <c:pt idx="21">
                  <c:v>-121.81415824915827</c:v>
                </c:pt>
                <c:pt idx="22">
                  <c:v>113.101200633031</c:v>
                </c:pt>
                <c:pt idx="23">
                  <c:v>91.391200633030991</c:v>
                </c:pt>
                <c:pt idx="24">
                  <c:v>69.681200633030997</c:v>
                </c:pt>
                <c:pt idx="25">
                  <c:v>47.971200633031003</c:v>
                </c:pt>
                <c:pt idx="26">
                  <c:v>26.261200633030995</c:v>
                </c:pt>
                <c:pt idx="27">
                  <c:v>4.5512006330309873</c:v>
                </c:pt>
                <c:pt idx="28">
                  <c:v>-17.158799366968992</c:v>
                </c:pt>
                <c:pt idx="29">
                  <c:v>-38.868799366969</c:v>
                </c:pt>
                <c:pt idx="30">
                  <c:v>-60.578799366969008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1DB-4BC9-87FA-D9F1C67C542B}"/>
            </c:ext>
          </c:extLst>
        </c:ser>
        <c:ser>
          <c:idx val="14"/>
          <c:order val="14"/>
          <c:tx>
            <c:v>T5(x)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01DB-4BC9-87FA-D9F1C67C542B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01DB-4BC9-87FA-D9F1C67C542B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01DB-4BC9-87FA-D9F1C67C542B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01DB-4BC9-87FA-D9F1C67C542B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01DB-4BC9-87FA-D9F1C67C542B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01DB-4BC9-87FA-D9F1C67C542B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01DB-4BC9-87FA-D9F1C67C542B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01DB-4BC9-87FA-D9F1C67C54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'CCC-car.5'!$AF$47:$AF$81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60.578799366969008</c:v>
                </c:pt>
                <c:pt idx="5">
                  <c:v>38.868799366969007</c:v>
                </c:pt>
                <c:pt idx="6">
                  <c:v>17.158799366969006</c:v>
                </c:pt>
                <c:pt idx="7">
                  <c:v>-4.5512006330309873</c:v>
                </c:pt>
                <c:pt idx="8">
                  <c:v>-26.261200633030995</c:v>
                </c:pt>
                <c:pt idx="9">
                  <c:v>-47.971200633031003</c:v>
                </c:pt>
                <c:pt idx="10">
                  <c:v>-69.681200633030983</c:v>
                </c:pt>
                <c:pt idx="11">
                  <c:v>-91.391200633030991</c:v>
                </c:pt>
                <c:pt idx="12">
                  <c:v>-113.101200633031</c:v>
                </c:pt>
                <c:pt idx="13">
                  <c:v>121.81415824915825</c:v>
                </c:pt>
                <c:pt idx="14">
                  <c:v>91.962908249158261</c:v>
                </c:pt>
                <c:pt idx="15">
                  <c:v>62.111658249158253</c:v>
                </c:pt>
                <c:pt idx="16">
                  <c:v>32.260408249158246</c:v>
                </c:pt>
                <c:pt idx="17">
                  <c:v>2.4091582491582528</c:v>
                </c:pt>
                <c:pt idx="18">
                  <c:v>-27.44209175084174</c:v>
                </c:pt>
                <c:pt idx="19">
                  <c:v>-57.293341750841762</c:v>
                </c:pt>
                <c:pt idx="20">
                  <c:v>-87.144591750841755</c:v>
                </c:pt>
                <c:pt idx="21">
                  <c:v>-116.99584175084175</c:v>
                </c:pt>
                <c:pt idx="22">
                  <c:v>87.428608040438377</c:v>
                </c:pt>
                <c:pt idx="23">
                  <c:v>71.308608040438372</c:v>
                </c:pt>
                <c:pt idx="24">
                  <c:v>55.188608040438382</c:v>
                </c:pt>
                <c:pt idx="25">
                  <c:v>39.068608040438384</c:v>
                </c:pt>
                <c:pt idx="26">
                  <c:v>22.948608040438387</c:v>
                </c:pt>
                <c:pt idx="27">
                  <c:v>6.8286080404383824</c:v>
                </c:pt>
                <c:pt idx="28">
                  <c:v>-9.2913919595616079</c:v>
                </c:pt>
                <c:pt idx="29">
                  <c:v>-25.411391959561598</c:v>
                </c:pt>
                <c:pt idx="30">
                  <c:v>-41.531391959561603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01DB-4BC9-87FA-D9F1C67C5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501792"/>
        <c:axId val="318502352"/>
      </c:scatterChart>
      <c:valAx>
        <c:axId val="318501792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48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18502352"/>
        <c:crosses val="autoZero"/>
        <c:crossBetween val="midCat"/>
        <c:majorUnit val="1"/>
      </c:valAx>
      <c:valAx>
        <c:axId val="31850235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75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85017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39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8"/>
          <c:w val="0.90742455710851644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2950144904096403E-2"/>
                  <c:y val="0.10969304488140677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04-4714-BFBD-800098F11F7F}"/>
                </c:ext>
              </c:extLst>
            </c:dLbl>
            <c:dLbl>
              <c:idx val="1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204-4714-BFBD-800098F11F7F}"/>
                </c:ext>
              </c:extLst>
            </c:dLbl>
            <c:dLbl>
              <c:idx val="2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04-4714-BFBD-800098F11F7F}"/>
                </c:ext>
              </c:extLst>
            </c:dLbl>
            <c:dLbl>
              <c:idx val="3"/>
              <c:layout>
                <c:manualLayout>
                  <c:x val="-3.7234620506346655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04-4714-BFBD-800098F11F7F}"/>
                </c:ext>
              </c:extLst>
            </c:dLbl>
            <c:dLbl>
              <c:idx val="4"/>
              <c:layout>
                <c:manualLayout>
                  <c:x val="-3.7234620506346655E-2"/>
                  <c:y val="0.11974228108655573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04-4714-BFBD-800098F11F7F}"/>
                </c:ext>
              </c:extLst>
            </c:dLbl>
            <c:dLbl>
              <c:idx val="5"/>
              <c:layout>
                <c:manualLayout>
                  <c:x val="-3.7234620506346655E-2"/>
                  <c:y val="0.10969304488140677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204-4714-BFBD-800098F11F7F}"/>
                </c:ext>
              </c:extLst>
            </c:dLbl>
            <c:dLbl>
              <c:idx val="6"/>
              <c:layout>
                <c:manualLayout>
                  <c:x val="-3.7234620506346655E-2"/>
                  <c:y val="0.10969304488140677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04-4714-BFBD-800098F11F7F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'CCC-car.1'!$AK$54:$AK$59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9.5</c:v>
                </c:pt>
                <c:pt idx="4">
                  <c:v>13.5</c:v>
                </c:pt>
                <c:pt idx="5">
                  <c:v>13.5</c:v>
                </c:pt>
              </c:numCache>
            </c:numRef>
          </c:xVal>
          <c:yVal>
            <c:numRef>
              <c:f>'CCC-car.1'!$AL$54:$AL$59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04-4714-BFBD-800098F11F7F}"/>
            </c:ext>
          </c:extLst>
        </c:ser>
        <c:ser>
          <c:idx val="6"/>
          <c:order val="1"/>
          <c:tx>
            <c:v>qs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'CCC-car.1'!$AI$17:$AI$21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204-4714-BFBD-800098F11F7F}"/>
            </c:ext>
          </c:extLst>
        </c:ser>
        <c:ser>
          <c:idx val="7"/>
          <c:order val="2"/>
          <c:tx>
            <c:v>q12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'CCC-car.1'!$AI$24:$AI$28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53.42</c:v>
                </c:pt>
                <c:pt idx="3">
                  <c:v>53.42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204-4714-BFBD-800098F11F7F}"/>
            </c:ext>
          </c:extLst>
        </c:ser>
        <c:ser>
          <c:idx val="8"/>
          <c:order val="3"/>
          <c:tx>
            <c:v>q23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'CCC-car.1'!$AH$31:$AH$35</c:f>
              <c:numCache>
                <c:formatCode>0.00</c:formatCode>
                <c:ptCount val="5"/>
                <c:pt idx="0">
                  <c:v>4</c:v>
                </c:pt>
                <c:pt idx="1">
                  <c:v>9.5</c:v>
                </c:pt>
                <c:pt idx="2">
                  <c:v>9.5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'CCC-car.1'!$AI$31:$AI$35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53.42</c:v>
                </c:pt>
                <c:pt idx="3">
                  <c:v>53.42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204-4714-BFBD-800098F11F7F}"/>
            </c:ext>
          </c:extLst>
        </c:ser>
        <c:ser>
          <c:idx val="9"/>
          <c:order val="4"/>
          <c:tx>
            <c:v>q34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'CCC-car.1'!$AH$38:$AH$42</c:f>
              <c:numCache>
                <c:formatCode>0.00</c:formatCode>
                <c:ptCount val="5"/>
                <c:pt idx="0">
                  <c:v>9.5</c:v>
                </c:pt>
                <c:pt idx="1">
                  <c:v>13.5</c:v>
                </c:pt>
                <c:pt idx="2">
                  <c:v>13.5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'CCC-car.1'!$AI$38:$AI$42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53.42</c:v>
                </c:pt>
                <c:pt idx="3">
                  <c:v>53.42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204-4714-BFBD-800098F11F7F}"/>
            </c:ext>
          </c:extLst>
        </c:ser>
        <c:ser>
          <c:idx val="11"/>
          <c:order val="5"/>
          <c:tx>
            <c:v>qd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'CCC-car.1'!$AH$45:$AH$49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'CCC-car.1'!$AI$45:$AI$49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204-4714-BFBD-800098F11F7F}"/>
            </c:ext>
          </c:extLst>
        </c:ser>
        <c:ser>
          <c:idx val="17"/>
          <c:order val="6"/>
          <c:tx>
            <c:v>2-qs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204-4714-BFBD-800098F11F7F}"/>
            </c:ext>
          </c:extLst>
        </c:ser>
        <c:ser>
          <c:idx val="18"/>
          <c:order val="7"/>
          <c:tx>
            <c:v>2-q12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204-4714-BFBD-800098F11F7F}"/>
            </c:ext>
          </c:extLst>
        </c:ser>
        <c:ser>
          <c:idx val="19"/>
          <c:order val="8"/>
          <c:tx>
            <c:v>2-q23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204-4714-BFBD-800098F11F7F}"/>
            </c:ext>
          </c:extLst>
        </c:ser>
        <c:ser>
          <c:idx val="20"/>
          <c:order val="9"/>
          <c:tx>
            <c:v>2-q34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204-4714-BFBD-800098F11F7F}"/>
            </c:ext>
          </c:extLst>
        </c:ser>
        <c:ser>
          <c:idx val="21"/>
          <c:order val="10"/>
          <c:tx>
            <c:v>2-q45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204-4714-BFBD-800098F11F7F}"/>
            </c:ext>
          </c:extLst>
        </c:ser>
        <c:ser>
          <c:idx val="22"/>
          <c:order val="11"/>
          <c:tx>
            <c:v>2-qd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204-4714-BFBD-800098F11F7F}"/>
            </c:ext>
          </c:extLst>
        </c:ser>
        <c:ser>
          <c:idx val="23"/>
          <c:order val="12"/>
          <c:tx>
            <c:v>3-qs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204-4714-BFBD-800098F11F7F}"/>
            </c:ext>
          </c:extLst>
        </c:ser>
        <c:ser>
          <c:idx val="24"/>
          <c:order val="13"/>
          <c:tx>
            <c:v>3-q12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204-4714-BFBD-800098F11F7F}"/>
            </c:ext>
          </c:extLst>
        </c:ser>
        <c:ser>
          <c:idx val="25"/>
          <c:order val="14"/>
          <c:tx>
            <c:v>3-q23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204-4714-BFBD-800098F11F7F}"/>
            </c:ext>
          </c:extLst>
        </c:ser>
        <c:ser>
          <c:idx val="26"/>
          <c:order val="15"/>
          <c:tx>
            <c:v>3-q34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204-4714-BFBD-800098F11F7F}"/>
            </c:ext>
          </c:extLst>
        </c:ser>
        <c:ser>
          <c:idx val="27"/>
          <c:order val="16"/>
          <c:tx>
            <c:v>3-q45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204-4714-BFBD-800098F11F7F}"/>
            </c:ext>
          </c:extLst>
        </c:ser>
        <c:ser>
          <c:idx val="28"/>
          <c:order val="17"/>
          <c:tx>
            <c:v>3-qd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204-4714-BFBD-800098F11F7F}"/>
            </c:ext>
          </c:extLst>
        </c:ser>
        <c:ser>
          <c:idx val="29"/>
          <c:order val="18"/>
          <c:tx>
            <c:v>4-qs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204-4714-BFBD-800098F11F7F}"/>
            </c:ext>
          </c:extLst>
        </c:ser>
        <c:ser>
          <c:idx val="30"/>
          <c:order val="19"/>
          <c:tx>
            <c:v>4-q12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204-4714-BFBD-800098F11F7F}"/>
            </c:ext>
          </c:extLst>
        </c:ser>
        <c:ser>
          <c:idx val="31"/>
          <c:order val="20"/>
          <c:tx>
            <c:v>4-q23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204-4714-BFBD-800098F11F7F}"/>
            </c:ext>
          </c:extLst>
        </c:ser>
        <c:ser>
          <c:idx val="32"/>
          <c:order val="21"/>
          <c:tx>
            <c:v>4-q34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C204-4714-BFBD-800098F11F7F}"/>
            </c:ext>
          </c:extLst>
        </c:ser>
        <c:ser>
          <c:idx val="33"/>
          <c:order val="22"/>
          <c:tx>
            <c:v>4-q45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C204-4714-BFBD-800098F11F7F}"/>
            </c:ext>
          </c:extLst>
        </c:ser>
        <c:ser>
          <c:idx val="34"/>
          <c:order val="23"/>
          <c:tx>
            <c:v>4-qd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C204-4714-BFBD-800098F11F7F}"/>
            </c:ext>
          </c:extLst>
        </c:ser>
        <c:ser>
          <c:idx val="35"/>
          <c:order val="24"/>
          <c:tx>
            <c:v>5-qs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'CCC-car.5'!$AI$17:$AI$21</c:f>
              <c:numCache>
                <c:formatCode>General</c:formatCode>
                <c:ptCount val="5"/>
                <c:pt idx="0">
                  <c:v>203.68</c:v>
                </c:pt>
                <c:pt idx="1">
                  <c:v>203.68</c:v>
                </c:pt>
                <c:pt idx="2">
                  <c:v>203.68</c:v>
                </c:pt>
                <c:pt idx="3">
                  <c:v>203.68</c:v>
                </c:pt>
                <c:pt idx="4">
                  <c:v>203.68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C204-4714-BFBD-800098F11F7F}"/>
            </c:ext>
          </c:extLst>
        </c:ser>
        <c:ser>
          <c:idx val="36"/>
          <c:order val="25"/>
          <c:tx>
            <c:v>5-q12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'CCC-car.5'!$AI$24:$AI$28</c:f>
              <c:numCache>
                <c:formatCode>General</c:formatCode>
                <c:ptCount val="5"/>
                <c:pt idx="0">
                  <c:v>203.68</c:v>
                </c:pt>
                <c:pt idx="1">
                  <c:v>203.68</c:v>
                </c:pt>
                <c:pt idx="2">
                  <c:v>247.10000000000002</c:v>
                </c:pt>
                <c:pt idx="3">
                  <c:v>247.10000000000002</c:v>
                </c:pt>
                <c:pt idx="4">
                  <c:v>203.68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C204-4714-BFBD-800098F11F7F}"/>
            </c:ext>
          </c:extLst>
        </c:ser>
        <c:ser>
          <c:idx val="37"/>
          <c:order val="26"/>
          <c:tx>
            <c:v>5-q23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'CCC-car.5'!$AH$31:$AH$35</c:f>
              <c:numCache>
                <c:formatCode>0.00</c:formatCode>
                <c:ptCount val="5"/>
                <c:pt idx="0">
                  <c:v>4</c:v>
                </c:pt>
                <c:pt idx="1">
                  <c:v>9.5</c:v>
                </c:pt>
                <c:pt idx="2">
                  <c:v>9.5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'CCC-car.5'!$AI$31:$AI$35</c:f>
              <c:numCache>
                <c:formatCode>General</c:formatCode>
                <c:ptCount val="5"/>
                <c:pt idx="0">
                  <c:v>203.68</c:v>
                </c:pt>
                <c:pt idx="1">
                  <c:v>203.68</c:v>
                </c:pt>
                <c:pt idx="2">
                  <c:v>247.10000000000002</c:v>
                </c:pt>
                <c:pt idx="3">
                  <c:v>247.10000000000002</c:v>
                </c:pt>
                <c:pt idx="4">
                  <c:v>203.68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C204-4714-BFBD-800098F11F7F}"/>
            </c:ext>
          </c:extLst>
        </c:ser>
        <c:ser>
          <c:idx val="38"/>
          <c:order val="27"/>
          <c:tx>
            <c:v>5-q34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'CCC-car.5'!$AH$38:$AH$42</c:f>
              <c:numCache>
                <c:formatCode>0.00</c:formatCode>
                <c:ptCount val="5"/>
                <c:pt idx="0">
                  <c:v>9.5</c:v>
                </c:pt>
                <c:pt idx="1">
                  <c:v>13.5</c:v>
                </c:pt>
                <c:pt idx="2">
                  <c:v>13.5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'CCC-car.5'!$AI$38:$AI$42</c:f>
              <c:numCache>
                <c:formatCode>General</c:formatCode>
                <c:ptCount val="5"/>
                <c:pt idx="0">
                  <c:v>203.68</c:v>
                </c:pt>
                <c:pt idx="1">
                  <c:v>203.68</c:v>
                </c:pt>
                <c:pt idx="2">
                  <c:v>235.92000000000002</c:v>
                </c:pt>
                <c:pt idx="3">
                  <c:v>235.92000000000002</c:v>
                </c:pt>
                <c:pt idx="4">
                  <c:v>203.68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C204-4714-BFBD-800098F11F7F}"/>
            </c:ext>
          </c:extLst>
        </c:ser>
        <c:ser>
          <c:idx val="40"/>
          <c:order val="28"/>
          <c:tx>
            <c:v>5-qd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'CCC-car.5'!$AH$45:$AH$49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'CCC-car.5'!$AI$45:$AI$49</c:f>
              <c:numCache>
                <c:formatCode>General</c:formatCode>
                <c:ptCount val="5"/>
                <c:pt idx="0">
                  <c:v>203.68</c:v>
                </c:pt>
                <c:pt idx="1">
                  <c:v>203.68</c:v>
                </c:pt>
                <c:pt idx="2">
                  <c:v>203.68</c:v>
                </c:pt>
                <c:pt idx="3">
                  <c:v>203.68</c:v>
                </c:pt>
                <c:pt idx="4">
                  <c:v>203.68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C204-4714-BFBD-800098F11F7F}"/>
            </c:ext>
          </c:extLst>
        </c:ser>
        <c:ser>
          <c:idx val="1"/>
          <c:order val="29"/>
          <c:tx>
            <c:v>vinccolo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204-4714-BFBD-800098F11F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trave'!$A$2:$A$5</c:f>
              <c:numCache>
                <c:formatCode>0.00</c:formatCode>
                <c:ptCount val="4"/>
                <c:pt idx="0">
                  <c:v>0</c:v>
                </c:pt>
                <c:pt idx="1">
                  <c:v>-0.4</c:v>
                </c:pt>
                <c:pt idx="2">
                  <c:v>0.4</c:v>
                </c:pt>
                <c:pt idx="3">
                  <c:v>0</c:v>
                </c:pt>
              </c:numCache>
            </c:numRef>
          </c:xVal>
          <c:yVal>
            <c:numRef>
              <c:f>'CCC-Vincoli trave'!$B$2:$B$5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C204-4714-BFBD-800098F11F7F}"/>
            </c:ext>
          </c:extLst>
        </c:ser>
        <c:ser>
          <c:idx val="2"/>
          <c:order val="30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C204-4714-BFBD-800098F11F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trave'!$D$2:$D$5</c:f>
              <c:numCache>
                <c:formatCode>0.00</c:formatCode>
                <c:ptCount val="4"/>
                <c:pt idx="0">
                  <c:v>4</c:v>
                </c:pt>
                <c:pt idx="1">
                  <c:v>3.6</c:v>
                </c:pt>
                <c:pt idx="2">
                  <c:v>4.4000000000000004</c:v>
                </c:pt>
                <c:pt idx="3">
                  <c:v>4</c:v>
                </c:pt>
              </c:numCache>
            </c:numRef>
          </c:xVal>
          <c:yVal>
            <c:numRef>
              <c:f>'CCC-Vincoli trave'!$E$2:$E$5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C204-4714-BFBD-800098F11F7F}"/>
            </c:ext>
          </c:extLst>
        </c:ser>
        <c:ser>
          <c:idx val="3"/>
          <c:order val="31"/>
          <c:tx>
            <c:v>vincolo 3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204-4714-BFBD-800098F11F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trave'!$G$2:$G$5</c:f>
              <c:numCache>
                <c:formatCode>0.00</c:formatCode>
                <c:ptCount val="4"/>
                <c:pt idx="0">
                  <c:v>9.5</c:v>
                </c:pt>
                <c:pt idx="1">
                  <c:v>9.1</c:v>
                </c:pt>
                <c:pt idx="2">
                  <c:v>9.9</c:v>
                </c:pt>
                <c:pt idx="3">
                  <c:v>9.5</c:v>
                </c:pt>
              </c:numCache>
            </c:numRef>
          </c:xVal>
          <c:yVal>
            <c:numRef>
              <c:f>'CCC-Vincoli trave'!$H$2:$H$5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C204-4714-BFBD-800098F11F7F}"/>
            </c:ext>
          </c:extLst>
        </c:ser>
        <c:ser>
          <c:idx val="4"/>
          <c:order val="32"/>
          <c:tx>
            <c:v>vincolo 4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C204-4714-BFBD-800098F11F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trave'!$J$2:$J$5</c:f>
              <c:numCache>
                <c:formatCode>0.00</c:formatCode>
                <c:ptCount val="4"/>
                <c:pt idx="0">
                  <c:v>13.5</c:v>
                </c:pt>
                <c:pt idx="1">
                  <c:v>13.1</c:v>
                </c:pt>
                <c:pt idx="2">
                  <c:v>13.9</c:v>
                </c:pt>
                <c:pt idx="3">
                  <c:v>13.5</c:v>
                </c:pt>
              </c:numCache>
            </c:numRef>
          </c:xVal>
          <c:yVal>
            <c:numRef>
              <c:f>'CCC-Vincoli trave'!$K$2:$K$5</c:f>
              <c:numCache>
                <c:formatCode>General</c:formatCode>
                <c:ptCount val="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C204-4714-BFBD-800098F11F7F}"/>
            </c:ext>
          </c:extLst>
        </c:ser>
        <c:ser>
          <c:idx val="5"/>
          <c:order val="33"/>
          <c:tx>
            <c:v>vincolo 5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4.2518309237671824E-3"/>
                  <c:y val="3.781984946508801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C204-4714-BFBD-800098F11F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'CCC-Vincoli trave'!$M$2:$M$5</c:f>
              <c:numCache>
                <c:formatCode>0.00</c:formatCode>
                <c:ptCount val="4"/>
              </c:numCache>
            </c:numRef>
          </c:xVal>
          <c:yVal>
            <c:numRef>
              <c:f>'CCC-Vincoli trave'!$N$2:$N$5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C204-4714-BFBD-800098F11F7F}"/>
            </c:ext>
          </c:extLst>
        </c:ser>
        <c:ser>
          <c:idx val="10"/>
          <c:order val="34"/>
          <c:tx>
            <c:v>2-qs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'CCC-car.2'!$AI$17:$AI$21</c:f>
              <c:numCache>
                <c:formatCode>General</c:formatCode>
                <c:ptCount val="5"/>
                <c:pt idx="0">
                  <c:v>58.42</c:v>
                </c:pt>
                <c:pt idx="1">
                  <c:v>58.42</c:v>
                </c:pt>
                <c:pt idx="2">
                  <c:v>58.42</c:v>
                </c:pt>
                <c:pt idx="3">
                  <c:v>58.42</c:v>
                </c:pt>
                <c:pt idx="4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C204-4714-BFBD-800098F11F7F}"/>
            </c:ext>
          </c:extLst>
        </c:ser>
        <c:ser>
          <c:idx val="12"/>
          <c:order val="35"/>
          <c:tx>
            <c:v>2-q12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'CCC-car.2'!$AI$24:$AI$28</c:f>
              <c:numCache>
                <c:formatCode>General</c:formatCode>
                <c:ptCount val="5"/>
                <c:pt idx="0">
                  <c:v>58.42</c:v>
                </c:pt>
                <c:pt idx="1">
                  <c:v>58.42</c:v>
                </c:pt>
                <c:pt idx="2">
                  <c:v>90.66</c:v>
                </c:pt>
                <c:pt idx="3">
                  <c:v>90.66</c:v>
                </c:pt>
                <c:pt idx="4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C204-4714-BFBD-800098F11F7F}"/>
            </c:ext>
          </c:extLst>
        </c:ser>
        <c:ser>
          <c:idx val="13"/>
          <c:order val="36"/>
          <c:tx>
            <c:v>2-q23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'CCC-car.2'!$AH$31:$AH$35</c:f>
              <c:numCache>
                <c:formatCode>0.00</c:formatCode>
                <c:ptCount val="5"/>
                <c:pt idx="0">
                  <c:v>4</c:v>
                </c:pt>
                <c:pt idx="1">
                  <c:v>9.5</c:v>
                </c:pt>
                <c:pt idx="2">
                  <c:v>9.5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'CCC-car.2'!$AI$31:$AI$35</c:f>
              <c:numCache>
                <c:formatCode>General</c:formatCode>
                <c:ptCount val="5"/>
                <c:pt idx="0">
                  <c:v>58.42</c:v>
                </c:pt>
                <c:pt idx="1">
                  <c:v>58.42</c:v>
                </c:pt>
                <c:pt idx="2">
                  <c:v>101.84</c:v>
                </c:pt>
                <c:pt idx="3">
                  <c:v>101.84</c:v>
                </c:pt>
                <c:pt idx="4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C204-4714-BFBD-800098F11F7F}"/>
            </c:ext>
          </c:extLst>
        </c:ser>
        <c:ser>
          <c:idx val="14"/>
          <c:order val="37"/>
          <c:tx>
            <c:v>2-q34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'CCC-car.2'!$AH$38:$AH$42</c:f>
              <c:numCache>
                <c:formatCode>0.00</c:formatCode>
                <c:ptCount val="5"/>
                <c:pt idx="0">
                  <c:v>9.5</c:v>
                </c:pt>
                <c:pt idx="1">
                  <c:v>13.5</c:v>
                </c:pt>
                <c:pt idx="2">
                  <c:v>13.5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'CCC-car.2'!$AI$38:$AI$42</c:f>
              <c:numCache>
                <c:formatCode>General</c:formatCode>
                <c:ptCount val="5"/>
                <c:pt idx="0">
                  <c:v>58.42</c:v>
                </c:pt>
                <c:pt idx="1">
                  <c:v>58.42</c:v>
                </c:pt>
                <c:pt idx="2">
                  <c:v>90.66</c:v>
                </c:pt>
                <c:pt idx="3">
                  <c:v>90.66</c:v>
                </c:pt>
                <c:pt idx="4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C204-4714-BFBD-800098F11F7F}"/>
            </c:ext>
          </c:extLst>
        </c:ser>
        <c:ser>
          <c:idx val="15"/>
          <c:order val="38"/>
          <c:tx>
            <c:v>2-qd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'CCC-car.2'!$AH$45:$AH$49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'CCC-car.2'!$AI$45:$AI$49</c:f>
              <c:numCache>
                <c:formatCode>General</c:formatCode>
                <c:ptCount val="5"/>
                <c:pt idx="0">
                  <c:v>58.42</c:v>
                </c:pt>
                <c:pt idx="1">
                  <c:v>58.42</c:v>
                </c:pt>
                <c:pt idx="2">
                  <c:v>58.42</c:v>
                </c:pt>
                <c:pt idx="3">
                  <c:v>58.42</c:v>
                </c:pt>
                <c:pt idx="4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C204-4714-BFBD-800098F11F7F}"/>
            </c:ext>
          </c:extLst>
        </c:ser>
        <c:ser>
          <c:idx val="16"/>
          <c:order val="39"/>
          <c:tx>
            <c:v>3-qs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'CCC-car.3'!$AI$17:$AI$21</c:f>
              <c:numCache>
                <c:formatCode>General</c:formatCode>
                <c:ptCount val="5"/>
                <c:pt idx="0">
                  <c:v>106.84</c:v>
                </c:pt>
                <c:pt idx="1">
                  <c:v>106.84</c:v>
                </c:pt>
                <c:pt idx="2">
                  <c:v>106.84</c:v>
                </c:pt>
                <c:pt idx="3">
                  <c:v>106.84</c:v>
                </c:pt>
                <c:pt idx="4">
                  <c:v>106.84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C204-4714-BFBD-800098F11F7F}"/>
            </c:ext>
          </c:extLst>
        </c:ser>
        <c:ser>
          <c:idx val="41"/>
          <c:order val="40"/>
          <c:tx>
            <c:v>3-q12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'CCC-car.3'!$AI$24:$AI$28</c:f>
              <c:numCache>
                <c:formatCode>General</c:formatCode>
                <c:ptCount val="5"/>
                <c:pt idx="0">
                  <c:v>106.84</c:v>
                </c:pt>
                <c:pt idx="1">
                  <c:v>106.84</c:v>
                </c:pt>
                <c:pt idx="2">
                  <c:v>150.26</c:v>
                </c:pt>
                <c:pt idx="3">
                  <c:v>150.26</c:v>
                </c:pt>
                <c:pt idx="4">
                  <c:v>106.84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C204-4714-BFBD-800098F11F7F}"/>
            </c:ext>
          </c:extLst>
        </c:ser>
        <c:ser>
          <c:idx val="42"/>
          <c:order val="41"/>
          <c:tx>
            <c:v>3-q23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'CCC-car.3'!$AH$31:$AH$35</c:f>
              <c:numCache>
                <c:formatCode>0.00</c:formatCode>
                <c:ptCount val="5"/>
                <c:pt idx="0">
                  <c:v>4</c:v>
                </c:pt>
                <c:pt idx="1">
                  <c:v>9.5</c:v>
                </c:pt>
                <c:pt idx="2">
                  <c:v>9.5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'CCC-car.3'!$AI$31:$AI$35</c:f>
              <c:numCache>
                <c:formatCode>General</c:formatCode>
                <c:ptCount val="5"/>
                <c:pt idx="0">
                  <c:v>106.84</c:v>
                </c:pt>
                <c:pt idx="1">
                  <c:v>106.84</c:v>
                </c:pt>
                <c:pt idx="2">
                  <c:v>139.07999999999998</c:v>
                </c:pt>
                <c:pt idx="3">
                  <c:v>139.07999999999998</c:v>
                </c:pt>
                <c:pt idx="4">
                  <c:v>106.84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C204-4714-BFBD-800098F11F7F}"/>
            </c:ext>
          </c:extLst>
        </c:ser>
        <c:ser>
          <c:idx val="43"/>
          <c:order val="42"/>
          <c:tx>
            <c:v>3-q34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'CCC-car.3'!$AH$38:$AH$42</c:f>
              <c:numCache>
                <c:formatCode>0.00</c:formatCode>
                <c:ptCount val="5"/>
                <c:pt idx="0">
                  <c:v>9.5</c:v>
                </c:pt>
                <c:pt idx="1">
                  <c:v>13.5</c:v>
                </c:pt>
                <c:pt idx="2">
                  <c:v>13.5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'CCC-car.3'!$AI$38:$AI$42</c:f>
              <c:numCache>
                <c:formatCode>General</c:formatCode>
                <c:ptCount val="5"/>
                <c:pt idx="0">
                  <c:v>106.84</c:v>
                </c:pt>
                <c:pt idx="1">
                  <c:v>106.84</c:v>
                </c:pt>
                <c:pt idx="2">
                  <c:v>150.26</c:v>
                </c:pt>
                <c:pt idx="3">
                  <c:v>150.26</c:v>
                </c:pt>
                <c:pt idx="4">
                  <c:v>106.84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C204-4714-BFBD-800098F11F7F}"/>
            </c:ext>
          </c:extLst>
        </c:ser>
        <c:ser>
          <c:idx val="44"/>
          <c:order val="43"/>
          <c:tx>
            <c:v>3-qd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'CCC-car.3'!$AH$45:$AH$49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'CCC-car.3'!$AI$45:$AI$49</c:f>
              <c:numCache>
                <c:formatCode>General</c:formatCode>
                <c:ptCount val="5"/>
                <c:pt idx="0">
                  <c:v>106.84</c:v>
                </c:pt>
                <c:pt idx="1">
                  <c:v>106.84</c:v>
                </c:pt>
                <c:pt idx="2">
                  <c:v>106.84</c:v>
                </c:pt>
                <c:pt idx="3">
                  <c:v>106.84</c:v>
                </c:pt>
                <c:pt idx="4">
                  <c:v>106.84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C204-4714-BFBD-800098F11F7F}"/>
            </c:ext>
          </c:extLst>
        </c:ser>
        <c:ser>
          <c:idx val="45"/>
          <c:order val="44"/>
          <c:tx>
            <c:v>4-qs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'CCC-car.4'!$AI$17:$AI$21</c:f>
              <c:numCache>
                <c:formatCode>General</c:formatCode>
                <c:ptCount val="5"/>
                <c:pt idx="0">
                  <c:v>155.26</c:v>
                </c:pt>
                <c:pt idx="1">
                  <c:v>155.26</c:v>
                </c:pt>
                <c:pt idx="2">
                  <c:v>155.26</c:v>
                </c:pt>
                <c:pt idx="3">
                  <c:v>155.26</c:v>
                </c:pt>
                <c:pt idx="4">
                  <c:v>155.26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C204-4714-BFBD-800098F11F7F}"/>
            </c:ext>
          </c:extLst>
        </c:ser>
        <c:ser>
          <c:idx val="46"/>
          <c:order val="45"/>
          <c:tx>
            <c:v>4-q12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'CCC-car.4'!$AI$24:$AI$28</c:f>
              <c:numCache>
                <c:formatCode>General</c:formatCode>
                <c:ptCount val="5"/>
                <c:pt idx="0">
                  <c:v>155.26</c:v>
                </c:pt>
                <c:pt idx="1">
                  <c:v>155.26</c:v>
                </c:pt>
                <c:pt idx="2">
                  <c:v>187.5</c:v>
                </c:pt>
                <c:pt idx="3">
                  <c:v>187.5</c:v>
                </c:pt>
                <c:pt idx="4">
                  <c:v>155.26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C204-4714-BFBD-800098F11F7F}"/>
            </c:ext>
          </c:extLst>
        </c:ser>
        <c:ser>
          <c:idx val="47"/>
          <c:order val="46"/>
          <c:tx>
            <c:v>4-q23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'CCC-car.4'!$AH$31:$AH$35</c:f>
              <c:numCache>
                <c:formatCode>0.00</c:formatCode>
                <c:ptCount val="5"/>
                <c:pt idx="0">
                  <c:v>4</c:v>
                </c:pt>
                <c:pt idx="1">
                  <c:v>9.5</c:v>
                </c:pt>
                <c:pt idx="2">
                  <c:v>9.5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'CCC-car.4'!$AI$31:$AI$35</c:f>
              <c:numCache>
                <c:formatCode>General</c:formatCode>
                <c:ptCount val="5"/>
                <c:pt idx="0">
                  <c:v>155.26</c:v>
                </c:pt>
                <c:pt idx="1">
                  <c:v>155.26</c:v>
                </c:pt>
                <c:pt idx="2">
                  <c:v>198.68</c:v>
                </c:pt>
                <c:pt idx="3">
                  <c:v>198.68</c:v>
                </c:pt>
                <c:pt idx="4">
                  <c:v>155.26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C204-4714-BFBD-800098F11F7F}"/>
            </c:ext>
          </c:extLst>
        </c:ser>
        <c:ser>
          <c:idx val="48"/>
          <c:order val="47"/>
          <c:tx>
            <c:v>4-q34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'CCC-car.4'!$AH$38:$AH$42</c:f>
              <c:numCache>
                <c:formatCode>0.00</c:formatCode>
                <c:ptCount val="5"/>
                <c:pt idx="0">
                  <c:v>9.5</c:v>
                </c:pt>
                <c:pt idx="1">
                  <c:v>13.5</c:v>
                </c:pt>
                <c:pt idx="2">
                  <c:v>13.5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'CCC-car.4'!$AI$38:$AI$42</c:f>
              <c:numCache>
                <c:formatCode>General</c:formatCode>
                <c:ptCount val="5"/>
                <c:pt idx="0">
                  <c:v>155.26</c:v>
                </c:pt>
                <c:pt idx="1">
                  <c:v>155.26</c:v>
                </c:pt>
                <c:pt idx="2">
                  <c:v>198.68</c:v>
                </c:pt>
                <c:pt idx="3">
                  <c:v>198.68</c:v>
                </c:pt>
                <c:pt idx="4">
                  <c:v>155.26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C204-4714-BFBD-800098F11F7F}"/>
            </c:ext>
          </c:extLst>
        </c:ser>
        <c:ser>
          <c:idx val="49"/>
          <c:order val="48"/>
          <c:tx>
            <c:v>4-qd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'CCC-car.4'!$AH$45:$AH$49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'CCC-car.4'!$AI$45:$AI$49</c:f>
              <c:numCache>
                <c:formatCode>General</c:formatCode>
                <c:ptCount val="5"/>
                <c:pt idx="0">
                  <c:v>155.26</c:v>
                </c:pt>
                <c:pt idx="1">
                  <c:v>155.26</c:v>
                </c:pt>
                <c:pt idx="2">
                  <c:v>155.26</c:v>
                </c:pt>
                <c:pt idx="3">
                  <c:v>155.26</c:v>
                </c:pt>
                <c:pt idx="4">
                  <c:v>155.26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C204-4714-BFBD-800098F11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220464"/>
        <c:axId val="319221024"/>
      </c:scatterChart>
      <c:valAx>
        <c:axId val="319220464"/>
        <c:scaling>
          <c:orientation val="minMax"/>
          <c:min val="0"/>
        </c:scaling>
        <c:delete val="1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82734758819"/>
              <c:y val="0.78534972060076269"/>
            </c:manualLayout>
          </c:layout>
          <c:overlay val="0"/>
        </c:title>
        <c:numFmt formatCode="0" sourceLinked="0"/>
        <c:majorTickMark val="out"/>
        <c:minorTickMark val="none"/>
        <c:tickLblPos val="none"/>
        <c:crossAx val="319221024"/>
        <c:crosses val="autoZero"/>
        <c:crossBetween val="midCat"/>
        <c:majorUnit val="1"/>
      </c:valAx>
      <c:valAx>
        <c:axId val="3192210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92204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 orientation="portrait"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75"/>
          <c:w val="0.90742455710851666"/>
          <c:h val="0.67859019160259448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9.5</c:v>
                </c:pt>
                <c:pt idx="4">
                  <c:v>13.5</c:v>
                </c:pt>
                <c:pt idx="5">
                  <c:v>13.5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B-4B5F-AD94-CF2E6BE86819}"/>
            </c:ext>
          </c:extLst>
        </c:ser>
        <c:ser>
          <c:idx val="1"/>
          <c:order val="1"/>
          <c:tx>
            <c:v>R1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4B-4B5F-AD94-CF2E6BE868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61.322442602040823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B-4B5F-AD94-CF2E6BE86819}"/>
            </c:ext>
          </c:extLst>
        </c:ser>
        <c:ser>
          <c:idx val="2"/>
          <c:order val="2"/>
          <c:tx>
            <c:v>R2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4B-4B5F-AD94-CF2E6BE868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'CCC-car.1'!$Z$36:$Z$37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231.76255739795917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B-4B5F-AD94-CF2E6BE86819}"/>
            </c:ext>
          </c:extLst>
        </c:ser>
        <c:ser>
          <c:idx val="3"/>
          <c:order val="3"/>
          <c:tx>
            <c:v>R3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A4B-4B5F-AD94-CF2E6BE868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'CCC-car.1'!$AB$36:$AB$37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'CCC-car.1'!$AC$36:$AC$37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231.7625573979592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B-4B5F-AD94-CF2E6BE86819}"/>
            </c:ext>
          </c:extLst>
        </c:ser>
        <c:ser>
          <c:idx val="4"/>
          <c:order val="4"/>
          <c:tx>
            <c:v>R4</c:v>
          </c:tx>
          <c:spPr>
            <a:ln w="19050">
              <a:solidFill>
                <a:schemeClr val="tx2"/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A4B-4B5F-AD94-CF2E6BE868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'CCC-car.1'!$W$40:$W$41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61.322442602040823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A4B-4B5F-AD94-CF2E6BE86819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A4B-4B5F-AD94-CF2E6BE868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'CCC-car.1'!$Y$40:$Y$41</c:f>
              <c:numCache>
                <c:formatCode>0.00</c:formatCode>
                <c:ptCount val="2"/>
              </c:numCache>
            </c:numRef>
          </c:xVal>
          <c:yVal>
            <c:numRef>
              <c:f>'CCC-car.1'!$Z$40:$Z$41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A4B-4B5F-AD94-CF2E6BE86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229424"/>
        <c:axId val="319229984"/>
      </c:scatterChart>
      <c:valAx>
        <c:axId val="319229424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19229984"/>
        <c:crosses val="autoZero"/>
        <c:crossBetween val="midCat"/>
        <c:majorUnit val="1"/>
      </c:valAx>
      <c:valAx>
        <c:axId val="31922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192294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43" l="0.70000000000000062" r="0.70000000000000062" t="0.75000000000001243" header="0.30000000000000032" footer="0.30000000000000032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69"/>
          <c:w val="0.90742455710851688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9.5</c:v>
                </c:pt>
                <c:pt idx="4">
                  <c:v>13.5</c:v>
                </c:pt>
                <c:pt idx="5">
                  <c:v>13.5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B2-4518-821A-0F8722DA748A}"/>
            </c:ext>
          </c:extLst>
        </c:ser>
        <c:ser>
          <c:idx val="1"/>
          <c:order val="1"/>
          <c:tx>
            <c:v>2-R1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4B2-4518-821A-0F8722DA74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'CCC-car.2'!$W$36:$W$37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40.787748724489788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B2-4518-821A-0F8722DA748A}"/>
            </c:ext>
          </c:extLst>
        </c:ser>
        <c:ser>
          <c:idx val="2"/>
          <c:order val="2"/>
          <c:tx>
            <c:v>2-R2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B2-4518-821A-0F8722DA74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'CCC-car.2'!$Z$36:$Z$37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207.57725127551018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4B2-4518-821A-0F8722DA748A}"/>
            </c:ext>
          </c:extLst>
        </c:ser>
        <c:ser>
          <c:idx val="3"/>
          <c:order val="3"/>
          <c:tx>
            <c:v>2-R3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4B2-4518-821A-0F8722DA74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'CCC-car.2'!$AB$36:$AB$37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'CCC-car.2'!$AC$36:$AC$37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207.57725127551021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4B2-4518-821A-0F8722DA748A}"/>
            </c:ext>
          </c:extLst>
        </c:ser>
        <c:ser>
          <c:idx val="4"/>
          <c:order val="4"/>
          <c:tx>
            <c:v>2-R4</c:v>
          </c:tx>
          <c:spPr>
            <a:ln w="19050">
              <a:solidFill>
                <a:schemeClr val="accent2"/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B2-4518-821A-0F8722DA74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'CCC-car.2'!$W$40:$W$41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40.787748724489788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4B2-4518-821A-0F8722DA7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46096"/>
        <c:axId val="341446656"/>
      </c:scatterChart>
      <c:valAx>
        <c:axId val="34144609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41446656"/>
        <c:crosses val="autoZero"/>
        <c:crossBetween val="midCat"/>
        <c:majorUnit val="1"/>
      </c:valAx>
      <c:valAx>
        <c:axId val="341446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14460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66" l="0.70000000000000062" r="0.70000000000000062" t="0.75000000000001266" header="0.30000000000000032" footer="0.30000000000000032"/>
    <c:pageSetup orientation="portrait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63"/>
          <c:w val="0.9074245571085171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9.5</c:v>
                </c:pt>
                <c:pt idx="4">
                  <c:v>13.5</c:v>
                </c:pt>
                <c:pt idx="5">
                  <c:v>13.5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C9-4C50-8B19-730AB31A9AF6}"/>
            </c:ext>
          </c:extLst>
        </c:ser>
        <c:ser>
          <c:idx val="1"/>
          <c:order val="1"/>
          <c:tx>
            <c:v>3-R1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7C9-4C50-8B19-730AB31A9A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66.067525510204092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C9-4C50-8B19-730AB31A9AF6}"/>
            </c:ext>
          </c:extLst>
        </c:ser>
        <c:ser>
          <c:idx val="2"/>
          <c:order val="2"/>
          <c:tx>
            <c:v>3-R2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C9-4C50-8B19-730AB31A9A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'CCC-car.3'!$Z$36:$Z$37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196.27247448979591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C9-4C50-8B19-730AB31A9AF6}"/>
            </c:ext>
          </c:extLst>
        </c:ser>
        <c:ser>
          <c:idx val="3"/>
          <c:order val="3"/>
          <c:tx>
            <c:v>3-R3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7C9-4C50-8B19-730AB31A9A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'CCC-car.3'!$AB$36:$AB$37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'CCC-car.3'!$AC$36:$AC$37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196.27247448979591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7C9-4C50-8B19-730AB31A9AF6}"/>
            </c:ext>
          </c:extLst>
        </c:ser>
        <c:ser>
          <c:idx val="4"/>
          <c:order val="4"/>
          <c:tx>
            <c:v>3-R4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C9-4C50-8B19-730AB31A9A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'CCC-car.3'!$W$40:$W$41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66.067525510204092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7C9-4C50-8B19-730AB31A9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51696"/>
        <c:axId val="341452256"/>
      </c:scatterChart>
      <c:valAx>
        <c:axId val="34145169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41452256"/>
        <c:crosses val="autoZero"/>
        <c:crossBetween val="midCat"/>
        <c:majorUnit val="1"/>
      </c:valAx>
      <c:valAx>
        <c:axId val="3414522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1451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88" l="0.70000000000000062" r="0.70000000000000062" t="0.75000000000001288" header="0.30000000000000032" footer="0.30000000000000032"/>
    <c:pageSetup orientation="portrait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58"/>
          <c:w val="0.90742455710851733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9.5</c:v>
                </c:pt>
                <c:pt idx="4">
                  <c:v>13.5</c:v>
                </c:pt>
                <c:pt idx="5">
                  <c:v>13.5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92-4411-B0BF-92016E74836C}"/>
            </c:ext>
          </c:extLst>
        </c:ser>
        <c:ser>
          <c:idx val="1"/>
          <c:order val="1"/>
          <c:tx>
            <c:v>4-R1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692-4411-B0BF-92016E7483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41.531391959561603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92-4411-B0BF-92016E74836C}"/>
            </c:ext>
          </c:extLst>
        </c:ser>
        <c:ser>
          <c:idx val="2"/>
          <c:order val="2"/>
          <c:tx>
            <c:v>4-R2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92-4411-B0BF-92016E7483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'CCC-car.4'!$Z$36:$Z$37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204.4244497912801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692-4411-B0BF-92016E74836C}"/>
            </c:ext>
          </c:extLst>
        </c:ser>
        <c:ser>
          <c:idx val="3"/>
          <c:order val="3"/>
          <c:tx>
            <c:v>4-R3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692-4411-B0BF-92016E7483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'CCC-car.4'!$AB$36:$AB$37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'CCC-car.4'!$AC$36:$AC$37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234.91535888218925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692-4411-B0BF-92016E74836C}"/>
            </c:ext>
          </c:extLst>
        </c:ser>
        <c:ser>
          <c:idx val="4"/>
          <c:order val="4"/>
          <c:tx>
            <c:v>4-R4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92-4411-B0BF-92016E7483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'CCC-car.4'!$W$40:$W$41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60.578799366969015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692-4411-B0BF-92016E74836C}"/>
            </c:ext>
          </c:extLst>
        </c:ser>
        <c:ser>
          <c:idx val="5"/>
          <c:order val="5"/>
          <c:tx>
            <c:v>4-R5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692-4411-B0BF-92016E7483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692-4411-B0BF-92016E748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57856"/>
        <c:axId val="341458416"/>
      </c:scatterChart>
      <c:valAx>
        <c:axId val="34145785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41458416"/>
        <c:crosses val="autoZero"/>
        <c:crossBetween val="midCat"/>
        <c:majorUnit val="1"/>
      </c:valAx>
      <c:valAx>
        <c:axId val="34145841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1457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 orientation="portrait"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52"/>
          <c:w val="0.90742455710851755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9.5</c:v>
                </c:pt>
                <c:pt idx="4">
                  <c:v>13.5</c:v>
                </c:pt>
                <c:pt idx="5">
                  <c:v>13.5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79-4098-8961-6DBA0A3D7A20}"/>
            </c:ext>
          </c:extLst>
        </c:ser>
        <c:ser>
          <c:idx val="1"/>
          <c:order val="1"/>
          <c:tx>
            <c:v>5-R1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579-4098-8961-6DBA0A3D7A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60.578799366969008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79-4098-8961-6DBA0A3D7A20}"/>
            </c:ext>
          </c:extLst>
        </c:ser>
        <c:ser>
          <c:idx val="2"/>
          <c:order val="2"/>
          <c:tx>
            <c:v>5-R2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79-4098-8961-6DBA0A3D7A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'CCC-car.5'!$Z$36:$Z$37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234.91535888218925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79-4098-8961-6DBA0A3D7A20}"/>
            </c:ext>
          </c:extLst>
        </c:ser>
        <c:ser>
          <c:idx val="3"/>
          <c:order val="3"/>
          <c:tx>
            <c:v>5-R3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79-4098-8961-6DBA0A3D7A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'CCC-car.5'!$AB$36:$AB$37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'CCC-car.5'!$AC$36:$AC$37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204.42444979128013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79-4098-8961-6DBA0A3D7A20}"/>
            </c:ext>
          </c:extLst>
        </c:ser>
        <c:ser>
          <c:idx val="4"/>
          <c:order val="4"/>
          <c:tx>
            <c:v>5-R4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79-4098-8961-6DBA0A3D7A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'CCC-car.5'!$W$40:$W$41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41.531391959561596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579-4098-8961-6DBA0A3D7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63456"/>
        <c:axId val="341464016"/>
      </c:scatterChart>
      <c:valAx>
        <c:axId val="341463456"/>
        <c:scaling>
          <c:orientation val="minMax"/>
          <c:min val="0"/>
        </c:scaling>
        <c:delete val="1"/>
        <c:axPos val="t"/>
        <c:numFmt formatCode="0" sourceLinked="0"/>
        <c:majorTickMark val="out"/>
        <c:minorTickMark val="none"/>
        <c:tickLblPos val="none"/>
        <c:crossAx val="341464016"/>
        <c:crosses val="autoZero"/>
        <c:crossBetween val="midCat"/>
        <c:majorUnit val="1"/>
      </c:valAx>
      <c:valAx>
        <c:axId val="34146401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14634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 orientation="portrait"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8942E-2"/>
          <c:y val="9.9061975819114148E-2"/>
          <c:w val="0.94847987950390711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'CCCC-car.1'!$AD$47:$AD$90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'CCCC-car.1'!$AE$47:$AE$90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5.6640625</c:v>
                </c:pt>
                <c:pt idx="6">
                  <c:v>9.375</c:v>
                </c:pt>
                <c:pt idx="7">
                  <c:v>11.1328125</c:v>
                </c:pt>
                <c:pt idx="8">
                  <c:v>10.9375</c:v>
                </c:pt>
                <c:pt idx="9">
                  <c:v>8.7890625</c:v>
                </c:pt>
                <c:pt idx="10">
                  <c:v>4.6875</c:v>
                </c:pt>
                <c:pt idx="11">
                  <c:v>-1.3671875</c:v>
                </c:pt>
                <c:pt idx="12">
                  <c:v>-9.375</c:v>
                </c:pt>
                <c:pt idx="13">
                  <c:v>-9.375</c:v>
                </c:pt>
                <c:pt idx="14">
                  <c:v>-6.25</c:v>
                </c:pt>
                <c:pt idx="15">
                  <c:v>-3.90625</c:v>
                </c:pt>
                <c:pt idx="16">
                  <c:v>-2.34375</c:v>
                </c:pt>
                <c:pt idx="17">
                  <c:v>-1.5625</c:v>
                </c:pt>
                <c:pt idx="18">
                  <c:v>-1.5625</c:v>
                </c:pt>
                <c:pt idx="19">
                  <c:v>-2.34375</c:v>
                </c:pt>
                <c:pt idx="20">
                  <c:v>-3.90625</c:v>
                </c:pt>
                <c:pt idx="21">
                  <c:v>-6.25</c:v>
                </c:pt>
                <c:pt idx="22">
                  <c:v>-6.25</c:v>
                </c:pt>
                <c:pt idx="23">
                  <c:v>0.1953125</c:v>
                </c:pt>
                <c:pt idx="24">
                  <c:v>4.6875</c:v>
                </c:pt>
                <c:pt idx="25">
                  <c:v>7.2265625</c:v>
                </c:pt>
                <c:pt idx="26">
                  <c:v>7.8125</c:v>
                </c:pt>
                <c:pt idx="27">
                  <c:v>6.4453125</c:v>
                </c:pt>
                <c:pt idx="28">
                  <c:v>3.125</c:v>
                </c:pt>
                <c:pt idx="29">
                  <c:v>-2.1484375</c:v>
                </c:pt>
                <c:pt idx="30">
                  <c:v>-9.375</c:v>
                </c:pt>
                <c:pt idx="31">
                  <c:v>-9.375</c:v>
                </c:pt>
                <c:pt idx="32">
                  <c:v>-5.46875</c:v>
                </c:pt>
                <c:pt idx="33">
                  <c:v>-2.34375</c:v>
                </c:pt>
                <c:pt idx="34">
                  <c:v>0</c:v>
                </c:pt>
                <c:pt idx="35">
                  <c:v>1.5625</c:v>
                </c:pt>
                <c:pt idx="36">
                  <c:v>2.34375</c:v>
                </c:pt>
                <c:pt idx="37">
                  <c:v>2.34375</c:v>
                </c:pt>
                <c:pt idx="38">
                  <c:v>1.5625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FC-401F-A744-AF57728A2E16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E0FC-401F-A744-AF57728A2E1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'CCCC-car.1'!$AL$17:$AL$18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0FC-401F-A744-AF57728A2E16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6-E0FC-401F-A744-AF57728A2E1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'CCCC-car.1'!$AL$19:$AL$20</c:f>
              <c:numCache>
                <c:formatCode>0.00</c:formatCode>
                <c:ptCount val="2"/>
                <c:pt idx="0">
                  <c:v>0</c:v>
                </c:pt>
                <c:pt idx="1">
                  <c:v>-9.375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0FC-401F-A744-AF57728A2E16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Pt>
            <c:idx val="1"/>
            <c:bubble3D val="0"/>
            <c:spPr>
              <a:ln w="635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E0FC-401F-A744-AF57728A2E1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'CCCC-car.1'!$AL$21:$AL$22</c:f>
              <c:numCache>
                <c:formatCode>0.00</c:formatCode>
                <c:ptCount val="2"/>
                <c:pt idx="0">
                  <c:v>0</c:v>
                </c:pt>
                <c:pt idx="1">
                  <c:v>-6.25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0FC-401F-A744-AF57728A2E16}"/>
            </c:ext>
          </c:extLst>
        </c:ser>
        <c:ser>
          <c:idx val="4"/>
          <c:order val="4"/>
          <c:tx>
            <c:v>app4</c:v>
          </c:tx>
          <c:spPr>
            <a:ln w="635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'CCCC-car.1'!$AK$23:$AK$24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'CCCC-car.1'!$AL$23:$AL$24</c:f>
              <c:numCache>
                <c:formatCode>0.00</c:formatCode>
                <c:ptCount val="2"/>
                <c:pt idx="0">
                  <c:v>0</c:v>
                </c:pt>
                <c:pt idx="1">
                  <c:v>-9.375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0FC-401F-A744-AF57728A2E16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10-E0FC-401F-A744-AF57728A2E1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'CCCC-car.1'!$AK$25:$AK$26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'CCCC-car.1'!$AL$25:$AL$26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E0FC-401F-A744-AF57728A2E16}"/>
            </c:ext>
          </c:extLst>
        </c:ser>
        <c:ser>
          <c:idx val="10"/>
          <c:order val="6"/>
          <c:tx>
            <c:v>camp1-2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'CCCC-car.1'!$AK$40:$AK$41</c:f>
              <c:numCache>
                <c:formatCode>0.00</c:formatCode>
                <c:ptCount val="2"/>
                <c:pt idx="0">
                  <c:v>2.125</c:v>
                </c:pt>
                <c:pt idx="1">
                  <c:v>2.125</c:v>
                </c:pt>
              </c:numCache>
            </c:numRef>
          </c:xVal>
          <c:yVal>
            <c:numRef>
              <c:f>'CCCC-car.1'!$AL$40:$AL$41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11.2890625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E0FC-401F-A744-AF57728A2E16}"/>
            </c:ext>
          </c:extLst>
        </c:ser>
        <c:ser>
          <c:idx val="11"/>
          <c:order val="7"/>
          <c:tx>
            <c:v>camp.2-3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'CCCC-car.1'!$AK$42:$AK$43</c:f>
              <c:numCache>
                <c:formatCode>0.00</c:formatCode>
                <c:ptCount val="2"/>
                <c:pt idx="0">
                  <c:v>7.8125</c:v>
                </c:pt>
                <c:pt idx="1">
                  <c:v>7.8125</c:v>
                </c:pt>
              </c:numCache>
            </c:numRef>
          </c:xVal>
          <c:yVal>
            <c:numRef>
              <c:f>'CCCC-car.1'!$AL$42:$AL$43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-1.46484375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E0FC-401F-A744-AF57728A2E16}"/>
            </c:ext>
          </c:extLst>
        </c:ser>
        <c:ser>
          <c:idx val="12"/>
          <c:order val="8"/>
          <c:tx>
            <c:v>camp.3-4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'CCCC-car.1'!$AK$44:$AK$45</c:f>
              <c:numCache>
                <c:formatCode>0.00</c:formatCode>
                <c:ptCount val="2"/>
                <c:pt idx="0">
                  <c:v>12.375</c:v>
                </c:pt>
                <c:pt idx="1">
                  <c:v>12.375</c:v>
                </c:pt>
              </c:numCache>
            </c:numRef>
          </c:xVal>
          <c:yVal>
            <c:numRef>
              <c:f>'CCCC-car.1'!$AL$44:$AL$45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7.8515625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E0FC-401F-A744-AF57728A2E16}"/>
            </c:ext>
          </c:extLst>
        </c:ser>
        <c:ser>
          <c:idx val="13"/>
          <c:order val="9"/>
          <c:tx>
            <c:v>camp.4-5</c:v>
          </c:tx>
          <c:spPr>
            <a:ln w="635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'CCCC-car.1'!$AK$46:$AK$47</c:f>
              <c:numCache>
                <c:formatCode>0.00</c:formatCode>
                <c:ptCount val="2"/>
                <c:pt idx="0">
                  <c:v>18.4375</c:v>
                </c:pt>
                <c:pt idx="1">
                  <c:v>18.4375</c:v>
                </c:pt>
              </c:numCache>
            </c:numRef>
          </c:xVal>
          <c:yVal>
            <c:numRef>
              <c:f>'CCCC-car.1'!$AL$46:$AL$47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2.44140625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E0FC-401F-A744-AF57728A2E16}"/>
            </c:ext>
          </c:extLst>
        </c:ser>
        <c:ser>
          <c:idx val="6"/>
          <c:order val="10"/>
          <c:tx>
            <c:v>M2(x)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'CCCC-car.2'!$AD$47:$AD$90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'CCCC-car.2'!$AE$47:$AE$90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1.5625</c:v>
                </c:pt>
                <c:pt idx="6">
                  <c:v>2.34375</c:v>
                </c:pt>
                <c:pt idx="7">
                  <c:v>2.34375</c:v>
                </c:pt>
                <c:pt idx="8">
                  <c:v>1.5625</c:v>
                </c:pt>
                <c:pt idx="9">
                  <c:v>0</c:v>
                </c:pt>
                <c:pt idx="10">
                  <c:v>-2.34375</c:v>
                </c:pt>
                <c:pt idx="11">
                  <c:v>-5.46875</c:v>
                </c:pt>
                <c:pt idx="12">
                  <c:v>-9.375</c:v>
                </c:pt>
                <c:pt idx="13">
                  <c:v>-9.375</c:v>
                </c:pt>
                <c:pt idx="14">
                  <c:v>-2.1484375</c:v>
                </c:pt>
                <c:pt idx="15">
                  <c:v>3.125</c:v>
                </c:pt>
                <c:pt idx="16">
                  <c:v>6.4453125</c:v>
                </c:pt>
                <c:pt idx="17">
                  <c:v>7.8125</c:v>
                </c:pt>
                <c:pt idx="18">
                  <c:v>7.2265625</c:v>
                </c:pt>
                <c:pt idx="19">
                  <c:v>4.6875</c:v>
                </c:pt>
                <c:pt idx="20">
                  <c:v>0.1953125</c:v>
                </c:pt>
                <c:pt idx="21">
                  <c:v>-6.25</c:v>
                </c:pt>
                <c:pt idx="22">
                  <c:v>-6.25</c:v>
                </c:pt>
                <c:pt idx="23">
                  <c:v>-3.90625</c:v>
                </c:pt>
                <c:pt idx="24">
                  <c:v>-2.34375</c:v>
                </c:pt>
                <c:pt idx="25">
                  <c:v>-1.5625</c:v>
                </c:pt>
                <c:pt idx="26">
                  <c:v>-1.5625</c:v>
                </c:pt>
                <c:pt idx="27">
                  <c:v>-2.34375</c:v>
                </c:pt>
                <c:pt idx="28">
                  <c:v>-3.90625</c:v>
                </c:pt>
                <c:pt idx="29">
                  <c:v>-6.25</c:v>
                </c:pt>
                <c:pt idx="30">
                  <c:v>-9.375</c:v>
                </c:pt>
                <c:pt idx="31">
                  <c:v>-9.375</c:v>
                </c:pt>
                <c:pt idx="32">
                  <c:v>-1.3671875</c:v>
                </c:pt>
                <c:pt idx="33">
                  <c:v>4.6875</c:v>
                </c:pt>
                <c:pt idx="34">
                  <c:v>8.7890625</c:v>
                </c:pt>
                <c:pt idx="35">
                  <c:v>10.9375</c:v>
                </c:pt>
                <c:pt idx="36">
                  <c:v>11.1328125</c:v>
                </c:pt>
                <c:pt idx="37">
                  <c:v>9.375</c:v>
                </c:pt>
                <c:pt idx="38">
                  <c:v>5.6640625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E0FC-401F-A744-AF57728A2E16}"/>
            </c:ext>
          </c:extLst>
        </c:ser>
        <c:ser>
          <c:idx val="7"/>
          <c:order val="11"/>
          <c:tx>
            <c:v>M3(x)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'CCCC-car.3'!$AD$47:$AD$90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'CCCC-car.3'!$AE$47:$AE$90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5.078125</c:v>
                </c:pt>
                <c:pt idx="6">
                  <c:v>8.203125</c:v>
                </c:pt>
                <c:pt idx="7">
                  <c:v>9.375</c:v>
                </c:pt>
                <c:pt idx="8">
                  <c:v>8.59375</c:v>
                </c:pt>
                <c:pt idx="9">
                  <c:v>5.859375</c:v>
                </c:pt>
                <c:pt idx="10">
                  <c:v>1.171875</c:v>
                </c:pt>
                <c:pt idx="11">
                  <c:v>-5.46875</c:v>
                </c:pt>
                <c:pt idx="12">
                  <c:v>-14.0625</c:v>
                </c:pt>
                <c:pt idx="13">
                  <c:v>-14.062499999999998</c:v>
                </c:pt>
                <c:pt idx="14">
                  <c:v>-6.2499999999999982</c:v>
                </c:pt>
                <c:pt idx="15">
                  <c:v>-0.390625</c:v>
                </c:pt>
                <c:pt idx="16">
                  <c:v>3.515625</c:v>
                </c:pt>
                <c:pt idx="17">
                  <c:v>5.46875</c:v>
                </c:pt>
                <c:pt idx="18">
                  <c:v>5.46875</c:v>
                </c:pt>
                <c:pt idx="19">
                  <c:v>3.515625</c:v>
                </c:pt>
                <c:pt idx="20">
                  <c:v>-0.390625</c:v>
                </c:pt>
                <c:pt idx="21">
                  <c:v>-6.25</c:v>
                </c:pt>
                <c:pt idx="22">
                  <c:v>-6.2499999999999991</c:v>
                </c:pt>
                <c:pt idx="23">
                  <c:v>-3.3203124999999991</c:v>
                </c:pt>
                <c:pt idx="24">
                  <c:v>-1.1718749999999991</c:v>
                </c:pt>
                <c:pt idx="25">
                  <c:v>0.1953125</c:v>
                </c:pt>
                <c:pt idx="26">
                  <c:v>0.78125</c:v>
                </c:pt>
                <c:pt idx="27">
                  <c:v>0.5859375</c:v>
                </c:pt>
                <c:pt idx="28">
                  <c:v>-0.390625</c:v>
                </c:pt>
                <c:pt idx="29">
                  <c:v>-2.1484375</c:v>
                </c:pt>
                <c:pt idx="30">
                  <c:v>-4.6875</c:v>
                </c:pt>
                <c:pt idx="31">
                  <c:v>-4.6875</c:v>
                </c:pt>
                <c:pt idx="32">
                  <c:v>-1.3671875</c:v>
                </c:pt>
                <c:pt idx="33">
                  <c:v>1.171875</c:v>
                </c:pt>
                <c:pt idx="34">
                  <c:v>2.9296875</c:v>
                </c:pt>
                <c:pt idx="35">
                  <c:v>3.90625</c:v>
                </c:pt>
                <c:pt idx="36">
                  <c:v>4.1015625</c:v>
                </c:pt>
                <c:pt idx="37">
                  <c:v>3.515625</c:v>
                </c:pt>
                <c:pt idx="38">
                  <c:v>2.1484375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E0FC-401F-A744-AF57728A2E16}"/>
            </c:ext>
          </c:extLst>
        </c:ser>
        <c:ser>
          <c:idx val="8"/>
          <c:order val="12"/>
          <c:tx>
            <c:v>M4(x)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'CCCC-car.4'!$AD$47:$AD$90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'CCCC-car.4'!$AE$47:$AE$90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1.7299107142857144</c:v>
                </c:pt>
                <c:pt idx="6">
                  <c:v>2.6785714285714288</c:v>
                </c:pt>
                <c:pt idx="7">
                  <c:v>2.8459821428571432</c:v>
                </c:pt>
                <c:pt idx="8">
                  <c:v>2.2321428571428577</c:v>
                </c:pt>
                <c:pt idx="9">
                  <c:v>0.83705357142857295</c:v>
                </c:pt>
                <c:pt idx="10">
                  <c:v>-1.3392857142857135</c:v>
                </c:pt>
                <c:pt idx="11">
                  <c:v>-4.2968749999999982</c:v>
                </c:pt>
                <c:pt idx="12">
                  <c:v>-8.0357142857142847</c:v>
                </c:pt>
                <c:pt idx="13">
                  <c:v>-8.0357142857142865</c:v>
                </c:pt>
                <c:pt idx="14">
                  <c:v>-1.6462053571428577</c:v>
                </c:pt>
                <c:pt idx="15">
                  <c:v>2.7901785714285712</c:v>
                </c:pt>
                <c:pt idx="16">
                  <c:v>5.2734375000000036</c:v>
                </c:pt>
                <c:pt idx="17">
                  <c:v>5.8035714285714306</c:v>
                </c:pt>
                <c:pt idx="18">
                  <c:v>4.3805803571428612</c:v>
                </c:pt>
                <c:pt idx="19">
                  <c:v>1.0044642857142918</c:v>
                </c:pt>
                <c:pt idx="20">
                  <c:v>-4.3247767857142847</c:v>
                </c:pt>
                <c:pt idx="21">
                  <c:v>-11.607142857142861</c:v>
                </c:pt>
                <c:pt idx="22">
                  <c:v>-11.607142857142858</c:v>
                </c:pt>
                <c:pt idx="23">
                  <c:v>-4.3247767857142865</c:v>
                </c:pt>
                <c:pt idx="24">
                  <c:v>1.0044642857142847</c:v>
                </c:pt>
                <c:pt idx="25">
                  <c:v>4.3805803571428541</c:v>
                </c:pt>
                <c:pt idx="26">
                  <c:v>5.803571428571427</c:v>
                </c:pt>
                <c:pt idx="27">
                  <c:v>5.2734374999999929</c:v>
                </c:pt>
                <c:pt idx="28">
                  <c:v>2.7901785714285623</c:v>
                </c:pt>
                <c:pt idx="29">
                  <c:v>-1.6462053571428612</c:v>
                </c:pt>
                <c:pt idx="30">
                  <c:v>-8.0357142857142918</c:v>
                </c:pt>
                <c:pt idx="31">
                  <c:v>-8.0357142857142847</c:v>
                </c:pt>
                <c:pt idx="32">
                  <c:v>-4.2968749999999991</c:v>
                </c:pt>
                <c:pt idx="33">
                  <c:v>-1.3392857142857135</c:v>
                </c:pt>
                <c:pt idx="34">
                  <c:v>0.83705357142857117</c:v>
                </c:pt>
                <c:pt idx="35">
                  <c:v>2.2321428571428577</c:v>
                </c:pt>
                <c:pt idx="36">
                  <c:v>2.8459821428571423</c:v>
                </c:pt>
                <c:pt idx="37">
                  <c:v>2.678571428571427</c:v>
                </c:pt>
                <c:pt idx="38">
                  <c:v>1.7299107142857153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E0FC-401F-A744-AF57728A2E16}"/>
            </c:ext>
          </c:extLst>
        </c:ser>
        <c:ser>
          <c:idx val="9"/>
          <c:order val="13"/>
          <c:tx>
            <c:v>M5(x)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'CCCC-car.5'!$AD$47:$AD$90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'CCCC-car.5'!$AE$47:$AE$90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2.1484375</c:v>
                </c:pt>
                <c:pt idx="6">
                  <c:v>3.515625</c:v>
                </c:pt>
                <c:pt idx="7">
                  <c:v>4.1015625</c:v>
                </c:pt>
                <c:pt idx="8">
                  <c:v>3.90625</c:v>
                </c:pt>
                <c:pt idx="9">
                  <c:v>2.9296875</c:v>
                </c:pt>
                <c:pt idx="10">
                  <c:v>1.171875</c:v>
                </c:pt>
                <c:pt idx="11">
                  <c:v>-1.3671875</c:v>
                </c:pt>
                <c:pt idx="12">
                  <c:v>-4.6875</c:v>
                </c:pt>
                <c:pt idx="13">
                  <c:v>-4.6875</c:v>
                </c:pt>
                <c:pt idx="14">
                  <c:v>-2.1484375</c:v>
                </c:pt>
                <c:pt idx="15">
                  <c:v>-0.390625</c:v>
                </c:pt>
                <c:pt idx="16">
                  <c:v>0.5859375</c:v>
                </c:pt>
                <c:pt idx="17">
                  <c:v>0.78125</c:v>
                </c:pt>
                <c:pt idx="18">
                  <c:v>0.1953125</c:v>
                </c:pt>
                <c:pt idx="19">
                  <c:v>-1.171875</c:v>
                </c:pt>
                <c:pt idx="20">
                  <c:v>-3.3203125</c:v>
                </c:pt>
                <c:pt idx="21">
                  <c:v>-6.25</c:v>
                </c:pt>
                <c:pt idx="22">
                  <c:v>-6.2499999999999991</c:v>
                </c:pt>
                <c:pt idx="23">
                  <c:v>-0.39062499999999911</c:v>
                </c:pt>
                <c:pt idx="24">
                  <c:v>3.515625</c:v>
                </c:pt>
                <c:pt idx="25">
                  <c:v>5.46875</c:v>
                </c:pt>
                <c:pt idx="26">
                  <c:v>5.46875</c:v>
                </c:pt>
                <c:pt idx="27">
                  <c:v>3.515625</c:v>
                </c:pt>
                <c:pt idx="28">
                  <c:v>-0.390625</c:v>
                </c:pt>
                <c:pt idx="29">
                  <c:v>-6.25</c:v>
                </c:pt>
                <c:pt idx="30">
                  <c:v>-14.0625</c:v>
                </c:pt>
                <c:pt idx="31">
                  <c:v>-14.062499999999998</c:v>
                </c:pt>
                <c:pt idx="32">
                  <c:v>-5.4687499999999982</c:v>
                </c:pt>
                <c:pt idx="33">
                  <c:v>1.171875</c:v>
                </c:pt>
                <c:pt idx="34">
                  <c:v>5.859375</c:v>
                </c:pt>
                <c:pt idx="35">
                  <c:v>8.59375</c:v>
                </c:pt>
                <c:pt idx="36">
                  <c:v>9.375</c:v>
                </c:pt>
                <c:pt idx="37">
                  <c:v>8.203125</c:v>
                </c:pt>
                <c:pt idx="38">
                  <c:v>5.078125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E0FC-401F-A744-AF57728A2E16}"/>
            </c:ext>
          </c:extLst>
        </c:ser>
        <c:ser>
          <c:idx val="14"/>
          <c:order val="14"/>
          <c:tx>
            <c:v>2-app.1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'CCCC-car.2'!$AL$17:$AL$18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E0FC-401F-A744-AF57728A2E16}"/>
            </c:ext>
          </c:extLst>
        </c:ser>
        <c:ser>
          <c:idx val="15"/>
          <c:order val="15"/>
          <c:tx>
            <c:v>2-app.2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'CCCC-car.2'!$AL$19:$AL$20</c:f>
              <c:numCache>
                <c:formatCode>0.00</c:formatCode>
                <c:ptCount val="2"/>
                <c:pt idx="0">
                  <c:v>0</c:v>
                </c:pt>
                <c:pt idx="1">
                  <c:v>-9.375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E0FC-401F-A744-AF57728A2E16}"/>
            </c:ext>
          </c:extLst>
        </c:ser>
        <c:ser>
          <c:idx val="16"/>
          <c:order val="16"/>
          <c:tx>
            <c:v>2-app.3</c:v>
          </c:tx>
          <c:marker>
            <c:symbol val="none"/>
          </c:marker>
          <c:dPt>
            <c:idx val="1"/>
            <c:bubble3D val="0"/>
            <c:spPr>
              <a:ln w="6350"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24-E0FC-401F-A744-AF57728A2E1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'CCCC-car.2'!$AL$21:$AL$22</c:f>
              <c:numCache>
                <c:formatCode>0.00</c:formatCode>
                <c:ptCount val="2"/>
                <c:pt idx="0">
                  <c:v>0</c:v>
                </c:pt>
                <c:pt idx="1">
                  <c:v>-6.25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E0FC-401F-A744-AF57728A2E16}"/>
            </c:ext>
          </c:extLst>
        </c:ser>
        <c:ser>
          <c:idx val="17"/>
          <c:order val="17"/>
          <c:tx>
            <c:v>2-app.4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'CCCC-car.2'!$AK$23:$AK$24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'CCCC-car.2'!$AL$23:$AL$24</c:f>
              <c:numCache>
                <c:formatCode>0.00</c:formatCode>
                <c:ptCount val="2"/>
                <c:pt idx="0">
                  <c:v>0</c:v>
                </c:pt>
                <c:pt idx="1">
                  <c:v>-9.375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E0FC-401F-A744-AF57728A2E16}"/>
            </c:ext>
          </c:extLst>
        </c:ser>
        <c:ser>
          <c:idx val="18"/>
          <c:order val="18"/>
          <c:tx>
            <c:v>2-app.5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'CCCC-car.2'!$AK$25:$AK$26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'CCCC-car.2'!$AL$25:$AL$26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E0FC-401F-A744-AF57728A2E16}"/>
            </c:ext>
          </c:extLst>
        </c:ser>
        <c:ser>
          <c:idx val="19"/>
          <c:order val="19"/>
          <c:tx>
            <c:v>2-camp.1-2</c:v>
          </c:tx>
          <c:marker>
            <c:symbol val="none"/>
          </c:marker>
          <c:dPt>
            <c:idx val="1"/>
            <c:bubble3D val="0"/>
            <c:spPr>
              <a:ln w="6350"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2C-E0FC-401F-A744-AF57728A2E1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'CCCC-car.2'!$AK$40:$AK$41</c:f>
              <c:numCache>
                <c:formatCode>0.00</c:formatCode>
                <c:ptCount val="2"/>
                <c:pt idx="0">
                  <c:v>1.5625</c:v>
                </c:pt>
                <c:pt idx="1">
                  <c:v>1.5625</c:v>
                </c:pt>
              </c:numCache>
            </c:numRef>
          </c:xVal>
          <c:yVal>
            <c:numRef>
              <c:f>'CCCC-car.2'!$AL$40:$AL$41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2.44140625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E0FC-401F-A744-AF57728A2E16}"/>
            </c:ext>
          </c:extLst>
        </c:ser>
        <c:ser>
          <c:idx val="20"/>
          <c:order val="20"/>
          <c:tx>
            <c:v>2-camp.2-3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'CCCC-car.2'!$AK$42:$AK$43</c:f>
              <c:numCache>
                <c:formatCode>0.00</c:formatCode>
                <c:ptCount val="2"/>
                <c:pt idx="0">
                  <c:v>7.625</c:v>
                </c:pt>
                <c:pt idx="1">
                  <c:v>7.625</c:v>
                </c:pt>
              </c:numCache>
            </c:numRef>
          </c:xVal>
          <c:yVal>
            <c:numRef>
              <c:f>'CCCC-car.2'!$AL$42:$AL$43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7.8515625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E0FC-401F-A744-AF57728A2E16}"/>
            </c:ext>
          </c:extLst>
        </c:ser>
        <c:ser>
          <c:idx val="21"/>
          <c:order val="21"/>
          <c:tx>
            <c:v>2-camp.3-4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'CCCC-car.2'!$AK$44:$AK$45</c:f>
              <c:numCache>
                <c:formatCode>0.00</c:formatCode>
                <c:ptCount val="2"/>
                <c:pt idx="0">
                  <c:v>12.1875</c:v>
                </c:pt>
                <c:pt idx="1">
                  <c:v>12.1875</c:v>
                </c:pt>
              </c:numCache>
            </c:numRef>
          </c:xVal>
          <c:yVal>
            <c:numRef>
              <c:f>'CCCC-car.2'!$AL$44:$AL$45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-1.46484375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E0FC-401F-A744-AF57728A2E16}"/>
            </c:ext>
          </c:extLst>
        </c:ser>
        <c:ser>
          <c:idx val="22"/>
          <c:order val="22"/>
          <c:tx>
            <c:v>2-camp.4-5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'CCCC-car.2'!$AK$46:$AK$47</c:f>
              <c:numCache>
                <c:formatCode>0.00</c:formatCode>
                <c:ptCount val="2"/>
                <c:pt idx="0">
                  <c:v>17.875</c:v>
                </c:pt>
                <c:pt idx="1">
                  <c:v>17.875</c:v>
                </c:pt>
              </c:numCache>
            </c:numRef>
          </c:xVal>
          <c:yVal>
            <c:numRef>
              <c:f>'CCCC-car.2'!$AL$46:$AL$47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11.2890625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E0FC-401F-A744-AF57728A2E16}"/>
            </c:ext>
          </c:extLst>
        </c:ser>
        <c:ser>
          <c:idx val="23"/>
          <c:order val="23"/>
          <c:tx>
            <c:v>3-app.1</c:v>
          </c:tx>
          <c:marker>
            <c:symbol val="none"/>
          </c:marker>
          <c:dPt>
            <c:idx val="1"/>
            <c:bubble3D val="0"/>
            <c:spPr>
              <a:ln w="6350"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36-E0FC-401F-A744-AF57728A2E1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'CCCC-car.3'!$AL$17:$AL$18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E0FC-401F-A744-AF57728A2E16}"/>
            </c:ext>
          </c:extLst>
        </c:ser>
        <c:ser>
          <c:idx val="24"/>
          <c:order val="24"/>
          <c:tx>
            <c:v>3-app.2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'CCCC-car.3'!$AL$19:$AL$20</c:f>
              <c:numCache>
                <c:formatCode>0.00</c:formatCode>
                <c:ptCount val="2"/>
                <c:pt idx="0">
                  <c:v>0</c:v>
                </c:pt>
                <c:pt idx="1">
                  <c:v>-14.0625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E0FC-401F-A744-AF57728A2E16}"/>
            </c:ext>
          </c:extLst>
        </c:ser>
        <c:ser>
          <c:idx val="25"/>
          <c:order val="25"/>
          <c:tx>
            <c:v>3-app.3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'CCCC-car.3'!$AL$21:$AL$22</c:f>
              <c:numCache>
                <c:formatCode>0.00</c:formatCode>
                <c:ptCount val="2"/>
                <c:pt idx="0">
                  <c:v>0</c:v>
                </c:pt>
                <c:pt idx="1">
                  <c:v>-6.25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E0FC-401F-A744-AF57728A2E16}"/>
            </c:ext>
          </c:extLst>
        </c:ser>
        <c:ser>
          <c:idx val="26"/>
          <c:order val="26"/>
          <c:tx>
            <c:v>3-app.4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'CCCC-car.3'!$AK$23:$AK$24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'CCCC-car.3'!$AL$23:$AL$24</c:f>
              <c:numCache>
                <c:formatCode>0.00</c:formatCode>
                <c:ptCount val="2"/>
                <c:pt idx="0">
                  <c:v>0</c:v>
                </c:pt>
                <c:pt idx="1">
                  <c:v>-4.6875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E0FC-401F-A744-AF57728A2E16}"/>
            </c:ext>
          </c:extLst>
        </c:ser>
        <c:ser>
          <c:idx val="27"/>
          <c:order val="27"/>
          <c:tx>
            <c:v>3-app.5</c:v>
          </c:tx>
          <c:marker>
            <c:symbol val="none"/>
          </c:marker>
          <c:dPt>
            <c:idx val="1"/>
            <c:bubble3D val="0"/>
            <c:spPr>
              <a:ln w="6350"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40-E0FC-401F-A744-AF57728A2E1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'CCCC-car.3'!$AK$25:$AK$26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'CCCC-car.3'!$AL$25:$AL$26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E0FC-401F-A744-AF57728A2E16}"/>
            </c:ext>
          </c:extLst>
        </c:ser>
        <c:ser>
          <c:idx val="28"/>
          <c:order val="28"/>
          <c:tx>
            <c:v>3-camp.1-2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'CCCC-car.3'!$AK$40:$AK$41</c:f>
              <c:numCache>
                <c:formatCode>0.00</c:formatCode>
                <c:ptCount val="2"/>
                <c:pt idx="0">
                  <c:v>1.9375</c:v>
                </c:pt>
                <c:pt idx="1">
                  <c:v>1.9375</c:v>
                </c:pt>
              </c:numCache>
            </c:numRef>
          </c:xVal>
          <c:yVal>
            <c:numRef>
              <c:f>'CCCC-car.3'!$AL$40:$AL$41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9.384765625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E0FC-401F-A744-AF57728A2E16}"/>
            </c:ext>
          </c:extLst>
        </c:ser>
        <c:ser>
          <c:idx val="29"/>
          <c:order val="29"/>
          <c:tx>
            <c:v>3-camp.2-3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'CCCC-car.3'!$AK$42:$AK$43</c:f>
              <c:numCache>
                <c:formatCode>0.00</c:formatCode>
                <c:ptCount val="2"/>
                <c:pt idx="0">
                  <c:v>7.8125</c:v>
                </c:pt>
                <c:pt idx="1">
                  <c:v>7.8125</c:v>
                </c:pt>
              </c:numCache>
            </c:numRef>
          </c:xVal>
          <c:yVal>
            <c:numRef>
              <c:f>'CCCC-car.3'!$AL$42:$AL$43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5.712890625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E0FC-401F-A744-AF57728A2E16}"/>
            </c:ext>
          </c:extLst>
        </c:ser>
        <c:ser>
          <c:idx val="30"/>
          <c:order val="30"/>
          <c:tx>
            <c:v>3-camp.3-4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'CCCC-car.3'!$AK$44:$AK$45</c:f>
              <c:numCache>
                <c:formatCode>0.00</c:formatCode>
                <c:ptCount val="2"/>
                <c:pt idx="0">
                  <c:v>12.65625</c:v>
                </c:pt>
                <c:pt idx="1">
                  <c:v>12.65625</c:v>
                </c:pt>
              </c:numCache>
            </c:numRef>
          </c:xVal>
          <c:yVal>
            <c:numRef>
              <c:f>'CCCC-car.3'!$AL$44:$AL$45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0.8056640625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E0FC-401F-A744-AF57728A2E16}"/>
            </c:ext>
          </c:extLst>
        </c:ser>
        <c:ser>
          <c:idx val="31"/>
          <c:order val="31"/>
          <c:tx>
            <c:v>3-camp.4-5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'CCCC-car.3'!$AK$46:$AK$47</c:f>
              <c:numCache>
                <c:formatCode>0.00</c:formatCode>
                <c:ptCount val="2"/>
                <c:pt idx="0">
                  <c:v>17.96875</c:v>
                </c:pt>
                <c:pt idx="1">
                  <c:v>17.96875</c:v>
                </c:pt>
              </c:numCache>
            </c:numRef>
          </c:xVal>
          <c:yVal>
            <c:numRef>
              <c:f>'CCCC-car.3'!$AL$46:$AL$47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4.1259765625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E0FC-401F-A744-AF57728A2E16}"/>
            </c:ext>
          </c:extLst>
        </c:ser>
        <c:ser>
          <c:idx val="32"/>
          <c:order val="32"/>
          <c:tx>
            <c:v>4-app.1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'CCCC-car.4'!$AL$17:$AL$18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E0FC-401F-A744-AF57728A2E16}"/>
            </c:ext>
          </c:extLst>
        </c:ser>
        <c:ser>
          <c:idx val="33"/>
          <c:order val="33"/>
          <c:tx>
            <c:v>4-app.2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'CCCC-car.4'!$AL$19:$AL$20</c:f>
              <c:numCache>
                <c:formatCode>0.00</c:formatCode>
                <c:ptCount val="2"/>
                <c:pt idx="0">
                  <c:v>0</c:v>
                </c:pt>
                <c:pt idx="1">
                  <c:v>-8.0357142857142847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E0FC-401F-A744-AF57728A2E16}"/>
            </c:ext>
          </c:extLst>
        </c:ser>
        <c:ser>
          <c:idx val="34"/>
          <c:order val="34"/>
          <c:tx>
            <c:v>4-app.3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'CCCC-car.4'!$AL$21:$AL$22</c:f>
              <c:numCache>
                <c:formatCode>0.00</c:formatCode>
                <c:ptCount val="2"/>
                <c:pt idx="0">
                  <c:v>0</c:v>
                </c:pt>
                <c:pt idx="1">
                  <c:v>-11.607142857142861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E0FC-401F-A744-AF57728A2E16}"/>
            </c:ext>
          </c:extLst>
        </c:ser>
        <c:ser>
          <c:idx val="35"/>
          <c:order val="35"/>
          <c:tx>
            <c:v>4-app.4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'CCCC-car.4'!$AK$23:$AK$24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'CCCC-car.4'!$AL$23:$AL$24</c:f>
              <c:numCache>
                <c:formatCode>0.00</c:formatCode>
                <c:ptCount val="2"/>
                <c:pt idx="0">
                  <c:v>0</c:v>
                </c:pt>
                <c:pt idx="1">
                  <c:v>-8.0357142857142918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E0FC-401F-A744-AF57728A2E16}"/>
            </c:ext>
          </c:extLst>
        </c:ser>
        <c:ser>
          <c:idx val="36"/>
          <c:order val="36"/>
          <c:tx>
            <c:v>4-app.5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'CCCC-car.4'!$AK$25:$AK$26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'CCCC-car.4'!$AL$25:$AL$26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E0FC-401F-A744-AF57728A2E16}"/>
            </c:ext>
          </c:extLst>
        </c:ser>
        <c:ser>
          <c:idx val="37"/>
          <c:order val="37"/>
          <c:tx>
            <c:v>4-camp.1-2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'CCCC-car.4'!$AK$40:$AK$41</c:f>
              <c:numCache>
                <c:formatCode>0.00</c:formatCode>
                <c:ptCount val="2"/>
                <c:pt idx="0">
                  <c:v>1.6964285714285716</c:v>
                </c:pt>
                <c:pt idx="1">
                  <c:v>1.6964285714285716</c:v>
                </c:pt>
              </c:numCache>
            </c:numRef>
          </c:xVal>
          <c:yVal>
            <c:numRef>
              <c:f>'CCCC-car.4'!$AL$40:$AL$41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2.8778698979591844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E0FC-401F-A744-AF57728A2E16}"/>
            </c:ext>
          </c:extLst>
        </c:ser>
        <c:ser>
          <c:idx val="38"/>
          <c:order val="38"/>
          <c:tx>
            <c:v>4-camp.2-3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'CCCC-car.4'!$AK$42:$AK$43</c:f>
              <c:numCache>
                <c:formatCode>0.00</c:formatCode>
                <c:ptCount val="2"/>
                <c:pt idx="0">
                  <c:v>7.3571428571428577</c:v>
                </c:pt>
                <c:pt idx="1">
                  <c:v>7.3571428571428577</c:v>
                </c:pt>
              </c:numCache>
            </c:numRef>
          </c:xVal>
          <c:yVal>
            <c:numRef>
              <c:f>'CCCC-car.4'!$AL$42:$AL$43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5.8545918367346967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E0FC-401F-A744-AF57728A2E16}"/>
            </c:ext>
          </c:extLst>
        </c:ser>
        <c:ser>
          <c:idx val="39"/>
          <c:order val="39"/>
          <c:tx>
            <c:v>4-camp.3-4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'CCCC-car.4'!$AK$44:$AK$45</c:f>
              <c:numCache>
                <c:formatCode>0.00</c:formatCode>
                <c:ptCount val="2"/>
                <c:pt idx="0">
                  <c:v>12.642857142857142</c:v>
                </c:pt>
                <c:pt idx="1">
                  <c:v>12.642857142857142</c:v>
                </c:pt>
              </c:numCache>
            </c:numRef>
          </c:xVal>
          <c:yVal>
            <c:numRef>
              <c:f>'CCCC-car.4'!$AL$44:$AL$45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5.8545918367346843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E0FC-401F-A744-AF57728A2E16}"/>
            </c:ext>
          </c:extLst>
        </c:ser>
        <c:ser>
          <c:idx val="40"/>
          <c:order val="40"/>
          <c:tx>
            <c:v>4-camp.4-5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'CCCC-car.4'!$AK$46:$AK$47</c:f>
              <c:numCache>
                <c:formatCode>0.00</c:formatCode>
                <c:ptCount val="2"/>
                <c:pt idx="0">
                  <c:v>18.303571428571427</c:v>
                </c:pt>
                <c:pt idx="1">
                  <c:v>18.303571428571427</c:v>
                </c:pt>
              </c:numCache>
            </c:numRef>
          </c:xVal>
          <c:yVal>
            <c:numRef>
              <c:f>'CCCC-car.4'!$AL$46:$AL$47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2.8778698979591759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E0FC-401F-A744-AF57728A2E16}"/>
            </c:ext>
          </c:extLst>
        </c:ser>
        <c:ser>
          <c:idx val="41"/>
          <c:order val="41"/>
          <c:tx>
            <c:v>5-app.1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'CCCC-car.5'!$AL$17:$AL$18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E0FC-401F-A744-AF57728A2E16}"/>
            </c:ext>
          </c:extLst>
        </c:ser>
        <c:ser>
          <c:idx val="42"/>
          <c:order val="42"/>
          <c:tx>
            <c:v>5-app.2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'CCCC-car.5'!$AL$19:$AL$20</c:f>
              <c:numCache>
                <c:formatCode>0.00</c:formatCode>
                <c:ptCount val="2"/>
                <c:pt idx="0">
                  <c:v>0</c:v>
                </c:pt>
                <c:pt idx="1">
                  <c:v>-4.6875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E0FC-401F-A744-AF57728A2E16}"/>
            </c:ext>
          </c:extLst>
        </c:ser>
        <c:ser>
          <c:idx val="43"/>
          <c:order val="43"/>
          <c:tx>
            <c:v>5-app.3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'CCCC-car.5'!$AL$21:$AL$22</c:f>
              <c:numCache>
                <c:formatCode>0.00</c:formatCode>
                <c:ptCount val="2"/>
                <c:pt idx="0">
                  <c:v>0</c:v>
                </c:pt>
                <c:pt idx="1">
                  <c:v>-6.25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E0FC-401F-A744-AF57728A2E16}"/>
            </c:ext>
          </c:extLst>
        </c:ser>
        <c:ser>
          <c:idx val="44"/>
          <c:order val="44"/>
          <c:tx>
            <c:v>5-app.4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'CCCC-car.5'!$AK$23:$AK$24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'CCCC-car.5'!$AL$23:$AL$24</c:f>
              <c:numCache>
                <c:formatCode>0.00</c:formatCode>
                <c:ptCount val="2"/>
                <c:pt idx="0">
                  <c:v>0</c:v>
                </c:pt>
                <c:pt idx="1">
                  <c:v>-14.0625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E0FC-401F-A744-AF57728A2E16}"/>
            </c:ext>
          </c:extLst>
        </c:ser>
        <c:ser>
          <c:idx val="45"/>
          <c:order val="45"/>
          <c:tx>
            <c:v>5-app.5</c:v>
          </c:tx>
          <c:marker>
            <c:symbol val="none"/>
          </c:marker>
          <c:dPt>
            <c:idx val="1"/>
            <c:bubble3D val="0"/>
            <c:spPr>
              <a:ln w="6350"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66-E0FC-401F-A744-AF57728A2E1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'CCCC-car.5'!$AK$25:$AK$26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'CCCC-car.5'!$AL$25:$AL$26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8-E0FC-401F-A744-AF57728A2E16}"/>
            </c:ext>
          </c:extLst>
        </c:ser>
        <c:ser>
          <c:idx val="46"/>
          <c:order val="46"/>
          <c:tx>
            <c:v>5-camp.1-2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'CCCC-car.5'!$AK$40:$AK$41</c:f>
              <c:numCache>
                <c:formatCode>0.00</c:formatCode>
                <c:ptCount val="2"/>
                <c:pt idx="0">
                  <c:v>2.03125</c:v>
                </c:pt>
                <c:pt idx="1">
                  <c:v>2.03125</c:v>
                </c:pt>
              </c:numCache>
            </c:numRef>
          </c:xVal>
          <c:yVal>
            <c:numRef>
              <c:f>'CCCC-car.5'!$AL$40:$AL$41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4.1259765625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A-E0FC-401F-A744-AF57728A2E16}"/>
            </c:ext>
          </c:extLst>
        </c:ser>
        <c:ser>
          <c:idx val="47"/>
          <c:order val="47"/>
          <c:tx>
            <c:v>5-camp.2-3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'CCCC-car.5'!$AK$42:$AK$43</c:f>
              <c:numCache>
                <c:formatCode>0.00</c:formatCode>
                <c:ptCount val="2"/>
                <c:pt idx="0">
                  <c:v>7.34375</c:v>
                </c:pt>
                <c:pt idx="1">
                  <c:v>7.34375</c:v>
                </c:pt>
              </c:numCache>
            </c:numRef>
          </c:xVal>
          <c:yVal>
            <c:numRef>
              <c:f>'CCCC-car.5'!$AL$42:$AL$43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0.8056640625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C-E0FC-401F-A744-AF57728A2E16}"/>
            </c:ext>
          </c:extLst>
        </c:ser>
        <c:ser>
          <c:idx val="48"/>
          <c:order val="48"/>
          <c:tx>
            <c:v>5-camp.3-4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'CCCC-car.5'!$AK$44:$AK$45</c:f>
              <c:numCache>
                <c:formatCode>0.00</c:formatCode>
                <c:ptCount val="2"/>
                <c:pt idx="0">
                  <c:v>12.1875</c:v>
                </c:pt>
                <c:pt idx="1">
                  <c:v>12.1875</c:v>
                </c:pt>
              </c:numCache>
            </c:numRef>
          </c:xVal>
          <c:yVal>
            <c:numRef>
              <c:f>'CCCC-car.5'!$AL$44:$AL$45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5.712890625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E-E0FC-401F-A744-AF57728A2E16}"/>
            </c:ext>
          </c:extLst>
        </c:ser>
        <c:ser>
          <c:idx val="49"/>
          <c:order val="49"/>
          <c:tx>
            <c:v>5-camp.4-5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E0FC-401F-A744-AF57728A2E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'CCCC-car.5'!$AK$46:$AK$47</c:f>
              <c:numCache>
                <c:formatCode>0.00</c:formatCode>
                <c:ptCount val="2"/>
                <c:pt idx="0">
                  <c:v>18.0625</c:v>
                </c:pt>
                <c:pt idx="1">
                  <c:v>18.0625</c:v>
                </c:pt>
              </c:numCache>
            </c:numRef>
          </c:xVal>
          <c:yVal>
            <c:numRef>
              <c:f>'CCCC-car.5'!$AL$46:$AL$47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9.384765625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E0FC-401F-A744-AF57728A2E1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2488416"/>
        <c:axId val="342488976"/>
      </c:scatterChart>
      <c:valAx>
        <c:axId val="342488416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25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2488976"/>
        <c:crosses val="autoZero"/>
        <c:crossBetween val="midCat"/>
        <c:majorUnit val="1"/>
      </c:valAx>
      <c:valAx>
        <c:axId val="342488976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2488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42"/>
          <c:w val="0.94796977526453763"/>
          <c:h val="0.77738578636804923"/>
        </c:manualLayout>
      </c:layout>
      <c:scatterChart>
        <c:scatterStyle val="lineMarker"/>
        <c:varyColors val="0"/>
        <c:ser>
          <c:idx val="0"/>
          <c:order val="0"/>
          <c:tx>
            <c:v>T1(x)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6EA-4176-A230-F273F45A0B7C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6EA-4176-A230-F273F45A0B7C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EA-4176-A230-F273F45A0B7C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EA-4176-A230-F273F45A0B7C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6EA-4176-A230-F273F45A0B7C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6EA-4176-A230-F273F45A0B7C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6EA-4176-A230-F273F45A0B7C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6EA-4176-A230-F273F45A0B7C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6EA-4176-A230-F273F45A0B7C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6EA-4176-A230-F273F45A0B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'CCCC-car.1'!$AF$47:$AF$90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10.625</c:v>
                </c:pt>
                <c:pt idx="5">
                  <c:v>7.5</c:v>
                </c:pt>
                <c:pt idx="6">
                  <c:v>4.375</c:v>
                </c:pt>
                <c:pt idx="7">
                  <c:v>1.25</c:v>
                </c:pt>
                <c:pt idx="8">
                  <c:v>-1.875</c:v>
                </c:pt>
                <c:pt idx="9">
                  <c:v>-5</c:v>
                </c:pt>
                <c:pt idx="10">
                  <c:v>-8.125</c:v>
                </c:pt>
                <c:pt idx="11">
                  <c:v>-11.25</c:v>
                </c:pt>
                <c:pt idx="12">
                  <c:v>-14.375</c:v>
                </c:pt>
                <c:pt idx="13">
                  <c:v>5.625</c:v>
                </c:pt>
                <c:pt idx="14">
                  <c:v>4.375</c:v>
                </c:pt>
                <c:pt idx="15">
                  <c:v>3.125</c:v>
                </c:pt>
                <c:pt idx="16">
                  <c:v>1.875</c:v>
                </c:pt>
                <c:pt idx="17">
                  <c:v>0.625</c:v>
                </c:pt>
                <c:pt idx="18">
                  <c:v>-0.625</c:v>
                </c:pt>
                <c:pt idx="19">
                  <c:v>-1.875</c:v>
                </c:pt>
                <c:pt idx="20">
                  <c:v>-3.125</c:v>
                </c:pt>
                <c:pt idx="21">
                  <c:v>-4.375</c:v>
                </c:pt>
                <c:pt idx="22">
                  <c:v>11.875</c:v>
                </c:pt>
                <c:pt idx="23">
                  <c:v>8.75</c:v>
                </c:pt>
                <c:pt idx="24">
                  <c:v>5.625</c:v>
                </c:pt>
                <c:pt idx="25">
                  <c:v>2.5</c:v>
                </c:pt>
                <c:pt idx="26">
                  <c:v>-0.625</c:v>
                </c:pt>
                <c:pt idx="27">
                  <c:v>-3.75</c:v>
                </c:pt>
                <c:pt idx="28">
                  <c:v>-6.875</c:v>
                </c:pt>
                <c:pt idx="29">
                  <c:v>-10</c:v>
                </c:pt>
                <c:pt idx="30">
                  <c:v>-13.125</c:v>
                </c:pt>
                <c:pt idx="31">
                  <c:v>6.875</c:v>
                </c:pt>
                <c:pt idx="32">
                  <c:v>5.625</c:v>
                </c:pt>
                <c:pt idx="33">
                  <c:v>4.375</c:v>
                </c:pt>
                <c:pt idx="34">
                  <c:v>3.125</c:v>
                </c:pt>
                <c:pt idx="35">
                  <c:v>1.875</c:v>
                </c:pt>
                <c:pt idx="36">
                  <c:v>0.625</c:v>
                </c:pt>
                <c:pt idx="37">
                  <c:v>-0.625</c:v>
                </c:pt>
                <c:pt idx="38">
                  <c:v>-1.875</c:v>
                </c:pt>
                <c:pt idx="39">
                  <c:v>-3.125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6EA-4176-A230-F273F45A0B7C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'CCCC-Trave'!$AN$49</c:f>
              <c:numCache>
                <c:formatCode>0.00</c:formatCode>
                <c:ptCount val="1"/>
              </c:numCache>
            </c:numRef>
          </c:xVal>
          <c:yVal>
            <c:numRef>
              <c:f>'CCCC-Trave'!$AP$49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EA-4176-A230-F273F45A0B7C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'CCCC-Trave'!$AN$50</c:f>
              <c:numCache>
                <c:formatCode>0.00</c:formatCode>
                <c:ptCount val="1"/>
              </c:numCache>
            </c:numRef>
          </c:xVal>
          <c:yVal>
            <c:numRef>
              <c:f>'CCCC-Trave'!$AP$50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EA-4176-A230-F273F45A0B7C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'CCCC-Trave'!$AN$58</c:f>
              <c:numCache>
                <c:formatCode>0.00</c:formatCode>
                <c:ptCount val="1"/>
              </c:numCache>
            </c:numRef>
          </c:xVal>
          <c:yVal>
            <c:numRef>
              <c:f>'CCCC-Trave'!$AP$58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EA-4176-A230-F273F45A0B7C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'CCCC-Trave'!$AN$59</c:f>
              <c:numCache>
                <c:formatCode>0.00</c:formatCode>
                <c:ptCount val="1"/>
              </c:numCache>
            </c:numRef>
          </c:xVal>
          <c:yVal>
            <c:numRef>
              <c:f>'CCCC-Trave'!$AP$59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6EA-4176-A230-F273F45A0B7C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'CCCC-Trave'!$AN$67</c:f>
              <c:numCache>
                <c:formatCode>0.00</c:formatCode>
                <c:ptCount val="1"/>
              </c:numCache>
            </c:numRef>
          </c:xVal>
          <c:yVal>
            <c:numRef>
              <c:f>'CCCC-Trave'!$AP$67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6EA-4176-A230-F273F45A0B7C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'CCCC-Trave'!$AN$68</c:f>
              <c:numCache>
                <c:formatCode>0.00</c:formatCode>
                <c:ptCount val="1"/>
              </c:numCache>
            </c:numRef>
          </c:xVal>
          <c:yVal>
            <c:numRef>
              <c:f>'CCCC-Trave'!$AP$68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6EA-4176-A230-F273F45A0B7C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'CCCC-Trave'!$AN$76</c:f>
            </c:numRef>
          </c:xVal>
          <c:yVal>
            <c:numRef>
              <c:f>'CCCC-Trave'!$AP$76</c:f>
            </c:numRef>
          </c:yVal>
          <c:smooth val="0"/>
          <c:extLst>
            <c:ext xmlns:c16="http://schemas.microsoft.com/office/drawing/2014/chart" uri="{C3380CC4-5D6E-409C-BE32-E72D297353CC}">
              <c16:uniqueId val="{00000011-A6EA-4176-A230-F273F45A0B7C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'CCCC-Trave'!$AN$77</c:f>
            </c:numRef>
          </c:xVal>
          <c:yVal>
            <c:numRef>
              <c:f>'CCCC-Trave'!$AP$77</c:f>
            </c:numRef>
          </c:yVal>
          <c:smooth val="0"/>
          <c:extLst>
            <c:ext xmlns:c16="http://schemas.microsoft.com/office/drawing/2014/chart" uri="{C3380CC4-5D6E-409C-BE32-E72D297353CC}">
              <c16:uniqueId val="{00000012-A6EA-4176-A230-F273F45A0B7C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'CCCC-Trave'!$AN$85</c:f>
              <c:numCache>
                <c:formatCode>0.00</c:formatCode>
                <c:ptCount val="1"/>
              </c:numCache>
            </c:numRef>
          </c:xVal>
          <c:yVal>
            <c:numRef>
              <c:f>'CCCC-Trave'!$AP$85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6EA-4176-A230-F273F45A0B7C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'CCCC-Trave'!$AN$86</c:f>
              <c:numCache>
                <c:formatCode>0.00</c:formatCode>
                <c:ptCount val="1"/>
              </c:numCache>
            </c:numRef>
          </c:xVal>
          <c:yVal>
            <c:numRef>
              <c:f>'CCCC-Trave'!$AP$86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6EA-4176-A230-F273F45A0B7C}"/>
            </c:ext>
          </c:extLst>
        </c:ser>
        <c:ser>
          <c:idx val="11"/>
          <c:order val="11"/>
          <c:tx>
            <c:v>T2(x)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6EA-4176-A230-F273F45A0B7C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6EA-4176-A230-F273F45A0B7C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6EA-4176-A230-F273F45A0B7C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6EA-4176-A230-F273F45A0B7C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6EA-4176-A230-F273F45A0B7C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6EA-4176-A230-F273F45A0B7C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6EA-4176-A230-F273F45A0B7C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6EA-4176-A230-F273F45A0B7C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6EA-4176-A230-F273F45A0B7C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6EA-4176-A230-F273F45A0B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'CCCC-car.2'!$AF$47:$AF$90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3.125</c:v>
                </c:pt>
                <c:pt idx="5">
                  <c:v>1.875</c:v>
                </c:pt>
                <c:pt idx="6">
                  <c:v>0.625</c:v>
                </c:pt>
                <c:pt idx="7">
                  <c:v>-0.625</c:v>
                </c:pt>
                <c:pt idx="8">
                  <c:v>-1.875</c:v>
                </c:pt>
                <c:pt idx="9">
                  <c:v>-3.125</c:v>
                </c:pt>
                <c:pt idx="10">
                  <c:v>-4.375</c:v>
                </c:pt>
                <c:pt idx="11">
                  <c:v>-5.625</c:v>
                </c:pt>
                <c:pt idx="12">
                  <c:v>-6.875</c:v>
                </c:pt>
                <c:pt idx="13">
                  <c:v>13.125</c:v>
                </c:pt>
                <c:pt idx="14">
                  <c:v>10</c:v>
                </c:pt>
                <c:pt idx="15">
                  <c:v>6.875</c:v>
                </c:pt>
                <c:pt idx="16">
                  <c:v>3.75</c:v>
                </c:pt>
                <c:pt idx="17">
                  <c:v>0.625</c:v>
                </c:pt>
                <c:pt idx="18">
                  <c:v>-2.5</c:v>
                </c:pt>
                <c:pt idx="19">
                  <c:v>-5.625</c:v>
                </c:pt>
                <c:pt idx="20">
                  <c:v>-8.75</c:v>
                </c:pt>
                <c:pt idx="21">
                  <c:v>-11.875</c:v>
                </c:pt>
                <c:pt idx="22">
                  <c:v>4.375</c:v>
                </c:pt>
                <c:pt idx="23">
                  <c:v>3.125</c:v>
                </c:pt>
                <c:pt idx="24">
                  <c:v>1.875</c:v>
                </c:pt>
                <c:pt idx="25">
                  <c:v>0.625</c:v>
                </c:pt>
                <c:pt idx="26">
                  <c:v>-0.625</c:v>
                </c:pt>
                <c:pt idx="27">
                  <c:v>-1.875</c:v>
                </c:pt>
                <c:pt idx="28">
                  <c:v>-3.125</c:v>
                </c:pt>
                <c:pt idx="29">
                  <c:v>-4.375</c:v>
                </c:pt>
                <c:pt idx="30">
                  <c:v>-5.625</c:v>
                </c:pt>
                <c:pt idx="31">
                  <c:v>14.375</c:v>
                </c:pt>
                <c:pt idx="32">
                  <c:v>11.25</c:v>
                </c:pt>
                <c:pt idx="33">
                  <c:v>8.125</c:v>
                </c:pt>
                <c:pt idx="34">
                  <c:v>5</c:v>
                </c:pt>
                <c:pt idx="35">
                  <c:v>1.875</c:v>
                </c:pt>
                <c:pt idx="36">
                  <c:v>-1.25</c:v>
                </c:pt>
                <c:pt idx="37">
                  <c:v>-4.375</c:v>
                </c:pt>
                <c:pt idx="38">
                  <c:v>-7.5</c:v>
                </c:pt>
                <c:pt idx="39">
                  <c:v>-10.625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A6EA-4176-A230-F273F45A0B7C}"/>
            </c:ext>
          </c:extLst>
        </c:ser>
        <c:ser>
          <c:idx val="12"/>
          <c:order val="12"/>
          <c:tx>
            <c:v>T3(x)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6EA-4176-A230-F273F45A0B7C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6EA-4176-A230-F273F45A0B7C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6EA-4176-A230-F273F45A0B7C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A6EA-4176-A230-F273F45A0B7C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6EA-4176-A230-F273F45A0B7C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6EA-4176-A230-F273F45A0B7C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A6EA-4176-A230-F273F45A0B7C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A6EA-4176-A230-F273F45A0B7C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A6EA-4176-A230-F273F45A0B7C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A6EA-4176-A230-F273F45A0B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'CCCC-car.3'!$AF$47:$AF$90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9.6875</c:v>
                </c:pt>
                <c:pt idx="5">
                  <c:v>6.5625</c:v>
                </c:pt>
                <c:pt idx="6">
                  <c:v>3.4375</c:v>
                </c:pt>
                <c:pt idx="7">
                  <c:v>0.3125</c:v>
                </c:pt>
                <c:pt idx="8">
                  <c:v>-2.8125</c:v>
                </c:pt>
                <c:pt idx="9">
                  <c:v>-5.9375</c:v>
                </c:pt>
                <c:pt idx="10">
                  <c:v>-9.0625</c:v>
                </c:pt>
                <c:pt idx="11">
                  <c:v>-12.1875</c:v>
                </c:pt>
                <c:pt idx="12">
                  <c:v>-15.3125</c:v>
                </c:pt>
                <c:pt idx="13">
                  <c:v>14.0625</c:v>
                </c:pt>
                <c:pt idx="14">
                  <c:v>10.9375</c:v>
                </c:pt>
                <c:pt idx="15">
                  <c:v>7.8125</c:v>
                </c:pt>
                <c:pt idx="16">
                  <c:v>4.6875</c:v>
                </c:pt>
                <c:pt idx="17">
                  <c:v>1.5625</c:v>
                </c:pt>
                <c:pt idx="18">
                  <c:v>-1.5625</c:v>
                </c:pt>
                <c:pt idx="19">
                  <c:v>-4.6875</c:v>
                </c:pt>
                <c:pt idx="20">
                  <c:v>-7.8125</c:v>
                </c:pt>
                <c:pt idx="21">
                  <c:v>-10.9375</c:v>
                </c:pt>
                <c:pt idx="22">
                  <c:v>5.3125</c:v>
                </c:pt>
                <c:pt idx="23">
                  <c:v>4.0625</c:v>
                </c:pt>
                <c:pt idx="24">
                  <c:v>2.8125</c:v>
                </c:pt>
                <c:pt idx="25">
                  <c:v>1.5625</c:v>
                </c:pt>
                <c:pt idx="26">
                  <c:v>0.3125</c:v>
                </c:pt>
                <c:pt idx="27">
                  <c:v>-0.9375</c:v>
                </c:pt>
                <c:pt idx="28">
                  <c:v>-2.1875</c:v>
                </c:pt>
                <c:pt idx="29">
                  <c:v>-3.4375</c:v>
                </c:pt>
                <c:pt idx="30">
                  <c:v>-4.6875</c:v>
                </c:pt>
                <c:pt idx="31">
                  <c:v>5.9375</c:v>
                </c:pt>
                <c:pt idx="32">
                  <c:v>4.6875</c:v>
                </c:pt>
                <c:pt idx="33">
                  <c:v>3.4375</c:v>
                </c:pt>
                <c:pt idx="34">
                  <c:v>2.1875</c:v>
                </c:pt>
                <c:pt idx="35">
                  <c:v>0.9375</c:v>
                </c:pt>
                <c:pt idx="36">
                  <c:v>-0.3125</c:v>
                </c:pt>
                <c:pt idx="37">
                  <c:v>-1.5625</c:v>
                </c:pt>
                <c:pt idx="38">
                  <c:v>-2.8125</c:v>
                </c:pt>
                <c:pt idx="39">
                  <c:v>-4.0625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A6EA-4176-A230-F273F45A0B7C}"/>
            </c:ext>
          </c:extLst>
        </c:ser>
        <c:ser>
          <c:idx val="13"/>
          <c:order val="13"/>
          <c:tx>
            <c:v>T4(x)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A6EA-4176-A230-F273F45A0B7C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A6EA-4176-A230-F273F45A0B7C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A6EA-4176-A230-F273F45A0B7C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A6EA-4176-A230-F273F45A0B7C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A6EA-4176-A230-F273F45A0B7C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A6EA-4176-A230-F273F45A0B7C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A6EA-4176-A230-F273F45A0B7C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A6EA-4176-A230-F273F45A0B7C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A6EA-4176-A230-F273F45A0B7C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A6EA-4176-A230-F273F45A0B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'CCCC-car.4'!$AF$47:$AF$90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3.3928571428571432</c:v>
                </c:pt>
                <c:pt idx="5">
                  <c:v>2.1428571428571432</c:v>
                </c:pt>
                <c:pt idx="6">
                  <c:v>0.89285714285714324</c:v>
                </c:pt>
                <c:pt idx="7">
                  <c:v>-0.35714285714285676</c:v>
                </c:pt>
                <c:pt idx="8">
                  <c:v>-1.6071428571428568</c:v>
                </c:pt>
                <c:pt idx="9">
                  <c:v>-2.8571428571428568</c:v>
                </c:pt>
                <c:pt idx="10">
                  <c:v>-4.1071428571428568</c:v>
                </c:pt>
                <c:pt idx="11">
                  <c:v>-5.3571428571428568</c:v>
                </c:pt>
                <c:pt idx="12">
                  <c:v>-6.6071428571428568</c:v>
                </c:pt>
                <c:pt idx="13">
                  <c:v>11.785714285714286</c:v>
                </c:pt>
                <c:pt idx="14">
                  <c:v>8.6607142857142865</c:v>
                </c:pt>
                <c:pt idx="15">
                  <c:v>5.5357142857142865</c:v>
                </c:pt>
                <c:pt idx="16">
                  <c:v>2.4107142857142865</c:v>
                </c:pt>
                <c:pt idx="17">
                  <c:v>-0.71428571428571352</c:v>
                </c:pt>
                <c:pt idx="18">
                  <c:v>-3.8392857142857135</c:v>
                </c:pt>
                <c:pt idx="19">
                  <c:v>-6.9642857142857135</c:v>
                </c:pt>
                <c:pt idx="20">
                  <c:v>-10.089285714285714</c:v>
                </c:pt>
                <c:pt idx="21">
                  <c:v>-13.214285714285714</c:v>
                </c:pt>
                <c:pt idx="22">
                  <c:v>13.214285714285714</c:v>
                </c:pt>
                <c:pt idx="23">
                  <c:v>10.089285714285714</c:v>
                </c:pt>
                <c:pt idx="24">
                  <c:v>6.9642857142857135</c:v>
                </c:pt>
                <c:pt idx="25">
                  <c:v>3.8392857142857135</c:v>
                </c:pt>
                <c:pt idx="26">
                  <c:v>0.71428571428571352</c:v>
                </c:pt>
                <c:pt idx="27">
                  <c:v>-2.4107142857142865</c:v>
                </c:pt>
                <c:pt idx="28">
                  <c:v>-5.5357142857142865</c:v>
                </c:pt>
                <c:pt idx="29">
                  <c:v>-8.6607142857142865</c:v>
                </c:pt>
                <c:pt idx="30">
                  <c:v>-11.785714285714286</c:v>
                </c:pt>
                <c:pt idx="31">
                  <c:v>6.6071428571428568</c:v>
                </c:pt>
                <c:pt idx="32">
                  <c:v>5.3571428571428568</c:v>
                </c:pt>
                <c:pt idx="33">
                  <c:v>4.1071428571428568</c:v>
                </c:pt>
                <c:pt idx="34">
                  <c:v>2.8571428571428568</c:v>
                </c:pt>
                <c:pt idx="35">
                  <c:v>1.6071428571428568</c:v>
                </c:pt>
                <c:pt idx="36">
                  <c:v>0.35714285714285676</c:v>
                </c:pt>
                <c:pt idx="37">
                  <c:v>-0.89285714285714324</c:v>
                </c:pt>
                <c:pt idx="38">
                  <c:v>-2.1428571428571432</c:v>
                </c:pt>
                <c:pt idx="39">
                  <c:v>-3.3928571428571432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A6EA-4176-A230-F273F45A0B7C}"/>
            </c:ext>
          </c:extLst>
        </c:ser>
        <c:ser>
          <c:idx val="14"/>
          <c:order val="14"/>
          <c:tx>
            <c:v>T5(x)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A6EA-4176-A230-F273F45A0B7C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A6EA-4176-A230-F273F45A0B7C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A6EA-4176-A230-F273F45A0B7C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A6EA-4176-A230-F273F45A0B7C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A6EA-4176-A230-F273F45A0B7C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A6EA-4176-A230-F273F45A0B7C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A6EA-4176-A230-F273F45A0B7C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A6EA-4176-A230-F273F45A0B7C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A6EA-4176-A230-F273F45A0B7C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A6EA-4176-A230-F273F45A0B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'CCCC-car.5'!$AF$47:$AF$90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4.0625</c:v>
                </c:pt>
                <c:pt idx="5">
                  <c:v>2.8125</c:v>
                </c:pt>
                <c:pt idx="6">
                  <c:v>1.5625</c:v>
                </c:pt>
                <c:pt idx="7">
                  <c:v>0.3125</c:v>
                </c:pt>
                <c:pt idx="8">
                  <c:v>-0.9375</c:v>
                </c:pt>
                <c:pt idx="9">
                  <c:v>-2.1875</c:v>
                </c:pt>
                <c:pt idx="10">
                  <c:v>-3.4375</c:v>
                </c:pt>
                <c:pt idx="11">
                  <c:v>-4.6875</c:v>
                </c:pt>
                <c:pt idx="12">
                  <c:v>-5.9375</c:v>
                </c:pt>
                <c:pt idx="13">
                  <c:v>4.6875</c:v>
                </c:pt>
                <c:pt idx="14">
                  <c:v>3.4375</c:v>
                </c:pt>
                <c:pt idx="15">
                  <c:v>2.1875</c:v>
                </c:pt>
                <c:pt idx="16">
                  <c:v>0.9375</c:v>
                </c:pt>
                <c:pt idx="17">
                  <c:v>-0.3125</c:v>
                </c:pt>
                <c:pt idx="18">
                  <c:v>-1.5625</c:v>
                </c:pt>
                <c:pt idx="19">
                  <c:v>-2.8125</c:v>
                </c:pt>
                <c:pt idx="20">
                  <c:v>-4.0625</c:v>
                </c:pt>
                <c:pt idx="21">
                  <c:v>-5.3125</c:v>
                </c:pt>
                <c:pt idx="22">
                  <c:v>10.9375</c:v>
                </c:pt>
                <c:pt idx="23">
                  <c:v>7.8125</c:v>
                </c:pt>
                <c:pt idx="24">
                  <c:v>4.6875</c:v>
                </c:pt>
                <c:pt idx="25">
                  <c:v>1.5625</c:v>
                </c:pt>
                <c:pt idx="26">
                  <c:v>-1.5625</c:v>
                </c:pt>
                <c:pt idx="27">
                  <c:v>-4.6875</c:v>
                </c:pt>
                <c:pt idx="28">
                  <c:v>-7.8125</c:v>
                </c:pt>
                <c:pt idx="29">
                  <c:v>-10.9375</c:v>
                </c:pt>
                <c:pt idx="30">
                  <c:v>-14.0625</c:v>
                </c:pt>
                <c:pt idx="31">
                  <c:v>15.3125</c:v>
                </c:pt>
                <c:pt idx="32">
                  <c:v>12.1875</c:v>
                </c:pt>
                <c:pt idx="33">
                  <c:v>9.0625</c:v>
                </c:pt>
                <c:pt idx="34">
                  <c:v>5.9375</c:v>
                </c:pt>
                <c:pt idx="35">
                  <c:v>2.8125</c:v>
                </c:pt>
                <c:pt idx="36">
                  <c:v>-0.3125</c:v>
                </c:pt>
                <c:pt idx="37">
                  <c:v>-3.4375</c:v>
                </c:pt>
                <c:pt idx="38">
                  <c:v>-6.5625</c:v>
                </c:pt>
                <c:pt idx="39">
                  <c:v>-9.6875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A6EA-4176-A230-F273F45A0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550752"/>
        <c:axId val="343551312"/>
      </c:scatterChart>
      <c:valAx>
        <c:axId val="343550752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26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3551312"/>
        <c:crosses val="autoZero"/>
        <c:crossBetween val="midCat"/>
        <c:majorUnit val="1"/>
      </c:valAx>
      <c:valAx>
        <c:axId val="34355131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48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35507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573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211"/>
          <c:w val="0.90742455710851533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2950144904096403E-2"/>
                  <c:y val="0.1096930448814064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7F-4A00-8782-A5D4B9EE1D26}"/>
                </c:ext>
              </c:extLst>
            </c:dLbl>
            <c:dLbl>
              <c:idx val="1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B7F-4A00-8782-A5D4B9EE1D26}"/>
                </c:ext>
              </c:extLst>
            </c:dLbl>
            <c:dLbl>
              <c:idx val="2"/>
              <c:layout>
                <c:manualLayout>
                  <c:x val="-3.2950144904096403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7F-4A00-8782-A5D4B9EE1D26}"/>
                </c:ext>
              </c:extLst>
            </c:dLbl>
            <c:dLbl>
              <c:idx val="3"/>
              <c:layout>
                <c:manualLayout>
                  <c:x val="-3.7234620506346655E-2"/>
                  <c:y val="0.11619047813946254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7F-4A00-8782-A5D4B9EE1D26}"/>
                </c:ext>
              </c:extLst>
            </c:dLbl>
            <c:dLbl>
              <c:idx val="4"/>
              <c:layout>
                <c:manualLayout>
                  <c:x val="-3.7234620506346655E-2"/>
                  <c:y val="0.1197422810865554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7F-4A00-8782-A5D4B9EE1D26}"/>
                </c:ext>
              </c:extLst>
            </c:dLbl>
            <c:dLbl>
              <c:idx val="5"/>
              <c:layout>
                <c:manualLayout>
                  <c:x val="-3.7234620506346655E-2"/>
                  <c:y val="0.1096930448814064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B7F-4A00-8782-A5D4B9EE1D26}"/>
                </c:ext>
              </c:extLst>
            </c:dLbl>
            <c:dLbl>
              <c:idx val="6"/>
              <c:layout>
                <c:manualLayout>
                  <c:x val="-3.7234620506346655E-2"/>
                  <c:y val="0.10969304488140645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7F-4A00-8782-A5D4B9EE1D2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</c:numCache>
            </c:numRef>
          </c:xVal>
          <c:yVal>
            <c:numRef>
              <c:f>'CCCC-car.1'!$AL$54:$AL$60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B7F-4A00-8782-A5D4B9EE1D26}"/>
            </c:ext>
          </c:extLst>
        </c:ser>
        <c:ser>
          <c:idx val="6"/>
          <c:order val="1"/>
          <c:tx>
            <c:v>qs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'CCCC-car.1'!$AH$17:$AH$21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'CCCC-car.1'!$AI$17:$AI$21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B7F-4A00-8782-A5D4B9EE1D26}"/>
            </c:ext>
          </c:extLst>
        </c:ser>
        <c:ser>
          <c:idx val="7"/>
          <c:order val="2"/>
          <c:tx>
            <c:v>q12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'CCCC-car.1'!$AH$24:$AH$28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'CCCC-car.1'!$AI$24:$AI$28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15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B7F-4A00-8782-A5D4B9EE1D26}"/>
            </c:ext>
          </c:extLst>
        </c:ser>
        <c:ser>
          <c:idx val="8"/>
          <c:order val="3"/>
          <c:tx>
            <c:v>q23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'CCCC-car.1'!$AH$31:$AH$35</c:f>
              <c:numCache>
                <c:formatCode>0.00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'CCCC-car.1'!$AI$31:$AI$35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12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B7F-4A00-8782-A5D4B9EE1D26}"/>
            </c:ext>
          </c:extLst>
        </c:ser>
        <c:ser>
          <c:idx val="9"/>
          <c:order val="4"/>
          <c:tx>
            <c:v>q34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'CCCC-car.1'!$AH$38:$AH$42</c:f>
              <c:numCache>
                <c:formatCode>0.00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'CCCC-car.1'!$AI$38:$AI$42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15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B7F-4A00-8782-A5D4B9EE1D26}"/>
            </c:ext>
          </c:extLst>
        </c:ser>
        <c:ser>
          <c:idx val="10"/>
          <c:order val="5"/>
          <c:tx>
            <c:v>q45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'CCCC-car.1'!$AH$45:$AH$49</c:f>
              <c:numCache>
                <c:formatCode>0.00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</c:numCache>
            </c:numRef>
          </c:xVal>
          <c:yVal>
            <c:numRef>
              <c:f>'CCCC-car.1'!$AI$45:$AI$49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12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B7F-4A00-8782-A5D4B9EE1D26}"/>
            </c:ext>
          </c:extLst>
        </c:ser>
        <c:ser>
          <c:idx val="11"/>
          <c:order val="6"/>
          <c:tx>
            <c:v>qd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'CCCC-car.1'!$AH$52:$AH$56</c:f>
              <c:numCache>
                <c:formatCode>0.00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xVal>
          <c:yVal>
            <c:numRef>
              <c:f>'CCCC-car.1'!$AI$52:$AI$56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B7F-4A00-8782-A5D4B9EE1D26}"/>
            </c:ext>
          </c:extLst>
        </c:ser>
        <c:ser>
          <c:idx val="17"/>
          <c:order val="7"/>
          <c:tx>
            <c:v>2-qs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'CCCC-car.2'!$AH$17:$AH$21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'CCCC-car.2'!$AI$17:$AI$21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B7F-4A00-8782-A5D4B9EE1D26}"/>
            </c:ext>
          </c:extLst>
        </c:ser>
        <c:ser>
          <c:idx val="18"/>
          <c:order val="8"/>
          <c:tx>
            <c:v>2-q12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'CCCC-car.2'!$AH$24:$AH$28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'CCCC-car.2'!$AI$24:$AI$28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22</c:v>
                </c:pt>
                <c:pt idx="3">
                  <c:v>22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B7F-4A00-8782-A5D4B9EE1D26}"/>
            </c:ext>
          </c:extLst>
        </c:ser>
        <c:ser>
          <c:idx val="19"/>
          <c:order val="9"/>
          <c:tx>
            <c:v>2-q23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'CCCC-car.2'!$AH$31:$AH$35</c:f>
              <c:numCache>
                <c:formatCode>0.00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'CCCC-car.2'!$AI$31:$AI$35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25</c:v>
                </c:pt>
                <c:pt idx="3">
                  <c:v>25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B7F-4A00-8782-A5D4B9EE1D26}"/>
            </c:ext>
          </c:extLst>
        </c:ser>
        <c:ser>
          <c:idx val="20"/>
          <c:order val="10"/>
          <c:tx>
            <c:v>2-q34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'CCCC-car.2'!$AH$38:$AH$42</c:f>
              <c:numCache>
                <c:formatCode>0.00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'CCCC-car.2'!$AI$38:$AI$42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22</c:v>
                </c:pt>
                <c:pt idx="3">
                  <c:v>22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B7F-4A00-8782-A5D4B9EE1D26}"/>
            </c:ext>
          </c:extLst>
        </c:ser>
        <c:ser>
          <c:idx val="21"/>
          <c:order val="11"/>
          <c:tx>
            <c:v>2-q45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'CCCC-car.2'!$AH$45:$AH$49</c:f>
              <c:numCache>
                <c:formatCode>0.00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</c:numCache>
            </c:numRef>
          </c:xVal>
          <c:yVal>
            <c:numRef>
              <c:f>'CCCC-car.2'!$AI$45:$AI$49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25</c:v>
                </c:pt>
                <c:pt idx="3">
                  <c:v>25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B7F-4A00-8782-A5D4B9EE1D26}"/>
            </c:ext>
          </c:extLst>
        </c:ser>
        <c:ser>
          <c:idx val="22"/>
          <c:order val="12"/>
          <c:tx>
            <c:v>2-qd</c:v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'CCCC-car.2'!$AH$52:$AH$56</c:f>
              <c:numCache>
                <c:formatCode>0.00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xVal>
          <c:yVal>
            <c:numRef>
              <c:f>'CCCC-car.2'!$AI$52:$AI$56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B7F-4A00-8782-A5D4B9EE1D26}"/>
            </c:ext>
          </c:extLst>
        </c:ser>
        <c:ser>
          <c:idx val="23"/>
          <c:order val="13"/>
          <c:tx>
            <c:v>3-qs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'CCCC-car.3'!$AH$17:$AH$21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'CCCC-car.3'!$AI$17:$AI$21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B7F-4A00-8782-A5D4B9EE1D26}"/>
            </c:ext>
          </c:extLst>
        </c:ser>
        <c:ser>
          <c:idx val="24"/>
          <c:order val="14"/>
          <c:tx>
            <c:v>3-q12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'CCCC-car.3'!$AH$24:$AH$28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'CCCC-car.3'!$AI$24:$AI$28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35</c:v>
                </c:pt>
                <c:pt idx="3">
                  <c:v>35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B7F-4A00-8782-A5D4B9EE1D26}"/>
            </c:ext>
          </c:extLst>
        </c:ser>
        <c:ser>
          <c:idx val="25"/>
          <c:order val="15"/>
          <c:tx>
            <c:v>3-q23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'CCCC-car.3'!$AH$31:$AH$35</c:f>
              <c:numCache>
                <c:formatCode>0.00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'CCCC-car.3'!$AI$31:$AI$35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35</c:v>
                </c:pt>
                <c:pt idx="3">
                  <c:v>35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B7F-4A00-8782-A5D4B9EE1D26}"/>
            </c:ext>
          </c:extLst>
        </c:ser>
        <c:ser>
          <c:idx val="26"/>
          <c:order val="16"/>
          <c:tx>
            <c:v>3-q34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'CCCC-car.3'!$AH$38:$AH$42</c:f>
              <c:numCache>
                <c:formatCode>0.00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'CCCC-car.3'!$AI$38:$AI$42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32</c:v>
                </c:pt>
                <c:pt idx="3">
                  <c:v>32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B7F-4A00-8782-A5D4B9EE1D26}"/>
            </c:ext>
          </c:extLst>
        </c:ser>
        <c:ser>
          <c:idx val="27"/>
          <c:order val="17"/>
          <c:tx>
            <c:v>3-q45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'CCCC-car.3'!$AH$45:$AH$49</c:f>
              <c:numCache>
                <c:formatCode>0.00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</c:numCache>
            </c:numRef>
          </c:xVal>
          <c:yVal>
            <c:numRef>
              <c:f>'CCCC-car.3'!$AI$45:$AI$49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32</c:v>
                </c:pt>
                <c:pt idx="3">
                  <c:v>32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B7F-4A00-8782-A5D4B9EE1D26}"/>
            </c:ext>
          </c:extLst>
        </c:ser>
        <c:ser>
          <c:idx val="28"/>
          <c:order val="18"/>
          <c:tx>
            <c:v>3-qd</c:v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'CCCC-car.3'!$AH$52:$AH$56</c:f>
              <c:numCache>
                <c:formatCode>0.00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xVal>
          <c:yVal>
            <c:numRef>
              <c:f>'CCCC-car.3'!$AI$52:$AI$56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B7F-4A00-8782-A5D4B9EE1D26}"/>
            </c:ext>
          </c:extLst>
        </c:ser>
        <c:ser>
          <c:idx val="29"/>
          <c:order val="19"/>
          <c:tx>
            <c:v>4-qs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'CCCC-car.4'!$AH$17:$AH$21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'CCCC-car.4'!$AI$17:$AI$21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B7F-4A00-8782-A5D4B9EE1D26}"/>
            </c:ext>
          </c:extLst>
        </c:ser>
        <c:ser>
          <c:idx val="30"/>
          <c:order val="20"/>
          <c:tx>
            <c:v>4-q12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'CCCC-car.4'!$AH$24:$AH$28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'CCCC-car.4'!$AI$24:$AI$28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42</c:v>
                </c:pt>
                <c:pt idx="3">
                  <c:v>42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B7F-4A00-8782-A5D4B9EE1D26}"/>
            </c:ext>
          </c:extLst>
        </c:ser>
        <c:ser>
          <c:idx val="31"/>
          <c:order val="21"/>
          <c:tx>
            <c:v>4-q23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'CCCC-car.4'!$AH$31:$AH$35</c:f>
              <c:numCache>
                <c:formatCode>0.00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'CCCC-car.4'!$AI$31:$AI$35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45</c:v>
                </c:pt>
                <c:pt idx="3">
                  <c:v>45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B7F-4A00-8782-A5D4B9EE1D26}"/>
            </c:ext>
          </c:extLst>
        </c:ser>
        <c:ser>
          <c:idx val="32"/>
          <c:order val="22"/>
          <c:tx>
            <c:v>4-q34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'CCCC-car.4'!$AH$38:$AH$42</c:f>
              <c:numCache>
                <c:formatCode>0.00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'CCCC-car.4'!$AI$38:$AI$42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45</c:v>
                </c:pt>
                <c:pt idx="3">
                  <c:v>45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B7F-4A00-8782-A5D4B9EE1D26}"/>
            </c:ext>
          </c:extLst>
        </c:ser>
        <c:ser>
          <c:idx val="33"/>
          <c:order val="23"/>
          <c:tx>
            <c:v>4-q45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'CCCC-car.4'!$AH$45:$AH$49</c:f>
              <c:numCache>
                <c:formatCode>0.00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</c:numCache>
            </c:numRef>
          </c:xVal>
          <c:yVal>
            <c:numRef>
              <c:f>'CCCC-car.4'!$AI$45:$AI$49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42</c:v>
                </c:pt>
                <c:pt idx="3">
                  <c:v>42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3B7F-4A00-8782-A5D4B9EE1D26}"/>
            </c:ext>
          </c:extLst>
        </c:ser>
        <c:ser>
          <c:idx val="34"/>
          <c:order val="24"/>
          <c:tx>
            <c:v>4-qd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'CCCC-car.4'!$AH$52:$AH$56</c:f>
              <c:numCache>
                <c:formatCode>0.00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xVal>
          <c:yVal>
            <c:numRef>
              <c:f>'CCCC-car.4'!$AI$52:$AI$56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B7F-4A00-8782-A5D4B9EE1D26}"/>
            </c:ext>
          </c:extLst>
        </c:ser>
        <c:ser>
          <c:idx val="35"/>
          <c:order val="25"/>
          <c:tx>
            <c:v>5-qs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'CCCC-car.5'!$AH$17:$AH$21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'CCCC-car.5'!$AI$17:$AI$21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3B7F-4A00-8782-A5D4B9EE1D26}"/>
            </c:ext>
          </c:extLst>
        </c:ser>
        <c:ser>
          <c:idx val="36"/>
          <c:order val="26"/>
          <c:tx>
            <c:v>5-q12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'CCCC-car.5'!$AH$24:$AH$28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'CCCC-car.5'!$AI$24:$AI$28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52</c:v>
                </c:pt>
                <c:pt idx="3">
                  <c:v>52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B7F-4A00-8782-A5D4B9EE1D26}"/>
            </c:ext>
          </c:extLst>
        </c:ser>
        <c:ser>
          <c:idx val="37"/>
          <c:order val="27"/>
          <c:tx>
            <c:v>5-q23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'CCCC-car.5'!$AH$31:$AH$35</c:f>
              <c:numCache>
                <c:formatCode>0.00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'CCCC-car.5'!$AI$31:$AI$35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52</c:v>
                </c:pt>
                <c:pt idx="3">
                  <c:v>52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B7F-4A00-8782-A5D4B9EE1D26}"/>
            </c:ext>
          </c:extLst>
        </c:ser>
        <c:ser>
          <c:idx val="38"/>
          <c:order val="28"/>
          <c:tx>
            <c:v>5-q34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'CCCC-car.5'!$AH$38:$AH$42</c:f>
              <c:numCache>
                <c:formatCode>0.00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'CCCC-car.5'!$AI$38:$AI$42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55</c:v>
                </c:pt>
                <c:pt idx="3">
                  <c:v>55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B7F-4A00-8782-A5D4B9EE1D26}"/>
            </c:ext>
          </c:extLst>
        </c:ser>
        <c:ser>
          <c:idx val="39"/>
          <c:order val="29"/>
          <c:tx>
            <c:v>5-q45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'CCCC-car.5'!$AH$45:$AH$49</c:f>
              <c:numCache>
                <c:formatCode>0.00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</c:numCache>
            </c:numRef>
          </c:xVal>
          <c:yVal>
            <c:numRef>
              <c:f>'CCCC-car.5'!$AI$45:$AI$49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55</c:v>
                </c:pt>
                <c:pt idx="3">
                  <c:v>55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3B7F-4A00-8782-A5D4B9EE1D26}"/>
            </c:ext>
          </c:extLst>
        </c:ser>
        <c:ser>
          <c:idx val="40"/>
          <c:order val="30"/>
          <c:tx>
            <c:v>5-qd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'CCCC-car.5'!$AH$52:$AH$56</c:f>
              <c:numCache>
                <c:formatCode>0.00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xVal>
          <c:yVal>
            <c:numRef>
              <c:f>'CCCC-car.5'!$AI$52:$AI$56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3B7F-4A00-8782-A5D4B9EE1D26}"/>
            </c:ext>
          </c:extLst>
        </c:ser>
        <c:ser>
          <c:idx val="1"/>
          <c:order val="31"/>
          <c:tx>
            <c:v>vinccolo 1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</a:t>
                    </a:r>
                    <a:endParaRPr 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3B7F-4A00-8782-A5D4B9EE1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'CCCC-Vincoli trave'!$A$2:$A$5</c:f>
              <c:numCache>
                <c:formatCode>0.00</c:formatCode>
                <c:ptCount val="4"/>
                <c:pt idx="0">
                  <c:v>0</c:v>
                </c:pt>
                <c:pt idx="1">
                  <c:v>-0.4</c:v>
                </c:pt>
                <c:pt idx="2">
                  <c:v>0.4</c:v>
                </c:pt>
                <c:pt idx="3">
                  <c:v>0</c:v>
                </c:pt>
              </c:numCache>
            </c:numRef>
          </c:xVal>
          <c:yVal>
            <c:numRef>
              <c:f>'CCCC-Vincoli trave'!$B$2:$B$5</c:f>
              <c:numCache>
                <c:formatCode>General</c:formatCode>
                <c:ptCount val="4"/>
                <c:pt idx="0">
                  <c:v>0</c:v>
                </c:pt>
                <c:pt idx="1">
                  <c:v>-6</c:v>
                </c:pt>
                <c:pt idx="2">
                  <c:v>-6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3B7F-4A00-8782-A5D4B9EE1D26}"/>
            </c:ext>
          </c:extLst>
        </c:ser>
        <c:ser>
          <c:idx val="2"/>
          <c:order val="32"/>
          <c:tx>
            <c:v>vincolo 2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B7F-4A00-8782-A5D4B9EE1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'CCCC-Vincoli trave'!$D$2:$D$5</c:f>
              <c:numCache>
                <c:formatCode>0.00</c:formatCode>
                <c:ptCount val="4"/>
                <c:pt idx="0">
                  <c:v>5</c:v>
                </c:pt>
                <c:pt idx="1">
                  <c:v>4.5999999999999996</c:v>
                </c:pt>
                <c:pt idx="2">
                  <c:v>5.4</c:v>
                </c:pt>
                <c:pt idx="3">
                  <c:v>5</c:v>
                </c:pt>
              </c:numCache>
            </c:numRef>
          </c:xVal>
          <c:yVal>
            <c:numRef>
              <c:f>'CCCC-Vincoli trave'!$E$2:$E$5</c:f>
              <c:numCache>
                <c:formatCode>General</c:formatCode>
                <c:ptCount val="4"/>
                <c:pt idx="0">
                  <c:v>0</c:v>
                </c:pt>
                <c:pt idx="1">
                  <c:v>-6</c:v>
                </c:pt>
                <c:pt idx="2">
                  <c:v>-6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B7F-4A00-8782-A5D4B9EE1D26}"/>
            </c:ext>
          </c:extLst>
        </c:ser>
        <c:ser>
          <c:idx val="3"/>
          <c:order val="33"/>
          <c:tx>
            <c:v>vincolo 3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3B7F-4A00-8782-A5D4B9EE1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'CCCC-Vincoli trave'!$G$2:$G$5</c:f>
              <c:numCache>
                <c:formatCode>0.00</c:formatCode>
                <c:ptCount val="4"/>
                <c:pt idx="0">
                  <c:v>10</c:v>
                </c:pt>
                <c:pt idx="1">
                  <c:v>9.6</c:v>
                </c:pt>
                <c:pt idx="2">
                  <c:v>10.4</c:v>
                </c:pt>
                <c:pt idx="3">
                  <c:v>10</c:v>
                </c:pt>
              </c:numCache>
            </c:numRef>
          </c:xVal>
          <c:yVal>
            <c:numRef>
              <c:f>'CCCC-Vincoli trave'!$H$2:$H$5</c:f>
              <c:numCache>
                <c:formatCode>General</c:formatCode>
                <c:ptCount val="4"/>
                <c:pt idx="0">
                  <c:v>0</c:v>
                </c:pt>
                <c:pt idx="1">
                  <c:v>-6</c:v>
                </c:pt>
                <c:pt idx="2">
                  <c:v>-6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B7F-4A00-8782-A5D4B9EE1D26}"/>
            </c:ext>
          </c:extLst>
        </c:ser>
        <c:ser>
          <c:idx val="4"/>
          <c:order val="34"/>
          <c:tx>
            <c:v>vincolo 4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3B7F-4A00-8782-A5D4B9EE1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'CCCC-Vincoli trave'!$J$2:$J$5</c:f>
              <c:numCache>
                <c:formatCode>0.00</c:formatCode>
                <c:ptCount val="4"/>
                <c:pt idx="0">
                  <c:v>15</c:v>
                </c:pt>
                <c:pt idx="1">
                  <c:v>14.6</c:v>
                </c:pt>
                <c:pt idx="2">
                  <c:v>15.4</c:v>
                </c:pt>
                <c:pt idx="3">
                  <c:v>15</c:v>
                </c:pt>
              </c:numCache>
            </c:numRef>
          </c:xVal>
          <c:yVal>
            <c:numRef>
              <c:f>'CCCC-Vincoli trave'!$K$2:$K$5</c:f>
              <c:numCache>
                <c:formatCode>General</c:formatCode>
                <c:ptCount val="4"/>
                <c:pt idx="0">
                  <c:v>0</c:v>
                </c:pt>
                <c:pt idx="1">
                  <c:v>-6</c:v>
                </c:pt>
                <c:pt idx="2">
                  <c:v>-6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3B7F-4A00-8782-A5D4B9EE1D26}"/>
            </c:ext>
          </c:extLst>
        </c:ser>
        <c:ser>
          <c:idx val="5"/>
          <c:order val="35"/>
          <c:tx>
            <c:v>vincolo 5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3B7F-4A00-8782-A5D4B9EE1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'CCCC-Vincoli trave'!$M$2:$M$5</c:f>
              <c:numCache>
                <c:formatCode>0.00</c:formatCode>
                <c:ptCount val="4"/>
                <c:pt idx="0">
                  <c:v>20</c:v>
                </c:pt>
                <c:pt idx="1">
                  <c:v>19.600000000000001</c:v>
                </c:pt>
                <c:pt idx="2">
                  <c:v>20.399999999999999</c:v>
                </c:pt>
                <c:pt idx="3">
                  <c:v>20</c:v>
                </c:pt>
              </c:numCache>
            </c:numRef>
          </c:xVal>
          <c:yVal>
            <c:numRef>
              <c:f>'CCCC-Vincoli trave'!$N$2:$N$5</c:f>
              <c:numCache>
                <c:formatCode>General</c:formatCode>
                <c:ptCount val="4"/>
                <c:pt idx="0">
                  <c:v>0</c:v>
                </c:pt>
                <c:pt idx="1">
                  <c:v>-6</c:v>
                </c:pt>
                <c:pt idx="2">
                  <c:v>-6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3B7F-4A00-8782-A5D4B9EE1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573712"/>
        <c:axId val="343574272"/>
      </c:scatterChart>
      <c:valAx>
        <c:axId val="343573712"/>
        <c:scaling>
          <c:orientation val="minMax"/>
          <c:min val="0"/>
        </c:scaling>
        <c:delete val="1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82734758663"/>
              <c:y val="0.78534972060076269"/>
            </c:manualLayout>
          </c:layout>
          <c:overlay val="0"/>
        </c:title>
        <c:numFmt formatCode="0" sourceLinked="0"/>
        <c:majorTickMark val="out"/>
        <c:minorTickMark val="none"/>
        <c:tickLblPos val="none"/>
        <c:crossAx val="343574272"/>
        <c:crosses val="autoZero"/>
        <c:crossBetween val="midCat"/>
        <c:majorUnit val="1"/>
      </c:valAx>
      <c:valAx>
        <c:axId val="3435742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35737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 orientation="portrait"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205"/>
          <c:w val="0.90742455710851555"/>
          <c:h val="0.67859019160259304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</c:numCache>
            </c:numRef>
          </c:xVal>
          <c:yVal>
            <c:numRef>
              <c:f>'CCCC-car.1'!$AL$54:$AL$60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D8-49F1-8878-AAE957C21D14}"/>
            </c:ext>
          </c:extLst>
        </c:ser>
        <c:ser>
          <c:idx val="1"/>
          <c:order val="1"/>
          <c:tx>
            <c:v>R1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6D8-49F1-8878-AAE957C21D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'CCCC-car.1'!$W$36:$W$37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D8-49F1-8878-AAE957C21D14}"/>
            </c:ext>
          </c:extLst>
        </c:ser>
        <c:ser>
          <c:idx val="2"/>
          <c:order val="2"/>
          <c:tx>
            <c:v>R2</c:v>
          </c:tx>
          <c:spPr>
            <a:ln w="19050">
              <a:solidFill>
                <a:schemeClr val="tx2"/>
              </a:solidFill>
              <a:headEnd type="arrow" w="sm" len="med"/>
              <a:tailEnd type="none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D8-49F1-8878-AAE957C21D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'CCCC-car.1'!$Z$36:$Z$37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6D8-49F1-8878-AAE957C21D14}"/>
            </c:ext>
          </c:extLst>
        </c:ser>
        <c:ser>
          <c:idx val="3"/>
          <c:order val="3"/>
          <c:tx>
            <c:v>R3</c:v>
          </c:tx>
          <c:spPr>
            <a:ln w="19050">
              <a:solidFill>
                <a:schemeClr val="tx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6D8-49F1-8878-AAE957C21D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'CCCC-car.1'!$AC$36:$AC$37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6D8-49F1-8878-AAE957C21D14}"/>
            </c:ext>
          </c:extLst>
        </c:ser>
        <c:ser>
          <c:idx val="4"/>
          <c:order val="4"/>
          <c:tx>
            <c:v>R4</c:v>
          </c:tx>
          <c:spPr>
            <a:ln w="19050">
              <a:solidFill>
                <a:schemeClr val="tx2"/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6D8-49F1-8878-AAE957C21D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'CCCC-car.1'!$V$40:$V$41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'CCCC-car.1'!$W$40:$W$41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6D8-49F1-8878-AAE957C21D14}"/>
            </c:ext>
          </c:extLst>
        </c:ser>
        <c:ser>
          <c:idx val="5"/>
          <c:order val="5"/>
          <c:tx>
            <c:v>R5</c:v>
          </c:tx>
          <c:spPr>
            <a:ln w="19050">
              <a:solidFill>
                <a:schemeClr val="tx2"/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6D8-49F1-8878-AAE957C21D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'CCCC-car.1'!$Y$40:$Y$41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'CCCC-car.1'!$Z$40:$Z$41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6D8-49F1-8878-AAE957C21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474928"/>
        <c:axId val="344475488"/>
      </c:scatterChart>
      <c:valAx>
        <c:axId val="344474928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44475488"/>
        <c:crosses val="autoZero"/>
        <c:crossBetween val="midCat"/>
        <c:majorUnit val="1"/>
      </c:valAx>
      <c:valAx>
        <c:axId val="3444754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4749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 orientation="portrait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2"/>
          <c:w val="0.90742455710851577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</c:numCache>
            </c:numRef>
          </c:xVal>
          <c:yVal>
            <c:numRef>
              <c:f>'CCCC-car.1'!$AL$54:$AL$60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63-4AD3-8E11-FD50C02A9A1D}"/>
            </c:ext>
          </c:extLst>
        </c:ser>
        <c:ser>
          <c:idx val="1"/>
          <c:order val="1"/>
          <c:tx>
            <c:v>2-R1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463-4AD3-8E11-FD50C02A9A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'CCCC-car.2'!$W$36:$W$37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63-4AD3-8E11-FD50C02A9A1D}"/>
            </c:ext>
          </c:extLst>
        </c:ser>
        <c:ser>
          <c:idx val="2"/>
          <c:order val="2"/>
          <c:tx>
            <c:v>2-R2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63-4AD3-8E11-FD50C02A9A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'CCCC-car.2'!$Z$36:$Z$37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63-4AD3-8E11-FD50C02A9A1D}"/>
            </c:ext>
          </c:extLst>
        </c:ser>
        <c:ser>
          <c:idx val="3"/>
          <c:order val="3"/>
          <c:tx>
            <c:v>2-R3</c:v>
          </c:tx>
          <c:spPr>
            <a:ln w="19050">
              <a:solidFill>
                <a:schemeClr val="accent2"/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463-4AD3-8E11-FD50C02A9A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'CCCC-car.2'!$AC$36:$AC$37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63-4AD3-8E11-FD50C02A9A1D}"/>
            </c:ext>
          </c:extLst>
        </c:ser>
        <c:ser>
          <c:idx val="4"/>
          <c:order val="4"/>
          <c:tx>
            <c:v>2-R4</c:v>
          </c:tx>
          <c:spPr>
            <a:ln w="19050">
              <a:solidFill>
                <a:schemeClr val="accent2"/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63-4AD3-8E11-FD50C02A9A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'CCCC-car.2'!$V$40:$V$41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'CCCC-car.2'!$W$40:$W$41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63-4AD3-8E11-FD50C02A9A1D}"/>
            </c:ext>
          </c:extLst>
        </c:ser>
        <c:ser>
          <c:idx val="5"/>
          <c:order val="5"/>
          <c:tx>
            <c:v>2-R5</c:v>
          </c:tx>
          <c:spPr>
            <a:ln w="19050">
              <a:solidFill>
                <a:schemeClr val="accent2"/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463-4AD3-8E11-FD50C02A9A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'CCCC-car.2'!$Y$40:$Y$41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'CCCC-car.2'!$Z$40:$Z$41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463-4AD3-8E11-FD50C02A9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481088"/>
        <c:axId val="344481648"/>
      </c:scatterChart>
      <c:valAx>
        <c:axId val="344481088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44481648"/>
        <c:crosses val="autoZero"/>
        <c:crossBetween val="midCat"/>
        <c:majorUnit val="1"/>
      </c:valAx>
      <c:valAx>
        <c:axId val="3444816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4810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 orientation="portrait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94"/>
          <c:w val="0.90742455710851599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</c:numCache>
            </c:numRef>
          </c:xVal>
          <c:yVal>
            <c:numRef>
              <c:f>'CCCC-car.1'!$AL$54:$AL$60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04-4C1B-B947-374B28F20C0A}"/>
            </c:ext>
          </c:extLst>
        </c:ser>
        <c:ser>
          <c:idx val="1"/>
          <c:order val="1"/>
          <c:tx>
            <c:v>3-R1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504-4C1B-B947-374B28F20C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'CCCC-car.3'!$W$36:$W$37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-9.6875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04-4C1B-B947-374B28F20C0A}"/>
            </c:ext>
          </c:extLst>
        </c:ser>
        <c:ser>
          <c:idx val="2"/>
          <c:order val="2"/>
          <c:tx>
            <c:v>3-R2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04-4C1B-B947-374B28F20C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'CCCC-car.3'!$Z$36:$Z$37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-29.375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504-4C1B-B947-374B28F20C0A}"/>
            </c:ext>
          </c:extLst>
        </c:ser>
        <c:ser>
          <c:idx val="3"/>
          <c:order val="3"/>
          <c:tx>
            <c:v>3-R3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504-4C1B-B947-374B28F20C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'CCCC-car.3'!$AC$36:$AC$37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504-4C1B-B947-374B28F20C0A}"/>
            </c:ext>
          </c:extLst>
        </c:ser>
        <c:ser>
          <c:idx val="4"/>
          <c:order val="4"/>
          <c:tx>
            <c:v>3-R4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04-4C1B-B947-374B28F20C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'CCCC-car.3'!$V$40:$V$41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'CCCC-car.3'!$W$40:$W$41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504-4C1B-B947-374B28F20C0A}"/>
            </c:ext>
          </c:extLst>
        </c:ser>
        <c:ser>
          <c:idx val="5"/>
          <c:order val="5"/>
          <c:tx>
            <c:v>3-R5</c:v>
          </c:tx>
          <c:spPr>
            <a:ln w="19050">
              <a:solidFill>
                <a:schemeClr val="accent6">
                  <a:lumMod val="75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504-4C1B-B947-374B28F20C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'CCCC-car.3'!$Y$40:$Y$41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'CCCC-car.3'!$Z$40:$Z$41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-4.0625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504-4C1B-B947-374B28F20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487248"/>
        <c:axId val="344487808"/>
      </c:scatterChart>
      <c:valAx>
        <c:axId val="344487248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44487808"/>
        <c:crosses val="autoZero"/>
        <c:crossBetween val="midCat"/>
        <c:majorUnit val="1"/>
      </c:valAx>
      <c:valAx>
        <c:axId val="3444878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4872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77" l="0.70000000000000062" r="0.70000000000000062" t="0.75000000000001177" header="0.30000000000000032" footer="0.30000000000000032"/>
    <c:pageSetup orientation="portrait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86"/>
          <c:w val="0.90742455710851622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</c:numCache>
            </c:numRef>
          </c:xVal>
          <c:yVal>
            <c:numRef>
              <c:f>'CCCC-car.1'!$AL$54:$AL$60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C1-444D-8775-BE27195BBEDC}"/>
            </c:ext>
          </c:extLst>
        </c:ser>
        <c:ser>
          <c:idx val="1"/>
          <c:order val="1"/>
          <c:tx>
            <c:v>4-R1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BC1-444D-8775-BE27195BBE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'CCCC-car.4'!$W$36:$W$37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-3.3928571428571432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C1-444D-8775-BE27195BBEDC}"/>
            </c:ext>
          </c:extLst>
        </c:ser>
        <c:ser>
          <c:idx val="2"/>
          <c:order val="2"/>
          <c:tx>
            <c:v>4-R2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BC1-444D-8775-BE27195BBE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'CCCC-car.4'!$Z$36:$Z$37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-18.392857142857142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C1-444D-8775-BE27195BBEDC}"/>
            </c:ext>
          </c:extLst>
        </c:ser>
        <c:ser>
          <c:idx val="3"/>
          <c:order val="3"/>
          <c:tx>
            <c:v>4-R3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BC1-444D-8775-BE27195BBE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'CCCC-car.4'!$AC$36:$AC$37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-26.428571428571427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BC1-444D-8775-BE27195BBEDC}"/>
            </c:ext>
          </c:extLst>
        </c:ser>
        <c:ser>
          <c:idx val="4"/>
          <c:order val="4"/>
          <c:tx>
            <c:v>4-R4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BC1-444D-8775-BE27195BBE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'CCCC-car.4'!$V$40:$V$41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'CCCC-car.4'!$W$40:$W$41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-18.392857142857142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BC1-444D-8775-BE27195BBEDC}"/>
            </c:ext>
          </c:extLst>
        </c:ser>
        <c:ser>
          <c:idx val="5"/>
          <c:order val="5"/>
          <c:tx>
            <c:v>4-R5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BC1-444D-8775-BE27195BBE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'CCCC-car.4'!$Y$40:$Y$41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'CCCC-car.4'!$Z$40:$Z$41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-3.3928571428571432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BC1-444D-8775-BE27195BB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493408"/>
        <c:axId val="344493968"/>
      </c:scatterChart>
      <c:valAx>
        <c:axId val="344493408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44493968"/>
        <c:crosses val="autoZero"/>
        <c:crossBetween val="midCat"/>
        <c:majorUnit val="1"/>
      </c:valAx>
      <c:valAx>
        <c:axId val="3444939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4934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99" l="0.70000000000000062" r="0.70000000000000062" t="0.75000000000001199" header="0.30000000000000032" footer="0.30000000000000032"/>
    <c:pageSetup orientation="portrait"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02640124949522E-2"/>
          <c:y val="0.1258715047456318"/>
          <c:w val="0.90742455710851644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</c:numCache>
            </c:numRef>
          </c:xVal>
          <c:yVal>
            <c:numRef>
              <c:f>'CCCC-car.1'!$AL$54:$AL$60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64-4DAB-9C46-BBA4AEDE577C}"/>
            </c:ext>
          </c:extLst>
        </c:ser>
        <c:ser>
          <c:idx val="1"/>
          <c:order val="1"/>
          <c:tx>
            <c:v>5-R1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B64-4DAB-9C46-BBA4AEDE57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'CCCC-car.5'!$W$36:$W$37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-4.0625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64-4DAB-9C46-BBA4AEDE577C}"/>
            </c:ext>
          </c:extLst>
        </c:ser>
        <c:ser>
          <c:idx val="2"/>
          <c:order val="2"/>
          <c:tx>
            <c:v>5-R2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64-4DAB-9C46-BBA4AEDE57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'CCCC-car.5'!$Z$36:$Z$37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64-4DAB-9C46-BBA4AEDE577C}"/>
            </c:ext>
          </c:extLst>
        </c:ser>
        <c:ser>
          <c:idx val="3"/>
          <c:order val="3"/>
          <c:tx>
            <c:v>5-R3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B64-4DAB-9C46-BBA4AEDE57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'CCCC-car.5'!$AC$36:$AC$37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B64-4DAB-9C46-BBA4AEDE577C}"/>
            </c:ext>
          </c:extLst>
        </c:ser>
        <c:ser>
          <c:idx val="4"/>
          <c:order val="4"/>
          <c:tx>
            <c:v>5-R4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64-4DAB-9C46-BBA4AEDE57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'CCCC-car.5'!$V$40:$V$41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'CCCC-car.5'!$W$40:$W$41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-29.375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B64-4DAB-9C46-BBA4AEDE577C}"/>
            </c:ext>
          </c:extLst>
        </c:ser>
        <c:ser>
          <c:idx val="5"/>
          <c:order val="5"/>
          <c:tx>
            <c:v>5-R5</c:v>
          </c:tx>
          <c:spPr>
            <a:ln w="19050">
              <a:solidFill>
                <a:schemeClr val="accent4">
                  <a:lumMod val="60000"/>
                  <a:lumOff val="40000"/>
                </a:schemeClr>
              </a:solidFill>
              <a:headEnd type="arrow" w="sm" len="med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B64-4DAB-9C46-BBA4AEDE57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'CCCC-car.5'!$Y$40:$Y$41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'CCCC-car.5'!$Z$40:$Z$41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-9.6875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B64-4DAB-9C46-BBA4AEDE5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499568"/>
        <c:axId val="344500128"/>
      </c:scatterChart>
      <c:valAx>
        <c:axId val="344499568"/>
        <c:scaling>
          <c:orientation val="minMax"/>
          <c:min val="0"/>
        </c:scaling>
        <c:delete val="1"/>
        <c:axPos val="b"/>
        <c:numFmt formatCode="0" sourceLinked="0"/>
        <c:majorTickMark val="out"/>
        <c:minorTickMark val="none"/>
        <c:tickLblPos val="none"/>
        <c:crossAx val="344500128"/>
        <c:crosses val="autoZero"/>
        <c:crossBetween val="midCat"/>
        <c:majorUnit val="1"/>
      </c:valAx>
      <c:valAx>
        <c:axId val="3445001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4995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 orientation="portrait"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8956E-2"/>
          <c:y val="9.9061975819114148E-2"/>
          <c:w val="0.94847987950390733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'CCCC-car.1'!$AD$47:$AD$90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'CCCC-car.1'!$AE$47:$AE$90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5.6640625</c:v>
                </c:pt>
                <c:pt idx="6">
                  <c:v>9.375</c:v>
                </c:pt>
                <c:pt idx="7">
                  <c:v>11.1328125</c:v>
                </c:pt>
                <c:pt idx="8">
                  <c:v>10.9375</c:v>
                </c:pt>
                <c:pt idx="9">
                  <c:v>8.7890625</c:v>
                </c:pt>
                <c:pt idx="10">
                  <c:v>4.6875</c:v>
                </c:pt>
                <c:pt idx="11">
                  <c:v>-1.3671875</c:v>
                </c:pt>
                <c:pt idx="12">
                  <c:v>-9.375</c:v>
                </c:pt>
                <c:pt idx="13">
                  <c:v>-9.375</c:v>
                </c:pt>
                <c:pt idx="14">
                  <c:v>-6.25</c:v>
                </c:pt>
                <c:pt idx="15">
                  <c:v>-3.90625</c:v>
                </c:pt>
                <c:pt idx="16">
                  <c:v>-2.34375</c:v>
                </c:pt>
                <c:pt idx="17">
                  <c:v>-1.5625</c:v>
                </c:pt>
                <c:pt idx="18">
                  <c:v>-1.5625</c:v>
                </c:pt>
                <c:pt idx="19">
                  <c:v>-2.34375</c:v>
                </c:pt>
                <c:pt idx="20">
                  <c:v>-3.90625</c:v>
                </c:pt>
                <c:pt idx="21">
                  <c:v>-6.25</c:v>
                </c:pt>
                <c:pt idx="22">
                  <c:v>-6.25</c:v>
                </c:pt>
                <c:pt idx="23">
                  <c:v>0.1953125</c:v>
                </c:pt>
                <c:pt idx="24">
                  <c:v>4.6875</c:v>
                </c:pt>
                <c:pt idx="25">
                  <c:v>7.2265625</c:v>
                </c:pt>
                <c:pt idx="26">
                  <c:v>7.8125</c:v>
                </c:pt>
                <c:pt idx="27">
                  <c:v>6.4453125</c:v>
                </c:pt>
                <c:pt idx="28">
                  <c:v>3.125</c:v>
                </c:pt>
                <c:pt idx="29">
                  <c:v>-2.1484375</c:v>
                </c:pt>
                <c:pt idx="30">
                  <c:v>-9.375</c:v>
                </c:pt>
                <c:pt idx="31">
                  <c:v>-9.375</c:v>
                </c:pt>
                <c:pt idx="32">
                  <c:v>-5.46875</c:v>
                </c:pt>
                <c:pt idx="33">
                  <c:v>-2.34375</c:v>
                </c:pt>
                <c:pt idx="34">
                  <c:v>0</c:v>
                </c:pt>
                <c:pt idx="35">
                  <c:v>1.5625</c:v>
                </c:pt>
                <c:pt idx="36">
                  <c:v>2.34375</c:v>
                </c:pt>
                <c:pt idx="37">
                  <c:v>2.34375</c:v>
                </c:pt>
                <c:pt idx="38">
                  <c:v>1.5625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C9-4260-AA6E-126D03D4B375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'CCCC-car.1'!$AL$17:$AL$18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C9-4260-AA6E-126D03D4B375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'CCCC-car.1'!$AL$19:$AL$20</c:f>
              <c:numCache>
                <c:formatCode>0.00</c:formatCode>
                <c:ptCount val="2"/>
                <c:pt idx="0">
                  <c:v>0</c:v>
                </c:pt>
                <c:pt idx="1">
                  <c:v>-9.375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6C9-4260-AA6E-126D03D4B375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'CCCC-car.1'!$AL$21:$AL$22</c:f>
              <c:numCache>
                <c:formatCode>0.00</c:formatCode>
                <c:ptCount val="2"/>
                <c:pt idx="0">
                  <c:v>0</c:v>
                </c:pt>
                <c:pt idx="1">
                  <c:v>-6.25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6C9-4260-AA6E-126D03D4B375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'CCCC-car.1'!$AK$23:$AK$24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'CCCC-car.1'!$AL$23:$AL$24</c:f>
              <c:numCache>
                <c:formatCode>0.00</c:formatCode>
                <c:ptCount val="2"/>
                <c:pt idx="0">
                  <c:v>0</c:v>
                </c:pt>
                <c:pt idx="1">
                  <c:v>-9.375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6C9-4260-AA6E-126D03D4B375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96C9-4260-AA6E-126D03D4B375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'CCCC-car.1'!$AK$25:$AK$26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'CCCC-car.1'!$AL$25:$AL$26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6C9-4260-AA6E-126D03D4B375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'CCCC-car.1'!$AK$40:$AK$41</c:f>
              <c:numCache>
                <c:formatCode>0.00</c:formatCode>
                <c:ptCount val="2"/>
                <c:pt idx="0">
                  <c:v>2.125</c:v>
                </c:pt>
                <c:pt idx="1">
                  <c:v>2.125</c:v>
                </c:pt>
              </c:numCache>
            </c:numRef>
          </c:xVal>
          <c:yVal>
            <c:numRef>
              <c:f>'CCCC-car.1'!$AL$40:$AL$41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11.2890625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6C9-4260-AA6E-126D03D4B375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'CCCC-car.1'!$AK$42:$AK$43</c:f>
              <c:numCache>
                <c:formatCode>0.00</c:formatCode>
                <c:ptCount val="2"/>
                <c:pt idx="0">
                  <c:v>7.8125</c:v>
                </c:pt>
                <c:pt idx="1">
                  <c:v>7.8125</c:v>
                </c:pt>
              </c:numCache>
            </c:numRef>
          </c:xVal>
          <c:yVal>
            <c:numRef>
              <c:f>'CCCC-car.1'!$AL$42:$AL$43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-1.46484375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6C9-4260-AA6E-126D03D4B375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'CCCC-car.1'!$AK$44:$AK$45</c:f>
              <c:numCache>
                <c:formatCode>0.00</c:formatCode>
                <c:ptCount val="2"/>
                <c:pt idx="0">
                  <c:v>12.375</c:v>
                </c:pt>
                <c:pt idx="1">
                  <c:v>12.375</c:v>
                </c:pt>
              </c:numCache>
            </c:numRef>
          </c:xVal>
          <c:yVal>
            <c:numRef>
              <c:f>'CCCC-car.1'!$AL$44:$AL$45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7.8515625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6C9-4260-AA6E-126D03D4B375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6C9-4260-AA6E-126D03D4B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'CCCC-car.1'!$AK$46:$AK$47</c:f>
              <c:numCache>
                <c:formatCode>0.00</c:formatCode>
                <c:ptCount val="2"/>
                <c:pt idx="0">
                  <c:v>18.4375</c:v>
                </c:pt>
                <c:pt idx="1">
                  <c:v>18.4375</c:v>
                </c:pt>
              </c:numCache>
            </c:numRef>
          </c:xVal>
          <c:yVal>
            <c:numRef>
              <c:f>'CCCC-car.1'!$AL$46:$AL$47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2.44140625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6C9-4260-AA6E-126D03D4B3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4508528"/>
        <c:axId val="344509088"/>
      </c:scatterChart>
      <c:valAx>
        <c:axId val="34450852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2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4509088"/>
        <c:crosses val="autoZero"/>
        <c:crossBetween val="midCat"/>
        <c:majorUnit val="1"/>
      </c:valAx>
      <c:valAx>
        <c:axId val="34450908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5085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48"/>
          <c:w val="0.94796977526453763"/>
          <c:h val="0.77738578636804945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FB-4C41-88FA-026232ADA293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FB-4C41-88FA-026232ADA293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FB-4C41-88FA-026232ADA293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FB-4C41-88FA-026232ADA293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FB-4C41-88FA-026232ADA293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DFB-4C41-88FA-026232ADA293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FB-4C41-88FA-026232ADA293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FB-4C41-88FA-026232ADA293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DFB-4C41-88FA-026232ADA293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DFB-4C41-88FA-026232ADA2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'CCCC-car.1'!$AF$47:$AF$90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10.625</c:v>
                </c:pt>
                <c:pt idx="5">
                  <c:v>7.5</c:v>
                </c:pt>
                <c:pt idx="6">
                  <c:v>4.375</c:v>
                </c:pt>
                <c:pt idx="7">
                  <c:v>1.25</c:v>
                </c:pt>
                <c:pt idx="8">
                  <c:v>-1.875</c:v>
                </c:pt>
                <c:pt idx="9">
                  <c:v>-5</c:v>
                </c:pt>
                <c:pt idx="10">
                  <c:v>-8.125</c:v>
                </c:pt>
                <c:pt idx="11">
                  <c:v>-11.25</c:v>
                </c:pt>
                <c:pt idx="12">
                  <c:v>-14.375</c:v>
                </c:pt>
                <c:pt idx="13">
                  <c:v>5.625</c:v>
                </c:pt>
                <c:pt idx="14">
                  <c:v>4.375</c:v>
                </c:pt>
                <c:pt idx="15">
                  <c:v>3.125</c:v>
                </c:pt>
                <c:pt idx="16">
                  <c:v>1.875</c:v>
                </c:pt>
                <c:pt idx="17">
                  <c:v>0.625</c:v>
                </c:pt>
                <c:pt idx="18">
                  <c:v>-0.625</c:v>
                </c:pt>
                <c:pt idx="19">
                  <c:v>-1.875</c:v>
                </c:pt>
                <c:pt idx="20">
                  <c:v>-3.125</c:v>
                </c:pt>
                <c:pt idx="21">
                  <c:v>-4.375</c:v>
                </c:pt>
                <c:pt idx="22">
                  <c:v>11.875</c:v>
                </c:pt>
                <c:pt idx="23">
                  <c:v>8.75</c:v>
                </c:pt>
                <c:pt idx="24">
                  <c:v>5.625</c:v>
                </c:pt>
                <c:pt idx="25">
                  <c:v>2.5</c:v>
                </c:pt>
                <c:pt idx="26">
                  <c:v>-0.625</c:v>
                </c:pt>
                <c:pt idx="27">
                  <c:v>-3.75</c:v>
                </c:pt>
                <c:pt idx="28">
                  <c:v>-6.875</c:v>
                </c:pt>
                <c:pt idx="29">
                  <c:v>-10</c:v>
                </c:pt>
                <c:pt idx="30">
                  <c:v>-13.125</c:v>
                </c:pt>
                <c:pt idx="31">
                  <c:v>6.875</c:v>
                </c:pt>
                <c:pt idx="32">
                  <c:v>5.625</c:v>
                </c:pt>
                <c:pt idx="33">
                  <c:v>4.375</c:v>
                </c:pt>
                <c:pt idx="34">
                  <c:v>3.125</c:v>
                </c:pt>
                <c:pt idx="35">
                  <c:v>1.875</c:v>
                </c:pt>
                <c:pt idx="36">
                  <c:v>0.625</c:v>
                </c:pt>
                <c:pt idx="37">
                  <c:v>-0.625</c:v>
                </c:pt>
                <c:pt idx="38">
                  <c:v>-1.875</c:v>
                </c:pt>
                <c:pt idx="39">
                  <c:v>-3.125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DFB-4C41-88FA-026232ADA293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'CCCC-car.1'!$AD$50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'CCCC-car.1'!$AF$50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DFB-4C41-88FA-026232ADA293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'CCCC-car.1'!$AD$51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'CCCC-car.1'!$AF$51</c:f>
              <c:numCache>
                <c:formatCode>0.00</c:formatCode>
                <c:ptCount val="1"/>
                <c:pt idx="0">
                  <c:v>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DFB-4C41-88FA-026232ADA293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'CCCC-car.1'!$AD$59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'CCCC-car.1'!$AF$59</c:f>
              <c:numCache>
                <c:formatCode>0.00</c:formatCode>
                <c:ptCount val="1"/>
                <c:pt idx="0">
                  <c:v>-14.375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DFB-4C41-88FA-026232ADA293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'CCCC-car.1'!$AD$60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'CCCC-car.1'!$AF$60</c:f>
              <c:numCache>
                <c:formatCode>0.00</c:formatCode>
                <c:ptCount val="1"/>
                <c:pt idx="0">
                  <c:v>5.625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DFB-4C41-88FA-026232ADA293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'CCCC-car.1'!$AD$68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'CCCC-car.1'!$AF$68</c:f>
              <c:numCache>
                <c:formatCode>0.00</c:formatCode>
                <c:ptCount val="1"/>
                <c:pt idx="0">
                  <c:v>-4.375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DFB-4C41-88FA-026232ADA293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'CCCC-car.1'!$AD$69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'CCCC-car.1'!$AF$69</c:f>
              <c:numCache>
                <c:formatCode>0.00</c:formatCode>
                <c:ptCount val="1"/>
                <c:pt idx="0">
                  <c:v>11.875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DFB-4C41-88FA-026232ADA293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'CCCC-car.1'!$AD$77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'CCCC-car.1'!$AF$77</c:f>
              <c:numCache>
                <c:formatCode>0.00</c:formatCode>
                <c:ptCount val="1"/>
                <c:pt idx="0">
                  <c:v>-13.125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DFB-4C41-88FA-026232ADA293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'CCCC-car.1'!$AD$78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'CCCC-car.1'!$AF$78</c:f>
              <c:numCache>
                <c:formatCode>0.00</c:formatCode>
                <c:ptCount val="1"/>
                <c:pt idx="0">
                  <c:v>6.875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DFB-4C41-88FA-026232ADA293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'CCCC-car.1'!$AD$86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'CCCC-car.1'!$AF$86</c:f>
              <c:numCache>
                <c:formatCode>0.00</c:formatCode>
                <c:ptCount val="1"/>
                <c:pt idx="0">
                  <c:v>-3.125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DFB-4C41-88FA-026232ADA293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'CCCC-car.1'!$AD$87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'CCCC-car.1'!$AF$87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DFB-4C41-88FA-026232ADA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517488"/>
        <c:axId val="344518048"/>
      </c:scatterChart>
      <c:valAx>
        <c:axId val="34451748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3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4518048"/>
        <c:crosses val="autoZero"/>
        <c:crossBetween val="midCat"/>
        <c:majorUnit val="1"/>
      </c:valAx>
      <c:valAx>
        <c:axId val="34451804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53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5174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589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205"/>
          <c:w val="0.90742455710851555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</c:numCache>
            </c:numRef>
          </c:xVal>
          <c:yVal>
            <c:numRef>
              <c:f>'CCCC-car.1'!$AL$54:$AL$60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9A-4278-823F-312470B56A93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9A-4278-823F-312470B56A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'CCCC-car.1'!$W$36:$W$37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9A-4278-823F-312470B56A93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9A-4278-823F-312470B56A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'CCCC-car.1'!$Z$36:$Z$37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09A-4278-823F-312470B56A93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09A-4278-823F-312470B56A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'CCCC-car.1'!$AC$36:$AC$37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09A-4278-823F-312470B56A93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09A-4278-823F-312470B56A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'CCCC-car.1'!$V$40:$V$41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'CCCC-car.1'!$W$40:$W$41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09A-4278-823F-312470B56A93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09A-4278-823F-312470B56A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'CCCC-car.1'!$Y$40:$Y$41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'CCCC-car.1'!$Z$40:$Z$41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09A-4278-823F-312470B56A93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'CCCC-car.1'!$AH$17:$AH$21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'CCCC-car.1'!$AI$17:$AI$21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09A-4278-823F-312470B56A93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'CCCC-car.1'!$AH$24:$AH$28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'CCCC-car.1'!$AI$24:$AI$28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15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09A-4278-823F-312470B56A93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'CCCC-car.1'!$AH$31:$AH$35</c:f>
              <c:numCache>
                <c:formatCode>0.00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'CCCC-car.1'!$AI$31:$AI$35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12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09A-4278-823F-312470B56A93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'CCCC-car.1'!$AH$38:$AH$42</c:f>
              <c:numCache>
                <c:formatCode>0.00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'CCCC-car.1'!$AI$38:$AI$42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15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09A-4278-823F-312470B56A93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'CCCC-car.1'!$AH$45:$AH$49</c:f>
              <c:numCache>
                <c:formatCode>0.00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</c:numCache>
            </c:numRef>
          </c:xVal>
          <c:yVal>
            <c:numRef>
              <c:f>'CCCC-car.1'!$AI$45:$AI$49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12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09A-4278-823F-312470B56A93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'CCCC-car.1'!$AH$52:$AH$56</c:f>
              <c:numCache>
                <c:formatCode>0.00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xVal>
          <c:yVal>
            <c:numRef>
              <c:f>'CCCC-car.1'!$AI$52:$AI$56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09A-4278-823F-312470B56A93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'CCCC-car.1'!$V$37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'CCCC-car.1'!$W$37</c:f>
              <c:numCache>
                <c:formatCode>0.00</c:formatCode>
                <c:ptCount val="1"/>
                <c:pt idx="0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09A-4278-823F-312470B56A93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'CCCC-car.1'!$Y$37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'CCCC-car.1'!$Z$37</c:f>
              <c:numCache>
                <c:formatCode>0.00</c:formatCode>
                <c:ptCount val="1"/>
                <c:pt idx="0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09A-4278-823F-312470B56A93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'CCCC-car.1'!$AB$37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'CCCC-car.1'!$AC$37</c:f>
              <c:numCache>
                <c:formatCode>0.00</c:formatCode>
                <c:ptCount val="1"/>
                <c:pt idx="0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09A-4278-823F-312470B56A93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'CCCC-car.1'!$V$41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'CCCC-car.1'!$W$41</c:f>
              <c:numCache>
                <c:formatCode>0.00</c:formatCode>
                <c:ptCount val="1"/>
                <c:pt idx="0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09A-4278-823F-312470B56A93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'CCCC-car.1'!$Y$41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'CCCC-car.1'!$Z$41</c:f>
              <c:numCache>
                <c:formatCode>0.00</c:formatCode>
                <c:ptCount val="1"/>
                <c:pt idx="0">
                  <c:v>-3.125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09A-4278-823F-312470B56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529808"/>
        <c:axId val="344530368"/>
      </c:scatterChart>
      <c:valAx>
        <c:axId val="3445298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8999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44530368"/>
        <c:crosses val="autoZero"/>
        <c:crossBetween val="midCat"/>
        <c:majorUnit val="1"/>
      </c:valAx>
      <c:valAx>
        <c:axId val="3445303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5298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 orientation="portrait"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8973E-2"/>
          <c:y val="9.9061975819114148E-2"/>
          <c:w val="0.94847987950390755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'CCCC-car.2'!$AD$47:$AD$90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'CCCC-car.2'!$AE$47:$AE$90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1.5625</c:v>
                </c:pt>
                <c:pt idx="6">
                  <c:v>2.34375</c:v>
                </c:pt>
                <c:pt idx="7">
                  <c:v>2.34375</c:v>
                </c:pt>
                <c:pt idx="8">
                  <c:v>1.5625</c:v>
                </c:pt>
                <c:pt idx="9">
                  <c:v>0</c:v>
                </c:pt>
                <c:pt idx="10">
                  <c:v>-2.34375</c:v>
                </c:pt>
                <c:pt idx="11">
                  <c:v>-5.46875</c:v>
                </c:pt>
                <c:pt idx="12">
                  <c:v>-9.375</c:v>
                </c:pt>
                <c:pt idx="13">
                  <c:v>-9.375</c:v>
                </c:pt>
                <c:pt idx="14">
                  <c:v>-2.1484375</c:v>
                </c:pt>
                <c:pt idx="15">
                  <c:v>3.125</c:v>
                </c:pt>
                <c:pt idx="16">
                  <c:v>6.4453125</c:v>
                </c:pt>
                <c:pt idx="17">
                  <c:v>7.8125</c:v>
                </c:pt>
                <c:pt idx="18">
                  <c:v>7.2265625</c:v>
                </c:pt>
                <c:pt idx="19">
                  <c:v>4.6875</c:v>
                </c:pt>
                <c:pt idx="20">
                  <c:v>0.1953125</c:v>
                </c:pt>
                <c:pt idx="21">
                  <c:v>-6.25</c:v>
                </c:pt>
                <c:pt idx="22">
                  <c:v>-6.25</c:v>
                </c:pt>
                <c:pt idx="23">
                  <c:v>-3.90625</c:v>
                </c:pt>
                <c:pt idx="24">
                  <c:v>-2.34375</c:v>
                </c:pt>
                <c:pt idx="25">
                  <c:v>-1.5625</c:v>
                </c:pt>
                <c:pt idx="26">
                  <c:v>-1.5625</c:v>
                </c:pt>
                <c:pt idx="27">
                  <c:v>-2.34375</c:v>
                </c:pt>
                <c:pt idx="28">
                  <c:v>-3.90625</c:v>
                </c:pt>
                <c:pt idx="29">
                  <c:v>-6.25</c:v>
                </c:pt>
                <c:pt idx="30">
                  <c:v>-9.375</c:v>
                </c:pt>
                <c:pt idx="31">
                  <c:v>-9.375</c:v>
                </c:pt>
                <c:pt idx="32">
                  <c:v>-1.3671875</c:v>
                </c:pt>
                <c:pt idx="33">
                  <c:v>4.6875</c:v>
                </c:pt>
                <c:pt idx="34">
                  <c:v>8.7890625</c:v>
                </c:pt>
                <c:pt idx="35">
                  <c:v>10.9375</c:v>
                </c:pt>
                <c:pt idx="36">
                  <c:v>11.1328125</c:v>
                </c:pt>
                <c:pt idx="37">
                  <c:v>9.375</c:v>
                </c:pt>
                <c:pt idx="38">
                  <c:v>5.6640625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68-4431-B213-176EE7F3BA9C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'CCCC-car.2'!$AL$17:$AL$18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68-4431-B213-176EE7F3BA9C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'CCCC-car.2'!$AL$19:$AL$20</c:f>
              <c:numCache>
                <c:formatCode>0.00</c:formatCode>
                <c:ptCount val="2"/>
                <c:pt idx="0">
                  <c:v>0</c:v>
                </c:pt>
                <c:pt idx="1">
                  <c:v>-9.375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68-4431-B213-176EE7F3BA9C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'CCCC-car.2'!$AL$21:$AL$22</c:f>
              <c:numCache>
                <c:formatCode>0.00</c:formatCode>
                <c:ptCount val="2"/>
                <c:pt idx="0">
                  <c:v>0</c:v>
                </c:pt>
                <c:pt idx="1">
                  <c:v>-6.25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68-4431-B213-176EE7F3BA9C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'CCCC-car.2'!$AK$23:$AK$24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'CCCC-car.2'!$AL$23:$AL$24</c:f>
              <c:numCache>
                <c:formatCode>0.00</c:formatCode>
                <c:ptCount val="2"/>
                <c:pt idx="0">
                  <c:v>0</c:v>
                </c:pt>
                <c:pt idx="1">
                  <c:v>-9.375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68-4431-B213-176EE7F3BA9C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4068-4431-B213-176EE7F3BA9C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'CCCC-car.2'!$AK$25:$AK$26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'CCCC-car.2'!$AL$25:$AL$26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068-4431-B213-176EE7F3BA9C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'CCCC-car.2'!$AK$40:$AK$41</c:f>
              <c:numCache>
                <c:formatCode>0.00</c:formatCode>
                <c:ptCount val="2"/>
                <c:pt idx="0">
                  <c:v>1.5625</c:v>
                </c:pt>
                <c:pt idx="1">
                  <c:v>1.5625</c:v>
                </c:pt>
              </c:numCache>
            </c:numRef>
          </c:xVal>
          <c:yVal>
            <c:numRef>
              <c:f>'CCCC-car.2'!$AL$40:$AL$41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2.44140625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4068-4431-B213-176EE7F3BA9C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'CCCC-car.2'!$AK$42:$AK$43</c:f>
              <c:numCache>
                <c:formatCode>0.00</c:formatCode>
                <c:ptCount val="2"/>
                <c:pt idx="0">
                  <c:v>7.625</c:v>
                </c:pt>
                <c:pt idx="1">
                  <c:v>7.625</c:v>
                </c:pt>
              </c:numCache>
            </c:numRef>
          </c:xVal>
          <c:yVal>
            <c:numRef>
              <c:f>'CCCC-car.2'!$AL$42:$AL$43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7.8515625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4068-4431-B213-176EE7F3BA9C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'CCCC-car.2'!$AK$44:$AK$45</c:f>
              <c:numCache>
                <c:formatCode>0.00</c:formatCode>
                <c:ptCount val="2"/>
                <c:pt idx="0">
                  <c:v>12.1875</c:v>
                </c:pt>
                <c:pt idx="1">
                  <c:v>12.1875</c:v>
                </c:pt>
              </c:numCache>
            </c:numRef>
          </c:xVal>
          <c:yVal>
            <c:numRef>
              <c:f>'CCCC-car.2'!$AL$44:$AL$45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-1.46484375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4068-4431-B213-176EE7F3BA9C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068-4431-B213-176EE7F3B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'CCCC-car.2'!$AK$46:$AK$47</c:f>
              <c:numCache>
                <c:formatCode>0.00</c:formatCode>
                <c:ptCount val="2"/>
                <c:pt idx="0">
                  <c:v>17.875</c:v>
                </c:pt>
                <c:pt idx="1">
                  <c:v>17.875</c:v>
                </c:pt>
              </c:numCache>
            </c:numRef>
          </c:xVal>
          <c:yVal>
            <c:numRef>
              <c:f>'CCCC-car.2'!$AL$46:$AL$47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11.2890625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4068-4431-B213-176EE7F3BA9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4538208"/>
        <c:axId val="346250208"/>
      </c:scatterChart>
      <c:valAx>
        <c:axId val="34453820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31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6250208"/>
        <c:crosses val="autoZero"/>
        <c:crossBetween val="midCat"/>
        <c:majorUnit val="1"/>
      </c:valAx>
      <c:valAx>
        <c:axId val="34625020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45382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53"/>
          <c:w val="0.94796977526453763"/>
          <c:h val="0.77738578636804978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9A8-4971-ADD0-887869376DF5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9A8-4971-ADD0-887869376DF5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9A8-4971-ADD0-887869376DF5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9A8-4971-ADD0-887869376DF5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9A8-4971-ADD0-887869376DF5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9A8-4971-ADD0-887869376DF5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A8-4971-ADD0-887869376DF5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A8-4971-ADD0-887869376DF5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9A8-4971-ADD0-887869376DF5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9A8-4971-ADD0-887869376D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'CCCC-car.2'!$AF$47:$AF$90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3.125</c:v>
                </c:pt>
                <c:pt idx="5">
                  <c:v>1.875</c:v>
                </c:pt>
                <c:pt idx="6">
                  <c:v>0.625</c:v>
                </c:pt>
                <c:pt idx="7">
                  <c:v>-0.625</c:v>
                </c:pt>
                <c:pt idx="8">
                  <c:v>-1.875</c:v>
                </c:pt>
                <c:pt idx="9">
                  <c:v>-3.125</c:v>
                </c:pt>
                <c:pt idx="10">
                  <c:v>-4.375</c:v>
                </c:pt>
                <c:pt idx="11">
                  <c:v>-5.625</c:v>
                </c:pt>
                <c:pt idx="12">
                  <c:v>-6.875</c:v>
                </c:pt>
                <c:pt idx="13">
                  <c:v>13.125</c:v>
                </c:pt>
                <c:pt idx="14">
                  <c:v>10</c:v>
                </c:pt>
                <c:pt idx="15">
                  <c:v>6.875</c:v>
                </c:pt>
                <c:pt idx="16">
                  <c:v>3.75</c:v>
                </c:pt>
                <c:pt idx="17">
                  <c:v>0.625</c:v>
                </c:pt>
                <c:pt idx="18">
                  <c:v>-2.5</c:v>
                </c:pt>
                <c:pt idx="19">
                  <c:v>-5.625</c:v>
                </c:pt>
                <c:pt idx="20">
                  <c:v>-8.75</c:v>
                </c:pt>
                <c:pt idx="21">
                  <c:v>-11.875</c:v>
                </c:pt>
                <c:pt idx="22">
                  <c:v>4.375</c:v>
                </c:pt>
                <c:pt idx="23">
                  <c:v>3.125</c:v>
                </c:pt>
                <c:pt idx="24">
                  <c:v>1.875</c:v>
                </c:pt>
                <c:pt idx="25">
                  <c:v>0.625</c:v>
                </c:pt>
                <c:pt idx="26">
                  <c:v>-0.625</c:v>
                </c:pt>
                <c:pt idx="27">
                  <c:v>-1.875</c:v>
                </c:pt>
                <c:pt idx="28">
                  <c:v>-3.125</c:v>
                </c:pt>
                <c:pt idx="29">
                  <c:v>-4.375</c:v>
                </c:pt>
                <c:pt idx="30">
                  <c:v>-5.625</c:v>
                </c:pt>
                <c:pt idx="31">
                  <c:v>14.375</c:v>
                </c:pt>
                <c:pt idx="32">
                  <c:v>11.25</c:v>
                </c:pt>
                <c:pt idx="33">
                  <c:v>8.125</c:v>
                </c:pt>
                <c:pt idx="34">
                  <c:v>5</c:v>
                </c:pt>
                <c:pt idx="35">
                  <c:v>1.875</c:v>
                </c:pt>
                <c:pt idx="36">
                  <c:v>-1.25</c:v>
                </c:pt>
                <c:pt idx="37">
                  <c:v>-4.375</c:v>
                </c:pt>
                <c:pt idx="38">
                  <c:v>-7.5</c:v>
                </c:pt>
                <c:pt idx="39">
                  <c:v>-10.625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9A8-4971-ADD0-887869376DF5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'CCCC-car.2'!$AD$50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'CCCC-car.2'!$AF$50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9A8-4971-ADD0-887869376DF5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'CCCC-car.2'!$AD$51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'CCCC-car.2'!$AF$51</c:f>
              <c:numCache>
                <c:formatCode>0.00</c:formatCode>
                <c:ptCount val="1"/>
                <c:pt idx="0">
                  <c:v>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9A8-4971-ADD0-887869376DF5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'CCCC-car.2'!$AD$59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'CCCC-car.2'!$AF$59</c:f>
              <c:numCache>
                <c:formatCode>0.00</c:formatCode>
                <c:ptCount val="1"/>
                <c:pt idx="0">
                  <c:v>-6.875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9A8-4971-ADD0-887869376DF5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'CCCC-car.2'!$AD$60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'CCCC-car.2'!$AF$60</c:f>
              <c:numCache>
                <c:formatCode>0.00</c:formatCode>
                <c:ptCount val="1"/>
                <c:pt idx="0">
                  <c:v>13.125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9A8-4971-ADD0-887869376DF5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'CCCC-car.2'!$AD$68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'CCCC-car.2'!$AF$68</c:f>
              <c:numCache>
                <c:formatCode>0.00</c:formatCode>
                <c:ptCount val="1"/>
                <c:pt idx="0">
                  <c:v>-11.875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9A8-4971-ADD0-887869376DF5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'CCCC-car.2'!$AD$69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'CCCC-car.2'!$AF$69</c:f>
              <c:numCache>
                <c:formatCode>0.00</c:formatCode>
                <c:ptCount val="1"/>
                <c:pt idx="0">
                  <c:v>4.375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29A8-4971-ADD0-887869376DF5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'CCCC-car.2'!$AD$77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'CCCC-car.2'!$AF$77</c:f>
              <c:numCache>
                <c:formatCode>0.00</c:formatCode>
                <c:ptCount val="1"/>
                <c:pt idx="0">
                  <c:v>-5.625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29A8-4971-ADD0-887869376DF5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'CCCC-car.2'!$AD$78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'CCCC-car.2'!$AF$78</c:f>
              <c:numCache>
                <c:formatCode>0.00</c:formatCode>
                <c:ptCount val="1"/>
                <c:pt idx="0">
                  <c:v>14.375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9A8-4971-ADD0-887869376DF5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'CCCC-car.2'!$AD$86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'CCCC-car.2'!$AF$86</c:f>
              <c:numCache>
                <c:formatCode>0.00</c:formatCode>
                <c:ptCount val="1"/>
                <c:pt idx="0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29A8-4971-ADD0-887869376DF5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'CCCC-car.2'!$AD$87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'CCCC-car.2'!$AF$87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29A8-4971-ADD0-88786937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258608"/>
        <c:axId val="346259168"/>
      </c:scatterChart>
      <c:valAx>
        <c:axId val="34625860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35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6259168"/>
        <c:crosses val="autoZero"/>
        <c:crossBetween val="midCat"/>
        <c:majorUnit val="1"/>
      </c:valAx>
      <c:valAx>
        <c:axId val="34625916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6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62586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2"/>
          <c:w val="0.90742455710851577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</c:numCache>
            </c:numRef>
          </c:xVal>
          <c:yVal>
            <c:numRef>
              <c:f>'CCCC-car.2'!$AL$54:$AL$60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4D-45DD-AB28-79CE206B679F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94D-45DD-AB28-79CE206B67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'CCCC-car.2'!$W$36:$W$37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4D-45DD-AB28-79CE206B679F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94D-45DD-AB28-79CE206B67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'CCCC-car.2'!$Z$36:$Z$37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4D-45DD-AB28-79CE206B679F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94D-45DD-AB28-79CE206B67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'CCCC-car.2'!$AC$36:$AC$37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94D-45DD-AB28-79CE206B679F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94D-45DD-AB28-79CE206B67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'CCCC-car.2'!$V$40:$V$41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'CCCC-car.2'!$W$40:$W$41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94D-45DD-AB28-79CE206B679F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94D-45DD-AB28-79CE206B67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'CCCC-car.2'!$Y$40:$Y$41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'CCCC-car.2'!$Z$40:$Z$41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94D-45DD-AB28-79CE206B679F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'CCCC-car.2'!$AH$17:$AH$21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'CCCC-car.2'!$AI$17:$AI$21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94D-45DD-AB28-79CE206B679F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'CCCC-car.2'!$AH$24:$AH$28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'CCCC-car.2'!$AI$24:$AI$28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22</c:v>
                </c:pt>
                <c:pt idx="3">
                  <c:v>22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94D-45DD-AB28-79CE206B679F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'CCCC-car.2'!$AH$31:$AH$35</c:f>
              <c:numCache>
                <c:formatCode>0.00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'CCCC-car.2'!$AI$31:$AI$35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25</c:v>
                </c:pt>
                <c:pt idx="3">
                  <c:v>25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94D-45DD-AB28-79CE206B679F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'CCCC-car.2'!$AH$38:$AH$42</c:f>
              <c:numCache>
                <c:formatCode>0.00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'CCCC-car.2'!$AI$38:$AI$42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22</c:v>
                </c:pt>
                <c:pt idx="3">
                  <c:v>22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94D-45DD-AB28-79CE206B679F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'CCCC-car.2'!$AH$45:$AH$49</c:f>
              <c:numCache>
                <c:formatCode>0.00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</c:numCache>
            </c:numRef>
          </c:xVal>
          <c:yVal>
            <c:numRef>
              <c:f>'CCCC-car.2'!$AI$45:$AI$49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25</c:v>
                </c:pt>
                <c:pt idx="3">
                  <c:v>25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94D-45DD-AB28-79CE206B679F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'CCCC-car.2'!$AH$52:$AH$56</c:f>
              <c:numCache>
                <c:formatCode>0.00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xVal>
          <c:yVal>
            <c:numRef>
              <c:f>'CCCC-car.2'!$AI$52:$AI$56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94D-45DD-AB28-79CE206B679F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'CCCC-car.2'!$V$37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'CCCC-car.2'!$W$37</c:f>
              <c:numCache>
                <c:formatCode>0.00</c:formatCode>
                <c:ptCount val="1"/>
                <c:pt idx="0">
                  <c:v>-3.125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94D-45DD-AB28-79CE206B679F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'CCCC-car.2'!$Y$37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'CCCC-car.2'!$Z$37</c:f>
              <c:numCache>
                <c:formatCode>0.00</c:formatCode>
                <c:ptCount val="1"/>
                <c:pt idx="0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94D-45DD-AB28-79CE206B679F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'CCCC-car.2'!$AB$37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'CCCC-car.2'!$AC$37</c:f>
              <c:numCache>
                <c:formatCode>0.00</c:formatCode>
                <c:ptCount val="1"/>
                <c:pt idx="0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94D-45DD-AB28-79CE206B679F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'CCCC-car.2'!$V$41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'CCCC-car.2'!$W$41</c:f>
              <c:numCache>
                <c:formatCode>0.00</c:formatCode>
                <c:ptCount val="1"/>
                <c:pt idx="0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94D-45DD-AB28-79CE206B679F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'CCCC-car.2'!$Y$41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'CCCC-car.2'!$Z$41</c:f>
              <c:numCache>
                <c:formatCode>0.00</c:formatCode>
                <c:ptCount val="1"/>
                <c:pt idx="0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94D-45DD-AB28-79CE206B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270928"/>
        <c:axId val="346271488"/>
      </c:scatterChart>
      <c:valAx>
        <c:axId val="3462709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021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46271488"/>
        <c:crosses val="autoZero"/>
        <c:crossBetween val="midCat"/>
        <c:majorUnit val="1"/>
      </c:valAx>
      <c:valAx>
        <c:axId val="3462714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62709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 orientation="portrait"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8994E-2"/>
          <c:y val="9.9061975819114148E-2"/>
          <c:w val="0.94847987950390777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'CCCC-car.3'!$AD$47:$AD$90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'CCCC-car.3'!$AE$47:$AE$90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5.078125</c:v>
                </c:pt>
                <c:pt idx="6">
                  <c:v>8.203125</c:v>
                </c:pt>
                <c:pt idx="7">
                  <c:v>9.375</c:v>
                </c:pt>
                <c:pt idx="8">
                  <c:v>8.59375</c:v>
                </c:pt>
                <c:pt idx="9">
                  <c:v>5.859375</c:v>
                </c:pt>
                <c:pt idx="10">
                  <c:v>1.171875</c:v>
                </c:pt>
                <c:pt idx="11">
                  <c:v>-5.46875</c:v>
                </c:pt>
                <c:pt idx="12">
                  <c:v>-14.0625</c:v>
                </c:pt>
                <c:pt idx="13">
                  <c:v>-14.062499999999998</c:v>
                </c:pt>
                <c:pt idx="14">
                  <c:v>-6.2499999999999982</c:v>
                </c:pt>
                <c:pt idx="15">
                  <c:v>-0.390625</c:v>
                </c:pt>
                <c:pt idx="16">
                  <c:v>3.515625</c:v>
                </c:pt>
                <c:pt idx="17">
                  <c:v>5.46875</c:v>
                </c:pt>
                <c:pt idx="18">
                  <c:v>5.46875</c:v>
                </c:pt>
                <c:pt idx="19">
                  <c:v>3.515625</c:v>
                </c:pt>
                <c:pt idx="20">
                  <c:v>-0.390625</c:v>
                </c:pt>
                <c:pt idx="21">
                  <c:v>-6.25</c:v>
                </c:pt>
                <c:pt idx="22">
                  <c:v>-6.2499999999999991</c:v>
                </c:pt>
                <c:pt idx="23">
                  <c:v>-3.3203124999999991</c:v>
                </c:pt>
                <c:pt idx="24">
                  <c:v>-1.1718749999999991</c:v>
                </c:pt>
                <c:pt idx="25">
                  <c:v>0.1953125</c:v>
                </c:pt>
                <c:pt idx="26">
                  <c:v>0.78125</c:v>
                </c:pt>
                <c:pt idx="27">
                  <c:v>0.5859375</c:v>
                </c:pt>
                <c:pt idx="28">
                  <c:v>-0.390625</c:v>
                </c:pt>
                <c:pt idx="29">
                  <c:v>-2.1484375</c:v>
                </c:pt>
                <c:pt idx="30">
                  <c:v>-4.6875</c:v>
                </c:pt>
                <c:pt idx="31">
                  <c:v>-4.6875</c:v>
                </c:pt>
                <c:pt idx="32">
                  <c:v>-1.3671875</c:v>
                </c:pt>
                <c:pt idx="33">
                  <c:v>1.171875</c:v>
                </c:pt>
                <c:pt idx="34">
                  <c:v>2.9296875</c:v>
                </c:pt>
                <c:pt idx="35">
                  <c:v>3.90625</c:v>
                </c:pt>
                <c:pt idx="36">
                  <c:v>4.1015625</c:v>
                </c:pt>
                <c:pt idx="37">
                  <c:v>3.515625</c:v>
                </c:pt>
                <c:pt idx="38">
                  <c:v>2.1484375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80-4C52-B308-3C58F6625DA1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'CCCC-car.3'!$AL$17:$AL$18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80-4C52-B308-3C58F6625DA1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'CCCC-car.3'!$AL$19:$AL$20</c:f>
              <c:numCache>
                <c:formatCode>0.00</c:formatCode>
                <c:ptCount val="2"/>
                <c:pt idx="0">
                  <c:v>0</c:v>
                </c:pt>
                <c:pt idx="1">
                  <c:v>-14.0625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780-4C52-B308-3C58F6625DA1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'CCCC-car.3'!$AL$21:$AL$22</c:f>
              <c:numCache>
                <c:formatCode>0.00</c:formatCode>
                <c:ptCount val="2"/>
                <c:pt idx="0">
                  <c:v>0</c:v>
                </c:pt>
                <c:pt idx="1">
                  <c:v>-6.25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780-4C52-B308-3C58F6625DA1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'CCCC-car.3'!$AK$23:$AK$24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'CCCC-car.3'!$AL$23:$AL$24</c:f>
              <c:numCache>
                <c:formatCode>0.00</c:formatCode>
                <c:ptCount val="2"/>
                <c:pt idx="0">
                  <c:v>0</c:v>
                </c:pt>
                <c:pt idx="1">
                  <c:v>-4.6875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780-4C52-B308-3C58F6625DA1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3780-4C52-B308-3C58F6625DA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'CCCC-car.3'!$AK$25:$AK$26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'CCCC-car.3'!$AL$25:$AL$26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780-4C52-B308-3C58F6625DA1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'CCCC-car.3'!$AK$40:$AK$41</c:f>
              <c:numCache>
                <c:formatCode>0.00</c:formatCode>
                <c:ptCount val="2"/>
                <c:pt idx="0">
                  <c:v>1.9375</c:v>
                </c:pt>
                <c:pt idx="1">
                  <c:v>1.9375</c:v>
                </c:pt>
              </c:numCache>
            </c:numRef>
          </c:xVal>
          <c:yVal>
            <c:numRef>
              <c:f>'CCCC-car.3'!$AL$40:$AL$41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9.384765625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780-4C52-B308-3C58F6625DA1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'CCCC-car.3'!$AK$42:$AK$43</c:f>
              <c:numCache>
                <c:formatCode>0.00</c:formatCode>
                <c:ptCount val="2"/>
                <c:pt idx="0">
                  <c:v>7.8125</c:v>
                </c:pt>
                <c:pt idx="1">
                  <c:v>7.8125</c:v>
                </c:pt>
              </c:numCache>
            </c:numRef>
          </c:xVal>
          <c:yVal>
            <c:numRef>
              <c:f>'CCCC-car.3'!$AL$42:$AL$43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5.712890625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780-4C52-B308-3C58F6625DA1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'CCCC-car.3'!$AK$44:$AK$45</c:f>
              <c:numCache>
                <c:formatCode>0.00</c:formatCode>
                <c:ptCount val="2"/>
                <c:pt idx="0">
                  <c:v>12.65625</c:v>
                </c:pt>
                <c:pt idx="1">
                  <c:v>12.65625</c:v>
                </c:pt>
              </c:numCache>
            </c:numRef>
          </c:xVal>
          <c:yVal>
            <c:numRef>
              <c:f>'CCCC-car.3'!$AL$44:$AL$45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0.8056640625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780-4C52-B308-3C58F6625DA1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780-4C52-B308-3C58F6625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'CCCC-car.3'!$AK$46:$AK$47</c:f>
              <c:numCache>
                <c:formatCode>0.00</c:formatCode>
                <c:ptCount val="2"/>
                <c:pt idx="0">
                  <c:v>17.96875</c:v>
                </c:pt>
                <c:pt idx="1">
                  <c:v>17.96875</c:v>
                </c:pt>
              </c:numCache>
            </c:numRef>
          </c:xVal>
          <c:yVal>
            <c:numRef>
              <c:f>'CCCC-car.3'!$AL$46:$AL$47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4.1259765625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780-4C52-B308-3C58F6625DA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6279328"/>
        <c:axId val="346279888"/>
      </c:scatterChart>
      <c:valAx>
        <c:axId val="34627932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33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6279888"/>
        <c:crosses val="autoZero"/>
        <c:crossBetween val="midCat"/>
        <c:majorUnit val="1"/>
      </c:valAx>
      <c:valAx>
        <c:axId val="34627988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62793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59"/>
          <c:w val="0.94796977526453763"/>
          <c:h val="0.77738578636805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55-471F-84FA-F57631800D7F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F55-471F-84FA-F57631800D7F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F55-471F-84FA-F57631800D7F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55-471F-84FA-F57631800D7F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F55-471F-84FA-F57631800D7F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F55-471F-84FA-F57631800D7F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F55-471F-84FA-F57631800D7F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55-471F-84FA-F57631800D7F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F55-471F-84FA-F57631800D7F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F55-471F-84FA-F57631800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'CCCC-car.3'!$AF$47:$AF$90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9.6875</c:v>
                </c:pt>
                <c:pt idx="5">
                  <c:v>6.5625</c:v>
                </c:pt>
                <c:pt idx="6">
                  <c:v>3.4375</c:v>
                </c:pt>
                <c:pt idx="7">
                  <c:v>0.3125</c:v>
                </c:pt>
                <c:pt idx="8">
                  <c:v>-2.8125</c:v>
                </c:pt>
                <c:pt idx="9">
                  <c:v>-5.9375</c:v>
                </c:pt>
                <c:pt idx="10">
                  <c:v>-9.0625</c:v>
                </c:pt>
                <c:pt idx="11">
                  <c:v>-12.1875</c:v>
                </c:pt>
                <c:pt idx="12">
                  <c:v>-15.3125</c:v>
                </c:pt>
                <c:pt idx="13">
                  <c:v>14.0625</c:v>
                </c:pt>
                <c:pt idx="14">
                  <c:v>10.9375</c:v>
                </c:pt>
                <c:pt idx="15">
                  <c:v>7.8125</c:v>
                </c:pt>
                <c:pt idx="16">
                  <c:v>4.6875</c:v>
                </c:pt>
                <c:pt idx="17">
                  <c:v>1.5625</c:v>
                </c:pt>
                <c:pt idx="18">
                  <c:v>-1.5625</c:v>
                </c:pt>
                <c:pt idx="19">
                  <c:v>-4.6875</c:v>
                </c:pt>
                <c:pt idx="20">
                  <c:v>-7.8125</c:v>
                </c:pt>
                <c:pt idx="21">
                  <c:v>-10.9375</c:v>
                </c:pt>
                <c:pt idx="22">
                  <c:v>5.3125</c:v>
                </c:pt>
                <c:pt idx="23">
                  <c:v>4.0625</c:v>
                </c:pt>
                <c:pt idx="24">
                  <c:v>2.8125</c:v>
                </c:pt>
                <c:pt idx="25">
                  <c:v>1.5625</c:v>
                </c:pt>
                <c:pt idx="26">
                  <c:v>0.3125</c:v>
                </c:pt>
                <c:pt idx="27">
                  <c:v>-0.9375</c:v>
                </c:pt>
                <c:pt idx="28">
                  <c:v>-2.1875</c:v>
                </c:pt>
                <c:pt idx="29">
                  <c:v>-3.4375</c:v>
                </c:pt>
                <c:pt idx="30">
                  <c:v>-4.6875</c:v>
                </c:pt>
                <c:pt idx="31">
                  <c:v>5.9375</c:v>
                </c:pt>
                <c:pt idx="32">
                  <c:v>4.6875</c:v>
                </c:pt>
                <c:pt idx="33">
                  <c:v>3.4375</c:v>
                </c:pt>
                <c:pt idx="34">
                  <c:v>2.1875</c:v>
                </c:pt>
                <c:pt idx="35">
                  <c:v>0.9375</c:v>
                </c:pt>
                <c:pt idx="36">
                  <c:v>-0.3125</c:v>
                </c:pt>
                <c:pt idx="37">
                  <c:v>-1.5625</c:v>
                </c:pt>
                <c:pt idx="38">
                  <c:v>-2.8125</c:v>
                </c:pt>
                <c:pt idx="39">
                  <c:v>-4.0625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F55-471F-84FA-F57631800D7F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'CCCC-car.3'!$AD$50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'CCCC-car.3'!$AF$50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F55-471F-84FA-F57631800D7F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'CCCC-car.3'!$AD$51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'CCCC-car.3'!$AF$51</c:f>
              <c:numCache>
                <c:formatCode>0.00</c:formatCode>
                <c:ptCount val="1"/>
                <c:pt idx="0">
                  <c:v>9.6875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F55-471F-84FA-F57631800D7F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'CCCC-car.3'!$AD$59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'CCCC-car.3'!$AF$59</c:f>
              <c:numCache>
                <c:formatCode>0.00</c:formatCode>
                <c:ptCount val="1"/>
                <c:pt idx="0">
                  <c:v>-15.3125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F55-471F-84FA-F57631800D7F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'CCCC-car.3'!$AD$60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'CCCC-car.3'!$AF$60</c:f>
              <c:numCache>
                <c:formatCode>0.00</c:formatCode>
                <c:ptCount val="1"/>
                <c:pt idx="0">
                  <c:v>14.0625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F55-471F-84FA-F57631800D7F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'CCCC-car.3'!$AD$68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'CCCC-car.3'!$AF$68</c:f>
              <c:numCache>
                <c:formatCode>0.00</c:formatCode>
                <c:ptCount val="1"/>
                <c:pt idx="0">
                  <c:v>-10.9375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F55-471F-84FA-F57631800D7F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'CCCC-car.3'!$AD$69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'CCCC-car.3'!$AF$69</c:f>
              <c:numCache>
                <c:formatCode>0.00</c:formatCode>
                <c:ptCount val="1"/>
                <c:pt idx="0">
                  <c:v>5.3125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F55-471F-84FA-F57631800D7F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'CCCC-car.3'!$AD$77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'CCCC-car.3'!$AF$77</c:f>
              <c:numCache>
                <c:formatCode>0.00</c:formatCode>
                <c:ptCount val="1"/>
                <c:pt idx="0">
                  <c:v>-4.6875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F55-471F-84FA-F57631800D7F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'CCCC-car.3'!$AD$78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'CCCC-car.3'!$AF$78</c:f>
              <c:numCache>
                <c:formatCode>0.00</c:formatCode>
                <c:ptCount val="1"/>
                <c:pt idx="0">
                  <c:v>5.9375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F55-471F-84FA-F57631800D7F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'CCCC-car.3'!$AD$86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'CCCC-car.3'!$AF$86</c:f>
              <c:numCache>
                <c:formatCode>0.00</c:formatCode>
                <c:ptCount val="1"/>
                <c:pt idx="0">
                  <c:v>-4.0625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F55-471F-84FA-F57631800D7F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'CCCC-car.3'!$AD$87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'CCCC-car.3'!$AF$87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F55-471F-84FA-F57631800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288288"/>
        <c:axId val="346288848"/>
      </c:scatterChart>
      <c:valAx>
        <c:axId val="34628828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39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6288848"/>
        <c:crosses val="autoZero"/>
        <c:crossBetween val="midCat"/>
        <c:majorUnit val="1"/>
      </c:valAx>
      <c:valAx>
        <c:axId val="34628884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65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62882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11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94"/>
          <c:w val="0.90742455710851599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</c:numCache>
            </c:numRef>
          </c:xVal>
          <c:yVal>
            <c:numRef>
              <c:f>'CCCC-car.3'!$AL$54:$AL$60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4E-4268-A092-84BB58B4756D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4E-4268-A092-84BB58B47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'CCCC-car.3'!$W$36:$W$37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-9.6875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4E-4268-A092-84BB58B4756D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4E-4268-A092-84BB58B47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'CCCC-car.3'!$Z$36:$Z$37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-29.375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4E-4268-A092-84BB58B4756D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94E-4268-A092-84BB58B47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'CCCC-car.3'!$AC$36:$AC$37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94E-4268-A092-84BB58B4756D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4E-4268-A092-84BB58B47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'CCCC-car.3'!$V$40:$V$41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'CCCC-car.3'!$W$40:$W$41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94E-4268-A092-84BB58B4756D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94E-4268-A092-84BB58B475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'CCCC-car.3'!$Y$40:$Y$41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'CCCC-car.3'!$Z$40:$Z$41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-4.0625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94E-4268-A092-84BB58B4756D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'CCCC-car.3'!$AH$17:$AH$21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'CCCC-car.3'!$AI$17:$AI$21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94E-4268-A092-84BB58B4756D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'CCCC-car.3'!$AH$24:$AH$28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'CCCC-car.3'!$AI$24:$AI$28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35</c:v>
                </c:pt>
                <c:pt idx="3">
                  <c:v>35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94E-4268-A092-84BB58B4756D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'CCCC-car.3'!$AH$31:$AH$35</c:f>
              <c:numCache>
                <c:formatCode>0.00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'CCCC-car.3'!$AI$31:$AI$35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35</c:v>
                </c:pt>
                <c:pt idx="3">
                  <c:v>35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94E-4268-A092-84BB58B4756D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'CCCC-car.3'!$AH$38:$AH$42</c:f>
              <c:numCache>
                <c:formatCode>0.00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'CCCC-car.3'!$AI$38:$AI$42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32</c:v>
                </c:pt>
                <c:pt idx="3">
                  <c:v>32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94E-4268-A092-84BB58B4756D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'CCCC-car.3'!$AH$45:$AH$49</c:f>
              <c:numCache>
                <c:formatCode>0.00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</c:numCache>
            </c:numRef>
          </c:xVal>
          <c:yVal>
            <c:numRef>
              <c:f>'CCCC-car.3'!$AI$45:$AI$49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32</c:v>
                </c:pt>
                <c:pt idx="3">
                  <c:v>32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94E-4268-A092-84BB58B4756D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'CCCC-car.3'!$AH$52:$AH$56</c:f>
              <c:numCache>
                <c:formatCode>0.00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xVal>
          <c:yVal>
            <c:numRef>
              <c:f>'CCCC-car.3'!$AI$52:$AI$56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94E-4268-A092-84BB58B4756D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'CCCC-car.3'!$V$37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'CCCC-car.3'!$W$37</c:f>
              <c:numCache>
                <c:formatCode>0.00</c:formatCode>
                <c:ptCount val="1"/>
                <c:pt idx="0">
                  <c:v>-9.6875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94E-4268-A092-84BB58B4756D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'CCCC-car.3'!$Y$37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'CCCC-car.3'!$Z$37</c:f>
              <c:numCache>
                <c:formatCode>0.00</c:formatCode>
                <c:ptCount val="1"/>
                <c:pt idx="0">
                  <c:v>-29.375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94E-4268-A092-84BB58B4756D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'CCCC-car.3'!$AB$37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'CCCC-car.3'!$AC$37</c:f>
              <c:numCache>
                <c:formatCode>0.00</c:formatCode>
                <c:ptCount val="1"/>
                <c:pt idx="0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94E-4268-A092-84BB58B4756D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'CCCC-car.3'!$V$41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'CCCC-car.3'!$W$41</c:f>
              <c:numCache>
                <c:formatCode>0.00</c:formatCode>
                <c:ptCount val="1"/>
                <c:pt idx="0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94E-4268-A092-84BB58B4756D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'CCCC-car.3'!$Y$41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'CCCC-car.3'!$Z$41</c:f>
              <c:numCache>
                <c:formatCode>0.00</c:formatCode>
                <c:ptCount val="1"/>
                <c:pt idx="0">
                  <c:v>-4.0625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94E-4268-A092-84BB58B47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300608"/>
        <c:axId val="346301168"/>
      </c:scatterChart>
      <c:valAx>
        <c:axId val="3463006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043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46301168"/>
        <c:crosses val="autoZero"/>
        <c:crossBetween val="midCat"/>
        <c:majorUnit val="1"/>
      </c:valAx>
      <c:valAx>
        <c:axId val="3463011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63006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77" l="0.70000000000000062" r="0.70000000000000062" t="0.75000000000001177" header="0.30000000000000032" footer="0.30000000000000032"/>
    <c:pageSetup orientation="portrait"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011E-2"/>
          <c:y val="9.9061975819114148E-2"/>
          <c:w val="0.948479879503908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'CCCC-car.4'!$AD$47:$AD$90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'CCCC-car.4'!$AE$47:$AE$90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1.7299107142857144</c:v>
                </c:pt>
                <c:pt idx="6">
                  <c:v>2.6785714285714288</c:v>
                </c:pt>
                <c:pt idx="7">
                  <c:v>2.8459821428571432</c:v>
                </c:pt>
                <c:pt idx="8">
                  <c:v>2.2321428571428577</c:v>
                </c:pt>
                <c:pt idx="9">
                  <c:v>0.83705357142857295</c:v>
                </c:pt>
                <c:pt idx="10">
                  <c:v>-1.3392857142857135</c:v>
                </c:pt>
                <c:pt idx="11">
                  <c:v>-4.2968749999999982</c:v>
                </c:pt>
                <c:pt idx="12">
                  <c:v>-8.0357142857142847</c:v>
                </c:pt>
                <c:pt idx="13">
                  <c:v>-8.0357142857142865</c:v>
                </c:pt>
                <c:pt idx="14">
                  <c:v>-1.6462053571428577</c:v>
                </c:pt>
                <c:pt idx="15">
                  <c:v>2.7901785714285712</c:v>
                </c:pt>
                <c:pt idx="16">
                  <c:v>5.2734375000000036</c:v>
                </c:pt>
                <c:pt idx="17">
                  <c:v>5.8035714285714306</c:v>
                </c:pt>
                <c:pt idx="18">
                  <c:v>4.3805803571428612</c:v>
                </c:pt>
                <c:pt idx="19">
                  <c:v>1.0044642857142918</c:v>
                </c:pt>
                <c:pt idx="20">
                  <c:v>-4.3247767857142847</c:v>
                </c:pt>
                <c:pt idx="21">
                  <c:v>-11.607142857142861</c:v>
                </c:pt>
                <c:pt idx="22">
                  <c:v>-11.607142857142858</c:v>
                </c:pt>
                <c:pt idx="23">
                  <c:v>-4.3247767857142865</c:v>
                </c:pt>
                <c:pt idx="24">
                  <c:v>1.0044642857142847</c:v>
                </c:pt>
                <c:pt idx="25">
                  <c:v>4.3805803571428541</c:v>
                </c:pt>
                <c:pt idx="26">
                  <c:v>5.803571428571427</c:v>
                </c:pt>
                <c:pt idx="27">
                  <c:v>5.2734374999999929</c:v>
                </c:pt>
                <c:pt idx="28">
                  <c:v>2.7901785714285623</c:v>
                </c:pt>
                <c:pt idx="29">
                  <c:v>-1.6462053571428612</c:v>
                </c:pt>
                <c:pt idx="30">
                  <c:v>-8.0357142857142918</c:v>
                </c:pt>
                <c:pt idx="31">
                  <c:v>-8.0357142857142847</c:v>
                </c:pt>
                <c:pt idx="32">
                  <c:v>-4.2968749999999991</c:v>
                </c:pt>
                <c:pt idx="33">
                  <c:v>-1.3392857142857135</c:v>
                </c:pt>
                <c:pt idx="34">
                  <c:v>0.83705357142857117</c:v>
                </c:pt>
                <c:pt idx="35">
                  <c:v>2.2321428571428577</c:v>
                </c:pt>
                <c:pt idx="36">
                  <c:v>2.8459821428571423</c:v>
                </c:pt>
                <c:pt idx="37">
                  <c:v>2.678571428571427</c:v>
                </c:pt>
                <c:pt idx="38">
                  <c:v>1.7299107142857153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78-4B69-9FEB-66AA8E90E4DA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'CCCC-car.4'!$AL$17:$AL$18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78-4B69-9FEB-66AA8E90E4DA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'CCCC-car.4'!$AL$19:$AL$20</c:f>
              <c:numCache>
                <c:formatCode>0.00</c:formatCode>
                <c:ptCount val="2"/>
                <c:pt idx="0">
                  <c:v>0</c:v>
                </c:pt>
                <c:pt idx="1">
                  <c:v>-8.0357142857142847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178-4B69-9FEB-66AA8E90E4DA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'CCCC-car.4'!$AL$21:$AL$22</c:f>
              <c:numCache>
                <c:formatCode>0.00</c:formatCode>
                <c:ptCount val="2"/>
                <c:pt idx="0">
                  <c:v>0</c:v>
                </c:pt>
                <c:pt idx="1">
                  <c:v>-11.607142857142861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178-4B69-9FEB-66AA8E90E4DA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'CCCC-car.4'!$AK$23:$AK$24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'CCCC-car.4'!$AL$23:$AL$24</c:f>
              <c:numCache>
                <c:formatCode>0.00</c:formatCode>
                <c:ptCount val="2"/>
                <c:pt idx="0">
                  <c:v>0</c:v>
                </c:pt>
                <c:pt idx="1">
                  <c:v>-8.0357142857142918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178-4B69-9FEB-66AA8E90E4DA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D178-4B69-9FEB-66AA8E90E4D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'CCCC-car.4'!$AK$25:$AK$26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'CCCC-car.4'!$AL$25:$AL$26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178-4B69-9FEB-66AA8E90E4DA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'CCCC-car.4'!$AK$40:$AK$41</c:f>
              <c:numCache>
                <c:formatCode>0.00</c:formatCode>
                <c:ptCount val="2"/>
                <c:pt idx="0">
                  <c:v>1.6964285714285716</c:v>
                </c:pt>
                <c:pt idx="1">
                  <c:v>1.6964285714285716</c:v>
                </c:pt>
              </c:numCache>
            </c:numRef>
          </c:xVal>
          <c:yVal>
            <c:numRef>
              <c:f>'CCCC-car.4'!$AL$40:$AL$41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2.8778698979591844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178-4B69-9FEB-66AA8E90E4DA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'CCCC-car.4'!$AK$42:$AK$43</c:f>
              <c:numCache>
                <c:formatCode>0.00</c:formatCode>
                <c:ptCount val="2"/>
                <c:pt idx="0">
                  <c:v>7.3571428571428577</c:v>
                </c:pt>
                <c:pt idx="1">
                  <c:v>7.3571428571428577</c:v>
                </c:pt>
              </c:numCache>
            </c:numRef>
          </c:xVal>
          <c:yVal>
            <c:numRef>
              <c:f>'CCCC-car.4'!$AL$42:$AL$43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5.8545918367346967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178-4B69-9FEB-66AA8E90E4DA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'CCCC-car.4'!$AK$44:$AK$45</c:f>
              <c:numCache>
                <c:formatCode>0.00</c:formatCode>
                <c:ptCount val="2"/>
                <c:pt idx="0">
                  <c:v>12.642857142857142</c:v>
                </c:pt>
                <c:pt idx="1">
                  <c:v>12.642857142857142</c:v>
                </c:pt>
              </c:numCache>
            </c:numRef>
          </c:xVal>
          <c:yVal>
            <c:numRef>
              <c:f>'CCCC-car.4'!$AL$44:$AL$45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5.8545918367346843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178-4B69-9FEB-66AA8E90E4DA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178-4B69-9FEB-66AA8E90E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'CCCC-car.4'!$AK$46:$AK$47</c:f>
              <c:numCache>
                <c:formatCode>0.00</c:formatCode>
                <c:ptCount val="2"/>
                <c:pt idx="0">
                  <c:v>18.303571428571427</c:v>
                </c:pt>
                <c:pt idx="1">
                  <c:v>18.303571428571427</c:v>
                </c:pt>
              </c:numCache>
            </c:numRef>
          </c:xVal>
          <c:yVal>
            <c:numRef>
              <c:f>'CCCC-car.4'!$AL$46:$AL$47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2.8778698979591759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D178-4B69-9FEB-66AA8E90E4D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6309008"/>
        <c:axId val="346309568"/>
      </c:scatterChart>
      <c:valAx>
        <c:axId val="34630900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35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6309568"/>
        <c:crosses val="autoZero"/>
        <c:crossBetween val="midCat"/>
        <c:majorUnit val="1"/>
      </c:valAx>
      <c:valAx>
        <c:axId val="34630956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63090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99" l="0.70000000000000062" r="0.70000000000000062" t="0.75000000000001199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67"/>
          <c:w val="0.94796977526453763"/>
          <c:h val="0.77738578636805022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744-4ABE-AAA9-C8BF20033C45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744-4ABE-AAA9-C8BF20033C45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744-4ABE-AAA9-C8BF20033C45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744-4ABE-AAA9-C8BF20033C45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744-4ABE-AAA9-C8BF20033C45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744-4ABE-AAA9-C8BF20033C45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744-4ABE-AAA9-C8BF20033C45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744-4ABE-AAA9-C8BF20033C45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744-4ABE-AAA9-C8BF20033C45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744-4ABE-AAA9-C8BF20033C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'CCCC-car.4'!$AF$47:$AF$90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3.3928571428571432</c:v>
                </c:pt>
                <c:pt idx="5">
                  <c:v>2.1428571428571432</c:v>
                </c:pt>
                <c:pt idx="6">
                  <c:v>0.89285714285714324</c:v>
                </c:pt>
                <c:pt idx="7">
                  <c:v>-0.35714285714285676</c:v>
                </c:pt>
                <c:pt idx="8">
                  <c:v>-1.6071428571428568</c:v>
                </c:pt>
                <c:pt idx="9">
                  <c:v>-2.8571428571428568</c:v>
                </c:pt>
                <c:pt idx="10">
                  <c:v>-4.1071428571428568</c:v>
                </c:pt>
                <c:pt idx="11">
                  <c:v>-5.3571428571428568</c:v>
                </c:pt>
                <c:pt idx="12">
                  <c:v>-6.6071428571428568</c:v>
                </c:pt>
                <c:pt idx="13">
                  <c:v>11.785714285714286</c:v>
                </c:pt>
                <c:pt idx="14">
                  <c:v>8.6607142857142865</c:v>
                </c:pt>
                <c:pt idx="15">
                  <c:v>5.5357142857142865</c:v>
                </c:pt>
                <c:pt idx="16">
                  <c:v>2.4107142857142865</c:v>
                </c:pt>
                <c:pt idx="17">
                  <c:v>-0.71428571428571352</c:v>
                </c:pt>
                <c:pt idx="18">
                  <c:v>-3.8392857142857135</c:v>
                </c:pt>
                <c:pt idx="19">
                  <c:v>-6.9642857142857135</c:v>
                </c:pt>
                <c:pt idx="20">
                  <c:v>-10.089285714285714</c:v>
                </c:pt>
                <c:pt idx="21">
                  <c:v>-13.214285714285714</c:v>
                </c:pt>
                <c:pt idx="22">
                  <c:v>13.214285714285714</c:v>
                </c:pt>
                <c:pt idx="23">
                  <c:v>10.089285714285714</c:v>
                </c:pt>
                <c:pt idx="24">
                  <c:v>6.9642857142857135</c:v>
                </c:pt>
                <c:pt idx="25">
                  <c:v>3.8392857142857135</c:v>
                </c:pt>
                <c:pt idx="26">
                  <c:v>0.71428571428571352</c:v>
                </c:pt>
                <c:pt idx="27">
                  <c:v>-2.4107142857142865</c:v>
                </c:pt>
                <c:pt idx="28">
                  <c:v>-5.5357142857142865</c:v>
                </c:pt>
                <c:pt idx="29">
                  <c:v>-8.6607142857142865</c:v>
                </c:pt>
                <c:pt idx="30">
                  <c:v>-11.785714285714286</c:v>
                </c:pt>
                <c:pt idx="31">
                  <c:v>6.6071428571428568</c:v>
                </c:pt>
                <c:pt idx="32">
                  <c:v>5.3571428571428568</c:v>
                </c:pt>
                <c:pt idx="33">
                  <c:v>4.1071428571428568</c:v>
                </c:pt>
                <c:pt idx="34">
                  <c:v>2.8571428571428568</c:v>
                </c:pt>
                <c:pt idx="35">
                  <c:v>1.6071428571428568</c:v>
                </c:pt>
                <c:pt idx="36">
                  <c:v>0.35714285714285676</c:v>
                </c:pt>
                <c:pt idx="37">
                  <c:v>-0.89285714285714324</c:v>
                </c:pt>
                <c:pt idx="38">
                  <c:v>-2.1428571428571432</c:v>
                </c:pt>
                <c:pt idx="39">
                  <c:v>-3.3928571428571432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744-4ABE-AAA9-C8BF20033C45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'CCCC-car.4'!$AD$50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'CCCC-car.4'!$AF$50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744-4ABE-AAA9-C8BF20033C45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'CCCC-car.4'!$AD$51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'CCCC-car.4'!$AF$51</c:f>
              <c:numCache>
                <c:formatCode>0.00</c:formatCode>
                <c:ptCount val="1"/>
                <c:pt idx="0">
                  <c:v>3.3928571428571432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744-4ABE-AAA9-C8BF20033C45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'CCCC-car.4'!$AD$59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'CCCC-car.4'!$AF$59</c:f>
              <c:numCache>
                <c:formatCode>0.00</c:formatCode>
                <c:ptCount val="1"/>
                <c:pt idx="0">
                  <c:v>-6.6071428571428568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744-4ABE-AAA9-C8BF20033C45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'CCCC-car.4'!$AD$60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'CCCC-car.4'!$AF$60</c:f>
              <c:numCache>
                <c:formatCode>0.00</c:formatCode>
                <c:ptCount val="1"/>
                <c:pt idx="0">
                  <c:v>11.785714285714286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744-4ABE-AAA9-C8BF20033C45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'CCCC-car.4'!$AD$68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'CCCC-car.4'!$AF$68</c:f>
              <c:numCache>
                <c:formatCode>0.00</c:formatCode>
                <c:ptCount val="1"/>
                <c:pt idx="0">
                  <c:v>-13.214285714285714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744-4ABE-AAA9-C8BF20033C45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'CCCC-car.4'!$AD$69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'CCCC-car.4'!$AF$69</c:f>
              <c:numCache>
                <c:formatCode>0.00</c:formatCode>
                <c:ptCount val="1"/>
                <c:pt idx="0">
                  <c:v>13.214285714285714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744-4ABE-AAA9-C8BF20033C45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'CCCC-car.4'!$AD$77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'CCCC-car.4'!$AF$77</c:f>
              <c:numCache>
                <c:formatCode>0.00</c:formatCode>
                <c:ptCount val="1"/>
                <c:pt idx="0">
                  <c:v>-11.785714285714286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744-4ABE-AAA9-C8BF20033C45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'CCCC-car.4'!$AD$78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'CCCC-car.4'!$AF$78</c:f>
              <c:numCache>
                <c:formatCode>0.00</c:formatCode>
                <c:ptCount val="1"/>
                <c:pt idx="0">
                  <c:v>6.6071428571428568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744-4ABE-AAA9-C8BF20033C45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'CCCC-car.4'!$AD$86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'CCCC-car.4'!$AF$86</c:f>
              <c:numCache>
                <c:formatCode>0.00</c:formatCode>
                <c:ptCount val="1"/>
                <c:pt idx="0">
                  <c:v>-3.3928571428571432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744-4ABE-AAA9-C8BF20033C45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'CCCC-car.4'!$AD$87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'CCCC-car.4'!$AF$87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744-4ABE-AAA9-C8BF20033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061328"/>
        <c:axId val="348061888"/>
      </c:scatterChart>
      <c:valAx>
        <c:axId val="34806132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44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8061888"/>
        <c:crosses val="autoZero"/>
        <c:crossBetween val="midCat"/>
        <c:majorUnit val="1"/>
      </c:valAx>
      <c:valAx>
        <c:axId val="34806188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68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80613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99" l="0.70000000000000062" r="0.70000000000000062" t="0.75000000000001199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23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86"/>
          <c:w val="0.90742455710851622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</c:numCache>
            </c:numRef>
          </c:xVal>
          <c:yVal>
            <c:numRef>
              <c:f>'CCCC-car.4'!$AL$54:$AL$60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2-4414-8B5E-5333AFF65703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FC2-4414-8B5E-5333AFF657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'CCCC-car.4'!$W$36:$W$37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-3.3928571428571432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C2-4414-8B5E-5333AFF65703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FC2-4414-8B5E-5333AFF657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'CCCC-car.4'!$Z$36:$Z$37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-18.392857142857142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FC2-4414-8B5E-5333AFF65703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FC2-4414-8B5E-5333AFF657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'CCCC-car.4'!$AC$36:$AC$37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-26.428571428571427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FC2-4414-8B5E-5333AFF65703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FC2-4414-8B5E-5333AFF657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'CCCC-car.4'!$V$40:$V$41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'CCCC-car.4'!$W$40:$W$41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-18.392857142857142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FC2-4414-8B5E-5333AFF65703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FC2-4414-8B5E-5333AFF657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'CCCC-car.4'!$Y$40:$Y$41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'CCCC-car.4'!$Z$40:$Z$41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-3.3928571428571432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FC2-4414-8B5E-5333AFF65703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'CCCC-car.4'!$AH$17:$AH$21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'CCCC-car.4'!$AI$17:$AI$21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FC2-4414-8B5E-5333AFF65703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'CCCC-car.4'!$AH$24:$AH$28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'CCCC-car.4'!$AI$24:$AI$28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42</c:v>
                </c:pt>
                <c:pt idx="3">
                  <c:v>42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FC2-4414-8B5E-5333AFF65703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'CCCC-car.4'!$AH$31:$AH$35</c:f>
              <c:numCache>
                <c:formatCode>0.00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'CCCC-car.4'!$AI$31:$AI$35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45</c:v>
                </c:pt>
                <c:pt idx="3">
                  <c:v>45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FC2-4414-8B5E-5333AFF65703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'CCCC-car.4'!$AH$38:$AH$42</c:f>
              <c:numCache>
                <c:formatCode>0.00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'CCCC-car.4'!$AI$38:$AI$42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45</c:v>
                </c:pt>
                <c:pt idx="3">
                  <c:v>45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FC2-4414-8B5E-5333AFF65703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'CCCC-car.4'!$AH$45:$AH$49</c:f>
              <c:numCache>
                <c:formatCode>0.00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</c:numCache>
            </c:numRef>
          </c:xVal>
          <c:yVal>
            <c:numRef>
              <c:f>'CCCC-car.4'!$AI$45:$AI$49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42</c:v>
                </c:pt>
                <c:pt idx="3">
                  <c:v>42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FC2-4414-8B5E-5333AFF65703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'CCCC-car.4'!$AH$52:$AH$56</c:f>
              <c:numCache>
                <c:formatCode>0.00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xVal>
          <c:yVal>
            <c:numRef>
              <c:f>'CCCC-car.4'!$AI$52:$AI$56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FC2-4414-8B5E-5333AFF65703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'CCCC-car.4'!$V$37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'CCCC-car.4'!$W$37</c:f>
              <c:numCache>
                <c:formatCode>0.00</c:formatCode>
                <c:ptCount val="1"/>
                <c:pt idx="0">
                  <c:v>-3.3928571428571432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FC2-4414-8B5E-5333AFF65703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'CCCC-car.4'!$Y$37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'CCCC-car.4'!$Z$37</c:f>
              <c:numCache>
                <c:formatCode>0.00</c:formatCode>
                <c:ptCount val="1"/>
                <c:pt idx="0">
                  <c:v>-18.392857142857142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FC2-4414-8B5E-5333AFF65703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'CCCC-car.4'!$AB$37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'CCCC-car.4'!$AC$37</c:f>
              <c:numCache>
                <c:formatCode>0.00</c:formatCode>
                <c:ptCount val="1"/>
                <c:pt idx="0">
                  <c:v>-26.428571428571427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FC2-4414-8B5E-5333AFF65703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'CCCC-car.4'!$V$41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'CCCC-car.4'!$W$41</c:f>
              <c:numCache>
                <c:formatCode>0.00</c:formatCode>
                <c:ptCount val="1"/>
                <c:pt idx="0">
                  <c:v>-18.392857142857142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FC2-4414-8B5E-5333AFF65703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'CCCC-car.4'!$Y$41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'CCCC-car.4'!$Z$41</c:f>
              <c:numCache>
                <c:formatCode>0.00</c:formatCode>
                <c:ptCount val="1"/>
                <c:pt idx="0">
                  <c:v>-3.3928571428571432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FC2-4414-8B5E-5333AFF65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073648"/>
        <c:axId val="348074208"/>
      </c:scatterChart>
      <c:valAx>
        <c:axId val="34807364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066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48074208"/>
        <c:crosses val="autoZero"/>
        <c:crossBetween val="midCat"/>
        <c:majorUnit val="1"/>
      </c:valAx>
      <c:valAx>
        <c:axId val="3480742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80736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199" l="0.70000000000000062" r="0.70000000000000062" t="0.75000000000001199" header="0.30000000000000032" footer="0.30000000000000032"/>
    <c:pageSetup orientation="portrait"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029E-2"/>
          <c:y val="9.9061975819114148E-2"/>
          <c:w val="0.94847987950390822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'CCCC-car.5'!$AD$47:$AD$90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'CCCC-car.5'!$AE$47:$AE$90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2.1484375</c:v>
                </c:pt>
                <c:pt idx="6">
                  <c:v>3.515625</c:v>
                </c:pt>
                <c:pt idx="7">
                  <c:v>4.1015625</c:v>
                </c:pt>
                <c:pt idx="8">
                  <c:v>3.90625</c:v>
                </c:pt>
                <c:pt idx="9">
                  <c:v>2.9296875</c:v>
                </c:pt>
                <c:pt idx="10">
                  <c:v>1.171875</c:v>
                </c:pt>
                <c:pt idx="11">
                  <c:v>-1.3671875</c:v>
                </c:pt>
                <c:pt idx="12">
                  <c:v>-4.6875</c:v>
                </c:pt>
                <c:pt idx="13">
                  <c:v>-4.6875</c:v>
                </c:pt>
                <c:pt idx="14">
                  <c:v>-2.1484375</c:v>
                </c:pt>
                <c:pt idx="15">
                  <c:v>-0.390625</c:v>
                </c:pt>
                <c:pt idx="16">
                  <c:v>0.5859375</c:v>
                </c:pt>
                <c:pt idx="17">
                  <c:v>0.78125</c:v>
                </c:pt>
                <c:pt idx="18">
                  <c:v>0.1953125</c:v>
                </c:pt>
                <c:pt idx="19">
                  <c:v>-1.171875</c:v>
                </c:pt>
                <c:pt idx="20">
                  <c:v>-3.3203125</c:v>
                </c:pt>
                <c:pt idx="21">
                  <c:v>-6.25</c:v>
                </c:pt>
                <c:pt idx="22">
                  <c:v>-6.2499999999999991</c:v>
                </c:pt>
                <c:pt idx="23">
                  <c:v>-0.39062499999999911</c:v>
                </c:pt>
                <c:pt idx="24">
                  <c:v>3.515625</c:v>
                </c:pt>
                <c:pt idx="25">
                  <c:v>5.46875</c:v>
                </c:pt>
                <c:pt idx="26">
                  <c:v>5.46875</c:v>
                </c:pt>
                <c:pt idx="27">
                  <c:v>3.515625</c:v>
                </c:pt>
                <c:pt idx="28">
                  <c:v>-0.390625</c:v>
                </c:pt>
                <c:pt idx="29">
                  <c:v>-6.25</c:v>
                </c:pt>
                <c:pt idx="30">
                  <c:v>-14.0625</c:v>
                </c:pt>
                <c:pt idx="31">
                  <c:v>-14.062499999999998</c:v>
                </c:pt>
                <c:pt idx="32">
                  <c:v>-5.4687499999999982</c:v>
                </c:pt>
                <c:pt idx="33">
                  <c:v>1.171875</c:v>
                </c:pt>
                <c:pt idx="34">
                  <c:v>5.859375</c:v>
                </c:pt>
                <c:pt idx="35">
                  <c:v>8.59375</c:v>
                </c:pt>
                <c:pt idx="36">
                  <c:v>9.375</c:v>
                </c:pt>
                <c:pt idx="37">
                  <c:v>8.203125</c:v>
                </c:pt>
                <c:pt idx="38">
                  <c:v>5.078125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9D-4CDE-84B7-86819C5F4900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'CCCC-car.5'!$AL$17:$AL$18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9D-4CDE-84B7-86819C5F4900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'CCCC-car.5'!$AL$19:$AL$20</c:f>
              <c:numCache>
                <c:formatCode>0.00</c:formatCode>
                <c:ptCount val="2"/>
                <c:pt idx="0">
                  <c:v>0</c:v>
                </c:pt>
                <c:pt idx="1">
                  <c:v>-4.6875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9D-4CDE-84B7-86819C5F4900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'CCCC-car.5'!$AK$21:$AK$22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'CCCC-car.5'!$AL$21:$AL$22</c:f>
              <c:numCache>
                <c:formatCode>0.00</c:formatCode>
                <c:ptCount val="2"/>
                <c:pt idx="0">
                  <c:v>0</c:v>
                </c:pt>
                <c:pt idx="1">
                  <c:v>-6.25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C9D-4CDE-84B7-86819C5F4900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'CCCC-car.5'!$AK$23:$AK$24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'CCCC-car.5'!$AL$23:$AL$24</c:f>
              <c:numCache>
                <c:formatCode>0.00</c:formatCode>
                <c:ptCount val="2"/>
                <c:pt idx="0">
                  <c:v>0</c:v>
                </c:pt>
                <c:pt idx="1">
                  <c:v>-14.0625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9D-4CDE-84B7-86819C5F4900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1C9D-4CDE-84B7-86819C5F490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'CCCC-car.5'!$AK$25:$AK$26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'CCCC-car.5'!$AL$25:$AL$26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C9D-4CDE-84B7-86819C5F4900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'CCCC-car.5'!$AK$40:$AK$41</c:f>
              <c:numCache>
                <c:formatCode>0.00</c:formatCode>
                <c:ptCount val="2"/>
                <c:pt idx="0">
                  <c:v>2.03125</c:v>
                </c:pt>
                <c:pt idx="1">
                  <c:v>2.03125</c:v>
                </c:pt>
              </c:numCache>
            </c:numRef>
          </c:xVal>
          <c:yVal>
            <c:numRef>
              <c:f>'CCCC-car.5'!$AL$40:$AL$41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4.1259765625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C9D-4CDE-84B7-86819C5F4900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'CCCC-car.5'!$AK$42:$AK$43</c:f>
              <c:numCache>
                <c:formatCode>0.00</c:formatCode>
                <c:ptCount val="2"/>
                <c:pt idx="0">
                  <c:v>7.34375</c:v>
                </c:pt>
                <c:pt idx="1">
                  <c:v>7.34375</c:v>
                </c:pt>
              </c:numCache>
            </c:numRef>
          </c:xVal>
          <c:yVal>
            <c:numRef>
              <c:f>'CCCC-car.5'!$AL$42:$AL$43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0.8056640625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C9D-4CDE-84B7-86819C5F4900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'CCCC-car.5'!$AK$44:$AK$45</c:f>
              <c:numCache>
                <c:formatCode>0.00</c:formatCode>
                <c:ptCount val="2"/>
                <c:pt idx="0">
                  <c:v>12.1875</c:v>
                </c:pt>
                <c:pt idx="1">
                  <c:v>12.1875</c:v>
                </c:pt>
              </c:numCache>
            </c:numRef>
          </c:xVal>
          <c:yVal>
            <c:numRef>
              <c:f>'CCCC-car.5'!$AL$44:$AL$45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5.712890625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C9D-4CDE-84B7-86819C5F4900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C9D-4CDE-84B7-86819C5F49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'CCCC-car.5'!$AK$46:$AK$47</c:f>
              <c:numCache>
                <c:formatCode>0.00</c:formatCode>
                <c:ptCount val="2"/>
                <c:pt idx="0">
                  <c:v>18.0625</c:v>
                </c:pt>
                <c:pt idx="1">
                  <c:v>18.0625</c:v>
                </c:pt>
              </c:numCache>
            </c:numRef>
          </c:xVal>
          <c:yVal>
            <c:numRef>
              <c:f>'CCCC-car.5'!$AL$46:$AL$47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9.384765625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1C9D-4CDE-84B7-86819C5F490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8082048"/>
        <c:axId val="348082608"/>
      </c:scatterChart>
      <c:valAx>
        <c:axId val="34808204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38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8082608"/>
        <c:crosses val="autoZero"/>
        <c:crossBetween val="midCat"/>
        <c:majorUnit val="1"/>
      </c:valAx>
      <c:valAx>
        <c:axId val="34808260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80820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76"/>
          <c:w val="0.94796977526453763"/>
          <c:h val="0.77738578636805045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840-48C6-B7CE-F0ECEEF129A1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840-48C6-B7CE-F0ECEEF129A1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840-48C6-B7CE-F0ECEEF129A1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40-48C6-B7CE-F0ECEEF129A1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840-48C6-B7CE-F0ECEEF129A1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840-48C6-B7CE-F0ECEEF129A1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840-48C6-B7CE-F0ECEEF129A1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840-48C6-B7CE-F0ECEEF129A1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840-48C6-B7CE-F0ECEEF129A1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840-48C6-B7CE-F0ECEEF129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'CCCC-car.5'!$AD$47:$AD$90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5.625</c:v>
                </c:pt>
                <c:pt idx="15">
                  <c:v>6.25</c:v>
                </c:pt>
                <c:pt idx="16">
                  <c:v>6.875</c:v>
                </c:pt>
                <c:pt idx="17">
                  <c:v>7.5</c:v>
                </c:pt>
                <c:pt idx="18">
                  <c:v>8.125</c:v>
                </c:pt>
                <c:pt idx="19">
                  <c:v>8.75</c:v>
                </c:pt>
                <c:pt idx="20">
                  <c:v>9.375</c:v>
                </c:pt>
                <c:pt idx="21">
                  <c:v>10</c:v>
                </c:pt>
                <c:pt idx="22">
                  <c:v>10</c:v>
                </c:pt>
                <c:pt idx="23">
                  <c:v>10.625</c:v>
                </c:pt>
                <c:pt idx="24">
                  <c:v>11.25</c:v>
                </c:pt>
                <c:pt idx="25">
                  <c:v>11.875</c:v>
                </c:pt>
                <c:pt idx="26">
                  <c:v>12.5</c:v>
                </c:pt>
                <c:pt idx="27">
                  <c:v>13.125</c:v>
                </c:pt>
                <c:pt idx="28">
                  <c:v>13.75</c:v>
                </c:pt>
                <c:pt idx="29">
                  <c:v>14.375</c:v>
                </c:pt>
                <c:pt idx="30">
                  <c:v>15</c:v>
                </c:pt>
                <c:pt idx="31">
                  <c:v>15</c:v>
                </c:pt>
                <c:pt idx="32">
                  <c:v>15.625</c:v>
                </c:pt>
                <c:pt idx="33">
                  <c:v>16.25</c:v>
                </c:pt>
                <c:pt idx="34">
                  <c:v>16.875</c:v>
                </c:pt>
                <c:pt idx="35">
                  <c:v>17.5</c:v>
                </c:pt>
                <c:pt idx="36">
                  <c:v>18.125</c:v>
                </c:pt>
                <c:pt idx="37">
                  <c:v>18.75</c:v>
                </c:pt>
                <c:pt idx="38">
                  <c:v>19.375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</c:numCache>
            </c:numRef>
          </c:xVal>
          <c:yVal>
            <c:numRef>
              <c:f>'CCCC-car.5'!$AF$47:$AF$90</c:f>
              <c:numCache>
                <c:formatCode>0.00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4.0625</c:v>
                </c:pt>
                <c:pt idx="5">
                  <c:v>2.8125</c:v>
                </c:pt>
                <c:pt idx="6">
                  <c:v>1.5625</c:v>
                </c:pt>
                <c:pt idx="7">
                  <c:v>0.3125</c:v>
                </c:pt>
                <c:pt idx="8">
                  <c:v>-0.9375</c:v>
                </c:pt>
                <c:pt idx="9">
                  <c:v>-2.1875</c:v>
                </c:pt>
                <c:pt idx="10">
                  <c:v>-3.4375</c:v>
                </c:pt>
                <c:pt idx="11">
                  <c:v>-4.6875</c:v>
                </c:pt>
                <c:pt idx="12">
                  <c:v>-5.9375</c:v>
                </c:pt>
                <c:pt idx="13">
                  <c:v>4.6875</c:v>
                </c:pt>
                <c:pt idx="14">
                  <c:v>3.4375</c:v>
                </c:pt>
                <c:pt idx="15">
                  <c:v>2.1875</c:v>
                </c:pt>
                <c:pt idx="16">
                  <c:v>0.9375</c:v>
                </c:pt>
                <c:pt idx="17">
                  <c:v>-0.3125</c:v>
                </c:pt>
                <c:pt idx="18">
                  <c:v>-1.5625</c:v>
                </c:pt>
                <c:pt idx="19">
                  <c:v>-2.8125</c:v>
                </c:pt>
                <c:pt idx="20">
                  <c:v>-4.0625</c:v>
                </c:pt>
                <c:pt idx="21">
                  <c:v>-5.3125</c:v>
                </c:pt>
                <c:pt idx="22">
                  <c:v>10.9375</c:v>
                </c:pt>
                <c:pt idx="23">
                  <c:v>7.8125</c:v>
                </c:pt>
                <c:pt idx="24">
                  <c:v>4.6875</c:v>
                </c:pt>
                <c:pt idx="25">
                  <c:v>1.5625</c:v>
                </c:pt>
                <c:pt idx="26">
                  <c:v>-1.5625</c:v>
                </c:pt>
                <c:pt idx="27">
                  <c:v>-4.6875</c:v>
                </c:pt>
                <c:pt idx="28">
                  <c:v>-7.8125</c:v>
                </c:pt>
                <c:pt idx="29">
                  <c:v>-10.9375</c:v>
                </c:pt>
                <c:pt idx="30">
                  <c:v>-14.0625</c:v>
                </c:pt>
                <c:pt idx="31">
                  <c:v>15.3125</c:v>
                </c:pt>
                <c:pt idx="32">
                  <c:v>12.1875</c:v>
                </c:pt>
                <c:pt idx="33">
                  <c:v>9.0625</c:v>
                </c:pt>
                <c:pt idx="34">
                  <c:v>5.9375</c:v>
                </c:pt>
                <c:pt idx="35">
                  <c:v>2.8125</c:v>
                </c:pt>
                <c:pt idx="36">
                  <c:v>-0.3125</c:v>
                </c:pt>
                <c:pt idx="37">
                  <c:v>-3.4375</c:v>
                </c:pt>
                <c:pt idx="38">
                  <c:v>-6.5625</c:v>
                </c:pt>
                <c:pt idx="39">
                  <c:v>-9.6875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840-48C6-B7CE-F0ECEEF129A1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'CCCC-car.5'!$AD$50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'CCCC-car.5'!$AF$50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840-48C6-B7CE-F0ECEEF129A1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'CCCC-car.5'!$AD$51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'CCCC-car.5'!$AF$51</c:f>
              <c:numCache>
                <c:formatCode>0.00</c:formatCode>
                <c:ptCount val="1"/>
                <c:pt idx="0">
                  <c:v>4.0625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840-48C6-B7CE-F0ECEEF129A1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'CCCC-car.5'!$AD$59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'CCCC-car.5'!$AF$59</c:f>
              <c:numCache>
                <c:formatCode>0.00</c:formatCode>
                <c:ptCount val="1"/>
                <c:pt idx="0">
                  <c:v>-5.9375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840-48C6-B7CE-F0ECEEF129A1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'CCCC-car.5'!$AD$60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'CCCC-car.5'!$AF$60</c:f>
              <c:numCache>
                <c:formatCode>0.00</c:formatCode>
                <c:ptCount val="1"/>
                <c:pt idx="0">
                  <c:v>4.6875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840-48C6-B7CE-F0ECEEF129A1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'CCCC-car.5'!$AD$68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'CCCC-car.5'!$AF$68</c:f>
              <c:numCache>
                <c:formatCode>0.00</c:formatCode>
                <c:ptCount val="1"/>
                <c:pt idx="0">
                  <c:v>-5.3125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840-48C6-B7CE-F0ECEEF129A1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'CCCC-car.5'!$AD$69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'CCCC-car.5'!$AF$69</c:f>
              <c:numCache>
                <c:formatCode>0.00</c:formatCode>
                <c:ptCount val="1"/>
                <c:pt idx="0">
                  <c:v>10.9375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840-48C6-B7CE-F0ECEEF129A1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'CCCC-car.5'!$AD$77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'CCCC-car.5'!$AF$77</c:f>
              <c:numCache>
                <c:formatCode>0.00</c:formatCode>
                <c:ptCount val="1"/>
                <c:pt idx="0">
                  <c:v>-14.0625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840-48C6-B7CE-F0ECEEF129A1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'CCCC-car.5'!$AD$78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'CCCC-car.5'!$AF$78</c:f>
              <c:numCache>
                <c:formatCode>0.00</c:formatCode>
                <c:ptCount val="1"/>
                <c:pt idx="0">
                  <c:v>15.3125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840-48C6-B7CE-F0ECEEF129A1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'CCCC-car.5'!$AD$86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'CCCC-car.5'!$AF$86</c:f>
              <c:numCache>
                <c:formatCode>0.00</c:formatCode>
                <c:ptCount val="1"/>
                <c:pt idx="0">
                  <c:v>-9.6875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840-48C6-B7CE-F0ECEEF129A1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'CCCC-car.5'!$AD$87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'CCCC-car.5'!$AF$87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840-48C6-B7CE-F0ECEEF12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091008"/>
        <c:axId val="348091568"/>
      </c:scatterChart>
      <c:valAx>
        <c:axId val="34809100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48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8091568"/>
        <c:crosses val="autoZero"/>
        <c:crossBetween val="midCat"/>
        <c:majorUnit val="1"/>
      </c:valAx>
      <c:valAx>
        <c:axId val="34809156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75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80910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39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8"/>
          <c:w val="0.90742455710851644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</c:numCache>
            </c:numRef>
          </c:xVal>
          <c:yVal>
            <c:numRef>
              <c:f>'CCCC-car.5'!$AL$54:$AL$60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18-490F-975D-A899BC4F80C3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018-490F-975D-A899BC4F80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'CCCC-car.5'!$W$36:$W$37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-4.0625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18-490F-975D-A899BC4F80C3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18-490F-975D-A899BC4F80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'CCCC-car.5'!$Z$36:$Z$37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018-490F-975D-A899BC4F80C3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018-490F-975D-A899BC4F80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'CCCC-car.5'!$AB$36:$AB$37</c:f>
              <c:numCache>
                <c:formatCode>0.00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'CCCC-car.5'!$AC$36:$AC$37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018-490F-975D-A899BC4F80C3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18-490F-975D-A899BC4F80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'CCCC-car.5'!$V$40:$V$41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'CCCC-car.5'!$W$40:$W$41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-29.375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018-490F-975D-A899BC4F80C3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018-490F-975D-A899BC4F80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'CCCC-car.5'!$Y$40:$Y$41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'CCCC-car.5'!$Z$40:$Z$41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-9.6875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018-490F-975D-A899BC4F80C3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'CCCC-car.5'!$AH$17:$AH$21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'CCCC-car.5'!$AI$17:$AI$21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018-490F-975D-A899BC4F80C3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'CCCC-car.5'!$AH$24:$AH$28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'CCCC-car.5'!$AI$24:$AI$28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52</c:v>
                </c:pt>
                <c:pt idx="3">
                  <c:v>52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018-490F-975D-A899BC4F80C3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'CCCC-car.5'!$AH$31:$AH$35</c:f>
              <c:numCache>
                <c:formatCode>0.00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'CCCC-car.5'!$AI$31:$AI$35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52</c:v>
                </c:pt>
                <c:pt idx="3">
                  <c:v>52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018-490F-975D-A899BC4F80C3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'CCCC-car.5'!$AH$38:$AH$42</c:f>
              <c:numCache>
                <c:formatCode>0.00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10</c:v>
                </c:pt>
                <c:pt idx="4">
                  <c:v>10</c:v>
                </c:pt>
              </c:numCache>
            </c:numRef>
          </c:xVal>
          <c:yVal>
            <c:numRef>
              <c:f>'CCCC-car.5'!$AI$38:$AI$42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55</c:v>
                </c:pt>
                <c:pt idx="3">
                  <c:v>55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018-490F-975D-A899BC4F80C3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'CCCC-car.5'!$AH$45:$AH$49</c:f>
              <c:numCache>
                <c:formatCode>0.00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15</c:v>
                </c:pt>
              </c:numCache>
            </c:numRef>
          </c:xVal>
          <c:yVal>
            <c:numRef>
              <c:f>'CCCC-car.5'!$AI$45:$AI$49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55</c:v>
                </c:pt>
                <c:pt idx="3">
                  <c:v>55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018-490F-975D-A899BC4F80C3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'CCCC-car.5'!$AH$52:$AH$56</c:f>
              <c:numCache>
                <c:formatCode>0.00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xVal>
          <c:yVal>
            <c:numRef>
              <c:f>'CCCC-car.5'!$AI$52:$AI$56</c:f>
              <c:numCache>
                <c:formatCode>General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018-490F-975D-A899BC4F80C3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'CCCC-car.5'!$V$37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'CCCC-car.5'!$W$37</c:f>
              <c:numCache>
                <c:formatCode>0.00</c:formatCode>
                <c:ptCount val="1"/>
                <c:pt idx="0">
                  <c:v>-4.0625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018-490F-975D-A899BC4F80C3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'CCCC-car.5'!$Y$37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'CCCC-car.5'!$Z$37</c:f>
              <c:numCache>
                <c:formatCode>0.00</c:formatCode>
                <c:ptCount val="1"/>
                <c:pt idx="0">
                  <c:v>-10.625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018-490F-975D-A899BC4F80C3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'CCCC-car.5'!$AB$37</c:f>
              <c:numCache>
                <c:formatCode>0.00</c:formatCode>
                <c:ptCount val="1"/>
                <c:pt idx="0">
                  <c:v>10</c:v>
                </c:pt>
              </c:numCache>
            </c:numRef>
          </c:xVal>
          <c:yVal>
            <c:numRef>
              <c:f>'CCCC-car.5'!$AC$37</c:f>
              <c:numCache>
                <c:formatCode>0.00</c:formatCode>
                <c:ptCount val="1"/>
                <c:pt idx="0">
                  <c:v>-16.25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018-490F-975D-A899BC4F80C3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'CCCC-car.5'!$V$41</c:f>
              <c:numCache>
                <c:formatCode>0.00</c:formatCode>
                <c:ptCount val="1"/>
                <c:pt idx="0">
                  <c:v>15</c:v>
                </c:pt>
              </c:numCache>
            </c:numRef>
          </c:xVal>
          <c:yVal>
            <c:numRef>
              <c:f>'CCCC-car.5'!$W$41</c:f>
              <c:numCache>
                <c:formatCode>0.00</c:formatCode>
                <c:ptCount val="1"/>
                <c:pt idx="0">
                  <c:v>-29.375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018-490F-975D-A899BC4F80C3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'CCCC-car.5'!$Y$41</c:f>
              <c:numCache>
                <c:formatCode>0.00</c:formatCode>
                <c:ptCount val="1"/>
                <c:pt idx="0">
                  <c:v>20</c:v>
                </c:pt>
              </c:numCache>
            </c:numRef>
          </c:xVal>
          <c:yVal>
            <c:numRef>
              <c:f>'CCCC-car.5'!$Z$41</c:f>
              <c:numCache>
                <c:formatCode>0.00</c:formatCode>
                <c:ptCount val="1"/>
                <c:pt idx="0">
                  <c:v>-9.6875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018-490F-975D-A899BC4F8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103328"/>
        <c:axId val="348103888"/>
      </c:scatterChart>
      <c:valAx>
        <c:axId val="3481033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088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48103888"/>
        <c:crosses val="autoZero"/>
        <c:crossBetween val="midCat"/>
        <c:majorUnit val="1"/>
      </c:valAx>
      <c:valAx>
        <c:axId val="3481038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81033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 orientation="portrait"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053E-2"/>
          <c:y val="9.9061975819114148E-2"/>
          <c:w val="0.94847987950390844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'CCC-car.1'!$AD$47:$AD$81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'CCC-car.1'!$AE$47:$AE$81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25.23372130102041</c:v>
                </c:pt>
                <c:pt idx="6">
                  <c:v>39.612442602040822</c:v>
                </c:pt>
                <c:pt idx="7">
                  <c:v>43.136163903061224</c:v>
                </c:pt>
                <c:pt idx="8">
                  <c:v>35.804885204081643</c:v>
                </c:pt>
                <c:pt idx="9">
                  <c:v>17.618606505102065</c:v>
                </c:pt>
                <c:pt idx="10">
                  <c:v>-11.42267219387756</c:v>
                </c:pt>
                <c:pt idx="11">
                  <c:v>-51.318950892857117</c:v>
                </c:pt>
                <c:pt idx="12">
                  <c:v>-102.07022959183672</c:v>
                </c:pt>
                <c:pt idx="13">
                  <c:v>-102.07022959183672</c:v>
                </c:pt>
                <c:pt idx="14">
                  <c:v>-30.240659279336725</c:v>
                </c:pt>
                <c:pt idx="15">
                  <c:v>21.066176658163272</c:v>
                </c:pt>
                <c:pt idx="16">
                  <c:v>51.850278220663256</c:v>
                </c:pt>
                <c:pt idx="17">
                  <c:v>62.111645408163213</c:v>
                </c:pt>
                <c:pt idx="18">
                  <c:v>51.850278220663256</c:v>
                </c:pt>
                <c:pt idx="19">
                  <c:v>21.066176658163215</c:v>
                </c:pt>
                <c:pt idx="20">
                  <c:v>-30.240659279336796</c:v>
                </c:pt>
                <c:pt idx="21">
                  <c:v>-102.07022959183678</c:v>
                </c:pt>
                <c:pt idx="22">
                  <c:v>-102.07022959183672</c:v>
                </c:pt>
                <c:pt idx="23">
                  <c:v>-51.318950892857124</c:v>
                </c:pt>
                <c:pt idx="24">
                  <c:v>-11.422672193877546</c:v>
                </c:pt>
                <c:pt idx="25">
                  <c:v>17.618606505102065</c:v>
                </c:pt>
                <c:pt idx="26">
                  <c:v>35.804885204081643</c:v>
                </c:pt>
                <c:pt idx="27">
                  <c:v>43.136163903061231</c:v>
                </c:pt>
                <c:pt idx="28">
                  <c:v>39.612442602040801</c:v>
                </c:pt>
                <c:pt idx="29">
                  <c:v>25.23372130102041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37-4F9C-AAD8-FE41DE8050A1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37-4F9C-AAD8-FE41DE8050A1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'CCC-car.1'!$AL$19:$AL$20</c:f>
              <c:numCache>
                <c:formatCode>0.00</c:formatCode>
                <c:ptCount val="2"/>
                <c:pt idx="0">
                  <c:v>0</c:v>
                </c:pt>
                <c:pt idx="1">
                  <c:v>-102.07022959183672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637-4F9C-AAD8-FE41DE8050A1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'CCC-car.1'!$AK$21:$AK$22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'CCC-car.1'!$AL$21:$AL$22</c:f>
              <c:numCache>
                <c:formatCode>0.00</c:formatCode>
                <c:ptCount val="2"/>
                <c:pt idx="0">
                  <c:v>0</c:v>
                </c:pt>
                <c:pt idx="1">
                  <c:v>-102.07022959183678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637-4F9C-AAD8-FE41DE8050A1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'CCC-car.1'!$AL$23:$AL$24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637-4F9C-AAD8-FE41DE8050A1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0637-4F9C-AAD8-FE41DE8050A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'CCC-car.1'!$AK$25:$AK$26</c:f>
              <c:numCache>
                <c:formatCode>0.00</c:formatCode>
                <c:ptCount val="2"/>
              </c:numCache>
            </c:numRef>
          </c:xVal>
          <c:yVal>
            <c:numRef>
              <c:f>'CCC-car.1'!$AL$25:$AL$26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637-4F9C-AAD8-FE41DE8050A1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'CCC-car.1'!$AK$40:$AK$41</c:f>
              <c:numCache>
                <c:formatCode>0.00</c:formatCode>
                <c:ptCount val="2"/>
                <c:pt idx="0">
                  <c:v>1.4123086734693879</c:v>
                </c:pt>
                <c:pt idx="1">
                  <c:v>1.4123086734693879</c:v>
                </c:pt>
              </c:numCache>
            </c:numRef>
          </c:xVal>
          <c:yVal>
            <c:numRef>
              <c:f>'CCC-car.1'!$AL$40:$AL$41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43.30310878259548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637-4F9C-AAD8-FE41DE8050A1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'CCC-car.1'!$AK$42:$AK$43</c:f>
              <c:numCache>
                <c:formatCode>0.00</c:formatCode>
                <c:ptCount val="2"/>
                <c:pt idx="0">
                  <c:v>6.75</c:v>
                </c:pt>
                <c:pt idx="1">
                  <c:v>6.75</c:v>
                </c:pt>
              </c:numCache>
            </c:numRef>
          </c:xVal>
          <c:yVal>
            <c:numRef>
              <c:f>'CCC-car.1'!$AL$42:$AL$43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62.111645408163241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637-4F9C-AAD8-FE41DE8050A1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'CCC-car.1'!$AK$44:$AK$45</c:f>
              <c:numCache>
                <c:formatCode>0.00</c:formatCode>
                <c:ptCount val="2"/>
                <c:pt idx="0">
                  <c:v>12.087691326530612</c:v>
                </c:pt>
                <c:pt idx="1">
                  <c:v>12.087691326530612</c:v>
                </c:pt>
              </c:numCache>
            </c:numRef>
          </c:xVal>
          <c:yVal>
            <c:numRef>
              <c:f>'CCC-car.1'!$AL$44:$AL$45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43.303108782595416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0637-4F9C-AAD8-FE41DE8050A1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637-4F9C-AAD8-FE41DE8050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'CCC-car.1'!$AK$46:$AK$47</c:f>
              <c:numCache>
                <c:formatCode>0.00</c:formatCode>
                <c:ptCount val="2"/>
              </c:numCache>
            </c:numRef>
          </c:xVal>
          <c:yVal>
            <c:numRef>
              <c:f>'CCC-car.1'!$AL$46:$AL$47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0637-4F9C-AAD8-FE41DE8050A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8111728"/>
        <c:axId val="348112288"/>
      </c:scatterChart>
      <c:valAx>
        <c:axId val="34811172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41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8112288"/>
        <c:crosses val="autoZero"/>
        <c:crossBetween val="midCat"/>
        <c:majorUnit val="1"/>
      </c:valAx>
      <c:valAx>
        <c:axId val="34811228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81117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81"/>
          <c:w val="0.94796977526453763"/>
          <c:h val="0.77738578636805078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F1-44AC-8A87-CC7FF39FAF4D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F1-44AC-8A87-CC7FF39FAF4D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F1-44AC-8A87-CC7FF39FAF4D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F1-44AC-8A87-CC7FF39FAF4D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F1-44AC-8A87-CC7FF39FAF4D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F1-44AC-8A87-CC7FF39FAF4D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F1-44AC-8A87-CC7FF39FAF4D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F1-44AC-8A87-CC7FF39FAF4D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F1-44AC-8A87-CC7FF39FAF4D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F1-44AC-8A87-CC7FF39FAF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'CCC-car.1'!$AF$47:$AF$86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61.322442602040823</c:v>
                </c:pt>
                <c:pt idx="5">
                  <c:v>39.612442602040822</c:v>
                </c:pt>
                <c:pt idx="6">
                  <c:v>17.902442602040821</c:v>
                </c:pt>
                <c:pt idx="7">
                  <c:v>-3.8075573979591724</c:v>
                </c:pt>
                <c:pt idx="8">
                  <c:v>-25.51755739795918</c:v>
                </c:pt>
                <c:pt idx="9">
                  <c:v>-47.227557397959188</c:v>
                </c:pt>
                <c:pt idx="10">
                  <c:v>-68.937557397959168</c:v>
                </c:pt>
                <c:pt idx="11">
                  <c:v>-90.647557397959176</c:v>
                </c:pt>
                <c:pt idx="12">
                  <c:v>-112.35755739795918</c:v>
                </c:pt>
                <c:pt idx="13">
                  <c:v>119.40499999999999</c:v>
                </c:pt>
                <c:pt idx="14">
                  <c:v>89.55374999999998</c:v>
                </c:pt>
                <c:pt idx="15">
                  <c:v>59.702499999999986</c:v>
                </c:pt>
                <c:pt idx="16">
                  <c:v>29.851249999999979</c:v>
                </c:pt>
                <c:pt idx="17">
                  <c:v>0</c:v>
                </c:pt>
                <c:pt idx="18">
                  <c:v>-29.851250000000007</c:v>
                </c:pt>
                <c:pt idx="19">
                  <c:v>-59.702500000000029</c:v>
                </c:pt>
                <c:pt idx="20">
                  <c:v>-89.553750000000022</c:v>
                </c:pt>
                <c:pt idx="21">
                  <c:v>-119.40500000000002</c:v>
                </c:pt>
                <c:pt idx="22">
                  <c:v>112.35755739795918</c:v>
                </c:pt>
                <c:pt idx="23">
                  <c:v>90.64755739795919</c:v>
                </c:pt>
                <c:pt idx="24">
                  <c:v>68.937557397959182</c:v>
                </c:pt>
                <c:pt idx="25">
                  <c:v>47.227557397959188</c:v>
                </c:pt>
                <c:pt idx="26">
                  <c:v>25.51755739795918</c:v>
                </c:pt>
                <c:pt idx="27">
                  <c:v>3.8075573979591724</c:v>
                </c:pt>
                <c:pt idx="28">
                  <c:v>-17.902442602040807</c:v>
                </c:pt>
                <c:pt idx="29">
                  <c:v>-39.612442602040815</c:v>
                </c:pt>
                <c:pt idx="30">
                  <c:v>-61.322442602040823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2F1-44AC-8A87-CC7FF39FAF4D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'CCC-car.1'!$AD$50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'CCC-car.1'!$AF$50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2F1-44AC-8A87-CC7FF39FAF4D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'CCC-car.1'!$AD$51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'CCC-car.1'!$AF$51</c:f>
              <c:numCache>
                <c:formatCode>0.00</c:formatCode>
                <c:ptCount val="1"/>
                <c:pt idx="0">
                  <c:v>61.322442602040823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2F1-44AC-8A87-CC7FF39FAF4D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'CCC-car.1'!$AD$59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'CCC-car.1'!$AF$59</c:f>
              <c:numCache>
                <c:formatCode>0.00</c:formatCode>
                <c:ptCount val="1"/>
                <c:pt idx="0">
                  <c:v>-112.35755739795918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2F1-44AC-8A87-CC7FF39FAF4D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'CCC-car.1'!$AD$60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'CCC-car.1'!$AF$60</c:f>
              <c:numCache>
                <c:formatCode>0.00</c:formatCode>
                <c:ptCount val="1"/>
                <c:pt idx="0">
                  <c:v>119.40499999999999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2F1-44AC-8A87-CC7FF39FAF4D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'CCC-car.1'!$AD$68</c:f>
              <c:numCache>
                <c:formatCode>0.00</c:formatCode>
                <c:ptCount val="1"/>
                <c:pt idx="0">
                  <c:v>9.5</c:v>
                </c:pt>
              </c:numCache>
            </c:numRef>
          </c:xVal>
          <c:yVal>
            <c:numRef>
              <c:f>'CCC-car.1'!$AF$68</c:f>
              <c:numCache>
                <c:formatCode>0.00</c:formatCode>
                <c:ptCount val="1"/>
                <c:pt idx="0">
                  <c:v>-119.40500000000002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2F1-44AC-8A87-CC7FF39FAF4D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'CCC-car.1'!$AD$69</c:f>
              <c:numCache>
                <c:formatCode>0.00</c:formatCode>
                <c:ptCount val="1"/>
                <c:pt idx="0">
                  <c:v>9.5</c:v>
                </c:pt>
              </c:numCache>
            </c:numRef>
          </c:xVal>
          <c:yVal>
            <c:numRef>
              <c:f>'CCC-car.1'!$AF$69</c:f>
              <c:numCache>
                <c:formatCode>0.00</c:formatCode>
                <c:ptCount val="1"/>
                <c:pt idx="0">
                  <c:v>112.35755739795918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2F1-44AC-8A87-CC7FF39FAF4D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'CCC-car.1'!$AD$77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'CCC-car.1'!$AF$77</c:f>
              <c:numCache>
                <c:formatCode>0.00</c:formatCode>
                <c:ptCount val="1"/>
                <c:pt idx="0">
                  <c:v>-61.322442602040823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F1-44AC-8A87-CC7FF39FAF4D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2F1-44AC-8A87-CC7FF39FAF4D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'CCC-car.1'!$AD$86</c:f>
              <c:numCache>
                <c:formatCode>0.00</c:formatCode>
                <c:ptCount val="1"/>
              </c:numCache>
            </c:numRef>
          </c:xVal>
          <c:yVal>
            <c:numRef>
              <c:f>'CCC-car.1'!$AF$86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F1-44AC-8A87-CC7FF39FAF4D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'CCC-car.1'!$AD$78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'CCC-car.1'!$AF$78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2F1-44AC-8A87-CC7FF39FA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120688"/>
        <c:axId val="348121248"/>
      </c:scatterChart>
      <c:valAx>
        <c:axId val="34812068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53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8121248"/>
        <c:crosses val="autoZero"/>
        <c:crossBetween val="midCat"/>
        <c:majorUnit val="1"/>
      </c:valAx>
      <c:valAx>
        <c:axId val="34812124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82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81206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5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75"/>
          <c:w val="0.90742455710851666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9.5</c:v>
                </c:pt>
                <c:pt idx="4">
                  <c:v>13.5</c:v>
                </c:pt>
                <c:pt idx="5">
                  <c:v>13.5</c:v>
                </c:pt>
              </c:numCache>
            </c:numRef>
          </c:xVal>
          <c:yVal>
            <c:numRef>
              <c:f>'CCC-car.1'!$AL$54:$AL$60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4B-4A52-BEF7-5F03F1DBDEBC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44B-4A52-BEF7-5F03F1DBDE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'CCC-car.1'!$W$36:$W$37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61.322442602040823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4B-4A52-BEF7-5F03F1DBDEBC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4B-4A52-BEF7-5F03F1DBDE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'CCC-car.1'!$Z$36:$Z$37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231.76255739795917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4B-4A52-BEF7-5F03F1DBDEBC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44B-4A52-BEF7-5F03F1DBDE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'CCC-car.1'!$AB$36:$AB$37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'CCC-car.1'!$AC$36:$AC$37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231.7625573979592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4B-4A52-BEF7-5F03F1DBDEBC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4B-4A52-BEF7-5F03F1DBDE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'CCC-car.1'!$W$40:$W$41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61.322442602040823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44B-4A52-BEF7-5F03F1DBDEBC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44B-4A52-BEF7-5F03F1DBDE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'CCC-car.1'!$Y$40:$Y$41</c:f>
              <c:numCache>
                <c:formatCode>0.00</c:formatCode>
                <c:ptCount val="2"/>
              </c:numCache>
            </c:numRef>
          </c:xVal>
          <c:yVal>
            <c:numRef>
              <c:f>'CCC-car.1'!$Z$40:$Z$41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44B-4A52-BEF7-5F03F1DBDEBC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'CCC-car.1'!$AH$17:$AH$21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'CCC-car.1'!$AI$17:$AI$21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44B-4A52-BEF7-5F03F1DBDEBC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'CCC-car.1'!$AH$24:$AH$28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'CCC-car.1'!$AI$24:$AI$28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53.42</c:v>
                </c:pt>
                <c:pt idx="3">
                  <c:v>53.42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44B-4A52-BEF7-5F03F1DBDEBC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'CCC-car.1'!$AH$31:$AH$35</c:f>
              <c:numCache>
                <c:formatCode>0.00</c:formatCode>
                <c:ptCount val="5"/>
                <c:pt idx="0">
                  <c:v>4</c:v>
                </c:pt>
                <c:pt idx="1">
                  <c:v>9.5</c:v>
                </c:pt>
                <c:pt idx="2">
                  <c:v>9.5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'CCC-car.1'!$AI$31:$AI$35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53.42</c:v>
                </c:pt>
                <c:pt idx="3">
                  <c:v>53.42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44B-4A52-BEF7-5F03F1DBDEBC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'CCC-car.1'!$AH$38:$AH$42</c:f>
              <c:numCache>
                <c:formatCode>0.00</c:formatCode>
                <c:ptCount val="5"/>
                <c:pt idx="0">
                  <c:v>9.5</c:v>
                </c:pt>
                <c:pt idx="1">
                  <c:v>13.5</c:v>
                </c:pt>
                <c:pt idx="2">
                  <c:v>13.5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'CCC-car.1'!$AI$38:$AI$42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53.42</c:v>
                </c:pt>
                <c:pt idx="3">
                  <c:v>53.42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44B-4A52-BEF7-5F03F1DBDEBC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44B-4A52-BEF7-5F03F1DBDEBC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'CCC-car.1'!$AH$45:$AH$49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'CCC-car.1'!$AI$45:$AI$49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44B-4A52-BEF7-5F03F1DBDEBC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'CCC-car.1'!$V$37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'CCC-car.1'!$W$37</c:f>
              <c:numCache>
                <c:formatCode>0.00</c:formatCode>
                <c:ptCount val="1"/>
                <c:pt idx="0">
                  <c:v>61.322442602040823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44B-4A52-BEF7-5F03F1DBDEBC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'CCC-car.1'!$Y$37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'CCC-car.1'!$Z$37</c:f>
              <c:numCache>
                <c:formatCode>0.00</c:formatCode>
                <c:ptCount val="1"/>
                <c:pt idx="0">
                  <c:v>231.76255739795917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44B-4A52-BEF7-5F03F1DBDEBC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'CCC-car.1'!$AB$37</c:f>
              <c:numCache>
                <c:formatCode>0.00</c:formatCode>
                <c:ptCount val="1"/>
                <c:pt idx="0">
                  <c:v>9.5</c:v>
                </c:pt>
              </c:numCache>
            </c:numRef>
          </c:xVal>
          <c:yVal>
            <c:numRef>
              <c:f>'CCC-car.1'!$AC$37</c:f>
              <c:numCache>
                <c:formatCode>0.00</c:formatCode>
                <c:ptCount val="1"/>
                <c:pt idx="0">
                  <c:v>231.7625573979592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44B-4A52-BEF7-5F03F1DBDEBC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'CCC-car.1'!$V$41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'CCC-car.1'!$W$41</c:f>
              <c:numCache>
                <c:formatCode>0.00</c:formatCode>
                <c:ptCount val="1"/>
                <c:pt idx="0">
                  <c:v>61.322442602040823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44B-4A52-BEF7-5F03F1DBDEBC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'CCC-car.1'!$Y$41</c:f>
              <c:numCache>
                <c:formatCode>0.00</c:formatCode>
                <c:ptCount val="1"/>
              </c:numCache>
            </c:numRef>
          </c:xVal>
          <c:yVal>
            <c:numRef>
              <c:f>'CCC-car.1'!$Z$41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44B-4A52-BEF7-5F03F1DBD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910272"/>
        <c:axId val="349910832"/>
      </c:scatterChart>
      <c:valAx>
        <c:axId val="34991027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11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49910832"/>
        <c:crosses val="autoZero"/>
        <c:crossBetween val="midCat"/>
        <c:majorUnit val="1"/>
      </c:valAx>
      <c:valAx>
        <c:axId val="3499108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99102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43" l="0.70000000000000062" r="0.70000000000000062" t="0.75000000000001243" header="0.30000000000000032" footer="0.30000000000000032"/>
    <c:pageSetup orientation="portrait"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077E-2"/>
          <c:y val="9.9061975819114148E-2"/>
          <c:w val="0.94847987950390866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'CCC-car.2'!$AD$47:$AD$81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'CCC-car.2'!$AE$47:$AE$81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16.363874362244893</c:v>
                </c:pt>
                <c:pt idx="6">
                  <c:v>24.66774872448979</c:v>
                </c:pt>
                <c:pt idx="7">
                  <c:v>24.911623086734686</c:v>
                </c:pt>
                <c:pt idx="8">
                  <c:v>17.095497448979586</c:v>
                </c:pt>
                <c:pt idx="9">
                  <c:v>1.2193718112244909</c:v>
                </c:pt>
                <c:pt idx="10">
                  <c:v>-22.716753826530621</c:v>
                </c:pt>
                <c:pt idx="11">
                  <c:v>-54.71287946428572</c:v>
                </c:pt>
                <c:pt idx="12">
                  <c:v>-94.769005102040808</c:v>
                </c:pt>
                <c:pt idx="13">
                  <c:v>-94.769005102040808</c:v>
                </c:pt>
                <c:pt idx="14">
                  <c:v>-22.939434789540812</c:v>
                </c:pt>
                <c:pt idx="15">
                  <c:v>28.367401147959185</c:v>
                </c:pt>
                <c:pt idx="16">
                  <c:v>59.15150271045917</c:v>
                </c:pt>
                <c:pt idx="17">
                  <c:v>69.412869897959126</c:v>
                </c:pt>
                <c:pt idx="18">
                  <c:v>59.15150271045917</c:v>
                </c:pt>
                <c:pt idx="19">
                  <c:v>28.367401147959129</c:v>
                </c:pt>
                <c:pt idx="20">
                  <c:v>-22.939434789540883</c:v>
                </c:pt>
                <c:pt idx="21">
                  <c:v>-94.769005102040865</c:v>
                </c:pt>
                <c:pt idx="22">
                  <c:v>-94.769005102040808</c:v>
                </c:pt>
                <c:pt idx="23">
                  <c:v>-54.712879464285713</c:v>
                </c:pt>
                <c:pt idx="24">
                  <c:v>-22.716753826530621</c:v>
                </c:pt>
                <c:pt idx="25">
                  <c:v>1.2193718112245051</c:v>
                </c:pt>
                <c:pt idx="26">
                  <c:v>17.095497448979586</c:v>
                </c:pt>
                <c:pt idx="27">
                  <c:v>24.911623086734664</c:v>
                </c:pt>
                <c:pt idx="28">
                  <c:v>24.667748724489797</c:v>
                </c:pt>
                <c:pt idx="29">
                  <c:v>16.363874362244871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40-4054-9B49-2930D52CB4DA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'CCC-car.2'!$AL$17:$AL$18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40-4054-9B49-2930D52CB4DA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'CCC-car.2'!$AL$19:$AL$20</c:f>
              <c:numCache>
                <c:formatCode>0.00</c:formatCode>
                <c:ptCount val="2"/>
                <c:pt idx="0">
                  <c:v>0</c:v>
                </c:pt>
                <c:pt idx="1">
                  <c:v>-94.769005102040808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D40-4054-9B49-2930D52CB4DA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'CCC-car.2'!$AK$21:$AK$22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'CCC-car.2'!$AL$21:$AL$22</c:f>
              <c:numCache>
                <c:formatCode>0.00</c:formatCode>
                <c:ptCount val="2"/>
                <c:pt idx="0">
                  <c:v>0</c:v>
                </c:pt>
                <c:pt idx="1">
                  <c:v>-94.769005102040865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D40-4054-9B49-2930D52CB4DA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'CCC-car.2'!$AL$23:$AL$24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D40-4054-9B49-2930D52CB4DA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DD40-4054-9B49-2930D52CB4D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'CCC-car.2'!$AK$25:$AK$26</c:f>
              <c:numCache>
                <c:formatCode>0.00</c:formatCode>
                <c:ptCount val="2"/>
              </c:numCache>
            </c:numRef>
          </c:xVal>
          <c:yVal>
            <c:numRef>
              <c:f>'CCC-car.2'!$AL$25:$AL$26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D40-4054-9B49-2930D52CB4DA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'CCC-car.2'!$AK$40:$AK$41</c:f>
              <c:numCache>
                <c:formatCode>0.00</c:formatCode>
                <c:ptCount val="2"/>
                <c:pt idx="0">
                  <c:v>1.2651286825213957</c:v>
                </c:pt>
                <c:pt idx="1">
                  <c:v>1.2651286825213957</c:v>
                </c:pt>
              </c:numCache>
            </c:numRef>
          </c:xVal>
          <c:yVal>
            <c:numRef>
              <c:f>'CCC-car.2'!$AL$40:$AL$41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25.800875403413752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D40-4054-9B49-2930D52CB4DA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'CCC-car.2'!$AK$42:$AK$43</c:f>
              <c:numCache>
                <c:formatCode>0.00</c:formatCode>
                <c:ptCount val="2"/>
                <c:pt idx="0">
                  <c:v>6.75</c:v>
                </c:pt>
                <c:pt idx="1">
                  <c:v>6.75</c:v>
                </c:pt>
              </c:numCache>
            </c:numRef>
          </c:xVal>
          <c:yVal>
            <c:numRef>
              <c:f>'CCC-car.2'!$AL$42:$AL$43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69.412869897959155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D40-4054-9B49-2930D52CB4DA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'CCC-car.2'!$AK$44:$AK$45</c:f>
              <c:numCache>
                <c:formatCode>0.00</c:formatCode>
                <c:ptCount val="2"/>
                <c:pt idx="0">
                  <c:v>12.234871317478603</c:v>
                </c:pt>
                <c:pt idx="1">
                  <c:v>12.234871317478603</c:v>
                </c:pt>
              </c:numCache>
            </c:numRef>
          </c:xVal>
          <c:yVal>
            <c:numRef>
              <c:f>'CCC-car.2'!$AL$44:$AL$45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25.80087540341367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D40-4054-9B49-2930D52CB4DA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D40-4054-9B49-2930D52CB4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'CCC-car.2'!$AK$46:$AK$47</c:f>
              <c:numCache>
                <c:formatCode>0.00</c:formatCode>
                <c:ptCount val="2"/>
              </c:numCache>
            </c:numRef>
          </c:xVal>
          <c:yVal>
            <c:numRef>
              <c:f>'CCC-car.2'!$AL$46:$AL$47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DD40-4054-9B49-2930D52CB4D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9918672"/>
        <c:axId val="349919232"/>
      </c:scatterChart>
      <c:valAx>
        <c:axId val="349918672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43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9919232"/>
        <c:crosses val="autoZero"/>
        <c:crossBetween val="midCat"/>
        <c:majorUnit val="1"/>
      </c:valAx>
      <c:valAx>
        <c:axId val="349919232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99186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87"/>
          <c:w val="0.94796977526453763"/>
          <c:h val="0.777385786368051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70-4801-9754-42D33E7B3F42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170-4801-9754-42D33E7B3F42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70-4801-9754-42D33E7B3F42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70-4801-9754-42D33E7B3F42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70-4801-9754-42D33E7B3F42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170-4801-9754-42D33E7B3F42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70-4801-9754-42D33E7B3F42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70-4801-9754-42D33E7B3F42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70-4801-9754-42D33E7B3F42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170-4801-9754-42D33E7B3F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'CCC-car.2'!$AF$47:$AF$86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40.787748724489788</c:v>
                </c:pt>
                <c:pt idx="5">
                  <c:v>24.66774872448979</c:v>
                </c:pt>
                <c:pt idx="6">
                  <c:v>8.5477487244897929</c:v>
                </c:pt>
                <c:pt idx="7">
                  <c:v>-7.5722512755102045</c:v>
                </c:pt>
                <c:pt idx="8">
                  <c:v>-23.692251275510202</c:v>
                </c:pt>
                <c:pt idx="9">
                  <c:v>-39.812251275510206</c:v>
                </c:pt>
                <c:pt idx="10">
                  <c:v>-55.932251275510197</c:v>
                </c:pt>
                <c:pt idx="11">
                  <c:v>-72.052251275510187</c:v>
                </c:pt>
                <c:pt idx="12">
                  <c:v>-88.172251275510192</c:v>
                </c:pt>
                <c:pt idx="13">
                  <c:v>119.40499999999999</c:v>
                </c:pt>
                <c:pt idx="14">
                  <c:v>89.55374999999998</c:v>
                </c:pt>
                <c:pt idx="15">
                  <c:v>59.702499999999986</c:v>
                </c:pt>
                <c:pt idx="16">
                  <c:v>29.851249999999979</c:v>
                </c:pt>
                <c:pt idx="17">
                  <c:v>0</c:v>
                </c:pt>
                <c:pt idx="18">
                  <c:v>-29.851250000000007</c:v>
                </c:pt>
                <c:pt idx="19">
                  <c:v>-59.702500000000029</c:v>
                </c:pt>
                <c:pt idx="20">
                  <c:v>-89.553750000000022</c:v>
                </c:pt>
                <c:pt idx="21">
                  <c:v>-119.40500000000002</c:v>
                </c:pt>
                <c:pt idx="22">
                  <c:v>88.172251275510192</c:v>
                </c:pt>
                <c:pt idx="23">
                  <c:v>72.052251275510201</c:v>
                </c:pt>
                <c:pt idx="24">
                  <c:v>55.932251275510197</c:v>
                </c:pt>
                <c:pt idx="25">
                  <c:v>39.812251275510199</c:v>
                </c:pt>
                <c:pt idx="26">
                  <c:v>23.692251275510202</c:v>
                </c:pt>
                <c:pt idx="27">
                  <c:v>7.5722512755101974</c:v>
                </c:pt>
                <c:pt idx="28">
                  <c:v>-8.5477487244897929</c:v>
                </c:pt>
                <c:pt idx="29">
                  <c:v>-24.667748724489783</c:v>
                </c:pt>
                <c:pt idx="30">
                  <c:v>-40.787748724489788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170-4801-9754-42D33E7B3F42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'CCC-car.2'!$AD$50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'CCC-car.2'!$AF$50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170-4801-9754-42D33E7B3F42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'CCC-car.2'!$AD$51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'CCC-car.2'!$AF$51</c:f>
              <c:numCache>
                <c:formatCode>0.00</c:formatCode>
                <c:ptCount val="1"/>
                <c:pt idx="0">
                  <c:v>40.787748724489788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170-4801-9754-42D33E7B3F42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'CCC-car.2'!$AD$59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'CCC-car.2'!$AF$59</c:f>
              <c:numCache>
                <c:formatCode>0.00</c:formatCode>
                <c:ptCount val="1"/>
                <c:pt idx="0">
                  <c:v>-88.172251275510192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170-4801-9754-42D33E7B3F42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'CCC-car.2'!$AD$60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'CCC-car.2'!$AF$60</c:f>
              <c:numCache>
                <c:formatCode>0.00</c:formatCode>
                <c:ptCount val="1"/>
                <c:pt idx="0">
                  <c:v>119.40499999999999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170-4801-9754-42D33E7B3F42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'CCC-car.2'!$AD$68</c:f>
              <c:numCache>
                <c:formatCode>0.00</c:formatCode>
                <c:ptCount val="1"/>
                <c:pt idx="0">
                  <c:v>9.5</c:v>
                </c:pt>
              </c:numCache>
            </c:numRef>
          </c:xVal>
          <c:yVal>
            <c:numRef>
              <c:f>'CCC-car.2'!$AF$68</c:f>
              <c:numCache>
                <c:formatCode>0.00</c:formatCode>
                <c:ptCount val="1"/>
                <c:pt idx="0">
                  <c:v>-119.40500000000002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170-4801-9754-42D33E7B3F42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'CCC-car.2'!$AD$69</c:f>
              <c:numCache>
                <c:formatCode>0.00</c:formatCode>
                <c:ptCount val="1"/>
                <c:pt idx="0">
                  <c:v>9.5</c:v>
                </c:pt>
              </c:numCache>
            </c:numRef>
          </c:xVal>
          <c:yVal>
            <c:numRef>
              <c:f>'CCC-car.2'!$AF$69</c:f>
              <c:numCache>
                <c:formatCode>0.00</c:formatCode>
                <c:ptCount val="1"/>
                <c:pt idx="0">
                  <c:v>88.172251275510192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170-4801-9754-42D33E7B3F42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'CCC-car.2'!$AD$77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'CCC-car.2'!$AF$77</c:f>
              <c:numCache>
                <c:formatCode>0.00</c:formatCode>
                <c:ptCount val="1"/>
                <c:pt idx="0">
                  <c:v>-40.787748724489788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170-4801-9754-42D33E7B3F42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170-4801-9754-42D33E7B3F42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'CCC-car.2'!$AD$86</c:f>
              <c:numCache>
                <c:formatCode>0.00</c:formatCode>
                <c:ptCount val="1"/>
              </c:numCache>
            </c:numRef>
          </c:xVal>
          <c:yVal>
            <c:numRef>
              <c:f>'CCC-car.2'!$AF$86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170-4801-9754-42D33E7B3F42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'CCC-car.2'!$AD$78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'CCC-car.2'!$AF$78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170-4801-9754-42D33E7B3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927632"/>
        <c:axId val="349928192"/>
      </c:scatterChart>
      <c:valAx>
        <c:axId val="349927632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57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9928192"/>
        <c:crosses val="autoZero"/>
        <c:crossBetween val="midCat"/>
        <c:majorUnit val="1"/>
      </c:valAx>
      <c:valAx>
        <c:axId val="34992819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88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99276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61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69"/>
          <c:w val="0.90742455710851688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9.5</c:v>
                </c:pt>
                <c:pt idx="4">
                  <c:v>13.5</c:v>
                </c:pt>
                <c:pt idx="5">
                  <c:v>13.5</c:v>
                </c:pt>
              </c:numCache>
            </c:numRef>
          </c:xVal>
          <c:yVal>
            <c:numRef>
              <c:f>'CCC-car.2'!$AL$54:$AL$60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9C-49B4-BD1F-83983DDBDA75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A9C-49B4-BD1F-83983DDBDA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'CCC-car.2'!$W$36:$W$37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40.787748724489788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9C-49B4-BD1F-83983DDBDA75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9C-49B4-BD1F-83983DDBDA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'CCC-car.2'!$Z$36:$Z$37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207.57725127551018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A9C-49B4-BD1F-83983DDBDA75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A9C-49B4-BD1F-83983DDBDA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'CCC-car.2'!$AB$36:$AB$37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'CCC-car.2'!$AC$36:$AC$37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207.57725127551021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A9C-49B4-BD1F-83983DDBDA75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9C-49B4-BD1F-83983DDBDA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'CCC-car.2'!$W$40:$W$41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40.787748724489788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A9C-49B4-BD1F-83983DDBDA75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9C-49B4-BD1F-83983DDBDA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'CCC-car.2'!$Y$40:$Y$41</c:f>
              <c:numCache>
                <c:formatCode>0.00</c:formatCode>
                <c:ptCount val="2"/>
              </c:numCache>
            </c:numRef>
          </c:xVal>
          <c:yVal>
            <c:numRef>
              <c:f>'CCC-car.2'!$Z$40:$Z$41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A9C-49B4-BD1F-83983DDBDA75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'CCC-car.2'!$AH$17:$AH$21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'CCC-car.2'!$AI$17:$AI$21</c:f>
              <c:numCache>
                <c:formatCode>General</c:formatCode>
                <c:ptCount val="5"/>
                <c:pt idx="0">
                  <c:v>58.42</c:v>
                </c:pt>
                <c:pt idx="1">
                  <c:v>58.42</c:v>
                </c:pt>
                <c:pt idx="2">
                  <c:v>58.42</c:v>
                </c:pt>
                <c:pt idx="3">
                  <c:v>58.42</c:v>
                </c:pt>
                <c:pt idx="4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A9C-49B4-BD1F-83983DDBDA75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'CCC-car.2'!$AH$24:$AH$28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'CCC-car.2'!$AI$24:$AI$28</c:f>
              <c:numCache>
                <c:formatCode>General</c:formatCode>
                <c:ptCount val="5"/>
                <c:pt idx="0">
                  <c:v>58.42</c:v>
                </c:pt>
                <c:pt idx="1">
                  <c:v>58.42</c:v>
                </c:pt>
                <c:pt idx="2">
                  <c:v>90.66</c:v>
                </c:pt>
                <c:pt idx="3">
                  <c:v>90.66</c:v>
                </c:pt>
                <c:pt idx="4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A9C-49B4-BD1F-83983DDBDA75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'CCC-car.2'!$AH$31:$AH$35</c:f>
              <c:numCache>
                <c:formatCode>0.00</c:formatCode>
                <c:ptCount val="5"/>
                <c:pt idx="0">
                  <c:v>4</c:v>
                </c:pt>
                <c:pt idx="1">
                  <c:v>9.5</c:v>
                </c:pt>
                <c:pt idx="2">
                  <c:v>9.5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'CCC-car.2'!$AI$31:$AI$35</c:f>
              <c:numCache>
                <c:formatCode>General</c:formatCode>
                <c:ptCount val="5"/>
                <c:pt idx="0">
                  <c:v>58.42</c:v>
                </c:pt>
                <c:pt idx="1">
                  <c:v>58.42</c:v>
                </c:pt>
                <c:pt idx="2">
                  <c:v>101.84</c:v>
                </c:pt>
                <c:pt idx="3">
                  <c:v>101.84</c:v>
                </c:pt>
                <c:pt idx="4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A9C-49B4-BD1F-83983DDBDA75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'CCC-car.2'!$AH$38:$AH$42</c:f>
              <c:numCache>
                <c:formatCode>0.00</c:formatCode>
                <c:ptCount val="5"/>
                <c:pt idx="0">
                  <c:v>9.5</c:v>
                </c:pt>
                <c:pt idx="1">
                  <c:v>13.5</c:v>
                </c:pt>
                <c:pt idx="2">
                  <c:v>13.5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'CCC-car.2'!$AI$38:$AI$42</c:f>
              <c:numCache>
                <c:formatCode>General</c:formatCode>
                <c:ptCount val="5"/>
                <c:pt idx="0">
                  <c:v>58.42</c:v>
                </c:pt>
                <c:pt idx="1">
                  <c:v>58.42</c:v>
                </c:pt>
                <c:pt idx="2">
                  <c:v>90.66</c:v>
                </c:pt>
                <c:pt idx="3">
                  <c:v>90.66</c:v>
                </c:pt>
                <c:pt idx="4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A9C-49B4-BD1F-83983DDBDA75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A9C-49B4-BD1F-83983DDBDA75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'CCC-car.2'!$AH$45:$AH$49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'CCC-car.2'!$AI$45:$AI$49</c:f>
              <c:numCache>
                <c:formatCode>General</c:formatCode>
                <c:ptCount val="5"/>
                <c:pt idx="0">
                  <c:v>58.42</c:v>
                </c:pt>
                <c:pt idx="1">
                  <c:v>58.42</c:v>
                </c:pt>
                <c:pt idx="2">
                  <c:v>58.42</c:v>
                </c:pt>
                <c:pt idx="3">
                  <c:v>58.42</c:v>
                </c:pt>
                <c:pt idx="4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A9C-49B4-BD1F-83983DDBDA75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'CCC-car.2'!$V$37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'CCC-car.2'!$W$37</c:f>
              <c:numCache>
                <c:formatCode>0.00</c:formatCode>
                <c:ptCount val="1"/>
                <c:pt idx="0">
                  <c:v>40.787748724489788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A9C-49B4-BD1F-83983DDBDA75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'CCC-car.2'!$Y$37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'CCC-car.2'!$Z$37</c:f>
              <c:numCache>
                <c:formatCode>0.00</c:formatCode>
                <c:ptCount val="1"/>
                <c:pt idx="0">
                  <c:v>207.57725127551018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A9C-49B4-BD1F-83983DDBDA75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'CCC-car.2'!$AB$37</c:f>
              <c:numCache>
                <c:formatCode>0.00</c:formatCode>
                <c:ptCount val="1"/>
                <c:pt idx="0">
                  <c:v>9.5</c:v>
                </c:pt>
              </c:numCache>
            </c:numRef>
          </c:xVal>
          <c:yVal>
            <c:numRef>
              <c:f>'CCC-car.2'!$AC$37</c:f>
              <c:numCache>
                <c:formatCode>0.00</c:formatCode>
                <c:ptCount val="1"/>
                <c:pt idx="0">
                  <c:v>207.57725127551021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A9C-49B4-BD1F-83983DDBDA75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'CCC-car.2'!$V$41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'CCC-car.2'!$W$41</c:f>
              <c:numCache>
                <c:formatCode>0.00</c:formatCode>
                <c:ptCount val="1"/>
                <c:pt idx="0">
                  <c:v>40.787748724489788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A9C-49B4-BD1F-83983DDBDA75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'CCC-car.2'!$Y$41</c:f>
              <c:numCache>
                <c:formatCode>0.00</c:formatCode>
                <c:ptCount val="1"/>
              </c:numCache>
            </c:numRef>
          </c:xVal>
          <c:yVal>
            <c:numRef>
              <c:f>'CCC-car.2'!$Z$41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A9C-49B4-BD1F-83983DDBD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939952"/>
        <c:axId val="349940512"/>
      </c:scatterChart>
      <c:valAx>
        <c:axId val="34993995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132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49940512"/>
        <c:crosses val="autoZero"/>
        <c:crossBetween val="midCat"/>
        <c:majorUnit val="1"/>
      </c:valAx>
      <c:valAx>
        <c:axId val="3499405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99399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66" l="0.70000000000000062" r="0.70000000000000062" t="0.75000000000001266" header="0.30000000000000032" footer="0.30000000000000032"/>
    <c:pageSetup orientation="portrait"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098E-2"/>
          <c:y val="9.9061975819114148E-2"/>
          <c:w val="0.94847987950390888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'CCC-car.3'!$AD$47:$AD$81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'CCC-car.3'!$AE$47:$AE$81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27.606262755102044</c:v>
                </c:pt>
                <c:pt idx="6">
                  <c:v>44.357525510204091</c:v>
                </c:pt>
                <c:pt idx="7">
                  <c:v>50.253788265306135</c:v>
                </c:pt>
                <c:pt idx="8">
                  <c:v>45.295051020408181</c:v>
                </c:pt>
                <c:pt idx="9">
                  <c:v>29.481313775510216</c:v>
                </c:pt>
                <c:pt idx="10">
                  <c:v>2.8125765306122616</c:v>
                </c:pt>
                <c:pt idx="11">
                  <c:v>-34.711160714285654</c:v>
                </c:pt>
                <c:pt idx="12">
                  <c:v>-83.089897959183645</c:v>
                </c:pt>
                <c:pt idx="13">
                  <c:v>-83.089897959183673</c:v>
                </c:pt>
                <c:pt idx="14">
                  <c:v>-29.75536670918369</c:v>
                </c:pt>
                <c:pt idx="15">
                  <c:v>8.3407270408163043</c:v>
                </c:pt>
                <c:pt idx="16">
                  <c:v>31.198383290816281</c:v>
                </c:pt>
                <c:pt idx="17">
                  <c:v>38.817602040816269</c:v>
                </c:pt>
                <c:pt idx="18">
                  <c:v>31.198383290816309</c:v>
                </c:pt>
                <c:pt idx="19">
                  <c:v>8.3407270408162617</c:v>
                </c:pt>
                <c:pt idx="20">
                  <c:v>-29.755366709183647</c:v>
                </c:pt>
                <c:pt idx="21">
                  <c:v>-83.089897959183759</c:v>
                </c:pt>
                <c:pt idx="22">
                  <c:v>-83.089897959183673</c:v>
                </c:pt>
                <c:pt idx="23">
                  <c:v>-34.711160714285711</c:v>
                </c:pt>
                <c:pt idx="24">
                  <c:v>2.8125765306122332</c:v>
                </c:pt>
                <c:pt idx="25">
                  <c:v>29.481313775510216</c:v>
                </c:pt>
                <c:pt idx="26">
                  <c:v>45.295051020408152</c:v>
                </c:pt>
                <c:pt idx="27">
                  <c:v>50.253788265306099</c:v>
                </c:pt>
                <c:pt idx="28">
                  <c:v>44.357525510204084</c:v>
                </c:pt>
                <c:pt idx="29">
                  <c:v>27.60626275510208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9D-450E-93F0-64D26B4A6D49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9D-450E-93F0-64D26B4A6D49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'CCC-car.3'!$AL$19:$AL$20</c:f>
              <c:numCache>
                <c:formatCode>0.00</c:formatCode>
                <c:ptCount val="2"/>
                <c:pt idx="0">
                  <c:v>0</c:v>
                </c:pt>
                <c:pt idx="1">
                  <c:v>-83.089897959183645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F9D-450E-93F0-64D26B4A6D49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'CCC-car.3'!$AK$21:$AK$22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'CCC-car.3'!$AL$21:$AL$22</c:f>
              <c:numCache>
                <c:formatCode>0.00</c:formatCode>
                <c:ptCount val="2"/>
                <c:pt idx="0">
                  <c:v>0</c:v>
                </c:pt>
                <c:pt idx="1">
                  <c:v>-83.089897959183759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F9D-450E-93F0-64D26B4A6D49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'CCC-car.3'!$AL$23:$AL$24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F9D-450E-93F0-64D26B4A6D49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8F9D-450E-93F0-64D26B4A6D4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'CCC-car.3'!$AK$25:$AK$26</c:f>
              <c:numCache>
                <c:formatCode>0.00</c:formatCode>
                <c:ptCount val="2"/>
              </c:numCache>
            </c:numRef>
          </c:xVal>
          <c:yVal>
            <c:numRef>
              <c:f>'CCC-car.3'!$AL$25:$AL$26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F9D-450E-93F0-64D26B4A6D49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'CCC-car.3'!$AK$40:$AK$41</c:f>
              <c:numCache>
                <c:formatCode>0.00</c:formatCode>
                <c:ptCount val="2"/>
                <c:pt idx="0">
                  <c:v>1.5215920200415498</c:v>
                </c:pt>
                <c:pt idx="1">
                  <c:v>1.5215920200415498</c:v>
                </c:pt>
              </c:numCache>
            </c:numRef>
          </c:xVal>
          <c:yVal>
            <c:numRef>
              <c:f>'CCC-car.3'!$AL$40:$AL$41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50.263909800109033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8F9D-450E-93F0-64D26B4A6D49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'CCC-car.3'!$AK$42:$AK$43</c:f>
              <c:numCache>
                <c:formatCode>0.00</c:formatCode>
                <c:ptCount val="2"/>
                <c:pt idx="0">
                  <c:v>6.75</c:v>
                </c:pt>
                <c:pt idx="1">
                  <c:v>6.75</c:v>
                </c:pt>
              </c:numCache>
            </c:numRef>
          </c:xVal>
          <c:yVal>
            <c:numRef>
              <c:f>'CCC-car.3'!$AL$42:$AL$43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38.817602040816311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8F9D-450E-93F0-64D26B4A6D49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'CCC-car.3'!$AK$44:$AK$45</c:f>
              <c:numCache>
                <c:formatCode>0.00</c:formatCode>
                <c:ptCount val="2"/>
                <c:pt idx="0">
                  <c:v>11.978407979958451</c:v>
                </c:pt>
                <c:pt idx="1">
                  <c:v>11.978407979958451</c:v>
                </c:pt>
              </c:numCache>
            </c:numRef>
          </c:xVal>
          <c:yVal>
            <c:numRef>
              <c:f>'CCC-car.3'!$AL$44:$AL$45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50.263909800108905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8F9D-450E-93F0-64D26B4A6D49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8F9D-450E-93F0-64D26B4A6D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'CCC-car.3'!$AK$46:$AK$47</c:f>
              <c:numCache>
                <c:formatCode>0.00</c:formatCode>
                <c:ptCount val="2"/>
              </c:numCache>
            </c:numRef>
          </c:xVal>
          <c:yVal>
            <c:numRef>
              <c:f>'CCC-car.3'!$AL$46:$AL$47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8F9D-450E-93F0-64D26B4A6D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9948352"/>
        <c:axId val="349948912"/>
      </c:scatterChart>
      <c:valAx>
        <c:axId val="349948352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45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49948912"/>
        <c:crosses val="autoZero"/>
        <c:crossBetween val="midCat"/>
        <c:majorUnit val="1"/>
      </c:valAx>
      <c:valAx>
        <c:axId val="349948912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99483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195"/>
          <c:w val="0.94796977526453763"/>
          <c:h val="0.77738578636805122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0C-4753-8F47-21DE52094260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D0C-4753-8F47-21DE52094260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0C-4753-8F47-21DE52094260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0C-4753-8F47-21DE52094260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0C-4753-8F47-21DE52094260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D0C-4753-8F47-21DE52094260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0C-4753-8F47-21DE52094260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D0C-4753-8F47-21DE52094260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0C-4753-8F47-21DE52094260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D0C-4753-8F47-21DE520942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'CCC-car.3'!$AF$47:$AF$86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66.067525510204092</c:v>
                </c:pt>
                <c:pt idx="5">
                  <c:v>44.357525510204091</c:v>
                </c:pt>
                <c:pt idx="6">
                  <c:v>22.64752551020409</c:v>
                </c:pt>
                <c:pt idx="7">
                  <c:v>0.93752551020409669</c:v>
                </c:pt>
                <c:pt idx="8">
                  <c:v>-20.772474489795911</c:v>
                </c:pt>
                <c:pt idx="9">
                  <c:v>-42.482474489795919</c:v>
                </c:pt>
                <c:pt idx="10">
                  <c:v>-64.192474489795899</c:v>
                </c:pt>
                <c:pt idx="11">
                  <c:v>-85.902474489795907</c:v>
                </c:pt>
                <c:pt idx="12">
                  <c:v>-107.61247448979591</c:v>
                </c:pt>
                <c:pt idx="13">
                  <c:v>88.659999999999982</c:v>
                </c:pt>
                <c:pt idx="14">
                  <c:v>66.49499999999999</c:v>
                </c:pt>
                <c:pt idx="15">
                  <c:v>44.329999999999991</c:v>
                </c:pt>
                <c:pt idx="16">
                  <c:v>22.164999999999992</c:v>
                </c:pt>
                <c:pt idx="17">
                  <c:v>0</c:v>
                </c:pt>
                <c:pt idx="18">
                  <c:v>-22.165000000000006</c:v>
                </c:pt>
                <c:pt idx="19">
                  <c:v>-44.33</c:v>
                </c:pt>
                <c:pt idx="20">
                  <c:v>-66.49499999999999</c:v>
                </c:pt>
                <c:pt idx="21">
                  <c:v>-88.659999999999982</c:v>
                </c:pt>
                <c:pt idx="22">
                  <c:v>107.61247448979591</c:v>
                </c:pt>
                <c:pt idx="23">
                  <c:v>85.902474489795907</c:v>
                </c:pt>
                <c:pt idx="24">
                  <c:v>64.192474489795913</c:v>
                </c:pt>
                <c:pt idx="25">
                  <c:v>42.482474489795919</c:v>
                </c:pt>
                <c:pt idx="26">
                  <c:v>20.772474489795911</c:v>
                </c:pt>
                <c:pt idx="27">
                  <c:v>-0.93752551020409669</c:v>
                </c:pt>
                <c:pt idx="28">
                  <c:v>-22.647525510204076</c:v>
                </c:pt>
                <c:pt idx="29">
                  <c:v>-44.357525510204084</c:v>
                </c:pt>
                <c:pt idx="30">
                  <c:v>-66.067525510204092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D0C-4753-8F47-21DE52094260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'CCC-car.3'!$AD$50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'CCC-car.3'!$AF$50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D0C-4753-8F47-21DE52094260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'CCC-car.3'!$AD$51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'CCC-car.3'!$AF$51</c:f>
              <c:numCache>
                <c:formatCode>0.00</c:formatCode>
                <c:ptCount val="1"/>
                <c:pt idx="0">
                  <c:v>66.067525510204092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D0C-4753-8F47-21DE52094260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'CCC-car.3'!$AD$59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'CCC-car.3'!$AF$59</c:f>
              <c:numCache>
                <c:formatCode>0.00</c:formatCode>
                <c:ptCount val="1"/>
                <c:pt idx="0">
                  <c:v>-107.61247448979591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D0C-4753-8F47-21DE52094260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'CCC-car.3'!$AD$60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'CCC-car.3'!$AF$60</c:f>
              <c:numCache>
                <c:formatCode>0.00</c:formatCode>
                <c:ptCount val="1"/>
                <c:pt idx="0">
                  <c:v>88.659999999999982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D0C-4753-8F47-21DE52094260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'CCC-car.3'!$AD$68</c:f>
              <c:numCache>
                <c:formatCode>0.00</c:formatCode>
                <c:ptCount val="1"/>
                <c:pt idx="0">
                  <c:v>9.5</c:v>
                </c:pt>
              </c:numCache>
            </c:numRef>
          </c:xVal>
          <c:yVal>
            <c:numRef>
              <c:f>'CCC-car.3'!$AF$68</c:f>
              <c:numCache>
                <c:formatCode>0.00</c:formatCode>
                <c:ptCount val="1"/>
                <c:pt idx="0">
                  <c:v>-88.659999999999982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D0C-4753-8F47-21DE52094260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'CCC-car.3'!$AD$69</c:f>
              <c:numCache>
                <c:formatCode>0.00</c:formatCode>
                <c:ptCount val="1"/>
                <c:pt idx="0">
                  <c:v>9.5</c:v>
                </c:pt>
              </c:numCache>
            </c:numRef>
          </c:xVal>
          <c:yVal>
            <c:numRef>
              <c:f>'CCC-car.3'!$AF$69</c:f>
              <c:numCache>
                <c:formatCode>0.00</c:formatCode>
                <c:ptCount val="1"/>
                <c:pt idx="0">
                  <c:v>107.61247448979591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D0C-4753-8F47-21DE52094260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'CCC-car.3'!$AD$77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'CCC-car.3'!$AF$77</c:f>
              <c:numCache>
                <c:formatCode>0.00</c:formatCode>
                <c:ptCount val="1"/>
                <c:pt idx="0">
                  <c:v>-66.067525510204092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D0C-4753-8F47-21DE52094260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D0C-4753-8F47-21DE52094260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'CCC-car.3'!$AD$86</c:f>
              <c:numCache>
                <c:formatCode>0.00</c:formatCode>
                <c:ptCount val="1"/>
              </c:numCache>
            </c:numRef>
          </c:xVal>
          <c:yVal>
            <c:numRef>
              <c:f>'CCC-car.3'!$AF$86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D0C-4753-8F47-21DE52094260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'CCC-car.3'!$AD$78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'CCC-car.3'!$AF$78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D0C-4753-8F47-21DE52094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957312"/>
        <c:axId val="349957872"/>
      </c:scatterChart>
      <c:valAx>
        <c:axId val="349957312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62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49957872"/>
        <c:crosses val="autoZero"/>
        <c:crossBetween val="midCat"/>
        <c:majorUnit val="1"/>
      </c:valAx>
      <c:valAx>
        <c:axId val="34995787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6995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499573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73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63"/>
          <c:w val="0.9074245571085171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9.5</c:v>
                </c:pt>
                <c:pt idx="4">
                  <c:v>13.5</c:v>
                </c:pt>
                <c:pt idx="5">
                  <c:v>13.5</c:v>
                </c:pt>
              </c:numCache>
            </c:numRef>
          </c:xVal>
          <c:yVal>
            <c:numRef>
              <c:f>'CCC-car.3'!$AL$54:$AL$60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E1-4DF2-B258-55EFC8753656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2E1-4DF2-B258-55EFC8753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'CCC-car.3'!$W$36:$W$37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66.067525510204092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E1-4DF2-B258-55EFC8753656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E1-4DF2-B258-55EFC8753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'CCC-car.3'!$Z$36:$Z$37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196.27247448979591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2E1-4DF2-B258-55EFC8753656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2E1-4DF2-B258-55EFC8753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'CCC-car.3'!$AB$36:$AB$37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'CCC-car.3'!$AC$36:$AC$37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196.27247448979591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2E1-4DF2-B258-55EFC8753656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2E1-4DF2-B258-55EFC8753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'CCC-car.3'!$W$40:$W$41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66.067525510204092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2E1-4DF2-B258-55EFC8753656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2E1-4DF2-B258-55EFC8753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'CCC-car.3'!$Y$40:$Y$41</c:f>
              <c:numCache>
                <c:formatCode>0.00</c:formatCode>
                <c:ptCount val="2"/>
              </c:numCache>
            </c:numRef>
          </c:xVal>
          <c:yVal>
            <c:numRef>
              <c:f>'CCC-car.3'!$Z$40:$Z$41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2E1-4DF2-B258-55EFC8753656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'CCC-car.3'!$AH$17:$AH$21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'CCC-car.3'!$AI$17:$AI$21</c:f>
              <c:numCache>
                <c:formatCode>General</c:formatCode>
                <c:ptCount val="5"/>
                <c:pt idx="0">
                  <c:v>106.84</c:v>
                </c:pt>
                <c:pt idx="1">
                  <c:v>106.84</c:v>
                </c:pt>
                <c:pt idx="2">
                  <c:v>106.84</c:v>
                </c:pt>
                <c:pt idx="3">
                  <c:v>106.84</c:v>
                </c:pt>
                <c:pt idx="4">
                  <c:v>106.84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2E1-4DF2-B258-55EFC8753656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'CCC-car.3'!$AH$24:$AH$28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'CCC-car.3'!$AI$24:$AI$28</c:f>
              <c:numCache>
                <c:formatCode>General</c:formatCode>
                <c:ptCount val="5"/>
                <c:pt idx="0">
                  <c:v>106.84</c:v>
                </c:pt>
                <c:pt idx="1">
                  <c:v>106.84</c:v>
                </c:pt>
                <c:pt idx="2">
                  <c:v>150.26</c:v>
                </c:pt>
                <c:pt idx="3">
                  <c:v>150.26</c:v>
                </c:pt>
                <c:pt idx="4">
                  <c:v>106.84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2E1-4DF2-B258-55EFC8753656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'CCC-car.3'!$AH$31:$AH$35</c:f>
              <c:numCache>
                <c:formatCode>0.00</c:formatCode>
                <c:ptCount val="5"/>
                <c:pt idx="0">
                  <c:v>4</c:v>
                </c:pt>
                <c:pt idx="1">
                  <c:v>9.5</c:v>
                </c:pt>
                <c:pt idx="2">
                  <c:v>9.5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'CCC-car.3'!$AI$31:$AI$35</c:f>
              <c:numCache>
                <c:formatCode>General</c:formatCode>
                <c:ptCount val="5"/>
                <c:pt idx="0">
                  <c:v>106.84</c:v>
                </c:pt>
                <c:pt idx="1">
                  <c:v>106.84</c:v>
                </c:pt>
                <c:pt idx="2">
                  <c:v>139.07999999999998</c:v>
                </c:pt>
                <c:pt idx="3">
                  <c:v>139.07999999999998</c:v>
                </c:pt>
                <c:pt idx="4">
                  <c:v>106.84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2E1-4DF2-B258-55EFC8753656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'CCC-car.3'!$AH$38:$AH$42</c:f>
              <c:numCache>
                <c:formatCode>0.00</c:formatCode>
                <c:ptCount val="5"/>
                <c:pt idx="0">
                  <c:v>9.5</c:v>
                </c:pt>
                <c:pt idx="1">
                  <c:v>13.5</c:v>
                </c:pt>
                <c:pt idx="2">
                  <c:v>13.5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'CCC-car.3'!$AI$38:$AI$42</c:f>
              <c:numCache>
                <c:formatCode>General</c:formatCode>
                <c:ptCount val="5"/>
                <c:pt idx="0">
                  <c:v>106.84</c:v>
                </c:pt>
                <c:pt idx="1">
                  <c:v>106.84</c:v>
                </c:pt>
                <c:pt idx="2">
                  <c:v>150.26</c:v>
                </c:pt>
                <c:pt idx="3">
                  <c:v>150.26</c:v>
                </c:pt>
                <c:pt idx="4">
                  <c:v>106.84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2E1-4DF2-B258-55EFC8753656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2E1-4DF2-B258-55EFC8753656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'CCC-car.3'!$AH$45:$AH$49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'CCC-car.3'!$AI$45:$AI$49</c:f>
              <c:numCache>
                <c:formatCode>General</c:formatCode>
                <c:ptCount val="5"/>
                <c:pt idx="0">
                  <c:v>106.84</c:v>
                </c:pt>
                <c:pt idx="1">
                  <c:v>106.84</c:v>
                </c:pt>
                <c:pt idx="2">
                  <c:v>106.84</c:v>
                </c:pt>
                <c:pt idx="3">
                  <c:v>106.84</c:v>
                </c:pt>
                <c:pt idx="4">
                  <c:v>106.84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2E1-4DF2-B258-55EFC8753656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'CCC-car.3'!$V$37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'CCC-car.3'!$W$37</c:f>
              <c:numCache>
                <c:formatCode>0.00</c:formatCode>
                <c:ptCount val="1"/>
                <c:pt idx="0">
                  <c:v>66.067525510204092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2E1-4DF2-B258-55EFC8753656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'CCC-car.3'!$Y$37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'CCC-car.3'!$Z$37</c:f>
              <c:numCache>
                <c:formatCode>0.00</c:formatCode>
                <c:ptCount val="1"/>
                <c:pt idx="0">
                  <c:v>196.27247448979591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2E1-4DF2-B258-55EFC8753656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'CCC-car.3'!$AB$37</c:f>
              <c:numCache>
                <c:formatCode>0.00</c:formatCode>
                <c:ptCount val="1"/>
                <c:pt idx="0">
                  <c:v>9.5</c:v>
                </c:pt>
              </c:numCache>
            </c:numRef>
          </c:xVal>
          <c:yVal>
            <c:numRef>
              <c:f>'CCC-car.3'!$AC$37</c:f>
              <c:numCache>
                <c:formatCode>0.00</c:formatCode>
                <c:ptCount val="1"/>
                <c:pt idx="0">
                  <c:v>196.27247448979591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2E1-4DF2-B258-55EFC8753656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'CCC-car.3'!$V$41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'CCC-car.3'!$W$41</c:f>
              <c:numCache>
                <c:formatCode>0.00</c:formatCode>
                <c:ptCount val="1"/>
                <c:pt idx="0">
                  <c:v>66.067525510204092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2E1-4DF2-B258-55EFC8753656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'CCC-car.3'!$Y$41</c:f>
              <c:numCache>
                <c:formatCode>0.00</c:formatCode>
                <c:ptCount val="1"/>
              </c:numCache>
            </c:numRef>
          </c:xVal>
          <c:yVal>
            <c:numRef>
              <c:f>'CCC-car.3'!$Z$41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2E1-4DF2-B258-55EFC8753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303648"/>
        <c:axId val="352304208"/>
      </c:scatterChart>
      <c:valAx>
        <c:axId val="35230364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154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2304208"/>
        <c:crosses val="autoZero"/>
        <c:crossBetween val="midCat"/>
        <c:majorUnit val="1"/>
      </c:valAx>
      <c:valAx>
        <c:axId val="3523042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23036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288" l="0.70000000000000062" r="0.70000000000000062" t="0.75000000000001288" header="0.30000000000000032" footer="0.30000000000000032"/>
    <c:pageSetup orientation="portrait"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122E-2"/>
          <c:y val="9.9061975819114148E-2"/>
          <c:w val="0.94847987950390911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'CCC-car.4'!$AD$47:$AD$81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'CCC-car.4'!$AE$47:$AE$81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16.7356959797808</c:v>
                </c:pt>
                <c:pt idx="6">
                  <c:v>25.411391959561605</c:v>
                </c:pt>
                <c:pt idx="7">
                  <c:v>26.027087939342408</c:v>
                </c:pt>
                <c:pt idx="8">
                  <c:v>18.582783919123216</c:v>
                </c:pt>
                <c:pt idx="9">
                  <c:v>3.0784798989040212</c:v>
                </c:pt>
                <c:pt idx="10">
                  <c:v>-20.485824121315176</c:v>
                </c:pt>
                <c:pt idx="11">
                  <c:v>-52.110128141534346</c:v>
                </c:pt>
                <c:pt idx="12">
                  <c:v>-91.794432161753548</c:v>
                </c:pt>
                <c:pt idx="13">
                  <c:v>-91.794432161753576</c:v>
                </c:pt>
                <c:pt idx="14">
                  <c:v>-21.621158145549884</c:v>
                </c:pt>
                <c:pt idx="15">
                  <c:v>28.029381495653809</c:v>
                </c:pt>
                <c:pt idx="16">
                  <c:v>57.157186761857503</c:v>
                </c:pt>
                <c:pt idx="17">
                  <c:v>65.76225765306117</c:v>
                </c:pt>
                <c:pt idx="18">
                  <c:v>53.844594169264894</c:v>
                </c:pt>
                <c:pt idx="19">
                  <c:v>21.404196310468592</c:v>
                </c:pt>
                <c:pt idx="20">
                  <c:v>-31.558935923327795</c:v>
                </c:pt>
                <c:pt idx="21">
                  <c:v>-105.04480253212409</c:v>
                </c:pt>
                <c:pt idx="22">
                  <c:v>-105.04480253212395</c:v>
                </c:pt>
                <c:pt idx="23">
                  <c:v>-53.921702215608448</c:v>
                </c:pt>
                <c:pt idx="24">
                  <c:v>-13.653601899092962</c:v>
                </c:pt>
                <c:pt idx="25">
                  <c:v>15.759498417422549</c:v>
                </c:pt>
                <c:pt idx="26">
                  <c:v>34.317598733938041</c:v>
                </c:pt>
                <c:pt idx="27">
                  <c:v>42.020699050453544</c:v>
                </c:pt>
                <c:pt idx="28">
                  <c:v>38.868799366969029</c:v>
                </c:pt>
                <c:pt idx="29">
                  <c:v>24.861899683484523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B0-4D94-9D4D-A88947EC21A9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B0-4D94-9D4D-A88947EC21A9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'CCC-car.4'!$AL$19:$AL$20</c:f>
              <c:numCache>
                <c:formatCode>0.00</c:formatCode>
                <c:ptCount val="2"/>
                <c:pt idx="0">
                  <c:v>0</c:v>
                </c:pt>
                <c:pt idx="1">
                  <c:v>-91.794432161753548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4B0-4D94-9D4D-A88947EC21A9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'CCC-car.4'!$AK$21:$AK$22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'CCC-car.4'!$AL$21:$AL$22</c:f>
              <c:numCache>
                <c:formatCode>0.00</c:formatCode>
                <c:ptCount val="2"/>
                <c:pt idx="0">
                  <c:v>0</c:v>
                </c:pt>
                <c:pt idx="1">
                  <c:v>-105.04480253212409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4B0-4D94-9D4D-A88947EC21A9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'CCC-car.4'!$AL$23:$AL$24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4B0-4D94-9D4D-A88947EC21A9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D4B0-4D94-9D4D-A88947EC21A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'CCC-car.4'!$AK$25:$AK$26</c:f>
              <c:numCache>
                <c:formatCode>0.00</c:formatCode>
                <c:ptCount val="2"/>
              </c:numCache>
            </c:numRef>
          </c:xVal>
          <c:yVal>
            <c:numRef>
              <c:f>'CCC-car.4'!$AL$25:$AL$26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4B0-4D94-9D4D-A88947EC21A9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'CCC-car.4'!$AK$40:$AK$41</c:f>
              <c:numCache>
                <c:formatCode>0.00</c:formatCode>
                <c:ptCount val="2"/>
                <c:pt idx="0">
                  <c:v>1.2881945396886356</c:v>
                </c:pt>
                <c:pt idx="1">
                  <c:v>1.2881945396886356</c:v>
                </c:pt>
              </c:numCache>
            </c:numRef>
          </c:xVal>
          <c:yVal>
            <c:numRef>
              <c:f>'CCC-car.4'!$AL$40:$AL$41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26.750256173987882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4B0-4D94-9D4D-A88947EC21A9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'CCC-car.4'!$AK$42:$AK$43</c:f>
              <c:numCache>
                <c:formatCode>0.00</c:formatCode>
                <c:ptCount val="2"/>
                <c:pt idx="0">
                  <c:v>6.6945150103832738</c:v>
                </c:pt>
                <c:pt idx="1">
                  <c:v>6.6945150103832738</c:v>
                </c:pt>
              </c:numCache>
            </c:numRef>
          </c:xVal>
          <c:yVal>
            <c:numRef>
              <c:f>'CCC-car.4'!$AL$42:$AL$43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65.829093713281054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4B0-4D94-9D4D-A88947EC21A9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'CCC-car.4'!$AK$44:$AK$45</c:f>
              <c:numCache>
                <c:formatCode>0.00</c:formatCode>
                <c:ptCount val="2"/>
                <c:pt idx="0">
                  <c:v>12.104818070774551</c:v>
                </c:pt>
                <c:pt idx="1">
                  <c:v>12.104818070774551</c:v>
                </c:pt>
              </c:numCache>
            </c:numRef>
          </c:xVal>
          <c:yVal>
            <c:numRef>
              <c:f>'CCC-car.4'!$AL$44:$AL$45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42.259223085484479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4B0-4D94-9D4D-A88947EC21A9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4B0-4D94-9D4D-A88947EC21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'CCC-car.4'!$AK$46:$AK$47</c:f>
              <c:numCache>
                <c:formatCode>0.00</c:formatCode>
                <c:ptCount val="2"/>
              </c:numCache>
            </c:numRef>
          </c:xVal>
          <c:yVal>
            <c:numRef>
              <c:f>'CCC-car.4'!$AL$46:$AL$47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D4B0-4D94-9D4D-A88947EC21A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52312048"/>
        <c:axId val="352312608"/>
      </c:scatterChart>
      <c:valAx>
        <c:axId val="35231204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48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52312608"/>
        <c:crosses val="autoZero"/>
        <c:crossBetween val="midCat"/>
        <c:majorUnit val="1"/>
      </c:valAx>
      <c:valAx>
        <c:axId val="35231260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23120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01"/>
          <c:w val="0.94796977526453763"/>
          <c:h val="0.77738578636805145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19-43D3-B7D1-510901135BCC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619-43D3-B7D1-510901135BCC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19-43D3-B7D1-510901135BCC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19-43D3-B7D1-510901135BCC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19-43D3-B7D1-510901135BCC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19-43D3-B7D1-510901135BCC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19-43D3-B7D1-510901135BCC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19-43D3-B7D1-510901135BCC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19-43D3-B7D1-510901135BCC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619-43D3-B7D1-510901135B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'CCC-car.4'!$AF$47:$AF$86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41.531391959561603</c:v>
                </c:pt>
                <c:pt idx="5">
                  <c:v>25.411391959561605</c:v>
                </c:pt>
                <c:pt idx="6">
                  <c:v>9.2913919595616079</c:v>
                </c:pt>
                <c:pt idx="7">
                  <c:v>-6.8286080404383895</c:v>
                </c:pt>
                <c:pt idx="8">
                  <c:v>-22.948608040438387</c:v>
                </c:pt>
                <c:pt idx="9">
                  <c:v>-39.068608040438392</c:v>
                </c:pt>
                <c:pt idx="10">
                  <c:v>-55.188608040438382</c:v>
                </c:pt>
                <c:pt idx="11">
                  <c:v>-71.308608040438372</c:v>
                </c:pt>
                <c:pt idx="12">
                  <c:v>-87.428608040438377</c:v>
                </c:pt>
                <c:pt idx="13">
                  <c:v>116.99584175084173</c:v>
                </c:pt>
                <c:pt idx="14">
                  <c:v>87.144591750841727</c:v>
                </c:pt>
                <c:pt idx="15">
                  <c:v>57.293341750841734</c:v>
                </c:pt>
                <c:pt idx="16">
                  <c:v>27.442091750841726</c:v>
                </c:pt>
                <c:pt idx="17">
                  <c:v>-2.409158249158267</c:v>
                </c:pt>
                <c:pt idx="18">
                  <c:v>-32.26040824915826</c:v>
                </c:pt>
                <c:pt idx="19">
                  <c:v>-62.111658249158282</c:v>
                </c:pt>
                <c:pt idx="20">
                  <c:v>-91.962908249158275</c:v>
                </c:pt>
                <c:pt idx="21">
                  <c:v>-121.81415824915827</c:v>
                </c:pt>
                <c:pt idx="22">
                  <c:v>113.101200633031</c:v>
                </c:pt>
                <c:pt idx="23">
                  <c:v>91.391200633030991</c:v>
                </c:pt>
                <c:pt idx="24">
                  <c:v>69.681200633030997</c:v>
                </c:pt>
                <c:pt idx="25">
                  <c:v>47.971200633031003</c:v>
                </c:pt>
                <c:pt idx="26">
                  <c:v>26.261200633030995</c:v>
                </c:pt>
                <c:pt idx="27">
                  <c:v>4.5512006330309873</c:v>
                </c:pt>
                <c:pt idx="28">
                  <c:v>-17.158799366968992</c:v>
                </c:pt>
                <c:pt idx="29">
                  <c:v>-38.868799366969</c:v>
                </c:pt>
                <c:pt idx="30">
                  <c:v>-60.578799366969008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619-43D3-B7D1-510901135BCC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'CCC-car.4'!$AD$50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'CCC-car.4'!$AF$50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619-43D3-B7D1-510901135BCC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'CCC-car.4'!$AD$51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'CCC-car.4'!$AF$51</c:f>
              <c:numCache>
                <c:formatCode>0.00</c:formatCode>
                <c:ptCount val="1"/>
                <c:pt idx="0">
                  <c:v>41.531391959561603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619-43D3-B7D1-510901135BCC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'CCC-car.4'!$AD$59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'CCC-car.4'!$AF$59</c:f>
              <c:numCache>
                <c:formatCode>0.00</c:formatCode>
                <c:ptCount val="1"/>
                <c:pt idx="0">
                  <c:v>-87.428608040438377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619-43D3-B7D1-510901135BCC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'CCC-car.4'!$AD$60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'CCC-car.4'!$AF$60</c:f>
              <c:numCache>
                <c:formatCode>0.00</c:formatCode>
                <c:ptCount val="1"/>
                <c:pt idx="0">
                  <c:v>116.99584175084173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619-43D3-B7D1-510901135BCC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'CCC-car.4'!$AD$68</c:f>
              <c:numCache>
                <c:formatCode>0.00</c:formatCode>
                <c:ptCount val="1"/>
                <c:pt idx="0">
                  <c:v>9.5</c:v>
                </c:pt>
              </c:numCache>
            </c:numRef>
          </c:xVal>
          <c:yVal>
            <c:numRef>
              <c:f>'CCC-car.4'!$AF$68</c:f>
              <c:numCache>
                <c:formatCode>0.00</c:formatCode>
                <c:ptCount val="1"/>
                <c:pt idx="0">
                  <c:v>-121.81415824915827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619-43D3-B7D1-510901135BCC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'CCC-car.4'!$AD$69</c:f>
              <c:numCache>
                <c:formatCode>0.00</c:formatCode>
                <c:ptCount val="1"/>
                <c:pt idx="0">
                  <c:v>9.5</c:v>
                </c:pt>
              </c:numCache>
            </c:numRef>
          </c:xVal>
          <c:yVal>
            <c:numRef>
              <c:f>'CCC-car.4'!$AF$69</c:f>
              <c:numCache>
                <c:formatCode>0.00</c:formatCode>
                <c:ptCount val="1"/>
                <c:pt idx="0">
                  <c:v>113.101200633031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619-43D3-B7D1-510901135BCC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'CCC-car.4'!$AD$77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'CCC-car.4'!$AF$77</c:f>
              <c:numCache>
                <c:formatCode>0.00</c:formatCode>
                <c:ptCount val="1"/>
                <c:pt idx="0">
                  <c:v>-60.578799366969008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619-43D3-B7D1-510901135BCC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619-43D3-B7D1-510901135BCC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'CCC-car.4'!$AD$86</c:f>
              <c:numCache>
                <c:formatCode>0.00</c:formatCode>
                <c:ptCount val="1"/>
              </c:numCache>
            </c:numRef>
          </c:xVal>
          <c:yVal>
            <c:numRef>
              <c:f>'CCC-car.4'!$AF$86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619-43D3-B7D1-510901135BCC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'CCC-car.4'!$AD$78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'CCC-car.4'!$AF$78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619-43D3-B7D1-510901135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321008"/>
        <c:axId val="352321568"/>
      </c:scatterChart>
      <c:valAx>
        <c:axId val="35232100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66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52321568"/>
        <c:crosses val="autoZero"/>
        <c:crossBetween val="midCat"/>
        <c:majorUnit val="1"/>
      </c:valAx>
      <c:valAx>
        <c:axId val="35232156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03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23210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689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58"/>
          <c:w val="0.90742455710851733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9.5</c:v>
                </c:pt>
                <c:pt idx="4">
                  <c:v>13.5</c:v>
                </c:pt>
                <c:pt idx="5">
                  <c:v>13.5</c:v>
                </c:pt>
              </c:numCache>
            </c:numRef>
          </c:xVal>
          <c:yVal>
            <c:numRef>
              <c:f>'CCC-car.4'!$AL$54:$AL$60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2A-4A0E-A337-32C725F8CFEE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F2A-4A0E-A337-32C725F8CF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'CCC-car.4'!$W$36:$W$37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41.531391959561603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2A-4A0E-A337-32C725F8CFEE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F2A-4A0E-A337-32C725F8CF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'CCC-car.4'!$Z$36:$Z$37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204.4244497912801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F2A-4A0E-A337-32C725F8CFEE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F2A-4A0E-A337-32C725F8CF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'CCC-car.4'!$AB$36:$AB$37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'CCC-car.4'!$AC$36:$AC$37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234.91535888218925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F2A-4A0E-A337-32C725F8CFEE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F2A-4A0E-A337-32C725F8CF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'CCC-car.4'!$W$40:$W$41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60.578799366969015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F2A-4A0E-A337-32C725F8CFEE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F2A-4A0E-A337-32C725F8CF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'CCC-car.4'!$Y$40:$Y$41</c:f>
              <c:numCache>
                <c:formatCode>0.00</c:formatCode>
                <c:ptCount val="2"/>
              </c:numCache>
            </c:numRef>
          </c:xVal>
          <c:yVal>
            <c:numRef>
              <c:f>'CCC-car.4'!$Z$40:$Z$41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F2A-4A0E-A337-32C725F8CFEE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'CCC-car.4'!$AH$17:$AH$21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'CCC-car.4'!$AI$17:$AI$21</c:f>
              <c:numCache>
                <c:formatCode>General</c:formatCode>
                <c:ptCount val="5"/>
                <c:pt idx="0">
                  <c:v>155.26</c:v>
                </c:pt>
                <c:pt idx="1">
                  <c:v>155.26</c:v>
                </c:pt>
                <c:pt idx="2">
                  <c:v>155.26</c:v>
                </c:pt>
                <c:pt idx="3">
                  <c:v>155.26</c:v>
                </c:pt>
                <c:pt idx="4">
                  <c:v>155.26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F2A-4A0E-A337-32C725F8CFEE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'CCC-car.4'!$AH$24:$AH$28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'CCC-car.4'!$AI$24:$AI$28</c:f>
              <c:numCache>
                <c:formatCode>General</c:formatCode>
                <c:ptCount val="5"/>
                <c:pt idx="0">
                  <c:v>155.26</c:v>
                </c:pt>
                <c:pt idx="1">
                  <c:v>155.26</c:v>
                </c:pt>
                <c:pt idx="2">
                  <c:v>187.5</c:v>
                </c:pt>
                <c:pt idx="3">
                  <c:v>187.5</c:v>
                </c:pt>
                <c:pt idx="4">
                  <c:v>155.26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F2A-4A0E-A337-32C725F8CFEE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'CCC-car.4'!$AH$31:$AH$35</c:f>
              <c:numCache>
                <c:formatCode>0.00</c:formatCode>
                <c:ptCount val="5"/>
                <c:pt idx="0">
                  <c:v>4</c:v>
                </c:pt>
                <c:pt idx="1">
                  <c:v>9.5</c:v>
                </c:pt>
                <c:pt idx="2">
                  <c:v>9.5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'CCC-car.4'!$AI$31:$AI$35</c:f>
              <c:numCache>
                <c:formatCode>General</c:formatCode>
                <c:ptCount val="5"/>
                <c:pt idx="0">
                  <c:v>155.26</c:v>
                </c:pt>
                <c:pt idx="1">
                  <c:v>155.26</c:v>
                </c:pt>
                <c:pt idx="2">
                  <c:v>198.68</c:v>
                </c:pt>
                <c:pt idx="3">
                  <c:v>198.68</c:v>
                </c:pt>
                <c:pt idx="4">
                  <c:v>155.26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F2A-4A0E-A337-32C725F8CFEE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'CCC-car.4'!$AH$38:$AH$42</c:f>
              <c:numCache>
                <c:formatCode>0.00</c:formatCode>
                <c:ptCount val="5"/>
                <c:pt idx="0">
                  <c:v>9.5</c:v>
                </c:pt>
                <c:pt idx="1">
                  <c:v>13.5</c:v>
                </c:pt>
                <c:pt idx="2">
                  <c:v>13.5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'CCC-car.4'!$AI$38:$AI$42</c:f>
              <c:numCache>
                <c:formatCode>General</c:formatCode>
                <c:ptCount val="5"/>
                <c:pt idx="0">
                  <c:v>155.26</c:v>
                </c:pt>
                <c:pt idx="1">
                  <c:v>155.26</c:v>
                </c:pt>
                <c:pt idx="2">
                  <c:v>198.68</c:v>
                </c:pt>
                <c:pt idx="3">
                  <c:v>198.68</c:v>
                </c:pt>
                <c:pt idx="4">
                  <c:v>155.26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F2A-4A0E-A337-32C725F8CFEE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F2A-4A0E-A337-32C725F8CFEE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'CCC-car.4'!$AH$45:$AH$49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'CCC-car.4'!$AI$45:$AI$49</c:f>
              <c:numCache>
                <c:formatCode>General</c:formatCode>
                <c:ptCount val="5"/>
                <c:pt idx="0">
                  <c:v>155.26</c:v>
                </c:pt>
                <c:pt idx="1">
                  <c:v>155.26</c:v>
                </c:pt>
                <c:pt idx="2">
                  <c:v>155.26</c:v>
                </c:pt>
                <c:pt idx="3">
                  <c:v>155.26</c:v>
                </c:pt>
                <c:pt idx="4">
                  <c:v>155.26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F2A-4A0E-A337-32C725F8CFEE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'CCC-car.4'!$V$37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'CCC-car.4'!$W$37</c:f>
              <c:numCache>
                <c:formatCode>0.00</c:formatCode>
                <c:ptCount val="1"/>
                <c:pt idx="0">
                  <c:v>41.531391959561603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F2A-4A0E-A337-32C725F8CFEE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'CCC-car.4'!$Y$37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'CCC-car.4'!$Z$37</c:f>
              <c:numCache>
                <c:formatCode>0.00</c:formatCode>
                <c:ptCount val="1"/>
                <c:pt idx="0">
                  <c:v>204.4244497912801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F2A-4A0E-A337-32C725F8CFEE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'CCC-car.4'!$AB$37</c:f>
              <c:numCache>
                <c:formatCode>0.00</c:formatCode>
                <c:ptCount val="1"/>
                <c:pt idx="0">
                  <c:v>9.5</c:v>
                </c:pt>
              </c:numCache>
            </c:numRef>
          </c:xVal>
          <c:yVal>
            <c:numRef>
              <c:f>'CCC-car.4'!$AC$37</c:f>
              <c:numCache>
                <c:formatCode>0.00</c:formatCode>
                <c:ptCount val="1"/>
                <c:pt idx="0">
                  <c:v>234.91535888218925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F2A-4A0E-A337-32C725F8CFEE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'CCC-car.4'!$V$41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'CCC-car.4'!$W$41</c:f>
              <c:numCache>
                <c:formatCode>0.00</c:formatCode>
                <c:ptCount val="1"/>
                <c:pt idx="0">
                  <c:v>60.578799366969015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F2A-4A0E-A337-32C725F8CFEE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'CCC-car.4'!$Y$41</c:f>
              <c:numCache>
                <c:formatCode>0.00</c:formatCode>
                <c:ptCount val="1"/>
              </c:numCache>
            </c:numRef>
          </c:xVal>
          <c:yVal>
            <c:numRef>
              <c:f>'CCC-car.4'!$Z$41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F2A-4A0E-A337-32C725F8C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333328"/>
        <c:axId val="352333888"/>
      </c:scatterChart>
      <c:valAx>
        <c:axId val="35233332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177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2333888"/>
        <c:crosses val="autoZero"/>
        <c:crossBetween val="midCat"/>
        <c:majorUnit val="1"/>
      </c:valAx>
      <c:valAx>
        <c:axId val="3523338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23333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1" l="0.70000000000000062" r="0.70000000000000062" t="0.7500000000000131" header="0.30000000000000032" footer="0.30000000000000032"/>
    <c:pageSetup orientation="portrait"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147E-2"/>
          <c:y val="9.9061975819114148E-2"/>
          <c:w val="0.94847987950390933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'CCC-car.5'!$AD$47:$AD$81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'CCC-car.5'!$AE$47:$AE$81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24.861899683484502</c:v>
                </c:pt>
                <c:pt idx="6">
                  <c:v>38.868799366969007</c:v>
                </c:pt>
                <c:pt idx="7">
                  <c:v>42.020699050453509</c:v>
                </c:pt>
                <c:pt idx="8">
                  <c:v>34.317598733938013</c:v>
                </c:pt>
                <c:pt idx="9">
                  <c:v>15.75949841742252</c:v>
                </c:pt>
                <c:pt idx="10">
                  <c:v>-13.65360189909299</c:v>
                </c:pt>
                <c:pt idx="11">
                  <c:v>-53.921702215608462</c:v>
                </c:pt>
                <c:pt idx="12">
                  <c:v>-105.04480253212398</c:v>
                </c:pt>
                <c:pt idx="13">
                  <c:v>-105.04480253212395</c:v>
                </c:pt>
                <c:pt idx="14">
                  <c:v>-31.558935923327653</c:v>
                </c:pt>
                <c:pt idx="15">
                  <c:v>21.404196310468649</c:v>
                </c:pt>
                <c:pt idx="16">
                  <c:v>53.844594169264923</c:v>
                </c:pt>
                <c:pt idx="17">
                  <c:v>65.762257653061226</c:v>
                </c:pt>
                <c:pt idx="18">
                  <c:v>57.157186761857531</c:v>
                </c:pt>
                <c:pt idx="19">
                  <c:v>28.029381495653752</c:v>
                </c:pt>
                <c:pt idx="20">
                  <c:v>-21.621158145549884</c:v>
                </c:pt>
                <c:pt idx="21">
                  <c:v>-91.794432161753662</c:v>
                </c:pt>
                <c:pt idx="22">
                  <c:v>-91.794432161753576</c:v>
                </c:pt>
                <c:pt idx="23">
                  <c:v>-52.110128141534389</c:v>
                </c:pt>
                <c:pt idx="24">
                  <c:v>-20.485824121315204</c:v>
                </c:pt>
                <c:pt idx="25">
                  <c:v>3.0784798989039928</c:v>
                </c:pt>
                <c:pt idx="26">
                  <c:v>18.582783919123187</c:v>
                </c:pt>
                <c:pt idx="27">
                  <c:v>26.02708793934238</c:v>
                </c:pt>
                <c:pt idx="28">
                  <c:v>25.411391959561598</c:v>
                </c:pt>
                <c:pt idx="29">
                  <c:v>16.735695979780758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8F-4515-8A31-B3C474D90677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8F-4515-8A31-B3C474D90677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'CCC-car.5'!$AK$19:$AK$20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'CCC-car.5'!$AL$19:$AL$20</c:f>
              <c:numCache>
                <c:formatCode>0.00</c:formatCode>
                <c:ptCount val="2"/>
                <c:pt idx="0">
                  <c:v>0</c:v>
                </c:pt>
                <c:pt idx="1">
                  <c:v>-105.04480253212398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38F-4515-8A31-B3C474D90677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'CCC-car.5'!$AK$21:$AK$22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'CCC-car.5'!$AL$21:$AL$22</c:f>
              <c:numCache>
                <c:formatCode>0.00</c:formatCode>
                <c:ptCount val="2"/>
                <c:pt idx="0">
                  <c:v>0</c:v>
                </c:pt>
                <c:pt idx="1">
                  <c:v>-91.794432161753662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38F-4515-8A31-B3C474D90677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'CCC-car.5'!$AK$23:$AK$24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'CCC-car.5'!$AL$23:$AL$24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38F-4515-8A31-B3C474D90677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C38F-4515-8A31-B3C474D90677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'CCC-car.5'!$AK$25:$AK$26</c:f>
              <c:numCache>
                <c:formatCode>0.00</c:formatCode>
                <c:ptCount val="2"/>
              </c:numCache>
            </c:numRef>
          </c:xVal>
          <c:yVal>
            <c:numRef>
              <c:f>'CCC-car.5'!$AL$25:$AL$26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38F-4515-8A31-B3C474D90677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'CCC-car.5'!$AK$40:$AK$41</c:f>
              <c:numCache>
                <c:formatCode>0.00</c:formatCode>
                <c:ptCount val="2"/>
                <c:pt idx="0">
                  <c:v>1.3951819292254493</c:v>
                </c:pt>
                <c:pt idx="1">
                  <c:v>1.3951819292254493</c:v>
                </c:pt>
              </c:numCache>
            </c:numRef>
          </c:xVal>
          <c:yVal>
            <c:numRef>
              <c:f>'CCC-car.5'!$AL$40:$AL$41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42.259223085484621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38F-4515-8A31-B3C474D90677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'CCC-car.5'!$AK$42:$AK$43</c:f>
              <c:numCache>
                <c:formatCode>0.00</c:formatCode>
                <c:ptCount val="2"/>
                <c:pt idx="0">
                  <c:v>6.8054849896167262</c:v>
                </c:pt>
                <c:pt idx="1">
                  <c:v>6.8054849896167262</c:v>
                </c:pt>
              </c:numCache>
            </c:numRef>
          </c:xVal>
          <c:yVal>
            <c:numRef>
              <c:f>'CCC-car.5'!$AL$42:$AL$43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65.829093713281026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38F-4515-8A31-B3C474D90677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'CCC-car.5'!$AK$44:$AK$45</c:f>
              <c:numCache>
                <c:formatCode>0.00</c:formatCode>
                <c:ptCount val="2"/>
                <c:pt idx="0">
                  <c:v>12.211805460311364</c:v>
                </c:pt>
                <c:pt idx="1">
                  <c:v>12.211805460311364</c:v>
                </c:pt>
              </c:numCache>
            </c:numRef>
          </c:xVal>
          <c:yVal>
            <c:numRef>
              <c:f>'CCC-car.5'!$AL$44:$AL$45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26.750256173987751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38F-4515-8A31-B3C474D90677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38F-4515-8A31-B3C474D906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'CCC-car.5'!$AK$46:$AK$47</c:f>
              <c:numCache>
                <c:formatCode>0.00</c:formatCode>
                <c:ptCount val="2"/>
              </c:numCache>
            </c:numRef>
          </c:xVal>
          <c:yVal>
            <c:numRef>
              <c:f>'CCC-car.5'!$AL$46:$AL$47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38F-4515-8A31-B3C474D9067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52341728"/>
        <c:axId val="352342288"/>
      </c:scatterChart>
      <c:valAx>
        <c:axId val="352341728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1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52342288"/>
        <c:crosses val="autoZero"/>
        <c:crossBetween val="midCat"/>
        <c:majorUnit val="1"/>
      </c:valAx>
      <c:valAx>
        <c:axId val="352342288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23417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06"/>
          <c:w val="0.94796977526453763"/>
          <c:h val="0.77738578636805178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64-424D-BD21-3EFF94A2D62B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A64-424D-BD21-3EFF94A2D62B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64-424D-BD21-3EFF94A2D62B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64-424D-BD21-3EFF94A2D62B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64-424D-BD21-3EFF94A2D62B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A64-424D-BD21-3EFF94A2D62B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64-424D-BD21-3EFF94A2D62B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64-424D-BD21-3EFF94A2D62B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64-424D-BD21-3EFF94A2D62B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A64-424D-BD21-3EFF94A2D6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  <c:pt idx="9">
                  <c:v>2.5</c:v>
                </c:pt>
                <c:pt idx="10">
                  <c:v>3</c:v>
                </c:pt>
                <c:pt idx="11">
                  <c:v>3.5</c:v>
                </c:pt>
                <c:pt idx="12">
                  <c:v>4</c:v>
                </c:pt>
                <c:pt idx="13">
                  <c:v>4</c:v>
                </c:pt>
                <c:pt idx="14">
                  <c:v>4.6875</c:v>
                </c:pt>
                <c:pt idx="15">
                  <c:v>5.375</c:v>
                </c:pt>
                <c:pt idx="16">
                  <c:v>6.0625</c:v>
                </c:pt>
                <c:pt idx="17">
                  <c:v>6.75</c:v>
                </c:pt>
                <c:pt idx="18">
                  <c:v>7.4375</c:v>
                </c:pt>
                <c:pt idx="19">
                  <c:v>8.125</c:v>
                </c:pt>
                <c:pt idx="20">
                  <c:v>8.8125</c:v>
                </c:pt>
                <c:pt idx="21">
                  <c:v>9.5</c:v>
                </c:pt>
                <c:pt idx="22">
                  <c:v>9.5</c:v>
                </c:pt>
                <c:pt idx="23">
                  <c:v>10</c:v>
                </c:pt>
                <c:pt idx="24">
                  <c:v>10.5</c:v>
                </c:pt>
                <c:pt idx="25">
                  <c:v>11</c:v>
                </c:pt>
                <c:pt idx="26">
                  <c:v>11.5</c:v>
                </c:pt>
                <c:pt idx="27">
                  <c:v>12</c:v>
                </c:pt>
                <c:pt idx="28">
                  <c:v>12.5</c:v>
                </c:pt>
                <c:pt idx="29">
                  <c:v>13</c:v>
                </c:pt>
                <c:pt idx="30">
                  <c:v>13.5</c:v>
                </c:pt>
                <c:pt idx="31">
                  <c:v>13.5</c:v>
                </c:pt>
                <c:pt idx="32">
                  <c:v>13.5</c:v>
                </c:pt>
                <c:pt idx="33">
                  <c:v>13.5</c:v>
                </c:pt>
                <c:pt idx="34">
                  <c:v>13.5</c:v>
                </c:pt>
              </c:numCache>
            </c:numRef>
          </c:xVal>
          <c:yVal>
            <c:numRef>
              <c:f>'CCC-car.5'!$AF$47:$AF$86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60.578799366969008</c:v>
                </c:pt>
                <c:pt idx="5">
                  <c:v>38.868799366969007</c:v>
                </c:pt>
                <c:pt idx="6">
                  <c:v>17.158799366969006</c:v>
                </c:pt>
                <c:pt idx="7">
                  <c:v>-4.5512006330309873</c:v>
                </c:pt>
                <c:pt idx="8">
                  <c:v>-26.261200633030995</c:v>
                </c:pt>
                <c:pt idx="9">
                  <c:v>-47.971200633031003</c:v>
                </c:pt>
                <c:pt idx="10">
                  <c:v>-69.681200633030983</c:v>
                </c:pt>
                <c:pt idx="11">
                  <c:v>-91.391200633030991</c:v>
                </c:pt>
                <c:pt idx="12">
                  <c:v>-113.101200633031</c:v>
                </c:pt>
                <c:pt idx="13">
                  <c:v>121.81415824915825</c:v>
                </c:pt>
                <c:pt idx="14">
                  <c:v>91.962908249158261</c:v>
                </c:pt>
                <c:pt idx="15">
                  <c:v>62.111658249158253</c:v>
                </c:pt>
                <c:pt idx="16">
                  <c:v>32.260408249158246</c:v>
                </c:pt>
                <c:pt idx="17">
                  <c:v>2.4091582491582528</c:v>
                </c:pt>
                <c:pt idx="18">
                  <c:v>-27.44209175084174</c:v>
                </c:pt>
                <c:pt idx="19">
                  <c:v>-57.293341750841762</c:v>
                </c:pt>
                <c:pt idx="20">
                  <c:v>-87.144591750841755</c:v>
                </c:pt>
                <c:pt idx="21">
                  <c:v>-116.99584175084175</c:v>
                </c:pt>
                <c:pt idx="22">
                  <c:v>87.428608040438377</c:v>
                </c:pt>
                <c:pt idx="23">
                  <c:v>71.308608040438372</c:v>
                </c:pt>
                <c:pt idx="24">
                  <c:v>55.188608040438382</c:v>
                </c:pt>
                <c:pt idx="25">
                  <c:v>39.068608040438384</c:v>
                </c:pt>
                <c:pt idx="26">
                  <c:v>22.948608040438387</c:v>
                </c:pt>
                <c:pt idx="27">
                  <c:v>6.8286080404383824</c:v>
                </c:pt>
                <c:pt idx="28">
                  <c:v>-9.2913919595616079</c:v>
                </c:pt>
                <c:pt idx="29">
                  <c:v>-25.411391959561598</c:v>
                </c:pt>
                <c:pt idx="30">
                  <c:v>-41.531391959561603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A64-424D-BD21-3EFF94A2D62B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'CCC-car.5'!$AD$50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'CCC-car.5'!$AF$50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A64-424D-BD21-3EFF94A2D62B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'CCC-car.5'!$AD$51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'CCC-car.5'!$AF$51</c:f>
              <c:numCache>
                <c:formatCode>0.00</c:formatCode>
                <c:ptCount val="1"/>
                <c:pt idx="0">
                  <c:v>60.578799366969008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A64-424D-BD21-3EFF94A2D62B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'CCC-car.5'!$AD$59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'CCC-car.5'!$AF$59</c:f>
              <c:numCache>
                <c:formatCode>0.00</c:formatCode>
                <c:ptCount val="1"/>
                <c:pt idx="0">
                  <c:v>-113.101200633031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A64-424D-BD21-3EFF94A2D62B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'CCC-car.5'!$AD$60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'CCC-car.5'!$AF$60</c:f>
              <c:numCache>
                <c:formatCode>0.00</c:formatCode>
                <c:ptCount val="1"/>
                <c:pt idx="0">
                  <c:v>121.81415824915825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A64-424D-BD21-3EFF94A2D62B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'CCC-car.5'!$AD$68</c:f>
              <c:numCache>
                <c:formatCode>0.00</c:formatCode>
                <c:ptCount val="1"/>
                <c:pt idx="0">
                  <c:v>9.5</c:v>
                </c:pt>
              </c:numCache>
            </c:numRef>
          </c:xVal>
          <c:yVal>
            <c:numRef>
              <c:f>'CCC-car.5'!$AF$68</c:f>
              <c:numCache>
                <c:formatCode>0.00</c:formatCode>
                <c:ptCount val="1"/>
                <c:pt idx="0">
                  <c:v>-116.99584175084175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A64-424D-BD21-3EFF94A2D62B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'CCC-car.5'!$AD$69</c:f>
              <c:numCache>
                <c:formatCode>0.00</c:formatCode>
                <c:ptCount val="1"/>
                <c:pt idx="0">
                  <c:v>9.5</c:v>
                </c:pt>
              </c:numCache>
            </c:numRef>
          </c:xVal>
          <c:yVal>
            <c:numRef>
              <c:f>'CCC-car.5'!$AF$69</c:f>
              <c:numCache>
                <c:formatCode>0.00</c:formatCode>
                <c:ptCount val="1"/>
                <c:pt idx="0">
                  <c:v>87.428608040438377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A64-424D-BD21-3EFF94A2D62B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'CCC-car.5'!$AD$77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'CCC-car.5'!$AF$77</c:f>
              <c:numCache>
                <c:formatCode>0.00</c:formatCode>
                <c:ptCount val="1"/>
                <c:pt idx="0">
                  <c:v>-41.531391959561603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A64-424D-BD21-3EFF94A2D62B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A64-424D-BD21-3EFF94A2D62B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'CCC-car.5'!$AD$86</c:f>
              <c:numCache>
                <c:formatCode>0.00</c:formatCode>
                <c:ptCount val="1"/>
              </c:numCache>
            </c:numRef>
          </c:xVal>
          <c:yVal>
            <c:numRef>
              <c:f>'CCC-car.5'!$AF$86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A64-424D-BD21-3EFF94A2D62B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'CCC-car.5'!$AD$78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'CCC-car.5'!$AF$78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A64-424D-BD21-3EFF94A2D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350688"/>
        <c:axId val="352351248"/>
      </c:scatterChart>
      <c:valAx>
        <c:axId val="352350688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7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52351248"/>
        <c:crosses val="autoZero"/>
        <c:crossBetween val="midCat"/>
        <c:majorUnit val="1"/>
      </c:valAx>
      <c:valAx>
        <c:axId val="35235124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12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23506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52"/>
          <c:w val="0.90742455710851755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9.5</c:v>
                </c:pt>
                <c:pt idx="4">
                  <c:v>13.5</c:v>
                </c:pt>
                <c:pt idx="5">
                  <c:v>13.5</c:v>
                </c:pt>
              </c:numCache>
            </c:numRef>
          </c:xVal>
          <c:yVal>
            <c:numRef>
              <c:f>'CCC-car.5'!$AL$54:$AL$60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69-4E87-8778-637291D098AD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569-4E87-8778-637291D09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'CCC-car.5'!$W$36:$W$37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60.578799366969008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69-4E87-8778-637291D098AD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69-4E87-8778-637291D09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'CCC-car.5'!$Y$36:$Y$37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'CCC-car.5'!$Z$36:$Z$37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234.91535888218925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569-4E87-8778-637291D098AD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69-4E87-8778-637291D09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'CCC-car.5'!$AB$36:$AB$37</c:f>
              <c:numCache>
                <c:formatCode>0.00</c:formatCode>
                <c:ptCount val="2"/>
                <c:pt idx="0">
                  <c:v>9.5</c:v>
                </c:pt>
                <c:pt idx="1">
                  <c:v>9.5</c:v>
                </c:pt>
              </c:numCache>
            </c:numRef>
          </c:xVal>
          <c:yVal>
            <c:numRef>
              <c:f>'CCC-car.5'!$AC$36:$AC$37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204.42444979128013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569-4E87-8778-637291D098AD}"/>
            </c:ext>
          </c:extLst>
        </c:ser>
        <c:ser>
          <c:idx val="4"/>
          <c:order val="4"/>
          <c:tx>
            <c:v>R4</c:v>
          </c:tx>
          <c:spPr>
            <a:ln w="12700">
              <a:solidFill>
                <a:schemeClr val="tx1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69-4E87-8778-637291D09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'CCC-car.5'!$V$40:$V$41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'CCC-car.5'!$W$40:$W$41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41.531391959561596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569-4E87-8778-637291D098AD}"/>
            </c:ext>
          </c:extLst>
        </c:ser>
        <c:ser>
          <c:idx val="5"/>
          <c:order val="5"/>
          <c:tx>
            <c:v>R5</c:v>
          </c:tx>
          <c:spPr>
            <a:ln w="12700">
              <a:solidFill>
                <a:prstClr val="black"/>
              </a:solidFill>
              <a:headEnd type="arrow" w="lg" len="lg"/>
              <a:tailEnd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569-4E87-8778-637291D09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'CCC-car.5'!$Y$40:$Y$41</c:f>
              <c:numCache>
                <c:formatCode>0.00</c:formatCode>
                <c:ptCount val="2"/>
              </c:numCache>
            </c:numRef>
          </c:xVal>
          <c:yVal>
            <c:numRef>
              <c:f>'CCC-car.5'!$Z$40:$Z$41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569-4E87-8778-637291D098AD}"/>
            </c:ext>
          </c:extLst>
        </c:ser>
        <c:ser>
          <c:idx val="6"/>
          <c:order val="6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'CCC-car.5'!$AH$17:$AH$21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'CCC-car.5'!$AI$17:$AI$21</c:f>
              <c:numCache>
                <c:formatCode>General</c:formatCode>
                <c:ptCount val="5"/>
                <c:pt idx="0">
                  <c:v>203.68</c:v>
                </c:pt>
                <c:pt idx="1">
                  <c:v>203.68</c:v>
                </c:pt>
                <c:pt idx="2">
                  <c:v>203.68</c:v>
                </c:pt>
                <c:pt idx="3">
                  <c:v>203.68</c:v>
                </c:pt>
                <c:pt idx="4">
                  <c:v>203.68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569-4E87-8778-637291D098AD}"/>
            </c:ext>
          </c:extLst>
        </c:ser>
        <c:ser>
          <c:idx val="7"/>
          <c:order val="7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'CCC-car.5'!$AH$24:$AH$28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</c:v>
                </c:pt>
                <c:pt idx="2">
                  <c:v>4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'CCC-car.5'!$AI$24:$AI$28</c:f>
              <c:numCache>
                <c:formatCode>General</c:formatCode>
                <c:ptCount val="5"/>
                <c:pt idx="0">
                  <c:v>203.68</c:v>
                </c:pt>
                <c:pt idx="1">
                  <c:v>203.68</c:v>
                </c:pt>
                <c:pt idx="2">
                  <c:v>247.10000000000002</c:v>
                </c:pt>
                <c:pt idx="3">
                  <c:v>247.10000000000002</c:v>
                </c:pt>
                <c:pt idx="4">
                  <c:v>203.68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569-4E87-8778-637291D098AD}"/>
            </c:ext>
          </c:extLst>
        </c:ser>
        <c:ser>
          <c:idx val="8"/>
          <c:order val="8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'CCC-car.5'!$AH$31:$AH$35</c:f>
              <c:numCache>
                <c:formatCode>0.00</c:formatCode>
                <c:ptCount val="5"/>
                <c:pt idx="0">
                  <c:v>4</c:v>
                </c:pt>
                <c:pt idx="1">
                  <c:v>9.5</c:v>
                </c:pt>
                <c:pt idx="2">
                  <c:v>9.5</c:v>
                </c:pt>
                <c:pt idx="3">
                  <c:v>4</c:v>
                </c:pt>
                <c:pt idx="4">
                  <c:v>4</c:v>
                </c:pt>
              </c:numCache>
            </c:numRef>
          </c:xVal>
          <c:yVal>
            <c:numRef>
              <c:f>'CCC-car.5'!$AI$31:$AI$35</c:f>
              <c:numCache>
                <c:formatCode>General</c:formatCode>
                <c:ptCount val="5"/>
                <c:pt idx="0">
                  <c:v>203.68</c:v>
                </c:pt>
                <c:pt idx="1">
                  <c:v>203.68</c:v>
                </c:pt>
                <c:pt idx="2">
                  <c:v>247.10000000000002</c:v>
                </c:pt>
                <c:pt idx="3">
                  <c:v>247.10000000000002</c:v>
                </c:pt>
                <c:pt idx="4">
                  <c:v>203.68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569-4E87-8778-637291D098AD}"/>
            </c:ext>
          </c:extLst>
        </c:ser>
        <c:ser>
          <c:idx val="9"/>
          <c:order val="9"/>
          <c:tx>
            <c:v>q34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'CCC-car.5'!$AH$38:$AH$42</c:f>
              <c:numCache>
                <c:formatCode>0.00</c:formatCode>
                <c:ptCount val="5"/>
                <c:pt idx="0">
                  <c:v>9.5</c:v>
                </c:pt>
                <c:pt idx="1">
                  <c:v>13.5</c:v>
                </c:pt>
                <c:pt idx="2">
                  <c:v>13.5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'CCC-car.5'!$AI$38:$AI$42</c:f>
              <c:numCache>
                <c:formatCode>General</c:formatCode>
                <c:ptCount val="5"/>
                <c:pt idx="0">
                  <c:v>203.68</c:v>
                </c:pt>
                <c:pt idx="1">
                  <c:v>203.68</c:v>
                </c:pt>
                <c:pt idx="2">
                  <c:v>235.92000000000002</c:v>
                </c:pt>
                <c:pt idx="3">
                  <c:v>235.92000000000002</c:v>
                </c:pt>
                <c:pt idx="4">
                  <c:v>203.68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569-4E87-8778-637291D098AD}"/>
            </c:ext>
          </c:extLst>
        </c:ser>
        <c:ser>
          <c:idx val="10"/>
          <c:order val="10"/>
          <c:tx>
            <c:v>q45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569-4E87-8778-637291D098AD}"/>
            </c:ext>
          </c:extLst>
        </c:ser>
        <c:ser>
          <c:idx val="11"/>
          <c:order val="11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'CCC-car.5'!$AH$45:$AH$49</c:f>
              <c:numCache>
                <c:formatCode>0.00</c:formatCode>
                <c:ptCount val="5"/>
                <c:pt idx="0">
                  <c:v>13.5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13.5</c:v>
                </c:pt>
              </c:numCache>
            </c:numRef>
          </c:xVal>
          <c:yVal>
            <c:numRef>
              <c:f>'CCC-car.5'!$AI$45:$AI$49</c:f>
              <c:numCache>
                <c:formatCode>General</c:formatCode>
                <c:ptCount val="5"/>
                <c:pt idx="0">
                  <c:v>203.68</c:v>
                </c:pt>
                <c:pt idx="1">
                  <c:v>203.68</c:v>
                </c:pt>
                <c:pt idx="2">
                  <c:v>203.68</c:v>
                </c:pt>
                <c:pt idx="3">
                  <c:v>203.68</c:v>
                </c:pt>
                <c:pt idx="4">
                  <c:v>203.68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569-4E87-8778-637291D098AD}"/>
            </c:ext>
          </c:extLst>
        </c:ser>
        <c:ser>
          <c:idx val="12"/>
          <c:order val="12"/>
          <c:tx>
            <c:v>val.R1</c:v>
          </c:tx>
          <c:marker>
            <c:symbol val="none"/>
          </c:marker>
          <c:xVal>
            <c:numRef>
              <c:f>'CCC-car.5'!$V$37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'CCC-car.5'!$W$37</c:f>
              <c:numCache>
                <c:formatCode>0.00</c:formatCode>
                <c:ptCount val="1"/>
                <c:pt idx="0">
                  <c:v>60.578799366969008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569-4E87-8778-637291D098AD}"/>
            </c:ext>
          </c:extLst>
        </c:ser>
        <c:ser>
          <c:idx val="13"/>
          <c:order val="13"/>
          <c:tx>
            <c:v>val.R2</c:v>
          </c:tx>
          <c:marker>
            <c:symbol val="none"/>
          </c:marker>
          <c:xVal>
            <c:numRef>
              <c:f>'CCC-car.5'!$Y$37</c:f>
              <c:numCache>
                <c:formatCode>0.00</c:formatCode>
                <c:ptCount val="1"/>
                <c:pt idx="0">
                  <c:v>4</c:v>
                </c:pt>
              </c:numCache>
            </c:numRef>
          </c:xVal>
          <c:yVal>
            <c:numRef>
              <c:f>'CCC-car.5'!$Z$37</c:f>
              <c:numCache>
                <c:formatCode>0.00</c:formatCode>
                <c:ptCount val="1"/>
                <c:pt idx="0">
                  <c:v>234.91535888218925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569-4E87-8778-637291D098AD}"/>
            </c:ext>
          </c:extLst>
        </c:ser>
        <c:ser>
          <c:idx val="14"/>
          <c:order val="14"/>
          <c:tx>
            <c:v>val.R3</c:v>
          </c:tx>
          <c:marker>
            <c:symbol val="none"/>
          </c:marker>
          <c:xVal>
            <c:numRef>
              <c:f>'CCC-car.5'!$AB$37</c:f>
              <c:numCache>
                <c:formatCode>0.00</c:formatCode>
                <c:ptCount val="1"/>
                <c:pt idx="0">
                  <c:v>9.5</c:v>
                </c:pt>
              </c:numCache>
            </c:numRef>
          </c:xVal>
          <c:yVal>
            <c:numRef>
              <c:f>'CCC-car.5'!$AC$37</c:f>
              <c:numCache>
                <c:formatCode>0.00</c:formatCode>
                <c:ptCount val="1"/>
                <c:pt idx="0">
                  <c:v>204.42444979128013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569-4E87-8778-637291D098AD}"/>
            </c:ext>
          </c:extLst>
        </c:ser>
        <c:ser>
          <c:idx val="15"/>
          <c:order val="15"/>
          <c:tx>
            <c:v>val.R4</c:v>
          </c:tx>
          <c:marker>
            <c:symbol val="none"/>
          </c:marker>
          <c:xVal>
            <c:numRef>
              <c:f>'CCC-car.5'!$V$41</c:f>
              <c:numCache>
                <c:formatCode>0.00</c:formatCode>
                <c:ptCount val="1"/>
                <c:pt idx="0">
                  <c:v>13.5</c:v>
                </c:pt>
              </c:numCache>
            </c:numRef>
          </c:xVal>
          <c:yVal>
            <c:numRef>
              <c:f>'CCC-car.5'!$W$41</c:f>
              <c:numCache>
                <c:formatCode>0.00</c:formatCode>
                <c:ptCount val="1"/>
                <c:pt idx="0">
                  <c:v>41.531391959561596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569-4E87-8778-637291D098AD}"/>
            </c:ext>
          </c:extLst>
        </c:ser>
        <c:ser>
          <c:idx val="16"/>
          <c:order val="16"/>
          <c:tx>
            <c:v>val.R5</c:v>
          </c:tx>
          <c:marker>
            <c:symbol val="none"/>
          </c:marker>
          <c:xVal>
            <c:numRef>
              <c:f>'CCC-car.5'!$Y$41</c:f>
              <c:numCache>
                <c:formatCode>0.00</c:formatCode>
                <c:ptCount val="1"/>
              </c:numCache>
            </c:numRef>
          </c:xVal>
          <c:yVal>
            <c:numRef>
              <c:f>'CCC-car.5'!$Z$41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569-4E87-8778-637291D09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363008"/>
        <c:axId val="352363568"/>
      </c:scatterChart>
      <c:valAx>
        <c:axId val="3523630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199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2363568"/>
        <c:crosses val="autoZero"/>
        <c:crossBetween val="midCat"/>
        <c:majorUnit val="1"/>
      </c:valAx>
      <c:valAx>
        <c:axId val="3523635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23630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 orientation="portrait"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147E-2"/>
          <c:y val="9.9061975819114148E-2"/>
          <c:w val="0.94847987950390933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'CC-car.1'!$AD$47:$AD$77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'CC-car.1'!$AE$47:$AE$77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5.8018750000000008</c:v>
                </c:pt>
                <c:pt idx="6">
                  <c:v>9.2600000000000016</c:v>
                </c:pt>
                <c:pt idx="7">
                  <c:v>10.374375000000001</c:v>
                </c:pt>
                <c:pt idx="8">
                  <c:v>9.1450000000000031</c:v>
                </c:pt>
                <c:pt idx="9">
                  <c:v>5.5718750000000057</c:v>
                </c:pt>
                <c:pt idx="10">
                  <c:v>-0.34499999999999886</c:v>
                </c:pt>
                <c:pt idx="11">
                  <c:v>-8.6056249999999963</c:v>
                </c:pt>
                <c:pt idx="12">
                  <c:v>-19.209999999999994</c:v>
                </c:pt>
                <c:pt idx="13">
                  <c:v>-19.209999999999997</c:v>
                </c:pt>
                <c:pt idx="14">
                  <c:v>-7.8124999999999982</c:v>
                </c:pt>
                <c:pt idx="15">
                  <c:v>0.88500000000000156</c:v>
                </c:pt>
                <c:pt idx="16">
                  <c:v>6.8825000000000003</c:v>
                </c:pt>
                <c:pt idx="17">
                  <c:v>10.18</c:v>
                </c:pt>
                <c:pt idx="18">
                  <c:v>10.777500000000011</c:v>
                </c:pt>
                <c:pt idx="19">
                  <c:v>8.6749999999999972</c:v>
                </c:pt>
                <c:pt idx="20">
                  <c:v>3.8725000000000023</c:v>
                </c:pt>
                <c:pt idx="21">
                  <c:v>-3.6299999999999955</c:v>
                </c:pt>
                <c:pt idx="22">
                  <c:v>-3.6300000000000008</c:v>
                </c:pt>
                <c:pt idx="23">
                  <c:v>-1.6133333333333337</c:v>
                </c:pt>
                <c:pt idx="24">
                  <c:v>-0.40333333333333332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F6-424A-B7A4-962A7E66F408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'CC-car.1'!$AL$17:$AL$18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F6-424A-B7A4-962A7E66F408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'CC-car.1'!$AL$19:$AL$20</c:f>
              <c:numCache>
                <c:formatCode>0.00</c:formatCode>
                <c:ptCount val="2"/>
                <c:pt idx="0">
                  <c:v>0</c:v>
                </c:pt>
                <c:pt idx="1">
                  <c:v>-19.209999999999994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2F6-424A-B7A4-962A7E66F408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'CC-car.1'!$AL$21:$AL$22</c:f>
              <c:numCache>
                <c:formatCode>0.00</c:formatCode>
                <c:ptCount val="2"/>
                <c:pt idx="0">
                  <c:v>0</c:v>
                </c:pt>
                <c:pt idx="1">
                  <c:v>-3.6299999999999955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2F6-424A-B7A4-962A7E66F408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'CC-car.1'!$AK$23:$AK$24</c:f>
              <c:numCache>
                <c:formatCode>0.00</c:formatCode>
                <c:ptCount val="2"/>
              </c:numCache>
            </c:numRef>
          </c:xVal>
          <c:yVal>
            <c:numRef>
              <c:f>'CC-car.1'!$AL$23:$AL$24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2F6-424A-B7A4-962A7E66F408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32F6-424A-B7A4-962A7E66F40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'CC-car.1'!$AK$25:$AK$26</c:f>
              <c:numCache>
                <c:formatCode>0.00</c:formatCode>
                <c:ptCount val="2"/>
              </c:numCache>
            </c:numRef>
          </c:xVal>
          <c:yVal>
            <c:numRef>
              <c:f>'CC-car.1'!$AL$25:$AL$26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2F6-424A-B7A4-962A7E66F408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'CC-car.1'!$AK$40:$AK$41</c:f>
              <c:numCache>
                <c:formatCode>0.00</c:formatCode>
                <c:ptCount val="2"/>
                <c:pt idx="0">
                  <c:v>1.8596666666666668</c:v>
                </c:pt>
                <c:pt idx="1">
                  <c:v>1.8596666666666668</c:v>
                </c:pt>
              </c:numCache>
            </c:numRef>
          </c:xVal>
          <c:yVal>
            <c:numRef>
              <c:f>'CC-car.1'!$AL$40:$AL$41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10.375080333333335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2F6-424A-B7A4-962A7E66F408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'CC-car.1'!$AK$42:$AK$43</c:f>
              <c:numCache>
                <c:formatCode>0.00</c:formatCode>
                <c:ptCount val="2"/>
                <c:pt idx="0">
                  <c:v>7.3606481481481483</c:v>
                </c:pt>
                <c:pt idx="1">
                  <c:v>7.3606481481481483</c:v>
                </c:pt>
              </c:numCache>
            </c:numRef>
          </c:xVal>
          <c:yVal>
            <c:numRef>
              <c:f>'CC-car.1'!$AL$42:$AL$43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10.88236226851852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2F6-424A-B7A4-962A7E66F408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'CC-car.1'!$AK$44:$AK$45</c:f>
              <c:numCache>
                <c:formatCode>0.00</c:formatCode>
                <c:ptCount val="2"/>
              </c:numCache>
            </c:numRef>
          </c:xVal>
          <c:yVal>
            <c:numRef>
              <c:f>'CC-car.1'!$AL$44:$AL$45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2F6-424A-B7A4-962A7E66F408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2F6-424A-B7A4-962A7E66F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'CC-car.1'!$AK$46:$AK$47</c:f>
              <c:numCache>
                <c:formatCode>0.00</c:formatCode>
                <c:ptCount val="2"/>
              </c:numCache>
            </c:numRef>
          </c:xVal>
          <c:yVal>
            <c:numRef>
              <c:f>'CC-car.1'!$AL$46:$AL$47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2F6-424A-B7A4-962A7E66F40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53341344"/>
        <c:axId val="353341904"/>
      </c:scatterChart>
      <c:valAx>
        <c:axId val="35334134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1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53341904"/>
        <c:crosses val="autoZero"/>
        <c:crossBetween val="midCat"/>
        <c:majorUnit val="1"/>
      </c:valAx>
      <c:valAx>
        <c:axId val="353341904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33413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06"/>
          <c:w val="0.94796977526453763"/>
          <c:h val="0.77738578636805178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20-4FD5-94FD-2C4267B3E6D5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220-4FD5-94FD-2C4267B3E6D5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20-4FD5-94FD-2C4267B3E6D5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20-4FD5-94FD-2C4267B3E6D5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20-4FD5-94FD-2C4267B3E6D5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220-4FD5-94FD-2C4267B3E6D5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20-4FD5-94FD-2C4267B3E6D5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20-4FD5-94FD-2C4267B3E6D5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20-4FD5-94FD-2C4267B3E6D5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220-4FD5-94FD-2C4267B3E6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'CC-car.1'!$AF$47:$AF$86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11.158000000000001</c:v>
                </c:pt>
                <c:pt idx="5">
                  <c:v>7.4080000000000013</c:v>
                </c:pt>
                <c:pt idx="6">
                  <c:v>3.6580000000000013</c:v>
                </c:pt>
                <c:pt idx="7">
                  <c:v>-9.1999999999998749E-2</c:v>
                </c:pt>
                <c:pt idx="8">
                  <c:v>-3.8419999999999987</c:v>
                </c:pt>
                <c:pt idx="9">
                  <c:v>-7.5919999999999987</c:v>
                </c:pt>
                <c:pt idx="10">
                  <c:v>-11.341999999999999</c:v>
                </c:pt>
                <c:pt idx="11">
                  <c:v>-15.091999999999999</c:v>
                </c:pt>
                <c:pt idx="12">
                  <c:v>-18.841999999999999</c:v>
                </c:pt>
                <c:pt idx="13">
                  <c:v>25.495000000000001</c:v>
                </c:pt>
                <c:pt idx="14">
                  <c:v>20.094999999999999</c:v>
                </c:pt>
                <c:pt idx="15">
                  <c:v>14.695</c:v>
                </c:pt>
                <c:pt idx="16">
                  <c:v>9.2949999999999982</c:v>
                </c:pt>
                <c:pt idx="17">
                  <c:v>3.8949999999999996</c:v>
                </c:pt>
                <c:pt idx="18">
                  <c:v>-1.504999999999999</c:v>
                </c:pt>
                <c:pt idx="19">
                  <c:v>-6.9050000000000047</c:v>
                </c:pt>
                <c:pt idx="20">
                  <c:v>-12.305000000000003</c:v>
                </c:pt>
                <c:pt idx="21">
                  <c:v>-17.705000000000002</c:v>
                </c:pt>
                <c:pt idx="22">
                  <c:v>6.6000000000000005</c:v>
                </c:pt>
                <c:pt idx="23">
                  <c:v>4.4000000000000004</c:v>
                </c:pt>
                <c:pt idx="24">
                  <c:v>2.2000000000000002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220-4FD5-94FD-2C4267B3E6D5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'CC-car.1'!$AD$50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'CC-car.1'!$AF$50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220-4FD5-94FD-2C4267B3E6D5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'CC-car.1'!$AD$51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'CC-car.1'!$AF$51</c:f>
              <c:numCache>
                <c:formatCode>0.00</c:formatCode>
                <c:ptCount val="1"/>
                <c:pt idx="0">
                  <c:v>11.158000000000001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220-4FD5-94FD-2C4267B3E6D5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'CC-car.1'!$AD$59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'CC-car.1'!$AF$59</c:f>
              <c:numCache>
                <c:formatCode>0.00</c:formatCode>
                <c:ptCount val="1"/>
                <c:pt idx="0">
                  <c:v>-18.841999999999999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220-4FD5-94FD-2C4267B3E6D5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'CC-car.1'!$AD$60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'CC-car.1'!$AF$60</c:f>
              <c:numCache>
                <c:formatCode>0.00</c:formatCode>
                <c:ptCount val="1"/>
                <c:pt idx="0">
                  <c:v>25.495000000000001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220-4FD5-94FD-2C4267B3E6D5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'CC-car.1'!$AD$68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'CC-car.1'!$AF$68</c:f>
              <c:numCache>
                <c:formatCode>0.00</c:formatCode>
                <c:ptCount val="1"/>
                <c:pt idx="0">
                  <c:v>-17.705000000000002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220-4FD5-94FD-2C4267B3E6D5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220-4FD5-94FD-2C4267B3E6D5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'CC-car.1'!$AD$77</c:f>
              <c:numCache>
                <c:formatCode>0.00</c:formatCode>
                <c:ptCount val="1"/>
              </c:numCache>
            </c:numRef>
          </c:xVal>
          <c:yVal>
            <c:numRef>
              <c:f>'CC-car.1'!$AF$77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220-4FD5-94FD-2C4267B3E6D5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220-4FD5-94FD-2C4267B3E6D5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'CC-car.1'!$AD$86</c:f>
              <c:numCache>
                <c:formatCode>0.00</c:formatCode>
                <c:ptCount val="1"/>
              </c:numCache>
            </c:numRef>
          </c:xVal>
          <c:yVal>
            <c:numRef>
              <c:f>'CC-car.1'!$AF$86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220-4FD5-94FD-2C4267B3E6D5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'CC-car.1'!$AD$69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'CC-car.1'!$AF$69</c:f>
              <c:numCache>
                <c:formatCode>0.00</c:formatCode>
                <c:ptCount val="1"/>
                <c:pt idx="0">
                  <c:v>6.6000000000000005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220-4FD5-94FD-2C4267B3E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350304"/>
        <c:axId val="353350864"/>
      </c:scatterChart>
      <c:valAx>
        <c:axId val="353350304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7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53350864"/>
        <c:crosses val="autoZero"/>
        <c:crossBetween val="midCat"/>
        <c:majorUnit val="1"/>
      </c:valAx>
      <c:valAx>
        <c:axId val="353350864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12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33503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52"/>
          <c:w val="0.90742455710851755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'CC-car.1'!$AL$54:$AL$60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D2-4B2D-9BE3-4DC35145C1E2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9D2-4B2D-9BE3-4DC35145C1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'CC-car.1'!$W$36:$W$37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11.158000000000001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D2-4B2D-9BE3-4DC35145C1E2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D2-4B2D-9BE3-4DC35145C1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'CC-car.1'!$Z$36:$Z$37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44.337000000000003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D2-4B2D-9BE3-4DC35145C1E2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9D2-4B2D-9BE3-4DC35145C1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'CC-car.1'!$AB$36:$AB$37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'CC-car.1'!$AC$36:$AC$37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24.305000000000003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9D2-4B2D-9BE3-4DC35145C1E2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'CC-car.1'!$AH$17:$AH$21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'CC-car.1'!$AI$17:$AI$21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9D2-4B2D-9BE3-4DC35145C1E2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'CC-car.1'!$AH$24:$AH$28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'CC-car.1'!$AI$24:$AI$28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16</c:v>
                </c:pt>
                <c:pt idx="3">
                  <c:v>16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9D2-4B2D-9BE3-4DC35145C1E2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'CC-car.1'!$AH$31:$AH$35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'CC-car.1'!$AI$31:$AI$35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20.8</c:v>
                </c:pt>
                <c:pt idx="3">
                  <c:v>20.8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9D2-4B2D-9BE3-4DC35145C1E2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'CC-car.1'!$AH$38:$AH$42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'CC-car.1'!$AI$38:$AI$42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16</c:v>
                </c:pt>
                <c:pt idx="3">
                  <c:v>16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9D2-4B2D-9BE3-4DC35145C1E2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'CC-car.1'!$V$37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'CC-car.1'!$W$37</c:f>
              <c:numCache>
                <c:formatCode>0.00</c:formatCode>
                <c:ptCount val="1"/>
                <c:pt idx="0">
                  <c:v>11.158000000000001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9D2-4B2D-9BE3-4DC35145C1E2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'CC-car.1'!$Y$37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'CC-car.1'!$Z$37</c:f>
              <c:numCache>
                <c:formatCode>0.00</c:formatCode>
                <c:ptCount val="1"/>
                <c:pt idx="0">
                  <c:v>44.337000000000003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9D2-4B2D-9BE3-4DC35145C1E2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'CC-car.1'!$AB$37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'CC-car.1'!$AC$37</c:f>
              <c:numCache>
                <c:formatCode>0.00</c:formatCode>
                <c:ptCount val="1"/>
                <c:pt idx="0">
                  <c:v>24.305000000000003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9D2-4B2D-9BE3-4DC35145C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359264"/>
        <c:axId val="353359824"/>
      </c:scatterChart>
      <c:valAx>
        <c:axId val="35335926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199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3359824"/>
        <c:crosses val="autoZero"/>
        <c:crossBetween val="midCat"/>
        <c:majorUnit val="1"/>
      </c:valAx>
      <c:valAx>
        <c:axId val="3533598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33592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32" l="0.70000000000000062" r="0.70000000000000062" t="0.75000000000001332" header="0.30000000000000032" footer="0.30000000000000032"/>
    <c:pageSetup orientation="portrait"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174E-2"/>
          <c:y val="9.9061975819114148E-2"/>
          <c:w val="0.94847987950390955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'CC-car.2'!$AD$47:$AD$77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'CC-car.2'!$AE$47:$AE$77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11.936708333333335</c:v>
                </c:pt>
                <c:pt idx="6">
                  <c:v>19.654666666666671</c:v>
                </c:pt>
                <c:pt idx="7">
                  <c:v>23.153875000000006</c:v>
                </c:pt>
                <c:pt idx="8">
                  <c:v>22.434333333333342</c:v>
                </c:pt>
                <c:pt idx="9">
                  <c:v>17.49604166666667</c:v>
                </c:pt>
                <c:pt idx="10">
                  <c:v>8.3390000000000128</c:v>
                </c:pt>
                <c:pt idx="11">
                  <c:v>-5.0367916666666588</c:v>
                </c:pt>
                <c:pt idx="12">
                  <c:v>-22.631333333333316</c:v>
                </c:pt>
                <c:pt idx="13">
                  <c:v>-22.631333333333327</c:v>
                </c:pt>
                <c:pt idx="14">
                  <c:v>-15.369166666666661</c:v>
                </c:pt>
                <c:pt idx="15">
                  <c:v>-9.6069999999999958</c:v>
                </c:pt>
                <c:pt idx="16">
                  <c:v>-5.3448333333333302</c:v>
                </c:pt>
                <c:pt idx="17">
                  <c:v>-2.5826666666666682</c:v>
                </c:pt>
                <c:pt idx="18">
                  <c:v>-1.3205000000000027</c:v>
                </c:pt>
                <c:pt idx="19">
                  <c:v>-1.5583333333333371</c:v>
                </c:pt>
                <c:pt idx="20">
                  <c:v>-3.2961666666666716</c:v>
                </c:pt>
                <c:pt idx="21">
                  <c:v>-6.534000000000006</c:v>
                </c:pt>
                <c:pt idx="22">
                  <c:v>-6.5340000000000016</c:v>
                </c:pt>
                <c:pt idx="23">
                  <c:v>-2.9039999999999999</c:v>
                </c:pt>
                <c:pt idx="24">
                  <c:v>-0.72599999999999909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09-4630-A762-05EF11E312C7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'CC-car.2'!$AL$17:$AL$18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C09-4630-A762-05EF11E312C7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'CC-car.2'!$AL$19:$AL$20</c:f>
              <c:numCache>
                <c:formatCode>0.00</c:formatCode>
                <c:ptCount val="2"/>
                <c:pt idx="0">
                  <c:v>0</c:v>
                </c:pt>
                <c:pt idx="1">
                  <c:v>-22.631333333333316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C09-4630-A762-05EF11E312C7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'CC-car.2'!$AL$21:$AL$22</c:f>
              <c:numCache>
                <c:formatCode>0.00</c:formatCode>
                <c:ptCount val="2"/>
                <c:pt idx="0">
                  <c:v>0</c:v>
                </c:pt>
                <c:pt idx="1">
                  <c:v>-6.534000000000006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C09-4630-A762-05EF11E312C7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'CC-car.2'!$AK$23:$AK$24</c:f>
              <c:numCache>
                <c:formatCode>0.00</c:formatCode>
                <c:ptCount val="2"/>
              </c:numCache>
            </c:numRef>
          </c:xVal>
          <c:yVal>
            <c:numRef>
              <c:f>'CC-car.2'!$AL$23:$AL$24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C09-4630-A762-05EF11E312C7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AC09-4630-A762-05EF11E312C7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'CC-car.2'!$AK$25:$AK$26</c:f>
              <c:numCache>
                <c:formatCode>0.00</c:formatCode>
                <c:ptCount val="2"/>
              </c:numCache>
            </c:numRef>
          </c:xVal>
          <c:yVal>
            <c:numRef>
              <c:f>'CC-car.2'!$AL$25:$AL$26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C09-4630-A762-05EF11E312C7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'CC-car.2'!$AK$40:$AK$41</c:f>
              <c:numCache>
                <c:formatCode>0.00</c:formatCode>
                <c:ptCount val="2"/>
                <c:pt idx="0">
                  <c:v>2.0809012345679014</c:v>
                </c:pt>
                <c:pt idx="1">
                  <c:v>2.0809012345679014</c:v>
                </c:pt>
              </c:numCache>
            </c:numRef>
          </c:xVal>
          <c:yVal>
            <c:numRef>
              <c:f>'CC-car.2'!$AL$40:$AL$41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23.382809719341569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C09-4630-A762-05EF11E312C7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'CC-car.2'!$AK$42:$AK$43</c:f>
              <c:numCache>
                <c:formatCode>0.00</c:formatCode>
                <c:ptCount val="2"/>
                <c:pt idx="0">
                  <c:v>7.6707222222222224</c:v>
                </c:pt>
                <c:pt idx="1">
                  <c:v>7.6707222222222224</c:v>
                </c:pt>
              </c:numCache>
            </c:numRef>
          </c:xVal>
          <c:yVal>
            <c:numRef>
              <c:f>'CC-car.2'!$AL$42:$AL$43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-1.2330617685185175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C09-4630-A762-05EF11E312C7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'CC-car.2'!$AK$44:$AK$45</c:f>
              <c:numCache>
                <c:formatCode>0.00</c:formatCode>
                <c:ptCount val="2"/>
              </c:numCache>
            </c:numRef>
          </c:xVal>
          <c:yVal>
            <c:numRef>
              <c:f>'CC-car.2'!$AL$44:$AL$45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AC09-4630-A762-05EF11E312C7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C09-4630-A762-05EF11E31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'CC-car.2'!$AK$46:$AK$47</c:f>
              <c:numCache>
                <c:formatCode>0.00</c:formatCode>
                <c:ptCount val="2"/>
              </c:numCache>
            </c:numRef>
          </c:xVal>
          <c:yVal>
            <c:numRef>
              <c:f>'CC-car.2'!$AL$46:$AL$47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AC09-4630-A762-05EF11E312C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54844960"/>
        <c:axId val="354845520"/>
      </c:scatterChart>
      <c:valAx>
        <c:axId val="354844960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3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54845520"/>
        <c:crosses val="autoZero"/>
        <c:crossBetween val="midCat"/>
        <c:majorUnit val="1"/>
      </c:valAx>
      <c:valAx>
        <c:axId val="354845520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8449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12"/>
          <c:w val="0.94796977526453763"/>
          <c:h val="0.777385786368052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54-436D-8307-33F9720E650C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F54-436D-8307-33F9720E650C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54-436D-8307-33F9720E650C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54-436D-8307-33F9720E650C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54-436D-8307-33F9720E650C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F54-436D-8307-33F9720E650C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54-436D-8307-33F9720E650C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54-436D-8307-33F9720E650C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54-436D-8307-33F9720E650C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F54-436D-8307-33F9720E65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'CC-car.2'!$AF$47:$AF$86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22.473733333333335</c:v>
                </c:pt>
                <c:pt idx="5">
                  <c:v>15.723733333333335</c:v>
                </c:pt>
                <c:pt idx="6">
                  <c:v>8.9737333333333353</c:v>
                </c:pt>
                <c:pt idx="7">
                  <c:v>2.2237333333333353</c:v>
                </c:pt>
                <c:pt idx="8">
                  <c:v>-4.5262666666666647</c:v>
                </c:pt>
                <c:pt idx="9">
                  <c:v>-11.276266666666665</c:v>
                </c:pt>
                <c:pt idx="10">
                  <c:v>-18.026266666666665</c:v>
                </c:pt>
                <c:pt idx="11">
                  <c:v>-24.776266666666665</c:v>
                </c:pt>
                <c:pt idx="12">
                  <c:v>-31.526266666666665</c:v>
                </c:pt>
                <c:pt idx="13">
                  <c:v>16.024333333333331</c:v>
                </c:pt>
                <c:pt idx="14">
                  <c:v>13.024333333333331</c:v>
                </c:pt>
                <c:pt idx="15">
                  <c:v>10.024333333333331</c:v>
                </c:pt>
                <c:pt idx="16">
                  <c:v>7.0243333333333311</c:v>
                </c:pt>
                <c:pt idx="17">
                  <c:v>4.0243333333333311</c:v>
                </c:pt>
                <c:pt idx="18">
                  <c:v>1.0243333333333311</c:v>
                </c:pt>
                <c:pt idx="19">
                  <c:v>-1.9756666666666689</c:v>
                </c:pt>
                <c:pt idx="20">
                  <c:v>-4.9756666666666689</c:v>
                </c:pt>
                <c:pt idx="21">
                  <c:v>-7.9756666666666689</c:v>
                </c:pt>
                <c:pt idx="22">
                  <c:v>11.880000000000003</c:v>
                </c:pt>
                <c:pt idx="23">
                  <c:v>7.9200000000000017</c:v>
                </c:pt>
                <c:pt idx="24">
                  <c:v>3.9600000000000017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F54-436D-8307-33F9720E650C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'CC-car.2'!$AD$50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'CC-car.2'!$AF$50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F54-436D-8307-33F9720E650C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'CC-car.2'!$AD$51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'CC-car.2'!$AF$51</c:f>
              <c:numCache>
                <c:formatCode>0.00</c:formatCode>
                <c:ptCount val="1"/>
                <c:pt idx="0">
                  <c:v>22.473733333333335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F54-436D-8307-33F9720E650C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'CC-car.2'!$AD$59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'CC-car.2'!$AF$59</c:f>
              <c:numCache>
                <c:formatCode>0.00</c:formatCode>
                <c:ptCount val="1"/>
                <c:pt idx="0">
                  <c:v>-31.526266666666665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F54-436D-8307-33F9720E650C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'CC-car.2'!$AD$60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'CC-car.2'!$AF$60</c:f>
              <c:numCache>
                <c:formatCode>0.00</c:formatCode>
                <c:ptCount val="1"/>
                <c:pt idx="0">
                  <c:v>16.024333333333331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F54-436D-8307-33F9720E650C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'CC-car.2'!$AD$68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'CC-car.2'!$AF$68</c:f>
              <c:numCache>
                <c:formatCode>0.00</c:formatCode>
                <c:ptCount val="1"/>
                <c:pt idx="0">
                  <c:v>-7.9756666666666689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F54-436D-8307-33F9720E650C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2F54-436D-8307-33F9720E650C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'CC-car.2'!$AD$77</c:f>
              <c:numCache>
                <c:formatCode>0.00</c:formatCode>
                <c:ptCount val="1"/>
              </c:numCache>
            </c:numRef>
          </c:xVal>
          <c:yVal>
            <c:numRef>
              <c:f>'CC-car.2'!$AF$77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2F54-436D-8307-33F9720E650C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F54-436D-8307-33F9720E650C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'CC-car.2'!$AD$86</c:f>
              <c:numCache>
                <c:formatCode>0.00</c:formatCode>
                <c:ptCount val="1"/>
              </c:numCache>
            </c:numRef>
          </c:xVal>
          <c:yVal>
            <c:numRef>
              <c:f>'CC-car.2'!$AF$86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2F54-436D-8307-33F9720E650C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'CC-car.2'!$AD$69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'CC-car.2'!$AF$69</c:f>
              <c:numCache>
                <c:formatCode>0.00</c:formatCode>
                <c:ptCount val="1"/>
                <c:pt idx="0">
                  <c:v>11.880000000000003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2F54-436D-8307-33F9720E6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853920"/>
        <c:axId val="354854480"/>
      </c:scatterChart>
      <c:valAx>
        <c:axId val="354853920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75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54854480"/>
        <c:crosses val="autoZero"/>
        <c:crossBetween val="midCat"/>
        <c:majorUnit val="1"/>
      </c:valAx>
      <c:valAx>
        <c:axId val="35485448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24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8539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11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47"/>
          <c:w val="0.90742455710851777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'CC-car.2'!$AL$54:$AL$60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D5-4F55-972F-7264B3B22437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D5-4F55-972F-7264B3B224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'CC-car.2'!$W$36:$W$37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22.473733333333335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D5-4F55-972F-7264B3B22437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D5-4F55-972F-7264B3B224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'CC-car.2'!$Z$36:$Z$37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47.550599999999996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ED5-4F55-972F-7264B3B22437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ED5-4F55-972F-7264B3B224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'CC-car.2'!$AB$36:$AB$37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'CC-car.2'!$AC$36:$AC$37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19.855666666666671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ED5-4F55-972F-7264B3B22437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'CC-car.2'!$AH$17:$AH$21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'CC-car.2'!$AI$17:$AI$21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25.8</c:v>
                </c:pt>
                <c:pt idx="3">
                  <c:v>25.8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ED5-4F55-972F-7264B3B22437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'CC-car.2'!$AH$24:$AH$28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'CC-car.2'!$AI$24:$AI$28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36.6</c:v>
                </c:pt>
                <c:pt idx="3">
                  <c:v>36.6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ED5-4F55-972F-7264B3B22437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'CC-car.2'!$AH$31:$AH$35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'CC-car.2'!$AI$31:$AI$35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31.8</c:v>
                </c:pt>
                <c:pt idx="3">
                  <c:v>31.8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ED5-4F55-972F-7264B3B22437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'CC-car.2'!$AH$38:$AH$42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'CC-car.2'!$AI$38:$AI$42</c:f>
              <c:numCache>
                <c:formatCode>General</c:formatCode>
                <c:ptCount val="5"/>
                <c:pt idx="0">
                  <c:v>25.8</c:v>
                </c:pt>
                <c:pt idx="1">
                  <c:v>25.8</c:v>
                </c:pt>
                <c:pt idx="2">
                  <c:v>36.6</c:v>
                </c:pt>
                <c:pt idx="3">
                  <c:v>36.6</c:v>
                </c:pt>
                <c:pt idx="4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ED5-4F55-972F-7264B3B22437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'CC-car.2'!$V$37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'CC-car.2'!$W$37</c:f>
              <c:numCache>
                <c:formatCode>0.00</c:formatCode>
                <c:ptCount val="1"/>
                <c:pt idx="0">
                  <c:v>22.473733333333335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ED5-4F55-972F-7264B3B22437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'CC-car.2'!$Y$37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'CC-car.2'!$Z$37</c:f>
              <c:numCache>
                <c:formatCode>0.00</c:formatCode>
                <c:ptCount val="1"/>
                <c:pt idx="0">
                  <c:v>47.550599999999996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ED5-4F55-972F-7264B3B22437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'CC-car.2'!$AB$37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'CC-car.2'!$AC$37</c:f>
              <c:numCache>
                <c:formatCode>0.00</c:formatCode>
                <c:ptCount val="1"/>
                <c:pt idx="0">
                  <c:v>19.855666666666671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ED5-4F55-972F-7264B3B22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862880"/>
        <c:axId val="354863440"/>
      </c:scatterChart>
      <c:valAx>
        <c:axId val="35486288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21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4863440"/>
        <c:crosses val="autoZero"/>
        <c:crossBetween val="midCat"/>
        <c:majorUnit val="1"/>
      </c:valAx>
      <c:valAx>
        <c:axId val="3548634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8628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54" l="0.70000000000000062" r="0.70000000000000062" t="0.75000000000001354" header="0.30000000000000032" footer="0.30000000000000032"/>
    <c:pageSetup orientation="portrait"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202E-2"/>
          <c:y val="9.9061975819114148E-2"/>
          <c:w val="0.94847987950390977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'CC-car.3'!$AD$47:$AD$77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'CC-car.3'!$AE$47:$AE$77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11.322708333333335</c:v>
                </c:pt>
                <c:pt idx="6">
                  <c:v>18.426666666666669</c:v>
                </c:pt>
                <c:pt idx="7">
                  <c:v>21.311875000000008</c:v>
                </c:pt>
                <c:pt idx="8">
                  <c:v>19.978333333333339</c:v>
                </c:pt>
                <c:pt idx="9">
                  <c:v>14.426041666666677</c:v>
                </c:pt>
                <c:pt idx="10">
                  <c:v>4.6550000000000153</c:v>
                </c:pt>
                <c:pt idx="11">
                  <c:v>-9.3347916666666464</c:v>
                </c:pt>
                <c:pt idx="12">
                  <c:v>-27.543333333333322</c:v>
                </c:pt>
                <c:pt idx="13">
                  <c:v>-27.543333333333329</c:v>
                </c:pt>
                <c:pt idx="14">
                  <c:v>-15.104166666666664</c:v>
                </c:pt>
                <c:pt idx="15">
                  <c:v>-5.3649999999999949</c:v>
                </c:pt>
                <c:pt idx="16">
                  <c:v>1.6741666666666717</c:v>
                </c:pt>
                <c:pt idx="17">
                  <c:v>6.0133333333333354</c:v>
                </c:pt>
                <c:pt idx="18">
                  <c:v>7.6524999999999963</c:v>
                </c:pt>
                <c:pt idx="19">
                  <c:v>6.5916666666666686</c:v>
                </c:pt>
                <c:pt idx="20">
                  <c:v>2.8308333333333451</c:v>
                </c:pt>
                <c:pt idx="21">
                  <c:v>-3.6299999999999955</c:v>
                </c:pt>
                <c:pt idx="22">
                  <c:v>-3.6300000000000008</c:v>
                </c:pt>
                <c:pt idx="23">
                  <c:v>-1.6133333333333337</c:v>
                </c:pt>
                <c:pt idx="24">
                  <c:v>-0.40333333333333332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BE-42AA-95B1-D758560258CE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'CC-car.3'!$AL$17:$AL$18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7BE-42AA-95B1-D758560258CE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'CC-car.3'!$AL$19:$AL$20</c:f>
              <c:numCache>
                <c:formatCode>0.00</c:formatCode>
                <c:ptCount val="2"/>
                <c:pt idx="0">
                  <c:v>0</c:v>
                </c:pt>
                <c:pt idx="1">
                  <c:v>-27.543333333333322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7BE-42AA-95B1-D758560258CE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'CC-car.3'!$AL$21:$AL$22</c:f>
              <c:numCache>
                <c:formatCode>0.00</c:formatCode>
                <c:ptCount val="2"/>
                <c:pt idx="0">
                  <c:v>0</c:v>
                </c:pt>
                <c:pt idx="1">
                  <c:v>-3.6299999999999955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7BE-42AA-95B1-D758560258CE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'CC-car.3'!$AK$23:$AK$24</c:f>
              <c:numCache>
                <c:formatCode>0.00</c:formatCode>
                <c:ptCount val="2"/>
              </c:numCache>
            </c:numRef>
          </c:xVal>
          <c:yVal>
            <c:numRef>
              <c:f>'CC-car.3'!$AL$23:$AL$24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7BE-42AA-95B1-D758560258CE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17BE-42AA-95B1-D758560258C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'CC-car.3'!$AK$25:$AK$26</c:f>
              <c:numCache>
                <c:formatCode>0.00</c:formatCode>
                <c:ptCount val="2"/>
              </c:numCache>
            </c:numRef>
          </c:xVal>
          <c:yVal>
            <c:numRef>
              <c:f>'CC-car.3'!$AL$25:$AL$26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7BE-42AA-95B1-D758560258CE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'CC-car.3'!$AK$40:$AK$41</c:f>
              <c:numCache>
                <c:formatCode>0.00</c:formatCode>
                <c:ptCount val="2"/>
                <c:pt idx="0">
                  <c:v>1.9899382716049385</c:v>
                </c:pt>
                <c:pt idx="1">
                  <c:v>1.9899382716049385</c:v>
                </c:pt>
              </c:numCache>
            </c:numRef>
          </c:xVal>
          <c:yVal>
            <c:numRef>
              <c:f>'CC-car.3'!$AL$40:$AL$41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21.383213353909472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7BE-42AA-95B1-D758560258CE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'CC-car.3'!$AK$42:$AK$43</c:f>
              <c:numCache>
                <c:formatCode>0.00</c:formatCode>
                <c:ptCount val="2"/>
                <c:pt idx="0">
                  <c:v>7.5535493827160494</c:v>
                </c:pt>
                <c:pt idx="1">
                  <c:v>7.5535493827160494</c:v>
                </c:pt>
              </c:numCache>
            </c:numRef>
          </c:xVal>
          <c:yVal>
            <c:numRef>
              <c:f>'CC-car.3'!$AL$42:$AL$43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7.6679846965020531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7BE-42AA-95B1-D758560258CE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'CC-car.3'!$AK$44:$AK$45</c:f>
              <c:numCache>
                <c:formatCode>0.00</c:formatCode>
                <c:ptCount val="2"/>
              </c:numCache>
            </c:numRef>
          </c:xVal>
          <c:yVal>
            <c:numRef>
              <c:f>'CC-car.3'!$AL$44:$AL$45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7BE-42AA-95B1-D758560258CE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BE-42AA-95B1-D75856025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'CC-car.3'!$AK$46:$AK$47</c:f>
              <c:numCache>
                <c:formatCode>0.00</c:formatCode>
                <c:ptCount val="2"/>
              </c:numCache>
            </c:numRef>
          </c:xVal>
          <c:yVal>
            <c:numRef>
              <c:f>'CC-car.3'!$AL$46:$AL$47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17BE-42AA-95B1-D758560258C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54871280"/>
        <c:axId val="354871840"/>
      </c:scatterChart>
      <c:valAx>
        <c:axId val="354871280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5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54871840"/>
        <c:crosses val="autoZero"/>
        <c:crossBetween val="midCat"/>
        <c:majorUnit val="1"/>
      </c:valAx>
      <c:valAx>
        <c:axId val="354871840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8712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23"/>
          <c:w val="0.94796977526453763"/>
          <c:h val="0.77738578636805222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AC8-4EE5-A757-B65B88FC445E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AC8-4EE5-A757-B65B88FC445E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AC8-4EE5-A757-B65B88FC445E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AC8-4EE5-A757-B65B88FC445E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AC8-4EE5-A757-B65B88FC445E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AC8-4EE5-A757-B65B88FC445E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AC8-4EE5-A757-B65B88FC445E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AC8-4EE5-A757-B65B88FC445E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AC8-4EE5-A757-B65B88FC445E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AC8-4EE5-A757-B65B88FC44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'CC-car.3'!$AF$47:$AF$86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21.491333333333337</c:v>
                </c:pt>
                <c:pt idx="5">
                  <c:v>14.741333333333337</c:v>
                </c:pt>
                <c:pt idx="6">
                  <c:v>7.991333333333337</c:v>
                </c:pt>
                <c:pt idx="7">
                  <c:v>1.241333333333337</c:v>
                </c:pt>
                <c:pt idx="8">
                  <c:v>-5.508666666666663</c:v>
                </c:pt>
                <c:pt idx="9">
                  <c:v>-12.258666666666663</c:v>
                </c:pt>
                <c:pt idx="10">
                  <c:v>-19.008666666666663</c:v>
                </c:pt>
                <c:pt idx="11">
                  <c:v>-25.758666666666663</c:v>
                </c:pt>
                <c:pt idx="12">
                  <c:v>-32.508666666666663</c:v>
                </c:pt>
                <c:pt idx="13">
                  <c:v>27.578333333333333</c:v>
                </c:pt>
                <c:pt idx="14">
                  <c:v>22.178333333333335</c:v>
                </c:pt>
                <c:pt idx="15">
                  <c:v>16.778333333333332</c:v>
                </c:pt>
                <c:pt idx="16">
                  <c:v>11.37833333333333</c:v>
                </c:pt>
                <c:pt idx="17">
                  <c:v>5.9783333333333317</c:v>
                </c:pt>
                <c:pt idx="18">
                  <c:v>0.57833333333333314</c:v>
                </c:pt>
                <c:pt idx="19">
                  <c:v>-4.8216666666666725</c:v>
                </c:pt>
                <c:pt idx="20">
                  <c:v>-10.221666666666671</c:v>
                </c:pt>
                <c:pt idx="21">
                  <c:v>-15.62166666666667</c:v>
                </c:pt>
                <c:pt idx="22">
                  <c:v>6.6000000000000005</c:v>
                </c:pt>
                <c:pt idx="23">
                  <c:v>4.4000000000000004</c:v>
                </c:pt>
                <c:pt idx="24">
                  <c:v>2.2000000000000002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AC8-4EE5-A757-B65B88FC445E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'CC-car.3'!$AD$50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'CC-car.3'!$AF$50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AC8-4EE5-A757-B65B88FC445E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'CC-car.3'!$AD$51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'CC-car.3'!$AF$51</c:f>
              <c:numCache>
                <c:formatCode>0.00</c:formatCode>
                <c:ptCount val="1"/>
                <c:pt idx="0">
                  <c:v>21.491333333333337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AC8-4EE5-A757-B65B88FC445E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'CC-car.3'!$AD$59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'CC-car.3'!$AF$59</c:f>
              <c:numCache>
                <c:formatCode>0.00</c:formatCode>
                <c:ptCount val="1"/>
                <c:pt idx="0">
                  <c:v>-32.508666666666663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AC8-4EE5-A757-B65B88FC445E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'CC-car.3'!$AD$60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'CC-car.3'!$AF$60</c:f>
              <c:numCache>
                <c:formatCode>0.00</c:formatCode>
                <c:ptCount val="1"/>
                <c:pt idx="0">
                  <c:v>27.578333333333333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AC8-4EE5-A757-B65B88FC445E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'CC-car.3'!$AD$68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'CC-car.3'!$AF$68</c:f>
              <c:numCache>
                <c:formatCode>0.00</c:formatCode>
                <c:ptCount val="1"/>
                <c:pt idx="0">
                  <c:v>-15.62166666666667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AC8-4EE5-A757-B65B88FC445E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AC8-4EE5-A757-B65B88FC445E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'CC-car.3'!$AD$77</c:f>
              <c:numCache>
                <c:formatCode>0.00</c:formatCode>
                <c:ptCount val="1"/>
              </c:numCache>
            </c:numRef>
          </c:xVal>
          <c:yVal>
            <c:numRef>
              <c:f>'CC-car.3'!$AF$77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AC8-4EE5-A757-B65B88FC445E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AC8-4EE5-A757-B65B88FC445E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'CC-car.3'!$AD$86</c:f>
              <c:numCache>
                <c:formatCode>0.00</c:formatCode>
                <c:ptCount val="1"/>
              </c:numCache>
            </c:numRef>
          </c:xVal>
          <c:yVal>
            <c:numRef>
              <c:f>'CC-car.3'!$AF$86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AC8-4EE5-A757-B65B88FC445E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'CC-car.3'!$AD$69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'CC-car.3'!$AF$69</c:f>
              <c:numCache>
                <c:formatCode>0.00</c:formatCode>
                <c:ptCount val="1"/>
                <c:pt idx="0">
                  <c:v>6.6000000000000005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AC8-4EE5-A757-B65B88FC4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880240"/>
        <c:axId val="354880800"/>
      </c:scatterChart>
      <c:valAx>
        <c:axId val="354880240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79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54880800"/>
        <c:crosses val="autoZero"/>
        <c:crossBetween val="midCat"/>
        <c:majorUnit val="1"/>
      </c:valAx>
      <c:valAx>
        <c:axId val="35488080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34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8802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22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39"/>
          <c:w val="0.90742455710851799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'CC-car.3'!$AL$54:$AL$60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CD-4FC8-9774-0D1FCE17435A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CD-4FC8-9774-0D1FCE1743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'CC-car.3'!$W$36:$W$37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21.491333333333337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CD-4FC8-9774-0D1FCE17435A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CD-4FC8-9774-0D1FCE1743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'CC-car.3'!$Z$36:$Z$37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60.086999999999996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CD-4FC8-9774-0D1FCE17435A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9CD-4FC8-9774-0D1FCE1743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'CC-car.3'!$AB$36:$AB$37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'CC-car.3'!$AC$36:$AC$37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22.221666666666671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9CD-4FC8-9774-0D1FCE17435A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'CC-car.3'!$AH$17:$AH$21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'CC-car.3'!$AI$17:$AI$21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41.6</c:v>
                </c:pt>
                <c:pt idx="3">
                  <c:v>41.6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9CD-4FC8-9774-0D1FCE17435A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'CC-car.3'!$AH$24:$AH$28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'CC-car.3'!$AI$24:$AI$28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52.400000000000006</c:v>
                </c:pt>
                <c:pt idx="3">
                  <c:v>52.400000000000006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9CD-4FC8-9774-0D1FCE17435A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'CC-car.3'!$AH$31:$AH$35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'CC-car.3'!$AI$31:$AI$35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52.400000000000006</c:v>
                </c:pt>
                <c:pt idx="3">
                  <c:v>52.400000000000006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9CD-4FC8-9774-0D1FCE17435A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'CC-car.3'!$AH$38:$AH$42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'CC-car.3'!$AI$38:$AI$42</c:f>
              <c:numCache>
                <c:formatCode>General</c:formatCode>
                <c:ptCount val="5"/>
                <c:pt idx="0">
                  <c:v>41.6</c:v>
                </c:pt>
                <c:pt idx="1">
                  <c:v>41.6</c:v>
                </c:pt>
                <c:pt idx="2">
                  <c:v>47.6</c:v>
                </c:pt>
                <c:pt idx="3">
                  <c:v>47.6</c:v>
                </c:pt>
                <c:pt idx="4">
                  <c:v>41.6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9CD-4FC8-9774-0D1FCE17435A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'CC-car.3'!$V$37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'CC-car.3'!$W$37</c:f>
              <c:numCache>
                <c:formatCode>0.00</c:formatCode>
                <c:ptCount val="1"/>
                <c:pt idx="0">
                  <c:v>21.491333333333337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9CD-4FC8-9774-0D1FCE17435A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'CC-car.3'!$Y$37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'CC-car.3'!$Z$37</c:f>
              <c:numCache>
                <c:formatCode>0.00</c:formatCode>
                <c:ptCount val="1"/>
                <c:pt idx="0">
                  <c:v>60.086999999999996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9CD-4FC8-9774-0D1FCE17435A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'CC-car.3'!$AB$37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'CC-car.3'!$AC$37</c:f>
              <c:numCache>
                <c:formatCode>0.00</c:formatCode>
                <c:ptCount val="1"/>
                <c:pt idx="0">
                  <c:v>22.221666666666671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9CD-4FC8-9774-0D1FCE174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889200"/>
        <c:axId val="354889760"/>
      </c:scatterChart>
      <c:valAx>
        <c:axId val="35488920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43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4889760"/>
        <c:crosses val="autoZero"/>
        <c:crossBetween val="midCat"/>
        <c:majorUnit val="1"/>
      </c:valAx>
      <c:valAx>
        <c:axId val="3548897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8892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77" l="0.70000000000000062" r="0.70000000000000062" t="0.75000000000001377" header="0.30000000000000032" footer="0.30000000000000032"/>
    <c:pageSetup orientation="portrait"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219E-2"/>
          <c:y val="9.9061975819114148E-2"/>
          <c:w val="0.94847987950391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'CC-car.4'!$AD$47:$AD$77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'CC-car.4'!$AE$47:$AE$77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5.8825416666666674</c:v>
                </c:pt>
                <c:pt idx="6">
                  <c:v>9.4213333333333349</c:v>
                </c:pt>
                <c:pt idx="7">
                  <c:v>10.616375000000001</c:v>
                </c:pt>
                <c:pt idx="8">
                  <c:v>9.4676666666666698</c:v>
                </c:pt>
                <c:pt idx="9">
                  <c:v>5.9752083333333346</c:v>
                </c:pt>
                <c:pt idx="10">
                  <c:v>0.1390000000000029</c:v>
                </c:pt>
                <c:pt idx="11">
                  <c:v>-8.0409583333333288</c:v>
                </c:pt>
                <c:pt idx="12">
                  <c:v>-18.56466666666666</c:v>
                </c:pt>
                <c:pt idx="13">
                  <c:v>-18.564666666666664</c:v>
                </c:pt>
                <c:pt idx="14">
                  <c:v>-7.610833333333332</c:v>
                </c:pt>
                <c:pt idx="15">
                  <c:v>0.64300000000000068</c:v>
                </c:pt>
                <c:pt idx="16">
                  <c:v>6.1968333333333376</c:v>
                </c:pt>
                <c:pt idx="17">
                  <c:v>9.0506666666666717</c:v>
                </c:pt>
                <c:pt idx="18">
                  <c:v>9.2044999999999959</c:v>
                </c:pt>
                <c:pt idx="19">
                  <c:v>6.6583333333333456</c:v>
                </c:pt>
                <c:pt idx="20">
                  <c:v>1.4121666666666641</c:v>
                </c:pt>
                <c:pt idx="21">
                  <c:v>-6.534000000000006</c:v>
                </c:pt>
                <c:pt idx="22">
                  <c:v>-6.5340000000000016</c:v>
                </c:pt>
                <c:pt idx="23">
                  <c:v>-2.9039999999999999</c:v>
                </c:pt>
                <c:pt idx="24">
                  <c:v>-0.72599999999999909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2B-4B29-A65F-1BAEBACE154F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'CC-car.4'!$AL$17:$AL$18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2B-4B29-A65F-1BAEBACE154F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'CC-car.4'!$AL$19:$AL$20</c:f>
              <c:numCache>
                <c:formatCode>0.00</c:formatCode>
                <c:ptCount val="2"/>
                <c:pt idx="0">
                  <c:v>0</c:v>
                </c:pt>
                <c:pt idx="1">
                  <c:v>-18.56466666666666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82B-4B29-A65F-1BAEBACE154F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'CC-car.4'!$AL$21:$AL$22</c:f>
              <c:numCache>
                <c:formatCode>0.00</c:formatCode>
                <c:ptCount val="2"/>
                <c:pt idx="0">
                  <c:v>0</c:v>
                </c:pt>
                <c:pt idx="1">
                  <c:v>-6.534000000000006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82B-4B29-A65F-1BAEBACE154F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'CC-car.4'!$AK$23:$AK$24</c:f>
              <c:numCache>
                <c:formatCode>0.00</c:formatCode>
                <c:ptCount val="2"/>
              </c:numCache>
            </c:numRef>
          </c:xVal>
          <c:yVal>
            <c:numRef>
              <c:f>'CC-car.4'!$AL$23:$AL$24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82B-4B29-A65F-1BAEBACE154F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482B-4B29-A65F-1BAEBACE154F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'CC-car.4'!$AK$25:$AK$26</c:f>
              <c:numCache>
                <c:formatCode>0.00</c:formatCode>
                <c:ptCount val="2"/>
              </c:numCache>
            </c:numRef>
          </c:xVal>
          <c:yVal>
            <c:numRef>
              <c:f>'CC-car.4'!$AL$25:$AL$26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82B-4B29-A65F-1BAEBACE154F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'CC-car.4'!$AK$40:$AK$41</c:f>
              <c:numCache>
                <c:formatCode>0.00</c:formatCode>
                <c:ptCount val="2"/>
                <c:pt idx="0">
                  <c:v>1.8811777777777781</c:v>
                </c:pt>
                <c:pt idx="1">
                  <c:v>1.8811777777777781</c:v>
                </c:pt>
              </c:numCache>
            </c:numRef>
          </c:xVal>
          <c:yVal>
            <c:numRef>
              <c:f>'CC-car.4'!$AL$40:$AL$41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10.616489494814818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482B-4B29-A65F-1BAEBACE154F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'CC-car.4'!$AK$42:$AK$43</c:f>
              <c:numCache>
                <c:formatCode>0.00</c:formatCode>
                <c:ptCount val="2"/>
                <c:pt idx="0">
                  <c:v>7.2784876543209869</c:v>
                </c:pt>
                <c:pt idx="1">
                  <c:v>7.2784876543209869</c:v>
                </c:pt>
              </c:numCache>
            </c:numRef>
          </c:xVal>
          <c:yVal>
            <c:numRef>
              <c:f>'CC-car.4'!$AL$42:$AL$43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9.4694656841563756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482B-4B29-A65F-1BAEBACE154F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'CC-car.4'!$AK$44:$AK$45</c:f>
              <c:numCache>
                <c:formatCode>0.00</c:formatCode>
                <c:ptCount val="2"/>
              </c:numCache>
            </c:numRef>
          </c:xVal>
          <c:yVal>
            <c:numRef>
              <c:f>'CC-car.4'!$AL$44:$AL$45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482B-4B29-A65F-1BAEBACE154F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82B-4B29-A65F-1BAEBACE15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'CC-car.4'!$AK$46:$AK$47</c:f>
              <c:numCache>
                <c:formatCode>0.00</c:formatCode>
                <c:ptCount val="2"/>
              </c:numCache>
            </c:numRef>
          </c:xVal>
          <c:yVal>
            <c:numRef>
              <c:f>'CC-car.4'!$AL$46:$AL$47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482B-4B29-A65F-1BAEBACE154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54897600"/>
        <c:axId val="354898160"/>
      </c:scatterChart>
      <c:valAx>
        <c:axId val="354897600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58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54898160"/>
        <c:crosses val="autoZero"/>
        <c:crossBetween val="midCat"/>
        <c:majorUnit val="1"/>
      </c:valAx>
      <c:valAx>
        <c:axId val="354898160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8976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28"/>
          <c:w val="0.94796977526453763"/>
          <c:h val="0.77738578636805244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C80-4931-9711-1B9842BBE084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C80-4931-9711-1B9842BBE084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80-4931-9711-1B9842BBE084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C80-4931-9711-1B9842BBE084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C80-4931-9711-1B9842BBE084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C80-4931-9711-1B9842BBE084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C80-4931-9711-1B9842BBE084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C80-4931-9711-1B9842BBE084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C80-4931-9711-1B9842BBE084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C80-4931-9711-1B9842BBE0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'CC-car.4'!$AF$47:$AF$86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11.287066666666668</c:v>
                </c:pt>
                <c:pt idx="5">
                  <c:v>7.5370666666666679</c:v>
                </c:pt>
                <c:pt idx="6">
                  <c:v>3.7870666666666679</c:v>
                </c:pt>
                <c:pt idx="7">
                  <c:v>3.7066666666667913E-2</c:v>
                </c:pt>
                <c:pt idx="8">
                  <c:v>-3.7129333333333321</c:v>
                </c:pt>
                <c:pt idx="9">
                  <c:v>-7.4629333333333321</c:v>
                </c:pt>
                <c:pt idx="10">
                  <c:v>-11.212933333333332</c:v>
                </c:pt>
                <c:pt idx="11">
                  <c:v>-14.962933333333332</c:v>
                </c:pt>
                <c:pt idx="12">
                  <c:v>-18.712933333333332</c:v>
                </c:pt>
                <c:pt idx="13">
                  <c:v>24.607666666666667</c:v>
                </c:pt>
                <c:pt idx="14">
                  <c:v>19.207666666666668</c:v>
                </c:pt>
                <c:pt idx="15">
                  <c:v>13.807666666666666</c:v>
                </c:pt>
                <c:pt idx="16">
                  <c:v>8.407666666666664</c:v>
                </c:pt>
                <c:pt idx="17">
                  <c:v>3.0076666666666654</c:v>
                </c:pt>
                <c:pt idx="18">
                  <c:v>-2.3923333333333332</c:v>
                </c:pt>
                <c:pt idx="19">
                  <c:v>-7.7923333333333389</c:v>
                </c:pt>
                <c:pt idx="20">
                  <c:v>-13.192333333333337</c:v>
                </c:pt>
                <c:pt idx="21">
                  <c:v>-18.592333333333336</c:v>
                </c:pt>
                <c:pt idx="22">
                  <c:v>11.880000000000003</c:v>
                </c:pt>
                <c:pt idx="23">
                  <c:v>7.9200000000000017</c:v>
                </c:pt>
                <c:pt idx="24">
                  <c:v>3.9600000000000017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C80-4931-9711-1B9842BBE084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'CC-car.4'!$AD$50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'CC-car.4'!$AF$50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C80-4931-9711-1B9842BBE084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'CC-car.4'!$AD$51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'CC-car.4'!$AF$51</c:f>
              <c:numCache>
                <c:formatCode>0.00</c:formatCode>
                <c:ptCount val="1"/>
                <c:pt idx="0">
                  <c:v>11.287066666666668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C80-4931-9711-1B9842BBE084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'CC-car.4'!$AD$59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'CC-car.4'!$AF$59</c:f>
              <c:numCache>
                <c:formatCode>0.00</c:formatCode>
                <c:ptCount val="1"/>
                <c:pt idx="0">
                  <c:v>-18.712933333333332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C80-4931-9711-1B9842BBE084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'CC-car.4'!$AD$60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'CC-car.4'!$AF$60</c:f>
              <c:numCache>
                <c:formatCode>0.00</c:formatCode>
                <c:ptCount val="1"/>
                <c:pt idx="0">
                  <c:v>24.607666666666667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C80-4931-9711-1B9842BBE084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'CC-car.4'!$AD$68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'CC-car.4'!$AF$68</c:f>
              <c:numCache>
                <c:formatCode>0.00</c:formatCode>
                <c:ptCount val="1"/>
                <c:pt idx="0">
                  <c:v>-18.592333333333336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C80-4931-9711-1B9842BBE084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2C80-4931-9711-1B9842BBE084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'CC-car.4'!$AD$77</c:f>
              <c:numCache>
                <c:formatCode>0.00</c:formatCode>
                <c:ptCount val="1"/>
              </c:numCache>
            </c:numRef>
          </c:xVal>
          <c:yVal>
            <c:numRef>
              <c:f>'CC-car.4'!$AF$77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2C80-4931-9711-1B9842BBE084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C80-4931-9711-1B9842BBE084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'CC-car.4'!$AD$86</c:f>
              <c:numCache>
                <c:formatCode>0.00</c:formatCode>
                <c:ptCount val="1"/>
              </c:numCache>
            </c:numRef>
          </c:xVal>
          <c:yVal>
            <c:numRef>
              <c:f>'CC-car.4'!$AF$86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2C80-4931-9711-1B9842BBE084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'CC-car.4'!$AD$69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'CC-car.4'!$AF$69</c:f>
              <c:numCache>
                <c:formatCode>0.00</c:formatCode>
                <c:ptCount val="1"/>
                <c:pt idx="0">
                  <c:v>11.880000000000003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2C80-4931-9711-1B9842BBE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906560"/>
        <c:axId val="354907120"/>
      </c:scatterChart>
      <c:valAx>
        <c:axId val="354906560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84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54907120"/>
        <c:crosses val="autoZero"/>
        <c:crossBetween val="midCat"/>
        <c:majorUnit val="1"/>
      </c:valAx>
      <c:valAx>
        <c:axId val="35490712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45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4906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34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33"/>
          <c:w val="0.90742455710851821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'CC-car.4'!$AL$54:$AL$60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2B-4202-B013-858F55F674E5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2B-4202-B013-858F55F674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'CC-car.4'!$W$36:$W$37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11.287066666666668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2B-4202-B013-858F55F674E5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2B-4202-B013-858F55F674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'CC-car.4'!$Z$36:$Z$37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43.320599999999999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72B-4202-B013-858F55F674E5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72B-4202-B013-858F55F674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'CC-car.4'!$AB$36:$AB$37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'CC-car.4'!$AC$36:$AC$37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30.472333333333339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72B-4202-B013-858F55F674E5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'CC-car.4'!$AH$17:$AH$21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'CC-car.4'!$AI$17:$AI$21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57.400000000000006</c:v>
                </c:pt>
                <c:pt idx="3">
                  <c:v>57.400000000000006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72B-4202-B013-858F55F674E5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'CC-car.4'!$AH$24:$AH$28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'CC-car.4'!$AI$24:$AI$28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63.400000000000006</c:v>
                </c:pt>
                <c:pt idx="3">
                  <c:v>63.400000000000006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72B-4202-B013-858F55F674E5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'CC-car.4'!$AH$31:$AH$35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'CC-car.4'!$AI$31:$AI$35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68.2</c:v>
                </c:pt>
                <c:pt idx="3">
                  <c:v>68.2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72B-4202-B013-858F55F674E5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'CC-car.4'!$AH$38:$AH$42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'CC-car.4'!$AI$38:$AI$42</c:f>
              <c:numCache>
                <c:formatCode>General</c:formatCode>
                <c:ptCount val="5"/>
                <c:pt idx="0">
                  <c:v>57.400000000000006</c:v>
                </c:pt>
                <c:pt idx="1">
                  <c:v>57.400000000000006</c:v>
                </c:pt>
                <c:pt idx="2">
                  <c:v>68.2</c:v>
                </c:pt>
                <c:pt idx="3">
                  <c:v>68.2</c:v>
                </c:pt>
                <c:pt idx="4">
                  <c:v>57.400000000000006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72B-4202-B013-858F55F674E5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'CC-car.4'!$V$37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'CC-car.4'!$W$37</c:f>
              <c:numCache>
                <c:formatCode>0.00</c:formatCode>
                <c:ptCount val="1"/>
                <c:pt idx="0">
                  <c:v>11.287066666666668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72B-4202-B013-858F55F674E5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'CC-car.4'!$Y$37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'CC-car.4'!$Z$37</c:f>
              <c:numCache>
                <c:formatCode>0.00</c:formatCode>
                <c:ptCount val="1"/>
                <c:pt idx="0">
                  <c:v>43.320599999999999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72B-4202-B013-858F55F674E5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'CC-car.4'!$AB$37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'CC-car.4'!$AC$37</c:f>
              <c:numCache>
                <c:formatCode>0.00</c:formatCode>
                <c:ptCount val="1"/>
                <c:pt idx="0">
                  <c:v>30.472333333333339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72B-4202-B013-858F55F67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712336"/>
        <c:axId val="356712896"/>
      </c:scatterChart>
      <c:valAx>
        <c:axId val="35671233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66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6712896"/>
        <c:crosses val="autoZero"/>
        <c:crossBetween val="midCat"/>
        <c:majorUnit val="1"/>
      </c:valAx>
      <c:valAx>
        <c:axId val="3567128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67123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399" l="0.70000000000000062" r="0.70000000000000062" t="0.75000000000001399" header="0.30000000000000032" footer="0.30000000000000032"/>
    <c:pageSetup orientation="portrait"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sz="1000"/>
            </a:pPr>
            <a:r>
              <a:rPr lang="it-IT" sz="1000"/>
              <a:t>Diagramma del momento flettente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7423330216279237E-2"/>
          <c:y val="9.9061975819114148E-2"/>
          <c:w val="0.94847987950391022"/>
          <c:h val="0.8369846419971585"/>
        </c:manualLayout>
      </c:layout>
      <c:scatterChart>
        <c:scatterStyle val="smoothMarker"/>
        <c:varyColors val="0"/>
        <c:ser>
          <c:idx val="0"/>
          <c:order val="0"/>
          <c:tx>
            <c:v>M(x)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'CC-car.5'!$AD$47:$AD$77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'CC-car.5'!$AE$47:$AE$77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6-405B-8841-AC1B011969E8}"/>
            </c:ext>
          </c:extLst>
        </c:ser>
        <c:ser>
          <c:idx val="1"/>
          <c:order val="1"/>
          <c:tx>
            <c:v>app1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'CC-car.5'!$AK$17:$AK$18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'CC-car.5'!$AL$17:$AL$18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66-405B-8841-AC1B011969E8}"/>
            </c:ext>
          </c:extLst>
        </c:ser>
        <c:ser>
          <c:idx val="2"/>
          <c:order val="2"/>
          <c:tx>
            <c:v>app2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'CC-car.5'!$AK$19:$AK$20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'CC-car.5'!$AL$19:$AL$20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F66-405B-8841-AC1B011969E8}"/>
            </c:ext>
          </c:extLst>
        </c:ser>
        <c:ser>
          <c:idx val="3"/>
          <c:order val="3"/>
          <c:tx>
            <c:v>app3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'CC-car.5'!$AK$21:$AK$22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'CC-car.5'!$AL$21:$AL$22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F66-405B-8841-AC1B011969E8}"/>
            </c:ext>
          </c:extLst>
        </c:ser>
        <c:ser>
          <c:idx val="4"/>
          <c:order val="4"/>
          <c:tx>
            <c:v>app4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'CC-car.5'!$AK$23:$AK$24</c:f>
              <c:numCache>
                <c:formatCode>0.00</c:formatCode>
                <c:ptCount val="2"/>
              </c:numCache>
            </c:numRef>
          </c:xVal>
          <c:yVal>
            <c:numRef>
              <c:f>'CC-car.5'!$AL$23:$AL$24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F66-405B-8841-AC1B011969E8}"/>
            </c:ext>
          </c:extLst>
        </c:ser>
        <c:ser>
          <c:idx val="5"/>
          <c:order val="5"/>
          <c:tx>
            <c:v>app5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prstClr val="black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4F66-405B-8841-AC1B011969E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'CC-car.5'!$AK$25:$AK$26</c:f>
              <c:numCache>
                <c:formatCode>0.00</c:formatCode>
                <c:ptCount val="2"/>
              </c:numCache>
            </c:numRef>
          </c:xVal>
          <c:yVal>
            <c:numRef>
              <c:f>'CC-car.5'!$AL$25:$AL$26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F66-405B-8841-AC1B011969E8}"/>
            </c:ext>
          </c:extLst>
        </c:ser>
        <c:ser>
          <c:idx val="10"/>
          <c:order val="6"/>
          <c:tx>
            <c:v>camp1-2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'CC-car.5'!$AK$40:$AK$41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'CC-car.5'!$AL$40:$AL$41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4F66-405B-8841-AC1B011969E8}"/>
            </c:ext>
          </c:extLst>
        </c:ser>
        <c:ser>
          <c:idx val="11"/>
          <c:order val="7"/>
          <c:tx>
            <c:v>camp.2-3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'CC-car.5'!$AK$42:$AK$43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'CC-car.5'!$AL$42:$AL$43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4F66-405B-8841-AC1B011969E8}"/>
            </c:ext>
          </c:extLst>
        </c:ser>
        <c:ser>
          <c:idx val="12"/>
          <c:order val="8"/>
          <c:tx>
            <c:v>camp.3-4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'CC-car.5'!$AK$44:$AK$45</c:f>
              <c:numCache>
                <c:formatCode>0.00</c:formatCode>
                <c:ptCount val="2"/>
              </c:numCache>
            </c:numRef>
          </c:xVal>
          <c:yVal>
            <c:numRef>
              <c:f>'CC-car.5'!$AL$44:$AL$45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4F66-405B-8841-AC1B011969E8}"/>
            </c:ext>
          </c:extLst>
        </c:ser>
        <c:ser>
          <c:idx val="13"/>
          <c:order val="9"/>
          <c:tx>
            <c:v>camp.4-5</c:v>
          </c:tx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F66-405B-8841-AC1B011969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'CC-car.5'!$AK$46:$AK$47</c:f>
              <c:numCache>
                <c:formatCode>0.00</c:formatCode>
                <c:ptCount val="2"/>
              </c:numCache>
            </c:numRef>
          </c:xVal>
          <c:yVal>
            <c:numRef>
              <c:f>'CC-car.5'!$AL$46:$AL$47</c:f>
              <c:numCache>
                <c:formatCode>0.00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4F66-405B-8841-AC1B011969E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56720736"/>
        <c:axId val="356721296"/>
      </c:scatterChart>
      <c:valAx>
        <c:axId val="356720736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00169238845144"/>
              <c:y val="0.6776642255382561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 baseline="0"/>
            </a:pPr>
            <a:endParaRPr lang="it-IT"/>
          </a:p>
        </c:txPr>
        <c:crossAx val="356721296"/>
        <c:crosses val="autoZero"/>
        <c:crossBetween val="midCat"/>
        <c:majorUnit val="1"/>
      </c:valAx>
      <c:valAx>
        <c:axId val="356721296"/>
        <c:scaling>
          <c:orientation val="maxMin"/>
        </c:scaling>
        <c:delete val="0"/>
        <c:axPos val="l"/>
        <c:title>
          <c:tx>
            <c:rich>
              <a:bodyPr rot="0" vert="horz" anchor="ctr" anchorCtr="1"/>
              <a:lstStyle/>
              <a:p>
                <a:pPr>
                  <a:defRPr/>
                </a:pPr>
                <a:r>
                  <a:rPr lang="it-IT" sz="800"/>
                  <a:t>M (kN*m)</a:t>
                </a:r>
              </a:p>
            </c:rich>
          </c:tx>
          <c:layout>
            <c:manualLayout>
              <c:xMode val="edge"/>
              <c:yMode val="edge"/>
              <c:x val="5.3333333333334523E-2"/>
              <c:y val="3.555461819752574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67207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Diagramma del Taglio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3470428268642771E-2"/>
          <c:y val="0.19441775450650234"/>
          <c:w val="0.94796977526453763"/>
          <c:h val="0.77738578636805278"/>
        </c:manualLayout>
      </c:layout>
      <c:scatterChart>
        <c:scatterStyle val="lineMarker"/>
        <c:varyColors val="0"/>
        <c:ser>
          <c:idx val="0"/>
          <c:order val="0"/>
          <c:tx>
            <c:v>T(x)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61-4FD0-A8CC-75C536264C8A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561-4FD0-A8CC-75C536264C8A}"/>
                </c:ext>
              </c:extLst>
            </c:dLbl>
            <c:dLbl>
              <c:idx val="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61-4FD0-A8CC-75C536264C8A}"/>
                </c:ext>
              </c:extLst>
            </c:dLbl>
            <c:dLbl>
              <c:idx val="1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561-4FD0-A8CC-75C536264C8A}"/>
                </c:ext>
              </c:extLst>
            </c:dLbl>
            <c:dLbl>
              <c:idx val="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561-4FD0-A8CC-75C536264C8A}"/>
                </c:ext>
              </c:extLst>
            </c:dLbl>
            <c:dLbl>
              <c:idx val="2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561-4FD0-A8CC-75C536264C8A}"/>
                </c:ext>
              </c:extLst>
            </c:dLbl>
            <c:dLbl>
              <c:idx val="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561-4FD0-A8CC-75C536264C8A}"/>
                </c:ext>
              </c:extLst>
            </c:dLbl>
            <c:dLbl>
              <c:idx val="3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561-4FD0-A8CC-75C536264C8A}"/>
                </c:ext>
              </c:extLst>
            </c:dLbl>
            <c:dLbl>
              <c:idx val="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561-4FD0-A8CC-75C536264C8A}"/>
                </c:ext>
              </c:extLst>
            </c:dLbl>
            <c:dLbl>
              <c:idx val="4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561-4FD0-A8CC-75C536264C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'CC-car.5'!$AD$47:$AD$86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0.625</c:v>
                </c:pt>
                <c:pt idx="6">
                  <c:v>1.25</c:v>
                </c:pt>
                <c:pt idx="7">
                  <c:v>1.875</c:v>
                </c:pt>
                <c:pt idx="8">
                  <c:v>2.5</c:v>
                </c:pt>
                <c:pt idx="9">
                  <c:v>3.125</c:v>
                </c:pt>
                <c:pt idx="10">
                  <c:v>3.75</c:v>
                </c:pt>
                <c:pt idx="11">
                  <c:v>4.375</c:v>
                </c:pt>
                <c:pt idx="12">
                  <c:v>5</c:v>
                </c:pt>
                <c:pt idx="13">
                  <c:v>5</c:v>
                </c:pt>
                <c:pt idx="14">
                  <c:v>5.5</c:v>
                </c:pt>
                <c:pt idx="15">
                  <c:v>6</c:v>
                </c:pt>
                <c:pt idx="16">
                  <c:v>6.5</c:v>
                </c:pt>
                <c:pt idx="17">
                  <c:v>7</c:v>
                </c:pt>
                <c:pt idx="18">
                  <c:v>7.5</c:v>
                </c:pt>
                <c:pt idx="19">
                  <c:v>8</c:v>
                </c:pt>
                <c:pt idx="20">
                  <c:v>8.5</c:v>
                </c:pt>
                <c:pt idx="21">
                  <c:v>9</c:v>
                </c:pt>
                <c:pt idx="22">
                  <c:v>9</c:v>
                </c:pt>
                <c:pt idx="23">
                  <c:v>9.3666666666666671</c:v>
                </c:pt>
                <c:pt idx="24">
                  <c:v>9.7333333333333343</c:v>
                </c:pt>
                <c:pt idx="25">
                  <c:v>10.1</c:v>
                </c:pt>
              </c:numCache>
            </c:numRef>
          </c:xVal>
          <c:yVal>
            <c:numRef>
              <c:f>'CC-car.5'!$AF$47:$AF$86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561-4FD0-A8CC-75C536264C8A}"/>
            </c:ext>
          </c:extLst>
        </c:ser>
        <c:ser>
          <c:idx val="1"/>
          <c:order val="1"/>
          <c:tx>
            <c:v>T1s</c:v>
          </c:tx>
          <c:marker>
            <c:symbol val="none"/>
          </c:marker>
          <c:xVal>
            <c:numRef>
              <c:f>'CC-car.5'!$AD$50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'CC-car.5'!$AF$50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561-4FD0-A8CC-75C536264C8A}"/>
            </c:ext>
          </c:extLst>
        </c:ser>
        <c:ser>
          <c:idx val="2"/>
          <c:order val="2"/>
          <c:tx>
            <c:v>T1d</c:v>
          </c:tx>
          <c:marker>
            <c:symbol val="none"/>
          </c:marker>
          <c:xVal>
            <c:numRef>
              <c:f>'CC-car.5'!$AD$51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'CC-car.5'!$AF$51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561-4FD0-A8CC-75C536264C8A}"/>
            </c:ext>
          </c:extLst>
        </c:ser>
        <c:ser>
          <c:idx val="3"/>
          <c:order val="3"/>
          <c:tx>
            <c:v>T2s</c:v>
          </c:tx>
          <c:marker>
            <c:symbol val="none"/>
          </c:marker>
          <c:xVal>
            <c:numRef>
              <c:f>'CC-car.5'!$AD$59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'CC-car.5'!$AF$59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561-4FD0-A8CC-75C536264C8A}"/>
            </c:ext>
          </c:extLst>
        </c:ser>
        <c:ser>
          <c:idx val="4"/>
          <c:order val="4"/>
          <c:tx>
            <c:v>T2d</c:v>
          </c:tx>
          <c:marker>
            <c:symbol val="none"/>
          </c:marker>
          <c:xVal>
            <c:numRef>
              <c:f>'CC-car.5'!$AD$60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'CC-car.5'!$AF$60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561-4FD0-A8CC-75C536264C8A}"/>
            </c:ext>
          </c:extLst>
        </c:ser>
        <c:ser>
          <c:idx val="5"/>
          <c:order val="5"/>
          <c:tx>
            <c:v>T3s</c:v>
          </c:tx>
          <c:marker>
            <c:symbol val="none"/>
          </c:marker>
          <c:xVal>
            <c:numRef>
              <c:f>'CC-car.5'!$AD$68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'CC-car.5'!$AF$68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561-4FD0-A8CC-75C536264C8A}"/>
            </c:ext>
          </c:extLst>
        </c:ser>
        <c:ser>
          <c:idx val="6"/>
          <c:order val="6"/>
          <c:tx>
            <c:v>T3d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561-4FD0-A8CC-75C536264C8A}"/>
            </c:ext>
          </c:extLst>
        </c:ser>
        <c:ser>
          <c:idx val="7"/>
          <c:order val="7"/>
          <c:tx>
            <c:v>T4s</c:v>
          </c:tx>
          <c:marker>
            <c:symbol val="none"/>
          </c:marker>
          <c:xVal>
            <c:numRef>
              <c:f>'CC-car.5'!$AD$77</c:f>
              <c:numCache>
                <c:formatCode>0.00</c:formatCode>
                <c:ptCount val="1"/>
              </c:numCache>
            </c:numRef>
          </c:xVal>
          <c:yVal>
            <c:numRef>
              <c:f>'CC-car.5'!$AF$77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561-4FD0-A8CC-75C536264C8A}"/>
            </c:ext>
          </c:extLst>
        </c:ser>
        <c:ser>
          <c:idx val="8"/>
          <c:order val="8"/>
          <c:tx>
            <c:v>T4d</c:v>
          </c:tx>
          <c:marker>
            <c:symbol val="none"/>
          </c:marker>
          <c:xVal>
            <c:numRef>
              <c:f>'car.1'!#REF!</c:f>
            </c:numRef>
          </c:xVal>
          <c:yVal>
            <c:numRef>
              <c:f>'car.1'!#REF!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561-4FD0-A8CC-75C536264C8A}"/>
            </c:ext>
          </c:extLst>
        </c:ser>
        <c:ser>
          <c:idx val="9"/>
          <c:order val="9"/>
          <c:tx>
            <c:v>T5s</c:v>
          </c:tx>
          <c:marker>
            <c:symbol val="none"/>
          </c:marker>
          <c:xVal>
            <c:numRef>
              <c:f>'CC-car.5'!$AD$86</c:f>
              <c:numCache>
                <c:formatCode>0.00</c:formatCode>
                <c:ptCount val="1"/>
              </c:numCache>
            </c:numRef>
          </c:xVal>
          <c:yVal>
            <c:numRef>
              <c:f>'CC-car.5'!$AF$86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561-4FD0-A8CC-75C536264C8A}"/>
            </c:ext>
          </c:extLst>
        </c:ser>
        <c:ser>
          <c:idx val="10"/>
          <c:order val="10"/>
          <c:tx>
            <c:v>T5d</c:v>
          </c:tx>
          <c:marker>
            <c:symbol val="none"/>
          </c:marker>
          <c:xVal>
            <c:numRef>
              <c:f>'CC-car.5'!$AD$69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'CC-car.5'!$AF$69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561-4FD0-A8CC-75C536264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729696"/>
        <c:axId val="356730256"/>
      </c:scatterChart>
      <c:valAx>
        <c:axId val="356729696"/>
        <c:scaling>
          <c:orientation val="minMax"/>
          <c:min val="0"/>
        </c:scaling>
        <c:delete val="0"/>
        <c:axPos val="b"/>
        <c:title>
          <c:tx>
            <c:rich>
              <a:bodyPr anchor="b" anchorCtr="1"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195467304620005"/>
              <c:y val="0.7377218008595287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prstClr val="black"/>
            </a:solidFill>
          </a:ln>
        </c:spPr>
        <c:txPr>
          <a:bodyPr/>
          <a:lstStyle/>
          <a:p>
            <a:pPr>
              <a:defRPr sz="800"/>
            </a:pPr>
            <a:endParaRPr lang="it-IT"/>
          </a:p>
        </c:txPr>
        <c:crossAx val="356730256"/>
        <c:crosses val="autoZero"/>
        <c:crossBetween val="midCat"/>
        <c:majorUnit val="1"/>
      </c:valAx>
      <c:valAx>
        <c:axId val="35673025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800"/>
                </a:pPr>
                <a:r>
                  <a:rPr lang="it-IT" sz="800"/>
                  <a:t>T (kN)</a:t>
                </a:r>
              </a:p>
            </c:rich>
          </c:tx>
          <c:layout>
            <c:manualLayout>
              <c:xMode val="edge"/>
              <c:yMode val="edge"/>
              <c:x val="1.2921789596637055E-2"/>
              <c:y val="7.925184661705606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672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it-IT" sz="1000" baseline="0"/>
              <a:t>Carichi e reazioni vincolari</a:t>
            </a:r>
          </a:p>
        </c:rich>
      </c:tx>
      <c:layout>
        <c:manualLayout>
          <c:xMode val="edge"/>
          <c:yMode val="edge"/>
          <c:x val="0.37818234721623745"/>
          <c:y val="1.71642961016775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602640124949522E-2"/>
          <c:y val="0.12587150474563127"/>
          <c:w val="0.90742455710851844"/>
          <c:h val="0.82970135025795999"/>
        </c:manualLayout>
      </c:layout>
      <c:scatterChart>
        <c:scatterStyle val="lineMarker"/>
        <c:varyColors val="0"/>
        <c:ser>
          <c:idx val="0"/>
          <c:order val="0"/>
          <c:tx>
            <c:v>Trave</c:v>
          </c:tx>
          <c:spPr>
            <a:ln w="25400">
              <a:solidFill>
                <a:prstClr val="black"/>
              </a:solidFill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'CC-car.5'!$AK$54:$AK$60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10.1</c:v>
                </c:pt>
              </c:numCache>
            </c:numRef>
          </c:xVal>
          <c:yVal>
            <c:numRef>
              <c:f>'CC-car.5'!$AL$54:$AL$60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A5-4872-9745-4C4775B6B0A7}"/>
            </c:ext>
          </c:extLst>
        </c:ser>
        <c:ser>
          <c:idx val="1"/>
          <c:order val="1"/>
          <c:tx>
            <c:v>R1</c:v>
          </c:tx>
          <c:spPr>
            <a:ln w="12700">
              <a:solidFill>
                <a:schemeClr val="tx1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A5-4872-9745-4C4775B6B0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'CC-car.5'!$V$36:$V$37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'CC-car.5'!$W$36:$W$37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A5-4872-9745-4C4775B6B0A7}"/>
            </c:ext>
          </c:extLst>
        </c:ser>
        <c:ser>
          <c:idx val="2"/>
          <c:order val="2"/>
          <c:tx>
            <c:v>R2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A5-4872-9745-4C4775B6B0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'CC-car.5'!$Y$36:$Y$37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'CC-car.5'!$Z$36:$Z$37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8A5-4872-9745-4C4775B6B0A7}"/>
            </c:ext>
          </c:extLst>
        </c:ser>
        <c:ser>
          <c:idx val="3"/>
          <c:order val="3"/>
          <c:tx>
            <c:v>R3</c:v>
          </c:tx>
          <c:spPr>
            <a:ln w="12700">
              <a:solidFill>
                <a:prstClr val="black"/>
              </a:solidFill>
              <a:headEnd type="arrow" w="lg" len="lg"/>
            </a:ln>
          </c:spPr>
          <c:marker>
            <c:symbol val="none"/>
          </c:marker>
          <c:dLbls>
            <c:dLbl>
              <c:idx val="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8A5-4872-9745-4C4775B6B0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'CC-car.5'!$AB$36:$AB$37</c:f>
              <c:numCache>
                <c:formatCode>0.00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'CC-car.5'!$AC$36:$AC$37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8A5-4872-9745-4C4775B6B0A7}"/>
            </c:ext>
          </c:extLst>
        </c:ser>
        <c:ser>
          <c:idx val="6"/>
          <c:order val="4"/>
          <c:tx>
            <c:v>qs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'CC-car.5'!$AH$17:$AH$21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'CC-car.5'!$AI$17:$AI$21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8A5-4872-9745-4C4775B6B0A7}"/>
            </c:ext>
          </c:extLst>
        </c:ser>
        <c:ser>
          <c:idx val="7"/>
          <c:order val="5"/>
          <c:tx>
            <c:v>q12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'CC-car.5'!$AH$24:$AH$28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5</c:v>
                </c:pt>
                <c:pt idx="2">
                  <c:v>5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'CC-car.5'!$AI$24:$AI$28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8A5-4872-9745-4C4775B6B0A7}"/>
            </c:ext>
          </c:extLst>
        </c:ser>
        <c:ser>
          <c:idx val="8"/>
          <c:order val="6"/>
          <c:tx>
            <c:v>q23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'CC-car.5'!$AH$31:$AH$35</c:f>
              <c:numCache>
                <c:formatCode>0.00</c:formatCode>
                <c:ptCount val="5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5</c:v>
                </c:pt>
              </c:numCache>
            </c:numRef>
          </c:xVal>
          <c:yVal>
            <c:numRef>
              <c:f>'CC-car.5'!$AI$31:$AI$35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8A5-4872-9745-4C4775B6B0A7}"/>
            </c:ext>
          </c:extLst>
        </c:ser>
        <c:ser>
          <c:idx val="11"/>
          <c:order val="7"/>
          <c:tx>
            <c:v>qd</c:v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'CC-car.5'!$AH$38:$AH$42</c:f>
              <c:numCache>
                <c:formatCode>0.00</c:formatCode>
                <c:ptCount val="5"/>
                <c:pt idx="0">
                  <c:v>9</c:v>
                </c:pt>
                <c:pt idx="1">
                  <c:v>10.1</c:v>
                </c:pt>
                <c:pt idx="2">
                  <c:v>10.1</c:v>
                </c:pt>
                <c:pt idx="3">
                  <c:v>9</c:v>
                </c:pt>
                <c:pt idx="4">
                  <c:v>9</c:v>
                </c:pt>
              </c:numCache>
            </c:numRef>
          </c:xVal>
          <c:yVal>
            <c:numRef>
              <c:f>'CC-car.5'!$AI$38:$AI$42</c:f>
              <c:numCache>
                <c:formatCode>General</c:formatCode>
                <c:ptCount val="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8A5-4872-9745-4C4775B6B0A7}"/>
            </c:ext>
          </c:extLst>
        </c:ser>
        <c:ser>
          <c:idx val="12"/>
          <c:order val="8"/>
          <c:tx>
            <c:v>val.R1</c:v>
          </c:tx>
          <c:marker>
            <c:symbol val="none"/>
          </c:marker>
          <c:xVal>
            <c:numRef>
              <c:f>'CC-car.5'!$V$37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'CC-car.5'!$W$37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8A5-4872-9745-4C4775B6B0A7}"/>
            </c:ext>
          </c:extLst>
        </c:ser>
        <c:ser>
          <c:idx val="13"/>
          <c:order val="9"/>
          <c:tx>
            <c:v>val.R2</c:v>
          </c:tx>
          <c:marker>
            <c:symbol val="none"/>
          </c:marker>
          <c:xVal>
            <c:numRef>
              <c:f>'CC-car.5'!$Y$37</c:f>
              <c:numCache>
                <c:formatCode>0.00</c:formatCode>
                <c:ptCount val="1"/>
                <c:pt idx="0">
                  <c:v>5</c:v>
                </c:pt>
              </c:numCache>
            </c:numRef>
          </c:xVal>
          <c:yVal>
            <c:numRef>
              <c:f>'CC-car.5'!$Z$37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8A5-4872-9745-4C4775B6B0A7}"/>
            </c:ext>
          </c:extLst>
        </c:ser>
        <c:ser>
          <c:idx val="14"/>
          <c:order val="10"/>
          <c:tx>
            <c:v>val.R3</c:v>
          </c:tx>
          <c:marker>
            <c:symbol val="none"/>
          </c:marker>
          <c:xVal>
            <c:numRef>
              <c:f>'CC-car.5'!$AB$37</c:f>
              <c:numCache>
                <c:formatCode>0.00</c:formatCode>
                <c:ptCount val="1"/>
                <c:pt idx="0">
                  <c:v>9</c:v>
                </c:pt>
              </c:numCache>
            </c:numRef>
          </c:xVal>
          <c:yVal>
            <c:numRef>
              <c:f>'CC-car.5'!$AC$37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8A5-4872-9745-4C4775B6B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738656"/>
        <c:axId val="356739216"/>
      </c:scatterChart>
      <c:valAx>
        <c:axId val="35673865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it-IT" sz="800"/>
                  <a:t>L (m)</a:t>
                </a:r>
              </a:p>
            </c:rich>
          </c:tx>
          <c:layout>
            <c:manualLayout>
              <c:xMode val="edge"/>
              <c:yMode val="edge"/>
              <c:x val="0.93449979672369288"/>
              <c:y val="0.559226133252606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 baseline="0"/>
            </a:pPr>
            <a:endParaRPr lang="it-IT"/>
          </a:p>
        </c:txPr>
        <c:crossAx val="356739216"/>
        <c:crosses val="autoZero"/>
        <c:crossBetween val="midCat"/>
        <c:majorUnit val="1"/>
      </c:valAx>
      <c:valAx>
        <c:axId val="3567392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3567386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1421" l="0.70000000000000062" r="0.70000000000000062" t="0.75000000000001421" header="0.30000000000000032" footer="0.30000000000000032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6" Type="http://schemas.openxmlformats.org/officeDocument/2006/relationships/chart" Target="../charts/chart49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9.xml"/><Relationship Id="rId3" Type="http://schemas.openxmlformats.org/officeDocument/2006/relationships/chart" Target="../charts/chart54.xml"/><Relationship Id="rId7" Type="http://schemas.openxmlformats.org/officeDocument/2006/relationships/chart" Target="../charts/chart58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Relationship Id="rId6" Type="http://schemas.openxmlformats.org/officeDocument/2006/relationships/chart" Target="../charts/chart57.xml"/><Relationship Id="rId5" Type="http://schemas.openxmlformats.org/officeDocument/2006/relationships/chart" Target="../charts/chart56.xml"/><Relationship Id="rId4" Type="http://schemas.openxmlformats.org/officeDocument/2006/relationships/chart" Target="../charts/chart55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5" Type="http://schemas.openxmlformats.org/officeDocument/2006/relationships/chart" Target="../charts/chart64.xml"/><Relationship Id="rId4" Type="http://schemas.openxmlformats.org/officeDocument/2006/relationships/chart" Target="../charts/chart6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0.xml"/><Relationship Id="rId2" Type="http://schemas.openxmlformats.org/officeDocument/2006/relationships/chart" Target="../charts/chart69.xml"/><Relationship Id="rId1" Type="http://schemas.openxmlformats.org/officeDocument/2006/relationships/chart" Target="../charts/chart6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3.xml"/><Relationship Id="rId2" Type="http://schemas.openxmlformats.org/officeDocument/2006/relationships/chart" Target="../charts/chart72.xml"/><Relationship Id="rId1" Type="http://schemas.openxmlformats.org/officeDocument/2006/relationships/chart" Target="../charts/chart71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6.xml"/><Relationship Id="rId2" Type="http://schemas.openxmlformats.org/officeDocument/2006/relationships/chart" Target="../charts/chart75.xml"/><Relationship Id="rId1" Type="http://schemas.openxmlformats.org/officeDocument/2006/relationships/chart" Target="../charts/chart74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2.xml"/><Relationship Id="rId2" Type="http://schemas.openxmlformats.org/officeDocument/2006/relationships/chart" Target="../charts/chart81.xml"/><Relationship Id="rId1" Type="http://schemas.openxmlformats.org/officeDocument/2006/relationships/chart" Target="../charts/chart80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5.xml"/><Relationship Id="rId2" Type="http://schemas.openxmlformats.org/officeDocument/2006/relationships/chart" Target="../charts/chart84.xml"/><Relationship Id="rId1" Type="http://schemas.openxmlformats.org/officeDocument/2006/relationships/chart" Target="../charts/chart83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8.xml"/><Relationship Id="rId2" Type="http://schemas.openxmlformats.org/officeDocument/2006/relationships/chart" Target="../charts/chart87.xml"/><Relationship Id="rId1" Type="http://schemas.openxmlformats.org/officeDocument/2006/relationships/chart" Target="../charts/chart86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4.xml"/><Relationship Id="rId2" Type="http://schemas.openxmlformats.org/officeDocument/2006/relationships/chart" Target="../charts/chart93.xml"/><Relationship Id="rId1" Type="http://schemas.openxmlformats.org/officeDocument/2006/relationships/chart" Target="../charts/chart92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7.xml"/><Relationship Id="rId2" Type="http://schemas.openxmlformats.org/officeDocument/2006/relationships/chart" Target="../charts/chart96.xml"/><Relationship Id="rId1" Type="http://schemas.openxmlformats.org/officeDocument/2006/relationships/chart" Target="../charts/chart95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0.xml"/><Relationship Id="rId2" Type="http://schemas.openxmlformats.org/officeDocument/2006/relationships/chart" Target="../charts/chart99.xml"/><Relationship Id="rId1" Type="http://schemas.openxmlformats.org/officeDocument/2006/relationships/chart" Target="../charts/chart9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3.xml"/><Relationship Id="rId2" Type="http://schemas.openxmlformats.org/officeDocument/2006/relationships/chart" Target="../charts/chart102.xml"/><Relationship Id="rId1" Type="http://schemas.openxmlformats.org/officeDocument/2006/relationships/chart" Target="../charts/chart101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6.xml"/><Relationship Id="rId2" Type="http://schemas.openxmlformats.org/officeDocument/2006/relationships/chart" Target="../charts/chart105.xml"/><Relationship Id="rId1" Type="http://schemas.openxmlformats.org/officeDocument/2006/relationships/chart" Target="../charts/chart104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9.xml"/><Relationship Id="rId2" Type="http://schemas.openxmlformats.org/officeDocument/2006/relationships/chart" Target="../charts/chart108.xml"/><Relationship Id="rId1" Type="http://schemas.openxmlformats.org/officeDocument/2006/relationships/chart" Target="../charts/chart107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2.xml"/><Relationship Id="rId2" Type="http://schemas.openxmlformats.org/officeDocument/2006/relationships/chart" Target="../charts/chart111.xml"/><Relationship Id="rId1" Type="http://schemas.openxmlformats.org/officeDocument/2006/relationships/chart" Target="../charts/chart1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132521</xdr:colOff>
      <xdr:row>4</xdr:row>
      <xdr:rowOff>104775</xdr:rowOff>
    </xdr:from>
    <xdr:to>
      <xdr:col>9</xdr:col>
      <xdr:colOff>212911</xdr:colOff>
      <xdr:row>10</xdr:row>
      <xdr:rowOff>11768</xdr:rowOff>
    </xdr:to>
    <xdr:graphicFrame macro="[0]!Macro7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134471</xdr:colOff>
      <xdr:row>11</xdr:row>
      <xdr:rowOff>52669</xdr:rowOff>
    </xdr:from>
    <xdr:to>
      <xdr:col>9</xdr:col>
      <xdr:colOff>212911</xdr:colOff>
      <xdr:row>16</xdr:row>
      <xdr:rowOff>142316</xdr:rowOff>
    </xdr:to>
    <xdr:graphicFrame macro="[0]!Macro9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123263</xdr:colOff>
      <xdr:row>17</xdr:row>
      <xdr:rowOff>183217</xdr:rowOff>
    </xdr:from>
    <xdr:to>
      <xdr:col>9</xdr:col>
      <xdr:colOff>212911</xdr:colOff>
      <xdr:row>23</xdr:row>
      <xdr:rowOff>48746</xdr:rowOff>
    </xdr:to>
    <xdr:graphicFrame macro="[0]!Macro11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114300</xdr:colOff>
      <xdr:row>24</xdr:row>
      <xdr:rowOff>89647</xdr:rowOff>
    </xdr:from>
    <xdr:to>
      <xdr:col>9</xdr:col>
      <xdr:colOff>224117</xdr:colOff>
      <xdr:row>29</xdr:row>
      <xdr:rowOff>171450</xdr:rowOff>
    </xdr:to>
    <xdr:graphicFrame macro="[0]!Macro13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56030</xdr:colOff>
      <xdr:row>0</xdr:row>
      <xdr:rowOff>67235</xdr:rowOff>
    </xdr:from>
    <xdr:to>
      <xdr:col>7</xdr:col>
      <xdr:colOff>280147</xdr:colOff>
      <xdr:row>3</xdr:row>
      <xdr:rowOff>11206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266265" y="67235"/>
          <a:ext cx="3249706" cy="515471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it-IT" sz="1200"/>
            <a:t>TRAVI CONTINUE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118382</xdr:colOff>
      <xdr:row>18</xdr:row>
      <xdr:rowOff>17688</xdr:rowOff>
    </xdr:from>
    <xdr:to>
      <xdr:col>29</xdr:col>
      <xdr:colOff>585107</xdr:colOff>
      <xdr:row>35</xdr:row>
      <xdr:rowOff>121102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120063</xdr:colOff>
      <xdr:row>0</xdr:row>
      <xdr:rowOff>119062</xdr:rowOff>
    </xdr:from>
    <xdr:to>
      <xdr:col>29</xdr:col>
      <xdr:colOff>530679</xdr:colOff>
      <xdr:row>16</xdr:row>
      <xdr:rowOff>78122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83995</xdr:colOff>
      <xdr:row>0</xdr:row>
      <xdr:rowOff>142388</xdr:rowOff>
    </xdr:from>
    <xdr:to>
      <xdr:col>19</xdr:col>
      <xdr:colOff>577615</xdr:colOff>
      <xdr:row>13</xdr:row>
      <xdr:rowOff>97885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84554</xdr:colOff>
      <xdr:row>14</xdr:row>
      <xdr:rowOff>6024</xdr:rowOff>
    </xdr:from>
    <xdr:to>
      <xdr:col>19</xdr:col>
      <xdr:colOff>588818</xdr:colOff>
      <xdr:row>19</xdr:row>
      <xdr:rowOff>106170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62142</xdr:colOff>
      <xdr:row>20</xdr:row>
      <xdr:rowOff>37649</xdr:rowOff>
    </xdr:from>
    <xdr:to>
      <xdr:col>19</xdr:col>
      <xdr:colOff>588818</xdr:colOff>
      <xdr:row>26</xdr:row>
      <xdr:rowOff>47879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28575</xdr:colOff>
      <xdr:row>26</xdr:row>
      <xdr:rowOff>132521</xdr:rowOff>
    </xdr:from>
    <xdr:to>
      <xdr:col>19</xdr:col>
      <xdr:colOff>555251</xdr:colOff>
      <xdr:row>32</xdr:row>
      <xdr:rowOff>106701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56030</xdr:colOff>
      <xdr:row>33</xdr:row>
      <xdr:rowOff>41413</xdr:rowOff>
    </xdr:from>
    <xdr:to>
      <xdr:col>19</xdr:col>
      <xdr:colOff>582706</xdr:colOff>
      <xdr:row>38</xdr:row>
      <xdr:rowOff>66215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44824</xdr:colOff>
      <xdr:row>39</xdr:row>
      <xdr:rowOff>15813</xdr:rowOff>
    </xdr:from>
    <xdr:to>
      <xdr:col>19</xdr:col>
      <xdr:colOff>571500</xdr:colOff>
      <xdr:row>44</xdr:row>
      <xdr:rowOff>83536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25</xdr:row>
          <xdr:rowOff>9525</xdr:rowOff>
        </xdr:from>
        <xdr:to>
          <xdr:col>7</xdr:col>
          <xdr:colOff>581025</xdr:colOff>
          <xdr:row>25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26</xdr:row>
          <xdr:rowOff>9525</xdr:rowOff>
        </xdr:from>
        <xdr:to>
          <xdr:col>7</xdr:col>
          <xdr:colOff>581025</xdr:colOff>
          <xdr:row>26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27</xdr:row>
          <xdr:rowOff>9525</xdr:rowOff>
        </xdr:from>
        <xdr:to>
          <xdr:col>7</xdr:col>
          <xdr:colOff>581025</xdr:colOff>
          <xdr:row>27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28</xdr:row>
          <xdr:rowOff>9525</xdr:rowOff>
        </xdr:from>
        <xdr:to>
          <xdr:col>7</xdr:col>
          <xdr:colOff>581025</xdr:colOff>
          <xdr:row>28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29</xdr:row>
          <xdr:rowOff>19050</xdr:rowOff>
        </xdr:from>
        <xdr:to>
          <xdr:col>7</xdr:col>
          <xdr:colOff>581025</xdr:colOff>
          <xdr:row>29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25</xdr:row>
          <xdr:rowOff>19050</xdr:rowOff>
        </xdr:from>
        <xdr:to>
          <xdr:col>8</xdr:col>
          <xdr:colOff>581025</xdr:colOff>
          <xdr:row>29</xdr:row>
          <xdr:rowOff>133350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38100</xdr:rowOff>
        </xdr:from>
        <xdr:to>
          <xdr:col>9</xdr:col>
          <xdr:colOff>571500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al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11</xdr:row>
          <xdr:rowOff>9525</xdr:rowOff>
        </xdr:from>
        <xdr:to>
          <xdr:col>5</xdr:col>
          <xdr:colOff>0</xdr:colOff>
          <xdr:row>11</xdr:row>
          <xdr:rowOff>142875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590550</xdr:colOff>
          <xdr:row>12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6</xdr:col>
          <xdr:colOff>600075</xdr:colOff>
          <xdr:row>20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</xdr:row>
          <xdr:rowOff>9525</xdr:rowOff>
        </xdr:from>
        <xdr:to>
          <xdr:col>4</xdr:col>
          <xdr:colOff>590550</xdr:colOff>
          <xdr:row>19</xdr:row>
          <xdr:rowOff>152400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12</xdr:row>
          <xdr:rowOff>142875</xdr:rowOff>
        </xdr:from>
        <xdr:to>
          <xdr:col>8</xdr:col>
          <xdr:colOff>552450</xdr:colOff>
          <xdr:row>15</xdr:row>
          <xdr:rowOff>142875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sezioni in c.a.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16</xdr:row>
          <xdr:rowOff>9525</xdr:rowOff>
        </xdr:from>
        <xdr:to>
          <xdr:col>8</xdr:col>
          <xdr:colOff>552450</xdr:colOff>
          <xdr:row>19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profili in acciciao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118382</xdr:colOff>
      <xdr:row>18</xdr:row>
      <xdr:rowOff>17688</xdr:rowOff>
    </xdr:from>
    <xdr:to>
      <xdr:col>29</xdr:col>
      <xdr:colOff>585107</xdr:colOff>
      <xdr:row>35</xdr:row>
      <xdr:rowOff>121102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120063</xdr:colOff>
      <xdr:row>0</xdr:row>
      <xdr:rowOff>119062</xdr:rowOff>
    </xdr:from>
    <xdr:to>
      <xdr:col>29</xdr:col>
      <xdr:colOff>530679</xdr:colOff>
      <xdr:row>16</xdr:row>
      <xdr:rowOff>78122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83995</xdr:colOff>
      <xdr:row>0</xdr:row>
      <xdr:rowOff>107752</xdr:rowOff>
    </xdr:from>
    <xdr:to>
      <xdr:col>19</xdr:col>
      <xdr:colOff>577615</xdr:colOff>
      <xdr:row>13</xdr:row>
      <xdr:rowOff>23664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84554</xdr:colOff>
      <xdr:row>13</xdr:row>
      <xdr:rowOff>139620</xdr:rowOff>
    </xdr:from>
    <xdr:to>
      <xdr:col>19</xdr:col>
      <xdr:colOff>588818</xdr:colOff>
      <xdr:row>19</xdr:row>
      <xdr:rowOff>86378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62142</xdr:colOff>
      <xdr:row>19</xdr:row>
      <xdr:rowOff>137847</xdr:rowOff>
    </xdr:from>
    <xdr:to>
      <xdr:col>19</xdr:col>
      <xdr:colOff>588818</xdr:colOff>
      <xdr:row>25</xdr:row>
      <xdr:rowOff>148077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28575</xdr:colOff>
      <xdr:row>26</xdr:row>
      <xdr:rowOff>50879</xdr:rowOff>
    </xdr:from>
    <xdr:to>
      <xdr:col>19</xdr:col>
      <xdr:colOff>555251</xdr:colOff>
      <xdr:row>32</xdr:row>
      <xdr:rowOff>25059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56030</xdr:colOff>
      <xdr:row>32</xdr:row>
      <xdr:rowOff>95841</xdr:rowOff>
    </xdr:from>
    <xdr:to>
      <xdr:col>19</xdr:col>
      <xdr:colOff>582706</xdr:colOff>
      <xdr:row>37</xdr:row>
      <xdr:rowOff>155280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44824</xdr:colOff>
      <xdr:row>38</xdr:row>
      <xdr:rowOff>5916</xdr:rowOff>
    </xdr:from>
    <xdr:to>
      <xdr:col>19</xdr:col>
      <xdr:colOff>571500</xdr:colOff>
      <xdr:row>43</xdr:row>
      <xdr:rowOff>73641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25</xdr:row>
          <xdr:rowOff>9525</xdr:rowOff>
        </xdr:from>
        <xdr:to>
          <xdr:col>8</xdr:col>
          <xdr:colOff>571500</xdr:colOff>
          <xdr:row>25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26</xdr:row>
          <xdr:rowOff>9525</xdr:rowOff>
        </xdr:from>
        <xdr:to>
          <xdr:col>8</xdr:col>
          <xdr:colOff>571500</xdr:colOff>
          <xdr:row>26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27</xdr:row>
          <xdr:rowOff>9525</xdr:rowOff>
        </xdr:from>
        <xdr:to>
          <xdr:col>8</xdr:col>
          <xdr:colOff>571500</xdr:colOff>
          <xdr:row>27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8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28</xdr:row>
          <xdr:rowOff>9525</xdr:rowOff>
        </xdr:from>
        <xdr:to>
          <xdr:col>8</xdr:col>
          <xdr:colOff>571500</xdr:colOff>
          <xdr:row>28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8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29</xdr:row>
          <xdr:rowOff>19050</xdr:rowOff>
        </xdr:from>
        <xdr:to>
          <xdr:col>8</xdr:col>
          <xdr:colOff>571500</xdr:colOff>
          <xdr:row>29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25</xdr:row>
          <xdr:rowOff>19050</xdr:rowOff>
        </xdr:from>
        <xdr:to>
          <xdr:col>9</xdr:col>
          <xdr:colOff>571500</xdr:colOff>
          <xdr:row>29</xdr:row>
          <xdr:rowOff>133350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8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19050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8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al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11</xdr:row>
          <xdr:rowOff>9525</xdr:rowOff>
        </xdr:from>
        <xdr:to>
          <xdr:col>4</xdr:col>
          <xdr:colOff>600075</xdr:colOff>
          <xdr:row>12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8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9525</xdr:rowOff>
        </xdr:from>
        <xdr:to>
          <xdr:col>7</xdr:col>
          <xdr:colOff>600075</xdr:colOff>
          <xdr:row>11</xdr:row>
          <xdr:rowOff>142875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8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19</xdr:row>
          <xdr:rowOff>9525</xdr:rowOff>
        </xdr:from>
        <xdr:to>
          <xdr:col>4</xdr:col>
          <xdr:colOff>600075</xdr:colOff>
          <xdr:row>19</xdr:row>
          <xdr:rowOff>161925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8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19</xdr:row>
          <xdr:rowOff>28575</xdr:rowOff>
        </xdr:from>
        <xdr:to>
          <xdr:col>7</xdr:col>
          <xdr:colOff>590550</xdr:colOff>
          <xdr:row>19</xdr:row>
          <xdr:rowOff>161925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8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13</xdr:row>
          <xdr:rowOff>9525</xdr:rowOff>
        </xdr:from>
        <xdr:to>
          <xdr:col>9</xdr:col>
          <xdr:colOff>514350</xdr:colOff>
          <xdr:row>15</xdr:row>
          <xdr:rowOff>142875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8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sezioni in c.a.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16</xdr:row>
          <xdr:rowOff>38100</xdr:rowOff>
        </xdr:from>
        <xdr:to>
          <xdr:col>9</xdr:col>
          <xdr:colOff>514350</xdr:colOff>
          <xdr:row>18</xdr:row>
          <xdr:rowOff>133350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8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profili in acciaio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118382</xdr:colOff>
      <xdr:row>18</xdr:row>
      <xdr:rowOff>17688</xdr:rowOff>
    </xdr:from>
    <xdr:to>
      <xdr:col>30</xdr:col>
      <xdr:colOff>215153</xdr:colOff>
      <xdr:row>35</xdr:row>
      <xdr:rowOff>121102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120063</xdr:colOff>
      <xdr:row>0</xdr:row>
      <xdr:rowOff>119062</xdr:rowOff>
    </xdr:from>
    <xdr:to>
      <xdr:col>29</xdr:col>
      <xdr:colOff>530679</xdr:colOff>
      <xdr:row>16</xdr:row>
      <xdr:rowOff>78122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83995</xdr:colOff>
      <xdr:row>0</xdr:row>
      <xdr:rowOff>107752</xdr:rowOff>
    </xdr:from>
    <xdr:to>
      <xdr:col>19</xdr:col>
      <xdr:colOff>577615</xdr:colOff>
      <xdr:row>12</xdr:row>
      <xdr:rowOff>146129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84554</xdr:colOff>
      <xdr:row>14</xdr:row>
      <xdr:rowOff>30763</xdr:rowOff>
    </xdr:from>
    <xdr:to>
      <xdr:col>19</xdr:col>
      <xdr:colOff>588818</xdr:colOff>
      <xdr:row>19</xdr:row>
      <xdr:rowOff>99985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62142</xdr:colOff>
      <xdr:row>20</xdr:row>
      <xdr:rowOff>83418</xdr:rowOff>
    </xdr:from>
    <xdr:to>
      <xdr:col>19</xdr:col>
      <xdr:colOff>588818</xdr:colOff>
      <xdr:row>26</xdr:row>
      <xdr:rowOff>93649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28575</xdr:colOff>
      <xdr:row>26</xdr:row>
      <xdr:rowOff>146129</xdr:rowOff>
    </xdr:from>
    <xdr:to>
      <xdr:col>19</xdr:col>
      <xdr:colOff>555251</xdr:colOff>
      <xdr:row>32</xdr:row>
      <xdr:rowOff>120309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56030</xdr:colOff>
      <xdr:row>33</xdr:row>
      <xdr:rowOff>55020</xdr:rowOff>
    </xdr:from>
    <xdr:to>
      <xdr:col>19</xdr:col>
      <xdr:colOff>582706</xdr:colOff>
      <xdr:row>38</xdr:row>
      <xdr:rowOff>73637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44824</xdr:colOff>
      <xdr:row>38</xdr:row>
      <xdr:rowOff>141987</xdr:rowOff>
    </xdr:from>
    <xdr:to>
      <xdr:col>19</xdr:col>
      <xdr:colOff>571500</xdr:colOff>
      <xdr:row>44</xdr:row>
      <xdr:rowOff>60033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25</xdr:row>
          <xdr:rowOff>9525</xdr:rowOff>
        </xdr:from>
        <xdr:to>
          <xdr:col>8</xdr:col>
          <xdr:colOff>571500</xdr:colOff>
          <xdr:row>25</xdr:row>
          <xdr:rowOff>133350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9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26</xdr:row>
          <xdr:rowOff>9525</xdr:rowOff>
        </xdr:from>
        <xdr:to>
          <xdr:col>8</xdr:col>
          <xdr:colOff>571500</xdr:colOff>
          <xdr:row>26</xdr:row>
          <xdr:rowOff>133350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9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27</xdr:row>
          <xdr:rowOff>9525</xdr:rowOff>
        </xdr:from>
        <xdr:to>
          <xdr:col>8</xdr:col>
          <xdr:colOff>571500</xdr:colOff>
          <xdr:row>27</xdr:row>
          <xdr:rowOff>133350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9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28</xdr:row>
          <xdr:rowOff>9525</xdr:rowOff>
        </xdr:from>
        <xdr:to>
          <xdr:col>8</xdr:col>
          <xdr:colOff>571500</xdr:colOff>
          <xdr:row>28</xdr:row>
          <xdr:rowOff>133350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29</xdr:row>
          <xdr:rowOff>19050</xdr:rowOff>
        </xdr:from>
        <xdr:to>
          <xdr:col>8</xdr:col>
          <xdr:colOff>571500</xdr:colOff>
          <xdr:row>29</xdr:row>
          <xdr:rowOff>142875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25</xdr:row>
          <xdr:rowOff>19050</xdr:rowOff>
        </xdr:from>
        <xdr:to>
          <xdr:col>9</xdr:col>
          <xdr:colOff>571500</xdr:colOff>
          <xdr:row>29</xdr:row>
          <xdr:rowOff>133350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9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10</xdr:col>
          <xdr:colOff>0</xdr:colOff>
          <xdr:row>0</xdr:row>
          <xdr:rowOff>190500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9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al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</xdr:row>
          <xdr:rowOff>19050</xdr:rowOff>
        </xdr:from>
        <xdr:to>
          <xdr:col>8</xdr:col>
          <xdr:colOff>19050</xdr:colOff>
          <xdr:row>12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9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19050</xdr:rowOff>
        </xdr:from>
        <xdr:to>
          <xdr:col>4</xdr:col>
          <xdr:colOff>0</xdr:colOff>
          <xdr:row>11</xdr:row>
          <xdr:rowOff>142875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9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19050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9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28575</xdr:rowOff>
        </xdr:from>
        <xdr:to>
          <xdr:col>8</xdr:col>
          <xdr:colOff>0</xdr:colOff>
          <xdr:row>19</xdr:row>
          <xdr:rowOff>161925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9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13</xdr:row>
          <xdr:rowOff>0</xdr:rowOff>
        </xdr:from>
        <xdr:to>
          <xdr:col>9</xdr:col>
          <xdr:colOff>514350</xdr:colOff>
          <xdr:row>15</xdr:row>
          <xdr:rowOff>123825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9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sezioni in c.a.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16</xdr:row>
          <xdr:rowOff>28575</xdr:rowOff>
        </xdr:from>
        <xdr:to>
          <xdr:col>9</xdr:col>
          <xdr:colOff>514350</xdr:colOff>
          <xdr:row>19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9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profili in acciaio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118382</xdr:colOff>
      <xdr:row>18</xdr:row>
      <xdr:rowOff>17688</xdr:rowOff>
    </xdr:from>
    <xdr:to>
      <xdr:col>30</xdr:col>
      <xdr:colOff>215153</xdr:colOff>
      <xdr:row>35</xdr:row>
      <xdr:rowOff>121102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120063</xdr:colOff>
      <xdr:row>0</xdr:row>
      <xdr:rowOff>119062</xdr:rowOff>
    </xdr:from>
    <xdr:to>
      <xdr:col>29</xdr:col>
      <xdr:colOff>530679</xdr:colOff>
      <xdr:row>16</xdr:row>
      <xdr:rowOff>78122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83995</xdr:colOff>
      <xdr:row>0</xdr:row>
      <xdr:rowOff>107752</xdr:rowOff>
    </xdr:from>
    <xdr:to>
      <xdr:col>19</xdr:col>
      <xdr:colOff>577615</xdr:colOff>
      <xdr:row>12</xdr:row>
      <xdr:rowOff>146129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84554</xdr:colOff>
      <xdr:row>14</xdr:row>
      <xdr:rowOff>30763</xdr:rowOff>
    </xdr:from>
    <xdr:to>
      <xdr:col>19</xdr:col>
      <xdr:colOff>588818</xdr:colOff>
      <xdr:row>19</xdr:row>
      <xdr:rowOff>99985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62142</xdr:colOff>
      <xdr:row>20</xdr:row>
      <xdr:rowOff>83418</xdr:rowOff>
    </xdr:from>
    <xdr:to>
      <xdr:col>19</xdr:col>
      <xdr:colOff>588818</xdr:colOff>
      <xdr:row>26</xdr:row>
      <xdr:rowOff>93649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28575</xdr:colOff>
      <xdr:row>26</xdr:row>
      <xdr:rowOff>146129</xdr:rowOff>
    </xdr:from>
    <xdr:to>
      <xdr:col>19</xdr:col>
      <xdr:colOff>555251</xdr:colOff>
      <xdr:row>32</xdr:row>
      <xdr:rowOff>120309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56030</xdr:colOff>
      <xdr:row>33</xdr:row>
      <xdr:rowOff>55020</xdr:rowOff>
    </xdr:from>
    <xdr:to>
      <xdr:col>19</xdr:col>
      <xdr:colOff>582706</xdr:colOff>
      <xdr:row>38</xdr:row>
      <xdr:rowOff>73637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44824</xdr:colOff>
      <xdr:row>38</xdr:row>
      <xdr:rowOff>141987</xdr:rowOff>
    </xdr:from>
    <xdr:to>
      <xdr:col>19</xdr:col>
      <xdr:colOff>571500</xdr:colOff>
      <xdr:row>44</xdr:row>
      <xdr:rowOff>60033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25</xdr:row>
          <xdr:rowOff>9525</xdr:rowOff>
        </xdr:from>
        <xdr:to>
          <xdr:col>8</xdr:col>
          <xdr:colOff>571500</xdr:colOff>
          <xdr:row>25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26</xdr:row>
          <xdr:rowOff>9525</xdr:rowOff>
        </xdr:from>
        <xdr:to>
          <xdr:col>8</xdr:col>
          <xdr:colOff>571500</xdr:colOff>
          <xdr:row>26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A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27</xdr:row>
          <xdr:rowOff>9525</xdr:rowOff>
        </xdr:from>
        <xdr:to>
          <xdr:col>8</xdr:col>
          <xdr:colOff>571500</xdr:colOff>
          <xdr:row>27</xdr:row>
          <xdr:rowOff>133350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A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28</xdr:row>
          <xdr:rowOff>9525</xdr:rowOff>
        </xdr:from>
        <xdr:to>
          <xdr:col>8</xdr:col>
          <xdr:colOff>571500</xdr:colOff>
          <xdr:row>28</xdr:row>
          <xdr:rowOff>133350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A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29</xdr:row>
          <xdr:rowOff>19050</xdr:rowOff>
        </xdr:from>
        <xdr:to>
          <xdr:col>8</xdr:col>
          <xdr:colOff>571500</xdr:colOff>
          <xdr:row>29</xdr:row>
          <xdr:rowOff>142875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A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25</xdr:row>
          <xdr:rowOff>19050</xdr:rowOff>
        </xdr:from>
        <xdr:to>
          <xdr:col>9</xdr:col>
          <xdr:colOff>571500</xdr:colOff>
          <xdr:row>29</xdr:row>
          <xdr:rowOff>133350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A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10</xdr:col>
          <xdr:colOff>0</xdr:colOff>
          <xdr:row>0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A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al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</xdr:row>
          <xdr:rowOff>19050</xdr:rowOff>
        </xdr:from>
        <xdr:to>
          <xdr:col>8</xdr:col>
          <xdr:colOff>19050</xdr:colOff>
          <xdr:row>12</xdr:row>
          <xdr:rowOff>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A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19050</xdr:rowOff>
        </xdr:from>
        <xdr:to>
          <xdr:col>4</xdr:col>
          <xdr:colOff>0</xdr:colOff>
          <xdr:row>11</xdr:row>
          <xdr:rowOff>142875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A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19050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A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28575</xdr:rowOff>
        </xdr:from>
        <xdr:to>
          <xdr:col>8</xdr:col>
          <xdr:colOff>0</xdr:colOff>
          <xdr:row>19</xdr:row>
          <xdr:rowOff>161925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A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13</xdr:row>
          <xdr:rowOff>0</xdr:rowOff>
        </xdr:from>
        <xdr:to>
          <xdr:col>9</xdr:col>
          <xdr:colOff>514350</xdr:colOff>
          <xdr:row>15</xdr:row>
          <xdr:rowOff>123825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A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sezioni in c.a.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16</xdr:row>
          <xdr:rowOff>28575</xdr:rowOff>
        </xdr:from>
        <xdr:to>
          <xdr:col>9</xdr:col>
          <xdr:colOff>514350</xdr:colOff>
          <xdr:row>19</xdr:row>
          <xdr:rowOff>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A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profili in acciaio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118382</xdr:colOff>
      <xdr:row>18</xdr:row>
      <xdr:rowOff>17688</xdr:rowOff>
    </xdr:from>
    <xdr:to>
      <xdr:col>30</xdr:col>
      <xdr:colOff>215153</xdr:colOff>
      <xdr:row>35</xdr:row>
      <xdr:rowOff>121102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120063</xdr:colOff>
      <xdr:row>0</xdr:row>
      <xdr:rowOff>119062</xdr:rowOff>
    </xdr:from>
    <xdr:to>
      <xdr:col>29</xdr:col>
      <xdr:colOff>530679</xdr:colOff>
      <xdr:row>16</xdr:row>
      <xdr:rowOff>78122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83995</xdr:colOff>
      <xdr:row>0</xdr:row>
      <xdr:rowOff>107752</xdr:rowOff>
    </xdr:from>
    <xdr:to>
      <xdr:col>19</xdr:col>
      <xdr:colOff>577615</xdr:colOff>
      <xdr:row>12</xdr:row>
      <xdr:rowOff>146129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84554</xdr:colOff>
      <xdr:row>14</xdr:row>
      <xdr:rowOff>30763</xdr:rowOff>
    </xdr:from>
    <xdr:to>
      <xdr:col>19</xdr:col>
      <xdr:colOff>588818</xdr:colOff>
      <xdr:row>19</xdr:row>
      <xdr:rowOff>99985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62142</xdr:colOff>
      <xdr:row>20</xdr:row>
      <xdr:rowOff>83418</xdr:rowOff>
    </xdr:from>
    <xdr:to>
      <xdr:col>19</xdr:col>
      <xdr:colOff>588818</xdr:colOff>
      <xdr:row>26</xdr:row>
      <xdr:rowOff>93649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28575</xdr:colOff>
      <xdr:row>26</xdr:row>
      <xdr:rowOff>146129</xdr:rowOff>
    </xdr:from>
    <xdr:to>
      <xdr:col>19</xdr:col>
      <xdr:colOff>555251</xdr:colOff>
      <xdr:row>32</xdr:row>
      <xdr:rowOff>120309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56030</xdr:colOff>
      <xdr:row>33</xdr:row>
      <xdr:rowOff>55020</xdr:rowOff>
    </xdr:from>
    <xdr:to>
      <xdr:col>19</xdr:col>
      <xdr:colOff>582706</xdr:colOff>
      <xdr:row>38</xdr:row>
      <xdr:rowOff>73637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44824</xdr:colOff>
      <xdr:row>38</xdr:row>
      <xdr:rowOff>141987</xdr:rowOff>
    </xdr:from>
    <xdr:to>
      <xdr:col>19</xdr:col>
      <xdr:colOff>571500</xdr:colOff>
      <xdr:row>44</xdr:row>
      <xdr:rowOff>60033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25</xdr:row>
          <xdr:rowOff>9525</xdr:rowOff>
        </xdr:from>
        <xdr:to>
          <xdr:col>8</xdr:col>
          <xdr:colOff>571500</xdr:colOff>
          <xdr:row>25</xdr:row>
          <xdr:rowOff>133350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B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26</xdr:row>
          <xdr:rowOff>9525</xdr:rowOff>
        </xdr:from>
        <xdr:to>
          <xdr:col>8</xdr:col>
          <xdr:colOff>571500</xdr:colOff>
          <xdr:row>26</xdr:row>
          <xdr:rowOff>133350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B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27</xdr:row>
          <xdr:rowOff>9525</xdr:rowOff>
        </xdr:from>
        <xdr:to>
          <xdr:col>8</xdr:col>
          <xdr:colOff>571500</xdr:colOff>
          <xdr:row>27</xdr:row>
          <xdr:rowOff>133350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B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28</xdr:row>
          <xdr:rowOff>9525</xdr:rowOff>
        </xdr:from>
        <xdr:to>
          <xdr:col>8</xdr:col>
          <xdr:colOff>571500</xdr:colOff>
          <xdr:row>28</xdr:row>
          <xdr:rowOff>133350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B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29</xdr:row>
          <xdr:rowOff>19050</xdr:rowOff>
        </xdr:from>
        <xdr:to>
          <xdr:col>8</xdr:col>
          <xdr:colOff>571500</xdr:colOff>
          <xdr:row>29</xdr:row>
          <xdr:rowOff>142875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B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25</xdr:row>
          <xdr:rowOff>19050</xdr:rowOff>
        </xdr:from>
        <xdr:to>
          <xdr:col>9</xdr:col>
          <xdr:colOff>571500</xdr:colOff>
          <xdr:row>29</xdr:row>
          <xdr:rowOff>133350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B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10</xdr:col>
          <xdr:colOff>0</xdr:colOff>
          <xdr:row>0</xdr:row>
          <xdr:rowOff>190500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B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al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</xdr:row>
          <xdr:rowOff>19050</xdr:rowOff>
        </xdr:from>
        <xdr:to>
          <xdr:col>8</xdr:col>
          <xdr:colOff>19050</xdr:colOff>
          <xdr:row>12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B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19050</xdr:rowOff>
        </xdr:from>
        <xdr:to>
          <xdr:col>4</xdr:col>
          <xdr:colOff>0</xdr:colOff>
          <xdr:row>11</xdr:row>
          <xdr:rowOff>142875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B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19050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B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28575</xdr:rowOff>
        </xdr:from>
        <xdr:to>
          <xdr:col>8</xdr:col>
          <xdr:colOff>0</xdr:colOff>
          <xdr:row>19</xdr:row>
          <xdr:rowOff>161925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B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13</xdr:row>
          <xdr:rowOff>0</xdr:rowOff>
        </xdr:from>
        <xdr:to>
          <xdr:col>9</xdr:col>
          <xdr:colOff>514350</xdr:colOff>
          <xdr:row>15</xdr:row>
          <xdr:rowOff>123825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B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sezioni in c.a.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16</xdr:row>
          <xdr:rowOff>28575</xdr:rowOff>
        </xdr:from>
        <xdr:to>
          <xdr:col>9</xdr:col>
          <xdr:colOff>514350</xdr:colOff>
          <xdr:row>19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B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profili in acciaio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118382</xdr:colOff>
      <xdr:row>18</xdr:row>
      <xdr:rowOff>17688</xdr:rowOff>
    </xdr:from>
    <xdr:to>
      <xdr:col>29</xdr:col>
      <xdr:colOff>585107</xdr:colOff>
      <xdr:row>35</xdr:row>
      <xdr:rowOff>121102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120063</xdr:colOff>
      <xdr:row>0</xdr:row>
      <xdr:rowOff>119062</xdr:rowOff>
    </xdr:from>
    <xdr:to>
      <xdr:col>29</xdr:col>
      <xdr:colOff>530679</xdr:colOff>
      <xdr:row>16</xdr:row>
      <xdr:rowOff>78122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83995</xdr:colOff>
      <xdr:row>0</xdr:row>
      <xdr:rowOff>96546</xdr:rowOff>
    </xdr:from>
    <xdr:to>
      <xdr:col>19</xdr:col>
      <xdr:colOff>577615</xdr:colOff>
      <xdr:row>13</xdr:row>
      <xdr:rowOff>110110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84554</xdr:colOff>
      <xdr:row>14</xdr:row>
      <xdr:rowOff>13155</xdr:rowOff>
    </xdr:from>
    <xdr:to>
      <xdr:col>19</xdr:col>
      <xdr:colOff>588818</xdr:colOff>
      <xdr:row>19</xdr:row>
      <xdr:rowOff>107189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62142</xdr:colOff>
      <xdr:row>20</xdr:row>
      <xdr:rowOff>976</xdr:rowOff>
    </xdr:from>
    <xdr:to>
      <xdr:col>19</xdr:col>
      <xdr:colOff>588818</xdr:colOff>
      <xdr:row>26</xdr:row>
      <xdr:rowOff>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28575</xdr:colOff>
      <xdr:row>26</xdr:row>
      <xdr:rowOff>20463</xdr:rowOff>
    </xdr:from>
    <xdr:to>
      <xdr:col>19</xdr:col>
      <xdr:colOff>555251</xdr:colOff>
      <xdr:row>31</xdr:row>
      <xdr:rowOff>140320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56030</xdr:colOff>
      <xdr:row>32</xdr:row>
      <xdr:rowOff>30207</xdr:rowOff>
    </xdr:from>
    <xdr:to>
      <xdr:col>19</xdr:col>
      <xdr:colOff>582706</xdr:colOff>
      <xdr:row>37</xdr:row>
      <xdr:rowOff>89646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44824</xdr:colOff>
      <xdr:row>37</xdr:row>
      <xdr:rowOff>122777</xdr:rowOff>
    </xdr:from>
    <xdr:to>
      <xdr:col>19</xdr:col>
      <xdr:colOff>571500</xdr:colOff>
      <xdr:row>43</xdr:row>
      <xdr:rowOff>1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25</xdr:row>
          <xdr:rowOff>9525</xdr:rowOff>
        </xdr:from>
        <xdr:to>
          <xdr:col>8</xdr:col>
          <xdr:colOff>571500</xdr:colOff>
          <xdr:row>25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C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26</xdr:row>
          <xdr:rowOff>9525</xdr:rowOff>
        </xdr:from>
        <xdr:to>
          <xdr:col>8</xdr:col>
          <xdr:colOff>571500</xdr:colOff>
          <xdr:row>26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C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27</xdr:row>
          <xdr:rowOff>9525</xdr:rowOff>
        </xdr:from>
        <xdr:to>
          <xdr:col>8</xdr:col>
          <xdr:colOff>571500</xdr:colOff>
          <xdr:row>27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C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28</xdr:row>
          <xdr:rowOff>9525</xdr:rowOff>
        </xdr:from>
        <xdr:to>
          <xdr:col>8</xdr:col>
          <xdr:colOff>571500</xdr:colOff>
          <xdr:row>28</xdr:row>
          <xdr:rowOff>133350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C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29</xdr:row>
          <xdr:rowOff>19050</xdr:rowOff>
        </xdr:from>
        <xdr:to>
          <xdr:col>8</xdr:col>
          <xdr:colOff>571500</xdr:colOff>
          <xdr:row>29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C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25</xdr:row>
          <xdr:rowOff>19050</xdr:rowOff>
        </xdr:from>
        <xdr:to>
          <xdr:col>9</xdr:col>
          <xdr:colOff>571500</xdr:colOff>
          <xdr:row>29</xdr:row>
          <xdr:rowOff>133350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C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tutto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9</xdr:col>
          <xdr:colOff>590550</xdr:colOff>
          <xdr:row>0</xdr:row>
          <xdr:rowOff>190500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C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al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9525</xdr:rowOff>
        </xdr:from>
        <xdr:to>
          <xdr:col>2</xdr:col>
          <xdr:colOff>600075</xdr:colOff>
          <xdr:row>11</xdr:row>
          <xdr:rowOff>142875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C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</xdr:row>
          <xdr:rowOff>19050</xdr:rowOff>
        </xdr:from>
        <xdr:to>
          <xdr:col>7</xdr:col>
          <xdr:colOff>600075</xdr:colOff>
          <xdr:row>11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C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19</xdr:row>
          <xdr:rowOff>19050</xdr:rowOff>
        </xdr:from>
        <xdr:to>
          <xdr:col>3</xdr:col>
          <xdr:colOff>0</xdr:colOff>
          <xdr:row>20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C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19</xdr:row>
          <xdr:rowOff>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C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Sbalzo 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13</xdr:row>
          <xdr:rowOff>9525</xdr:rowOff>
        </xdr:from>
        <xdr:to>
          <xdr:col>9</xdr:col>
          <xdr:colOff>533400</xdr:colOff>
          <xdr:row>15</xdr:row>
          <xdr:rowOff>142875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C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sezioni in c.a.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16</xdr:row>
          <xdr:rowOff>9525</xdr:rowOff>
        </xdr:from>
        <xdr:to>
          <xdr:col>9</xdr:col>
          <xdr:colOff>523875</xdr:colOff>
          <xdr:row>18</xdr:row>
          <xdr:rowOff>114300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C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Gestione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profili in acciaio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54</xdr:row>
      <xdr:rowOff>85725</xdr:rowOff>
    </xdr:from>
    <xdr:to>
      <xdr:col>9</xdr:col>
      <xdr:colOff>571499</xdr:colOff>
      <xdr:row>72</xdr:row>
      <xdr:rowOff>66675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160884</xdr:colOff>
      <xdr:row>36</xdr:row>
      <xdr:rowOff>146276</xdr:rowOff>
    </xdr:from>
    <xdr:to>
      <xdr:col>9</xdr:col>
      <xdr:colOff>571500</xdr:colOff>
      <xdr:row>54</xdr:row>
      <xdr:rowOff>10086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21</xdr:row>
      <xdr:rowOff>111099</xdr:rowOff>
    </xdr:from>
    <xdr:to>
      <xdr:col>9</xdr:col>
      <xdr:colOff>560295</xdr:colOff>
      <xdr:row>36</xdr:row>
      <xdr:rowOff>44823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0</xdr:row>
          <xdr:rowOff>9525</xdr:rowOff>
        </xdr:from>
        <xdr:to>
          <xdr:col>10</xdr:col>
          <xdr:colOff>495300</xdr:colOff>
          <xdr:row>1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F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continua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 due campate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523875</xdr:colOff>
          <xdr:row>0</xdr:row>
          <xdr:rowOff>9525</xdr:rowOff>
        </xdr:from>
        <xdr:to>
          <xdr:col>12</xdr:col>
          <xdr:colOff>561975</xdr:colOff>
          <xdr:row>1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F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continua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 tre campate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590550</xdr:colOff>
          <xdr:row>0</xdr:row>
          <xdr:rowOff>9525</xdr:rowOff>
        </xdr:from>
        <xdr:to>
          <xdr:col>15</xdr:col>
          <xdr:colOff>19050</xdr:colOff>
          <xdr:row>1</xdr:row>
          <xdr:rowOff>142875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F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continua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 quattro campate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0</xdr:row>
          <xdr:rowOff>9525</xdr:rowOff>
        </xdr:from>
        <xdr:to>
          <xdr:col>8</xdr:col>
          <xdr:colOff>428625</xdr:colOff>
          <xdr:row>1</xdr:row>
          <xdr:rowOff>142875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F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ad una campata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0</xdr:row>
          <xdr:rowOff>19050</xdr:rowOff>
        </xdr:from>
        <xdr:to>
          <xdr:col>11</xdr:col>
          <xdr:colOff>476250</xdr:colOff>
          <xdr:row>2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2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ad una campata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0</xdr:row>
          <xdr:rowOff>19050</xdr:rowOff>
        </xdr:from>
        <xdr:to>
          <xdr:col>13</xdr:col>
          <xdr:colOff>390525</xdr:colOff>
          <xdr:row>2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2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a due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campate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0</xdr:row>
          <xdr:rowOff>19050</xdr:rowOff>
        </xdr:from>
        <xdr:to>
          <xdr:col>15</xdr:col>
          <xdr:colOff>333375</xdr:colOff>
          <xdr:row>2</xdr:row>
          <xdr:rowOff>133350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2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a tre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campate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447675</xdr:colOff>
          <xdr:row>0</xdr:row>
          <xdr:rowOff>19050</xdr:rowOff>
        </xdr:from>
        <xdr:to>
          <xdr:col>17</xdr:col>
          <xdr:colOff>285750</xdr:colOff>
          <xdr:row>2</xdr:row>
          <xdr:rowOff>133350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2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 a trave a quattro </a:t>
              </a:r>
            </a:p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campate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13" Type="http://schemas.openxmlformats.org/officeDocument/2006/relationships/ctrlProp" Target="../ctrlProps/ctrlProp2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12" Type="http://schemas.openxmlformats.org/officeDocument/2006/relationships/ctrlProp" Target="../ctrlProps/ctrlProp22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5" Type="http://schemas.openxmlformats.org/officeDocument/2006/relationships/ctrlProp" Target="../ctrlProps/ctrlProp2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Relationship Id="rId1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13" Type="http://schemas.openxmlformats.org/officeDocument/2006/relationships/ctrlProp" Target="../ctrlProps/ctrlProp3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0.xml"/><Relationship Id="rId12" Type="http://schemas.openxmlformats.org/officeDocument/2006/relationships/ctrlProp" Target="../ctrlProps/ctrlProp35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5" Type="http://schemas.openxmlformats.org/officeDocument/2006/relationships/ctrlProp" Target="../ctrlProps/ctrlProp38.xml"/><Relationship Id="rId10" Type="http://schemas.openxmlformats.org/officeDocument/2006/relationships/ctrlProp" Target="../ctrlProps/ctrlProp33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Relationship Id="rId14" Type="http://schemas.openxmlformats.org/officeDocument/2006/relationships/ctrlProp" Target="../ctrlProps/ctrlProp3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5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5" Type="http://schemas.openxmlformats.org/officeDocument/2006/relationships/ctrlProp" Target="../ctrlProps/ctrlProp41.xml"/><Relationship Id="rId15" Type="http://schemas.openxmlformats.org/officeDocument/2006/relationships/ctrlProp" Target="../ctrlProps/ctrlProp51.xml"/><Relationship Id="rId10" Type="http://schemas.openxmlformats.org/officeDocument/2006/relationships/ctrlProp" Target="../ctrlProps/ctrlProp46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Relationship Id="rId14" Type="http://schemas.openxmlformats.org/officeDocument/2006/relationships/ctrlProp" Target="../ctrlProps/ctrlProp5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13" Type="http://schemas.openxmlformats.org/officeDocument/2006/relationships/ctrlProp" Target="../ctrlProps/ctrlProp6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6.xml"/><Relationship Id="rId12" Type="http://schemas.openxmlformats.org/officeDocument/2006/relationships/ctrlProp" Target="../ctrlProps/ctrlProp61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65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5.xml"/><Relationship Id="rId11" Type="http://schemas.openxmlformats.org/officeDocument/2006/relationships/ctrlProp" Target="../ctrlProps/ctrlProp60.xml"/><Relationship Id="rId5" Type="http://schemas.openxmlformats.org/officeDocument/2006/relationships/ctrlProp" Target="../ctrlProps/ctrlProp54.xml"/><Relationship Id="rId15" Type="http://schemas.openxmlformats.org/officeDocument/2006/relationships/ctrlProp" Target="../ctrlProps/ctrlProp64.xml"/><Relationship Id="rId10" Type="http://schemas.openxmlformats.org/officeDocument/2006/relationships/ctrlProp" Target="../ctrlProps/ctrlProp59.xml"/><Relationship Id="rId4" Type="http://schemas.openxmlformats.org/officeDocument/2006/relationships/ctrlProp" Target="../ctrlProps/ctrlProp53.xml"/><Relationship Id="rId9" Type="http://schemas.openxmlformats.org/officeDocument/2006/relationships/ctrlProp" Target="../ctrlProps/ctrlProp58.xml"/><Relationship Id="rId14" Type="http://schemas.openxmlformats.org/officeDocument/2006/relationships/ctrlProp" Target="../ctrlProps/ctrlProp6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0.xml"/><Relationship Id="rId13" Type="http://schemas.openxmlformats.org/officeDocument/2006/relationships/ctrlProp" Target="../ctrlProps/ctrlProp7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69.xml"/><Relationship Id="rId12" Type="http://schemas.openxmlformats.org/officeDocument/2006/relationships/ctrlProp" Target="../ctrlProps/ctrlProp74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7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8.xml"/><Relationship Id="rId11" Type="http://schemas.openxmlformats.org/officeDocument/2006/relationships/ctrlProp" Target="../ctrlProps/ctrlProp73.xml"/><Relationship Id="rId5" Type="http://schemas.openxmlformats.org/officeDocument/2006/relationships/ctrlProp" Target="../ctrlProps/ctrlProp67.xml"/><Relationship Id="rId15" Type="http://schemas.openxmlformats.org/officeDocument/2006/relationships/ctrlProp" Target="../ctrlProps/ctrlProp77.xml"/><Relationship Id="rId10" Type="http://schemas.openxmlformats.org/officeDocument/2006/relationships/ctrlProp" Target="../ctrlProps/ctrlProp72.xml"/><Relationship Id="rId4" Type="http://schemas.openxmlformats.org/officeDocument/2006/relationships/ctrlProp" Target="../ctrlProps/ctrlProp66.xml"/><Relationship Id="rId9" Type="http://schemas.openxmlformats.org/officeDocument/2006/relationships/ctrlProp" Target="../ctrlProps/ctrlProp71.xml"/><Relationship Id="rId14" Type="http://schemas.openxmlformats.org/officeDocument/2006/relationships/ctrlProp" Target="../ctrlProps/ctrlProp7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28.xml"/><Relationship Id="rId6" Type="http://schemas.openxmlformats.org/officeDocument/2006/relationships/ctrlProp" Target="../ctrlProps/ctrlProp82.xml"/><Relationship Id="rId5" Type="http://schemas.openxmlformats.org/officeDocument/2006/relationships/ctrlProp" Target="../ctrlProps/ctrlProp81.xml"/><Relationship Id="rId4" Type="http://schemas.openxmlformats.org/officeDocument/2006/relationships/ctrlProp" Target="../ctrlProps/ctrlProp8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29.xml"/><Relationship Id="rId6" Type="http://schemas.openxmlformats.org/officeDocument/2006/relationships/ctrlProp" Target="../ctrlProps/ctrlProp86.xml"/><Relationship Id="rId5" Type="http://schemas.openxmlformats.org/officeDocument/2006/relationships/ctrlProp" Target="../ctrlProps/ctrlProp85.xml"/><Relationship Id="rId4" Type="http://schemas.openxmlformats.org/officeDocument/2006/relationships/ctrlProp" Target="../ctrlProps/ctrlProp8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6:I31"/>
  <sheetViews>
    <sheetView showGridLines="0" zoomScale="85" zoomScaleNormal="85" workbookViewId="0">
      <selection activeCell="O19" sqref="O19"/>
    </sheetView>
  </sheetViews>
  <sheetFormatPr defaultRowHeight="15" x14ac:dyDescent="0.25"/>
  <cols>
    <col min="10" max="10" width="6.42578125" customWidth="1"/>
  </cols>
  <sheetData>
    <row r="6" spans="1:9" x14ac:dyDescent="0.25">
      <c r="A6" s="36"/>
      <c r="B6" s="36"/>
      <c r="C6" s="36"/>
      <c r="D6" s="36"/>
      <c r="E6" s="36"/>
      <c r="F6" s="36"/>
      <c r="G6" s="36"/>
      <c r="H6" s="36"/>
      <c r="I6" s="36"/>
    </row>
    <row r="7" spans="1:9" x14ac:dyDescent="0.25">
      <c r="A7" s="36"/>
      <c r="B7" s="36"/>
      <c r="C7" s="36"/>
      <c r="D7" s="36"/>
      <c r="E7" s="36"/>
      <c r="F7" s="36"/>
      <c r="G7" s="36"/>
      <c r="H7" s="36"/>
      <c r="I7" s="36"/>
    </row>
    <row r="8" spans="1:9" x14ac:dyDescent="0.25">
      <c r="A8" s="36"/>
      <c r="B8" s="36"/>
      <c r="C8" s="36"/>
      <c r="D8" s="36"/>
      <c r="E8" s="36"/>
      <c r="F8" s="36"/>
      <c r="G8" s="36"/>
      <c r="H8" s="36"/>
      <c r="I8" s="36"/>
    </row>
    <row r="9" spans="1:9" x14ac:dyDescent="0.25">
      <c r="A9" s="36"/>
      <c r="B9" s="36"/>
      <c r="C9" s="36"/>
      <c r="D9" s="36"/>
      <c r="E9" s="36"/>
      <c r="F9" s="36"/>
      <c r="G9" s="36"/>
      <c r="H9" s="36"/>
      <c r="I9" s="36"/>
    </row>
    <row r="10" spans="1:9" x14ac:dyDescent="0.25">
      <c r="A10" s="36"/>
      <c r="B10" s="36"/>
      <c r="C10" s="36"/>
      <c r="D10" s="36"/>
      <c r="E10" s="36"/>
      <c r="F10" s="36"/>
      <c r="G10" s="36"/>
      <c r="H10" s="36"/>
      <c r="I10" s="36"/>
    </row>
    <row r="11" spans="1:9" x14ac:dyDescent="0.25">
      <c r="A11" s="36"/>
      <c r="B11" s="36"/>
      <c r="C11" s="36"/>
      <c r="D11" s="36"/>
      <c r="E11" s="36"/>
      <c r="F11" s="36"/>
      <c r="G11" s="36"/>
      <c r="H11" s="36"/>
      <c r="I11" s="36"/>
    </row>
    <row r="12" spans="1:9" x14ac:dyDescent="0.25">
      <c r="A12" s="36"/>
      <c r="B12" s="36"/>
      <c r="C12" s="36"/>
      <c r="D12" s="36"/>
      <c r="E12" s="36"/>
      <c r="F12" s="36"/>
      <c r="G12" s="36"/>
      <c r="H12" s="36"/>
      <c r="I12" s="36"/>
    </row>
    <row r="13" spans="1:9" x14ac:dyDescent="0.25">
      <c r="A13" s="36"/>
      <c r="B13" s="36"/>
      <c r="C13" s="36"/>
      <c r="D13" s="36"/>
      <c r="E13" s="36"/>
      <c r="F13" s="36"/>
      <c r="G13" s="36"/>
      <c r="H13" s="36"/>
      <c r="I13" s="36"/>
    </row>
    <row r="14" spans="1:9" x14ac:dyDescent="0.25">
      <c r="A14" s="36"/>
      <c r="B14" s="36"/>
      <c r="C14" s="36"/>
      <c r="D14" s="36"/>
      <c r="E14" s="36"/>
      <c r="F14" s="36"/>
      <c r="G14" s="36"/>
      <c r="H14" s="36"/>
      <c r="I14" s="36"/>
    </row>
    <row r="15" spans="1:9" x14ac:dyDescent="0.25">
      <c r="A15" s="36"/>
      <c r="B15" s="36"/>
      <c r="C15" s="36"/>
      <c r="D15" s="36"/>
      <c r="E15" s="36"/>
      <c r="F15" s="36"/>
      <c r="G15" s="36"/>
      <c r="H15" s="36"/>
      <c r="I15" s="36"/>
    </row>
    <row r="16" spans="1:9" x14ac:dyDescent="0.25">
      <c r="A16" s="36"/>
      <c r="B16" s="36"/>
      <c r="C16" s="36"/>
      <c r="D16" s="36"/>
      <c r="E16" s="36"/>
      <c r="F16" s="36"/>
      <c r="G16" s="36"/>
      <c r="H16" s="36"/>
      <c r="I16" s="36"/>
    </row>
    <row r="17" spans="1:9" x14ac:dyDescent="0.25">
      <c r="A17" s="36"/>
      <c r="B17" s="36"/>
      <c r="C17" s="36"/>
      <c r="D17" s="36"/>
      <c r="E17" s="36"/>
      <c r="F17" s="36"/>
      <c r="G17" s="36"/>
      <c r="H17" s="36"/>
      <c r="I17" s="36"/>
    </row>
    <row r="18" spans="1:9" x14ac:dyDescent="0.25">
      <c r="A18" s="36"/>
      <c r="B18" s="36"/>
      <c r="C18" s="36"/>
      <c r="D18" s="36"/>
      <c r="E18" s="36"/>
      <c r="F18" s="36"/>
      <c r="G18" s="36"/>
      <c r="H18" s="36"/>
      <c r="I18" s="36"/>
    </row>
    <row r="19" spans="1:9" x14ac:dyDescent="0.25">
      <c r="A19" s="36"/>
      <c r="B19" s="36"/>
      <c r="C19" s="36"/>
      <c r="D19" s="36"/>
      <c r="E19" s="36"/>
      <c r="F19" s="36"/>
      <c r="G19" s="36"/>
      <c r="H19" s="36"/>
      <c r="I19" s="36"/>
    </row>
    <row r="20" spans="1:9" x14ac:dyDescent="0.25">
      <c r="A20" s="36"/>
      <c r="B20" s="36"/>
      <c r="C20" s="36"/>
      <c r="D20" s="36"/>
      <c r="E20" s="36"/>
      <c r="F20" s="36"/>
      <c r="G20" s="36"/>
      <c r="H20" s="36"/>
      <c r="I20" s="36"/>
    </row>
    <row r="21" spans="1:9" x14ac:dyDescent="0.25">
      <c r="A21" s="36"/>
      <c r="B21" s="36"/>
      <c r="C21" s="36"/>
      <c r="D21" s="36"/>
      <c r="E21" s="36"/>
      <c r="F21" s="36"/>
      <c r="G21" s="36"/>
      <c r="H21" s="36"/>
      <c r="I21" s="36"/>
    </row>
    <row r="22" spans="1:9" x14ac:dyDescent="0.25">
      <c r="A22" s="36"/>
      <c r="B22" s="36"/>
      <c r="C22" s="36"/>
      <c r="D22" s="36"/>
      <c r="E22" s="36"/>
      <c r="F22" s="36"/>
      <c r="G22" s="36"/>
      <c r="H22" s="36"/>
      <c r="I22" s="36"/>
    </row>
    <row r="23" spans="1:9" x14ac:dyDescent="0.25">
      <c r="A23" s="36"/>
      <c r="B23" s="36"/>
      <c r="C23" s="36"/>
      <c r="D23" s="36"/>
      <c r="E23" s="36"/>
      <c r="F23" s="36"/>
      <c r="G23" s="36"/>
      <c r="H23" s="36"/>
      <c r="I23" s="36"/>
    </row>
    <row r="24" spans="1:9" x14ac:dyDescent="0.25">
      <c r="A24" s="36"/>
      <c r="B24" s="36"/>
      <c r="C24" s="36"/>
      <c r="D24" s="36"/>
      <c r="E24" s="36"/>
      <c r="F24" s="36"/>
      <c r="G24" s="36"/>
      <c r="H24" s="36"/>
      <c r="I24" s="36"/>
    </row>
    <row r="25" spans="1:9" x14ac:dyDescent="0.25">
      <c r="A25" s="36"/>
      <c r="B25" s="36"/>
      <c r="C25" s="36"/>
      <c r="D25" s="36"/>
      <c r="E25" s="36"/>
      <c r="F25" s="36"/>
      <c r="G25" s="36"/>
      <c r="H25" s="36"/>
      <c r="I25" s="36"/>
    </row>
    <row r="26" spans="1:9" x14ac:dyDescent="0.25">
      <c r="A26" s="36"/>
      <c r="B26" s="36"/>
      <c r="C26" s="36"/>
      <c r="D26" s="36"/>
      <c r="E26" s="36"/>
      <c r="F26" s="36"/>
      <c r="G26" s="36"/>
      <c r="H26" s="36"/>
      <c r="I26" s="36"/>
    </row>
    <row r="27" spans="1:9" x14ac:dyDescent="0.25">
      <c r="A27" s="36"/>
      <c r="B27" s="36"/>
      <c r="C27" s="36"/>
      <c r="D27" s="36"/>
      <c r="E27" s="36"/>
      <c r="F27" s="36"/>
      <c r="G27" s="36"/>
      <c r="H27" s="36"/>
      <c r="I27" s="36"/>
    </row>
    <row r="28" spans="1:9" x14ac:dyDescent="0.25">
      <c r="A28" s="36"/>
      <c r="B28" s="36"/>
      <c r="C28" s="36"/>
      <c r="D28" s="36"/>
      <c r="E28" s="36"/>
      <c r="F28" s="36"/>
      <c r="G28" s="36"/>
      <c r="H28" s="36"/>
      <c r="I28" s="36"/>
    </row>
    <row r="29" spans="1:9" x14ac:dyDescent="0.25">
      <c r="A29" s="36"/>
      <c r="B29" s="36"/>
      <c r="C29" s="36"/>
      <c r="D29" s="36"/>
      <c r="E29" s="36"/>
      <c r="F29" s="36"/>
      <c r="G29" s="36"/>
      <c r="H29" s="36"/>
      <c r="I29" s="36"/>
    </row>
    <row r="30" spans="1:9" x14ac:dyDescent="0.25">
      <c r="A30" s="36"/>
      <c r="B30" s="36"/>
      <c r="C30" s="36"/>
      <c r="D30" s="36"/>
      <c r="E30" s="36"/>
      <c r="F30" s="36"/>
      <c r="G30" s="36"/>
      <c r="H30" s="36"/>
      <c r="I30" s="36"/>
    </row>
    <row r="31" spans="1:9" x14ac:dyDescent="0.25">
      <c r="A31" s="36"/>
      <c r="B31" s="36"/>
      <c r="C31" s="36"/>
      <c r="D31" s="36"/>
      <c r="E31" s="36"/>
      <c r="F31" s="36"/>
      <c r="G31" s="36"/>
      <c r="H31" s="36"/>
      <c r="I31" s="36"/>
    </row>
  </sheetData>
  <sheetProtection sheet="1" objects="1" scenarios="1" selectLockedCells="1"/>
  <pageMargins left="0.59" right="0.57999999999999996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BD99"/>
  <sheetViews>
    <sheetView showGridLines="0" zoomScaleNormal="100" workbookViewId="0">
      <selection activeCell="L1" sqref="L1"/>
    </sheetView>
  </sheetViews>
  <sheetFormatPr defaultColWidth="9.140625" defaultRowHeight="12" x14ac:dyDescent="0.2"/>
  <cols>
    <col min="1" max="31" width="9.140625" style="1"/>
    <col min="32" max="50" width="9.140625" style="1" customWidth="1"/>
    <col min="51" max="16384" width="9.140625" style="1"/>
  </cols>
  <sheetData>
    <row r="1" spans="1:56" ht="15.75" customHeight="1" thickBot="1" x14ac:dyDescent="0.25">
      <c r="A1" s="334" t="s">
        <v>123</v>
      </c>
      <c r="B1" s="334"/>
      <c r="C1" s="334"/>
      <c r="D1" s="334"/>
      <c r="E1" s="334"/>
      <c r="F1" s="334"/>
      <c r="G1" s="334"/>
      <c r="H1" s="334"/>
      <c r="I1" s="334"/>
      <c r="J1" s="334"/>
      <c r="U1" s="2"/>
      <c r="AF1" s="2" t="s">
        <v>58</v>
      </c>
      <c r="AK1" s="2" t="s">
        <v>62</v>
      </c>
    </row>
    <row r="2" spans="1:56" ht="14.25" customHeight="1" thickTop="1" x14ac:dyDescent="0.25">
      <c r="O2" s="12"/>
      <c r="AE2" s="38"/>
      <c r="AF2" s="9" t="s">
        <v>54</v>
      </c>
      <c r="AG2" s="39" t="s">
        <v>55</v>
      </c>
      <c r="AH2" s="39" t="s">
        <v>3</v>
      </c>
      <c r="AI2" s="39" t="s">
        <v>4</v>
      </c>
      <c r="AJ2" s="38"/>
      <c r="AK2" s="9" t="s">
        <v>54</v>
      </c>
      <c r="AL2" s="39" t="s">
        <v>55</v>
      </c>
      <c r="AM2" s="39" t="s">
        <v>3</v>
      </c>
      <c r="AN2" s="39" t="s">
        <v>4</v>
      </c>
    </row>
    <row r="3" spans="1:56" ht="13.5" customHeight="1" x14ac:dyDescent="0.2">
      <c r="M3" s="284"/>
      <c r="N3" s="2"/>
      <c r="O3" s="5"/>
      <c r="P3" s="5"/>
      <c r="Q3" s="5"/>
      <c r="AF3" s="40" t="s">
        <v>59</v>
      </c>
      <c r="AG3" s="40" t="s">
        <v>59</v>
      </c>
      <c r="AH3" s="40" t="s">
        <v>60</v>
      </c>
      <c r="AI3" s="40" t="s">
        <v>61</v>
      </c>
      <c r="AJ3" s="41"/>
      <c r="AK3" s="40" t="s">
        <v>59</v>
      </c>
      <c r="AL3" s="40" t="s">
        <v>59</v>
      </c>
      <c r="AM3" s="40" t="s">
        <v>60</v>
      </c>
      <c r="AN3" s="40" t="s">
        <v>61</v>
      </c>
    </row>
    <row r="4" spans="1:56" ht="12" customHeight="1" x14ac:dyDescent="0.2">
      <c r="D4" s="3"/>
      <c r="E4" s="286"/>
      <c r="F4" s="298" t="s">
        <v>465</v>
      </c>
      <c r="G4" s="286"/>
      <c r="AE4" s="339" t="s">
        <v>56</v>
      </c>
      <c r="AF4" s="203">
        <f>AG4</f>
        <v>0</v>
      </c>
      <c r="AG4" s="203">
        <f>'C-car.1'!U41</f>
        <v>0</v>
      </c>
      <c r="AH4" s="203">
        <f>'C-car.1'!V41</f>
        <v>0</v>
      </c>
      <c r="AI4" s="203">
        <f>'C-car.1'!W41</f>
        <v>0</v>
      </c>
      <c r="AJ4" s="339" t="s">
        <v>56</v>
      </c>
      <c r="AK4" s="203">
        <f>AF4</f>
        <v>0</v>
      </c>
      <c r="AL4" s="203">
        <f>'C-car.2'!U41</f>
        <v>0</v>
      </c>
      <c r="AM4" s="203">
        <f>'C-car.2'!V41</f>
        <v>0</v>
      </c>
      <c r="AN4" s="203">
        <f>'C-car.2'!W41</f>
        <v>0</v>
      </c>
    </row>
    <row r="5" spans="1:56" x14ac:dyDescent="0.2">
      <c r="G5" s="3"/>
      <c r="AE5" s="339"/>
      <c r="AF5" s="201">
        <f t="shared" ref="AF5:AF7" si="0">AG5</f>
        <v>0</v>
      </c>
      <c r="AG5" s="201">
        <f>'C-car.1'!U42</f>
        <v>0</v>
      </c>
      <c r="AH5" s="201">
        <f>'C-car.1'!V42</f>
        <v>0</v>
      </c>
      <c r="AI5" s="201">
        <f>'C-car.1'!W42</f>
        <v>0</v>
      </c>
      <c r="AJ5" s="339"/>
      <c r="AK5" s="201">
        <f t="shared" ref="AK5:AK20" si="1">AF5</f>
        <v>0</v>
      </c>
      <c r="AL5" s="201">
        <f>'C-car.2'!U42</f>
        <v>0</v>
      </c>
      <c r="AM5" s="201">
        <f>'C-car.2'!V42</f>
        <v>0</v>
      </c>
      <c r="AN5" s="201">
        <f>'C-car.2'!W42</f>
        <v>0</v>
      </c>
    </row>
    <row r="6" spans="1:56" x14ac:dyDescent="0.2">
      <c r="E6" s="340" t="s">
        <v>124</v>
      </c>
      <c r="F6" s="340"/>
      <c r="G6" s="340"/>
      <c r="AE6" s="339"/>
      <c r="AF6" s="201">
        <f t="shared" si="0"/>
        <v>0</v>
      </c>
      <c r="AG6" s="201">
        <f>'C-car.1'!U43</f>
        <v>0</v>
      </c>
      <c r="AH6" s="201">
        <f>'C-car.1'!V43</f>
        <v>0</v>
      </c>
      <c r="AI6" s="201">
        <f>'C-car.1'!W43</f>
        <v>0</v>
      </c>
      <c r="AJ6" s="339"/>
      <c r="AK6" s="201">
        <f t="shared" si="1"/>
        <v>0</v>
      </c>
      <c r="AL6" s="201">
        <f>'C-car.2'!U43</f>
        <v>0</v>
      </c>
      <c r="AM6" s="201">
        <f>'C-car.2'!V43</f>
        <v>0</v>
      </c>
      <c r="AN6" s="201">
        <f>'C-car.2'!W43</f>
        <v>0</v>
      </c>
    </row>
    <row r="7" spans="1:56" ht="12" customHeight="1" x14ac:dyDescent="0.2">
      <c r="AE7" s="339"/>
      <c r="AF7" s="204">
        <f t="shared" si="0"/>
        <v>0</v>
      </c>
      <c r="AG7" s="204">
        <f>'C-car.1'!U44</f>
        <v>0</v>
      </c>
      <c r="AH7" s="204">
        <f>'C-car.1'!V44</f>
        <v>0</v>
      </c>
      <c r="AI7" s="204">
        <f>'C-car.1'!W44</f>
        <v>0</v>
      </c>
      <c r="AJ7" s="339"/>
      <c r="AK7" s="204">
        <f t="shared" si="1"/>
        <v>0</v>
      </c>
      <c r="AL7" s="204">
        <f>'C-car.2'!U44</f>
        <v>0</v>
      </c>
      <c r="AM7" s="204">
        <f>'C-car.2'!V44</f>
        <v>0</v>
      </c>
      <c r="AN7" s="204">
        <f>'C-car.2'!W44</f>
        <v>0</v>
      </c>
    </row>
    <row r="8" spans="1:56" ht="12" customHeight="1" x14ac:dyDescent="0.2">
      <c r="H8" s="285"/>
      <c r="AE8" s="338" t="s">
        <v>30</v>
      </c>
      <c r="AF8" s="203">
        <f t="shared" ref="AF8:AF16" si="2">AG8-$AG$7</f>
        <v>0</v>
      </c>
      <c r="AG8" s="203">
        <f>'C-car.1'!U45</f>
        <v>0</v>
      </c>
      <c r="AH8" s="203">
        <f>'C-car.1'!V45</f>
        <v>0</v>
      </c>
      <c r="AI8" s="203">
        <f>'C-car.1'!W45</f>
        <v>2.4839999999999995</v>
      </c>
      <c r="AJ8" s="338" t="s">
        <v>30</v>
      </c>
      <c r="AK8" s="203">
        <f t="shared" si="1"/>
        <v>0</v>
      </c>
      <c r="AL8" s="203">
        <f>'C-car.2'!U45</f>
        <v>0</v>
      </c>
      <c r="AM8" s="203">
        <f>'C-car.2'!V45</f>
        <v>0</v>
      </c>
      <c r="AN8" s="203">
        <f>'C-car.2'!W45</f>
        <v>0</v>
      </c>
    </row>
    <row r="9" spans="1:56" x14ac:dyDescent="0.2">
      <c r="AE9" s="338"/>
      <c r="AF9" s="201">
        <f t="shared" si="2"/>
        <v>0.15</v>
      </c>
      <c r="AG9" s="201">
        <f>'C-car.1'!U46</f>
        <v>0.15</v>
      </c>
      <c r="AH9" s="201">
        <f>'C-car.1'!V46</f>
        <v>0.32602499999999995</v>
      </c>
      <c r="AI9" s="201">
        <f>'C-car.1'!W46</f>
        <v>1.8629999999999995</v>
      </c>
      <c r="AJ9" s="338"/>
      <c r="AK9" s="201">
        <f t="shared" si="1"/>
        <v>0.15</v>
      </c>
      <c r="AL9" s="201">
        <f>'C-car.2'!U46</f>
        <v>0.15</v>
      </c>
      <c r="AM9" s="201">
        <f>'C-car.2'!V46</f>
        <v>0</v>
      </c>
      <c r="AN9" s="201">
        <f>'C-car.2'!W46</f>
        <v>0</v>
      </c>
    </row>
    <row r="10" spans="1:56" x14ac:dyDescent="0.2">
      <c r="C10" s="286"/>
      <c r="D10" s="286"/>
      <c r="E10" s="343" t="s">
        <v>466</v>
      </c>
      <c r="F10" s="343"/>
      <c r="G10" s="343"/>
      <c r="AE10" s="338"/>
      <c r="AF10" s="201">
        <f t="shared" si="2"/>
        <v>0.3</v>
      </c>
      <c r="AG10" s="201">
        <f>'C-car.1'!U47</f>
        <v>0.3</v>
      </c>
      <c r="AH10" s="201">
        <f>'C-car.1'!V47</f>
        <v>0.55889999999999995</v>
      </c>
      <c r="AI10" s="201">
        <f>'C-car.1'!W47</f>
        <v>1.2419999999999998</v>
      </c>
      <c r="AJ10" s="338"/>
      <c r="AK10" s="201">
        <f t="shared" si="1"/>
        <v>0.3</v>
      </c>
      <c r="AL10" s="201">
        <f>'C-car.2'!U47</f>
        <v>0.3</v>
      </c>
      <c r="AM10" s="201">
        <f>'C-car.2'!V47</f>
        <v>0</v>
      </c>
      <c r="AN10" s="201">
        <f>'C-car.2'!W47</f>
        <v>0</v>
      </c>
    </row>
    <row r="11" spans="1:56" x14ac:dyDescent="0.2">
      <c r="AE11" s="338"/>
      <c r="AF11" s="201">
        <f t="shared" si="2"/>
        <v>0.44999999999999996</v>
      </c>
      <c r="AG11" s="201">
        <f>'C-car.1'!U48</f>
        <v>0.44999999999999996</v>
      </c>
      <c r="AH11" s="201">
        <f>'C-car.1'!V48</f>
        <v>0.69862499999999983</v>
      </c>
      <c r="AI11" s="201">
        <f>'C-car.1'!W48</f>
        <v>0.62099999999999977</v>
      </c>
      <c r="AJ11" s="338"/>
      <c r="AK11" s="201">
        <f t="shared" si="1"/>
        <v>0.44999999999999996</v>
      </c>
      <c r="AL11" s="201">
        <f>'C-car.2'!U48</f>
        <v>0.44999999999999996</v>
      </c>
      <c r="AM11" s="201">
        <f>'C-car.2'!V48</f>
        <v>0</v>
      </c>
      <c r="AN11" s="201">
        <f>'C-car.2'!W48</f>
        <v>0</v>
      </c>
    </row>
    <row r="12" spans="1:56" ht="12" customHeight="1" x14ac:dyDescent="0.2">
      <c r="G12" s="280"/>
      <c r="M12" s="15"/>
      <c r="N12" s="15"/>
      <c r="O12" s="15"/>
      <c r="P12" s="15"/>
      <c r="Q12" s="15"/>
      <c r="R12" s="15"/>
      <c r="AE12" s="338"/>
      <c r="AF12" s="201">
        <f t="shared" si="2"/>
        <v>0.6</v>
      </c>
      <c r="AG12" s="201">
        <f>'C-car.1'!U49</f>
        <v>0.6</v>
      </c>
      <c r="AH12" s="201">
        <f>'C-car.1'!V49</f>
        <v>0.74519999999999986</v>
      </c>
      <c r="AI12" s="201">
        <f>'C-car.1'!W49</f>
        <v>0</v>
      </c>
      <c r="AJ12" s="338"/>
      <c r="AK12" s="201">
        <f t="shared" si="1"/>
        <v>0.6</v>
      </c>
      <c r="AL12" s="201">
        <f>'C-car.2'!U49</f>
        <v>0.6</v>
      </c>
      <c r="AM12" s="201">
        <f>'C-car.2'!V49</f>
        <v>0</v>
      </c>
      <c r="AN12" s="201">
        <f>'C-car.2'!W49</f>
        <v>0</v>
      </c>
    </row>
    <row r="13" spans="1:56" x14ac:dyDescent="0.2">
      <c r="C13" s="252" t="s">
        <v>451</v>
      </c>
      <c r="D13" s="254"/>
      <c r="E13" s="257" t="s">
        <v>453</v>
      </c>
      <c r="F13" s="254" t="s">
        <v>454</v>
      </c>
      <c r="G13" s="257" t="s">
        <v>458</v>
      </c>
      <c r="M13" s="15"/>
      <c r="N13" s="15"/>
      <c r="O13" s="15"/>
      <c r="P13" s="15"/>
      <c r="Q13" s="15"/>
      <c r="R13" s="15"/>
      <c r="AE13" s="338"/>
      <c r="AF13" s="201">
        <f t="shared" si="2"/>
        <v>0.75</v>
      </c>
      <c r="AG13" s="201">
        <f>'C-car.1'!U50</f>
        <v>0.75</v>
      </c>
      <c r="AH13" s="201">
        <f>'C-car.1'!V50</f>
        <v>0.69862499999999961</v>
      </c>
      <c r="AI13" s="201">
        <f>'C-car.1'!W50</f>
        <v>-0.621</v>
      </c>
      <c r="AJ13" s="338"/>
      <c r="AK13" s="201">
        <f t="shared" si="1"/>
        <v>0.75</v>
      </c>
      <c r="AL13" s="201">
        <f>'C-car.2'!U50</f>
        <v>0.75</v>
      </c>
      <c r="AM13" s="201">
        <f>'C-car.2'!V50</f>
        <v>0</v>
      </c>
      <c r="AN13" s="201">
        <f>'C-car.2'!W50</f>
        <v>0</v>
      </c>
    </row>
    <row r="14" spans="1:56" x14ac:dyDescent="0.2">
      <c r="E14" s="325" t="s">
        <v>464</v>
      </c>
      <c r="G14" s="325" t="s">
        <v>464</v>
      </c>
      <c r="AE14" s="338"/>
      <c r="AF14" s="201">
        <f t="shared" si="2"/>
        <v>0.89999999999999991</v>
      </c>
      <c r="AG14" s="201">
        <f>'C-car.1'!U51</f>
        <v>0.89999999999999991</v>
      </c>
      <c r="AH14" s="201">
        <f>'C-car.1'!V51</f>
        <v>0.55889999999999995</v>
      </c>
      <c r="AI14" s="201">
        <f>'C-car.1'!W51</f>
        <v>-1.242</v>
      </c>
      <c r="AJ14" s="338"/>
      <c r="AK14" s="201">
        <f t="shared" si="1"/>
        <v>0.89999999999999991</v>
      </c>
      <c r="AL14" s="201">
        <f>'C-car.2'!U51</f>
        <v>0.89999999999999991</v>
      </c>
      <c r="AM14" s="201">
        <f>'C-car.2'!V51</f>
        <v>0</v>
      </c>
      <c r="AN14" s="201">
        <f>'C-car.2'!W51</f>
        <v>0</v>
      </c>
    </row>
    <row r="15" spans="1:56" x14ac:dyDescent="0.2">
      <c r="C15" s="252" t="s">
        <v>447</v>
      </c>
      <c r="D15" s="274" t="s">
        <v>449</v>
      </c>
      <c r="E15" s="278">
        <v>0</v>
      </c>
      <c r="F15" s="278">
        <v>1.2</v>
      </c>
      <c r="G15" s="278">
        <v>0</v>
      </c>
      <c r="AE15" s="338"/>
      <c r="AF15" s="201">
        <f t="shared" si="2"/>
        <v>1.05</v>
      </c>
      <c r="AG15" s="201">
        <f>'C-car.1'!U52</f>
        <v>1.05</v>
      </c>
      <c r="AH15" s="201">
        <f>'C-car.1'!V52</f>
        <v>0.32602499999999957</v>
      </c>
      <c r="AI15" s="201">
        <f>'C-car.1'!W52</f>
        <v>-1.863</v>
      </c>
      <c r="AJ15" s="338"/>
      <c r="AK15" s="201">
        <f t="shared" si="1"/>
        <v>1.05</v>
      </c>
      <c r="AL15" s="201">
        <f>'C-car.2'!U52</f>
        <v>1.05</v>
      </c>
      <c r="AM15" s="201">
        <f>'C-car.2'!V52</f>
        <v>0</v>
      </c>
      <c r="AN15" s="201">
        <f>'C-car.2'!W52</f>
        <v>0</v>
      </c>
    </row>
    <row r="16" spans="1:56" s="6" customFormat="1" ht="13.5" customHeight="1" x14ac:dyDescent="0.2">
      <c r="A16" s="275"/>
      <c r="B16" s="275"/>
      <c r="C16" s="252" t="s">
        <v>450</v>
      </c>
      <c r="D16" s="42"/>
      <c r="E16" s="279" t="s">
        <v>448</v>
      </c>
      <c r="F16" s="275" t="str">
        <f>E6</f>
        <v>acciaio</v>
      </c>
      <c r="G16" s="279" t="s">
        <v>448</v>
      </c>
      <c r="U16" s="18"/>
      <c r="AE16" s="338"/>
      <c r="AF16" s="204">
        <f t="shared" si="2"/>
        <v>1.2</v>
      </c>
      <c r="AG16" s="204">
        <f>'C-car.1'!U53</f>
        <v>1.2</v>
      </c>
      <c r="AH16" s="204">
        <f>'C-car.1'!V53</f>
        <v>0</v>
      </c>
      <c r="AI16" s="204">
        <f>'C-car.1'!W53</f>
        <v>-2.4839999999999995</v>
      </c>
      <c r="AJ16" s="338"/>
      <c r="AK16" s="204">
        <f t="shared" si="1"/>
        <v>1.2</v>
      </c>
      <c r="AL16" s="204">
        <f>'C-car.2'!U53</f>
        <v>1.2</v>
      </c>
      <c r="AM16" s="204">
        <f>'C-car.2'!V53</f>
        <v>0</v>
      </c>
      <c r="AN16" s="204">
        <f>'C-car.2'!W53</f>
        <v>0</v>
      </c>
      <c r="BD16" s="1"/>
    </row>
    <row r="17" spans="1:56" s="6" customFormat="1" ht="12" customHeight="1" x14ac:dyDescent="0.2">
      <c r="A17" s="275"/>
      <c r="B17" s="275"/>
      <c r="C17" s="252" t="s">
        <v>127</v>
      </c>
      <c r="D17" s="42"/>
      <c r="E17" s="305"/>
      <c r="F17" s="305" t="s">
        <v>293</v>
      </c>
      <c r="G17" s="305"/>
      <c r="AE17" s="339" t="s">
        <v>57</v>
      </c>
      <c r="AF17" s="203">
        <f>AG17-$AG$16</f>
        <v>0</v>
      </c>
      <c r="AG17" s="203">
        <f>'C-car.1'!U54</f>
        <v>1.2</v>
      </c>
      <c r="AH17" s="203">
        <f>'C-car.1'!V54</f>
        <v>0</v>
      </c>
      <c r="AI17" s="203">
        <f>'C-car.1'!W54</f>
        <v>0</v>
      </c>
      <c r="AJ17" s="339" t="s">
        <v>57</v>
      </c>
      <c r="AK17" s="203">
        <f t="shared" si="1"/>
        <v>0</v>
      </c>
      <c r="AL17" s="203">
        <f>'C-car.2'!U54</f>
        <v>1.2</v>
      </c>
      <c r="AM17" s="203">
        <f>'C-car.2'!V54</f>
        <v>0</v>
      </c>
      <c r="AN17" s="203">
        <f>'C-car.2'!W54</f>
        <v>0</v>
      </c>
      <c r="BD17" s="1"/>
    </row>
    <row r="18" spans="1:56" s="6" customFormat="1" x14ac:dyDescent="0.2">
      <c r="A18" s="275"/>
      <c r="B18" s="275"/>
      <c r="C18" s="252" t="s">
        <v>460</v>
      </c>
      <c r="D18" s="274" t="s">
        <v>446</v>
      </c>
      <c r="E18" s="201" t="str">
        <f>IF($E16=$I$69,VLOOKUP($E17,matca,2,0),IF($E16=$I$70,VLOOKUP($E17,matacciaio,3,0),""))</f>
        <v/>
      </c>
      <c r="F18" s="201">
        <f>IF($E6=$I$69,VLOOKUP($F17,matca,2,0),IF($E6=$I$70,VLOOKUP($F17,matacciaio,3,0),""))</f>
        <v>3.5000000000000003E-2</v>
      </c>
      <c r="G18" s="201" t="str">
        <f>IF($G16=$I$69,VLOOKUP($G17,matca,2,0),IF($G16=$I$70,VLOOKUP($G17,matacciaio,3,0),""))</f>
        <v/>
      </c>
      <c r="AE18" s="339"/>
      <c r="AF18" s="201">
        <f t="shared" ref="AF18:AF20" si="3">AG18-$AG$16</f>
        <v>0</v>
      </c>
      <c r="AG18" s="201">
        <f>'C-car.1'!U55</f>
        <v>1.2</v>
      </c>
      <c r="AH18" s="201">
        <f>'C-car.1'!V55</f>
        <v>0</v>
      </c>
      <c r="AI18" s="201">
        <f>'C-car.1'!W55</f>
        <v>0</v>
      </c>
      <c r="AJ18" s="339"/>
      <c r="AK18" s="201">
        <f t="shared" si="1"/>
        <v>0</v>
      </c>
      <c r="AL18" s="201">
        <f>'C-car.2'!U55</f>
        <v>1.2</v>
      </c>
      <c r="AM18" s="201">
        <f>'C-car.2'!V55</f>
        <v>0</v>
      </c>
      <c r="AN18" s="201">
        <f>'C-car.2'!W55</f>
        <v>0</v>
      </c>
      <c r="BD18" s="1"/>
    </row>
    <row r="19" spans="1:56" s="6" customFormat="1" x14ac:dyDescent="0.2">
      <c r="C19" s="252" t="s">
        <v>461</v>
      </c>
      <c r="D19" s="274" t="s">
        <v>140</v>
      </c>
      <c r="E19" s="306" t="str">
        <f>IF($E16=$I$69,VLOOKUP($E17,matca,4,0),IF($E16=$I$70,VLOOKUP($E17,matacciaio,5,0),""))</f>
        <v/>
      </c>
      <c r="F19" s="306">
        <f>IF($E6=$I$69,VLOOKUP($F17,matca,4,0),IF($E6=$I$70,VLOOKUP($F17,matacciaio,5,0),""))</f>
        <v>10</v>
      </c>
      <c r="G19" s="306" t="str">
        <f>IF($G16=$I$69,VLOOKUP($G17,matca,4,0),IF($G16=$I$70,VLOOKUP($G17,matacciaio,5,0),""))</f>
        <v/>
      </c>
      <c r="M19" s="3"/>
      <c r="N19" s="3"/>
      <c r="P19" s="45"/>
      <c r="Q19" s="3"/>
      <c r="R19" s="3"/>
      <c r="S19" s="3"/>
      <c r="AE19" s="339"/>
      <c r="AF19" s="201">
        <f t="shared" si="3"/>
        <v>0</v>
      </c>
      <c r="AG19" s="201">
        <f>'C-car.1'!U56</f>
        <v>1.2</v>
      </c>
      <c r="AH19" s="201">
        <f>'C-car.1'!V56</f>
        <v>0</v>
      </c>
      <c r="AI19" s="201">
        <f>'C-car.1'!W56</f>
        <v>0</v>
      </c>
      <c r="AJ19" s="339"/>
      <c r="AK19" s="201">
        <f t="shared" si="1"/>
        <v>0</v>
      </c>
      <c r="AL19" s="201">
        <f>'C-car.2'!U56</f>
        <v>1.2</v>
      </c>
      <c r="AM19" s="201">
        <f>'C-car.2'!V56</f>
        <v>0</v>
      </c>
      <c r="AN19" s="201">
        <f>'C-car.2'!W56</f>
        <v>0</v>
      </c>
    </row>
    <row r="20" spans="1:56" s="6" customFormat="1" x14ac:dyDescent="0.2">
      <c r="C20" s="275"/>
      <c r="D20" s="275"/>
      <c r="E20" s="275"/>
      <c r="F20" s="275"/>
      <c r="G20" s="275"/>
      <c r="M20" s="3"/>
      <c r="N20" s="3"/>
      <c r="P20" s="3"/>
      <c r="Q20" s="3"/>
      <c r="R20" s="3"/>
      <c r="S20" s="3"/>
      <c r="AE20" s="339"/>
      <c r="AF20" s="209">
        <f t="shared" si="3"/>
        <v>0</v>
      </c>
      <c r="AG20" s="204">
        <f>'C-car.1'!U57</f>
        <v>1.2</v>
      </c>
      <c r="AH20" s="204">
        <f>'C-car.1'!V57</f>
        <v>0</v>
      </c>
      <c r="AI20" s="204">
        <f>'C-car.1'!W57</f>
        <v>0</v>
      </c>
      <c r="AJ20" s="339"/>
      <c r="AK20" s="204">
        <f t="shared" si="1"/>
        <v>0</v>
      </c>
      <c r="AL20" s="204">
        <f>'C-car.2'!U57</f>
        <v>1.2</v>
      </c>
      <c r="AM20" s="204">
        <f>'C-car.2'!V57</f>
        <v>0</v>
      </c>
      <c r="AN20" s="204">
        <f>'C-car.2'!W57</f>
        <v>0</v>
      </c>
    </row>
    <row r="21" spans="1:56" ht="12" customHeight="1" x14ac:dyDescent="0.2">
      <c r="AE21" s="58"/>
      <c r="AF21" s="96"/>
      <c r="AG21" s="97"/>
      <c r="AH21" s="97"/>
      <c r="AI21" s="97"/>
      <c r="AJ21" s="58"/>
      <c r="AK21" s="15"/>
      <c r="AL21" s="11"/>
      <c r="AM21" s="11"/>
      <c r="AN21" s="11"/>
      <c r="AO21" s="58"/>
      <c r="AP21" s="15"/>
      <c r="AQ21" s="11"/>
      <c r="AR21" s="11"/>
      <c r="AS21" s="11"/>
      <c r="AT21" s="58"/>
      <c r="AU21" s="15"/>
      <c r="AV21" s="11"/>
      <c r="AW21" s="11"/>
      <c r="AX21" s="11"/>
      <c r="AY21" s="58"/>
      <c r="AZ21" s="15"/>
      <c r="BA21" s="11"/>
      <c r="BB21" s="11"/>
      <c r="BC21" s="11"/>
    </row>
    <row r="22" spans="1:56" x14ac:dyDescent="0.2">
      <c r="AE22" s="58"/>
      <c r="AF22" s="15"/>
      <c r="AG22" s="11"/>
      <c r="AH22" s="11"/>
      <c r="AI22" s="11"/>
      <c r="AJ22" s="58"/>
      <c r="AK22" s="15"/>
      <c r="AL22" s="11"/>
      <c r="AM22" s="11"/>
      <c r="AN22" s="11"/>
      <c r="AO22" s="58"/>
      <c r="AP22" s="15"/>
      <c r="AQ22" s="11"/>
      <c r="AR22" s="11"/>
      <c r="AS22" s="11"/>
      <c r="AT22" s="58"/>
      <c r="AU22" s="15"/>
      <c r="AV22" s="11"/>
      <c r="AW22" s="11"/>
      <c r="AX22" s="11"/>
      <c r="AY22" s="58"/>
      <c r="AZ22" s="15"/>
      <c r="BA22" s="11"/>
      <c r="BB22" s="11"/>
      <c r="BC22" s="11"/>
    </row>
    <row r="23" spans="1:56" x14ac:dyDescent="0.2">
      <c r="AF23" s="2" t="s">
        <v>63</v>
      </c>
      <c r="AK23" s="2" t="s">
        <v>64</v>
      </c>
      <c r="AO23" s="58"/>
      <c r="AP23" s="15"/>
      <c r="AQ23" s="11"/>
      <c r="AR23" s="11"/>
      <c r="AS23" s="11"/>
      <c r="AT23" s="58"/>
      <c r="AU23" s="15"/>
      <c r="AV23" s="11"/>
      <c r="AW23" s="11"/>
      <c r="AX23" s="11"/>
      <c r="AY23" s="58"/>
      <c r="AZ23" s="15"/>
      <c r="BA23" s="11"/>
      <c r="BB23" s="11"/>
      <c r="BC23" s="11"/>
    </row>
    <row r="24" spans="1:56" ht="13.5" x14ac:dyDescent="0.25">
      <c r="C24" s="296"/>
      <c r="D24" s="296"/>
      <c r="E24" s="343" t="s">
        <v>473</v>
      </c>
      <c r="F24" s="343"/>
      <c r="G24" s="343"/>
      <c r="H24" s="275"/>
      <c r="I24" s="275"/>
      <c r="AF24" s="9" t="s">
        <v>54</v>
      </c>
      <c r="AG24" s="39" t="s">
        <v>55</v>
      </c>
      <c r="AH24" s="39" t="s">
        <v>3</v>
      </c>
      <c r="AI24" s="39" t="s">
        <v>4</v>
      </c>
      <c r="AK24" s="9" t="s">
        <v>54</v>
      </c>
      <c r="AL24" s="39" t="s">
        <v>55</v>
      </c>
      <c r="AM24" s="39" t="s">
        <v>3</v>
      </c>
      <c r="AN24" s="39" t="s">
        <v>4</v>
      </c>
      <c r="AO24" s="58"/>
      <c r="AP24" s="15"/>
      <c r="AQ24" s="11"/>
      <c r="AR24" s="11"/>
      <c r="AS24" s="11"/>
      <c r="AT24" s="58"/>
      <c r="AU24" s="15"/>
      <c r="AV24" s="11"/>
      <c r="AW24" s="11"/>
      <c r="AX24" s="11"/>
      <c r="AY24" s="58"/>
      <c r="AZ24" s="15"/>
      <c r="BA24" s="11"/>
      <c r="BB24" s="11"/>
      <c r="BC24" s="11"/>
    </row>
    <row r="25" spans="1:56" ht="12" customHeight="1" x14ac:dyDescent="0.2">
      <c r="AF25" s="40" t="s">
        <v>59</v>
      </c>
      <c r="AG25" s="40" t="s">
        <v>59</v>
      </c>
      <c r="AH25" s="40" t="s">
        <v>60</v>
      </c>
      <c r="AI25" s="40" t="s">
        <v>61</v>
      </c>
      <c r="AK25" s="40" t="s">
        <v>59</v>
      </c>
      <c r="AL25" s="40" t="s">
        <v>59</v>
      </c>
      <c r="AM25" s="40" t="s">
        <v>60</v>
      </c>
      <c r="AN25" s="40" t="s">
        <v>61</v>
      </c>
      <c r="AO25" s="58"/>
      <c r="AP25" s="15"/>
      <c r="AQ25" s="11"/>
      <c r="AR25" s="11"/>
      <c r="AS25" s="11"/>
      <c r="AT25" s="58"/>
      <c r="AU25" s="15"/>
      <c r="AV25" s="11"/>
      <c r="AW25" s="11"/>
      <c r="AX25" s="11"/>
      <c r="AY25" s="58"/>
      <c r="AZ25" s="15"/>
      <c r="BA25" s="11"/>
      <c r="BB25" s="11"/>
      <c r="BC25" s="11"/>
    </row>
    <row r="26" spans="1:56" ht="12" customHeight="1" x14ac:dyDescent="0.2">
      <c r="C26" s="12" t="s">
        <v>49</v>
      </c>
      <c r="D26" s="297" t="s">
        <v>446</v>
      </c>
      <c r="E26" s="278">
        <v>0</v>
      </c>
      <c r="F26" s="278">
        <v>4.1399999999999997</v>
      </c>
      <c r="G26" s="278">
        <v>0</v>
      </c>
      <c r="AE26" s="339" t="s">
        <v>56</v>
      </c>
      <c r="AF26" s="203">
        <f>AF4</f>
        <v>0</v>
      </c>
      <c r="AG26" s="203">
        <f>'C-car.3'!U41</f>
        <v>0</v>
      </c>
      <c r="AH26" s="203">
        <f>'C-car.3'!V41</f>
        <v>0</v>
      </c>
      <c r="AI26" s="203">
        <f>'C-car.3'!W41</f>
        <v>0</v>
      </c>
      <c r="AJ26" s="339" t="s">
        <v>56</v>
      </c>
      <c r="AK26" s="203">
        <f>AF4</f>
        <v>0</v>
      </c>
      <c r="AL26" s="203">
        <f>'C-car.4'!U41</f>
        <v>0</v>
      </c>
      <c r="AM26" s="203">
        <f>'C-car.4'!V41</f>
        <v>0</v>
      </c>
      <c r="AN26" s="203">
        <f>'C-car.4'!W41</f>
        <v>0</v>
      </c>
    </row>
    <row r="27" spans="1:56" x14ac:dyDescent="0.2">
      <c r="C27" s="12" t="s">
        <v>50</v>
      </c>
      <c r="D27" s="297" t="s">
        <v>446</v>
      </c>
      <c r="E27" s="278">
        <v>0</v>
      </c>
      <c r="F27" s="278">
        <v>0</v>
      </c>
      <c r="G27" s="278">
        <v>0</v>
      </c>
      <c r="AE27" s="339"/>
      <c r="AF27" s="201">
        <f t="shared" ref="AF27:AF42" si="4">AF5</f>
        <v>0</v>
      </c>
      <c r="AG27" s="201">
        <f>'C-car.3'!U42</f>
        <v>0</v>
      </c>
      <c r="AH27" s="201">
        <f>'C-car.3'!V42</f>
        <v>0</v>
      </c>
      <c r="AI27" s="201">
        <f>'C-car.3'!W42</f>
        <v>0</v>
      </c>
      <c r="AJ27" s="339"/>
      <c r="AK27" s="201">
        <f t="shared" ref="AK27:AK42" si="5">AF5</f>
        <v>0</v>
      </c>
      <c r="AL27" s="201">
        <f>'C-car.4'!U42</f>
        <v>0</v>
      </c>
      <c r="AM27" s="201">
        <f>'C-car.4'!V42</f>
        <v>0</v>
      </c>
      <c r="AN27" s="201">
        <f>'C-car.4'!W42</f>
        <v>0</v>
      </c>
    </row>
    <row r="28" spans="1:56" s="6" customFormat="1" ht="12" customHeight="1" x14ac:dyDescent="0.2">
      <c r="A28" s="275"/>
      <c r="B28" s="275"/>
      <c r="C28" s="12" t="s">
        <v>51</v>
      </c>
      <c r="D28" s="297" t="s">
        <v>446</v>
      </c>
      <c r="E28" s="278">
        <v>0</v>
      </c>
      <c r="F28" s="278">
        <v>0</v>
      </c>
      <c r="G28" s="278">
        <v>0</v>
      </c>
      <c r="H28" s="1"/>
      <c r="I28" s="1"/>
      <c r="J28" s="275"/>
      <c r="AE28" s="339"/>
      <c r="AF28" s="201">
        <f t="shared" si="4"/>
        <v>0</v>
      </c>
      <c r="AG28" s="201">
        <f>'C-car.3'!U43</f>
        <v>0</v>
      </c>
      <c r="AH28" s="201">
        <f>'C-car.3'!V43</f>
        <v>0</v>
      </c>
      <c r="AI28" s="201">
        <f>'C-car.3'!W43</f>
        <v>0</v>
      </c>
      <c r="AJ28" s="339"/>
      <c r="AK28" s="201">
        <f t="shared" si="5"/>
        <v>0</v>
      </c>
      <c r="AL28" s="201">
        <f>'C-car.4'!U43</f>
        <v>0</v>
      </c>
      <c r="AM28" s="201">
        <f>'C-car.4'!V43</f>
        <v>0</v>
      </c>
      <c r="AN28" s="201">
        <f>'C-car.4'!W43</f>
        <v>0</v>
      </c>
    </row>
    <row r="29" spans="1:56" s="6" customFormat="1" x14ac:dyDescent="0.2">
      <c r="A29" s="275"/>
      <c r="B29" s="275"/>
      <c r="C29" s="12" t="s">
        <v>52</v>
      </c>
      <c r="D29" s="297" t="s">
        <v>446</v>
      </c>
      <c r="E29" s="278">
        <v>0</v>
      </c>
      <c r="F29" s="278">
        <v>0</v>
      </c>
      <c r="G29" s="278">
        <v>0</v>
      </c>
      <c r="H29" s="1"/>
      <c r="I29" s="1"/>
      <c r="J29" s="275"/>
      <c r="AE29" s="339"/>
      <c r="AF29" s="204">
        <f t="shared" si="4"/>
        <v>0</v>
      </c>
      <c r="AG29" s="204">
        <f>'C-car.3'!U44</f>
        <v>0</v>
      </c>
      <c r="AH29" s="204">
        <f>'C-car.3'!V44</f>
        <v>0</v>
      </c>
      <c r="AI29" s="204">
        <f>'C-car.3'!W44</f>
        <v>0</v>
      </c>
      <c r="AJ29" s="339"/>
      <c r="AK29" s="204">
        <f t="shared" si="5"/>
        <v>0</v>
      </c>
      <c r="AL29" s="204">
        <f>'C-car.4'!U44</f>
        <v>0</v>
      </c>
      <c r="AM29" s="204">
        <f>'C-car.4'!V44</f>
        <v>0</v>
      </c>
      <c r="AN29" s="204">
        <f>'C-car.4'!W44</f>
        <v>0</v>
      </c>
    </row>
    <row r="30" spans="1:56" ht="12" customHeight="1" x14ac:dyDescent="0.2">
      <c r="C30" s="12" t="s">
        <v>53</v>
      </c>
      <c r="D30" s="297" t="s">
        <v>446</v>
      </c>
      <c r="E30" s="278">
        <v>0</v>
      </c>
      <c r="F30" s="278">
        <v>0</v>
      </c>
      <c r="G30" s="278">
        <v>0</v>
      </c>
      <c r="AE30" s="338" t="s">
        <v>30</v>
      </c>
      <c r="AF30" s="203">
        <f t="shared" si="4"/>
        <v>0</v>
      </c>
      <c r="AG30" s="203">
        <f>'C-car.3'!U45</f>
        <v>0</v>
      </c>
      <c r="AH30" s="203">
        <f>'C-car.3'!V45</f>
        <v>0</v>
      </c>
      <c r="AI30" s="203">
        <f>'C-car.3'!W45</f>
        <v>0</v>
      </c>
      <c r="AJ30" s="338" t="s">
        <v>30</v>
      </c>
      <c r="AK30" s="203">
        <f t="shared" si="5"/>
        <v>0</v>
      </c>
      <c r="AL30" s="203">
        <f>'C-car.4'!U45</f>
        <v>0</v>
      </c>
      <c r="AM30" s="203">
        <f>'C-car.4'!V45</f>
        <v>0</v>
      </c>
      <c r="AN30" s="203">
        <f>'C-car.4'!W45</f>
        <v>0</v>
      </c>
      <c r="AO30" s="52"/>
      <c r="AP30" s="15"/>
      <c r="AQ30" s="11"/>
      <c r="AR30" s="11"/>
      <c r="AS30" s="11"/>
      <c r="AT30" s="53"/>
      <c r="AU30" s="15"/>
      <c r="AV30" s="11"/>
      <c r="AW30" s="11"/>
      <c r="AX30" s="11"/>
      <c r="AY30" s="52"/>
      <c r="AZ30" s="15"/>
      <c r="BA30" s="11"/>
      <c r="BB30" s="11"/>
      <c r="BC30" s="11"/>
    </row>
    <row r="31" spans="1:56" x14ac:dyDescent="0.2">
      <c r="AE31" s="338"/>
      <c r="AF31" s="201">
        <f t="shared" si="4"/>
        <v>0.15</v>
      </c>
      <c r="AG31" s="201">
        <f>'C-car.3'!U46</f>
        <v>0.15</v>
      </c>
      <c r="AH31" s="201">
        <f>'C-car.3'!V46</f>
        <v>0</v>
      </c>
      <c r="AI31" s="201">
        <f>'C-car.3'!W46</f>
        <v>0</v>
      </c>
      <c r="AJ31" s="338"/>
      <c r="AK31" s="201">
        <f t="shared" si="5"/>
        <v>0.15</v>
      </c>
      <c r="AL31" s="201">
        <f>'C-car.4'!U46</f>
        <v>0.15</v>
      </c>
      <c r="AM31" s="201">
        <f>'C-car.4'!V46</f>
        <v>0</v>
      </c>
      <c r="AN31" s="201">
        <f>'C-car.4'!W46</f>
        <v>0</v>
      </c>
      <c r="AO31" s="52"/>
      <c r="AP31" s="15"/>
      <c r="AQ31" s="11"/>
      <c r="AR31" s="11"/>
      <c r="AS31" s="11"/>
      <c r="AT31" s="53"/>
      <c r="AU31" s="15"/>
      <c r="AV31" s="11"/>
      <c r="AW31" s="11"/>
      <c r="AX31" s="11"/>
      <c r="AY31" s="52"/>
      <c r="AZ31" s="15"/>
      <c r="BA31" s="11"/>
      <c r="BB31" s="11"/>
      <c r="BC31" s="11"/>
    </row>
    <row r="32" spans="1:56" ht="12" customHeight="1" x14ac:dyDescent="0.2">
      <c r="AE32" s="338"/>
      <c r="AF32" s="201">
        <f t="shared" si="4"/>
        <v>0.3</v>
      </c>
      <c r="AG32" s="201">
        <f>'C-car.3'!U47</f>
        <v>0.3</v>
      </c>
      <c r="AH32" s="201">
        <f>'C-car.3'!V47</f>
        <v>0</v>
      </c>
      <c r="AI32" s="201">
        <f>'C-car.3'!W47</f>
        <v>0</v>
      </c>
      <c r="AJ32" s="338"/>
      <c r="AK32" s="201">
        <f t="shared" si="5"/>
        <v>0.3</v>
      </c>
      <c r="AL32" s="201">
        <f>'C-car.4'!U47</f>
        <v>0.3</v>
      </c>
      <c r="AM32" s="201">
        <f>'C-car.4'!V47</f>
        <v>0</v>
      </c>
      <c r="AN32" s="201">
        <f>'C-car.4'!W47</f>
        <v>0</v>
      </c>
      <c r="AO32" s="52"/>
      <c r="AP32" s="15"/>
      <c r="AQ32" s="11"/>
      <c r="AR32" s="11"/>
      <c r="AS32" s="11"/>
      <c r="AT32" s="53"/>
      <c r="AU32" s="15"/>
      <c r="AV32" s="11"/>
      <c r="AW32" s="11"/>
      <c r="AX32" s="11"/>
      <c r="AY32" s="52"/>
      <c r="AZ32" s="15"/>
      <c r="BA32" s="11"/>
      <c r="BB32" s="11"/>
      <c r="BC32" s="11"/>
    </row>
    <row r="33" spans="24:55" x14ac:dyDescent="0.2">
      <c r="AE33" s="338"/>
      <c r="AF33" s="201">
        <f t="shared" si="4"/>
        <v>0.44999999999999996</v>
      </c>
      <c r="AG33" s="201">
        <f>'C-car.3'!U48</f>
        <v>0.44999999999999996</v>
      </c>
      <c r="AH33" s="201">
        <f>'C-car.3'!V48</f>
        <v>0</v>
      </c>
      <c r="AI33" s="201">
        <f>'C-car.3'!W48</f>
        <v>0</v>
      </c>
      <c r="AJ33" s="338"/>
      <c r="AK33" s="201">
        <f t="shared" si="5"/>
        <v>0.44999999999999996</v>
      </c>
      <c r="AL33" s="201">
        <f>'C-car.4'!U48</f>
        <v>0.44999999999999996</v>
      </c>
      <c r="AM33" s="201">
        <f>'C-car.4'!V48</f>
        <v>0</v>
      </c>
      <c r="AN33" s="201">
        <f>'C-car.4'!W48</f>
        <v>0</v>
      </c>
      <c r="AO33" s="52"/>
      <c r="AP33" s="15"/>
      <c r="AQ33" s="11"/>
      <c r="AR33" s="11"/>
      <c r="AS33" s="11"/>
      <c r="AT33" s="53"/>
      <c r="AU33" s="15"/>
      <c r="AV33" s="11"/>
      <c r="AW33" s="11"/>
      <c r="AX33" s="11"/>
      <c r="AY33" s="52"/>
      <c r="AZ33" s="15"/>
      <c r="BA33" s="11"/>
      <c r="BB33" s="11"/>
      <c r="BC33" s="11"/>
    </row>
    <row r="34" spans="24:55" ht="12" customHeight="1" x14ac:dyDescent="0.2">
      <c r="AE34" s="338"/>
      <c r="AF34" s="201">
        <f t="shared" si="4"/>
        <v>0.6</v>
      </c>
      <c r="AG34" s="201">
        <f>'C-car.3'!U49</f>
        <v>0.6</v>
      </c>
      <c r="AH34" s="201">
        <f>'C-car.3'!V49</f>
        <v>0</v>
      </c>
      <c r="AI34" s="201">
        <f>'C-car.3'!W49</f>
        <v>0</v>
      </c>
      <c r="AJ34" s="338"/>
      <c r="AK34" s="201">
        <f t="shared" si="5"/>
        <v>0.6</v>
      </c>
      <c r="AL34" s="201">
        <f>'C-car.4'!U49</f>
        <v>0.6</v>
      </c>
      <c r="AM34" s="201">
        <f>'C-car.4'!V49</f>
        <v>0</v>
      </c>
      <c r="AN34" s="201">
        <f>'C-car.4'!W49</f>
        <v>0</v>
      </c>
      <c r="AO34" s="53"/>
      <c r="AP34" s="15"/>
      <c r="AQ34" s="11"/>
      <c r="AR34" s="11"/>
      <c r="AS34" s="11"/>
      <c r="AT34" s="53"/>
      <c r="AU34" s="15"/>
      <c r="AV34" s="11"/>
      <c r="AW34" s="11"/>
      <c r="AX34" s="11"/>
      <c r="AY34" s="53"/>
      <c r="AZ34" s="15"/>
      <c r="BA34" s="11"/>
      <c r="BB34" s="11"/>
      <c r="BC34" s="11"/>
    </row>
    <row r="35" spans="24:55" ht="12" customHeight="1" x14ac:dyDescent="0.2">
      <c r="AE35" s="338"/>
      <c r="AF35" s="201">
        <f t="shared" si="4"/>
        <v>0.75</v>
      </c>
      <c r="AG35" s="201">
        <f>'C-car.3'!U50</f>
        <v>0.75</v>
      </c>
      <c r="AH35" s="201">
        <f>'C-car.3'!V50</f>
        <v>0</v>
      </c>
      <c r="AI35" s="201">
        <f>'C-car.3'!W50</f>
        <v>0</v>
      </c>
      <c r="AJ35" s="338"/>
      <c r="AK35" s="201">
        <f t="shared" si="5"/>
        <v>0.75</v>
      </c>
      <c r="AL35" s="201">
        <f>'C-car.4'!U50</f>
        <v>0.75</v>
      </c>
      <c r="AM35" s="201">
        <f>'C-car.4'!V50</f>
        <v>0</v>
      </c>
      <c r="AN35" s="201">
        <f>'C-car.4'!W50</f>
        <v>0</v>
      </c>
    </row>
    <row r="36" spans="24:55" x14ac:dyDescent="0.2">
      <c r="AE36" s="338"/>
      <c r="AF36" s="201">
        <f t="shared" si="4"/>
        <v>0.89999999999999991</v>
      </c>
      <c r="AG36" s="201">
        <f>'C-car.3'!U51</f>
        <v>0.89999999999999991</v>
      </c>
      <c r="AH36" s="201">
        <f>'C-car.3'!V51</f>
        <v>0</v>
      </c>
      <c r="AI36" s="201">
        <f>'C-car.3'!W51</f>
        <v>0</v>
      </c>
      <c r="AJ36" s="338"/>
      <c r="AK36" s="201">
        <f t="shared" si="5"/>
        <v>0.89999999999999991</v>
      </c>
      <c r="AL36" s="201">
        <f>'C-car.4'!U51</f>
        <v>0.89999999999999991</v>
      </c>
      <c r="AM36" s="201">
        <f>'C-car.4'!V51</f>
        <v>0</v>
      </c>
      <c r="AN36" s="201">
        <f>'C-car.4'!W51</f>
        <v>0</v>
      </c>
    </row>
    <row r="37" spans="24:55" x14ac:dyDescent="0.2">
      <c r="AE37" s="338"/>
      <c r="AF37" s="201">
        <f t="shared" si="4"/>
        <v>1.05</v>
      </c>
      <c r="AG37" s="201">
        <f>'C-car.3'!U52</f>
        <v>1.05</v>
      </c>
      <c r="AH37" s="201">
        <f>'C-car.3'!V52</f>
        <v>0</v>
      </c>
      <c r="AI37" s="201">
        <f>'C-car.3'!W52</f>
        <v>0</v>
      </c>
      <c r="AJ37" s="338"/>
      <c r="AK37" s="201">
        <f t="shared" si="5"/>
        <v>1.05</v>
      </c>
      <c r="AL37" s="201">
        <f>'C-car.4'!U52</f>
        <v>1.05</v>
      </c>
      <c r="AM37" s="201">
        <f>'C-car.4'!V52</f>
        <v>0</v>
      </c>
      <c r="AN37" s="201">
        <f>'C-car.4'!W52</f>
        <v>0</v>
      </c>
    </row>
    <row r="38" spans="24:55" ht="15" customHeight="1" x14ac:dyDescent="0.2">
      <c r="X38" s="341" t="s">
        <v>66</v>
      </c>
      <c r="Y38" s="341"/>
      <c r="Z38" s="341"/>
      <c r="AA38" s="341"/>
      <c r="AB38" s="51"/>
      <c r="AC38" s="51"/>
      <c r="AD38" s="51"/>
      <c r="AE38" s="338"/>
      <c r="AF38" s="204">
        <f t="shared" si="4"/>
        <v>1.2</v>
      </c>
      <c r="AG38" s="204">
        <f>'C-car.3'!U53</f>
        <v>1.2</v>
      </c>
      <c r="AH38" s="204">
        <f>'C-car.3'!V53</f>
        <v>0</v>
      </c>
      <c r="AI38" s="204">
        <f>'C-car.3'!W53</f>
        <v>0</v>
      </c>
      <c r="AJ38" s="338"/>
      <c r="AK38" s="204">
        <f t="shared" si="5"/>
        <v>1.2</v>
      </c>
      <c r="AL38" s="204">
        <f>'C-car.4'!U53</f>
        <v>1.2</v>
      </c>
      <c r="AM38" s="204">
        <f>'C-car.4'!V53</f>
        <v>0</v>
      </c>
      <c r="AN38" s="204">
        <f>'C-car.4'!W53</f>
        <v>0</v>
      </c>
    </row>
    <row r="39" spans="24:55" ht="12" customHeight="1" x14ac:dyDescent="0.2">
      <c r="X39" s="43" t="s">
        <v>8</v>
      </c>
      <c r="Y39" s="43" t="s">
        <v>9</v>
      </c>
      <c r="Z39" s="43" t="s">
        <v>10</v>
      </c>
      <c r="AA39" s="43" t="s">
        <v>11</v>
      </c>
      <c r="AB39" s="3"/>
      <c r="AC39" s="3"/>
      <c r="AD39" s="3"/>
      <c r="AE39" s="339" t="s">
        <v>57</v>
      </c>
      <c r="AF39" s="203">
        <f t="shared" si="4"/>
        <v>0</v>
      </c>
      <c r="AG39" s="203">
        <f>'C-car.3'!U54</f>
        <v>1.2</v>
      </c>
      <c r="AH39" s="203">
        <f>'C-car.3'!V54</f>
        <v>0</v>
      </c>
      <c r="AI39" s="203">
        <f>'C-car.3'!W54</f>
        <v>0</v>
      </c>
      <c r="AJ39" s="339" t="s">
        <v>57</v>
      </c>
      <c r="AK39" s="203">
        <f t="shared" si="5"/>
        <v>0</v>
      </c>
      <c r="AL39" s="203">
        <f>'C-car.4'!U54</f>
        <v>1.2</v>
      </c>
      <c r="AM39" s="203">
        <f>'C-car.4'!V54</f>
        <v>0</v>
      </c>
      <c r="AN39" s="203">
        <f>'C-car.4'!W54</f>
        <v>0</v>
      </c>
      <c r="AO39" s="52"/>
      <c r="AP39" s="15"/>
      <c r="AQ39" s="11"/>
      <c r="AR39" s="11"/>
      <c r="AS39" s="11"/>
      <c r="AT39" s="52"/>
      <c r="AU39" s="15"/>
      <c r="AV39" s="11"/>
      <c r="AW39" s="11"/>
      <c r="AX39" s="11"/>
      <c r="AY39" s="52"/>
      <c r="AZ39" s="15"/>
      <c r="BA39" s="11"/>
      <c r="BB39" s="11"/>
      <c r="BC39" s="11"/>
    </row>
    <row r="40" spans="24:55" x14ac:dyDescent="0.2">
      <c r="X40" s="344" t="s">
        <v>67</v>
      </c>
      <c r="Y40" s="344"/>
      <c r="Z40" s="344"/>
      <c r="AA40" s="344"/>
      <c r="AB40" s="51"/>
      <c r="AC40" s="51"/>
      <c r="AD40" s="51"/>
      <c r="AE40" s="339"/>
      <c r="AF40" s="201">
        <f t="shared" si="4"/>
        <v>0</v>
      </c>
      <c r="AG40" s="201">
        <f>'C-car.3'!U55</f>
        <v>1.2</v>
      </c>
      <c r="AH40" s="201">
        <f>'C-car.3'!V55</f>
        <v>0</v>
      </c>
      <c r="AI40" s="201">
        <f>'C-car.3'!W55</f>
        <v>0</v>
      </c>
      <c r="AJ40" s="339"/>
      <c r="AK40" s="201">
        <f t="shared" si="5"/>
        <v>0</v>
      </c>
      <c r="AL40" s="201">
        <f>'C-car.4'!U55</f>
        <v>1.2</v>
      </c>
      <c r="AM40" s="201">
        <f>'C-car.4'!V55</f>
        <v>0</v>
      </c>
      <c r="AN40" s="201">
        <f>'C-car.4'!W55</f>
        <v>0</v>
      </c>
      <c r="AO40" s="52"/>
      <c r="AP40" s="15"/>
      <c r="AQ40" s="11"/>
      <c r="AR40" s="11"/>
      <c r="AS40" s="11"/>
      <c r="AT40" s="52"/>
      <c r="AU40" s="15"/>
      <c r="AV40" s="11"/>
      <c r="AW40" s="11"/>
      <c r="AX40" s="11"/>
      <c r="AY40" s="52"/>
      <c r="AZ40" s="15"/>
      <c r="BA40" s="11"/>
      <c r="BB40" s="11"/>
      <c r="BC40" s="11"/>
    </row>
    <row r="41" spans="24:55" ht="12" customHeight="1" x14ac:dyDescent="0.2">
      <c r="X41" s="2" t="s">
        <v>49</v>
      </c>
      <c r="AC41" s="2"/>
      <c r="AE41" s="339"/>
      <c r="AF41" s="201">
        <f t="shared" si="4"/>
        <v>0</v>
      </c>
      <c r="AG41" s="201">
        <f>'C-car.3'!U56</f>
        <v>1.2</v>
      </c>
      <c r="AH41" s="201">
        <f>'C-car.3'!V56</f>
        <v>0</v>
      </c>
      <c r="AI41" s="201">
        <f>'C-car.3'!W56</f>
        <v>0</v>
      </c>
      <c r="AJ41" s="339"/>
      <c r="AK41" s="201">
        <f t="shared" si="5"/>
        <v>0</v>
      </c>
      <c r="AL41" s="201">
        <f>'C-car.4'!U56</f>
        <v>1.2</v>
      </c>
      <c r="AM41" s="201">
        <f>'C-car.4'!V56</f>
        <v>0</v>
      </c>
      <c r="AN41" s="201">
        <f>'C-car.4'!W56</f>
        <v>0</v>
      </c>
      <c r="AO41" s="52"/>
      <c r="AP41" s="15"/>
      <c r="AQ41" s="11"/>
      <c r="AR41" s="11"/>
      <c r="AS41" s="11"/>
      <c r="AT41" s="52"/>
      <c r="AU41" s="15"/>
      <c r="AV41" s="11"/>
      <c r="AW41" s="11"/>
      <c r="AX41" s="11"/>
      <c r="AY41" s="52"/>
      <c r="AZ41" s="15"/>
      <c r="BA41" s="11"/>
      <c r="BB41" s="11"/>
      <c r="BC41" s="11"/>
    </row>
    <row r="42" spans="24:55" x14ac:dyDescent="0.2">
      <c r="X42" s="201">
        <f>AI7</f>
        <v>0</v>
      </c>
      <c r="Y42" s="201">
        <f>AI8</f>
        <v>2.4839999999999995</v>
      </c>
      <c r="Z42" s="201">
        <f>AI16</f>
        <v>-2.4839999999999995</v>
      </c>
      <c r="AA42" s="201">
        <f>AI17</f>
        <v>0</v>
      </c>
      <c r="AB42" s="11"/>
      <c r="AC42" s="11"/>
      <c r="AD42" s="11"/>
      <c r="AE42" s="339"/>
      <c r="AF42" s="204">
        <f t="shared" si="4"/>
        <v>0</v>
      </c>
      <c r="AG42" s="204">
        <f>'C-car.3'!U57</f>
        <v>1.2</v>
      </c>
      <c r="AH42" s="204">
        <f>'C-car.3'!V57</f>
        <v>0</v>
      </c>
      <c r="AI42" s="204">
        <f>'C-car.3'!W57</f>
        <v>0</v>
      </c>
      <c r="AJ42" s="339"/>
      <c r="AK42" s="204">
        <f t="shared" si="5"/>
        <v>0</v>
      </c>
      <c r="AL42" s="204">
        <f>'C-car.4'!U57</f>
        <v>1.2</v>
      </c>
      <c r="AM42" s="204">
        <f>'C-car.4'!V57</f>
        <v>0</v>
      </c>
      <c r="AN42" s="204">
        <f>'C-car.4'!W57</f>
        <v>0</v>
      </c>
      <c r="AO42" s="52"/>
      <c r="AP42" s="15"/>
      <c r="AQ42" s="11"/>
      <c r="AR42" s="11"/>
      <c r="AS42" s="11"/>
      <c r="AT42" s="52"/>
      <c r="AU42" s="15"/>
      <c r="AV42" s="11"/>
      <c r="AW42" s="11"/>
      <c r="AX42" s="11"/>
      <c r="AY42" s="52"/>
      <c r="AZ42" s="15"/>
      <c r="BA42" s="11"/>
      <c r="BB42" s="11"/>
      <c r="BC42" s="11"/>
    </row>
    <row r="43" spans="24:55" ht="12" customHeight="1" x14ac:dyDescent="0.2">
      <c r="X43" s="46"/>
      <c r="Y43" s="46"/>
      <c r="Z43" s="46"/>
      <c r="AA43" s="46"/>
      <c r="AB43" s="3"/>
      <c r="AC43" s="3"/>
      <c r="AD43" s="3"/>
      <c r="AO43" s="52"/>
      <c r="AP43" s="15"/>
      <c r="AQ43" s="11"/>
      <c r="AR43" s="11"/>
      <c r="AS43" s="11"/>
      <c r="AT43" s="52"/>
      <c r="AU43" s="15"/>
      <c r="AV43" s="11"/>
      <c r="AW43" s="11"/>
      <c r="AX43" s="11"/>
      <c r="AY43" s="52"/>
      <c r="AZ43" s="15"/>
      <c r="BA43" s="11"/>
      <c r="BB43" s="11"/>
      <c r="BC43" s="11"/>
    </row>
    <row r="44" spans="24:55" ht="12" customHeight="1" x14ac:dyDescent="0.2">
      <c r="X44" s="2" t="s">
        <v>50</v>
      </c>
      <c r="Y44" s="46"/>
      <c r="Z44" s="46"/>
      <c r="AA44" s="46"/>
      <c r="AB44" s="3"/>
      <c r="AC44" s="3"/>
      <c r="AD44" s="3"/>
    </row>
    <row r="45" spans="24:55" x14ac:dyDescent="0.2">
      <c r="X45" s="201">
        <f>AN7</f>
        <v>0</v>
      </c>
      <c r="Y45" s="201">
        <f>AN8</f>
        <v>0</v>
      </c>
      <c r="Z45" s="201">
        <f>AN16</f>
        <v>0</v>
      </c>
      <c r="AA45" s="201">
        <f>AN17</f>
        <v>0</v>
      </c>
      <c r="AB45" s="11"/>
      <c r="AC45" s="11"/>
      <c r="AD45" s="11"/>
      <c r="AF45" s="2" t="s">
        <v>65</v>
      </c>
    </row>
    <row r="46" spans="24:55" ht="13.5" x14ac:dyDescent="0.25">
      <c r="X46" s="46"/>
      <c r="Y46" s="46"/>
      <c r="Z46" s="46"/>
      <c r="AA46" s="46"/>
      <c r="AB46" s="3"/>
      <c r="AC46" s="3"/>
      <c r="AD46" s="3"/>
      <c r="AF46" s="9" t="s">
        <v>54</v>
      </c>
      <c r="AG46" s="39" t="s">
        <v>55</v>
      </c>
      <c r="AH46" s="39" t="s">
        <v>3</v>
      </c>
      <c r="AI46" s="39" t="s">
        <v>4</v>
      </c>
    </row>
    <row r="47" spans="24:55" x14ac:dyDescent="0.2">
      <c r="X47" s="2" t="s">
        <v>51</v>
      </c>
      <c r="Y47" s="46"/>
      <c r="Z47" s="46"/>
      <c r="AA47" s="46"/>
      <c r="AB47" s="3"/>
      <c r="AC47" s="3"/>
      <c r="AD47" s="3"/>
      <c r="AF47" s="40" t="s">
        <v>59</v>
      </c>
      <c r="AG47" s="40" t="s">
        <v>59</v>
      </c>
      <c r="AH47" s="40" t="s">
        <v>60</v>
      </c>
      <c r="AI47" s="40" t="s">
        <v>61</v>
      </c>
    </row>
    <row r="48" spans="24:55" ht="12" customHeight="1" x14ac:dyDescent="0.2">
      <c r="X48" s="201">
        <f>AI29</f>
        <v>0</v>
      </c>
      <c r="Y48" s="201">
        <f>AI30</f>
        <v>0</v>
      </c>
      <c r="Z48" s="201">
        <f>AI38</f>
        <v>0</v>
      </c>
      <c r="AA48" s="201">
        <f>AI39</f>
        <v>0</v>
      </c>
      <c r="AB48" s="11"/>
      <c r="AC48" s="11"/>
      <c r="AD48" s="11"/>
      <c r="AE48" s="339" t="s">
        <v>56</v>
      </c>
      <c r="AF48" s="203">
        <f>AF4</f>
        <v>0</v>
      </c>
      <c r="AG48" s="203">
        <f>'C-car.5'!U41</f>
        <v>0</v>
      </c>
      <c r="AH48" s="203">
        <f>'C-car.5'!V41</f>
        <v>0</v>
      </c>
      <c r="AI48" s="203">
        <f>'C-car.5'!W41</f>
        <v>0</v>
      </c>
      <c r="AJ48" s="15"/>
      <c r="AK48" s="15"/>
      <c r="AL48" s="15"/>
      <c r="AM48" s="5"/>
      <c r="AN48" s="15"/>
      <c r="AT48" s="4"/>
      <c r="AU48" s="4"/>
      <c r="AV48" s="4"/>
      <c r="AW48" s="4"/>
      <c r="AX48" s="4"/>
    </row>
    <row r="49" spans="21:50" x14ac:dyDescent="0.2">
      <c r="X49" s="46"/>
      <c r="Y49" s="46"/>
      <c r="Z49" s="46"/>
      <c r="AA49" s="46"/>
      <c r="AB49" s="3"/>
      <c r="AC49" s="3"/>
      <c r="AD49" s="3"/>
      <c r="AE49" s="339"/>
      <c r="AF49" s="201">
        <f t="shared" ref="AF49:AF64" si="6">AF5</f>
        <v>0</v>
      </c>
      <c r="AG49" s="201">
        <f>'C-car.5'!U42</f>
        <v>0</v>
      </c>
      <c r="AH49" s="201">
        <f>'C-car.5'!V42</f>
        <v>0</v>
      </c>
      <c r="AI49" s="201">
        <f>'C-car.5'!W42</f>
        <v>0</v>
      </c>
      <c r="AJ49" s="15"/>
      <c r="AK49" s="15"/>
      <c r="AL49" s="15"/>
      <c r="AM49" s="5"/>
      <c r="AN49" s="15"/>
      <c r="AO49" s="15"/>
      <c r="AP49" s="15"/>
      <c r="AQ49" s="4"/>
      <c r="AR49" s="4"/>
      <c r="AS49" s="4"/>
      <c r="AT49" s="4"/>
      <c r="AU49" s="4"/>
      <c r="AV49" s="4"/>
      <c r="AW49" s="4"/>
      <c r="AX49" s="4"/>
    </row>
    <row r="50" spans="21:50" x14ac:dyDescent="0.2">
      <c r="X50" s="2" t="s">
        <v>52</v>
      </c>
      <c r="Y50" s="46"/>
      <c r="Z50" s="46"/>
      <c r="AA50" s="46"/>
      <c r="AB50" s="3"/>
      <c r="AC50" s="3"/>
      <c r="AD50" s="3"/>
      <c r="AE50" s="339"/>
      <c r="AF50" s="201">
        <f t="shared" si="6"/>
        <v>0</v>
      </c>
      <c r="AG50" s="201">
        <f>'C-car.5'!U43</f>
        <v>0</v>
      </c>
      <c r="AH50" s="201">
        <f>'C-car.5'!V43</f>
        <v>0</v>
      </c>
      <c r="AI50" s="201">
        <f>'C-car.5'!W43</f>
        <v>0</v>
      </c>
      <c r="AJ50" s="15"/>
      <c r="AK50" s="15"/>
      <c r="AL50" s="15"/>
      <c r="AM50" s="5"/>
      <c r="AN50" s="15"/>
      <c r="AO50" s="15"/>
      <c r="AP50" s="15"/>
      <c r="AQ50" s="4"/>
      <c r="AR50" s="5"/>
      <c r="AS50" s="5"/>
      <c r="AT50" s="4"/>
      <c r="AU50" s="4"/>
      <c r="AV50" s="4"/>
      <c r="AW50" s="4"/>
      <c r="AX50" s="4"/>
    </row>
    <row r="51" spans="21:50" x14ac:dyDescent="0.2">
      <c r="X51" s="201">
        <f>AN29</f>
        <v>0</v>
      </c>
      <c r="Y51" s="201">
        <f>AN30</f>
        <v>0</v>
      </c>
      <c r="Z51" s="201">
        <f>AN38</f>
        <v>0</v>
      </c>
      <c r="AA51" s="201">
        <f>AN39</f>
        <v>0</v>
      </c>
      <c r="AB51" s="11"/>
      <c r="AC51" s="11"/>
      <c r="AD51" s="11"/>
      <c r="AE51" s="339"/>
      <c r="AF51" s="204">
        <f t="shared" si="6"/>
        <v>0</v>
      </c>
      <c r="AG51" s="204">
        <f>'C-car.5'!U44</f>
        <v>0</v>
      </c>
      <c r="AH51" s="204">
        <f>'C-car.5'!V44</f>
        <v>0</v>
      </c>
      <c r="AI51" s="204">
        <f>'C-car.5'!W44</f>
        <v>0</v>
      </c>
      <c r="AJ51" s="15"/>
      <c r="AK51" s="15"/>
      <c r="AL51" s="15"/>
      <c r="AM51" s="5"/>
      <c r="AN51" s="15"/>
      <c r="AO51" s="15"/>
      <c r="AP51" s="15"/>
      <c r="AQ51" s="4"/>
      <c r="AR51" s="15"/>
      <c r="AS51" s="5"/>
      <c r="AT51" s="4"/>
      <c r="AU51" s="4"/>
      <c r="AV51" s="4"/>
      <c r="AW51" s="4"/>
      <c r="AX51" s="4"/>
    </row>
    <row r="52" spans="21:50" ht="12" customHeight="1" x14ac:dyDescent="0.2">
      <c r="X52" s="46"/>
      <c r="Y52" s="46"/>
      <c r="Z52" s="3"/>
      <c r="AA52" s="3"/>
      <c r="AB52" s="3"/>
      <c r="AC52" s="3"/>
      <c r="AD52" s="3"/>
      <c r="AE52" s="338" t="s">
        <v>30</v>
      </c>
      <c r="AF52" s="203">
        <f t="shared" si="6"/>
        <v>0</v>
      </c>
      <c r="AG52" s="203">
        <f>'C-car.5'!U45</f>
        <v>0</v>
      </c>
      <c r="AH52" s="203">
        <f>'C-car.5'!V45</f>
        <v>0</v>
      </c>
      <c r="AI52" s="203">
        <f>'C-car.5'!W45</f>
        <v>0</v>
      </c>
      <c r="AJ52" s="15"/>
      <c r="AK52" s="15"/>
      <c r="AL52" s="15"/>
      <c r="AM52" s="5"/>
      <c r="AN52" s="15"/>
      <c r="AO52" s="15"/>
      <c r="AP52" s="15"/>
      <c r="AQ52" s="4"/>
      <c r="AR52" s="15"/>
      <c r="AS52" s="5"/>
      <c r="AT52" s="4"/>
      <c r="AU52" s="5"/>
      <c r="AV52" s="5"/>
      <c r="AW52" s="4"/>
      <c r="AX52" s="4"/>
    </row>
    <row r="53" spans="21:50" x14ac:dyDescent="0.2">
      <c r="X53" s="2" t="s">
        <v>53</v>
      </c>
      <c r="Y53" s="46"/>
      <c r="Z53" s="3"/>
      <c r="AA53" s="3"/>
      <c r="AB53" s="3"/>
      <c r="AC53" s="3"/>
      <c r="AD53" s="3"/>
      <c r="AE53" s="338"/>
      <c r="AF53" s="201">
        <f t="shared" si="6"/>
        <v>0.15</v>
      </c>
      <c r="AG53" s="201">
        <f>'C-car.5'!U46</f>
        <v>0.15</v>
      </c>
      <c r="AH53" s="201">
        <f>'C-car.5'!V46</f>
        <v>0</v>
      </c>
      <c r="AI53" s="201">
        <f>'C-car.5'!W46</f>
        <v>0</v>
      </c>
      <c r="AJ53" s="15"/>
      <c r="AK53" s="15"/>
      <c r="AL53" s="15"/>
      <c r="AM53" s="5"/>
      <c r="AN53" s="15"/>
      <c r="AO53" s="15"/>
      <c r="AP53" s="15"/>
      <c r="AQ53" s="4"/>
      <c r="AR53" s="15"/>
      <c r="AS53" s="5"/>
      <c r="AT53" s="4"/>
      <c r="AU53" s="15"/>
      <c r="AV53" s="5"/>
      <c r="AW53" s="4"/>
      <c r="AX53" s="4"/>
    </row>
    <row r="54" spans="21:50" x14ac:dyDescent="0.2">
      <c r="X54" s="201">
        <f>AI51</f>
        <v>0</v>
      </c>
      <c r="Y54" s="201">
        <f>AI52</f>
        <v>0</v>
      </c>
      <c r="Z54" s="201">
        <f>AI60</f>
        <v>0</v>
      </c>
      <c r="AA54" s="201">
        <f>AI61</f>
        <v>0</v>
      </c>
      <c r="AB54" s="11"/>
      <c r="AC54" s="11"/>
      <c r="AD54" s="11"/>
      <c r="AE54" s="338"/>
      <c r="AF54" s="201">
        <f t="shared" si="6"/>
        <v>0.3</v>
      </c>
      <c r="AG54" s="201">
        <f>'C-car.5'!U47</f>
        <v>0.3</v>
      </c>
      <c r="AH54" s="201">
        <f>'C-car.5'!V47</f>
        <v>0</v>
      </c>
      <c r="AI54" s="201">
        <f>'C-car.5'!W47</f>
        <v>0</v>
      </c>
      <c r="AJ54" s="15"/>
      <c r="AK54" s="15"/>
      <c r="AL54" s="15"/>
      <c r="AM54" s="5"/>
      <c r="AN54" s="15"/>
      <c r="AO54" s="15"/>
      <c r="AP54" s="15"/>
      <c r="AQ54" s="4"/>
      <c r="AR54" s="15"/>
      <c r="AS54" s="5"/>
      <c r="AT54" s="4"/>
      <c r="AU54" s="15"/>
      <c r="AV54" s="5"/>
      <c r="AW54" s="4"/>
      <c r="AX54" s="4"/>
    </row>
    <row r="55" spans="21:50" x14ac:dyDescent="0.2">
      <c r="U55" s="6"/>
      <c r="V55" s="6"/>
      <c r="W55" s="3"/>
      <c r="X55" s="3"/>
      <c r="Y55" s="6"/>
      <c r="Z55" s="6"/>
      <c r="AA55" s="6"/>
      <c r="AB55" s="6"/>
      <c r="AC55" s="6"/>
      <c r="AD55" s="6"/>
      <c r="AE55" s="338"/>
      <c r="AF55" s="201">
        <f t="shared" si="6"/>
        <v>0.44999999999999996</v>
      </c>
      <c r="AG55" s="201">
        <f>'C-car.5'!U48</f>
        <v>0.44999999999999996</v>
      </c>
      <c r="AH55" s="201">
        <f>'C-car.5'!V48</f>
        <v>0</v>
      </c>
      <c r="AI55" s="201">
        <f>'C-car.5'!W48</f>
        <v>0</v>
      </c>
      <c r="AJ55" s="5"/>
      <c r="AK55" s="5"/>
      <c r="AL55" s="5"/>
      <c r="AM55" s="5"/>
      <c r="AN55" s="15"/>
      <c r="AO55" s="15"/>
      <c r="AP55" s="15"/>
      <c r="AQ55" s="4"/>
      <c r="AR55" s="15"/>
      <c r="AS55" s="5"/>
      <c r="AT55" s="4"/>
      <c r="AU55" s="15"/>
      <c r="AV55" s="5"/>
      <c r="AW55" s="4"/>
      <c r="AX55" s="4"/>
    </row>
    <row r="56" spans="21:50" x14ac:dyDescent="0.2">
      <c r="U56" s="6"/>
      <c r="V56" s="6"/>
      <c r="W56" s="6"/>
      <c r="X56" s="6"/>
      <c r="Y56" s="6"/>
      <c r="Z56" s="6"/>
      <c r="AA56" s="6"/>
      <c r="AB56" s="6"/>
      <c r="AC56" s="6"/>
      <c r="AD56" s="6"/>
      <c r="AE56" s="338"/>
      <c r="AF56" s="201">
        <f t="shared" si="6"/>
        <v>0.6</v>
      </c>
      <c r="AG56" s="201">
        <f>'C-car.5'!U49</f>
        <v>0.6</v>
      </c>
      <c r="AH56" s="201">
        <f>'C-car.5'!V49</f>
        <v>0</v>
      </c>
      <c r="AI56" s="201">
        <f>'C-car.5'!W49</f>
        <v>0</v>
      </c>
      <c r="AJ56" s="5"/>
      <c r="AK56" s="5"/>
      <c r="AL56" s="5"/>
      <c r="AM56" s="5"/>
      <c r="AN56" s="15"/>
      <c r="AO56" s="15"/>
      <c r="AP56" s="15"/>
      <c r="AQ56" s="4"/>
      <c r="AR56" s="4"/>
      <c r="AS56" s="4"/>
      <c r="AT56" s="4"/>
      <c r="AU56" s="15"/>
      <c r="AV56" s="5"/>
      <c r="AW56" s="4"/>
      <c r="AX56" s="4"/>
    </row>
    <row r="57" spans="21:50" x14ac:dyDescent="0.2">
      <c r="U57" s="6"/>
      <c r="Y57" s="341" t="s">
        <v>68</v>
      </c>
      <c r="Z57" s="341"/>
      <c r="AB57" s="51"/>
      <c r="AC57" s="6"/>
      <c r="AD57" s="6"/>
      <c r="AE57" s="338"/>
      <c r="AF57" s="201">
        <f t="shared" si="6"/>
        <v>0.75</v>
      </c>
      <c r="AG57" s="201">
        <f>'C-car.5'!U50</f>
        <v>0.75</v>
      </c>
      <c r="AH57" s="201">
        <f>'C-car.5'!V50</f>
        <v>0</v>
      </c>
      <c r="AI57" s="201">
        <f>'C-car.5'!W50</f>
        <v>0</v>
      </c>
      <c r="AJ57" s="5"/>
      <c r="AK57" s="5"/>
      <c r="AL57" s="5"/>
      <c r="AM57" s="5"/>
      <c r="AN57" s="15"/>
      <c r="AO57" s="15"/>
      <c r="AP57" s="15"/>
      <c r="AQ57" s="4"/>
      <c r="AR57" s="4"/>
      <c r="AS57" s="4"/>
      <c r="AT57" s="4"/>
      <c r="AU57" s="15"/>
      <c r="AV57" s="5"/>
      <c r="AW57" s="4"/>
      <c r="AX57" s="4"/>
    </row>
    <row r="58" spans="21:50" x14ac:dyDescent="0.2">
      <c r="U58" s="6"/>
      <c r="X58" s="6"/>
      <c r="Y58" s="43" t="s">
        <v>0</v>
      </c>
      <c r="Z58" s="43" t="s">
        <v>1</v>
      </c>
      <c r="AB58" s="3"/>
      <c r="AC58" s="6"/>
      <c r="AD58" s="6"/>
      <c r="AE58" s="338"/>
      <c r="AF58" s="201">
        <f t="shared" si="6"/>
        <v>0.89999999999999991</v>
      </c>
      <c r="AG58" s="201">
        <f>'C-car.5'!U51</f>
        <v>0.89999999999999991</v>
      </c>
      <c r="AH58" s="201">
        <f>'C-car.5'!V51</f>
        <v>0</v>
      </c>
      <c r="AI58" s="201">
        <f>'C-car.5'!W51</f>
        <v>0</v>
      </c>
      <c r="AJ58" s="15"/>
      <c r="AK58" s="15"/>
      <c r="AL58" s="15"/>
      <c r="AM58" s="5"/>
      <c r="AN58" s="15"/>
      <c r="AO58" s="15"/>
      <c r="AP58" s="15"/>
      <c r="AQ58" s="4"/>
      <c r="AR58" s="4"/>
      <c r="AS58" s="4"/>
      <c r="AT58" s="4"/>
      <c r="AU58" s="15"/>
      <c r="AV58" s="5"/>
      <c r="AW58" s="4"/>
      <c r="AX58" s="4"/>
    </row>
    <row r="59" spans="21:50" x14ac:dyDescent="0.2">
      <c r="U59" s="6"/>
      <c r="Y59" s="342" t="s">
        <v>67</v>
      </c>
      <c r="Z59" s="342"/>
      <c r="AB59" s="51"/>
      <c r="AC59" s="6"/>
      <c r="AD59" s="6"/>
      <c r="AE59" s="338"/>
      <c r="AF59" s="201">
        <f t="shared" si="6"/>
        <v>1.05</v>
      </c>
      <c r="AG59" s="201">
        <f>'C-car.5'!U52</f>
        <v>1.05</v>
      </c>
      <c r="AH59" s="201">
        <f>'C-car.5'!V52</f>
        <v>0</v>
      </c>
      <c r="AI59" s="201">
        <f>'C-car.5'!W52</f>
        <v>0</v>
      </c>
      <c r="AJ59" s="15"/>
      <c r="AK59" s="15"/>
      <c r="AL59" s="15"/>
      <c r="AM59" s="5"/>
      <c r="AN59" s="15"/>
      <c r="AO59" s="15"/>
      <c r="AP59" s="15"/>
      <c r="AQ59" s="4"/>
      <c r="AR59" s="4"/>
      <c r="AS59" s="4"/>
      <c r="AT59" s="4"/>
      <c r="AU59" s="15"/>
      <c r="AV59" s="5"/>
      <c r="AW59" s="4"/>
      <c r="AX59" s="4"/>
    </row>
    <row r="60" spans="21:50" x14ac:dyDescent="0.2">
      <c r="U60" s="6"/>
      <c r="X60" s="42" t="s">
        <v>49</v>
      </c>
      <c r="Y60" s="201">
        <f>'C-car.1'!O26</f>
        <v>2.4839999999999995</v>
      </c>
      <c r="Z60" s="201">
        <f>'C-car.1'!P26</f>
        <v>2.4839999999999995</v>
      </c>
      <c r="AB60" s="11"/>
      <c r="AC60" s="6"/>
      <c r="AD60" s="6"/>
      <c r="AE60" s="338"/>
      <c r="AF60" s="204">
        <f t="shared" si="6"/>
        <v>1.2</v>
      </c>
      <c r="AG60" s="204">
        <f>'C-car.5'!U53</f>
        <v>1.2</v>
      </c>
      <c r="AH60" s="204">
        <f>'C-car.5'!V53</f>
        <v>0</v>
      </c>
      <c r="AI60" s="204">
        <f>'C-car.5'!W53</f>
        <v>0</v>
      </c>
      <c r="AJ60" s="15"/>
      <c r="AK60" s="15"/>
      <c r="AL60" s="15"/>
      <c r="AM60" s="5"/>
      <c r="AN60" s="15"/>
      <c r="AO60" s="15"/>
      <c r="AP60" s="15"/>
      <c r="AQ60" s="4"/>
      <c r="AR60" s="4"/>
      <c r="AS60" s="4"/>
      <c r="AT60" s="4"/>
      <c r="AU60" s="4"/>
      <c r="AV60" s="4"/>
      <c r="AW60" s="4"/>
      <c r="AX60" s="4"/>
    </row>
    <row r="61" spans="21:50" ht="12" customHeight="1" x14ac:dyDescent="0.2">
      <c r="U61" s="6"/>
      <c r="X61" s="42" t="s">
        <v>50</v>
      </c>
      <c r="Y61" s="201">
        <f>'C-car.2'!O26</f>
        <v>0</v>
      </c>
      <c r="Z61" s="201">
        <f>'C-car.2'!P26</f>
        <v>0</v>
      </c>
      <c r="AB61" s="11"/>
      <c r="AC61" s="6"/>
      <c r="AD61" s="6"/>
      <c r="AE61" s="339" t="s">
        <v>57</v>
      </c>
      <c r="AF61" s="203">
        <f t="shared" si="6"/>
        <v>0</v>
      </c>
      <c r="AG61" s="203">
        <f>'C-car.5'!U54</f>
        <v>1.2</v>
      </c>
      <c r="AH61" s="203">
        <f>'C-car.5'!V54</f>
        <v>0</v>
      </c>
      <c r="AI61" s="203">
        <f>'C-car.5'!W54</f>
        <v>0</v>
      </c>
      <c r="AJ61" s="15"/>
      <c r="AK61" s="15"/>
      <c r="AL61" s="15"/>
      <c r="AM61" s="5"/>
      <c r="AN61" s="15"/>
      <c r="AO61" s="15"/>
      <c r="AP61" s="15"/>
      <c r="AQ61" s="4"/>
      <c r="AR61" s="4"/>
      <c r="AS61" s="4"/>
      <c r="AT61" s="4"/>
      <c r="AU61" s="4"/>
      <c r="AV61" s="4"/>
      <c r="AW61" s="4"/>
      <c r="AX61" s="4"/>
    </row>
    <row r="62" spans="21:50" x14ac:dyDescent="0.2">
      <c r="U62" s="6"/>
      <c r="X62" s="42" t="s">
        <v>51</v>
      </c>
      <c r="Y62" s="201">
        <f>'C-car.3'!O26</f>
        <v>0</v>
      </c>
      <c r="Z62" s="201">
        <f>'C-car.3'!P26</f>
        <v>0</v>
      </c>
      <c r="AB62" s="11"/>
      <c r="AC62" s="6"/>
      <c r="AD62" s="6"/>
      <c r="AE62" s="339"/>
      <c r="AF62" s="201">
        <f t="shared" si="6"/>
        <v>0</v>
      </c>
      <c r="AG62" s="201">
        <f>'C-car.5'!U55</f>
        <v>1.2</v>
      </c>
      <c r="AH62" s="201">
        <f>'C-car.5'!V55</f>
        <v>0</v>
      </c>
      <c r="AI62" s="201">
        <f>'C-car.5'!W55</f>
        <v>0</v>
      </c>
      <c r="AJ62" s="15"/>
      <c r="AK62" s="15"/>
      <c r="AL62" s="15"/>
      <c r="AM62" s="5"/>
      <c r="AN62" s="15"/>
      <c r="AO62" s="15"/>
      <c r="AP62" s="15"/>
      <c r="AQ62" s="4"/>
      <c r="AR62" s="4"/>
      <c r="AS62" s="4"/>
      <c r="AT62" s="4"/>
      <c r="AU62" s="4"/>
      <c r="AV62" s="4"/>
      <c r="AW62" s="4"/>
      <c r="AX62" s="4"/>
    </row>
    <row r="63" spans="21:50" x14ac:dyDescent="0.2">
      <c r="U63" s="6"/>
      <c r="V63" s="6"/>
      <c r="X63" s="42" t="s">
        <v>52</v>
      </c>
      <c r="Y63" s="201">
        <f>'C-car.4'!O26</f>
        <v>0</v>
      </c>
      <c r="Z63" s="201">
        <f>'C-car.4'!P26</f>
        <v>0</v>
      </c>
      <c r="AB63" s="11"/>
      <c r="AC63" s="6"/>
      <c r="AD63" s="6"/>
      <c r="AE63" s="339"/>
      <c r="AF63" s="201">
        <f t="shared" si="6"/>
        <v>0</v>
      </c>
      <c r="AG63" s="201">
        <f>'C-car.5'!U56</f>
        <v>1.2</v>
      </c>
      <c r="AH63" s="201">
        <f>'C-car.5'!V56</f>
        <v>0</v>
      </c>
      <c r="AI63" s="201">
        <f>'C-car.5'!W56</f>
        <v>0</v>
      </c>
      <c r="AJ63" s="15"/>
      <c r="AK63" s="15"/>
      <c r="AL63" s="15"/>
      <c r="AM63" s="5"/>
      <c r="AN63" s="15"/>
      <c r="AO63" s="15"/>
      <c r="AP63" s="15"/>
      <c r="AQ63" s="4"/>
      <c r="AR63" s="4"/>
      <c r="AS63" s="4"/>
      <c r="AT63" s="4"/>
      <c r="AU63" s="4"/>
      <c r="AV63" s="4"/>
      <c r="AW63" s="4"/>
      <c r="AX63" s="4"/>
    </row>
    <row r="64" spans="21:50" x14ac:dyDescent="0.2">
      <c r="U64" s="6"/>
      <c r="V64" s="6"/>
      <c r="X64" s="42" t="s">
        <v>53</v>
      </c>
      <c r="Y64" s="201">
        <f>'C-car.5'!O26</f>
        <v>0</v>
      </c>
      <c r="Z64" s="201">
        <f>'C-car.5'!P26</f>
        <v>0</v>
      </c>
      <c r="AB64" s="11"/>
      <c r="AC64" s="6"/>
      <c r="AD64" s="6"/>
      <c r="AE64" s="339"/>
      <c r="AF64" s="204">
        <f t="shared" si="6"/>
        <v>0</v>
      </c>
      <c r="AG64" s="204">
        <f>'C-car.5'!U57</f>
        <v>1.2</v>
      </c>
      <c r="AH64" s="204">
        <f>'C-car.5'!V57</f>
        <v>0</v>
      </c>
      <c r="AI64" s="204">
        <f>'C-car.5'!W57</f>
        <v>0</v>
      </c>
      <c r="AJ64" s="15"/>
      <c r="AK64" s="15"/>
      <c r="AL64" s="15"/>
      <c r="AM64" s="5"/>
      <c r="AN64" s="15"/>
      <c r="AO64" s="15"/>
      <c r="AP64" s="15"/>
      <c r="AQ64" s="4"/>
      <c r="AR64" s="4"/>
      <c r="AS64" s="4"/>
      <c r="AT64" s="4"/>
      <c r="AU64" s="4"/>
      <c r="AV64" s="4"/>
      <c r="AW64" s="4"/>
      <c r="AX64" s="4"/>
    </row>
    <row r="65" spans="1:50" x14ac:dyDescent="0.2">
      <c r="AE65" s="6"/>
      <c r="AF65" s="15"/>
      <c r="AG65" s="15"/>
      <c r="AH65" s="15"/>
      <c r="AI65" s="5"/>
      <c r="AJ65" s="15"/>
      <c r="AK65" s="15"/>
      <c r="AL65" s="15"/>
      <c r="AM65" s="5"/>
      <c r="AN65" s="15"/>
      <c r="AO65" s="15"/>
      <c r="AP65" s="15"/>
      <c r="AQ65" s="4"/>
      <c r="AR65" s="4"/>
      <c r="AS65" s="4"/>
      <c r="AT65" s="4"/>
      <c r="AU65" s="4"/>
      <c r="AV65" s="4"/>
      <c r="AW65" s="4"/>
      <c r="AX65" s="4"/>
    </row>
    <row r="66" spans="1:50" x14ac:dyDescent="0.2">
      <c r="AE66" s="6"/>
      <c r="AF66" s="15"/>
      <c r="AG66" s="15"/>
      <c r="AH66" s="15"/>
      <c r="AI66" s="5"/>
      <c r="AJ66" s="15"/>
      <c r="AK66" s="15"/>
      <c r="AL66" s="15"/>
      <c r="AM66" s="5"/>
      <c r="AN66" s="15"/>
      <c r="AO66" s="15"/>
      <c r="AP66" s="15"/>
      <c r="AQ66" s="4"/>
      <c r="AR66" s="4"/>
      <c r="AS66" s="4"/>
      <c r="AT66" s="4"/>
      <c r="AU66" s="4"/>
      <c r="AV66" s="4"/>
      <c r="AW66" s="4"/>
      <c r="AX66" s="4"/>
    </row>
    <row r="67" spans="1:50" x14ac:dyDescent="0.2">
      <c r="AE67" s="6"/>
      <c r="AF67" s="5"/>
      <c r="AG67" s="5"/>
      <c r="AH67" s="5"/>
      <c r="AI67" s="5"/>
      <c r="AJ67" s="5"/>
      <c r="AK67" s="5"/>
      <c r="AL67" s="5"/>
      <c r="AM67" s="5"/>
      <c r="AN67" s="15"/>
      <c r="AO67" s="15"/>
      <c r="AP67" s="15"/>
      <c r="AQ67" s="4"/>
      <c r="AR67" s="4"/>
      <c r="AS67" s="4"/>
      <c r="AT67" s="4"/>
      <c r="AU67" s="4"/>
      <c r="AV67" s="4"/>
      <c r="AW67" s="4"/>
      <c r="AX67" s="4"/>
    </row>
    <row r="68" spans="1:50" x14ac:dyDescent="0.2">
      <c r="AF68" s="4"/>
      <c r="AG68" s="4"/>
      <c r="AH68" s="4"/>
      <c r="AI68" s="4"/>
      <c r="AJ68" s="4"/>
      <c r="AK68" s="4"/>
      <c r="AL68" s="4"/>
      <c r="AM68" s="4"/>
      <c r="AN68" s="15"/>
      <c r="AO68" s="15"/>
      <c r="AP68" s="15"/>
      <c r="AQ68" s="4"/>
      <c r="AR68" s="4"/>
      <c r="AS68" s="4"/>
      <c r="AT68" s="4"/>
      <c r="AU68" s="4"/>
      <c r="AV68" s="4"/>
      <c r="AW68" s="4"/>
      <c r="AX68" s="4"/>
    </row>
    <row r="69" spans="1:50" hidden="1" x14ac:dyDescent="0.2">
      <c r="A69" s="123" t="s">
        <v>462</v>
      </c>
      <c r="B69" s="275"/>
      <c r="C69" s="123" t="s">
        <v>463</v>
      </c>
      <c r="D69" s="275"/>
      <c r="E69" s="132" t="s">
        <v>464</v>
      </c>
      <c r="G69" s="123" t="s">
        <v>448</v>
      </c>
      <c r="I69" s="251" t="s">
        <v>452</v>
      </c>
      <c r="AF69" s="4"/>
      <c r="AG69" s="4"/>
      <c r="AH69" s="4"/>
      <c r="AI69" s="4"/>
      <c r="AJ69" s="4"/>
      <c r="AK69" s="4"/>
      <c r="AL69" s="4"/>
      <c r="AM69" s="4"/>
      <c r="AN69" s="15"/>
      <c r="AO69" s="15"/>
      <c r="AP69" s="15"/>
      <c r="AQ69" s="4"/>
      <c r="AR69" s="4"/>
      <c r="AS69" s="4"/>
      <c r="AT69" s="4"/>
      <c r="AU69" s="4"/>
      <c r="AV69" s="4"/>
      <c r="AW69" s="4"/>
      <c r="AX69" s="4"/>
    </row>
    <row r="70" spans="1:50" hidden="1" x14ac:dyDescent="0.2">
      <c r="A70" s="123" t="s">
        <v>463</v>
      </c>
      <c r="B70" s="275"/>
      <c r="C70" s="123" t="str">
        <f>E6</f>
        <v>acciaio</v>
      </c>
      <c r="D70" s="275"/>
      <c r="E70" s="132" t="s">
        <v>448</v>
      </c>
      <c r="G70" s="123"/>
      <c r="I70" s="256" t="s">
        <v>124</v>
      </c>
      <c r="AF70" s="5"/>
      <c r="AG70" s="5"/>
      <c r="AH70" s="5"/>
      <c r="AI70" s="4"/>
      <c r="AJ70" s="5"/>
      <c r="AK70" s="5"/>
      <c r="AL70" s="5"/>
      <c r="AM70" s="4"/>
      <c r="AN70" s="15"/>
      <c r="AO70" s="15"/>
      <c r="AP70" s="15"/>
      <c r="AQ70" s="4"/>
      <c r="AR70" s="4"/>
      <c r="AS70" s="4"/>
      <c r="AT70" s="4"/>
      <c r="AU70" s="4"/>
      <c r="AV70" s="4"/>
      <c r="AW70" s="4"/>
      <c r="AX70" s="4"/>
    </row>
    <row r="71" spans="1:50" hidden="1" x14ac:dyDescent="0.2">
      <c r="A71" s="123" t="s">
        <v>464</v>
      </c>
      <c r="B71" s="275"/>
      <c r="C71" s="275"/>
      <c r="D71" s="275"/>
      <c r="E71" s="275"/>
      <c r="F71" s="275"/>
      <c r="I71" s="251" t="s">
        <v>448</v>
      </c>
      <c r="AF71" s="5"/>
      <c r="AG71" s="15"/>
      <c r="AH71" s="15"/>
      <c r="AI71" s="4"/>
      <c r="AJ71" s="15"/>
      <c r="AK71" s="15"/>
      <c r="AL71" s="15"/>
      <c r="AM71" s="4"/>
      <c r="AN71" s="15"/>
      <c r="AO71" s="15"/>
      <c r="AP71" s="15"/>
      <c r="AQ71" s="4"/>
      <c r="AR71" s="4"/>
      <c r="AS71" s="4"/>
      <c r="AT71" s="4"/>
      <c r="AU71" s="4"/>
      <c r="AV71" s="4"/>
      <c r="AW71" s="4"/>
      <c r="AX71" s="4"/>
    </row>
    <row r="72" spans="1:50" hidden="1" x14ac:dyDescent="0.2">
      <c r="AF72" s="5"/>
      <c r="AG72" s="15"/>
      <c r="AH72" s="15"/>
      <c r="AI72" s="4"/>
      <c r="AJ72" s="15"/>
      <c r="AK72" s="15"/>
      <c r="AL72" s="15"/>
      <c r="AM72" s="4"/>
      <c r="AN72" s="15"/>
      <c r="AO72" s="15"/>
      <c r="AP72" s="15"/>
      <c r="AQ72" s="4"/>
      <c r="AR72" s="4"/>
      <c r="AS72" s="4"/>
      <c r="AT72" s="4"/>
      <c r="AU72" s="4"/>
      <c r="AV72" s="4"/>
      <c r="AW72" s="4"/>
      <c r="AX72" s="4"/>
    </row>
    <row r="73" spans="1:50" hidden="1" x14ac:dyDescent="0.2">
      <c r="AF73" s="5"/>
      <c r="AG73" s="15"/>
      <c r="AH73" s="15"/>
      <c r="AI73" s="4"/>
      <c r="AJ73" s="15"/>
      <c r="AK73" s="15"/>
      <c r="AL73" s="15"/>
      <c r="AM73" s="4"/>
      <c r="AN73" s="15"/>
      <c r="AO73" s="15"/>
      <c r="AP73" s="15"/>
      <c r="AQ73" s="4"/>
      <c r="AR73" s="4"/>
      <c r="AS73" s="4"/>
      <c r="AT73" s="4"/>
      <c r="AU73" s="4"/>
      <c r="AV73" s="4"/>
      <c r="AW73" s="4"/>
      <c r="AX73" s="4"/>
    </row>
    <row r="74" spans="1:50" hidden="1" x14ac:dyDescent="0.2">
      <c r="A74" s="335" t="s">
        <v>31</v>
      </c>
      <c r="B74" s="336"/>
      <c r="C74" s="336"/>
      <c r="D74" s="336"/>
      <c r="E74" s="336"/>
      <c r="F74" s="336"/>
      <c r="G74" s="336"/>
      <c r="H74" s="336"/>
      <c r="I74" s="336"/>
      <c r="J74" s="337"/>
      <c r="AF74" s="5"/>
      <c r="AG74" s="15"/>
      <c r="AH74" s="15"/>
      <c r="AI74" s="4"/>
      <c r="AJ74" s="15"/>
      <c r="AK74" s="15"/>
      <c r="AL74" s="15"/>
      <c r="AM74" s="4"/>
      <c r="AN74" s="15"/>
      <c r="AO74" s="15"/>
      <c r="AP74" s="15"/>
      <c r="AQ74" s="4"/>
      <c r="AR74" s="4"/>
      <c r="AS74" s="4"/>
      <c r="AT74" s="4"/>
      <c r="AU74" s="4"/>
      <c r="AV74" s="4"/>
      <c r="AW74" s="4"/>
      <c r="AX74" s="4"/>
    </row>
    <row r="75" spans="1:50" hidden="1" x14ac:dyDescent="0.2">
      <c r="A75" s="261"/>
      <c r="B75" s="2"/>
      <c r="C75" s="2"/>
      <c r="D75" s="2"/>
      <c r="E75" s="2"/>
      <c r="F75" s="2"/>
      <c r="G75" s="2"/>
      <c r="H75" s="2"/>
      <c r="I75" s="2"/>
      <c r="J75" s="262"/>
      <c r="AF75" s="5"/>
      <c r="AG75" s="15"/>
      <c r="AH75" s="15"/>
      <c r="AI75" s="4"/>
      <c r="AJ75" s="5"/>
      <c r="AK75" s="5"/>
      <c r="AL75" s="5"/>
      <c r="AM75" s="4"/>
      <c r="AN75" s="15"/>
      <c r="AO75" s="15"/>
      <c r="AP75" s="15"/>
      <c r="AQ75" s="4"/>
      <c r="AR75" s="4"/>
      <c r="AS75" s="4"/>
      <c r="AT75" s="4"/>
      <c r="AU75" s="4"/>
      <c r="AV75" s="4"/>
      <c r="AW75" s="4"/>
      <c r="AX75" s="4"/>
    </row>
    <row r="76" spans="1:50" ht="13.5" hidden="1" x14ac:dyDescent="0.25">
      <c r="A76" s="225"/>
      <c r="B76" s="3"/>
      <c r="C76" s="3"/>
      <c r="D76" s="45" t="s">
        <v>30</v>
      </c>
      <c r="E76" s="274" t="s">
        <v>38</v>
      </c>
      <c r="F76" s="274" t="s">
        <v>39</v>
      </c>
      <c r="G76" s="274" t="s">
        <v>40</v>
      </c>
      <c r="H76" s="3"/>
      <c r="I76" s="3"/>
      <c r="J76" s="266"/>
      <c r="AF76" s="5"/>
      <c r="AG76" s="15"/>
      <c r="AH76" s="15"/>
      <c r="AI76" s="4"/>
      <c r="AJ76" s="5"/>
      <c r="AK76" s="5"/>
      <c r="AL76" s="5"/>
      <c r="AM76" s="4"/>
      <c r="AN76" s="15"/>
      <c r="AO76" s="15"/>
      <c r="AP76" s="15"/>
      <c r="AQ76" s="4"/>
      <c r="AR76" s="4"/>
      <c r="AS76" s="4"/>
      <c r="AT76" s="4"/>
      <c r="AU76" s="4"/>
      <c r="AV76" s="4"/>
      <c r="AW76" s="4"/>
      <c r="AX76" s="4"/>
    </row>
    <row r="77" spans="1:50" hidden="1" x14ac:dyDescent="0.2">
      <c r="A77" s="226"/>
      <c r="B77" s="273"/>
      <c r="C77" s="273"/>
      <c r="D77" s="273"/>
      <c r="E77" s="268">
        <v>1</v>
      </c>
      <c r="F77" s="282">
        <f>F19/10^8</f>
        <v>9.9999999999999995E-8</v>
      </c>
      <c r="G77" s="269">
        <f>E77*F77</f>
        <v>9.9999999999999995E-8</v>
      </c>
      <c r="H77" s="273"/>
      <c r="I77" s="273"/>
      <c r="J77" s="283"/>
      <c r="AF77" s="5"/>
      <c r="AG77" s="15"/>
      <c r="AH77" s="15"/>
      <c r="AI77" s="4"/>
      <c r="AJ77" s="5"/>
      <c r="AK77" s="5"/>
      <c r="AL77" s="5"/>
      <c r="AM77" s="4"/>
      <c r="AN77" s="15"/>
      <c r="AO77" s="15"/>
      <c r="AP77" s="15"/>
      <c r="AQ77" s="4"/>
      <c r="AR77" s="4"/>
      <c r="AS77" s="4"/>
      <c r="AT77" s="4"/>
      <c r="AU77" s="4"/>
      <c r="AV77" s="4"/>
      <c r="AW77" s="4"/>
      <c r="AX77" s="4"/>
    </row>
    <row r="78" spans="1:50" x14ac:dyDescent="0.2">
      <c r="AF78" s="5"/>
      <c r="AG78" s="15"/>
      <c r="AH78" s="15"/>
      <c r="AI78" s="4"/>
      <c r="AJ78" s="5"/>
      <c r="AK78" s="5"/>
      <c r="AL78" s="5"/>
      <c r="AM78" s="4"/>
      <c r="AN78" s="15"/>
      <c r="AO78" s="15"/>
      <c r="AP78" s="15"/>
      <c r="AQ78" s="4"/>
      <c r="AR78" s="4"/>
      <c r="AS78" s="4"/>
      <c r="AT78" s="4"/>
      <c r="AU78" s="4"/>
      <c r="AV78" s="4"/>
      <c r="AW78" s="4"/>
      <c r="AX78" s="4"/>
    </row>
    <row r="79" spans="1:50" x14ac:dyDescent="0.2">
      <c r="AF79" s="5"/>
      <c r="AG79" s="15"/>
      <c r="AH79" s="15"/>
      <c r="AI79" s="4"/>
      <c r="AJ79" s="5"/>
      <c r="AK79" s="5"/>
      <c r="AL79" s="5"/>
      <c r="AM79" s="4"/>
      <c r="AN79" s="15"/>
      <c r="AO79" s="15"/>
      <c r="AP79" s="15"/>
      <c r="AQ79" s="4"/>
      <c r="AR79" s="4"/>
      <c r="AS79" s="4"/>
      <c r="AT79" s="4"/>
      <c r="AU79" s="4"/>
      <c r="AV79" s="4"/>
      <c r="AW79" s="4"/>
      <c r="AX79" s="4"/>
    </row>
    <row r="80" spans="1:50" x14ac:dyDescent="0.2">
      <c r="AF80" s="4"/>
      <c r="AG80" s="4"/>
      <c r="AH80" s="4"/>
      <c r="AI80" s="4"/>
      <c r="AJ80" s="4"/>
      <c r="AK80" s="4"/>
      <c r="AL80" s="4"/>
      <c r="AM80" s="4"/>
      <c r="AN80" s="15"/>
      <c r="AO80" s="15"/>
      <c r="AP80" s="15"/>
      <c r="AQ80" s="4"/>
      <c r="AR80" s="4"/>
      <c r="AS80" s="4"/>
      <c r="AT80" s="4"/>
      <c r="AU80" s="4"/>
      <c r="AV80" s="4"/>
      <c r="AW80" s="4"/>
      <c r="AX80" s="4"/>
    </row>
    <row r="81" spans="15:50" x14ac:dyDescent="0.2">
      <c r="AF81" s="4"/>
      <c r="AG81" s="4"/>
      <c r="AH81" s="4"/>
      <c r="AI81" s="4"/>
      <c r="AJ81" s="4"/>
      <c r="AK81" s="4"/>
      <c r="AL81" s="4"/>
      <c r="AM81" s="4"/>
      <c r="AN81" s="15"/>
      <c r="AO81" s="15"/>
      <c r="AP81" s="15"/>
      <c r="AQ81" s="4"/>
      <c r="AR81" s="4"/>
      <c r="AS81" s="4"/>
      <c r="AT81" s="4"/>
      <c r="AU81" s="4"/>
      <c r="AV81" s="4"/>
      <c r="AW81" s="4"/>
      <c r="AX81" s="4"/>
    </row>
    <row r="82" spans="15:50" x14ac:dyDescent="0.2">
      <c r="AF82" s="4"/>
      <c r="AG82" s="4"/>
      <c r="AH82" s="4"/>
      <c r="AI82" s="4"/>
      <c r="AJ82" s="4"/>
      <c r="AK82" s="4"/>
      <c r="AL82" s="4"/>
      <c r="AM82" s="4"/>
      <c r="AN82" s="15"/>
      <c r="AO82" s="15"/>
      <c r="AP82" s="15"/>
      <c r="AQ82" s="4"/>
      <c r="AR82" s="4"/>
      <c r="AS82" s="4"/>
      <c r="AT82" s="4"/>
      <c r="AU82" s="4"/>
      <c r="AV82" s="4"/>
      <c r="AW82" s="4"/>
      <c r="AX82" s="4"/>
    </row>
    <row r="83" spans="15:50" x14ac:dyDescent="0.2">
      <c r="AF83" s="4"/>
      <c r="AG83" s="4"/>
      <c r="AH83" s="4"/>
      <c r="AI83" s="4"/>
      <c r="AJ83" s="4"/>
      <c r="AK83" s="4"/>
      <c r="AL83" s="4"/>
      <c r="AM83" s="4"/>
      <c r="AN83" s="15"/>
      <c r="AO83" s="15"/>
      <c r="AP83" s="15"/>
      <c r="AQ83" s="4"/>
      <c r="AR83" s="4"/>
      <c r="AS83" s="4"/>
      <c r="AT83" s="4"/>
      <c r="AU83" s="4"/>
      <c r="AV83" s="4"/>
      <c r="AW83" s="4"/>
      <c r="AX83" s="4"/>
    </row>
    <row r="84" spans="15:50" x14ac:dyDescent="0.2">
      <c r="AF84" s="4"/>
      <c r="AG84" s="4"/>
      <c r="AH84" s="4"/>
      <c r="AI84" s="4"/>
      <c r="AJ84" s="4"/>
      <c r="AK84" s="4"/>
      <c r="AL84" s="4"/>
      <c r="AM84" s="4"/>
      <c r="AN84" s="15"/>
      <c r="AO84" s="15"/>
      <c r="AP84" s="15"/>
      <c r="AQ84" s="4"/>
      <c r="AR84" s="4"/>
      <c r="AS84" s="4"/>
      <c r="AT84" s="4"/>
      <c r="AU84" s="4"/>
      <c r="AV84" s="4"/>
      <c r="AW84" s="4"/>
      <c r="AX84" s="4"/>
    </row>
    <row r="85" spans="15:50" x14ac:dyDescent="0.2">
      <c r="AF85" s="4"/>
      <c r="AG85" s="4"/>
      <c r="AH85" s="4"/>
      <c r="AI85" s="4"/>
      <c r="AJ85" s="4"/>
      <c r="AK85" s="4"/>
      <c r="AL85" s="4"/>
      <c r="AM85" s="4"/>
      <c r="AN85" s="15"/>
      <c r="AO85" s="15"/>
      <c r="AP85" s="15"/>
      <c r="AQ85" s="4"/>
      <c r="AR85" s="4"/>
      <c r="AS85" s="4"/>
      <c r="AT85" s="4"/>
      <c r="AU85" s="4"/>
      <c r="AV85" s="4"/>
      <c r="AW85" s="4"/>
      <c r="AX85" s="4"/>
    </row>
    <row r="86" spans="15:50" x14ac:dyDescent="0.2">
      <c r="AF86" s="4"/>
      <c r="AG86" s="4"/>
      <c r="AH86" s="4"/>
      <c r="AI86" s="4"/>
      <c r="AJ86" s="4"/>
      <c r="AK86" s="4"/>
      <c r="AL86" s="4"/>
      <c r="AM86" s="4"/>
      <c r="AN86" s="15"/>
      <c r="AO86" s="15"/>
      <c r="AP86" s="15"/>
      <c r="AQ86" s="4"/>
      <c r="AR86" s="4"/>
      <c r="AS86" s="4"/>
      <c r="AT86" s="4"/>
      <c r="AU86" s="4"/>
      <c r="AV86" s="4"/>
      <c r="AW86" s="4"/>
      <c r="AX86" s="4"/>
    </row>
    <row r="87" spans="15:50" x14ac:dyDescent="0.2">
      <c r="AF87" s="4"/>
      <c r="AG87" s="4"/>
      <c r="AH87" s="4"/>
      <c r="AI87" s="4"/>
      <c r="AJ87" s="4"/>
      <c r="AK87" s="4"/>
      <c r="AL87" s="4"/>
      <c r="AM87" s="4"/>
      <c r="AN87" s="15"/>
      <c r="AO87" s="15"/>
      <c r="AP87" s="15"/>
      <c r="AQ87" s="4"/>
      <c r="AR87" s="4"/>
      <c r="AS87" s="4"/>
      <c r="AT87" s="4"/>
      <c r="AU87" s="4"/>
      <c r="AV87" s="4"/>
      <c r="AW87" s="4"/>
      <c r="AX87" s="4"/>
    </row>
    <row r="88" spans="15:50" x14ac:dyDescent="0.2">
      <c r="W88" s="2"/>
      <c r="X88" s="2"/>
      <c r="AF88" s="4"/>
      <c r="AG88" s="4"/>
      <c r="AH88" s="4"/>
      <c r="AI88" s="4"/>
      <c r="AJ88" s="4"/>
      <c r="AK88" s="4"/>
      <c r="AL88" s="4"/>
      <c r="AM88" s="4"/>
      <c r="AN88" s="15"/>
      <c r="AO88" s="15"/>
      <c r="AP88" s="15"/>
      <c r="AQ88" s="4"/>
      <c r="AR88" s="4"/>
      <c r="AS88" s="4"/>
      <c r="AT88" s="4"/>
      <c r="AU88" s="4"/>
      <c r="AV88" s="4"/>
      <c r="AW88" s="4"/>
      <c r="AX88" s="4"/>
    </row>
    <row r="89" spans="15:50" x14ac:dyDescent="0.2">
      <c r="W89" s="11"/>
      <c r="X89" s="11"/>
      <c r="AF89" s="4"/>
      <c r="AG89" s="4"/>
      <c r="AH89" s="4"/>
      <c r="AI89" s="4"/>
      <c r="AJ89" s="4"/>
      <c r="AK89" s="4"/>
      <c r="AL89" s="4"/>
      <c r="AM89" s="4"/>
      <c r="AN89" s="15"/>
      <c r="AO89" s="15"/>
      <c r="AP89" s="15"/>
      <c r="AQ89" s="4"/>
      <c r="AR89" s="4"/>
      <c r="AS89" s="4"/>
      <c r="AT89" s="4"/>
      <c r="AU89" s="4"/>
      <c r="AV89" s="4"/>
      <c r="AW89" s="4"/>
      <c r="AX89" s="4"/>
    </row>
    <row r="90" spans="15:50" x14ac:dyDescent="0.2">
      <c r="W90" s="11"/>
      <c r="X90" s="11"/>
    </row>
    <row r="91" spans="15:50" x14ac:dyDescent="0.2">
      <c r="O91" s="3"/>
      <c r="P91" s="3"/>
      <c r="Q91" s="3"/>
      <c r="W91" s="11"/>
      <c r="X91" s="11"/>
    </row>
    <row r="92" spans="15:50" x14ac:dyDescent="0.2">
      <c r="O92" s="3"/>
      <c r="P92" s="3"/>
      <c r="Q92" s="3"/>
      <c r="W92" s="11"/>
      <c r="X92" s="11"/>
    </row>
    <row r="93" spans="15:50" x14ac:dyDescent="0.2">
      <c r="O93" s="3"/>
      <c r="P93" s="3"/>
      <c r="Q93" s="3"/>
      <c r="W93" s="11"/>
      <c r="X93" s="11"/>
    </row>
    <row r="94" spans="15:50" x14ac:dyDescent="0.2">
      <c r="O94" s="3"/>
      <c r="P94" s="3"/>
      <c r="Q94" s="3"/>
    </row>
    <row r="95" spans="15:50" x14ac:dyDescent="0.2">
      <c r="O95" s="3"/>
      <c r="P95" s="3"/>
      <c r="Q95" s="3"/>
    </row>
    <row r="96" spans="15:50" x14ac:dyDescent="0.2">
      <c r="O96" s="3"/>
      <c r="P96" s="3"/>
      <c r="Q96" s="3"/>
    </row>
    <row r="97" spans="15:17" x14ac:dyDescent="0.2">
      <c r="O97" s="3"/>
      <c r="P97" s="3"/>
      <c r="Q97" s="3"/>
    </row>
    <row r="98" spans="15:17" x14ac:dyDescent="0.2">
      <c r="O98" s="2"/>
      <c r="P98" s="2"/>
      <c r="Q98" s="2"/>
    </row>
    <row r="99" spans="15:17" x14ac:dyDescent="0.2">
      <c r="O99" s="2"/>
      <c r="P99" s="2"/>
      <c r="Q99" s="2"/>
    </row>
  </sheetData>
  <sheetProtection selectLockedCells="1"/>
  <mergeCells count="24">
    <mergeCell ref="AJ4:AJ7"/>
    <mergeCell ref="AJ8:AJ16"/>
    <mergeCell ref="AJ17:AJ20"/>
    <mergeCell ref="AJ26:AJ29"/>
    <mergeCell ref="AJ30:AJ38"/>
    <mergeCell ref="AJ39:AJ42"/>
    <mergeCell ref="AE48:AE51"/>
    <mergeCell ref="AE52:AE60"/>
    <mergeCell ref="X38:AA38"/>
    <mergeCell ref="X40:AA40"/>
    <mergeCell ref="A1:J1"/>
    <mergeCell ref="A74:J74"/>
    <mergeCell ref="AE8:AE16"/>
    <mergeCell ref="AE4:AE7"/>
    <mergeCell ref="AE17:AE20"/>
    <mergeCell ref="E6:G6"/>
    <mergeCell ref="AE61:AE64"/>
    <mergeCell ref="AE26:AE29"/>
    <mergeCell ref="AE30:AE38"/>
    <mergeCell ref="AE39:AE42"/>
    <mergeCell ref="Y57:Z57"/>
    <mergeCell ref="Y59:Z59"/>
    <mergeCell ref="E10:G10"/>
    <mergeCell ref="E24:G24"/>
  </mergeCells>
  <dataValidations disablePrompts="1" count="10">
    <dataValidation type="list" allowBlank="1" showInputMessage="1" showErrorMessage="1" sqref="G14 E14" xr:uid="{00000000-0002-0000-0100-000000000000}">
      <formula1>$A$70:$A$71</formula1>
    </dataValidation>
    <dataValidation type="list" allowBlank="1" showInputMessage="1" showErrorMessage="1" sqref="E16" xr:uid="{00000000-0002-0000-0100-000001000000}">
      <formula1>INDIRECT($E$14)</formula1>
    </dataValidation>
    <dataValidation type="list" allowBlank="1" showInputMessage="1" showErrorMessage="1" sqref="E17" xr:uid="{00000000-0002-0000-0100-000002000000}">
      <formula1>INDIRECT($E$16)</formula1>
    </dataValidation>
    <dataValidation type="list" allowBlank="1" showInputMessage="1" showErrorMessage="1" sqref="G17" xr:uid="{00000000-0002-0000-0100-000003000000}">
      <formula1>INDIRECT($G$16)</formula1>
    </dataValidation>
    <dataValidation type="list" allowBlank="1" showInputMessage="1" showErrorMessage="1" sqref="G16" xr:uid="{00000000-0002-0000-0100-000004000000}">
      <formula1>INDIRECT($G$14)</formula1>
    </dataValidation>
    <dataValidation type="list" allowBlank="1" showInputMessage="1" showErrorMessage="1" sqref="F17" xr:uid="{00000000-0002-0000-0100-000005000000}">
      <formula1>INDIRECT($E$6)</formula1>
    </dataValidation>
    <dataValidation type="custom" allowBlank="1" showInputMessage="1" showErrorMessage="1" sqref="F15" xr:uid="{00000000-0002-0000-0100-000006000000}">
      <formula1>F15&gt;0</formula1>
    </dataValidation>
    <dataValidation type="custom" allowBlank="1" showInputMessage="1" showErrorMessage="1" sqref="E15" xr:uid="{00000000-0002-0000-0100-000007000000}">
      <formula1>IF(E14=A71,E15=0,E15&gt;0)</formula1>
    </dataValidation>
    <dataValidation type="custom" allowBlank="1" showInputMessage="1" showErrorMessage="1" sqref="G15" xr:uid="{00000000-0002-0000-0100-000008000000}">
      <formula1>IF(G14=A71,G15=0,G15&gt;0)</formula1>
    </dataValidation>
    <dataValidation type="list" allowBlank="1" showInputMessage="1" showErrorMessage="1" sqref="E6:G6" xr:uid="{00000000-0002-0000-0100-000009000000}">
      <formula1>$I$69:$I$70</formula1>
    </dataValidation>
  </dataValidations>
  <pageMargins left="0.52" right="0.4" top="0.24" bottom="0.41" header="0.22" footer="0.31496062992125984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Macro2">
                <anchor moveWithCells="1" sizeWithCells="1">
                  <from>
                    <xdr:col>7</xdr:col>
                    <xdr:colOff>38100</xdr:colOff>
                    <xdr:row>25</xdr:row>
                    <xdr:rowOff>9525</xdr:rowOff>
                  </from>
                  <to>
                    <xdr:col>7</xdr:col>
                    <xdr:colOff>581025</xdr:colOff>
                    <xdr:row>25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Macro3">
                <anchor moveWithCells="1" sizeWithCells="1">
                  <from>
                    <xdr:col>7</xdr:col>
                    <xdr:colOff>38100</xdr:colOff>
                    <xdr:row>26</xdr:row>
                    <xdr:rowOff>9525</xdr:rowOff>
                  </from>
                  <to>
                    <xdr:col>7</xdr:col>
                    <xdr:colOff>581025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Macro4">
                <anchor moveWithCells="1" sizeWithCells="1">
                  <from>
                    <xdr:col>7</xdr:col>
                    <xdr:colOff>38100</xdr:colOff>
                    <xdr:row>27</xdr:row>
                    <xdr:rowOff>9525</xdr:rowOff>
                  </from>
                  <to>
                    <xdr:col>7</xdr:col>
                    <xdr:colOff>581025</xdr:colOff>
                    <xdr:row>27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Macro5">
                <anchor moveWithCells="1" sizeWithCells="1">
                  <from>
                    <xdr:col>7</xdr:col>
                    <xdr:colOff>38100</xdr:colOff>
                    <xdr:row>28</xdr:row>
                    <xdr:rowOff>9525</xdr:rowOff>
                  </from>
                  <to>
                    <xdr:col>7</xdr:col>
                    <xdr:colOff>581025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Macro6">
                <anchor moveWithCells="1" sizeWithCells="1">
                  <from>
                    <xdr:col>7</xdr:col>
                    <xdr:colOff>38100</xdr:colOff>
                    <xdr:row>29</xdr:row>
                    <xdr:rowOff>19050</xdr:rowOff>
                  </from>
                  <to>
                    <xdr:col>7</xdr:col>
                    <xdr:colOff>581025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Macro15">
                <anchor moveWithCells="1" sizeWithCells="1">
                  <from>
                    <xdr:col>8</xdr:col>
                    <xdr:colOff>38100</xdr:colOff>
                    <xdr:row>25</xdr:row>
                    <xdr:rowOff>19050</xdr:rowOff>
                  </from>
                  <to>
                    <xdr:col>8</xdr:col>
                    <xdr:colOff>581025</xdr:colOff>
                    <xdr:row>29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Macro8">
                <anchor moveWithCells="1" sizeWithCells="1">
                  <from>
                    <xdr:col>8</xdr:col>
                    <xdr:colOff>0</xdr:colOff>
                    <xdr:row>0</xdr:row>
                    <xdr:rowOff>38100</xdr:rowOff>
                  </from>
                  <to>
                    <xdr:col>9</xdr:col>
                    <xdr:colOff>571500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Macro34">
                <anchor moveWithCells="1" sizeWithCells="1">
                  <from>
                    <xdr:col>4</xdr:col>
                    <xdr:colOff>9525</xdr:colOff>
                    <xdr:row>11</xdr:row>
                    <xdr:rowOff>9525</xdr:rowOff>
                  </from>
                  <to>
                    <xdr:col>5</xdr:col>
                    <xdr:colOff>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Macro35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590550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Macro37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6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Macro36">
                <anchor moveWithCells="1" sizeWithCells="1">
                  <from>
                    <xdr:col>4</xdr:col>
                    <xdr:colOff>0</xdr:colOff>
                    <xdr:row>19</xdr:row>
                    <xdr:rowOff>9525</xdr:rowOff>
                  </from>
                  <to>
                    <xdr:col>4</xdr:col>
                    <xdr:colOff>590550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Sezionicadauno">
                <anchor moveWithCells="1" sizeWithCells="1">
                  <from>
                    <xdr:col>7</xdr:col>
                    <xdr:colOff>47625</xdr:colOff>
                    <xdr:row>12</xdr:row>
                    <xdr:rowOff>142875</xdr:rowOff>
                  </from>
                  <to>
                    <xdr:col>8</xdr:col>
                    <xdr:colOff>552450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Sezioneacciciaodauno">
                <anchor moveWithCells="1" sizeWithCells="1">
                  <from>
                    <xdr:col>7</xdr:col>
                    <xdr:colOff>47625</xdr:colOff>
                    <xdr:row>16</xdr:row>
                    <xdr:rowOff>9525</xdr:rowOff>
                  </from>
                  <to>
                    <xdr:col>8</xdr:col>
                    <xdr:colOff>552450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AT100"/>
  <sheetViews>
    <sheetView topLeftCell="G22" zoomScale="85" zoomScaleNormal="85" workbookViewId="0">
      <selection activeCell="K53" sqref="K53"/>
    </sheetView>
  </sheetViews>
  <sheetFormatPr defaultColWidth="9.140625" defaultRowHeight="12" x14ac:dyDescent="0.2"/>
  <cols>
    <col min="1" max="16384" width="9.140625" style="1"/>
  </cols>
  <sheetData>
    <row r="1" spans="1:31" ht="15.75" customHeight="1" thickBot="1" x14ac:dyDescent="0.25">
      <c r="A1" s="334" t="s">
        <v>28</v>
      </c>
      <c r="B1" s="334"/>
      <c r="C1" s="334"/>
      <c r="D1" s="334"/>
      <c r="E1" s="334"/>
      <c r="F1" s="334"/>
      <c r="G1" s="334"/>
      <c r="H1" s="334"/>
      <c r="I1" s="334"/>
      <c r="J1" s="334"/>
      <c r="K1" s="2"/>
    </row>
    <row r="2" spans="1:31" ht="12.75" thickTop="1" x14ac:dyDescent="0.2">
      <c r="E2" s="12"/>
    </row>
    <row r="3" spans="1:31" ht="13.5" x14ac:dyDescent="0.25">
      <c r="C3" s="12" t="s">
        <v>29</v>
      </c>
      <c r="E3" s="13" t="s">
        <v>32</v>
      </c>
      <c r="F3" s="13" t="s">
        <v>33</v>
      </c>
      <c r="G3" s="13" t="s">
        <v>34</v>
      </c>
    </row>
    <row r="4" spans="1:31" x14ac:dyDescent="0.2">
      <c r="E4" s="14">
        <f>'C-Trave'!E15</f>
        <v>0</v>
      </c>
      <c r="F4" s="14">
        <f>'C-Trave'!F15</f>
        <v>1.2</v>
      </c>
      <c r="G4" s="14">
        <f>'C-Trave'!G15</f>
        <v>0</v>
      </c>
    </row>
    <row r="6" spans="1:31" ht="13.5" x14ac:dyDescent="0.25">
      <c r="C6" s="12" t="s">
        <v>41</v>
      </c>
      <c r="E6" s="13" t="s">
        <v>35</v>
      </c>
      <c r="F6" s="13" t="s">
        <v>36</v>
      </c>
      <c r="G6" s="13" t="s">
        <v>37</v>
      </c>
    </row>
    <row r="7" spans="1:31" x14ac:dyDescent="0.2">
      <c r="D7" s="1" t="s">
        <v>42</v>
      </c>
      <c r="E7" s="14">
        <f>'C-Trave'!E26</f>
        <v>0</v>
      </c>
      <c r="F7" s="14">
        <f>'C-Trave'!F26</f>
        <v>4.1399999999999997</v>
      </c>
      <c r="G7" s="14">
        <f>'C-Trave'!G26</f>
        <v>0</v>
      </c>
    </row>
    <row r="8" spans="1:31" x14ac:dyDescent="0.2">
      <c r="E8" s="14"/>
      <c r="F8" s="14"/>
      <c r="G8" s="14"/>
      <c r="H8" s="15"/>
    </row>
    <row r="9" spans="1:31" ht="12.75" thickBot="1" x14ac:dyDescent="0.25">
      <c r="E9" s="14"/>
      <c r="F9" s="14"/>
      <c r="G9" s="14"/>
      <c r="H9" s="15"/>
    </row>
    <row r="10" spans="1:31" ht="13.5" thickTop="1" thickBot="1" x14ac:dyDescent="0.25">
      <c r="E10" s="14"/>
      <c r="F10" s="14"/>
      <c r="G10" s="14"/>
      <c r="H10" s="15"/>
      <c r="M10" s="54"/>
      <c r="N10" s="55"/>
      <c r="O10" s="55"/>
      <c r="P10" s="19"/>
      <c r="Q10" s="20"/>
      <c r="R10" s="20"/>
      <c r="S10" s="20"/>
      <c r="T10" s="19"/>
      <c r="U10" s="19"/>
      <c r="V10" s="56"/>
      <c r="W10" s="19"/>
      <c r="X10" s="19"/>
      <c r="Y10" s="20" t="s">
        <v>16</v>
      </c>
      <c r="Z10" s="20"/>
      <c r="AA10" s="19"/>
      <c r="AB10" s="19" t="s">
        <v>26</v>
      </c>
      <c r="AC10" s="19"/>
      <c r="AD10" s="19"/>
      <c r="AE10" s="21"/>
    </row>
    <row r="11" spans="1:31" x14ac:dyDescent="0.2">
      <c r="E11" s="14"/>
      <c r="F11" s="14"/>
      <c r="G11" s="14"/>
      <c r="H11" s="15"/>
      <c r="M11" s="49"/>
      <c r="N11" s="5"/>
      <c r="O11" s="5"/>
      <c r="P11" s="2"/>
      <c r="Q11" s="3"/>
      <c r="R11" s="3"/>
      <c r="S11" s="3"/>
      <c r="T11" s="2"/>
      <c r="U11" s="2"/>
      <c r="V11" s="44"/>
      <c r="W11" s="2"/>
      <c r="X11" s="2"/>
      <c r="Y11" s="59">
        <v>0</v>
      </c>
      <c r="Z11" s="60">
        <v>10</v>
      </c>
      <c r="AA11" s="2"/>
      <c r="AB11" s="67">
        <f>AB49</f>
        <v>0</v>
      </c>
      <c r="AC11" s="68">
        <v>0</v>
      </c>
      <c r="AD11" s="2"/>
      <c r="AE11" s="22"/>
    </row>
    <row r="12" spans="1:31" x14ac:dyDescent="0.2">
      <c r="C12" s="15"/>
      <c r="D12" s="15"/>
      <c r="E12" s="15"/>
      <c r="F12" s="15"/>
      <c r="G12" s="15"/>
      <c r="H12" s="15"/>
      <c r="M12" s="49"/>
      <c r="N12" s="3"/>
      <c r="O12" s="5"/>
      <c r="P12" s="2"/>
      <c r="Q12" s="3"/>
      <c r="R12" s="3"/>
      <c r="S12" s="3"/>
      <c r="T12" s="2"/>
      <c r="U12" s="2"/>
      <c r="V12" s="3"/>
      <c r="W12" s="2"/>
      <c r="X12" s="2"/>
      <c r="Y12" s="65">
        <f>E4</f>
        <v>0</v>
      </c>
      <c r="Z12" s="62">
        <f>Z11</f>
        <v>10</v>
      </c>
      <c r="AA12" s="2"/>
      <c r="AB12" s="61">
        <f>AB11</f>
        <v>0</v>
      </c>
      <c r="AC12" s="87">
        <f>V44</f>
        <v>0</v>
      </c>
      <c r="AD12" s="2"/>
      <c r="AE12" s="22"/>
    </row>
    <row r="13" spans="1:31" x14ac:dyDescent="0.2">
      <c r="C13" s="15"/>
      <c r="D13" s="15"/>
      <c r="E13" s="15"/>
      <c r="F13" s="15"/>
      <c r="G13" s="15"/>
      <c r="H13" s="15"/>
      <c r="M13" s="23"/>
      <c r="N13" s="3"/>
      <c r="O13" s="3"/>
      <c r="P13" s="3"/>
      <c r="Q13" s="3"/>
      <c r="R13" s="3"/>
      <c r="S13" s="3"/>
      <c r="T13" s="3"/>
      <c r="U13" s="3"/>
      <c r="V13" s="3"/>
      <c r="W13" s="2"/>
      <c r="X13" s="2"/>
      <c r="Y13" s="65">
        <f>Y12</f>
        <v>0</v>
      </c>
      <c r="Z13" s="62">
        <f>Z12+E7</f>
        <v>10</v>
      </c>
      <c r="AA13" s="2"/>
      <c r="AB13" s="61">
        <f>AB50</f>
        <v>1.2</v>
      </c>
      <c r="AC13" s="87">
        <v>0</v>
      </c>
      <c r="AD13" s="2"/>
      <c r="AE13" s="22"/>
    </row>
    <row r="14" spans="1:31" ht="12.75" thickBot="1" x14ac:dyDescent="0.25">
      <c r="C14" s="15"/>
      <c r="D14" s="15"/>
      <c r="E14" s="15"/>
      <c r="F14" s="15"/>
      <c r="G14" s="15"/>
      <c r="H14" s="15"/>
      <c r="M14" s="23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65">
        <v>0</v>
      </c>
      <c r="Z14" s="62">
        <f>Z13</f>
        <v>10</v>
      </c>
      <c r="AA14" s="2"/>
      <c r="AB14" s="63">
        <f>AB13</f>
        <v>1.2</v>
      </c>
      <c r="AC14" s="69">
        <f>V53</f>
        <v>0</v>
      </c>
      <c r="AD14" s="2"/>
      <c r="AE14" s="22"/>
    </row>
    <row r="15" spans="1:31" ht="15" customHeight="1" thickBot="1" x14ac:dyDescent="0.25">
      <c r="A15" s="345" t="s">
        <v>31</v>
      </c>
      <c r="B15" s="345"/>
      <c r="C15" s="345"/>
      <c r="D15" s="345"/>
      <c r="E15" s="345"/>
      <c r="F15" s="345"/>
      <c r="G15" s="345"/>
      <c r="H15" s="345"/>
      <c r="I15" s="345"/>
      <c r="J15" s="345"/>
      <c r="M15" s="24"/>
      <c r="N15" s="11"/>
      <c r="O15" s="2"/>
      <c r="P15" s="59" t="s">
        <v>12</v>
      </c>
      <c r="Q15" s="68">
        <f>E7*E4^2/2</f>
        <v>0</v>
      </c>
      <c r="R15" s="2"/>
      <c r="S15" s="3"/>
      <c r="T15" s="3"/>
      <c r="U15" s="3"/>
      <c r="V15" s="2"/>
      <c r="W15" s="2"/>
      <c r="X15" s="2"/>
      <c r="Y15" s="66">
        <v>0</v>
      </c>
      <c r="Z15" s="64">
        <f>Z11</f>
        <v>10</v>
      </c>
      <c r="AA15" s="2"/>
      <c r="AB15" s="11"/>
      <c r="AC15" s="11"/>
      <c r="AD15" s="2"/>
      <c r="AE15" s="22"/>
    </row>
    <row r="16" spans="1:31" ht="12.75" thickBot="1" x14ac:dyDescent="0.25">
      <c r="M16" s="24"/>
      <c r="N16" s="11"/>
      <c r="O16" s="2"/>
      <c r="P16" s="66" t="s">
        <v>7</v>
      </c>
      <c r="Q16" s="69">
        <f>G7*G4^2/2</f>
        <v>0</v>
      </c>
      <c r="R16" s="2"/>
      <c r="S16" s="44"/>
      <c r="T16" s="44"/>
      <c r="U16" s="44"/>
      <c r="V16" s="2"/>
      <c r="W16" s="2"/>
      <c r="X16" s="2"/>
      <c r="Y16" s="2"/>
      <c r="Z16" s="2"/>
      <c r="AA16" s="2"/>
      <c r="AB16" s="11"/>
      <c r="AC16" s="11"/>
      <c r="AD16" s="2"/>
      <c r="AE16" s="22"/>
    </row>
    <row r="17" spans="1:46" s="6" customFormat="1" ht="14.25" thickBot="1" x14ac:dyDescent="0.3">
      <c r="D17" s="17" t="s">
        <v>30</v>
      </c>
      <c r="E17" s="16" t="s">
        <v>38</v>
      </c>
      <c r="F17" s="16" t="s">
        <v>39</v>
      </c>
      <c r="G17" s="16" t="s">
        <v>40</v>
      </c>
      <c r="H17" s="3"/>
      <c r="I17" s="3"/>
      <c r="K17" s="18"/>
      <c r="M17" s="24"/>
      <c r="N17" s="3"/>
      <c r="O17" s="2"/>
      <c r="P17" s="2"/>
      <c r="Q17" s="2"/>
      <c r="R17" s="2"/>
      <c r="S17" s="2"/>
      <c r="T17" s="2"/>
      <c r="U17" s="2"/>
      <c r="V17" s="2"/>
      <c r="W17" s="2"/>
      <c r="X17" s="2"/>
      <c r="Y17" s="3" t="s">
        <v>17</v>
      </c>
      <c r="Z17" s="3"/>
      <c r="AA17" s="2"/>
      <c r="AB17" s="11"/>
      <c r="AC17" s="11"/>
      <c r="AD17" s="2"/>
      <c r="AE17" s="22"/>
      <c r="AO17" s="1"/>
      <c r="AP17" s="1"/>
      <c r="AQ17" s="1"/>
      <c r="AR17" s="1"/>
      <c r="AS17" s="1"/>
      <c r="AT17" s="1"/>
    </row>
    <row r="18" spans="1:46" s="6" customFormat="1" x14ac:dyDescent="0.2">
      <c r="E18" s="16">
        <f>'C-Trave'!E77</f>
        <v>1</v>
      </c>
      <c r="F18" s="16">
        <f>'C-Trave'!F77</f>
        <v>9.9999999999999995E-8</v>
      </c>
      <c r="G18" s="16">
        <f>'C-Trave'!G77</f>
        <v>9.9999999999999995E-8</v>
      </c>
      <c r="H18" s="3"/>
      <c r="I18" s="3"/>
      <c r="M18" s="24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59">
        <f>E4</f>
        <v>0</v>
      </c>
      <c r="Z18" s="60">
        <f>Z11</f>
        <v>10</v>
      </c>
      <c r="AA18" s="2"/>
      <c r="AB18" s="11"/>
      <c r="AC18" s="11"/>
      <c r="AD18" s="2"/>
      <c r="AE18" s="22"/>
      <c r="AO18" s="1"/>
      <c r="AP18" s="1"/>
      <c r="AQ18" s="1"/>
      <c r="AR18" s="1"/>
      <c r="AS18" s="1"/>
      <c r="AT18" s="1"/>
    </row>
    <row r="19" spans="1:46" s="6" customFormat="1" x14ac:dyDescent="0.2">
      <c r="M19" s="23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61">
        <f>AB50</f>
        <v>1.2</v>
      </c>
      <c r="Z19" s="62">
        <f>Z18</f>
        <v>10</v>
      </c>
      <c r="AA19" s="2"/>
      <c r="AB19" s="11"/>
      <c r="AC19" s="11"/>
      <c r="AD19" s="2"/>
      <c r="AE19" s="22"/>
      <c r="AO19" s="1"/>
      <c r="AP19" s="1"/>
      <c r="AQ19" s="1"/>
      <c r="AR19" s="1"/>
      <c r="AS19" s="1"/>
      <c r="AT19" s="1"/>
    </row>
    <row r="20" spans="1:46" s="6" customFormat="1" ht="12.75" thickBot="1" x14ac:dyDescent="0.25">
      <c r="A20" s="17"/>
      <c r="B20" s="3"/>
      <c r="C20" s="3"/>
      <c r="D20" s="3"/>
      <c r="F20" s="45"/>
      <c r="G20" s="3"/>
      <c r="H20" s="3"/>
      <c r="I20" s="3"/>
      <c r="M20" s="24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61">
        <f>Y19</f>
        <v>1.2</v>
      </c>
      <c r="Z20" s="62">
        <f>Z19+F7</f>
        <v>14.14</v>
      </c>
      <c r="AA20" s="3"/>
      <c r="AB20" s="11"/>
      <c r="AC20" s="11"/>
      <c r="AD20" s="2"/>
      <c r="AE20" s="22"/>
    </row>
    <row r="21" spans="1:46" s="6" customFormat="1" x14ac:dyDescent="0.2">
      <c r="A21" s="1"/>
      <c r="B21" s="3"/>
      <c r="C21" s="3"/>
      <c r="D21" s="3"/>
      <c r="F21" s="3"/>
      <c r="G21" s="3"/>
      <c r="H21" s="3"/>
      <c r="I21" s="3"/>
      <c r="M21" s="98" t="s">
        <v>8</v>
      </c>
      <c r="N21" s="70" t="s">
        <v>9</v>
      </c>
      <c r="O21" s="70" t="s">
        <v>10</v>
      </c>
      <c r="P21" s="70" t="s">
        <v>11</v>
      </c>
      <c r="Q21" s="3"/>
      <c r="R21" s="3"/>
      <c r="S21" s="3"/>
      <c r="T21" s="3"/>
      <c r="U21" s="3"/>
      <c r="V21" s="3"/>
      <c r="W21" s="3"/>
      <c r="X21" s="3"/>
      <c r="Y21" s="65">
        <f>Y18</f>
        <v>0</v>
      </c>
      <c r="Z21" s="62">
        <f>Z20</f>
        <v>14.14</v>
      </c>
      <c r="AA21" s="3"/>
      <c r="AB21" s="11"/>
      <c r="AC21" s="11"/>
      <c r="AD21" s="2"/>
      <c r="AE21" s="22"/>
    </row>
    <row r="22" spans="1:46" ht="12.75" thickBot="1" x14ac:dyDescent="0.25">
      <c r="M22" s="99">
        <f>E7*E4</f>
        <v>0</v>
      </c>
      <c r="N22" s="71">
        <f>F7*F4-O22</f>
        <v>2.4839999999999995</v>
      </c>
      <c r="O22" s="71">
        <f>(F7*F4^2/2+Q16-Q15)/F4</f>
        <v>2.4839999999999995</v>
      </c>
      <c r="P22" s="71">
        <f>G7*G4</f>
        <v>0</v>
      </c>
      <c r="Q22" s="11"/>
      <c r="R22" s="11"/>
      <c r="S22" s="11"/>
      <c r="T22" s="11"/>
      <c r="U22" s="11"/>
      <c r="V22" s="11"/>
      <c r="W22" s="3"/>
      <c r="X22" s="3"/>
      <c r="Y22" s="66">
        <f>Y18</f>
        <v>0</v>
      </c>
      <c r="Z22" s="64">
        <f>Z18</f>
        <v>10</v>
      </c>
      <c r="AA22" s="3"/>
      <c r="AB22" s="11"/>
      <c r="AC22" s="11"/>
      <c r="AD22" s="2"/>
      <c r="AE22" s="22"/>
    </row>
    <row r="23" spans="1:46" x14ac:dyDescent="0.2">
      <c r="M23" s="24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2"/>
      <c r="Z23" s="2"/>
      <c r="AA23" s="3"/>
      <c r="AB23" s="3"/>
      <c r="AC23" s="3"/>
      <c r="AD23" s="3"/>
      <c r="AE23" s="25"/>
    </row>
    <row r="24" spans="1:46" ht="12.75" thickBot="1" x14ac:dyDescent="0.25">
      <c r="M24" s="24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 t="s">
        <v>18</v>
      </c>
      <c r="Z24" s="3"/>
      <c r="AA24" s="3"/>
      <c r="AB24" s="3"/>
      <c r="AC24" s="3"/>
      <c r="AD24" s="3"/>
      <c r="AE24" s="25"/>
    </row>
    <row r="25" spans="1:46" ht="12.75" thickBot="1" x14ac:dyDescent="0.25">
      <c r="M25" s="23"/>
      <c r="N25" s="2"/>
      <c r="O25" s="59" t="s">
        <v>0</v>
      </c>
      <c r="P25" s="60" t="s">
        <v>1</v>
      </c>
      <c r="Q25" s="3"/>
      <c r="R25" s="3"/>
      <c r="S25" s="3"/>
      <c r="T25" s="2"/>
      <c r="U25" s="2"/>
      <c r="V25" s="2"/>
      <c r="W25" s="2"/>
      <c r="X25" s="2"/>
      <c r="Y25" s="67">
        <f>AB50</f>
        <v>1.2</v>
      </c>
      <c r="Z25" s="60">
        <f>Z11</f>
        <v>10</v>
      </c>
      <c r="AA25" s="2"/>
      <c r="AB25" s="2" t="s">
        <v>21</v>
      </c>
      <c r="AC25" s="2"/>
      <c r="AD25" s="2"/>
      <c r="AE25" s="22"/>
    </row>
    <row r="26" spans="1:46" ht="12.75" thickBot="1" x14ac:dyDescent="0.25">
      <c r="M26" s="23"/>
      <c r="N26" s="2"/>
      <c r="O26" s="63">
        <f>M22+N22</f>
        <v>2.4839999999999995</v>
      </c>
      <c r="P26" s="69">
        <f>O22+P22</f>
        <v>2.4839999999999995</v>
      </c>
      <c r="Q26" s="11"/>
      <c r="R26" s="11"/>
      <c r="S26" s="11"/>
      <c r="T26" s="2"/>
      <c r="U26" s="2"/>
      <c r="V26" s="2"/>
      <c r="W26" s="2"/>
      <c r="X26" s="2"/>
      <c r="Y26" s="61">
        <f>AB51</f>
        <v>1.2</v>
      </c>
      <c r="Z26" s="62">
        <f>Z25</f>
        <v>10</v>
      </c>
      <c r="AA26" s="2"/>
      <c r="AB26" s="59" t="s">
        <v>22</v>
      </c>
      <c r="AC26" s="94" t="s">
        <v>25</v>
      </c>
      <c r="AD26" s="94" t="s">
        <v>2</v>
      </c>
      <c r="AE26" s="100" t="s">
        <v>24</v>
      </c>
    </row>
    <row r="27" spans="1:46" ht="12.75" thickBot="1" x14ac:dyDescent="0.25">
      <c r="M27" s="23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61">
        <f>Y26</f>
        <v>1.2</v>
      </c>
      <c r="Z27" s="62">
        <f>Z26+G7</f>
        <v>10</v>
      </c>
      <c r="AA27" s="2"/>
      <c r="AB27" s="95" t="s">
        <v>23</v>
      </c>
      <c r="AC27" s="88">
        <f>N22/F7</f>
        <v>0.6</v>
      </c>
      <c r="AD27" s="88">
        <f>E4+AC27</f>
        <v>0.6</v>
      </c>
      <c r="AE27" s="101">
        <f>N22*AC27-F7*AC27^2/2-Q15</f>
        <v>0.74519999999999986</v>
      </c>
    </row>
    <row r="28" spans="1:46" x14ac:dyDescent="0.2">
      <c r="M28" s="23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61">
        <f>Y25</f>
        <v>1.2</v>
      </c>
      <c r="Z28" s="62">
        <f>Z27</f>
        <v>10</v>
      </c>
      <c r="AA28" s="2"/>
      <c r="AB28" s="48"/>
      <c r="AC28" s="11"/>
      <c r="AD28" s="11"/>
      <c r="AE28" s="50"/>
    </row>
    <row r="29" spans="1:46" s="6" customFormat="1" ht="12.75" thickBot="1" x14ac:dyDescent="0.25">
      <c r="M29" s="23" t="s">
        <v>19</v>
      </c>
      <c r="N29" s="2"/>
      <c r="O29" s="2"/>
      <c r="P29" s="2" t="s">
        <v>20</v>
      </c>
      <c r="Q29" s="2"/>
      <c r="R29" s="2"/>
      <c r="S29" s="2"/>
      <c r="T29" s="2"/>
      <c r="U29" s="2"/>
      <c r="V29" s="2"/>
      <c r="W29" s="2"/>
      <c r="X29" s="2"/>
      <c r="Y29" s="63">
        <f>Y25</f>
        <v>1.2</v>
      </c>
      <c r="Z29" s="64">
        <f>Z25</f>
        <v>10</v>
      </c>
      <c r="AA29" s="2"/>
      <c r="AB29" s="48"/>
      <c r="AC29" s="11"/>
      <c r="AD29" s="11"/>
      <c r="AE29" s="50"/>
    </row>
    <row r="30" spans="1:46" s="6" customFormat="1" x14ac:dyDescent="0.2">
      <c r="M30" s="102">
        <f>AB49</f>
        <v>0</v>
      </c>
      <c r="N30" s="73">
        <v>0</v>
      </c>
      <c r="O30" s="2"/>
      <c r="P30" s="72">
        <f>AB50</f>
        <v>1.2</v>
      </c>
      <c r="Q30" s="73">
        <v>0</v>
      </c>
      <c r="R30" s="2"/>
      <c r="S30" s="47"/>
      <c r="T30" s="2"/>
      <c r="U30" s="2"/>
      <c r="V30" s="2"/>
      <c r="W30" s="2"/>
      <c r="X30" s="2"/>
      <c r="Y30" s="3"/>
      <c r="Z30" s="3"/>
      <c r="AA30" s="2"/>
      <c r="AB30" s="48"/>
      <c r="AC30" s="11"/>
      <c r="AD30" s="11"/>
      <c r="AE30" s="50"/>
    </row>
    <row r="31" spans="1:46" ht="12.75" thickBot="1" x14ac:dyDescent="0.25">
      <c r="M31" s="103">
        <f>M30</f>
        <v>0</v>
      </c>
      <c r="N31" s="75">
        <f>O26</f>
        <v>2.4839999999999995</v>
      </c>
      <c r="O31" s="2"/>
      <c r="P31" s="74">
        <f>P30</f>
        <v>1.2</v>
      </c>
      <c r="Q31" s="75">
        <f>P26</f>
        <v>2.4839999999999995</v>
      </c>
      <c r="R31" s="2"/>
      <c r="S31" s="47"/>
      <c r="T31" s="47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2"/>
    </row>
    <row r="32" spans="1:46" x14ac:dyDescent="0.2">
      <c r="M32" s="24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2"/>
      <c r="Z32" s="2"/>
      <c r="AA32" s="3"/>
      <c r="AB32" s="3"/>
      <c r="AC32" s="3"/>
      <c r="AD32" s="3"/>
      <c r="AE32" s="25"/>
    </row>
    <row r="33" spans="13:31" ht="12.75" thickBot="1" x14ac:dyDescent="0.25">
      <c r="M33" s="23"/>
      <c r="N33" s="2"/>
      <c r="O33" s="3"/>
      <c r="P33" s="2"/>
      <c r="Q33" s="2"/>
      <c r="R33" s="3"/>
      <c r="S33" s="3"/>
      <c r="T33" s="3"/>
      <c r="U33" s="3"/>
      <c r="V33" s="3"/>
      <c r="W33" s="3"/>
      <c r="X33" s="3"/>
      <c r="Y33" s="2"/>
      <c r="Z33" s="2"/>
      <c r="AA33" s="3"/>
      <c r="AB33" s="2" t="s">
        <v>27</v>
      </c>
      <c r="AC33" s="2"/>
      <c r="AD33" s="3"/>
      <c r="AE33" s="25"/>
    </row>
    <row r="34" spans="13:31" x14ac:dyDescent="0.2">
      <c r="M34" s="57"/>
      <c r="N34" s="2"/>
      <c r="O34" s="2"/>
      <c r="P34" s="47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67">
        <f>AD27</f>
        <v>0.6</v>
      </c>
      <c r="AC34" s="60">
        <v>0</v>
      </c>
      <c r="AD34" s="2"/>
      <c r="AE34" s="22"/>
    </row>
    <row r="35" spans="13:31" ht="12.75" thickBot="1" x14ac:dyDescent="0.25">
      <c r="M35" s="57"/>
      <c r="N35" s="47"/>
      <c r="O35" s="2"/>
      <c r="P35" s="47"/>
      <c r="Q35" s="47"/>
      <c r="R35" s="2"/>
      <c r="S35" s="2"/>
      <c r="T35" s="2"/>
      <c r="U35" s="2"/>
      <c r="V35" s="2"/>
      <c r="W35" s="2"/>
      <c r="X35" s="2"/>
      <c r="Y35" s="2"/>
      <c r="Z35" s="2"/>
      <c r="AA35" s="2"/>
      <c r="AB35" s="63">
        <f>AB34</f>
        <v>0.6</v>
      </c>
      <c r="AC35" s="69">
        <f>AE27</f>
        <v>0.74519999999999986</v>
      </c>
      <c r="AD35" s="2"/>
      <c r="AE35" s="22"/>
    </row>
    <row r="36" spans="13:31" x14ac:dyDescent="0.2">
      <c r="M36" s="23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11"/>
      <c r="AC36" s="3"/>
      <c r="AD36" s="2"/>
      <c r="AE36" s="22"/>
    </row>
    <row r="37" spans="13:31" x14ac:dyDescent="0.2">
      <c r="M37" s="23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11"/>
      <c r="AC37" s="11"/>
      <c r="AD37" s="2"/>
      <c r="AE37" s="22"/>
    </row>
    <row r="38" spans="13:31" x14ac:dyDescent="0.2">
      <c r="M38" s="23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11"/>
      <c r="AC38" s="3"/>
      <c r="AD38" s="2"/>
      <c r="AE38" s="22"/>
    </row>
    <row r="39" spans="13:31" ht="12.75" thickBot="1" x14ac:dyDescent="0.25">
      <c r="M39" s="23" t="s">
        <v>13</v>
      </c>
      <c r="N39" s="2"/>
      <c r="O39" s="2"/>
      <c r="P39" s="2"/>
      <c r="Q39" s="2" t="s">
        <v>69</v>
      </c>
      <c r="R39" s="2"/>
      <c r="S39" s="2"/>
      <c r="T39" s="2"/>
      <c r="U39" s="2" t="s">
        <v>15</v>
      </c>
      <c r="V39" s="2"/>
      <c r="W39" s="2"/>
      <c r="X39" s="2"/>
      <c r="Y39" s="2"/>
      <c r="Z39" s="2"/>
      <c r="AA39" s="2"/>
      <c r="AB39" s="11"/>
      <c r="AC39" s="11"/>
      <c r="AD39" s="2"/>
      <c r="AE39" s="22"/>
    </row>
    <row r="40" spans="13:31" x14ac:dyDescent="0.2">
      <c r="M40" s="104" t="s">
        <v>2</v>
      </c>
      <c r="N40" s="76" t="s">
        <v>3</v>
      </c>
      <c r="O40" s="77" t="s">
        <v>4</v>
      </c>
      <c r="P40" s="2"/>
      <c r="Q40" s="83" t="s">
        <v>2</v>
      </c>
      <c r="R40" s="84" t="s">
        <v>3</v>
      </c>
      <c r="S40" s="60" t="s">
        <v>4</v>
      </c>
      <c r="T40" s="2"/>
      <c r="U40" s="89" t="s">
        <v>2</v>
      </c>
      <c r="V40" s="90" t="s">
        <v>3</v>
      </c>
      <c r="W40" s="91" t="s">
        <v>4</v>
      </c>
      <c r="X40" s="2"/>
      <c r="Y40" s="2"/>
      <c r="Z40" s="2"/>
      <c r="AA40" s="2"/>
      <c r="AB40" s="11"/>
      <c r="AC40" s="3"/>
      <c r="AD40" s="2"/>
      <c r="AE40" s="22"/>
    </row>
    <row r="41" spans="13:31" x14ac:dyDescent="0.2">
      <c r="M41" s="26">
        <v>0</v>
      </c>
      <c r="N41" s="7">
        <f>-$E$7*M41^2/2</f>
        <v>0</v>
      </c>
      <c r="O41" s="79">
        <f>-$E$7*M41</f>
        <v>0</v>
      </c>
      <c r="P41" s="2"/>
      <c r="Q41" s="61">
        <v>0</v>
      </c>
      <c r="R41" s="8">
        <f>-$Q$16-$G$7*Q41^2/2+$P$22*Q41</f>
        <v>0</v>
      </c>
      <c r="S41" s="87">
        <f>$P$22-$G$7*Q41</f>
        <v>0</v>
      </c>
      <c r="T41" s="2"/>
      <c r="U41" s="78">
        <f t="shared" ref="U41:U44" si="0">M41</f>
        <v>0</v>
      </c>
      <c r="V41" s="7">
        <f>N41</f>
        <v>0</v>
      </c>
      <c r="W41" s="79">
        <f>O41</f>
        <v>0</v>
      </c>
      <c r="X41" s="2"/>
      <c r="Y41" s="2"/>
      <c r="Z41" s="2"/>
      <c r="AA41" s="2"/>
      <c r="AB41" s="11"/>
      <c r="AC41" s="11"/>
      <c r="AD41" s="2"/>
      <c r="AE41" s="22"/>
    </row>
    <row r="42" spans="13:31" x14ac:dyDescent="0.2">
      <c r="M42" s="26">
        <f>$E$4/3</f>
        <v>0</v>
      </c>
      <c r="N42" s="7">
        <f>-$E$7*M42^2/2</f>
        <v>0</v>
      </c>
      <c r="O42" s="79">
        <f>-$E$7*M42</f>
        <v>0</v>
      </c>
      <c r="P42" s="2"/>
      <c r="Q42" s="61">
        <f>$G$4/3</f>
        <v>0</v>
      </c>
      <c r="R42" s="8">
        <f>-$Q$16-$G$7*Q42^2/2+$P$22*Q42</f>
        <v>0</v>
      </c>
      <c r="S42" s="87">
        <f t="shared" ref="S42:S44" si="1">$P$22-$G$7*Q42</f>
        <v>0</v>
      </c>
      <c r="T42" s="2"/>
      <c r="U42" s="78">
        <f t="shared" si="0"/>
        <v>0</v>
      </c>
      <c r="V42" s="7">
        <f t="shared" ref="V42:V44" si="2">N42</f>
        <v>0</v>
      </c>
      <c r="W42" s="79">
        <f t="shared" ref="W42:W44" si="3">O42</f>
        <v>0</v>
      </c>
      <c r="X42" s="2"/>
      <c r="Y42" s="2"/>
      <c r="Z42" s="2"/>
      <c r="AA42" s="2"/>
      <c r="AB42" s="2"/>
      <c r="AC42" s="2"/>
      <c r="AD42" s="2"/>
      <c r="AE42" s="22"/>
    </row>
    <row r="43" spans="13:31" x14ac:dyDescent="0.2">
      <c r="M43" s="26">
        <f>2*$E$4/3</f>
        <v>0</v>
      </c>
      <c r="N43" s="7">
        <f>-$E$7*M43^2/2</f>
        <v>0</v>
      </c>
      <c r="O43" s="79">
        <f>-$E$7*M43</f>
        <v>0</v>
      </c>
      <c r="P43" s="2"/>
      <c r="Q43" s="61">
        <f>2*$G$4/3</f>
        <v>0</v>
      </c>
      <c r="R43" s="8">
        <f>-$Q$16-$G$7*Q43^2/2+$P$22*Q43</f>
        <v>0</v>
      </c>
      <c r="S43" s="87">
        <f t="shared" si="1"/>
        <v>0</v>
      </c>
      <c r="T43" s="2"/>
      <c r="U43" s="78">
        <f t="shared" si="0"/>
        <v>0</v>
      </c>
      <c r="V43" s="7">
        <f t="shared" si="2"/>
        <v>0</v>
      </c>
      <c r="W43" s="79">
        <f t="shared" si="3"/>
        <v>0</v>
      </c>
      <c r="X43" s="2"/>
      <c r="Y43" s="2"/>
      <c r="Z43" s="2"/>
      <c r="AA43" s="2"/>
      <c r="AB43" s="2"/>
      <c r="AC43" s="2"/>
      <c r="AD43" s="2"/>
      <c r="AE43" s="22"/>
    </row>
    <row r="44" spans="13:31" ht="12.75" thickBot="1" x14ac:dyDescent="0.25">
      <c r="M44" s="105">
        <f>3*$E$4/3</f>
        <v>0</v>
      </c>
      <c r="N44" s="80">
        <f>-$E$7*M44^2/2</f>
        <v>0</v>
      </c>
      <c r="O44" s="81">
        <f>-$E$7*M44</f>
        <v>0</v>
      </c>
      <c r="P44" s="2"/>
      <c r="Q44" s="63">
        <f>3*$G$4/3</f>
        <v>0</v>
      </c>
      <c r="R44" s="88">
        <f>-$Q$16-$G$7*Q44^2/2+$P$22*Q44</f>
        <v>0</v>
      </c>
      <c r="S44" s="69">
        <f t="shared" si="1"/>
        <v>0</v>
      </c>
      <c r="T44" s="2"/>
      <c r="U44" s="78">
        <f t="shared" si="0"/>
        <v>0</v>
      </c>
      <c r="V44" s="7">
        <f t="shared" si="2"/>
        <v>0</v>
      </c>
      <c r="W44" s="79">
        <f t="shared" si="3"/>
        <v>0</v>
      </c>
      <c r="X44" s="2"/>
      <c r="Y44" s="2"/>
      <c r="Z44" s="2"/>
      <c r="AA44" s="2"/>
      <c r="AB44" s="2"/>
      <c r="AC44" s="2"/>
      <c r="AD44" s="2"/>
      <c r="AE44" s="22"/>
    </row>
    <row r="45" spans="13:31" x14ac:dyDescent="0.2">
      <c r="M45" s="24"/>
      <c r="N45" s="3"/>
      <c r="O45" s="3"/>
      <c r="P45" s="2"/>
      <c r="Q45" s="2"/>
      <c r="R45" s="2"/>
      <c r="S45" s="2"/>
      <c r="T45" s="2"/>
      <c r="U45" s="85">
        <f t="shared" ref="U45:U53" si="4">$U$44+M49</f>
        <v>0</v>
      </c>
      <c r="V45" s="10">
        <f>N49</f>
        <v>0</v>
      </c>
      <c r="W45" s="86">
        <f>O49</f>
        <v>2.4839999999999995</v>
      </c>
      <c r="X45" s="2"/>
      <c r="Y45" s="2"/>
      <c r="Z45" s="2"/>
      <c r="AA45" s="2"/>
      <c r="AB45" s="2"/>
      <c r="AC45" s="2"/>
      <c r="AD45" s="2"/>
      <c r="AE45" s="22"/>
    </row>
    <row r="46" spans="13:31" ht="12.75" thickBot="1" x14ac:dyDescent="0.25">
      <c r="M46" s="24"/>
      <c r="N46" s="3"/>
      <c r="O46" s="3"/>
      <c r="P46" s="2"/>
      <c r="Q46" s="2"/>
      <c r="R46" s="2"/>
      <c r="S46" s="2"/>
      <c r="T46" s="3"/>
      <c r="U46" s="85">
        <f t="shared" si="4"/>
        <v>0.15</v>
      </c>
      <c r="V46" s="10">
        <f t="shared" ref="V46:W46" si="5">N50</f>
        <v>0.32602499999999995</v>
      </c>
      <c r="W46" s="86">
        <f t="shared" si="5"/>
        <v>1.8629999999999995</v>
      </c>
      <c r="X46" s="2"/>
      <c r="Y46" s="2"/>
      <c r="Z46" s="2"/>
      <c r="AA46" s="2"/>
      <c r="AB46" s="2" t="s">
        <v>6</v>
      </c>
      <c r="AC46" s="2"/>
      <c r="AD46" s="2"/>
      <c r="AE46" s="22"/>
    </row>
    <row r="47" spans="13:31" ht="12.75" thickBot="1" x14ac:dyDescent="0.25">
      <c r="M47" s="23" t="s">
        <v>14</v>
      </c>
      <c r="N47" s="2"/>
      <c r="O47" s="2"/>
      <c r="P47" s="2"/>
      <c r="Q47" s="2"/>
      <c r="R47" s="2"/>
      <c r="S47" s="2"/>
      <c r="T47" s="3"/>
      <c r="U47" s="85">
        <f t="shared" si="4"/>
        <v>0.3</v>
      </c>
      <c r="V47" s="10">
        <f t="shared" ref="V47:W47" si="6">N51</f>
        <v>0.55889999999999995</v>
      </c>
      <c r="W47" s="86">
        <f t="shared" si="6"/>
        <v>1.2419999999999998</v>
      </c>
      <c r="X47" s="2"/>
      <c r="Y47" s="2"/>
      <c r="Z47" s="2"/>
      <c r="AA47" s="2"/>
      <c r="AB47" s="59" t="s">
        <v>2</v>
      </c>
      <c r="AC47" s="60" t="s">
        <v>5</v>
      </c>
      <c r="AD47" s="2"/>
      <c r="AE47" s="22"/>
    </row>
    <row r="48" spans="13:31" x14ac:dyDescent="0.2">
      <c r="M48" s="106" t="s">
        <v>2</v>
      </c>
      <c r="N48" s="84" t="s">
        <v>3</v>
      </c>
      <c r="O48" s="60" t="s">
        <v>4</v>
      </c>
      <c r="P48" s="2"/>
      <c r="Q48" s="2"/>
      <c r="R48" s="2"/>
      <c r="S48" s="2"/>
      <c r="T48" s="2"/>
      <c r="U48" s="85">
        <f t="shared" si="4"/>
        <v>0.44999999999999996</v>
      </c>
      <c r="V48" s="10">
        <f t="shared" ref="V48:W48" si="7">N52</f>
        <v>0.69862499999999983</v>
      </c>
      <c r="W48" s="86">
        <f t="shared" si="7"/>
        <v>0.62099999999999977</v>
      </c>
      <c r="X48" s="2"/>
      <c r="Y48" s="2"/>
      <c r="Z48" s="2"/>
      <c r="AA48" s="2"/>
      <c r="AB48" s="61">
        <v>0</v>
      </c>
      <c r="AC48" s="62">
        <v>0</v>
      </c>
      <c r="AD48" s="2"/>
      <c r="AE48" s="22"/>
    </row>
    <row r="49" spans="13:31" x14ac:dyDescent="0.2">
      <c r="M49" s="107">
        <v>0</v>
      </c>
      <c r="N49" s="10">
        <f t="shared" ref="N49:N57" si="8">-$Q$15-$F$7*M49^2/2+$N$22*M49</f>
        <v>0</v>
      </c>
      <c r="O49" s="86">
        <f t="shared" ref="O49:O57" si="9">-$F$7*M49+$N$22</f>
        <v>2.4839999999999995</v>
      </c>
      <c r="P49" s="2"/>
      <c r="Q49" s="2"/>
      <c r="R49" s="2"/>
      <c r="S49" s="2"/>
      <c r="T49" s="2"/>
      <c r="U49" s="85">
        <f t="shared" si="4"/>
        <v>0.6</v>
      </c>
      <c r="V49" s="10">
        <f t="shared" ref="V49:W49" si="10">N53</f>
        <v>0.74519999999999986</v>
      </c>
      <c r="W49" s="86">
        <f t="shared" si="10"/>
        <v>0</v>
      </c>
      <c r="X49" s="2"/>
      <c r="Y49" s="2"/>
      <c r="Z49" s="2"/>
      <c r="AA49" s="2"/>
      <c r="AB49" s="61">
        <f>E4</f>
        <v>0</v>
      </c>
      <c r="AC49" s="62">
        <v>0</v>
      </c>
      <c r="AD49" s="2"/>
      <c r="AE49" s="22"/>
    </row>
    <row r="50" spans="13:31" x14ac:dyDescent="0.2">
      <c r="M50" s="107">
        <f>$F$4/8</f>
        <v>0.15</v>
      </c>
      <c r="N50" s="10">
        <f t="shared" si="8"/>
        <v>0.32602499999999995</v>
      </c>
      <c r="O50" s="86">
        <f t="shared" si="9"/>
        <v>1.8629999999999995</v>
      </c>
      <c r="P50" s="2"/>
      <c r="Q50" s="2"/>
      <c r="R50" s="2"/>
      <c r="S50" s="2"/>
      <c r="T50" s="2"/>
      <c r="U50" s="85">
        <f t="shared" si="4"/>
        <v>0.75</v>
      </c>
      <c r="V50" s="10">
        <f t="shared" ref="V50:W50" si="11">N54</f>
        <v>0.69862499999999961</v>
      </c>
      <c r="W50" s="86">
        <f t="shared" si="11"/>
        <v>-0.621</v>
      </c>
      <c r="X50" s="2"/>
      <c r="Y50" s="2"/>
      <c r="Z50" s="2"/>
      <c r="AA50" s="2"/>
      <c r="AB50" s="61">
        <f>AB49+F4</f>
        <v>1.2</v>
      </c>
      <c r="AC50" s="62">
        <v>0</v>
      </c>
      <c r="AD50" s="2"/>
      <c r="AE50" s="22"/>
    </row>
    <row r="51" spans="13:31" ht="12.75" thickBot="1" x14ac:dyDescent="0.25">
      <c r="M51" s="107">
        <f>2*$F$4/8</f>
        <v>0.3</v>
      </c>
      <c r="N51" s="10">
        <f t="shared" si="8"/>
        <v>0.55889999999999995</v>
      </c>
      <c r="O51" s="86">
        <f t="shared" si="9"/>
        <v>1.2419999999999998</v>
      </c>
      <c r="P51" s="2"/>
      <c r="Q51" s="2"/>
      <c r="R51" s="2"/>
      <c r="S51" s="2"/>
      <c r="T51" s="2"/>
      <c r="U51" s="85">
        <f t="shared" si="4"/>
        <v>0.89999999999999991</v>
      </c>
      <c r="V51" s="10">
        <f t="shared" ref="V51:W51" si="12">N55</f>
        <v>0.55889999999999995</v>
      </c>
      <c r="W51" s="86">
        <f t="shared" si="12"/>
        <v>-1.242</v>
      </c>
      <c r="X51" s="2"/>
      <c r="Y51" s="2"/>
      <c r="Z51" s="2"/>
      <c r="AA51" s="2"/>
      <c r="AB51" s="63">
        <f>AB50+G4</f>
        <v>1.2</v>
      </c>
      <c r="AC51" s="64">
        <v>0</v>
      </c>
      <c r="AD51" s="2"/>
      <c r="AE51" s="22"/>
    </row>
    <row r="52" spans="13:31" x14ac:dyDescent="0.2">
      <c r="M52" s="107">
        <f>3*$F$4/8</f>
        <v>0.44999999999999996</v>
      </c>
      <c r="N52" s="10">
        <f t="shared" si="8"/>
        <v>0.69862499999999983</v>
      </c>
      <c r="O52" s="86">
        <f t="shared" si="9"/>
        <v>0.62099999999999977</v>
      </c>
      <c r="P52" s="2"/>
      <c r="Q52" s="2"/>
      <c r="R52" s="2"/>
      <c r="S52" s="2"/>
      <c r="T52" s="2"/>
      <c r="U52" s="85">
        <f t="shared" si="4"/>
        <v>1.05</v>
      </c>
      <c r="V52" s="10">
        <f t="shared" ref="V52:W52" si="13">N56</f>
        <v>0.32602499999999957</v>
      </c>
      <c r="W52" s="86">
        <f t="shared" si="13"/>
        <v>-1.863</v>
      </c>
      <c r="X52" s="2"/>
      <c r="Y52" s="2"/>
      <c r="Z52" s="2"/>
      <c r="AA52" s="2"/>
      <c r="AB52" s="11"/>
      <c r="AC52" s="3"/>
      <c r="AD52" s="2"/>
      <c r="AE52" s="22"/>
    </row>
    <row r="53" spans="13:31" x14ac:dyDescent="0.2">
      <c r="M53" s="107">
        <f>4*$F$4/8</f>
        <v>0.6</v>
      </c>
      <c r="N53" s="10">
        <f t="shared" si="8"/>
        <v>0.74519999999999986</v>
      </c>
      <c r="O53" s="86">
        <f t="shared" si="9"/>
        <v>0</v>
      </c>
      <c r="P53" s="2"/>
      <c r="Q53" s="2"/>
      <c r="R53" s="2"/>
      <c r="S53" s="2"/>
      <c r="T53" s="2"/>
      <c r="U53" s="85">
        <f t="shared" si="4"/>
        <v>1.2</v>
      </c>
      <c r="V53" s="10">
        <f t="shared" ref="V53:W53" si="14">N57</f>
        <v>0</v>
      </c>
      <c r="W53" s="86">
        <f t="shared" si="14"/>
        <v>-2.4839999999999995</v>
      </c>
      <c r="X53" s="2"/>
      <c r="Y53" s="2"/>
      <c r="Z53" s="2"/>
      <c r="AA53" s="2"/>
      <c r="AB53" s="11"/>
      <c r="AC53" s="3"/>
      <c r="AD53" s="2"/>
      <c r="AE53" s="22"/>
    </row>
    <row r="54" spans="13:31" x14ac:dyDescent="0.2">
      <c r="M54" s="107">
        <f>5*$F$4/8</f>
        <v>0.75</v>
      </c>
      <c r="N54" s="10">
        <f t="shared" si="8"/>
        <v>0.69862499999999961</v>
      </c>
      <c r="O54" s="86">
        <f t="shared" si="9"/>
        <v>-0.621</v>
      </c>
      <c r="P54" s="2"/>
      <c r="Q54" s="2"/>
      <c r="R54" s="2"/>
      <c r="S54" s="2"/>
      <c r="T54" s="2"/>
      <c r="U54" s="92">
        <f>$U$53+Q41</f>
        <v>1.2</v>
      </c>
      <c r="V54" s="82">
        <f>R41</f>
        <v>0</v>
      </c>
      <c r="W54" s="93">
        <f>S41</f>
        <v>0</v>
      </c>
      <c r="X54" s="2"/>
      <c r="Y54" s="2"/>
      <c r="Z54" s="2"/>
      <c r="AA54" s="2"/>
      <c r="AB54" s="11"/>
      <c r="AC54" s="3"/>
      <c r="AD54" s="2"/>
      <c r="AE54" s="22"/>
    </row>
    <row r="55" spans="13:31" x14ac:dyDescent="0.2">
      <c r="M55" s="107">
        <f>6*$F$4/8</f>
        <v>0.89999999999999991</v>
      </c>
      <c r="N55" s="10">
        <f t="shared" si="8"/>
        <v>0.55889999999999995</v>
      </c>
      <c r="O55" s="86">
        <f t="shared" si="9"/>
        <v>-1.242</v>
      </c>
      <c r="P55" s="2"/>
      <c r="Q55" s="2"/>
      <c r="R55" s="2"/>
      <c r="S55" s="2"/>
      <c r="T55" s="2"/>
      <c r="U55" s="92">
        <f t="shared" ref="U55:U57" si="15">$U$53+Q42</f>
        <v>1.2</v>
      </c>
      <c r="V55" s="82">
        <f t="shared" ref="V55:W55" si="16">R42</f>
        <v>0</v>
      </c>
      <c r="W55" s="93">
        <f t="shared" si="16"/>
        <v>0</v>
      </c>
      <c r="X55" s="2"/>
      <c r="Y55" s="2"/>
      <c r="Z55" s="2"/>
      <c r="AA55" s="2"/>
      <c r="AB55" s="2"/>
      <c r="AC55" s="2"/>
      <c r="AD55" s="2"/>
      <c r="AE55" s="22"/>
    </row>
    <row r="56" spans="13:31" x14ac:dyDescent="0.2">
      <c r="M56" s="107">
        <f>7*$F$4/8</f>
        <v>1.05</v>
      </c>
      <c r="N56" s="10">
        <f t="shared" si="8"/>
        <v>0.32602499999999957</v>
      </c>
      <c r="O56" s="86">
        <f t="shared" si="9"/>
        <v>-1.863</v>
      </c>
      <c r="P56" s="2"/>
      <c r="Q56" s="2"/>
      <c r="R56" s="2"/>
      <c r="S56" s="2"/>
      <c r="T56" s="2"/>
      <c r="U56" s="92">
        <f t="shared" si="15"/>
        <v>1.2</v>
      </c>
      <c r="V56" s="82">
        <f t="shared" ref="V56:W56" si="17">R43</f>
        <v>0</v>
      </c>
      <c r="W56" s="93">
        <f t="shared" si="17"/>
        <v>0</v>
      </c>
      <c r="X56" s="2"/>
      <c r="Y56" s="2"/>
      <c r="Z56" s="2"/>
      <c r="AA56" s="2"/>
      <c r="AB56" s="2"/>
      <c r="AC56" s="2"/>
      <c r="AD56" s="2"/>
      <c r="AE56" s="22"/>
    </row>
    <row r="57" spans="13:31" ht="12.75" thickBot="1" x14ac:dyDescent="0.25">
      <c r="M57" s="108">
        <f>8*$F$4/8</f>
        <v>1.2</v>
      </c>
      <c r="N57" s="109">
        <f t="shared" si="8"/>
        <v>0</v>
      </c>
      <c r="O57" s="110">
        <f t="shared" si="9"/>
        <v>-2.4839999999999995</v>
      </c>
      <c r="P57" s="27"/>
      <c r="Q57" s="27"/>
      <c r="R57" s="27"/>
      <c r="S57" s="27"/>
      <c r="T57" s="27"/>
      <c r="U57" s="111">
        <f t="shared" si="15"/>
        <v>1.2</v>
      </c>
      <c r="V57" s="112">
        <f t="shared" ref="V57:W57" si="18">R44</f>
        <v>0</v>
      </c>
      <c r="W57" s="113">
        <f t="shared" si="18"/>
        <v>0</v>
      </c>
      <c r="X57" s="27"/>
      <c r="Y57" s="27"/>
      <c r="Z57" s="27"/>
      <c r="AA57" s="27"/>
      <c r="AB57" s="27"/>
      <c r="AC57" s="27"/>
      <c r="AD57" s="27"/>
      <c r="AE57" s="28"/>
    </row>
    <row r="58" spans="13:31" ht="12.75" thickTop="1" x14ac:dyDescent="0.2">
      <c r="M58" s="19"/>
      <c r="N58" s="19"/>
      <c r="O58" s="19"/>
      <c r="P58" s="19"/>
      <c r="Q58" s="114"/>
      <c r="R58" s="114"/>
      <c r="S58" s="114"/>
      <c r="T58" s="19"/>
      <c r="U58" s="114"/>
      <c r="V58" s="114"/>
      <c r="W58" s="114"/>
      <c r="X58" s="19"/>
      <c r="Y58" s="19"/>
      <c r="Z58" s="19"/>
      <c r="AA58" s="19"/>
      <c r="AB58" s="19"/>
      <c r="AC58" s="19"/>
      <c r="AD58" s="19"/>
      <c r="AE58" s="19"/>
    </row>
    <row r="59" spans="13:31" x14ac:dyDescent="0.2">
      <c r="M59" s="15"/>
      <c r="N59" s="15"/>
      <c r="O59" s="15"/>
      <c r="P59" s="2"/>
      <c r="Q59" s="15"/>
      <c r="R59" s="15"/>
      <c r="S59" s="15"/>
      <c r="T59" s="2"/>
      <c r="U59" s="15"/>
      <c r="V59" s="15"/>
      <c r="W59" s="15"/>
      <c r="X59" s="2"/>
      <c r="Y59" s="2"/>
      <c r="Z59" s="2"/>
      <c r="AA59" s="2"/>
      <c r="AB59" s="2"/>
      <c r="AC59" s="2"/>
      <c r="AD59" s="2"/>
      <c r="AE59" s="2"/>
    </row>
    <row r="60" spans="13:31" x14ac:dyDescent="0.2">
      <c r="M60" s="15"/>
      <c r="N60" s="15"/>
      <c r="O60" s="15"/>
      <c r="P60" s="2"/>
      <c r="Q60" s="15"/>
      <c r="R60" s="15"/>
      <c r="S60" s="15"/>
      <c r="T60" s="2"/>
      <c r="U60" s="15"/>
      <c r="V60" s="15"/>
      <c r="W60" s="15"/>
      <c r="X60" s="2"/>
      <c r="Y60" s="2"/>
      <c r="Z60" s="2"/>
      <c r="AA60" s="2"/>
      <c r="AB60" s="2"/>
      <c r="AC60" s="2"/>
      <c r="AD60" s="2"/>
      <c r="AE60" s="2"/>
    </row>
    <row r="61" spans="13:31" x14ac:dyDescent="0.2">
      <c r="M61" s="15"/>
      <c r="N61" s="15"/>
      <c r="O61" s="15"/>
      <c r="P61" s="2"/>
      <c r="Q61" s="15"/>
      <c r="R61" s="15"/>
      <c r="S61" s="15"/>
      <c r="T61" s="2"/>
      <c r="U61" s="15"/>
      <c r="V61" s="15"/>
      <c r="W61" s="15"/>
      <c r="X61" s="2"/>
      <c r="Y61" s="2"/>
      <c r="Z61" s="2"/>
      <c r="AA61" s="2"/>
      <c r="AB61" s="2"/>
      <c r="AC61" s="2"/>
      <c r="AD61" s="2"/>
      <c r="AE61" s="2"/>
    </row>
    <row r="62" spans="13:31" x14ac:dyDescent="0.2">
      <c r="M62" s="2"/>
      <c r="N62" s="2"/>
      <c r="O62" s="2"/>
      <c r="P62" s="2"/>
      <c r="Q62" s="2"/>
      <c r="R62" s="2"/>
      <c r="S62" s="2"/>
      <c r="T62" s="2"/>
      <c r="U62" s="15"/>
      <c r="V62" s="15"/>
      <c r="W62" s="15"/>
      <c r="X62" s="2"/>
      <c r="Y62" s="2"/>
      <c r="Z62" s="2"/>
      <c r="AA62" s="2"/>
      <c r="AB62" s="2"/>
      <c r="AC62" s="2"/>
      <c r="AD62" s="2"/>
      <c r="AE62" s="2"/>
    </row>
    <row r="63" spans="13:31" x14ac:dyDescent="0.2"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</row>
    <row r="64" spans="13:31" x14ac:dyDescent="0.2"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</row>
    <row r="65" spans="13:40" x14ac:dyDescent="0.2">
      <c r="M65" s="5"/>
      <c r="N65" s="5"/>
      <c r="O65" s="3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</row>
    <row r="66" spans="13:40" x14ac:dyDescent="0.2">
      <c r="M66" s="5"/>
      <c r="N66" s="15"/>
      <c r="O66" s="15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</row>
    <row r="72" spans="13:40" x14ac:dyDescent="0.2"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</row>
    <row r="73" spans="13:40" x14ac:dyDescent="0.2">
      <c r="V73" s="5"/>
      <c r="W73" s="15"/>
      <c r="X73" s="15"/>
      <c r="Y73" s="2"/>
      <c r="Z73" s="2"/>
      <c r="AA73" s="2"/>
      <c r="AB73" s="2"/>
      <c r="AC73" s="2"/>
      <c r="AD73" s="15"/>
      <c r="AE73" s="15"/>
      <c r="AF73" s="15"/>
      <c r="AG73" s="2"/>
      <c r="AH73" s="2"/>
      <c r="AI73" s="2"/>
      <c r="AJ73" s="2"/>
      <c r="AK73" s="2"/>
      <c r="AL73" s="2"/>
      <c r="AM73" s="2"/>
      <c r="AN73" s="2"/>
    </row>
    <row r="74" spans="13:40" x14ac:dyDescent="0.2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13:40" x14ac:dyDescent="0.2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13:40" x14ac:dyDescent="0.2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13:40" x14ac:dyDescent="0.2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13:40" x14ac:dyDescent="0.2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13:40" x14ac:dyDescent="0.2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13:40" x14ac:dyDescent="0.2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AT100"/>
  <sheetViews>
    <sheetView topLeftCell="K7" zoomScale="85" zoomScaleNormal="85" workbookViewId="0">
      <selection activeCell="R35" sqref="R35"/>
    </sheetView>
  </sheetViews>
  <sheetFormatPr defaultColWidth="9.140625" defaultRowHeight="12" x14ac:dyDescent="0.2"/>
  <cols>
    <col min="1" max="16384" width="9.140625" style="1"/>
  </cols>
  <sheetData>
    <row r="1" spans="1:31" ht="15.75" customHeight="1" thickBot="1" x14ac:dyDescent="0.25">
      <c r="A1" s="334" t="s">
        <v>28</v>
      </c>
      <c r="B1" s="334"/>
      <c r="C1" s="334"/>
      <c r="D1" s="334"/>
      <c r="E1" s="334"/>
      <c r="F1" s="334"/>
      <c r="G1" s="334"/>
      <c r="H1" s="334"/>
      <c r="I1" s="334"/>
      <c r="J1" s="334"/>
      <c r="K1" s="2"/>
    </row>
    <row r="2" spans="1:31" ht="12.75" thickTop="1" x14ac:dyDescent="0.2">
      <c r="E2" s="12"/>
    </row>
    <row r="3" spans="1:31" ht="13.5" x14ac:dyDescent="0.25">
      <c r="C3" s="12" t="s">
        <v>29</v>
      </c>
      <c r="E3" s="13" t="s">
        <v>32</v>
      </c>
      <c r="F3" s="13" t="s">
        <v>33</v>
      </c>
      <c r="G3" s="13" t="s">
        <v>34</v>
      </c>
    </row>
    <row r="4" spans="1:31" x14ac:dyDescent="0.2">
      <c r="E4" s="14">
        <f>'C-Trave'!E15</f>
        <v>0</v>
      </c>
      <c r="F4" s="14">
        <f>'C-Trave'!F15</f>
        <v>1.2</v>
      </c>
      <c r="G4" s="14">
        <f>'C-Trave'!G15</f>
        <v>0</v>
      </c>
    </row>
    <row r="6" spans="1:31" ht="13.5" x14ac:dyDescent="0.25">
      <c r="C6" s="12" t="s">
        <v>41</v>
      </c>
      <c r="E6" s="13" t="s">
        <v>35</v>
      </c>
      <c r="F6" s="13" t="s">
        <v>36</v>
      </c>
      <c r="G6" s="13" t="s">
        <v>37</v>
      </c>
    </row>
    <row r="7" spans="1:31" x14ac:dyDescent="0.2">
      <c r="D7" s="1" t="s">
        <v>42</v>
      </c>
      <c r="E7" s="14">
        <f>'C-Trave'!E27</f>
        <v>0</v>
      </c>
      <c r="F7" s="14">
        <f>'C-Trave'!F27</f>
        <v>0</v>
      </c>
      <c r="G7" s="14">
        <f>'C-Trave'!G27</f>
        <v>0</v>
      </c>
    </row>
    <row r="8" spans="1:31" x14ac:dyDescent="0.2">
      <c r="E8" s="14"/>
      <c r="F8" s="14"/>
      <c r="G8" s="14"/>
      <c r="H8" s="15"/>
    </row>
    <row r="9" spans="1:31" ht="12.75" thickBot="1" x14ac:dyDescent="0.25">
      <c r="E9" s="14"/>
      <c r="F9" s="14"/>
      <c r="G9" s="14"/>
      <c r="H9" s="15"/>
    </row>
    <row r="10" spans="1:31" ht="13.5" thickTop="1" thickBot="1" x14ac:dyDescent="0.25">
      <c r="E10" s="14"/>
      <c r="F10" s="14"/>
      <c r="G10" s="14"/>
      <c r="H10" s="15"/>
      <c r="M10" s="54"/>
      <c r="N10" s="55"/>
      <c r="O10" s="55"/>
      <c r="P10" s="19"/>
      <c r="Q10" s="20"/>
      <c r="R10" s="20"/>
      <c r="S10" s="20"/>
      <c r="T10" s="19"/>
      <c r="U10" s="19"/>
      <c r="V10" s="56"/>
      <c r="W10" s="19"/>
      <c r="X10" s="19"/>
      <c r="Y10" s="20" t="s">
        <v>16</v>
      </c>
      <c r="Z10" s="20"/>
      <c r="AA10" s="19"/>
      <c r="AB10" s="19" t="s">
        <v>26</v>
      </c>
      <c r="AC10" s="19"/>
      <c r="AD10" s="19"/>
      <c r="AE10" s="21"/>
    </row>
    <row r="11" spans="1:31" x14ac:dyDescent="0.2">
      <c r="E11" s="14"/>
      <c r="F11" s="14"/>
      <c r="G11" s="14"/>
      <c r="H11" s="15"/>
      <c r="M11" s="49"/>
      <c r="N11" s="5"/>
      <c r="O11" s="5"/>
      <c r="P11" s="2"/>
      <c r="Q11" s="3"/>
      <c r="R11" s="3"/>
      <c r="S11" s="3"/>
      <c r="T11" s="2"/>
      <c r="U11" s="2"/>
      <c r="V11" s="44"/>
      <c r="W11" s="2"/>
      <c r="X11" s="2"/>
      <c r="Y11" s="59">
        <v>0</v>
      </c>
      <c r="Z11" s="60">
        <f>5+MAX('C-car.1'!Z11:Z29)</f>
        <v>19.14</v>
      </c>
      <c r="AA11" s="2"/>
      <c r="AB11" s="67">
        <f>AB49</f>
        <v>0</v>
      </c>
      <c r="AC11" s="68">
        <v>0</v>
      </c>
      <c r="AD11" s="2"/>
      <c r="AE11" s="22"/>
    </row>
    <row r="12" spans="1:31" x14ac:dyDescent="0.2">
      <c r="C12" s="15"/>
      <c r="D12" s="15"/>
      <c r="E12" s="15"/>
      <c r="F12" s="15"/>
      <c r="G12" s="15"/>
      <c r="H12" s="15"/>
      <c r="M12" s="49"/>
      <c r="N12" s="3"/>
      <c r="O12" s="5"/>
      <c r="P12" s="2"/>
      <c r="Q12" s="3"/>
      <c r="R12" s="3"/>
      <c r="S12" s="3"/>
      <c r="T12" s="2"/>
      <c r="U12" s="2"/>
      <c r="V12" s="3"/>
      <c r="W12" s="2"/>
      <c r="X12" s="2"/>
      <c r="Y12" s="65">
        <f>E4</f>
        <v>0</v>
      </c>
      <c r="Z12" s="62">
        <f>Z11</f>
        <v>19.14</v>
      </c>
      <c r="AA12" s="2"/>
      <c r="AB12" s="61">
        <f>AB11</f>
        <v>0</v>
      </c>
      <c r="AC12" s="87">
        <f>V44</f>
        <v>0</v>
      </c>
      <c r="AD12" s="2"/>
      <c r="AE12" s="22"/>
    </row>
    <row r="13" spans="1:31" x14ac:dyDescent="0.2">
      <c r="C13" s="15"/>
      <c r="D13" s="15"/>
      <c r="E13" s="15"/>
      <c r="F13" s="15"/>
      <c r="G13" s="15"/>
      <c r="H13" s="15"/>
      <c r="M13" s="23"/>
      <c r="N13" s="3"/>
      <c r="O13" s="3"/>
      <c r="P13" s="3"/>
      <c r="Q13" s="3"/>
      <c r="R13" s="3"/>
      <c r="S13" s="3"/>
      <c r="T13" s="3"/>
      <c r="U13" s="3"/>
      <c r="V13" s="3"/>
      <c r="W13" s="2"/>
      <c r="X13" s="2"/>
      <c r="Y13" s="65">
        <f>Y12</f>
        <v>0</v>
      </c>
      <c r="Z13" s="62">
        <f>Z12+E7</f>
        <v>19.14</v>
      </c>
      <c r="AA13" s="2"/>
      <c r="AB13" s="61">
        <f>AB50</f>
        <v>1.2</v>
      </c>
      <c r="AC13" s="87">
        <v>0</v>
      </c>
      <c r="AD13" s="2"/>
      <c r="AE13" s="22"/>
    </row>
    <row r="14" spans="1:31" ht="12.75" thickBot="1" x14ac:dyDescent="0.25">
      <c r="C14" s="15"/>
      <c r="D14" s="15"/>
      <c r="E14" s="15"/>
      <c r="F14" s="15"/>
      <c r="G14" s="15"/>
      <c r="H14" s="15"/>
      <c r="M14" s="23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65">
        <v>0</v>
      </c>
      <c r="Z14" s="62">
        <f>Z13</f>
        <v>19.14</v>
      </c>
      <c r="AA14" s="2"/>
      <c r="AB14" s="63">
        <f>AB13</f>
        <v>1.2</v>
      </c>
      <c r="AC14" s="69">
        <f>V53</f>
        <v>0</v>
      </c>
      <c r="AD14" s="2"/>
      <c r="AE14" s="22"/>
    </row>
    <row r="15" spans="1:31" ht="15" customHeight="1" thickBot="1" x14ac:dyDescent="0.25">
      <c r="A15" s="345" t="s">
        <v>31</v>
      </c>
      <c r="B15" s="345"/>
      <c r="C15" s="345"/>
      <c r="D15" s="345"/>
      <c r="E15" s="345"/>
      <c r="F15" s="345"/>
      <c r="G15" s="345"/>
      <c r="H15" s="345"/>
      <c r="I15" s="345"/>
      <c r="J15" s="345"/>
      <c r="M15" s="24"/>
      <c r="N15" s="11"/>
      <c r="O15" s="2"/>
      <c r="P15" s="59" t="s">
        <v>12</v>
      </c>
      <c r="Q15" s="68">
        <f>E7*E4^2/2</f>
        <v>0</v>
      </c>
      <c r="R15" s="2"/>
      <c r="S15" s="3"/>
      <c r="T15" s="3"/>
      <c r="U15" s="3"/>
      <c r="V15" s="2"/>
      <c r="W15" s="2"/>
      <c r="X15" s="2"/>
      <c r="Y15" s="66">
        <v>0</v>
      </c>
      <c r="Z15" s="64">
        <f>Z11</f>
        <v>19.14</v>
      </c>
      <c r="AA15" s="2"/>
      <c r="AB15" s="11"/>
      <c r="AC15" s="11"/>
      <c r="AD15" s="2"/>
      <c r="AE15" s="22"/>
    </row>
    <row r="16" spans="1:31" ht="12.75" thickBot="1" x14ac:dyDescent="0.25">
      <c r="M16" s="24"/>
      <c r="N16" s="11"/>
      <c r="O16" s="2"/>
      <c r="P16" s="66" t="s">
        <v>7</v>
      </c>
      <c r="Q16" s="69">
        <f>G7*G4^2/2</f>
        <v>0</v>
      </c>
      <c r="R16" s="2"/>
      <c r="S16" s="44"/>
      <c r="T16" s="44"/>
      <c r="U16" s="44"/>
      <c r="V16" s="2"/>
      <c r="W16" s="2"/>
      <c r="X16" s="2"/>
      <c r="Y16" s="2"/>
      <c r="Z16" s="2"/>
      <c r="AA16" s="2"/>
      <c r="AB16" s="11"/>
      <c r="AC16" s="11"/>
      <c r="AD16" s="2"/>
      <c r="AE16" s="22"/>
    </row>
    <row r="17" spans="1:46" s="46" customFormat="1" ht="14.25" thickBot="1" x14ac:dyDescent="0.3">
      <c r="D17" s="17" t="s">
        <v>30</v>
      </c>
      <c r="E17" s="16" t="s">
        <v>38</v>
      </c>
      <c r="F17" s="16" t="s">
        <v>39</v>
      </c>
      <c r="G17" s="16" t="s">
        <v>40</v>
      </c>
      <c r="H17" s="3"/>
      <c r="I17" s="3"/>
      <c r="K17" s="18"/>
      <c r="M17" s="24"/>
      <c r="N17" s="3"/>
      <c r="O17" s="2"/>
      <c r="P17" s="2"/>
      <c r="Q17" s="2"/>
      <c r="R17" s="2"/>
      <c r="S17" s="2"/>
      <c r="T17" s="2"/>
      <c r="U17" s="2"/>
      <c r="V17" s="2"/>
      <c r="W17" s="2"/>
      <c r="X17" s="2"/>
      <c r="Y17" s="3" t="s">
        <v>17</v>
      </c>
      <c r="Z17" s="3"/>
      <c r="AA17" s="2"/>
      <c r="AB17" s="11"/>
      <c r="AC17" s="11"/>
      <c r="AD17" s="2"/>
      <c r="AE17" s="22"/>
      <c r="AO17" s="1"/>
      <c r="AP17" s="1"/>
      <c r="AQ17" s="1"/>
      <c r="AR17" s="1"/>
      <c r="AS17" s="1"/>
      <c r="AT17" s="1"/>
    </row>
    <row r="18" spans="1:46" s="46" customFormat="1" x14ac:dyDescent="0.2">
      <c r="E18" s="16">
        <f>'C-Trave'!E77</f>
        <v>1</v>
      </c>
      <c r="F18" s="16">
        <f>'C-Trave'!F77</f>
        <v>9.9999999999999995E-8</v>
      </c>
      <c r="G18" s="16">
        <f>'C-Trave'!G77</f>
        <v>9.9999999999999995E-8</v>
      </c>
      <c r="H18" s="3"/>
      <c r="I18" s="3"/>
      <c r="M18" s="24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59">
        <f>E4</f>
        <v>0</v>
      </c>
      <c r="Z18" s="60">
        <f>Z11</f>
        <v>19.14</v>
      </c>
      <c r="AA18" s="2"/>
      <c r="AB18" s="11"/>
      <c r="AC18" s="11"/>
      <c r="AD18" s="2"/>
      <c r="AE18" s="22"/>
      <c r="AO18" s="1"/>
      <c r="AP18" s="1"/>
      <c r="AQ18" s="1"/>
      <c r="AR18" s="1"/>
      <c r="AS18" s="1"/>
      <c r="AT18" s="1"/>
    </row>
    <row r="19" spans="1:46" s="46" customFormat="1" x14ac:dyDescent="0.2">
      <c r="M19" s="23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61">
        <f>AB50</f>
        <v>1.2</v>
      </c>
      <c r="Z19" s="62">
        <f>Z18</f>
        <v>19.14</v>
      </c>
      <c r="AA19" s="2"/>
      <c r="AB19" s="11"/>
      <c r="AC19" s="11"/>
      <c r="AD19" s="2"/>
      <c r="AE19" s="22"/>
      <c r="AO19" s="1"/>
      <c r="AP19" s="1"/>
      <c r="AQ19" s="1"/>
      <c r="AR19" s="1"/>
      <c r="AS19" s="1"/>
      <c r="AT19" s="1"/>
    </row>
    <row r="20" spans="1:46" s="46" customFormat="1" ht="12.75" thickBot="1" x14ac:dyDescent="0.25">
      <c r="A20" s="17"/>
      <c r="B20" s="3"/>
      <c r="C20" s="3"/>
      <c r="D20" s="3"/>
      <c r="F20" s="45"/>
      <c r="G20" s="3"/>
      <c r="H20" s="3"/>
      <c r="I20" s="3"/>
      <c r="M20" s="24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61">
        <f>Y19</f>
        <v>1.2</v>
      </c>
      <c r="Z20" s="62">
        <f>Z19+F7</f>
        <v>19.14</v>
      </c>
      <c r="AA20" s="3"/>
      <c r="AB20" s="11"/>
      <c r="AC20" s="11"/>
      <c r="AD20" s="2"/>
      <c r="AE20" s="22"/>
    </row>
    <row r="21" spans="1:46" s="46" customFormat="1" x14ac:dyDescent="0.2">
      <c r="A21" s="1"/>
      <c r="B21" s="3"/>
      <c r="C21" s="3"/>
      <c r="D21" s="3"/>
      <c r="F21" s="3"/>
      <c r="G21" s="3"/>
      <c r="H21" s="3"/>
      <c r="I21" s="3"/>
      <c r="M21" s="98" t="s">
        <v>8</v>
      </c>
      <c r="N21" s="70" t="s">
        <v>9</v>
      </c>
      <c r="O21" s="70" t="s">
        <v>10</v>
      </c>
      <c r="P21" s="70" t="s">
        <v>11</v>
      </c>
      <c r="Q21" s="3"/>
      <c r="R21" s="3"/>
      <c r="S21" s="3"/>
      <c r="T21" s="3"/>
      <c r="U21" s="3"/>
      <c r="V21" s="3"/>
      <c r="W21" s="3"/>
      <c r="X21" s="3"/>
      <c r="Y21" s="65">
        <f>Y18</f>
        <v>0</v>
      </c>
      <c r="Z21" s="62">
        <f>Z20</f>
        <v>19.14</v>
      </c>
      <c r="AA21" s="3"/>
      <c r="AB21" s="11"/>
      <c r="AC21" s="11"/>
      <c r="AD21" s="2"/>
      <c r="AE21" s="22"/>
    </row>
    <row r="22" spans="1:46" ht="12.75" thickBot="1" x14ac:dyDescent="0.25">
      <c r="M22" s="99">
        <f>E7*E4</f>
        <v>0</v>
      </c>
      <c r="N22" s="71">
        <f>F7*F4-O22</f>
        <v>0</v>
      </c>
      <c r="O22" s="71">
        <f>(F7*F4^2/2+Q16-Q15)/F4</f>
        <v>0</v>
      </c>
      <c r="P22" s="71">
        <f>G7*G4</f>
        <v>0</v>
      </c>
      <c r="Q22" s="11"/>
      <c r="R22" s="11"/>
      <c r="S22" s="11"/>
      <c r="T22" s="11"/>
      <c r="U22" s="11"/>
      <c r="V22" s="11"/>
      <c r="W22" s="3"/>
      <c r="X22" s="3"/>
      <c r="Y22" s="66">
        <f>Y18</f>
        <v>0</v>
      </c>
      <c r="Z22" s="64">
        <f>Z18</f>
        <v>19.14</v>
      </c>
      <c r="AA22" s="3"/>
      <c r="AB22" s="11"/>
      <c r="AC22" s="11"/>
      <c r="AD22" s="2"/>
      <c r="AE22" s="22"/>
    </row>
    <row r="23" spans="1:46" x14ac:dyDescent="0.2">
      <c r="M23" s="24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2"/>
      <c r="Z23" s="2"/>
      <c r="AA23" s="3"/>
      <c r="AB23" s="3"/>
      <c r="AC23" s="3"/>
      <c r="AD23" s="3"/>
      <c r="AE23" s="25"/>
    </row>
    <row r="24" spans="1:46" ht="12.75" thickBot="1" x14ac:dyDescent="0.25">
      <c r="M24" s="24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 t="s">
        <v>18</v>
      </c>
      <c r="Z24" s="3"/>
      <c r="AA24" s="3"/>
      <c r="AB24" s="3"/>
      <c r="AC24" s="3"/>
      <c r="AD24" s="3"/>
      <c r="AE24" s="25"/>
    </row>
    <row r="25" spans="1:46" ht="12.75" thickBot="1" x14ac:dyDescent="0.25">
      <c r="M25" s="23"/>
      <c r="N25" s="2"/>
      <c r="O25" s="59" t="s">
        <v>0</v>
      </c>
      <c r="P25" s="60" t="s">
        <v>1</v>
      </c>
      <c r="Q25" s="3"/>
      <c r="R25" s="3"/>
      <c r="S25" s="3"/>
      <c r="T25" s="2"/>
      <c r="U25" s="2"/>
      <c r="V25" s="2"/>
      <c r="W25" s="2"/>
      <c r="X25" s="2"/>
      <c r="Y25" s="67">
        <f>AB50</f>
        <v>1.2</v>
      </c>
      <c r="Z25" s="60">
        <f>Z11</f>
        <v>19.14</v>
      </c>
      <c r="AA25" s="2"/>
      <c r="AB25" s="2" t="s">
        <v>21</v>
      </c>
      <c r="AC25" s="2"/>
      <c r="AD25" s="2"/>
      <c r="AE25" s="22"/>
    </row>
    <row r="26" spans="1:46" ht="12.75" thickBot="1" x14ac:dyDescent="0.25">
      <c r="M26" s="23"/>
      <c r="N26" s="2"/>
      <c r="O26" s="63">
        <f>M22+N22</f>
        <v>0</v>
      </c>
      <c r="P26" s="69">
        <f>O22+P22</f>
        <v>0</v>
      </c>
      <c r="Q26" s="11"/>
      <c r="R26" s="11"/>
      <c r="S26" s="11"/>
      <c r="T26" s="2"/>
      <c r="U26" s="2"/>
      <c r="V26" s="2"/>
      <c r="W26" s="2"/>
      <c r="X26" s="2"/>
      <c r="Y26" s="61">
        <f>AB51</f>
        <v>1.2</v>
      </c>
      <c r="Z26" s="62">
        <f>Z25</f>
        <v>19.14</v>
      </c>
      <c r="AA26" s="2"/>
      <c r="AB26" s="59" t="s">
        <v>22</v>
      </c>
      <c r="AC26" s="94" t="s">
        <v>25</v>
      </c>
      <c r="AD26" s="94" t="s">
        <v>2</v>
      </c>
      <c r="AE26" s="100" t="s">
        <v>24</v>
      </c>
    </row>
    <row r="27" spans="1:46" ht="12.75" thickBot="1" x14ac:dyDescent="0.25">
      <c r="M27" s="23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61">
        <f>Y26</f>
        <v>1.2</v>
      </c>
      <c r="Z27" s="62">
        <f>Z26+G7</f>
        <v>19.14</v>
      </c>
      <c r="AA27" s="2"/>
      <c r="AB27" s="95" t="s">
        <v>23</v>
      </c>
      <c r="AC27" s="88" t="e">
        <f>N22/F7</f>
        <v>#DIV/0!</v>
      </c>
      <c r="AD27" s="88" t="e">
        <f>E4+AC27</f>
        <v>#DIV/0!</v>
      </c>
      <c r="AE27" s="101" t="e">
        <f>N22*AC27-F7*AC27^2/2-Q15</f>
        <v>#DIV/0!</v>
      </c>
    </row>
    <row r="28" spans="1:46" x14ac:dyDescent="0.2">
      <c r="M28" s="23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61">
        <f>Y25</f>
        <v>1.2</v>
      </c>
      <c r="Z28" s="62">
        <f>Z27</f>
        <v>19.14</v>
      </c>
      <c r="AA28" s="2"/>
      <c r="AB28" s="48"/>
      <c r="AC28" s="11"/>
      <c r="AD28" s="11"/>
      <c r="AE28" s="50"/>
    </row>
    <row r="29" spans="1:46" s="46" customFormat="1" ht="12.75" thickBot="1" x14ac:dyDescent="0.25">
      <c r="M29" s="23" t="s">
        <v>19</v>
      </c>
      <c r="N29" s="2"/>
      <c r="O29" s="2"/>
      <c r="P29" s="2" t="s">
        <v>20</v>
      </c>
      <c r="Q29" s="2"/>
      <c r="R29" s="2"/>
      <c r="S29" s="2"/>
      <c r="T29" s="2"/>
      <c r="U29" s="2"/>
      <c r="V29" s="2"/>
      <c r="W29" s="2"/>
      <c r="X29" s="2"/>
      <c r="Y29" s="63">
        <f>Y25</f>
        <v>1.2</v>
      </c>
      <c r="Z29" s="64">
        <f>Z25</f>
        <v>19.14</v>
      </c>
      <c r="AA29" s="2"/>
      <c r="AB29" s="48"/>
      <c r="AC29" s="11"/>
      <c r="AD29" s="11"/>
      <c r="AE29" s="50"/>
    </row>
    <row r="30" spans="1:46" s="46" customFormat="1" x14ac:dyDescent="0.2">
      <c r="M30" s="102">
        <f>AB49</f>
        <v>0</v>
      </c>
      <c r="N30" s="73">
        <v>0</v>
      </c>
      <c r="O30" s="2"/>
      <c r="P30" s="72">
        <f>AB50</f>
        <v>1.2</v>
      </c>
      <c r="Q30" s="73">
        <v>0</v>
      </c>
      <c r="R30" s="2"/>
      <c r="S30" s="47"/>
      <c r="T30" s="2"/>
      <c r="U30" s="2"/>
      <c r="V30" s="2"/>
      <c r="W30" s="2"/>
      <c r="X30" s="2"/>
      <c r="Y30" s="3"/>
      <c r="Z30" s="3"/>
      <c r="AA30" s="2"/>
      <c r="AB30" s="48"/>
      <c r="AC30" s="11"/>
      <c r="AD30" s="11"/>
      <c r="AE30" s="50"/>
    </row>
    <row r="31" spans="1:46" ht="12.75" thickBot="1" x14ac:dyDescent="0.25">
      <c r="M31" s="103">
        <f>M30</f>
        <v>0</v>
      </c>
      <c r="N31" s="75">
        <f>O26</f>
        <v>0</v>
      </c>
      <c r="O31" s="2"/>
      <c r="P31" s="74">
        <f>P30</f>
        <v>1.2</v>
      </c>
      <c r="Q31" s="75">
        <f>P26</f>
        <v>0</v>
      </c>
      <c r="R31" s="2"/>
      <c r="S31" s="47"/>
      <c r="T31" s="47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2"/>
    </row>
    <row r="32" spans="1:46" x14ac:dyDescent="0.2">
      <c r="M32" s="24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2"/>
      <c r="Z32" s="2"/>
      <c r="AA32" s="3"/>
      <c r="AB32" s="3"/>
      <c r="AC32" s="3"/>
      <c r="AD32" s="3"/>
      <c r="AE32" s="25"/>
    </row>
    <row r="33" spans="13:31" ht="12.75" thickBot="1" x14ac:dyDescent="0.25">
      <c r="M33" s="23"/>
      <c r="N33" s="2"/>
      <c r="O33" s="3"/>
      <c r="P33" s="2"/>
      <c r="Q33" s="2"/>
      <c r="R33" s="3"/>
      <c r="S33" s="3"/>
      <c r="T33" s="3"/>
      <c r="U33" s="3"/>
      <c r="V33" s="3"/>
      <c r="W33" s="3"/>
      <c r="X33" s="3"/>
      <c r="Y33" s="2"/>
      <c r="Z33" s="2"/>
      <c r="AA33" s="3"/>
      <c r="AB33" s="2" t="s">
        <v>27</v>
      </c>
      <c r="AC33" s="2"/>
      <c r="AD33" s="3"/>
      <c r="AE33" s="25"/>
    </row>
    <row r="34" spans="13:31" x14ac:dyDescent="0.2">
      <c r="M34" s="57"/>
      <c r="N34" s="2"/>
      <c r="O34" s="2"/>
      <c r="P34" s="47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67" t="e">
        <f>AD27</f>
        <v>#DIV/0!</v>
      </c>
      <c r="AC34" s="60">
        <v>0</v>
      </c>
      <c r="AD34" s="2"/>
      <c r="AE34" s="22"/>
    </row>
    <row r="35" spans="13:31" ht="12.75" thickBot="1" x14ac:dyDescent="0.25">
      <c r="M35" s="57"/>
      <c r="N35" s="47"/>
      <c r="O35" s="2"/>
      <c r="P35" s="47"/>
      <c r="Q35" s="47"/>
      <c r="R35" s="2"/>
      <c r="S35" s="2"/>
      <c r="T35" s="2"/>
      <c r="U35" s="2"/>
      <c r="V35" s="2"/>
      <c r="W35" s="2"/>
      <c r="X35" s="2"/>
      <c r="Y35" s="2"/>
      <c r="Z35" s="2"/>
      <c r="AA35" s="2"/>
      <c r="AB35" s="63" t="e">
        <f>AB34</f>
        <v>#DIV/0!</v>
      </c>
      <c r="AC35" s="69" t="e">
        <f>AE27</f>
        <v>#DIV/0!</v>
      </c>
      <c r="AD35" s="2"/>
      <c r="AE35" s="22"/>
    </row>
    <row r="36" spans="13:31" x14ac:dyDescent="0.2">
      <c r="M36" s="23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11"/>
      <c r="AC36" s="3"/>
      <c r="AD36" s="2"/>
      <c r="AE36" s="22"/>
    </row>
    <row r="37" spans="13:31" x14ac:dyDescent="0.2">
      <c r="M37" s="23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11"/>
      <c r="AC37" s="11"/>
      <c r="AD37" s="2"/>
      <c r="AE37" s="22"/>
    </row>
    <row r="38" spans="13:31" x14ac:dyDescent="0.2">
      <c r="M38" s="23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11"/>
      <c r="AC38" s="3"/>
      <c r="AD38" s="2"/>
      <c r="AE38" s="22"/>
    </row>
    <row r="39" spans="13:31" ht="12.75" thickBot="1" x14ac:dyDescent="0.25">
      <c r="M39" s="23" t="s">
        <v>13</v>
      </c>
      <c r="N39" s="2"/>
      <c r="O39" s="2"/>
      <c r="P39" s="2"/>
      <c r="Q39" s="2" t="s">
        <v>69</v>
      </c>
      <c r="R39" s="2"/>
      <c r="S39" s="2"/>
      <c r="T39" s="2"/>
      <c r="U39" s="2" t="s">
        <v>15</v>
      </c>
      <c r="V39" s="2"/>
      <c r="W39" s="2"/>
      <c r="X39" s="2"/>
      <c r="Y39" s="2"/>
      <c r="Z39" s="2"/>
      <c r="AA39" s="2"/>
      <c r="AB39" s="11"/>
      <c r="AC39" s="11"/>
      <c r="AD39" s="2"/>
      <c r="AE39" s="22"/>
    </row>
    <row r="40" spans="13:31" x14ac:dyDescent="0.2">
      <c r="M40" s="104" t="s">
        <v>2</v>
      </c>
      <c r="N40" s="76" t="s">
        <v>3</v>
      </c>
      <c r="O40" s="77" t="s">
        <v>4</v>
      </c>
      <c r="P40" s="2"/>
      <c r="Q40" s="83" t="s">
        <v>2</v>
      </c>
      <c r="R40" s="84" t="s">
        <v>3</v>
      </c>
      <c r="S40" s="60" t="s">
        <v>4</v>
      </c>
      <c r="T40" s="2"/>
      <c r="U40" s="89" t="s">
        <v>2</v>
      </c>
      <c r="V40" s="90" t="s">
        <v>3</v>
      </c>
      <c r="W40" s="91" t="s">
        <v>4</v>
      </c>
      <c r="X40" s="2"/>
      <c r="Y40" s="2"/>
      <c r="Z40" s="2"/>
      <c r="AA40" s="2"/>
      <c r="AB40" s="11"/>
      <c r="AC40" s="3"/>
      <c r="AD40" s="2"/>
      <c r="AE40" s="22"/>
    </row>
    <row r="41" spans="13:31" x14ac:dyDescent="0.2">
      <c r="M41" s="26">
        <v>0</v>
      </c>
      <c r="N41" s="7">
        <f>-$E$7*M41^2/2</f>
        <v>0</v>
      </c>
      <c r="O41" s="79">
        <f>-$E$7*M41</f>
        <v>0</v>
      </c>
      <c r="P41" s="2"/>
      <c r="Q41" s="61">
        <v>0</v>
      </c>
      <c r="R41" s="8">
        <f>-$Q$16-$G$7*Q41^2/2+$P$22*Q41</f>
        <v>0</v>
      </c>
      <c r="S41" s="87">
        <f>$P$22-$G$7*Q41</f>
        <v>0</v>
      </c>
      <c r="T41" s="2"/>
      <c r="U41" s="78">
        <f t="shared" ref="U41:W44" si="0">M41</f>
        <v>0</v>
      </c>
      <c r="V41" s="7">
        <f>N41</f>
        <v>0</v>
      </c>
      <c r="W41" s="79">
        <f>O41</f>
        <v>0</v>
      </c>
      <c r="X41" s="2"/>
      <c r="Y41" s="2"/>
      <c r="Z41" s="2"/>
      <c r="AA41" s="2"/>
      <c r="AB41" s="11"/>
      <c r="AC41" s="11"/>
      <c r="AD41" s="2"/>
      <c r="AE41" s="22"/>
    </row>
    <row r="42" spans="13:31" x14ac:dyDescent="0.2">
      <c r="M42" s="26">
        <f>$E$4/3</f>
        <v>0</v>
      </c>
      <c r="N42" s="7">
        <f>-$E$7*M42^2/2</f>
        <v>0</v>
      </c>
      <c r="O42" s="79">
        <f>-$E$7*M42</f>
        <v>0</v>
      </c>
      <c r="P42" s="2"/>
      <c r="Q42" s="61">
        <f>$G$4/3</f>
        <v>0</v>
      </c>
      <c r="R42" s="8">
        <f>-$Q$16-$G$7*Q42^2/2+$P$22*Q42</f>
        <v>0</v>
      </c>
      <c r="S42" s="87">
        <f t="shared" ref="S42:S44" si="1">$P$22-$G$7*Q42</f>
        <v>0</v>
      </c>
      <c r="T42" s="2"/>
      <c r="U42" s="78">
        <f t="shared" si="0"/>
        <v>0</v>
      </c>
      <c r="V42" s="7">
        <f t="shared" si="0"/>
        <v>0</v>
      </c>
      <c r="W42" s="79">
        <f t="shared" si="0"/>
        <v>0</v>
      </c>
      <c r="X42" s="2"/>
      <c r="Y42" s="2"/>
      <c r="Z42" s="2"/>
      <c r="AA42" s="2"/>
      <c r="AB42" s="2"/>
      <c r="AC42" s="2"/>
      <c r="AD42" s="2"/>
      <c r="AE42" s="22"/>
    </row>
    <row r="43" spans="13:31" x14ac:dyDescent="0.2">
      <c r="M43" s="26">
        <f>2*$E$4/3</f>
        <v>0</v>
      </c>
      <c r="N43" s="7">
        <f>-$E$7*M43^2/2</f>
        <v>0</v>
      </c>
      <c r="O43" s="79">
        <f>-$E$7*M43</f>
        <v>0</v>
      </c>
      <c r="P43" s="2"/>
      <c r="Q43" s="61">
        <f>2*$G$4/3</f>
        <v>0</v>
      </c>
      <c r="R43" s="8">
        <f>-$Q$16-$G$7*Q43^2/2+$P$22*Q43</f>
        <v>0</v>
      </c>
      <c r="S43" s="87">
        <f t="shared" si="1"/>
        <v>0</v>
      </c>
      <c r="T43" s="2"/>
      <c r="U43" s="78">
        <f t="shared" si="0"/>
        <v>0</v>
      </c>
      <c r="V43" s="7">
        <f t="shared" si="0"/>
        <v>0</v>
      </c>
      <c r="W43" s="79">
        <f t="shared" si="0"/>
        <v>0</v>
      </c>
      <c r="X43" s="2"/>
      <c r="Y43" s="2"/>
      <c r="Z43" s="2"/>
      <c r="AA43" s="2"/>
      <c r="AB43" s="2"/>
      <c r="AC43" s="2"/>
      <c r="AD43" s="2"/>
      <c r="AE43" s="22"/>
    </row>
    <row r="44" spans="13:31" ht="12.75" thickBot="1" x14ac:dyDescent="0.25">
      <c r="M44" s="105">
        <f>3*$E$4/3</f>
        <v>0</v>
      </c>
      <c r="N44" s="80">
        <f>-$E$7*M44^2/2</f>
        <v>0</v>
      </c>
      <c r="O44" s="81">
        <f>-$E$7*M44</f>
        <v>0</v>
      </c>
      <c r="P44" s="2"/>
      <c r="Q44" s="63">
        <f>3*$G$4/3</f>
        <v>0</v>
      </c>
      <c r="R44" s="88">
        <f>-$Q$16-$G$7*Q44^2/2+$P$22*Q44</f>
        <v>0</v>
      </c>
      <c r="S44" s="69">
        <f t="shared" si="1"/>
        <v>0</v>
      </c>
      <c r="T44" s="2"/>
      <c r="U44" s="78">
        <f t="shared" si="0"/>
        <v>0</v>
      </c>
      <c r="V44" s="7">
        <f t="shared" si="0"/>
        <v>0</v>
      </c>
      <c r="W44" s="79">
        <f t="shared" si="0"/>
        <v>0</v>
      </c>
      <c r="X44" s="2"/>
      <c r="Y44" s="2"/>
      <c r="Z44" s="2"/>
      <c r="AA44" s="2"/>
      <c r="AB44" s="2"/>
      <c r="AC44" s="2"/>
      <c r="AD44" s="2"/>
      <c r="AE44" s="22"/>
    </row>
    <row r="45" spans="13:31" x14ac:dyDescent="0.2">
      <c r="M45" s="24"/>
      <c r="N45" s="3"/>
      <c r="O45" s="3"/>
      <c r="P45" s="2"/>
      <c r="Q45" s="2"/>
      <c r="R45" s="2"/>
      <c r="S45" s="2"/>
      <c r="T45" s="2"/>
      <c r="U45" s="85">
        <f t="shared" ref="U45:U53" si="2">$U$44+M49</f>
        <v>0</v>
      </c>
      <c r="V45" s="10">
        <f>N49</f>
        <v>0</v>
      </c>
      <c r="W45" s="86">
        <f>O49</f>
        <v>0</v>
      </c>
      <c r="X45" s="2"/>
      <c r="Y45" s="2"/>
      <c r="Z45" s="2"/>
      <c r="AA45" s="2"/>
      <c r="AB45" s="2"/>
      <c r="AC45" s="2"/>
      <c r="AD45" s="2"/>
      <c r="AE45" s="22"/>
    </row>
    <row r="46" spans="13:31" ht="12.75" thickBot="1" x14ac:dyDescent="0.25">
      <c r="M46" s="24"/>
      <c r="N46" s="3"/>
      <c r="O46" s="3"/>
      <c r="P46" s="2"/>
      <c r="Q46" s="2"/>
      <c r="R46" s="2"/>
      <c r="S46" s="2"/>
      <c r="T46" s="3"/>
      <c r="U46" s="85">
        <f t="shared" si="2"/>
        <v>0.15</v>
      </c>
      <c r="V46" s="10">
        <f t="shared" ref="V46:W53" si="3">N50</f>
        <v>0</v>
      </c>
      <c r="W46" s="86">
        <f t="shared" si="3"/>
        <v>0</v>
      </c>
      <c r="X46" s="2"/>
      <c r="Y46" s="2"/>
      <c r="Z46" s="2"/>
      <c r="AA46" s="2"/>
      <c r="AB46" s="2" t="s">
        <v>6</v>
      </c>
      <c r="AC46" s="2"/>
      <c r="AD46" s="2"/>
      <c r="AE46" s="22"/>
    </row>
    <row r="47" spans="13:31" ht="12.75" thickBot="1" x14ac:dyDescent="0.25">
      <c r="M47" s="23" t="s">
        <v>14</v>
      </c>
      <c r="N47" s="2"/>
      <c r="O47" s="2"/>
      <c r="P47" s="2"/>
      <c r="Q47" s="2"/>
      <c r="R47" s="2"/>
      <c r="S47" s="2"/>
      <c r="T47" s="3"/>
      <c r="U47" s="85">
        <f t="shared" si="2"/>
        <v>0.3</v>
      </c>
      <c r="V47" s="10">
        <f t="shared" si="3"/>
        <v>0</v>
      </c>
      <c r="W47" s="86">
        <f t="shared" si="3"/>
        <v>0</v>
      </c>
      <c r="X47" s="2"/>
      <c r="Y47" s="2"/>
      <c r="Z47" s="2"/>
      <c r="AA47" s="2"/>
      <c r="AB47" s="59" t="s">
        <v>2</v>
      </c>
      <c r="AC47" s="60" t="s">
        <v>5</v>
      </c>
      <c r="AD47" s="2"/>
      <c r="AE47" s="22"/>
    </row>
    <row r="48" spans="13:31" x14ac:dyDescent="0.2">
      <c r="M48" s="106" t="s">
        <v>2</v>
      </c>
      <c r="N48" s="84" t="s">
        <v>3</v>
      </c>
      <c r="O48" s="60" t="s">
        <v>4</v>
      </c>
      <c r="P48" s="2"/>
      <c r="Q48" s="2"/>
      <c r="R48" s="2"/>
      <c r="S48" s="2"/>
      <c r="T48" s="2"/>
      <c r="U48" s="85">
        <f t="shared" si="2"/>
        <v>0.44999999999999996</v>
      </c>
      <c r="V48" s="10">
        <f t="shared" si="3"/>
        <v>0</v>
      </c>
      <c r="W48" s="86">
        <f t="shared" si="3"/>
        <v>0</v>
      </c>
      <c r="X48" s="2"/>
      <c r="Y48" s="2"/>
      <c r="Z48" s="2"/>
      <c r="AA48" s="2"/>
      <c r="AB48" s="61">
        <v>0</v>
      </c>
      <c r="AC48" s="62">
        <v>0</v>
      </c>
      <c r="AD48" s="2"/>
      <c r="AE48" s="22"/>
    </row>
    <row r="49" spans="13:31" x14ac:dyDescent="0.2">
      <c r="M49" s="107">
        <v>0</v>
      </c>
      <c r="N49" s="10">
        <f t="shared" ref="N49:N57" si="4">-$Q$15-$F$7*M49^2/2+$N$22*M49</f>
        <v>0</v>
      </c>
      <c r="O49" s="86">
        <f t="shared" ref="O49:O57" si="5">-$F$7*M49+$N$22</f>
        <v>0</v>
      </c>
      <c r="P49" s="2"/>
      <c r="Q49" s="2"/>
      <c r="R49" s="2"/>
      <c r="S49" s="2"/>
      <c r="T49" s="2"/>
      <c r="U49" s="85">
        <f t="shared" si="2"/>
        <v>0.6</v>
      </c>
      <c r="V49" s="10">
        <f t="shared" si="3"/>
        <v>0</v>
      </c>
      <c r="W49" s="86">
        <f t="shared" si="3"/>
        <v>0</v>
      </c>
      <c r="X49" s="2"/>
      <c r="Y49" s="2"/>
      <c r="Z49" s="2"/>
      <c r="AA49" s="2"/>
      <c r="AB49" s="61">
        <f>E4</f>
        <v>0</v>
      </c>
      <c r="AC49" s="62">
        <v>0</v>
      </c>
      <c r="AD49" s="2"/>
      <c r="AE49" s="22"/>
    </row>
    <row r="50" spans="13:31" x14ac:dyDescent="0.2">
      <c r="M50" s="107">
        <f>$F$4/8</f>
        <v>0.15</v>
      </c>
      <c r="N50" s="10">
        <f t="shared" si="4"/>
        <v>0</v>
      </c>
      <c r="O50" s="86">
        <f t="shared" si="5"/>
        <v>0</v>
      </c>
      <c r="P50" s="2"/>
      <c r="Q50" s="2"/>
      <c r="R50" s="2"/>
      <c r="S50" s="2"/>
      <c r="T50" s="2"/>
      <c r="U50" s="85">
        <f t="shared" si="2"/>
        <v>0.75</v>
      </c>
      <c r="V50" s="10">
        <f t="shared" si="3"/>
        <v>0</v>
      </c>
      <c r="W50" s="86">
        <f t="shared" si="3"/>
        <v>0</v>
      </c>
      <c r="X50" s="2"/>
      <c r="Y50" s="2"/>
      <c r="Z50" s="2"/>
      <c r="AA50" s="2"/>
      <c r="AB50" s="61">
        <f>AB49+F4</f>
        <v>1.2</v>
      </c>
      <c r="AC50" s="62">
        <v>0</v>
      </c>
      <c r="AD50" s="2"/>
      <c r="AE50" s="22"/>
    </row>
    <row r="51" spans="13:31" ht="12.75" thickBot="1" x14ac:dyDescent="0.25">
      <c r="M51" s="107">
        <f>2*$F$4/8</f>
        <v>0.3</v>
      </c>
      <c r="N51" s="10">
        <f t="shared" si="4"/>
        <v>0</v>
      </c>
      <c r="O51" s="86">
        <f t="shared" si="5"/>
        <v>0</v>
      </c>
      <c r="P51" s="2"/>
      <c r="Q51" s="2"/>
      <c r="R51" s="2"/>
      <c r="S51" s="2"/>
      <c r="T51" s="2"/>
      <c r="U51" s="85">
        <f t="shared" si="2"/>
        <v>0.89999999999999991</v>
      </c>
      <c r="V51" s="10">
        <f t="shared" si="3"/>
        <v>0</v>
      </c>
      <c r="W51" s="86">
        <f t="shared" si="3"/>
        <v>0</v>
      </c>
      <c r="X51" s="2"/>
      <c r="Y51" s="2"/>
      <c r="Z51" s="2"/>
      <c r="AA51" s="2"/>
      <c r="AB51" s="63">
        <f>AB50+G4</f>
        <v>1.2</v>
      </c>
      <c r="AC51" s="64">
        <v>0</v>
      </c>
      <c r="AD51" s="2"/>
      <c r="AE51" s="22"/>
    </row>
    <row r="52" spans="13:31" x14ac:dyDescent="0.2">
      <c r="M52" s="107">
        <f>3*$F$4/8</f>
        <v>0.44999999999999996</v>
      </c>
      <c r="N52" s="10">
        <f t="shared" si="4"/>
        <v>0</v>
      </c>
      <c r="O52" s="86">
        <f t="shared" si="5"/>
        <v>0</v>
      </c>
      <c r="P52" s="2"/>
      <c r="Q52" s="2"/>
      <c r="R52" s="2"/>
      <c r="S52" s="2"/>
      <c r="T52" s="2"/>
      <c r="U52" s="85">
        <f t="shared" si="2"/>
        <v>1.05</v>
      </c>
      <c r="V52" s="10">
        <f t="shared" si="3"/>
        <v>0</v>
      </c>
      <c r="W52" s="86">
        <f t="shared" si="3"/>
        <v>0</v>
      </c>
      <c r="X52" s="2"/>
      <c r="Y52" s="2"/>
      <c r="Z52" s="2"/>
      <c r="AA52" s="2"/>
      <c r="AB52" s="11"/>
      <c r="AC52" s="3"/>
      <c r="AD52" s="2"/>
      <c r="AE52" s="22"/>
    </row>
    <row r="53" spans="13:31" x14ac:dyDescent="0.2">
      <c r="M53" s="107">
        <f>4*$F$4/8</f>
        <v>0.6</v>
      </c>
      <c r="N53" s="10">
        <f t="shared" si="4"/>
        <v>0</v>
      </c>
      <c r="O53" s="86">
        <f t="shared" si="5"/>
        <v>0</v>
      </c>
      <c r="P53" s="2"/>
      <c r="Q53" s="2"/>
      <c r="R53" s="2"/>
      <c r="S53" s="2"/>
      <c r="T53" s="2"/>
      <c r="U53" s="85">
        <f t="shared" si="2"/>
        <v>1.2</v>
      </c>
      <c r="V53" s="10">
        <f t="shared" si="3"/>
        <v>0</v>
      </c>
      <c r="W53" s="86">
        <f t="shared" si="3"/>
        <v>0</v>
      </c>
      <c r="X53" s="2"/>
      <c r="Y53" s="2"/>
      <c r="Z53" s="2"/>
      <c r="AA53" s="2"/>
      <c r="AB53" s="11"/>
      <c r="AC53" s="3"/>
      <c r="AD53" s="2"/>
      <c r="AE53" s="22"/>
    </row>
    <row r="54" spans="13:31" x14ac:dyDescent="0.2">
      <c r="M54" s="107">
        <f>5*$F$4/8</f>
        <v>0.75</v>
      </c>
      <c r="N54" s="10">
        <f t="shared" si="4"/>
        <v>0</v>
      </c>
      <c r="O54" s="86">
        <f t="shared" si="5"/>
        <v>0</v>
      </c>
      <c r="P54" s="2"/>
      <c r="Q54" s="2"/>
      <c r="R54" s="2"/>
      <c r="S54" s="2"/>
      <c r="T54" s="2"/>
      <c r="U54" s="92">
        <f>$U$53+Q41</f>
        <v>1.2</v>
      </c>
      <c r="V54" s="82">
        <f>R41</f>
        <v>0</v>
      </c>
      <c r="W54" s="93">
        <f>S41</f>
        <v>0</v>
      </c>
      <c r="X54" s="2"/>
      <c r="Y54" s="2"/>
      <c r="Z54" s="2"/>
      <c r="AA54" s="2"/>
      <c r="AB54" s="11"/>
      <c r="AC54" s="3"/>
      <c r="AD54" s="2"/>
      <c r="AE54" s="22"/>
    </row>
    <row r="55" spans="13:31" x14ac:dyDescent="0.2">
      <c r="M55" s="107">
        <f>6*$F$4/8</f>
        <v>0.89999999999999991</v>
      </c>
      <c r="N55" s="10">
        <f t="shared" si="4"/>
        <v>0</v>
      </c>
      <c r="O55" s="86">
        <f t="shared" si="5"/>
        <v>0</v>
      </c>
      <c r="P55" s="2"/>
      <c r="Q55" s="2"/>
      <c r="R55" s="2"/>
      <c r="S55" s="2"/>
      <c r="T55" s="2"/>
      <c r="U55" s="92">
        <f t="shared" ref="U55:U57" si="6">$U$53+Q42</f>
        <v>1.2</v>
      </c>
      <c r="V55" s="82">
        <f t="shared" ref="V55:W57" si="7">R42</f>
        <v>0</v>
      </c>
      <c r="W55" s="93">
        <f t="shared" si="7"/>
        <v>0</v>
      </c>
      <c r="X55" s="2"/>
      <c r="Y55" s="2"/>
      <c r="Z55" s="2"/>
      <c r="AA55" s="2"/>
      <c r="AB55" s="2"/>
      <c r="AC55" s="2"/>
      <c r="AD55" s="2"/>
      <c r="AE55" s="22"/>
    </row>
    <row r="56" spans="13:31" x14ac:dyDescent="0.2">
      <c r="M56" s="107">
        <f>7*$F$4/8</f>
        <v>1.05</v>
      </c>
      <c r="N56" s="10">
        <f t="shared" si="4"/>
        <v>0</v>
      </c>
      <c r="O56" s="86">
        <f t="shared" si="5"/>
        <v>0</v>
      </c>
      <c r="P56" s="2"/>
      <c r="Q56" s="2"/>
      <c r="R56" s="2"/>
      <c r="S56" s="2"/>
      <c r="T56" s="2"/>
      <c r="U56" s="92">
        <f t="shared" si="6"/>
        <v>1.2</v>
      </c>
      <c r="V56" s="82">
        <f t="shared" si="7"/>
        <v>0</v>
      </c>
      <c r="W56" s="93">
        <f t="shared" si="7"/>
        <v>0</v>
      </c>
      <c r="X56" s="2"/>
      <c r="Y56" s="2"/>
      <c r="Z56" s="2"/>
      <c r="AA56" s="2"/>
      <c r="AB56" s="2"/>
      <c r="AC56" s="2"/>
      <c r="AD56" s="2"/>
      <c r="AE56" s="22"/>
    </row>
    <row r="57" spans="13:31" ht="12.75" thickBot="1" x14ac:dyDescent="0.25">
      <c r="M57" s="108">
        <f>8*$F$4/8</f>
        <v>1.2</v>
      </c>
      <c r="N57" s="109">
        <f t="shared" si="4"/>
        <v>0</v>
      </c>
      <c r="O57" s="110">
        <f t="shared" si="5"/>
        <v>0</v>
      </c>
      <c r="P57" s="27"/>
      <c r="Q57" s="27"/>
      <c r="R57" s="27"/>
      <c r="S57" s="27"/>
      <c r="T57" s="27"/>
      <c r="U57" s="111">
        <f t="shared" si="6"/>
        <v>1.2</v>
      </c>
      <c r="V57" s="112">
        <f t="shared" si="7"/>
        <v>0</v>
      </c>
      <c r="W57" s="113">
        <f t="shared" si="7"/>
        <v>0</v>
      </c>
      <c r="X57" s="27"/>
      <c r="Y57" s="27"/>
      <c r="Z57" s="27"/>
      <c r="AA57" s="27"/>
      <c r="AB57" s="27"/>
      <c r="AC57" s="27"/>
      <c r="AD57" s="27"/>
      <c r="AE57" s="28"/>
    </row>
    <row r="58" spans="13:31" ht="12.75" thickTop="1" x14ac:dyDescent="0.2">
      <c r="M58" s="19"/>
      <c r="N58" s="19"/>
      <c r="O58" s="19"/>
      <c r="P58" s="19"/>
      <c r="Q58" s="114"/>
      <c r="R58" s="114"/>
      <c r="S58" s="114"/>
      <c r="T58" s="19"/>
      <c r="U58" s="114"/>
      <c r="V58" s="114"/>
      <c r="W58" s="114"/>
      <c r="X58" s="19"/>
      <c r="Y58" s="19"/>
      <c r="Z58" s="19"/>
      <c r="AA58" s="19"/>
      <c r="AB58" s="19"/>
      <c r="AC58" s="19"/>
      <c r="AD58" s="19"/>
      <c r="AE58" s="19"/>
    </row>
    <row r="59" spans="13:31" x14ac:dyDescent="0.2">
      <c r="M59" s="15"/>
      <c r="N59" s="15"/>
      <c r="O59" s="15"/>
      <c r="P59" s="2"/>
      <c r="Q59" s="15"/>
      <c r="R59" s="15"/>
      <c r="S59" s="15"/>
      <c r="T59" s="2"/>
      <c r="U59" s="15"/>
      <c r="V59" s="15"/>
      <c r="W59" s="15"/>
      <c r="X59" s="2"/>
      <c r="Y59" s="2"/>
      <c r="Z59" s="2"/>
      <c r="AA59" s="2"/>
      <c r="AB59" s="2"/>
      <c r="AC59" s="2"/>
      <c r="AD59" s="2"/>
      <c r="AE59" s="2"/>
    </row>
    <row r="60" spans="13:31" x14ac:dyDescent="0.2">
      <c r="M60" s="15"/>
      <c r="N60" s="15"/>
      <c r="O60" s="15"/>
      <c r="P60" s="2"/>
      <c r="Q60" s="15"/>
      <c r="R60" s="15"/>
      <c r="S60" s="15"/>
      <c r="T60" s="2"/>
      <c r="U60" s="15"/>
      <c r="V60" s="15"/>
      <c r="W60" s="15"/>
      <c r="X60" s="2"/>
      <c r="Y60" s="2"/>
      <c r="Z60" s="2"/>
      <c r="AA60" s="2"/>
      <c r="AB60" s="2"/>
      <c r="AC60" s="2"/>
      <c r="AD60" s="2"/>
      <c r="AE60" s="2"/>
    </row>
    <row r="61" spans="13:31" x14ac:dyDescent="0.2">
      <c r="M61" s="15"/>
      <c r="N61" s="15"/>
      <c r="O61" s="15"/>
      <c r="P61" s="2"/>
      <c r="Q61" s="15"/>
      <c r="R61" s="15"/>
      <c r="S61" s="15"/>
      <c r="T61" s="2"/>
      <c r="U61" s="15"/>
      <c r="V61" s="15"/>
      <c r="W61" s="15"/>
      <c r="X61" s="2"/>
      <c r="Y61" s="2"/>
      <c r="Z61" s="2"/>
      <c r="AA61" s="2"/>
      <c r="AB61" s="2"/>
      <c r="AC61" s="2"/>
      <c r="AD61" s="2"/>
      <c r="AE61" s="2"/>
    </row>
    <row r="62" spans="13:31" x14ac:dyDescent="0.2">
      <c r="M62" s="2"/>
      <c r="N62" s="2"/>
      <c r="O62" s="2"/>
      <c r="P62" s="2"/>
      <c r="Q62" s="2"/>
      <c r="R62" s="2"/>
      <c r="S62" s="2"/>
      <c r="T62" s="2"/>
      <c r="U62" s="15"/>
      <c r="V62" s="15"/>
      <c r="W62" s="15"/>
      <c r="X62" s="2"/>
      <c r="Y62" s="2"/>
      <c r="Z62" s="2"/>
      <c r="AA62" s="2"/>
      <c r="AB62" s="2"/>
      <c r="AC62" s="2"/>
      <c r="AD62" s="2"/>
      <c r="AE62" s="2"/>
    </row>
    <row r="63" spans="13:31" x14ac:dyDescent="0.2"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</row>
    <row r="64" spans="13:31" x14ac:dyDescent="0.2"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</row>
    <row r="65" spans="13:40" x14ac:dyDescent="0.2">
      <c r="M65" s="5"/>
      <c r="N65" s="5"/>
      <c r="O65" s="3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</row>
    <row r="66" spans="13:40" x14ac:dyDescent="0.2">
      <c r="M66" s="5"/>
      <c r="N66" s="15"/>
      <c r="O66" s="15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</row>
    <row r="72" spans="13:40" x14ac:dyDescent="0.2"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</row>
    <row r="73" spans="13:40" x14ac:dyDescent="0.2">
      <c r="V73" s="5"/>
      <c r="W73" s="15"/>
      <c r="X73" s="15"/>
      <c r="Y73" s="2"/>
      <c r="Z73" s="2"/>
      <c r="AA73" s="2"/>
      <c r="AB73" s="2"/>
      <c r="AC73" s="2"/>
      <c r="AD73" s="15"/>
      <c r="AE73" s="15"/>
      <c r="AF73" s="15"/>
      <c r="AG73" s="2"/>
      <c r="AH73" s="2"/>
      <c r="AI73" s="2"/>
      <c r="AJ73" s="2"/>
      <c r="AK73" s="2"/>
      <c r="AL73" s="2"/>
      <c r="AM73" s="2"/>
      <c r="AN73" s="2"/>
    </row>
    <row r="74" spans="13:40" x14ac:dyDescent="0.2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13:40" x14ac:dyDescent="0.2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13:40" x14ac:dyDescent="0.2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13:40" x14ac:dyDescent="0.2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13:40" x14ac:dyDescent="0.2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13:40" x14ac:dyDescent="0.2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13:40" x14ac:dyDescent="0.2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1:AT100"/>
  <sheetViews>
    <sheetView topLeftCell="I4" zoomScale="85" zoomScaleNormal="85" workbookViewId="0">
      <selection activeCell="Z11" sqref="Z11"/>
    </sheetView>
  </sheetViews>
  <sheetFormatPr defaultColWidth="9.140625" defaultRowHeight="12" x14ac:dyDescent="0.2"/>
  <cols>
    <col min="1" max="16384" width="9.140625" style="1"/>
  </cols>
  <sheetData>
    <row r="1" spans="1:31" ht="15.75" customHeight="1" thickBot="1" x14ac:dyDescent="0.25">
      <c r="A1" s="334" t="s">
        <v>28</v>
      </c>
      <c r="B1" s="334"/>
      <c r="C1" s="334"/>
      <c r="D1" s="334"/>
      <c r="E1" s="334"/>
      <c r="F1" s="334"/>
      <c r="G1" s="334"/>
      <c r="H1" s="334"/>
      <c r="I1" s="334"/>
      <c r="J1" s="334"/>
      <c r="K1" s="2"/>
    </row>
    <row r="2" spans="1:31" ht="12.75" thickTop="1" x14ac:dyDescent="0.2">
      <c r="E2" s="12"/>
    </row>
    <row r="3" spans="1:31" ht="13.5" x14ac:dyDescent="0.25">
      <c r="C3" s="12" t="s">
        <v>29</v>
      </c>
      <c r="E3" s="13" t="s">
        <v>32</v>
      </c>
      <c r="F3" s="13" t="s">
        <v>33</v>
      </c>
      <c r="G3" s="13" t="s">
        <v>34</v>
      </c>
    </row>
    <row r="4" spans="1:31" x14ac:dyDescent="0.2">
      <c r="E4" s="14">
        <f>'C-Trave'!E15</f>
        <v>0</v>
      </c>
      <c r="F4" s="14">
        <f>'C-Trave'!F15</f>
        <v>1.2</v>
      </c>
      <c r="G4" s="14">
        <f>'C-Trave'!G15</f>
        <v>0</v>
      </c>
    </row>
    <row r="6" spans="1:31" ht="13.5" x14ac:dyDescent="0.25">
      <c r="C6" s="12" t="s">
        <v>41</v>
      </c>
      <c r="E6" s="13" t="s">
        <v>35</v>
      </c>
      <c r="F6" s="13" t="s">
        <v>36</v>
      </c>
      <c r="G6" s="13" t="s">
        <v>37</v>
      </c>
    </row>
    <row r="7" spans="1:31" x14ac:dyDescent="0.2">
      <c r="D7" s="1" t="s">
        <v>42</v>
      </c>
      <c r="E7" s="14">
        <f>'C-Trave'!E28</f>
        <v>0</v>
      </c>
      <c r="F7" s="14">
        <f>'C-Trave'!F28</f>
        <v>0</v>
      </c>
      <c r="G7" s="14">
        <f>'C-Trave'!G28</f>
        <v>0</v>
      </c>
    </row>
    <row r="8" spans="1:31" x14ac:dyDescent="0.2">
      <c r="E8" s="14"/>
      <c r="F8" s="14"/>
      <c r="G8" s="14"/>
      <c r="H8" s="15"/>
    </row>
    <row r="9" spans="1:31" ht="12.75" thickBot="1" x14ac:dyDescent="0.25">
      <c r="E9" s="14"/>
      <c r="F9" s="14"/>
      <c r="G9" s="14"/>
      <c r="H9" s="15"/>
    </row>
    <row r="10" spans="1:31" ht="13.5" thickTop="1" thickBot="1" x14ac:dyDescent="0.25">
      <c r="E10" s="14"/>
      <c r="F10" s="14"/>
      <c r="G10" s="14"/>
      <c r="H10" s="15"/>
      <c r="M10" s="54"/>
      <c r="N10" s="55"/>
      <c r="O10" s="55"/>
      <c r="P10" s="19"/>
      <c r="Q10" s="20"/>
      <c r="R10" s="20"/>
      <c r="S10" s="20"/>
      <c r="T10" s="19"/>
      <c r="U10" s="19"/>
      <c r="V10" s="56"/>
      <c r="W10" s="19"/>
      <c r="X10" s="19"/>
      <c r="Y10" s="20" t="s">
        <v>16</v>
      </c>
      <c r="Z10" s="20"/>
      <c r="AA10" s="19"/>
      <c r="AB10" s="19" t="s">
        <v>26</v>
      </c>
      <c r="AC10" s="19"/>
      <c r="AD10" s="19"/>
      <c r="AE10" s="21"/>
    </row>
    <row r="11" spans="1:31" x14ac:dyDescent="0.2">
      <c r="E11" s="14"/>
      <c r="F11" s="14"/>
      <c r="G11" s="14"/>
      <c r="H11" s="15"/>
      <c r="M11" s="49"/>
      <c r="N11" s="5"/>
      <c r="O11" s="5"/>
      <c r="P11" s="2"/>
      <c r="Q11" s="3"/>
      <c r="R11" s="3"/>
      <c r="S11" s="3"/>
      <c r="T11" s="2"/>
      <c r="U11" s="2"/>
      <c r="V11" s="44"/>
      <c r="W11" s="2"/>
      <c r="X11" s="2"/>
      <c r="Y11" s="59">
        <v>0</v>
      </c>
      <c r="Z11" s="60">
        <f>5+MAX('C-car.2'!Z11:Z29)</f>
        <v>24.14</v>
      </c>
      <c r="AA11" s="2"/>
      <c r="AB11" s="67">
        <f>AB49</f>
        <v>0</v>
      </c>
      <c r="AC11" s="68">
        <v>0</v>
      </c>
      <c r="AD11" s="2"/>
      <c r="AE11" s="22"/>
    </row>
    <row r="12" spans="1:31" x14ac:dyDescent="0.2">
      <c r="C12" s="15"/>
      <c r="D12" s="15"/>
      <c r="E12" s="15"/>
      <c r="F12" s="15"/>
      <c r="G12" s="15"/>
      <c r="H12" s="15"/>
      <c r="M12" s="49"/>
      <c r="N12" s="3"/>
      <c r="O12" s="5"/>
      <c r="P12" s="2"/>
      <c r="Q12" s="3"/>
      <c r="R12" s="3"/>
      <c r="S12" s="3"/>
      <c r="T12" s="2"/>
      <c r="U12" s="2"/>
      <c r="V12" s="3"/>
      <c r="W12" s="2"/>
      <c r="X12" s="2"/>
      <c r="Y12" s="65">
        <f>E4</f>
        <v>0</v>
      </c>
      <c r="Z12" s="62">
        <f>Z11</f>
        <v>24.14</v>
      </c>
      <c r="AA12" s="2"/>
      <c r="AB12" s="61">
        <f>AB11</f>
        <v>0</v>
      </c>
      <c r="AC12" s="87">
        <f>V44</f>
        <v>0</v>
      </c>
      <c r="AD12" s="2"/>
      <c r="AE12" s="22"/>
    </row>
    <row r="13" spans="1:31" x14ac:dyDescent="0.2">
      <c r="C13" s="15"/>
      <c r="D13" s="15"/>
      <c r="E13" s="15"/>
      <c r="F13" s="15"/>
      <c r="G13" s="15"/>
      <c r="H13" s="15"/>
      <c r="M13" s="23"/>
      <c r="N13" s="3"/>
      <c r="O13" s="3"/>
      <c r="P13" s="3"/>
      <c r="Q13" s="3"/>
      <c r="R13" s="3"/>
      <c r="S13" s="3"/>
      <c r="T13" s="3"/>
      <c r="U13" s="3"/>
      <c r="V13" s="3"/>
      <c r="W13" s="2"/>
      <c r="X13" s="2"/>
      <c r="Y13" s="65">
        <f>Y12</f>
        <v>0</v>
      </c>
      <c r="Z13" s="62">
        <f>Z12+E7</f>
        <v>24.14</v>
      </c>
      <c r="AA13" s="2"/>
      <c r="AB13" s="61">
        <f>AB50</f>
        <v>1.2</v>
      </c>
      <c r="AC13" s="87">
        <v>0</v>
      </c>
      <c r="AD13" s="2"/>
      <c r="AE13" s="22"/>
    </row>
    <row r="14" spans="1:31" ht="12.75" thickBot="1" x14ac:dyDescent="0.25">
      <c r="C14" s="15"/>
      <c r="D14" s="15"/>
      <c r="E14" s="15"/>
      <c r="F14" s="15"/>
      <c r="G14" s="15"/>
      <c r="H14" s="15"/>
      <c r="M14" s="23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65">
        <v>0</v>
      </c>
      <c r="Z14" s="62">
        <f>Z13</f>
        <v>24.14</v>
      </c>
      <c r="AA14" s="2"/>
      <c r="AB14" s="63">
        <f>AB13</f>
        <v>1.2</v>
      </c>
      <c r="AC14" s="69">
        <f>V53</f>
        <v>0</v>
      </c>
      <c r="AD14" s="2"/>
      <c r="AE14" s="22"/>
    </row>
    <row r="15" spans="1:31" ht="15" customHeight="1" thickBot="1" x14ac:dyDescent="0.25">
      <c r="A15" s="345" t="s">
        <v>31</v>
      </c>
      <c r="B15" s="345"/>
      <c r="C15" s="345"/>
      <c r="D15" s="345"/>
      <c r="E15" s="345"/>
      <c r="F15" s="345"/>
      <c r="G15" s="345"/>
      <c r="H15" s="345"/>
      <c r="I15" s="345"/>
      <c r="J15" s="345"/>
      <c r="M15" s="24"/>
      <c r="N15" s="11"/>
      <c r="O15" s="2"/>
      <c r="P15" s="59" t="s">
        <v>12</v>
      </c>
      <c r="Q15" s="68">
        <f>E7*E4^2/2</f>
        <v>0</v>
      </c>
      <c r="R15" s="2"/>
      <c r="S15" s="3"/>
      <c r="T15" s="3"/>
      <c r="U15" s="3"/>
      <c r="V15" s="2"/>
      <c r="W15" s="2"/>
      <c r="X15" s="2"/>
      <c r="Y15" s="66">
        <v>0</v>
      </c>
      <c r="Z15" s="64">
        <f>Z11</f>
        <v>24.14</v>
      </c>
      <c r="AA15" s="2"/>
      <c r="AB15" s="11"/>
      <c r="AC15" s="11"/>
      <c r="AD15" s="2"/>
      <c r="AE15" s="22"/>
    </row>
    <row r="16" spans="1:31" ht="12.75" thickBot="1" x14ac:dyDescent="0.25">
      <c r="M16" s="24"/>
      <c r="N16" s="11"/>
      <c r="O16" s="2"/>
      <c r="P16" s="66" t="s">
        <v>7</v>
      </c>
      <c r="Q16" s="69">
        <f>G7*G4^2/2</f>
        <v>0</v>
      </c>
      <c r="R16" s="2"/>
      <c r="S16" s="44"/>
      <c r="T16" s="44"/>
      <c r="U16" s="44"/>
      <c r="V16" s="2"/>
      <c r="W16" s="2"/>
      <c r="X16" s="2"/>
      <c r="Y16" s="2"/>
      <c r="Z16" s="2"/>
      <c r="AA16" s="2"/>
      <c r="AB16" s="11"/>
      <c r="AC16" s="11"/>
      <c r="AD16" s="2"/>
      <c r="AE16" s="22"/>
    </row>
    <row r="17" spans="1:46" s="46" customFormat="1" ht="14.25" thickBot="1" x14ac:dyDescent="0.3">
      <c r="D17" s="17" t="s">
        <v>30</v>
      </c>
      <c r="E17" s="16" t="s">
        <v>38</v>
      </c>
      <c r="F17" s="16" t="s">
        <v>39</v>
      </c>
      <c r="G17" s="16" t="s">
        <v>40</v>
      </c>
      <c r="H17" s="3"/>
      <c r="I17" s="3"/>
      <c r="K17" s="18"/>
      <c r="M17" s="24"/>
      <c r="N17" s="3"/>
      <c r="O17" s="2"/>
      <c r="P17" s="2"/>
      <c r="Q17" s="2"/>
      <c r="R17" s="2"/>
      <c r="S17" s="2"/>
      <c r="T17" s="2"/>
      <c r="U17" s="2"/>
      <c r="V17" s="2"/>
      <c r="W17" s="2"/>
      <c r="X17" s="2"/>
      <c r="Y17" s="3" t="s">
        <v>17</v>
      </c>
      <c r="Z17" s="3"/>
      <c r="AA17" s="2"/>
      <c r="AB17" s="11"/>
      <c r="AC17" s="11"/>
      <c r="AD17" s="2"/>
      <c r="AE17" s="22"/>
      <c r="AO17" s="1"/>
      <c r="AP17" s="1"/>
      <c r="AQ17" s="1"/>
      <c r="AR17" s="1"/>
      <c r="AS17" s="1"/>
      <c r="AT17" s="1"/>
    </row>
    <row r="18" spans="1:46" s="46" customFormat="1" x14ac:dyDescent="0.2">
      <c r="E18" s="16">
        <f>'C-Trave'!E77</f>
        <v>1</v>
      </c>
      <c r="F18" s="16">
        <f>'C-Trave'!F77</f>
        <v>9.9999999999999995E-8</v>
      </c>
      <c r="G18" s="16">
        <f>'C-Trave'!G77</f>
        <v>9.9999999999999995E-8</v>
      </c>
      <c r="H18" s="3"/>
      <c r="I18" s="3"/>
      <c r="M18" s="24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59">
        <f>E4</f>
        <v>0</v>
      </c>
      <c r="Z18" s="60">
        <f>Z11</f>
        <v>24.14</v>
      </c>
      <c r="AA18" s="2"/>
      <c r="AB18" s="11"/>
      <c r="AC18" s="11"/>
      <c r="AD18" s="2"/>
      <c r="AE18" s="22"/>
      <c r="AO18" s="1"/>
      <c r="AP18" s="1"/>
      <c r="AQ18" s="1"/>
      <c r="AR18" s="1"/>
      <c r="AS18" s="1"/>
      <c r="AT18" s="1"/>
    </row>
    <row r="19" spans="1:46" s="46" customFormat="1" x14ac:dyDescent="0.2">
      <c r="M19" s="23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61">
        <f>AB50</f>
        <v>1.2</v>
      </c>
      <c r="Z19" s="62">
        <f>Z18</f>
        <v>24.14</v>
      </c>
      <c r="AA19" s="2"/>
      <c r="AB19" s="11"/>
      <c r="AC19" s="11"/>
      <c r="AD19" s="2"/>
      <c r="AE19" s="22"/>
      <c r="AO19" s="1"/>
      <c r="AP19" s="1"/>
      <c r="AQ19" s="1"/>
      <c r="AR19" s="1"/>
      <c r="AS19" s="1"/>
      <c r="AT19" s="1"/>
    </row>
    <row r="20" spans="1:46" s="46" customFormat="1" ht="12.75" thickBot="1" x14ac:dyDescent="0.25">
      <c r="A20" s="17"/>
      <c r="B20" s="3"/>
      <c r="C20" s="3"/>
      <c r="D20" s="3"/>
      <c r="F20" s="45"/>
      <c r="G20" s="3"/>
      <c r="H20" s="3"/>
      <c r="I20" s="3"/>
      <c r="M20" s="24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61">
        <f>Y19</f>
        <v>1.2</v>
      </c>
      <c r="Z20" s="62">
        <f>Z19+F7</f>
        <v>24.14</v>
      </c>
      <c r="AA20" s="3"/>
      <c r="AB20" s="11"/>
      <c r="AC20" s="11"/>
      <c r="AD20" s="2"/>
      <c r="AE20" s="22"/>
    </row>
    <row r="21" spans="1:46" s="46" customFormat="1" x14ac:dyDescent="0.2">
      <c r="A21" s="1"/>
      <c r="B21" s="3"/>
      <c r="C21" s="3"/>
      <c r="D21" s="3"/>
      <c r="F21" s="3"/>
      <c r="G21" s="3"/>
      <c r="H21" s="3"/>
      <c r="I21" s="3"/>
      <c r="M21" s="98" t="s">
        <v>8</v>
      </c>
      <c r="N21" s="70" t="s">
        <v>9</v>
      </c>
      <c r="O21" s="70" t="s">
        <v>10</v>
      </c>
      <c r="P21" s="70" t="s">
        <v>11</v>
      </c>
      <c r="Q21" s="3"/>
      <c r="R21" s="3"/>
      <c r="S21" s="3"/>
      <c r="T21" s="3"/>
      <c r="U21" s="3"/>
      <c r="V21" s="3"/>
      <c r="W21" s="3"/>
      <c r="X21" s="3"/>
      <c r="Y21" s="65">
        <f>Y18</f>
        <v>0</v>
      </c>
      <c r="Z21" s="62">
        <f>Z20</f>
        <v>24.14</v>
      </c>
      <c r="AA21" s="3"/>
      <c r="AB21" s="11"/>
      <c r="AC21" s="11"/>
      <c r="AD21" s="2"/>
      <c r="AE21" s="22"/>
    </row>
    <row r="22" spans="1:46" ht="12.75" thickBot="1" x14ac:dyDescent="0.25">
      <c r="M22" s="99">
        <f>E7*E4</f>
        <v>0</v>
      </c>
      <c r="N22" s="71">
        <f>F7*F4-O22</f>
        <v>0</v>
      </c>
      <c r="O22" s="71">
        <f>(F7*F4^2/2+Q16-Q15)/F4</f>
        <v>0</v>
      </c>
      <c r="P22" s="71">
        <f>G7*G4</f>
        <v>0</v>
      </c>
      <c r="Q22" s="11"/>
      <c r="R22" s="11"/>
      <c r="S22" s="11"/>
      <c r="T22" s="11"/>
      <c r="U22" s="11"/>
      <c r="V22" s="11"/>
      <c r="W22" s="3"/>
      <c r="X22" s="3"/>
      <c r="Y22" s="66">
        <f>Y18</f>
        <v>0</v>
      </c>
      <c r="Z22" s="64">
        <f>Z18</f>
        <v>24.14</v>
      </c>
      <c r="AA22" s="3"/>
      <c r="AB22" s="11"/>
      <c r="AC22" s="11"/>
      <c r="AD22" s="2"/>
      <c r="AE22" s="22"/>
    </row>
    <row r="23" spans="1:46" x14ac:dyDescent="0.2">
      <c r="M23" s="24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2"/>
      <c r="Z23" s="2"/>
      <c r="AA23" s="3"/>
      <c r="AB23" s="3"/>
      <c r="AC23" s="3"/>
      <c r="AD23" s="3"/>
      <c r="AE23" s="25"/>
    </row>
    <row r="24" spans="1:46" ht="12.75" thickBot="1" x14ac:dyDescent="0.25">
      <c r="M24" s="24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 t="s">
        <v>18</v>
      </c>
      <c r="Z24" s="3"/>
      <c r="AA24" s="3"/>
      <c r="AB24" s="3"/>
      <c r="AC24" s="3"/>
      <c r="AD24" s="3"/>
      <c r="AE24" s="25"/>
    </row>
    <row r="25" spans="1:46" ht="12.75" thickBot="1" x14ac:dyDescent="0.25">
      <c r="M25" s="23"/>
      <c r="N25" s="2"/>
      <c r="O25" s="59" t="s">
        <v>0</v>
      </c>
      <c r="P25" s="60" t="s">
        <v>1</v>
      </c>
      <c r="Q25" s="3"/>
      <c r="R25" s="3"/>
      <c r="S25" s="3"/>
      <c r="T25" s="2"/>
      <c r="U25" s="2"/>
      <c r="V25" s="2"/>
      <c r="W25" s="2"/>
      <c r="X25" s="2"/>
      <c r="Y25" s="67">
        <f>AB50</f>
        <v>1.2</v>
      </c>
      <c r="Z25" s="60">
        <f>Z11</f>
        <v>24.14</v>
      </c>
      <c r="AA25" s="2"/>
      <c r="AB25" s="2" t="s">
        <v>21</v>
      </c>
      <c r="AC25" s="2"/>
      <c r="AD25" s="2"/>
      <c r="AE25" s="22"/>
    </row>
    <row r="26" spans="1:46" ht="12.75" thickBot="1" x14ac:dyDescent="0.25">
      <c r="M26" s="23"/>
      <c r="N26" s="2"/>
      <c r="O26" s="63">
        <f>M22+N22</f>
        <v>0</v>
      </c>
      <c r="P26" s="69">
        <f>O22+P22</f>
        <v>0</v>
      </c>
      <c r="Q26" s="11"/>
      <c r="R26" s="11"/>
      <c r="S26" s="11"/>
      <c r="T26" s="2"/>
      <c r="U26" s="2"/>
      <c r="V26" s="2"/>
      <c r="W26" s="2"/>
      <c r="X26" s="2"/>
      <c r="Y26" s="61">
        <f>AB51</f>
        <v>1.2</v>
      </c>
      <c r="Z26" s="62">
        <f>Z25</f>
        <v>24.14</v>
      </c>
      <c r="AA26" s="2"/>
      <c r="AB26" s="59" t="s">
        <v>22</v>
      </c>
      <c r="AC26" s="94" t="s">
        <v>25</v>
      </c>
      <c r="AD26" s="94" t="s">
        <v>2</v>
      </c>
      <c r="AE26" s="100" t="s">
        <v>24</v>
      </c>
    </row>
    <row r="27" spans="1:46" ht="12.75" thickBot="1" x14ac:dyDescent="0.25">
      <c r="M27" s="23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61">
        <f>Y26</f>
        <v>1.2</v>
      </c>
      <c r="Z27" s="62">
        <f>Z26+G7</f>
        <v>24.14</v>
      </c>
      <c r="AA27" s="2"/>
      <c r="AB27" s="95" t="s">
        <v>23</v>
      </c>
      <c r="AC27" s="88" t="e">
        <f>N22/F7</f>
        <v>#DIV/0!</v>
      </c>
      <c r="AD27" s="88" t="e">
        <f>E4+AC27</f>
        <v>#DIV/0!</v>
      </c>
      <c r="AE27" s="101" t="e">
        <f>N22*AC27-F7*AC27^2/2-Q15</f>
        <v>#DIV/0!</v>
      </c>
    </row>
    <row r="28" spans="1:46" x14ac:dyDescent="0.2">
      <c r="M28" s="23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61">
        <f>Y25</f>
        <v>1.2</v>
      </c>
      <c r="Z28" s="62">
        <f>Z27</f>
        <v>24.14</v>
      </c>
      <c r="AA28" s="2"/>
      <c r="AB28" s="48"/>
      <c r="AC28" s="11"/>
      <c r="AD28" s="11"/>
      <c r="AE28" s="50"/>
    </row>
    <row r="29" spans="1:46" s="46" customFormat="1" ht="12.75" thickBot="1" x14ac:dyDescent="0.25">
      <c r="M29" s="23" t="s">
        <v>19</v>
      </c>
      <c r="N29" s="2"/>
      <c r="O29" s="2"/>
      <c r="P29" s="2" t="s">
        <v>20</v>
      </c>
      <c r="Q29" s="2"/>
      <c r="R29" s="2"/>
      <c r="S29" s="2"/>
      <c r="T29" s="2"/>
      <c r="U29" s="2"/>
      <c r="V29" s="2"/>
      <c r="W29" s="2"/>
      <c r="X29" s="2"/>
      <c r="Y29" s="63">
        <f>Y25</f>
        <v>1.2</v>
      </c>
      <c r="Z29" s="64">
        <f>Z25</f>
        <v>24.14</v>
      </c>
      <c r="AA29" s="2"/>
      <c r="AB29" s="48"/>
      <c r="AC29" s="11"/>
      <c r="AD29" s="11"/>
      <c r="AE29" s="50"/>
    </row>
    <row r="30" spans="1:46" s="46" customFormat="1" x14ac:dyDescent="0.2">
      <c r="M30" s="102">
        <f>AB49</f>
        <v>0</v>
      </c>
      <c r="N30" s="73">
        <v>0</v>
      </c>
      <c r="O30" s="2"/>
      <c r="P30" s="72">
        <f>AB50</f>
        <v>1.2</v>
      </c>
      <c r="Q30" s="73">
        <v>0</v>
      </c>
      <c r="R30" s="2"/>
      <c r="S30" s="47"/>
      <c r="T30" s="2"/>
      <c r="U30" s="2"/>
      <c r="V30" s="2"/>
      <c r="W30" s="2"/>
      <c r="X30" s="2"/>
      <c r="Y30" s="3"/>
      <c r="Z30" s="3"/>
      <c r="AA30" s="2"/>
      <c r="AB30" s="48"/>
      <c r="AC30" s="11"/>
      <c r="AD30" s="11"/>
      <c r="AE30" s="50"/>
    </row>
    <row r="31" spans="1:46" ht="12.75" thickBot="1" x14ac:dyDescent="0.25">
      <c r="M31" s="103">
        <f>M30</f>
        <v>0</v>
      </c>
      <c r="N31" s="75">
        <f>O26</f>
        <v>0</v>
      </c>
      <c r="O31" s="2"/>
      <c r="P31" s="74">
        <f>P30</f>
        <v>1.2</v>
      </c>
      <c r="Q31" s="75">
        <f>P26</f>
        <v>0</v>
      </c>
      <c r="R31" s="2"/>
      <c r="S31" s="47"/>
      <c r="T31" s="47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2"/>
    </row>
    <row r="32" spans="1:46" x14ac:dyDescent="0.2">
      <c r="M32" s="24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2"/>
      <c r="Z32" s="2"/>
      <c r="AA32" s="3"/>
      <c r="AB32" s="3"/>
      <c r="AC32" s="3"/>
      <c r="AD32" s="3"/>
      <c r="AE32" s="25"/>
    </row>
    <row r="33" spans="13:31" ht="12.75" thickBot="1" x14ac:dyDescent="0.25">
      <c r="M33" s="23"/>
      <c r="N33" s="2"/>
      <c r="O33" s="3"/>
      <c r="P33" s="2"/>
      <c r="Q33" s="2"/>
      <c r="R33" s="3"/>
      <c r="S33" s="3"/>
      <c r="T33" s="3"/>
      <c r="U33" s="3"/>
      <c r="V33" s="3"/>
      <c r="W33" s="3"/>
      <c r="X33" s="3"/>
      <c r="Y33" s="2"/>
      <c r="Z33" s="2"/>
      <c r="AA33" s="3"/>
      <c r="AB33" s="2" t="s">
        <v>27</v>
      </c>
      <c r="AC33" s="2"/>
      <c r="AD33" s="3"/>
      <c r="AE33" s="25"/>
    </row>
    <row r="34" spans="13:31" x14ac:dyDescent="0.2">
      <c r="M34" s="57"/>
      <c r="N34" s="2"/>
      <c r="O34" s="2"/>
      <c r="P34" s="47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67" t="e">
        <f>AD27</f>
        <v>#DIV/0!</v>
      </c>
      <c r="AC34" s="60">
        <v>0</v>
      </c>
      <c r="AD34" s="2"/>
      <c r="AE34" s="22"/>
    </row>
    <row r="35" spans="13:31" ht="12.75" thickBot="1" x14ac:dyDescent="0.25">
      <c r="M35" s="57"/>
      <c r="N35" s="47"/>
      <c r="O35" s="2"/>
      <c r="P35" s="47"/>
      <c r="Q35" s="47"/>
      <c r="R35" s="2"/>
      <c r="S35" s="2"/>
      <c r="T35" s="2"/>
      <c r="U35" s="2"/>
      <c r="V35" s="2"/>
      <c r="W35" s="2"/>
      <c r="X35" s="2"/>
      <c r="Y35" s="2"/>
      <c r="Z35" s="2"/>
      <c r="AA35" s="2"/>
      <c r="AB35" s="63" t="e">
        <f>AB34</f>
        <v>#DIV/0!</v>
      </c>
      <c r="AC35" s="69" t="e">
        <f>AE27</f>
        <v>#DIV/0!</v>
      </c>
      <c r="AD35" s="2"/>
      <c r="AE35" s="22"/>
    </row>
    <row r="36" spans="13:31" x14ac:dyDescent="0.2">
      <c r="M36" s="23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11"/>
      <c r="AC36" s="3"/>
      <c r="AD36" s="2"/>
      <c r="AE36" s="22"/>
    </row>
    <row r="37" spans="13:31" x14ac:dyDescent="0.2">
      <c r="M37" s="23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11"/>
      <c r="AC37" s="11"/>
      <c r="AD37" s="2"/>
      <c r="AE37" s="22"/>
    </row>
    <row r="38" spans="13:31" x14ac:dyDescent="0.2">
      <c r="M38" s="23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11"/>
      <c r="AC38" s="3"/>
      <c r="AD38" s="2"/>
      <c r="AE38" s="22"/>
    </row>
    <row r="39" spans="13:31" ht="12.75" thickBot="1" x14ac:dyDescent="0.25">
      <c r="M39" s="23" t="s">
        <v>13</v>
      </c>
      <c r="N39" s="2"/>
      <c r="O39" s="2"/>
      <c r="P39" s="2"/>
      <c r="Q39" s="2" t="s">
        <v>69</v>
      </c>
      <c r="R39" s="2"/>
      <c r="S39" s="2"/>
      <c r="T39" s="2"/>
      <c r="U39" s="2" t="s">
        <v>15</v>
      </c>
      <c r="V39" s="2"/>
      <c r="W39" s="2"/>
      <c r="X39" s="2"/>
      <c r="Y39" s="2"/>
      <c r="Z39" s="2"/>
      <c r="AA39" s="2"/>
      <c r="AB39" s="11"/>
      <c r="AC39" s="11"/>
      <c r="AD39" s="2"/>
      <c r="AE39" s="22"/>
    </row>
    <row r="40" spans="13:31" x14ac:dyDescent="0.2">
      <c r="M40" s="104" t="s">
        <v>2</v>
      </c>
      <c r="N40" s="76" t="s">
        <v>3</v>
      </c>
      <c r="O40" s="77" t="s">
        <v>4</v>
      </c>
      <c r="P40" s="2"/>
      <c r="Q40" s="83" t="s">
        <v>2</v>
      </c>
      <c r="R40" s="84" t="s">
        <v>3</v>
      </c>
      <c r="S40" s="60" t="s">
        <v>4</v>
      </c>
      <c r="T40" s="2"/>
      <c r="U40" s="89" t="s">
        <v>2</v>
      </c>
      <c r="V40" s="90" t="s">
        <v>3</v>
      </c>
      <c r="W40" s="91" t="s">
        <v>4</v>
      </c>
      <c r="X40" s="2"/>
      <c r="Y40" s="2"/>
      <c r="Z40" s="2"/>
      <c r="AA40" s="2"/>
      <c r="AB40" s="11"/>
      <c r="AC40" s="3"/>
      <c r="AD40" s="2"/>
      <c r="AE40" s="22"/>
    </row>
    <row r="41" spans="13:31" x14ac:dyDescent="0.2">
      <c r="M41" s="26">
        <v>0</v>
      </c>
      <c r="N41" s="7">
        <f>-$E$7*M41^2/2</f>
        <v>0</v>
      </c>
      <c r="O41" s="79">
        <f>-$E$7*M41</f>
        <v>0</v>
      </c>
      <c r="P41" s="2"/>
      <c r="Q41" s="61">
        <v>0</v>
      </c>
      <c r="R41" s="8">
        <f>-$Q$16-$G$7*Q41^2/2+$P$22*Q41</f>
        <v>0</v>
      </c>
      <c r="S41" s="87">
        <f>$P$22-$G$7*Q41</f>
        <v>0</v>
      </c>
      <c r="T41" s="2"/>
      <c r="U41" s="78">
        <f t="shared" ref="U41:W44" si="0">M41</f>
        <v>0</v>
      </c>
      <c r="V41" s="7">
        <f>N41</f>
        <v>0</v>
      </c>
      <c r="W41" s="79">
        <f>O41</f>
        <v>0</v>
      </c>
      <c r="X41" s="2"/>
      <c r="Y41" s="2"/>
      <c r="Z41" s="2"/>
      <c r="AA41" s="2"/>
      <c r="AB41" s="11"/>
      <c r="AC41" s="11"/>
      <c r="AD41" s="2"/>
      <c r="AE41" s="22"/>
    </row>
    <row r="42" spans="13:31" x14ac:dyDescent="0.2">
      <c r="M42" s="26">
        <f>$E$4/3</f>
        <v>0</v>
      </c>
      <c r="N42" s="7">
        <f>-$E$7*M42^2/2</f>
        <v>0</v>
      </c>
      <c r="O42" s="79">
        <f>-$E$7*M42</f>
        <v>0</v>
      </c>
      <c r="P42" s="2"/>
      <c r="Q42" s="61">
        <f>$G$4/3</f>
        <v>0</v>
      </c>
      <c r="R42" s="8">
        <f>-$Q$16-$G$7*Q42^2/2+$P$22*Q42</f>
        <v>0</v>
      </c>
      <c r="S42" s="87">
        <f t="shared" ref="S42:S44" si="1">$P$22-$G$7*Q42</f>
        <v>0</v>
      </c>
      <c r="T42" s="2"/>
      <c r="U42" s="78">
        <f t="shared" si="0"/>
        <v>0</v>
      </c>
      <c r="V42" s="7">
        <f t="shared" si="0"/>
        <v>0</v>
      </c>
      <c r="W42" s="79">
        <f t="shared" si="0"/>
        <v>0</v>
      </c>
      <c r="X42" s="2"/>
      <c r="Y42" s="2"/>
      <c r="Z42" s="2"/>
      <c r="AA42" s="2"/>
      <c r="AB42" s="2"/>
      <c r="AC42" s="2"/>
      <c r="AD42" s="2"/>
      <c r="AE42" s="22"/>
    </row>
    <row r="43" spans="13:31" x14ac:dyDescent="0.2">
      <c r="M43" s="26">
        <f>2*$E$4/3</f>
        <v>0</v>
      </c>
      <c r="N43" s="7">
        <f>-$E$7*M43^2/2</f>
        <v>0</v>
      </c>
      <c r="O43" s="79">
        <f>-$E$7*M43</f>
        <v>0</v>
      </c>
      <c r="P43" s="2"/>
      <c r="Q43" s="61">
        <f>2*$G$4/3</f>
        <v>0</v>
      </c>
      <c r="R43" s="8">
        <f>-$Q$16-$G$7*Q43^2/2+$P$22*Q43</f>
        <v>0</v>
      </c>
      <c r="S43" s="87">
        <f t="shared" si="1"/>
        <v>0</v>
      </c>
      <c r="T43" s="2"/>
      <c r="U43" s="78">
        <f t="shared" si="0"/>
        <v>0</v>
      </c>
      <c r="V43" s="7">
        <f t="shared" si="0"/>
        <v>0</v>
      </c>
      <c r="W43" s="79">
        <f t="shared" si="0"/>
        <v>0</v>
      </c>
      <c r="X43" s="2"/>
      <c r="Y43" s="2"/>
      <c r="Z43" s="2"/>
      <c r="AA43" s="2"/>
      <c r="AB43" s="2"/>
      <c r="AC43" s="2"/>
      <c r="AD43" s="2"/>
      <c r="AE43" s="22"/>
    </row>
    <row r="44" spans="13:31" ht="12.75" thickBot="1" x14ac:dyDescent="0.25">
      <c r="M44" s="105">
        <f>3*$E$4/3</f>
        <v>0</v>
      </c>
      <c r="N44" s="80">
        <f>-$E$7*M44^2/2</f>
        <v>0</v>
      </c>
      <c r="O44" s="81">
        <f>-$E$7*M44</f>
        <v>0</v>
      </c>
      <c r="P44" s="2"/>
      <c r="Q44" s="63">
        <f>3*$G$4/3</f>
        <v>0</v>
      </c>
      <c r="R44" s="88">
        <f>-$Q$16-$G$7*Q44^2/2+$P$22*Q44</f>
        <v>0</v>
      </c>
      <c r="S44" s="69">
        <f t="shared" si="1"/>
        <v>0</v>
      </c>
      <c r="T44" s="2"/>
      <c r="U44" s="78">
        <f t="shared" si="0"/>
        <v>0</v>
      </c>
      <c r="V44" s="7">
        <f t="shared" si="0"/>
        <v>0</v>
      </c>
      <c r="W44" s="79">
        <f t="shared" si="0"/>
        <v>0</v>
      </c>
      <c r="X44" s="2"/>
      <c r="Y44" s="2"/>
      <c r="Z44" s="2"/>
      <c r="AA44" s="2"/>
      <c r="AB44" s="2"/>
      <c r="AC44" s="2"/>
      <c r="AD44" s="2"/>
      <c r="AE44" s="22"/>
    </row>
    <row r="45" spans="13:31" x14ac:dyDescent="0.2">
      <c r="M45" s="24"/>
      <c r="N45" s="3"/>
      <c r="O45" s="3"/>
      <c r="P45" s="2"/>
      <c r="Q45" s="2"/>
      <c r="R45" s="2"/>
      <c r="S45" s="2"/>
      <c r="T45" s="2"/>
      <c r="U45" s="85">
        <f t="shared" ref="U45:U53" si="2">$U$44+M49</f>
        <v>0</v>
      </c>
      <c r="V45" s="10">
        <f>N49</f>
        <v>0</v>
      </c>
      <c r="W45" s="86">
        <f>O49</f>
        <v>0</v>
      </c>
      <c r="X45" s="2"/>
      <c r="Y45" s="2"/>
      <c r="Z45" s="2"/>
      <c r="AA45" s="2"/>
      <c r="AB45" s="2"/>
      <c r="AC45" s="2"/>
      <c r="AD45" s="2"/>
      <c r="AE45" s="22"/>
    </row>
    <row r="46" spans="13:31" ht="12.75" thickBot="1" x14ac:dyDescent="0.25">
      <c r="M46" s="24"/>
      <c r="N46" s="3"/>
      <c r="O46" s="3"/>
      <c r="P46" s="2"/>
      <c r="Q46" s="2"/>
      <c r="R46" s="2"/>
      <c r="S46" s="2"/>
      <c r="T46" s="3"/>
      <c r="U46" s="85">
        <f t="shared" si="2"/>
        <v>0.15</v>
      </c>
      <c r="V46" s="10">
        <f t="shared" ref="V46:W53" si="3">N50</f>
        <v>0</v>
      </c>
      <c r="W46" s="86">
        <f t="shared" si="3"/>
        <v>0</v>
      </c>
      <c r="X46" s="2"/>
      <c r="Y46" s="2"/>
      <c r="Z46" s="2"/>
      <c r="AA46" s="2"/>
      <c r="AB46" s="2" t="s">
        <v>6</v>
      </c>
      <c r="AC46" s="2"/>
      <c r="AD46" s="2"/>
      <c r="AE46" s="22"/>
    </row>
    <row r="47" spans="13:31" ht="12.75" thickBot="1" x14ac:dyDescent="0.25">
      <c r="M47" s="23" t="s">
        <v>14</v>
      </c>
      <c r="N47" s="2"/>
      <c r="O47" s="2"/>
      <c r="P47" s="2"/>
      <c r="Q47" s="2"/>
      <c r="R47" s="2"/>
      <c r="S47" s="2"/>
      <c r="T47" s="3"/>
      <c r="U47" s="85">
        <f t="shared" si="2"/>
        <v>0.3</v>
      </c>
      <c r="V47" s="10">
        <f t="shared" si="3"/>
        <v>0</v>
      </c>
      <c r="W47" s="86">
        <f t="shared" si="3"/>
        <v>0</v>
      </c>
      <c r="X47" s="2"/>
      <c r="Y47" s="2"/>
      <c r="Z47" s="2"/>
      <c r="AA47" s="2"/>
      <c r="AB47" s="59" t="s">
        <v>2</v>
      </c>
      <c r="AC47" s="60" t="s">
        <v>5</v>
      </c>
      <c r="AD47" s="2"/>
      <c r="AE47" s="22"/>
    </row>
    <row r="48" spans="13:31" x14ac:dyDescent="0.2">
      <c r="M48" s="106" t="s">
        <v>2</v>
      </c>
      <c r="N48" s="84" t="s">
        <v>3</v>
      </c>
      <c r="O48" s="60" t="s">
        <v>4</v>
      </c>
      <c r="P48" s="2"/>
      <c r="Q48" s="2"/>
      <c r="R48" s="2"/>
      <c r="S48" s="2"/>
      <c r="T48" s="2"/>
      <c r="U48" s="85">
        <f t="shared" si="2"/>
        <v>0.44999999999999996</v>
      </c>
      <c r="V48" s="10">
        <f t="shared" si="3"/>
        <v>0</v>
      </c>
      <c r="W48" s="86">
        <f t="shared" si="3"/>
        <v>0</v>
      </c>
      <c r="X48" s="2"/>
      <c r="Y48" s="2"/>
      <c r="Z48" s="2"/>
      <c r="AA48" s="2"/>
      <c r="AB48" s="61">
        <v>0</v>
      </c>
      <c r="AC48" s="62">
        <v>0</v>
      </c>
      <c r="AD48" s="2"/>
      <c r="AE48" s="22"/>
    </row>
    <row r="49" spans="13:31" x14ac:dyDescent="0.2">
      <c r="M49" s="107">
        <v>0</v>
      </c>
      <c r="N49" s="10">
        <f t="shared" ref="N49:N57" si="4">-$Q$15-$F$7*M49^2/2+$N$22*M49</f>
        <v>0</v>
      </c>
      <c r="O49" s="86">
        <f t="shared" ref="O49:O57" si="5">-$F$7*M49+$N$22</f>
        <v>0</v>
      </c>
      <c r="P49" s="2"/>
      <c r="Q49" s="2"/>
      <c r="R49" s="2"/>
      <c r="S49" s="2"/>
      <c r="T49" s="2"/>
      <c r="U49" s="85">
        <f t="shared" si="2"/>
        <v>0.6</v>
      </c>
      <c r="V49" s="10">
        <f t="shared" si="3"/>
        <v>0</v>
      </c>
      <c r="W49" s="86">
        <f t="shared" si="3"/>
        <v>0</v>
      </c>
      <c r="X49" s="2"/>
      <c r="Y49" s="2"/>
      <c r="Z49" s="2"/>
      <c r="AA49" s="2"/>
      <c r="AB49" s="61">
        <f>E4</f>
        <v>0</v>
      </c>
      <c r="AC49" s="62">
        <v>0</v>
      </c>
      <c r="AD49" s="2"/>
      <c r="AE49" s="22"/>
    </row>
    <row r="50" spans="13:31" x14ac:dyDescent="0.2">
      <c r="M50" s="107">
        <f>$F$4/8</f>
        <v>0.15</v>
      </c>
      <c r="N50" s="10">
        <f t="shared" si="4"/>
        <v>0</v>
      </c>
      <c r="O50" s="86">
        <f t="shared" si="5"/>
        <v>0</v>
      </c>
      <c r="P50" s="2"/>
      <c r="Q50" s="2"/>
      <c r="R50" s="2"/>
      <c r="S50" s="2"/>
      <c r="T50" s="2"/>
      <c r="U50" s="85">
        <f t="shared" si="2"/>
        <v>0.75</v>
      </c>
      <c r="V50" s="10">
        <f t="shared" si="3"/>
        <v>0</v>
      </c>
      <c r="W50" s="86">
        <f t="shared" si="3"/>
        <v>0</v>
      </c>
      <c r="X50" s="2"/>
      <c r="Y50" s="2"/>
      <c r="Z50" s="2"/>
      <c r="AA50" s="2"/>
      <c r="AB50" s="61">
        <f>AB49+F4</f>
        <v>1.2</v>
      </c>
      <c r="AC50" s="62">
        <v>0</v>
      </c>
      <c r="AD50" s="2"/>
      <c r="AE50" s="22"/>
    </row>
    <row r="51" spans="13:31" ht="12.75" thickBot="1" x14ac:dyDescent="0.25">
      <c r="M51" s="107">
        <f>2*$F$4/8</f>
        <v>0.3</v>
      </c>
      <c r="N51" s="10">
        <f t="shared" si="4"/>
        <v>0</v>
      </c>
      <c r="O51" s="86">
        <f t="shared" si="5"/>
        <v>0</v>
      </c>
      <c r="P51" s="2"/>
      <c r="Q51" s="2"/>
      <c r="R51" s="2"/>
      <c r="S51" s="2"/>
      <c r="T51" s="2"/>
      <c r="U51" s="85">
        <f t="shared" si="2"/>
        <v>0.89999999999999991</v>
      </c>
      <c r="V51" s="10">
        <f t="shared" si="3"/>
        <v>0</v>
      </c>
      <c r="W51" s="86">
        <f t="shared" si="3"/>
        <v>0</v>
      </c>
      <c r="X51" s="2"/>
      <c r="Y51" s="2"/>
      <c r="Z51" s="2"/>
      <c r="AA51" s="2"/>
      <c r="AB51" s="63">
        <f>AB50+G4</f>
        <v>1.2</v>
      </c>
      <c r="AC51" s="64">
        <v>0</v>
      </c>
      <c r="AD51" s="2"/>
      <c r="AE51" s="22"/>
    </row>
    <row r="52" spans="13:31" x14ac:dyDescent="0.2">
      <c r="M52" s="107">
        <f>3*$F$4/8</f>
        <v>0.44999999999999996</v>
      </c>
      <c r="N52" s="10">
        <f t="shared" si="4"/>
        <v>0</v>
      </c>
      <c r="O52" s="86">
        <f t="shared" si="5"/>
        <v>0</v>
      </c>
      <c r="P52" s="2"/>
      <c r="Q52" s="2"/>
      <c r="R52" s="2"/>
      <c r="S52" s="2"/>
      <c r="T52" s="2"/>
      <c r="U52" s="85">
        <f t="shared" si="2"/>
        <v>1.05</v>
      </c>
      <c r="V52" s="10">
        <f t="shared" si="3"/>
        <v>0</v>
      </c>
      <c r="W52" s="86">
        <f t="shared" si="3"/>
        <v>0</v>
      </c>
      <c r="X52" s="2"/>
      <c r="Y52" s="2"/>
      <c r="Z52" s="2"/>
      <c r="AA52" s="2"/>
      <c r="AB52" s="11"/>
      <c r="AC52" s="3"/>
      <c r="AD52" s="2"/>
      <c r="AE52" s="22"/>
    </row>
    <row r="53" spans="13:31" x14ac:dyDescent="0.2">
      <c r="M53" s="107">
        <f>4*$F$4/8</f>
        <v>0.6</v>
      </c>
      <c r="N53" s="10">
        <f t="shared" si="4"/>
        <v>0</v>
      </c>
      <c r="O53" s="86">
        <f t="shared" si="5"/>
        <v>0</v>
      </c>
      <c r="P53" s="2"/>
      <c r="Q53" s="2"/>
      <c r="R53" s="2"/>
      <c r="S53" s="2"/>
      <c r="T53" s="2"/>
      <c r="U53" s="85">
        <f t="shared" si="2"/>
        <v>1.2</v>
      </c>
      <c r="V53" s="10">
        <f t="shared" si="3"/>
        <v>0</v>
      </c>
      <c r="W53" s="86">
        <f t="shared" si="3"/>
        <v>0</v>
      </c>
      <c r="X53" s="2"/>
      <c r="Y53" s="2"/>
      <c r="Z53" s="2"/>
      <c r="AA53" s="2"/>
      <c r="AB53" s="11"/>
      <c r="AC53" s="3"/>
      <c r="AD53" s="2"/>
      <c r="AE53" s="22"/>
    </row>
    <row r="54" spans="13:31" x14ac:dyDescent="0.2">
      <c r="M54" s="107">
        <f>5*$F$4/8</f>
        <v>0.75</v>
      </c>
      <c r="N54" s="10">
        <f t="shared" si="4"/>
        <v>0</v>
      </c>
      <c r="O54" s="86">
        <f t="shared" si="5"/>
        <v>0</v>
      </c>
      <c r="P54" s="2"/>
      <c r="Q54" s="2"/>
      <c r="R54" s="2"/>
      <c r="S54" s="2"/>
      <c r="T54" s="2"/>
      <c r="U54" s="92">
        <f>$U$53+Q41</f>
        <v>1.2</v>
      </c>
      <c r="V54" s="82">
        <f>R41</f>
        <v>0</v>
      </c>
      <c r="W54" s="93">
        <f>S41</f>
        <v>0</v>
      </c>
      <c r="X54" s="2"/>
      <c r="Y54" s="2"/>
      <c r="Z54" s="2"/>
      <c r="AA54" s="2"/>
      <c r="AB54" s="11"/>
      <c r="AC54" s="3"/>
      <c r="AD54" s="2"/>
      <c r="AE54" s="22"/>
    </row>
    <row r="55" spans="13:31" x14ac:dyDescent="0.2">
      <c r="M55" s="107">
        <f>6*$F$4/8</f>
        <v>0.89999999999999991</v>
      </c>
      <c r="N55" s="10">
        <f t="shared" si="4"/>
        <v>0</v>
      </c>
      <c r="O55" s="86">
        <f t="shared" si="5"/>
        <v>0</v>
      </c>
      <c r="P55" s="2"/>
      <c r="Q55" s="2"/>
      <c r="R55" s="2"/>
      <c r="S55" s="2"/>
      <c r="T55" s="2"/>
      <c r="U55" s="92">
        <f t="shared" ref="U55:U57" si="6">$U$53+Q42</f>
        <v>1.2</v>
      </c>
      <c r="V55" s="82">
        <f t="shared" ref="V55:W57" si="7">R42</f>
        <v>0</v>
      </c>
      <c r="W55" s="93">
        <f t="shared" si="7"/>
        <v>0</v>
      </c>
      <c r="X55" s="2"/>
      <c r="Y55" s="2"/>
      <c r="Z55" s="2"/>
      <c r="AA55" s="2"/>
      <c r="AB55" s="2"/>
      <c r="AC55" s="2"/>
      <c r="AD55" s="2"/>
      <c r="AE55" s="22"/>
    </row>
    <row r="56" spans="13:31" x14ac:dyDescent="0.2">
      <c r="M56" s="107">
        <f>7*$F$4/8</f>
        <v>1.05</v>
      </c>
      <c r="N56" s="10">
        <f t="shared" si="4"/>
        <v>0</v>
      </c>
      <c r="O56" s="86">
        <f t="shared" si="5"/>
        <v>0</v>
      </c>
      <c r="P56" s="2"/>
      <c r="Q56" s="2"/>
      <c r="R56" s="2"/>
      <c r="S56" s="2"/>
      <c r="T56" s="2"/>
      <c r="U56" s="92">
        <f t="shared" si="6"/>
        <v>1.2</v>
      </c>
      <c r="V56" s="82">
        <f t="shared" si="7"/>
        <v>0</v>
      </c>
      <c r="W56" s="93">
        <f t="shared" si="7"/>
        <v>0</v>
      </c>
      <c r="X56" s="2"/>
      <c r="Y56" s="2"/>
      <c r="Z56" s="2"/>
      <c r="AA56" s="2"/>
      <c r="AB56" s="2"/>
      <c r="AC56" s="2"/>
      <c r="AD56" s="2"/>
      <c r="AE56" s="22"/>
    </row>
    <row r="57" spans="13:31" ht="12.75" thickBot="1" x14ac:dyDescent="0.25">
      <c r="M57" s="108">
        <f>8*$F$4/8</f>
        <v>1.2</v>
      </c>
      <c r="N57" s="109">
        <f t="shared" si="4"/>
        <v>0</v>
      </c>
      <c r="O57" s="110">
        <f t="shared" si="5"/>
        <v>0</v>
      </c>
      <c r="P57" s="27"/>
      <c r="Q57" s="27"/>
      <c r="R57" s="27"/>
      <c r="S57" s="27"/>
      <c r="T57" s="27"/>
      <c r="U57" s="111">
        <f t="shared" si="6"/>
        <v>1.2</v>
      </c>
      <c r="V57" s="112">
        <f t="shared" si="7"/>
        <v>0</v>
      </c>
      <c r="W57" s="113">
        <f t="shared" si="7"/>
        <v>0</v>
      </c>
      <c r="X57" s="27"/>
      <c r="Y57" s="27"/>
      <c r="Z57" s="27"/>
      <c r="AA57" s="27"/>
      <c r="AB57" s="27"/>
      <c r="AC57" s="27"/>
      <c r="AD57" s="27"/>
      <c r="AE57" s="28"/>
    </row>
    <row r="58" spans="13:31" ht="12.75" thickTop="1" x14ac:dyDescent="0.2">
      <c r="M58" s="19"/>
      <c r="N58" s="19"/>
      <c r="O58" s="19"/>
      <c r="P58" s="19"/>
      <c r="Q58" s="114"/>
      <c r="R58" s="114"/>
      <c r="S58" s="114"/>
      <c r="T58" s="19"/>
      <c r="U58" s="114"/>
      <c r="V58" s="114"/>
      <c r="W58" s="114"/>
      <c r="X58" s="19"/>
      <c r="Y58" s="19"/>
      <c r="Z58" s="19"/>
      <c r="AA58" s="19"/>
      <c r="AB58" s="19"/>
      <c r="AC58" s="19"/>
      <c r="AD58" s="19"/>
      <c r="AE58" s="19"/>
    </row>
    <row r="59" spans="13:31" x14ac:dyDescent="0.2">
      <c r="M59" s="15"/>
      <c r="N59" s="15"/>
      <c r="O59" s="15"/>
      <c r="P59" s="2"/>
      <c r="Q59" s="15"/>
      <c r="R59" s="15"/>
      <c r="S59" s="15"/>
      <c r="T59" s="2"/>
      <c r="U59" s="15"/>
      <c r="V59" s="15"/>
      <c r="W59" s="15"/>
      <c r="X59" s="2"/>
      <c r="Y59" s="2"/>
      <c r="Z59" s="2"/>
      <c r="AA59" s="2"/>
      <c r="AB59" s="2"/>
      <c r="AC59" s="2"/>
      <c r="AD59" s="2"/>
      <c r="AE59" s="2"/>
    </row>
    <row r="60" spans="13:31" x14ac:dyDescent="0.2">
      <c r="M60" s="15"/>
      <c r="N60" s="15"/>
      <c r="O60" s="15"/>
      <c r="P60" s="2"/>
      <c r="Q60" s="15"/>
      <c r="R60" s="15"/>
      <c r="S60" s="15"/>
      <c r="T60" s="2"/>
      <c r="U60" s="15"/>
      <c r="V60" s="15"/>
      <c r="W60" s="15"/>
      <c r="X60" s="2"/>
      <c r="Y60" s="2"/>
      <c r="Z60" s="2"/>
      <c r="AA60" s="2"/>
      <c r="AB60" s="2"/>
      <c r="AC60" s="2"/>
      <c r="AD60" s="2"/>
      <c r="AE60" s="2"/>
    </row>
    <row r="61" spans="13:31" x14ac:dyDescent="0.2">
      <c r="M61" s="15"/>
      <c r="N61" s="15"/>
      <c r="O61" s="15"/>
      <c r="P61" s="2"/>
      <c r="Q61" s="15"/>
      <c r="R61" s="15"/>
      <c r="S61" s="15"/>
      <c r="T61" s="2"/>
      <c r="U61" s="15"/>
      <c r="V61" s="15"/>
      <c r="W61" s="15"/>
      <c r="X61" s="2"/>
      <c r="Y61" s="2"/>
      <c r="Z61" s="2"/>
      <c r="AA61" s="2"/>
      <c r="AB61" s="2"/>
      <c r="AC61" s="2"/>
      <c r="AD61" s="2"/>
      <c r="AE61" s="2"/>
    </row>
    <row r="62" spans="13:31" x14ac:dyDescent="0.2">
      <c r="M62" s="2"/>
      <c r="N62" s="2"/>
      <c r="O62" s="2"/>
      <c r="P62" s="2"/>
      <c r="Q62" s="2"/>
      <c r="R62" s="2"/>
      <c r="S62" s="2"/>
      <c r="T62" s="2"/>
      <c r="U62" s="15"/>
      <c r="V62" s="15"/>
      <c r="W62" s="15"/>
      <c r="X62" s="2"/>
      <c r="Y62" s="2"/>
      <c r="Z62" s="2"/>
      <c r="AA62" s="2"/>
      <c r="AB62" s="2"/>
      <c r="AC62" s="2"/>
      <c r="AD62" s="2"/>
      <c r="AE62" s="2"/>
    </row>
    <row r="63" spans="13:31" x14ac:dyDescent="0.2"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</row>
    <row r="64" spans="13:31" x14ac:dyDescent="0.2"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</row>
    <row r="65" spans="13:40" x14ac:dyDescent="0.2">
      <c r="M65" s="5"/>
      <c r="N65" s="5"/>
      <c r="O65" s="3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</row>
    <row r="66" spans="13:40" x14ac:dyDescent="0.2">
      <c r="M66" s="5"/>
      <c r="N66" s="15"/>
      <c r="O66" s="15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</row>
    <row r="72" spans="13:40" x14ac:dyDescent="0.2"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</row>
    <row r="73" spans="13:40" x14ac:dyDescent="0.2">
      <c r="V73" s="5"/>
      <c r="W73" s="15"/>
      <c r="X73" s="15"/>
      <c r="Y73" s="2"/>
      <c r="Z73" s="2"/>
      <c r="AA73" s="2"/>
      <c r="AB73" s="2"/>
      <c r="AC73" s="2"/>
      <c r="AD73" s="15"/>
      <c r="AE73" s="15"/>
      <c r="AF73" s="15"/>
      <c r="AG73" s="2"/>
      <c r="AH73" s="2"/>
      <c r="AI73" s="2"/>
      <c r="AJ73" s="2"/>
      <c r="AK73" s="2"/>
      <c r="AL73" s="2"/>
      <c r="AM73" s="2"/>
      <c r="AN73" s="2"/>
    </row>
    <row r="74" spans="13:40" x14ac:dyDescent="0.2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13:40" x14ac:dyDescent="0.2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13:40" x14ac:dyDescent="0.2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13:40" x14ac:dyDescent="0.2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13:40" x14ac:dyDescent="0.2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13:40" x14ac:dyDescent="0.2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13:40" x14ac:dyDescent="0.2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:AT100"/>
  <sheetViews>
    <sheetView topLeftCell="M25" zoomScale="85" zoomScaleNormal="85" workbookViewId="0">
      <selection activeCell="R53" sqref="R53"/>
    </sheetView>
  </sheetViews>
  <sheetFormatPr defaultColWidth="9.140625" defaultRowHeight="12" x14ac:dyDescent="0.2"/>
  <cols>
    <col min="1" max="16384" width="9.140625" style="1"/>
  </cols>
  <sheetData>
    <row r="1" spans="1:31" ht="15.75" customHeight="1" thickBot="1" x14ac:dyDescent="0.25">
      <c r="A1" s="334" t="s">
        <v>28</v>
      </c>
      <c r="B1" s="334"/>
      <c r="C1" s="334"/>
      <c r="D1" s="334"/>
      <c r="E1" s="334"/>
      <c r="F1" s="334"/>
      <c r="G1" s="334"/>
      <c r="H1" s="334"/>
      <c r="I1" s="334"/>
      <c r="J1" s="334"/>
      <c r="K1" s="2"/>
    </row>
    <row r="2" spans="1:31" ht="12.75" thickTop="1" x14ac:dyDescent="0.2">
      <c r="E2" s="12"/>
    </row>
    <row r="3" spans="1:31" ht="13.5" x14ac:dyDescent="0.25">
      <c r="C3" s="12" t="s">
        <v>29</v>
      </c>
      <c r="E3" s="13" t="s">
        <v>32</v>
      </c>
      <c r="F3" s="13" t="s">
        <v>33</v>
      </c>
      <c r="G3" s="13" t="s">
        <v>34</v>
      </c>
    </row>
    <row r="4" spans="1:31" x14ac:dyDescent="0.2">
      <c r="E4" s="14">
        <f>'C-Trave'!E15</f>
        <v>0</v>
      </c>
      <c r="F4" s="14">
        <f>'C-Trave'!F15</f>
        <v>1.2</v>
      </c>
      <c r="G4" s="14">
        <f>'C-Trave'!G15</f>
        <v>0</v>
      </c>
    </row>
    <row r="6" spans="1:31" ht="13.5" x14ac:dyDescent="0.25">
      <c r="C6" s="12" t="s">
        <v>41</v>
      </c>
      <c r="E6" s="13" t="s">
        <v>35</v>
      </c>
      <c r="F6" s="13" t="s">
        <v>36</v>
      </c>
      <c r="G6" s="13" t="s">
        <v>37</v>
      </c>
    </row>
    <row r="7" spans="1:31" x14ac:dyDescent="0.2">
      <c r="D7" s="1" t="s">
        <v>42</v>
      </c>
      <c r="E7" s="14">
        <f>'C-Trave'!E29</f>
        <v>0</v>
      </c>
      <c r="F7" s="14">
        <f>'C-Trave'!F29</f>
        <v>0</v>
      </c>
      <c r="G7" s="14">
        <f>'C-Trave'!G29</f>
        <v>0</v>
      </c>
    </row>
    <row r="8" spans="1:31" x14ac:dyDescent="0.2">
      <c r="E8" s="14"/>
      <c r="F8" s="14"/>
      <c r="G8" s="14"/>
      <c r="H8" s="15"/>
    </row>
    <row r="9" spans="1:31" ht="12.75" thickBot="1" x14ac:dyDescent="0.25">
      <c r="E9" s="14"/>
      <c r="F9" s="14"/>
      <c r="G9" s="14"/>
      <c r="H9" s="15"/>
    </row>
    <row r="10" spans="1:31" ht="13.5" thickTop="1" thickBot="1" x14ac:dyDescent="0.25">
      <c r="E10" s="14"/>
      <c r="F10" s="14"/>
      <c r="G10" s="14"/>
      <c r="H10" s="15"/>
      <c r="M10" s="54"/>
      <c r="N10" s="55"/>
      <c r="O10" s="55"/>
      <c r="P10" s="19"/>
      <c r="Q10" s="20"/>
      <c r="R10" s="20"/>
      <c r="S10" s="20"/>
      <c r="T10" s="19"/>
      <c r="U10" s="19"/>
      <c r="V10" s="56"/>
      <c r="W10" s="19"/>
      <c r="X10" s="19"/>
      <c r="Y10" s="20" t="s">
        <v>16</v>
      </c>
      <c r="Z10" s="20"/>
      <c r="AA10" s="19"/>
      <c r="AB10" s="19" t="s">
        <v>26</v>
      </c>
      <c r="AC10" s="19"/>
      <c r="AD10" s="19"/>
      <c r="AE10" s="21"/>
    </row>
    <row r="11" spans="1:31" x14ac:dyDescent="0.2">
      <c r="E11" s="14"/>
      <c r="F11" s="14"/>
      <c r="G11" s="14"/>
      <c r="H11" s="15"/>
      <c r="M11" s="49"/>
      <c r="N11" s="5"/>
      <c r="O11" s="5"/>
      <c r="P11" s="2"/>
      <c r="Q11" s="3"/>
      <c r="R11" s="3"/>
      <c r="S11" s="3"/>
      <c r="T11" s="2"/>
      <c r="U11" s="2"/>
      <c r="V11" s="44"/>
      <c r="W11" s="2"/>
      <c r="X11" s="2"/>
      <c r="Y11" s="59">
        <v>0</v>
      </c>
      <c r="Z11" s="60">
        <f>5+MAX('C-car.3'!Z11:Z29)</f>
        <v>29.14</v>
      </c>
      <c r="AA11" s="2"/>
      <c r="AB11" s="67">
        <f>AB49</f>
        <v>0</v>
      </c>
      <c r="AC11" s="68">
        <v>0</v>
      </c>
      <c r="AD11" s="2"/>
      <c r="AE11" s="22"/>
    </row>
    <row r="12" spans="1:31" x14ac:dyDescent="0.2">
      <c r="C12" s="15"/>
      <c r="D12" s="15"/>
      <c r="E12" s="15"/>
      <c r="F12" s="15"/>
      <c r="G12" s="15"/>
      <c r="H12" s="15"/>
      <c r="M12" s="49"/>
      <c r="N12" s="3"/>
      <c r="O12" s="5"/>
      <c r="P12" s="2"/>
      <c r="Q12" s="3"/>
      <c r="R12" s="3"/>
      <c r="S12" s="3"/>
      <c r="T12" s="2"/>
      <c r="U12" s="2"/>
      <c r="V12" s="3"/>
      <c r="W12" s="2"/>
      <c r="X12" s="2"/>
      <c r="Y12" s="65">
        <f>E4</f>
        <v>0</v>
      </c>
      <c r="Z12" s="62">
        <f>Z11</f>
        <v>29.14</v>
      </c>
      <c r="AA12" s="2"/>
      <c r="AB12" s="61">
        <f>AB11</f>
        <v>0</v>
      </c>
      <c r="AC12" s="87">
        <f>V44</f>
        <v>0</v>
      </c>
      <c r="AD12" s="2"/>
      <c r="AE12" s="22"/>
    </row>
    <row r="13" spans="1:31" x14ac:dyDescent="0.2">
      <c r="C13" s="15"/>
      <c r="D13" s="15"/>
      <c r="E13" s="15"/>
      <c r="F13" s="15"/>
      <c r="G13" s="15"/>
      <c r="H13" s="15"/>
      <c r="M13" s="23"/>
      <c r="N13" s="3"/>
      <c r="O13" s="3"/>
      <c r="P13" s="3"/>
      <c r="Q13" s="3"/>
      <c r="R13" s="3"/>
      <c r="S13" s="3"/>
      <c r="T13" s="3"/>
      <c r="U13" s="3"/>
      <c r="V13" s="3"/>
      <c r="W13" s="2"/>
      <c r="X13" s="2"/>
      <c r="Y13" s="65">
        <f>Y12</f>
        <v>0</v>
      </c>
      <c r="Z13" s="62">
        <f>Z12+E7</f>
        <v>29.14</v>
      </c>
      <c r="AA13" s="2"/>
      <c r="AB13" s="61">
        <f>AB50</f>
        <v>1.2</v>
      </c>
      <c r="AC13" s="87">
        <v>0</v>
      </c>
      <c r="AD13" s="2"/>
      <c r="AE13" s="22"/>
    </row>
    <row r="14" spans="1:31" ht="12.75" thickBot="1" x14ac:dyDescent="0.25">
      <c r="C14" s="15"/>
      <c r="D14" s="15"/>
      <c r="E14" s="15"/>
      <c r="F14" s="15"/>
      <c r="G14" s="15"/>
      <c r="H14" s="15"/>
      <c r="M14" s="23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65">
        <v>0</v>
      </c>
      <c r="Z14" s="62">
        <f>Z13</f>
        <v>29.14</v>
      </c>
      <c r="AA14" s="2"/>
      <c r="AB14" s="63">
        <f>AB13</f>
        <v>1.2</v>
      </c>
      <c r="AC14" s="69">
        <f>V53</f>
        <v>0</v>
      </c>
      <c r="AD14" s="2"/>
      <c r="AE14" s="22"/>
    </row>
    <row r="15" spans="1:31" ht="15" customHeight="1" thickBot="1" x14ac:dyDescent="0.25">
      <c r="A15" s="345" t="s">
        <v>31</v>
      </c>
      <c r="B15" s="345"/>
      <c r="C15" s="345"/>
      <c r="D15" s="345"/>
      <c r="E15" s="345"/>
      <c r="F15" s="345"/>
      <c r="G15" s="345"/>
      <c r="H15" s="345"/>
      <c r="I15" s="345"/>
      <c r="J15" s="345"/>
      <c r="M15" s="24"/>
      <c r="N15" s="11"/>
      <c r="O15" s="2"/>
      <c r="P15" s="59" t="s">
        <v>12</v>
      </c>
      <c r="Q15" s="68">
        <f>E7*E4^2/2</f>
        <v>0</v>
      </c>
      <c r="R15" s="2"/>
      <c r="S15" s="3"/>
      <c r="T15" s="3"/>
      <c r="U15" s="3"/>
      <c r="V15" s="2"/>
      <c r="W15" s="2"/>
      <c r="X15" s="2"/>
      <c r="Y15" s="66">
        <v>0</v>
      </c>
      <c r="Z15" s="64">
        <f>Z11</f>
        <v>29.14</v>
      </c>
      <c r="AA15" s="2"/>
      <c r="AB15" s="11"/>
      <c r="AC15" s="11"/>
      <c r="AD15" s="2"/>
      <c r="AE15" s="22"/>
    </row>
    <row r="16" spans="1:31" ht="12.75" thickBot="1" x14ac:dyDescent="0.25">
      <c r="M16" s="24"/>
      <c r="N16" s="11"/>
      <c r="O16" s="2"/>
      <c r="P16" s="66" t="s">
        <v>7</v>
      </c>
      <c r="Q16" s="69">
        <f>G7*G4^2/2</f>
        <v>0</v>
      </c>
      <c r="R16" s="2"/>
      <c r="S16" s="44"/>
      <c r="T16" s="44"/>
      <c r="U16" s="44"/>
      <c r="V16" s="2"/>
      <c r="W16" s="2"/>
      <c r="X16" s="2"/>
      <c r="Y16" s="2"/>
      <c r="Z16" s="2"/>
      <c r="AA16" s="2"/>
      <c r="AB16" s="11"/>
      <c r="AC16" s="11"/>
      <c r="AD16" s="2"/>
      <c r="AE16" s="22"/>
    </row>
    <row r="17" spans="1:46" s="46" customFormat="1" ht="14.25" thickBot="1" x14ac:dyDescent="0.3">
      <c r="D17" s="17" t="s">
        <v>30</v>
      </c>
      <c r="E17" s="16" t="s">
        <v>38</v>
      </c>
      <c r="F17" s="16" t="s">
        <v>39</v>
      </c>
      <c r="G17" s="16" t="s">
        <v>40</v>
      </c>
      <c r="H17" s="3"/>
      <c r="I17" s="3"/>
      <c r="K17" s="18"/>
      <c r="M17" s="24"/>
      <c r="N17" s="3"/>
      <c r="O17" s="2"/>
      <c r="P17" s="2"/>
      <c r="Q17" s="2"/>
      <c r="R17" s="2"/>
      <c r="S17" s="2"/>
      <c r="T17" s="2"/>
      <c r="U17" s="2"/>
      <c r="V17" s="2"/>
      <c r="W17" s="2"/>
      <c r="X17" s="2"/>
      <c r="Y17" s="3" t="s">
        <v>17</v>
      </c>
      <c r="Z17" s="3"/>
      <c r="AA17" s="2"/>
      <c r="AB17" s="11"/>
      <c r="AC17" s="11"/>
      <c r="AD17" s="2"/>
      <c r="AE17" s="22"/>
      <c r="AO17" s="1"/>
      <c r="AP17" s="1"/>
      <c r="AQ17" s="1"/>
      <c r="AR17" s="1"/>
      <c r="AS17" s="1"/>
      <c r="AT17" s="1"/>
    </row>
    <row r="18" spans="1:46" s="46" customFormat="1" x14ac:dyDescent="0.2">
      <c r="E18" s="16">
        <f>'C-Trave'!E77</f>
        <v>1</v>
      </c>
      <c r="F18" s="16">
        <f>'C-Trave'!F77</f>
        <v>9.9999999999999995E-8</v>
      </c>
      <c r="G18" s="16">
        <f>'C-Trave'!G77</f>
        <v>9.9999999999999995E-8</v>
      </c>
      <c r="H18" s="3"/>
      <c r="I18" s="3"/>
      <c r="M18" s="24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59">
        <f>E4</f>
        <v>0</v>
      </c>
      <c r="Z18" s="60">
        <f>Z11</f>
        <v>29.14</v>
      </c>
      <c r="AA18" s="2"/>
      <c r="AB18" s="11"/>
      <c r="AC18" s="11"/>
      <c r="AD18" s="2"/>
      <c r="AE18" s="22"/>
      <c r="AO18" s="1"/>
      <c r="AP18" s="1"/>
      <c r="AQ18" s="1"/>
      <c r="AR18" s="1"/>
      <c r="AS18" s="1"/>
      <c r="AT18" s="1"/>
    </row>
    <row r="19" spans="1:46" s="46" customFormat="1" x14ac:dyDescent="0.2">
      <c r="M19" s="23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61">
        <f>AB50</f>
        <v>1.2</v>
      </c>
      <c r="Z19" s="62">
        <f>Z18</f>
        <v>29.14</v>
      </c>
      <c r="AA19" s="2"/>
      <c r="AB19" s="11"/>
      <c r="AC19" s="11"/>
      <c r="AD19" s="2"/>
      <c r="AE19" s="22"/>
      <c r="AO19" s="1"/>
      <c r="AP19" s="1"/>
      <c r="AQ19" s="1"/>
      <c r="AR19" s="1"/>
      <c r="AS19" s="1"/>
      <c r="AT19" s="1"/>
    </row>
    <row r="20" spans="1:46" s="46" customFormat="1" ht="12.75" thickBot="1" x14ac:dyDescent="0.25">
      <c r="A20" s="17"/>
      <c r="B20" s="3"/>
      <c r="C20" s="3"/>
      <c r="D20" s="3"/>
      <c r="F20" s="45"/>
      <c r="G20" s="3"/>
      <c r="H20" s="3"/>
      <c r="I20" s="3"/>
      <c r="M20" s="24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61">
        <f>Y19</f>
        <v>1.2</v>
      </c>
      <c r="Z20" s="62">
        <f>Z19+F7</f>
        <v>29.14</v>
      </c>
      <c r="AA20" s="3"/>
      <c r="AB20" s="11"/>
      <c r="AC20" s="11"/>
      <c r="AD20" s="2"/>
      <c r="AE20" s="22"/>
    </row>
    <row r="21" spans="1:46" s="46" customFormat="1" x14ac:dyDescent="0.2">
      <c r="A21" s="1"/>
      <c r="B21" s="3"/>
      <c r="C21" s="3"/>
      <c r="D21" s="3"/>
      <c r="F21" s="3"/>
      <c r="G21" s="3"/>
      <c r="H21" s="3"/>
      <c r="I21" s="3"/>
      <c r="M21" s="98" t="s">
        <v>8</v>
      </c>
      <c r="N21" s="70" t="s">
        <v>9</v>
      </c>
      <c r="O21" s="70" t="s">
        <v>10</v>
      </c>
      <c r="P21" s="70" t="s">
        <v>11</v>
      </c>
      <c r="Q21" s="3"/>
      <c r="R21" s="3"/>
      <c r="S21" s="3"/>
      <c r="T21" s="3"/>
      <c r="U21" s="3"/>
      <c r="V21" s="3"/>
      <c r="W21" s="3"/>
      <c r="X21" s="3"/>
      <c r="Y21" s="65">
        <f>Y18</f>
        <v>0</v>
      </c>
      <c r="Z21" s="62">
        <f>Z20</f>
        <v>29.14</v>
      </c>
      <c r="AA21" s="3"/>
      <c r="AB21" s="11"/>
      <c r="AC21" s="11"/>
      <c r="AD21" s="2"/>
      <c r="AE21" s="22"/>
    </row>
    <row r="22" spans="1:46" ht="12.75" thickBot="1" x14ac:dyDescent="0.25">
      <c r="M22" s="99">
        <f>E7*E4</f>
        <v>0</v>
      </c>
      <c r="N22" s="71">
        <f>F7*F4-O22</f>
        <v>0</v>
      </c>
      <c r="O22" s="71">
        <f>(F7*F4^2/2+Q16-Q15)/F4</f>
        <v>0</v>
      </c>
      <c r="P22" s="71">
        <f>G7*G4</f>
        <v>0</v>
      </c>
      <c r="Q22" s="11"/>
      <c r="R22" s="11"/>
      <c r="S22" s="11"/>
      <c r="T22" s="11"/>
      <c r="U22" s="11"/>
      <c r="V22" s="11"/>
      <c r="W22" s="3"/>
      <c r="X22" s="3"/>
      <c r="Y22" s="66">
        <f>Y18</f>
        <v>0</v>
      </c>
      <c r="Z22" s="64">
        <f>Z18</f>
        <v>29.14</v>
      </c>
      <c r="AA22" s="3"/>
      <c r="AB22" s="11"/>
      <c r="AC22" s="11"/>
      <c r="AD22" s="2"/>
      <c r="AE22" s="22"/>
    </row>
    <row r="23" spans="1:46" x14ac:dyDescent="0.2">
      <c r="M23" s="24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2"/>
      <c r="Z23" s="2"/>
      <c r="AA23" s="3"/>
      <c r="AB23" s="3"/>
      <c r="AC23" s="3"/>
      <c r="AD23" s="3"/>
      <c r="AE23" s="25"/>
    </row>
    <row r="24" spans="1:46" ht="12.75" thickBot="1" x14ac:dyDescent="0.25">
      <c r="M24" s="24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 t="s">
        <v>18</v>
      </c>
      <c r="Z24" s="3"/>
      <c r="AA24" s="3"/>
      <c r="AB24" s="3"/>
      <c r="AC24" s="3"/>
      <c r="AD24" s="3"/>
      <c r="AE24" s="25"/>
    </row>
    <row r="25" spans="1:46" ht="12.75" thickBot="1" x14ac:dyDescent="0.25">
      <c r="M25" s="23"/>
      <c r="N25" s="2"/>
      <c r="O25" s="59" t="s">
        <v>0</v>
      </c>
      <c r="P25" s="60" t="s">
        <v>1</v>
      </c>
      <c r="Q25" s="3"/>
      <c r="R25" s="3"/>
      <c r="S25" s="3"/>
      <c r="T25" s="2"/>
      <c r="U25" s="2"/>
      <c r="V25" s="2"/>
      <c r="W25" s="2"/>
      <c r="X25" s="2"/>
      <c r="Y25" s="67">
        <f>AB50</f>
        <v>1.2</v>
      </c>
      <c r="Z25" s="60">
        <f>Z11</f>
        <v>29.14</v>
      </c>
      <c r="AA25" s="2"/>
      <c r="AB25" s="2" t="s">
        <v>21</v>
      </c>
      <c r="AC25" s="2"/>
      <c r="AD25" s="2"/>
      <c r="AE25" s="22"/>
    </row>
    <row r="26" spans="1:46" ht="12.75" thickBot="1" x14ac:dyDescent="0.25">
      <c r="M26" s="23"/>
      <c r="N26" s="2"/>
      <c r="O26" s="63">
        <f>M22+N22</f>
        <v>0</v>
      </c>
      <c r="P26" s="69">
        <f>O22+P22</f>
        <v>0</v>
      </c>
      <c r="Q26" s="11"/>
      <c r="R26" s="11"/>
      <c r="S26" s="11"/>
      <c r="T26" s="2"/>
      <c r="U26" s="2"/>
      <c r="V26" s="2"/>
      <c r="W26" s="2"/>
      <c r="X26" s="2"/>
      <c r="Y26" s="61">
        <f>AB51</f>
        <v>1.2</v>
      </c>
      <c r="Z26" s="62">
        <f>Z25</f>
        <v>29.14</v>
      </c>
      <c r="AA26" s="2"/>
      <c r="AB26" s="59" t="s">
        <v>22</v>
      </c>
      <c r="AC26" s="94" t="s">
        <v>25</v>
      </c>
      <c r="AD26" s="94" t="s">
        <v>2</v>
      </c>
      <c r="AE26" s="100" t="s">
        <v>24</v>
      </c>
    </row>
    <row r="27" spans="1:46" ht="12.75" thickBot="1" x14ac:dyDescent="0.25">
      <c r="M27" s="23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61">
        <f>Y26</f>
        <v>1.2</v>
      </c>
      <c r="Z27" s="62">
        <f>Z26+G7</f>
        <v>29.14</v>
      </c>
      <c r="AA27" s="2"/>
      <c r="AB27" s="95" t="s">
        <v>23</v>
      </c>
      <c r="AC27" s="88" t="e">
        <f>N22/F7</f>
        <v>#DIV/0!</v>
      </c>
      <c r="AD27" s="88" t="e">
        <f>E4+AC27</f>
        <v>#DIV/0!</v>
      </c>
      <c r="AE27" s="101" t="e">
        <f>N22*AC27-F7*AC27^2/2-Q15</f>
        <v>#DIV/0!</v>
      </c>
    </row>
    <row r="28" spans="1:46" x14ac:dyDescent="0.2">
      <c r="M28" s="23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61">
        <f>Y25</f>
        <v>1.2</v>
      </c>
      <c r="Z28" s="62">
        <f>Z27</f>
        <v>29.14</v>
      </c>
      <c r="AA28" s="2"/>
      <c r="AB28" s="48"/>
      <c r="AC28" s="11"/>
      <c r="AD28" s="11"/>
      <c r="AE28" s="50"/>
    </row>
    <row r="29" spans="1:46" s="46" customFormat="1" ht="12.75" thickBot="1" x14ac:dyDescent="0.25">
      <c r="M29" s="23" t="s">
        <v>19</v>
      </c>
      <c r="N29" s="2"/>
      <c r="O29" s="2"/>
      <c r="P29" s="2" t="s">
        <v>20</v>
      </c>
      <c r="Q29" s="2"/>
      <c r="R29" s="2"/>
      <c r="S29" s="2"/>
      <c r="T29" s="2"/>
      <c r="U29" s="2"/>
      <c r="V29" s="2"/>
      <c r="W29" s="2"/>
      <c r="X29" s="2"/>
      <c r="Y29" s="63">
        <f>Y25</f>
        <v>1.2</v>
      </c>
      <c r="Z29" s="64">
        <f>Z25</f>
        <v>29.14</v>
      </c>
      <c r="AA29" s="2"/>
      <c r="AB29" s="48"/>
      <c r="AC29" s="11"/>
      <c r="AD29" s="11"/>
      <c r="AE29" s="50"/>
    </row>
    <row r="30" spans="1:46" s="46" customFormat="1" x14ac:dyDescent="0.2">
      <c r="M30" s="102">
        <f>AB49</f>
        <v>0</v>
      </c>
      <c r="N30" s="73">
        <v>0</v>
      </c>
      <c r="O30" s="2"/>
      <c r="P30" s="72">
        <f>AB50</f>
        <v>1.2</v>
      </c>
      <c r="Q30" s="73">
        <v>0</v>
      </c>
      <c r="R30" s="2"/>
      <c r="S30" s="47"/>
      <c r="T30" s="2"/>
      <c r="U30" s="2"/>
      <c r="V30" s="2"/>
      <c r="W30" s="2"/>
      <c r="X30" s="2"/>
      <c r="Y30" s="3"/>
      <c r="Z30" s="3"/>
      <c r="AA30" s="2"/>
      <c r="AB30" s="48"/>
      <c r="AC30" s="11"/>
      <c r="AD30" s="11"/>
      <c r="AE30" s="50"/>
    </row>
    <row r="31" spans="1:46" ht="12.75" thickBot="1" x14ac:dyDescent="0.25">
      <c r="M31" s="103">
        <f>M30</f>
        <v>0</v>
      </c>
      <c r="N31" s="75">
        <f>O26</f>
        <v>0</v>
      </c>
      <c r="O31" s="2"/>
      <c r="P31" s="74">
        <f>P30</f>
        <v>1.2</v>
      </c>
      <c r="Q31" s="75">
        <f>P26</f>
        <v>0</v>
      </c>
      <c r="R31" s="2"/>
      <c r="S31" s="47"/>
      <c r="T31" s="47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2"/>
    </row>
    <row r="32" spans="1:46" x14ac:dyDescent="0.2">
      <c r="M32" s="24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2"/>
      <c r="Z32" s="2"/>
      <c r="AA32" s="3"/>
      <c r="AB32" s="3"/>
      <c r="AC32" s="3"/>
      <c r="AD32" s="3"/>
      <c r="AE32" s="25"/>
    </row>
    <row r="33" spans="13:31" ht="12.75" thickBot="1" x14ac:dyDescent="0.25">
      <c r="M33" s="23"/>
      <c r="N33" s="2"/>
      <c r="O33" s="3"/>
      <c r="P33" s="2"/>
      <c r="Q33" s="2"/>
      <c r="R33" s="3"/>
      <c r="S33" s="3"/>
      <c r="T33" s="3"/>
      <c r="U33" s="3"/>
      <c r="V33" s="3"/>
      <c r="W33" s="3"/>
      <c r="X33" s="3"/>
      <c r="Y33" s="2"/>
      <c r="Z33" s="2"/>
      <c r="AA33" s="3"/>
      <c r="AB33" s="2" t="s">
        <v>27</v>
      </c>
      <c r="AC33" s="2"/>
      <c r="AD33" s="3"/>
      <c r="AE33" s="25"/>
    </row>
    <row r="34" spans="13:31" x14ac:dyDescent="0.2">
      <c r="M34" s="57"/>
      <c r="N34" s="2"/>
      <c r="O34" s="2"/>
      <c r="P34" s="47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67" t="e">
        <f>AD27</f>
        <v>#DIV/0!</v>
      </c>
      <c r="AC34" s="60">
        <v>0</v>
      </c>
      <c r="AD34" s="2"/>
      <c r="AE34" s="22"/>
    </row>
    <row r="35" spans="13:31" ht="12.75" thickBot="1" x14ac:dyDescent="0.25">
      <c r="M35" s="57"/>
      <c r="N35" s="47"/>
      <c r="O35" s="2"/>
      <c r="P35" s="47"/>
      <c r="Q35" s="47"/>
      <c r="R35" s="2"/>
      <c r="S35" s="2"/>
      <c r="T35" s="2"/>
      <c r="U35" s="2"/>
      <c r="V35" s="2"/>
      <c r="W35" s="2"/>
      <c r="X35" s="2"/>
      <c r="Y35" s="2"/>
      <c r="Z35" s="2"/>
      <c r="AA35" s="2"/>
      <c r="AB35" s="63" t="e">
        <f>AB34</f>
        <v>#DIV/0!</v>
      </c>
      <c r="AC35" s="69" t="e">
        <f>AE27</f>
        <v>#DIV/0!</v>
      </c>
      <c r="AD35" s="2"/>
      <c r="AE35" s="22"/>
    </row>
    <row r="36" spans="13:31" x14ac:dyDescent="0.2">
      <c r="M36" s="23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11"/>
      <c r="AC36" s="3"/>
      <c r="AD36" s="2"/>
      <c r="AE36" s="22"/>
    </row>
    <row r="37" spans="13:31" x14ac:dyDescent="0.2">
      <c r="M37" s="23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11"/>
      <c r="AC37" s="11"/>
      <c r="AD37" s="2"/>
      <c r="AE37" s="22"/>
    </row>
    <row r="38" spans="13:31" x14ac:dyDescent="0.2">
      <c r="M38" s="23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11"/>
      <c r="AC38" s="3"/>
      <c r="AD38" s="2"/>
      <c r="AE38" s="22"/>
    </row>
    <row r="39" spans="13:31" ht="12.75" thickBot="1" x14ac:dyDescent="0.25">
      <c r="M39" s="23" t="s">
        <v>13</v>
      </c>
      <c r="N39" s="2"/>
      <c r="O39" s="2"/>
      <c r="P39" s="2"/>
      <c r="Q39" s="2" t="s">
        <v>69</v>
      </c>
      <c r="R39" s="2"/>
      <c r="S39" s="2"/>
      <c r="T39" s="2"/>
      <c r="U39" s="2" t="s">
        <v>15</v>
      </c>
      <c r="V39" s="2"/>
      <c r="W39" s="2"/>
      <c r="X39" s="2"/>
      <c r="Y39" s="2"/>
      <c r="Z39" s="2"/>
      <c r="AA39" s="2"/>
      <c r="AB39" s="11"/>
      <c r="AC39" s="11"/>
      <c r="AD39" s="2"/>
      <c r="AE39" s="22"/>
    </row>
    <row r="40" spans="13:31" x14ac:dyDescent="0.2">
      <c r="M40" s="104" t="s">
        <v>2</v>
      </c>
      <c r="N40" s="76" t="s">
        <v>3</v>
      </c>
      <c r="O40" s="77" t="s">
        <v>4</v>
      </c>
      <c r="P40" s="2"/>
      <c r="Q40" s="83" t="s">
        <v>2</v>
      </c>
      <c r="R40" s="84" t="s">
        <v>3</v>
      </c>
      <c r="S40" s="60" t="s">
        <v>4</v>
      </c>
      <c r="T40" s="2"/>
      <c r="U40" s="89" t="s">
        <v>2</v>
      </c>
      <c r="V40" s="90" t="s">
        <v>3</v>
      </c>
      <c r="W40" s="91" t="s">
        <v>4</v>
      </c>
      <c r="X40" s="2"/>
      <c r="Y40" s="2"/>
      <c r="Z40" s="2"/>
      <c r="AA40" s="2"/>
      <c r="AB40" s="11"/>
      <c r="AC40" s="3"/>
      <c r="AD40" s="2"/>
      <c r="AE40" s="22"/>
    </row>
    <row r="41" spans="13:31" x14ac:dyDescent="0.2">
      <c r="M41" s="26">
        <v>0</v>
      </c>
      <c r="N41" s="7">
        <f>-$E$7*M41^2/2</f>
        <v>0</v>
      </c>
      <c r="O41" s="79">
        <f>-$E$7*M41</f>
        <v>0</v>
      </c>
      <c r="P41" s="2"/>
      <c r="Q41" s="61">
        <v>0</v>
      </c>
      <c r="R41" s="8">
        <f>-$Q$16-$G$7*Q41^2/2+$P$22*Q41</f>
        <v>0</v>
      </c>
      <c r="S41" s="87">
        <f>$P$22-$G$7*Q41</f>
        <v>0</v>
      </c>
      <c r="T41" s="2"/>
      <c r="U41" s="78">
        <f t="shared" ref="U41:W44" si="0">M41</f>
        <v>0</v>
      </c>
      <c r="V41" s="7">
        <f>N41</f>
        <v>0</v>
      </c>
      <c r="W41" s="79">
        <f>O41</f>
        <v>0</v>
      </c>
      <c r="X41" s="2"/>
      <c r="Y41" s="2"/>
      <c r="Z41" s="2"/>
      <c r="AA41" s="2"/>
      <c r="AB41" s="11"/>
      <c r="AC41" s="11"/>
      <c r="AD41" s="2"/>
      <c r="AE41" s="22"/>
    </row>
    <row r="42" spans="13:31" x14ac:dyDescent="0.2">
      <c r="M42" s="26">
        <f>$E$4/3</f>
        <v>0</v>
      </c>
      <c r="N42" s="7">
        <f>-$E$7*M42^2/2</f>
        <v>0</v>
      </c>
      <c r="O42" s="79">
        <f>-$E$7*M42</f>
        <v>0</v>
      </c>
      <c r="P42" s="2"/>
      <c r="Q42" s="61">
        <f>$G$4/3</f>
        <v>0</v>
      </c>
      <c r="R42" s="8">
        <f>-$Q$16-$G$7*Q42^2/2+$P$22*Q42</f>
        <v>0</v>
      </c>
      <c r="S42" s="87">
        <f t="shared" ref="S42:S44" si="1">$P$22-$G$7*Q42</f>
        <v>0</v>
      </c>
      <c r="T42" s="2"/>
      <c r="U42" s="78">
        <f t="shared" si="0"/>
        <v>0</v>
      </c>
      <c r="V42" s="7">
        <f t="shared" si="0"/>
        <v>0</v>
      </c>
      <c r="W42" s="79">
        <f t="shared" si="0"/>
        <v>0</v>
      </c>
      <c r="X42" s="2"/>
      <c r="Y42" s="2"/>
      <c r="Z42" s="2"/>
      <c r="AA42" s="2"/>
      <c r="AB42" s="2"/>
      <c r="AC42" s="2"/>
      <c r="AD42" s="2"/>
      <c r="AE42" s="22"/>
    </row>
    <row r="43" spans="13:31" x14ac:dyDescent="0.2">
      <c r="M43" s="26">
        <f>2*$E$4/3</f>
        <v>0</v>
      </c>
      <c r="N43" s="7">
        <f>-$E$7*M43^2/2</f>
        <v>0</v>
      </c>
      <c r="O43" s="79">
        <f>-$E$7*M43</f>
        <v>0</v>
      </c>
      <c r="P43" s="2"/>
      <c r="Q43" s="61">
        <f>2*$G$4/3</f>
        <v>0</v>
      </c>
      <c r="R43" s="8">
        <f>-$Q$16-$G$7*Q43^2/2+$P$22*Q43</f>
        <v>0</v>
      </c>
      <c r="S43" s="87">
        <f t="shared" si="1"/>
        <v>0</v>
      </c>
      <c r="T43" s="2"/>
      <c r="U43" s="78">
        <f t="shared" si="0"/>
        <v>0</v>
      </c>
      <c r="V43" s="7">
        <f t="shared" si="0"/>
        <v>0</v>
      </c>
      <c r="W43" s="79">
        <f t="shared" si="0"/>
        <v>0</v>
      </c>
      <c r="X43" s="2"/>
      <c r="Y43" s="2"/>
      <c r="Z43" s="2"/>
      <c r="AA43" s="2"/>
      <c r="AB43" s="2"/>
      <c r="AC43" s="2"/>
      <c r="AD43" s="2"/>
      <c r="AE43" s="22"/>
    </row>
    <row r="44" spans="13:31" ht="12.75" thickBot="1" x14ac:dyDescent="0.25">
      <c r="M44" s="105">
        <f>3*$E$4/3</f>
        <v>0</v>
      </c>
      <c r="N44" s="80">
        <f>-$E$7*M44^2/2</f>
        <v>0</v>
      </c>
      <c r="O44" s="81">
        <f>-$E$7*M44</f>
        <v>0</v>
      </c>
      <c r="P44" s="2"/>
      <c r="Q44" s="63">
        <f>3*$G$4/3</f>
        <v>0</v>
      </c>
      <c r="R44" s="88">
        <f>-$Q$16-$G$7*Q44^2/2+$P$22*Q44</f>
        <v>0</v>
      </c>
      <c r="S44" s="69">
        <f t="shared" si="1"/>
        <v>0</v>
      </c>
      <c r="T44" s="2"/>
      <c r="U44" s="78">
        <f t="shared" si="0"/>
        <v>0</v>
      </c>
      <c r="V44" s="7">
        <f t="shared" si="0"/>
        <v>0</v>
      </c>
      <c r="W44" s="79">
        <f t="shared" si="0"/>
        <v>0</v>
      </c>
      <c r="X44" s="2"/>
      <c r="Y44" s="2"/>
      <c r="Z44" s="2"/>
      <c r="AA44" s="2"/>
      <c r="AB44" s="2"/>
      <c r="AC44" s="2"/>
      <c r="AD44" s="2"/>
      <c r="AE44" s="22"/>
    </row>
    <row r="45" spans="13:31" x14ac:dyDescent="0.2">
      <c r="M45" s="24"/>
      <c r="N45" s="3"/>
      <c r="O45" s="3"/>
      <c r="P45" s="2"/>
      <c r="Q45" s="2"/>
      <c r="R45" s="2"/>
      <c r="S45" s="2"/>
      <c r="T45" s="2"/>
      <c r="U45" s="85">
        <f t="shared" ref="U45:U53" si="2">$U$44+M49</f>
        <v>0</v>
      </c>
      <c r="V45" s="10">
        <f>N49</f>
        <v>0</v>
      </c>
      <c r="W45" s="86">
        <f>O49</f>
        <v>0</v>
      </c>
      <c r="X45" s="2"/>
      <c r="Y45" s="2"/>
      <c r="Z45" s="2"/>
      <c r="AA45" s="2"/>
      <c r="AB45" s="2"/>
      <c r="AC45" s="2"/>
      <c r="AD45" s="2"/>
      <c r="AE45" s="22"/>
    </row>
    <row r="46" spans="13:31" ht="12.75" thickBot="1" x14ac:dyDescent="0.25">
      <c r="M46" s="24"/>
      <c r="N46" s="3"/>
      <c r="O46" s="3"/>
      <c r="P46" s="2"/>
      <c r="Q46" s="2"/>
      <c r="R46" s="2"/>
      <c r="S46" s="2"/>
      <c r="T46" s="3"/>
      <c r="U46" s="85">
        <f t="shared" si="2"/>
        <v>0.15</v>
      </c>
      <c r="V46" s="10">
        <f t="shared" ref="V46:W53" si="3">N50</f>
        <v>0</v>
      </c>
      <c r="W46" s="86">
        <f t="shared" si="3"/>
        <v>0</v>
      </c>
      <c r="X46" s="2"/>
      <c r="Y46" s="2"/>
      <c r="Z46" s="2"/>
      <c r="AA46" s="2"/>
      <c r="AB46" s="2" t="s">
        <v>6</v>
      </c>
      <c r="AC46" s="2"/>
      <c r="AD46" s="2"/>
      <c r="AE46" s="22"/>
    </row>
    <row r="47" spans="13:31" ht="12.75" thickBot="1" x14ac:dyDescent="0.25">
      <c r="M47" s="23" t="s">
        <v>14</v>
      </c>
      <c r="N47" s="2"/>
      <c r="O47" s="2"/>
      <c r="P47" s="2"/>
      <c r="Q47" s="2"/>
      <c r="R47" s="2"/>
      <c r="S47" s="2"/>
      <c r="T47" s="3"/>
      <c r="U47" s="85">
        <f t="shared" si="2"/>
        <v>0.3</v>
      </c>
      <c r="V47" s="10">
        <f t="shared" si="3"/>
        <v>0</v>
      </c>
      <c r="W47" s="86">
        <f t="shared" si="3"/>
        <v>0</v>
      </c>
      <c r="X47" s="2"/>
      <c r="Y47" s="2"/>
      <c r="Z47" s="2"/>
      <c r="AA47" s="2"/>
      <c r="AB47" s="59" t="s">
        <v>2</v>
      </c>
      <c r="AC47" s="60" t="s">
        <v>5</v>
      </c>
      <c r="AD47" s="2"/>
      <c r="AE47" s="22"/>
    </row>
    <row r="48" spans="13:31" x14ac:dyDescent="0.2">
      <c r="M48" s="106" t="s">
        <v>2</v>
      </c>
      <c r="N48" s="84" t="s">
        <v>3</v>
      </c>
      <c r="O48" s="60" t="s">
        <v>4</v>
      </c>
      <c r="P48" s="2"/>
      <c r="Q48" s="2"/>
      <c r="R48" s="2"/>
      <c r="S48" s="2"/>
      <c r="T48" s="2"/>
      <c r="U48" s="85">
        <f t="shared" si="2"/>
        <v>0.44999999999999996</v>
      </c>
      <c r="V48" s="10">
        <f t="shared" si="3"/>
        <v>0</v>
      </c>
      <c r="W48" s="86">
        <f t="shared" si="3"/>
        <v>0</v>
      </c>
      <c r="X48" s="2"/>
      <c r="Y48" s="2"/>
      <c r="Z48" s="2"/>
      <c r="AA48" s="2"/>
      <c r="AB48" s="61">
        <v>0</v>
      </c>
      <c r="AC48" s="62">
        <v>0</v>
      </c>
      <c r="AD48" s="2"/>
      <c r="AE48" s="22"/>
    </row>
    <row r="49" spans="13:31" x14ac:dyDescent="0.2">
      <c r="M49" s="107">
        <v>0</v>
      </c>
      <c r="N49" s="10">
        <f t="shared" ref="N49:N57" si="4">-$Q$15-$F$7*M49^2/2+$N$22*M49</f>
        <v>0</v>
      </c>
      <c r="O49" s="86">
        <f t="shared" ref="O49:O57" si="5">-$F$7*M49+$N$22</f>
        <v>0</v>
      </c>
      <c r="P49" s="2"/>
      <c r="Q49" s="2"/>
      <c r="R49" s="2"/>
      <c r="S49" s="2"/>
      <c r="T49" s="2"/>
      <c r="U49" s="85">
        <f t="shared" si="2"/>
        <v>0.6</v>
      </c>
      <c r="V49" s="10">
        <f t="shared" si="3"/>
        <v>0</v>
      </c>
      <c r="W49" s="86">
        <f t="shared" si="3"/>
        <v>0</v>
      </c>
      <c r="X49" s="2"/>
      <c r="Y49" s="2"/>
      <c r="Z49" s="2"/>
      <c r="AA49" s="2"/>
      <c r="AB49" s="61">
        <f>E4</f>
        <v>0</v>
      </c>
      <c r="AC49" s="62">
        <v>0</v>
      </c>
      <c r="AD49" s="2"/>
      <c r="AE49" s="22"/>
    </row>
    <row r="50" spans="13:31" x14ac:dyDescent="0.2">
      <c r="M50" s="107">
        <f>$F$4/8</f>
        <v>0.15</v>
      </c>
      <c r="N50" s="10">
        <f t="shared" si="4"/>
        <v>0</v>
      </c>
      <c r="O50" s="86">
        <f t="shared" si="5"/>
        <v>0</v>
      </c>
      <c r="P50" s="2"/>
      <c r="Q50" s="2"/>
      <c r="R50" s="2"/>
      <c r="S50" s="2"/>
      <c r="T50" s="2"/>
      <c r="U50" s="85">
        <f t="shared" si="2"/>
        <v>0.75</v>
      </c>
      <c r="V50" s="10">
        <f t="shared" si="3"/>
        <v>0</v>
      </c>
      <c r="W50" s="86">
        <f t="shared" si="3"/>
        <v>0</v>
      </c>
      <c r="X50" s="2"/>
      <c r="Y50" s="2"/>
      <c r="Z50" s="2"/>
      <c r="AA50" s="2"/>
      <c r="AB50" s="61">
        <f>AB49+F4</f>
        <v>1.2</v>
      </c>
      <c r="AC50" s="62">
        <v>0</v>
      </c>
      <c r="AD50" s="2"/>
      <c r="AE50" s="22"/>
    </row>
    <row r="51" spans="13:31" ht="12.75" thickBot="1" x14ac:dyDescent="0.25">
      <c r="M51" s="107">
        <f>2*$F$4/8</f>
        <v>0.3</v>
      </c>
      <c r="N51" s="10">
        <f t="shared" si="4"/>
        <v>0</v>
      </c>
      <c r="O51" s="86">
        <f t="shared" si="5"/>
        <v>0</v>
      </c>
      <c r="P51" s="2"/>
      <c r="Q51" s="2"/>
      <c r="R51" s="2"/>
      <c r="S51" s="2"/>
      <c r="T51" s="2"/>
      <c r="U51" s="85">
        <f t="shared" si="2"/>
        <v>0.89999999999999991</v>
      </c>
      <c r="V51" s="10">
        <f t="shared" si="3"/>
        <v>0</v>
      </c>
      <c r="W51" s="86">
        <f t="shared" si="3"/>
        <v>0</v>
      </c>
      <c r="X51" s="2"/>
      <c r="Y51" s="2"/>
      <c r="Z51" s="2"/>
      <c r="AA51" s="2"/>
      <c r="AB51" s="63">
        <f>AB50+G4</f>
        <v>1.2</v>
      </c>
      <c r="AC51" s="64">
        <v>0</v>
      </c>
      <c r="AD51" s="2"/>
      <c r="AE51" s="22"/>
    </row>
    <row r="52" spans="13:31" x14ac:dyDescent="0.2">
      <c r="M52" s="107">
        <f>3*$F$4/8</f>
        <v>0.44999999999999996</v>
      </c>
      <c r="N52" s="10">
        <f t="shared" si="4"/>
        <v>0</v>
      </c>
      <c r="O52" s="86">
        <f t="shared" si="5"/>
        <v>0</v>
      </c>
      <c r="P52" s="2"/>
      <c r="Q52" s="2"/>
      <c r="R52" s="2"/>
      <c r="S52" s="2"/>
      <c r="T52" s="2"/>
      <c r="U52" s="85">
        <f t="shared" si="2"/>
        <v>1.05</v>
      </c>
      <c r="V52" s="10">
        <f t="shared" si="3"/>
        <v>0</v>
      </c>
      <c r="W52" s="86">
        <f t="shared" si="3"/>
        <v>0</v>
      </c>
      <c r="X52" s="2"/>
      <c r="Y52" s="2"/>
      <c r="Z52" s="2"/>
      <c r="AA52" s="2"/>
      <c r="AB52" s="11"/>
      <c r="AC52" s="3"/>
      <c r="AD52" s="2"/>
      <c r="AE52" s="22"/>
    </row>
    <row r="53" spans="13:31" x14ac:dyDescent="0.2">
      <c r="M53" s="107">
        <f>4*$F$4/8</f>
        <v>0.6</v>
      </c>
      <c r="N53" s="10">
        <f t="shared" si="4"/>
        <v>0</v>
      </c>
      <c r="O53" s="86">
        <f t="shared" si="5"/>
        <v>0</v>
      </c>
      <c r="P53" s="2"/>
      <c r="Q53" s="2"/>
      <c r="R53" s="2"/>
      <c r="S53" s="2"/>
      <c r="T53" s="2"/>
      <c r="U53" s="85">
        <f t="shared" si="2"/>
        <v>1.2</v>
      </c>
      <c r="V53" s="10">
        <f t="shared" si="3"/>
        <v>0</v>
      </c>
      <c r="W53" s="86">
        <f t="shared" si="3"/>
        <v>0</v>
      </c>
      <c r="X53" s="2"/>
      <c r="Y53" s="2"/>
      <c r="Z53" s="2"/>
      <c r="AA53" s="2"/>
      <c r="AB53" s="11"/>
      <c r="AC53" s="3"/>
      <c r="AD53" s="2"/>
      <c r="AE53" s="22"/>
    </row>
    <row r="54" spans="13:31" x14ac:dyDescent="0.2">
      <c r="M54" s="107">
        <f>5*$F$4/8</f>
        <v>0.75</v>
      </c>
      <c r="N54" s="10">
        <f t="shared" si="4"/>
        <v>0</v>
      </c>
      <c r="O54" s="86">
        <f t="shared" si="5"/>
        <v>0</v>
      </c>
      <c r="P54" s="2"/>
      <c r="Q54" s="2"/>
      <c r="R54" s="2"/>
      <c r="S54" s="2"/>
      <c r="T54" s="2"/>
      <c r="U54" s="92">
        <f>$U$53+Q41</f>
        <v>1.2</v>
      </c>
      <c r="V54" s="82">
        <f>R41</f>
        <v>0</v>
      </c>
      <c r="W54" s="93">
        <f>S41</f>
        <v>0</v>
      </c>
      <c r="X54" s="2"/>
      <c r="Y54" s="2"/>
      <c r="Z54" s="2"/>
      <c r="AA54" s="2"/>
      <c r="AB54" s="11"/>
      <c r="AC54" s="3"/>
      <c r="AD54" s="2"/>
      <c r="AE54" s="22"/>
    </row>
    <row r="55" spans="13:31" x14ac:dyDescent="0.2">
      <c r="M55" s="107">
        <f>6*$F$4/8</f>
        <v>0.89999999999999991</v>
      </c>
      <c r="N55" s="10">
        <f t="shared" si="4"/>
        <v>0</v>
      </c>
      <c r="O55" s="86">
        <f t="shared" si="5"/>
        <v>0</v>
      </c>
      <c r="P55" s="2"/>
      <c r="Q55" s="2"/>
      <c r="R55" s="2"/>
      <c r="S55" s="2"/>
      <c r="T55" s="2"/>
      <c r="U55" s="92">
        <f t="shared" ref="U55:U57" si="6">$U$53+Q42</f>
        <v>1.2</v>
      </c>
      <c r="V55" s="82">
        <f t="shared" ref="V55:W57" si="7">R42</f>
        <v>0</v>
      </c>
      <c r="W55" s="93">
        <f t="shared" si="7"/>
        <v>0</v>
      </c>
      <c r="X55" s="2"/>
      <c r="Y55" s="2"/>
      <c r="Z55" s="2"/>
      <c r="AA55" s="2"/>
      <c r="AB55" s="2"/>
      <c r="AC55" s="2"/>
      <c r="AD55" s="2"/>
      <c r="AE55" s="22"/>
    </row>
    <row r="56" spans="13:31" x14ac:dyDescent="0.2">
      <c r="M56" s="107">
        <f>7*$F$4/8</f>
        <v>1.05</v>
      </c>
      <c r="N56" s="10">
        <f t="shared" si="4"/>
        <v>0</v>
      </c>
      <c r="O56" s="86">
        <f t="shared" si="5"/>
        <v>0</v>
      </c>
      <c r="P56" s="2"/>
      <c r="Q56" s="2"/>
      <c r="R56" s="2"/>
      <c r="S56" s="2"/>
      <c r="T56" s="2"/>
      <c r="U56" s="92">
        <f t="shared" si="6"/>
        <v>1.2</v>
      </c>
      <c r="V56" s="82">
        <f t="shared" si="7"/>
        <v>0</v>
      </c>
      <c r="W56" s="93">
        <f t="shared" si="7"/>
        <v>0</v>
      </c>
      <c r="X56" s="2"/>
      <c r="Y56" s="2"/>
      <c r="Z56" s="2"/>
      <c r="AA56" s="2"/>
      <c r="AB56" s="2"/>
      <c r="AC56" s="2"/>
      <c r="AD56" s="2"/>
      <c r="AE56" s="22"/>
    </row>
    <row r="57" spans="13:31" ht="12.75" thickBot="1" x14ac:dyDescent="0.25">
      <c r="M57" s="108">
        <f>8*$F$4/8</f>
        <v>1.2</v>
      </c>
      <c r="N57" s="109">
        <f t="shared" si="4"/>
        <v>0</v>
      </c>
      <c r="O57" s="110">
        <f t="shared" si="5"/>
        <v>0</v>
      </c>
      <c r="P57" s="27"/>
      <c r="Q57" s="27"/>
      <c r="R57" s="27"/>
      <c r="S57" s="27"/>
      <c r="T57" s="27"/>
      <c r="U57" s="111">
        <f t="shared" si="6"/>
        <v>1.2</v>
      </c>
      <c r="V57" s="112">
        <f t="shared" si="7"/>
        <v>0</v>
      </c>
      <c r="W57" s="113">
        <f t="shared" si="7"/>
        <v>0</v>
      </c>
      <c r="X57" s="27"/>
      <c r="Y57" s="27"/>
      <c r="Z57" s="27"/>
      <c r="AA57" s="27"/>
      <c r="AB57" s="27"/>
      <c r="AC57" s="27"/>
      <c r="AD57" s="27"/>
      <c r="AE57" s="28"/>
    </row>
    <row r="58" spans="13:31" ht="12.75" thickTop="1" x14ac:dyDescent="0.2">
      <c r="M58" s="19"/>
      <c r="N58" s="19"/>
      <c r="O58" s="19"/>
      <c r="P58" s="19"/>
      <c r="Q58" s="114"/>
      <c r="R58" s="114"/>
      <c r="S58" s="114"/>
      <c r="T58" s="19"/>
      <c r="U58" s="114"/>
      <c r="V58" s="114"/>
      <c r="W58" s="114"/>
      <c r="X58" s="19"/>
      <c r="Y58" s="19"/>
      <c r="Z58" s="19"/>
      <c r="AA58" s="19"/>
      <c r="AB58" s="19"/>
      <c r="AC58" s="19"/>
      <c r="AD58" s="19"/>
      <c r="AE58" s="19"/>
    </row>
    <row r="59" spans="13:31" x14ac:dyDescent="0.2">
      <c r="M59" s="15"/>
      <c r="N59" s="15"/>
      <c r="O59" s="15"/>
      <c r="P59" s="2"/>
      <c r="Q59" s="15"/>
      <c r="R59" s="15"/>
      <c r="S59" s="15"/>
      <c r="T59" s="2"/>
      <c r="U59" s="15"/>
      <c r="V59" s="15"/>
      <c r="W59" s="15"/>
      <c r="X59" s="2"/>
      <c r="Y59" s="2"/>
      <c r="Z59" s="2"/>
      <c r="AA59" s="2"/>
      <c r="AB59" s="2"/>
      <c r="AC59" s="2"/>
      <c r="AD59" s="2"/>
      <c r="AE59" s="2"/>
    </row>
    <row r="60" spans="13:31" x14ac:dyDescent="0.2">
      <c r="M60" s="15"/>
      <c r="N60" s="15"/>
      <c r="O60" s="15"/>
      <c r="P60" s="2"/>
      <c r="Q60" s="15"/>
      <c r="R60" s="15"/>
      <c r="S60" s="15"/>
      <c r="T60" s="2"/>
      <c r="U60" s="15"/>
      <c r="V60" s="15"/>
      <c r="W60" s="15"/>
      <c r="X60" s="2"/>
      <c r="Y60" s="2"/>
      <c r="Z60" s="2"/>
      <c r="AA60" s="2"/>
      <c r="AB60" s="2"/>
      <c r="AC60" s="2"/>
      <c r="AD60" s="2"/>
      <c r="AE60" s="2"/>
    </row>
    <row r="61" spans="13:31" x14ac:dyDescent="0.2">
      <c r="M61" s="15"/>
      <c r="N61" s="15"/>
      <c r="O61" s="15"/>
      <c r="P61" s="2"/>
      <c r="Q61" s="15"/>
      <c r="R61" s="15"/>
      <c r="S61" s="15"/>
      <c r="T61" s="2"/>
      <c r="U61" s="15"/>
      <c r="V61" s="15"/>
      <c r="W61" s="15"/>
      <c r="X61" s="2"/>
      <c r="Y61" s="2"/>
      <c r="Z61" s="2"/>
      <c r="AA61" s="2"/>
      <c r="AB61" s="2"/>
      <c r="AC61" s="2"/>
      <c r="AD61" s="2"/>
      <c r="AE61" s="2"/>
    </row>
    <row r="62" spans="13:31" x14ac:dyDescent="0.2">
      <c r="M62" s="2"/>
      <c r="N62" s="2"/>
      <c r="O62" s="2"/>
      <c r="P62" s="2"/>
      <c r="Q62" s="2"/>
      <c r="R62" s="2"/>
      <c r="S62" s="2"/>
      <c r="T62" s="2"/>
      <c r="U62" s="15"/>
      <c r="V62" s="15"/>
      <c r="W62" s="15"/>
      <c r="X62" s="2"/>
      <c r="Y62" s="2"/>
      <c r="Z62" s="2"/>
      <c r="AA62" s="2"/>
      <c r="AB62" s="2"/>
      <c r="AC62" s="2"/>
      <c r="AD62" s="2"/>
      <c r="AE62" s="2"/>
    </row>
    <row r="63" spans="13:31" x14ac:dyDescent="0.2"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</row>
    <row r="64" spans="13:31" x14ac:dyDescent="0.2"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</row>
    <row r="65" spans="13:40" x14ac:dyDescent="0.2">
      <c r="M65" s="5"/>
      <c r="N65" s="5"/>
      <c r="O65" s="3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</row>
    <row r="66" spans="13:40" x14ac:dyDescent="0.2">
      <c r="M66" s="5"/>
      <c r="N66" s="15"/>
      <c r="O66" s="15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</row>
    <row r="72" spans="13:40" x14ac:dyDescent="0.2"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</row>
    <row r="73" spans="13:40" x14ac:dyDescent="0.2">
      <c r="V73" s="5"/>
      <c r="W73" s="15"/>
      <c r="X73" s="15"/>
      <c r="Y73" s="2"/>
      <c r="Z73" s="2"/>
      <c r="AA73" s="2"/>
      <c r="AB73" s="2"/>
      <c r="AC73" s="2"/>
      <c r="AD73" s="15"/>
      <c r="AE73" s="15"/>
      <c r="AF73" s="15"/>
      <c r="AG73" s="2"/>
      <c r="AH73" s="2"/>
      <c r="AI73" s="2"/>
      <c r="AJ73" s="2"/>
      <c r="AK73" s="2"/>
      <c r="AL73" s="2"/>
      <c r="AM73" s="2"/>
      <c r="AN73" s="2"/>
    </row>
    <row r="74" spans="13:40" x14ac:dyDescent="0.2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13:40" x14ac:dyDescent="0.2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13:40" x14ac:dyDescent="0.2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13:40" x14ac:dyDescent="0.2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13:40" x14ac:dyDescent="0.2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13:40" x14ac:dyDescent="0.2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13:40" x14ac:dyDescent="0.2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1:AT100"/>
  <sheetViews>
    <sheetView topLeftCell="H29" zoomScale="85" zoomScaleNormal="85" workbookViewId="0">
      <selection activeCell="Z12" sqref="Z12"/>
    </sheetView>
  </sheetViews>
  <sheetFormatPr defaultColWidth="9.140625" defaultRowHeight="12" x14ac:dyDescent="0.2"/>
  <cols>
    <col min="1" max="16384" width="9.140625" style="1"/>
  </cols>
  <sheetData>
    <row r="1" spans="1:31" ht="15.75" customHeight="1" thickBot="1" x14ac:dyDescent="0.25">
      <c r="A1" s="334" t="s">
        <v>28</v>
      </c>
      <c r="B1" s="334"/>
      <c r="C1" s="334"/>
      <c r="D1" s="334"/>
      <c r="E1" s="334"/>
      <c r="F1" s="334"/>
      <c r="G1" s="334"/>
      <c r="H1" s="334"/>
      <c r="I1" s="334"/>
      <c r="J1" s="334"/>
      <c r="K1" s="2"/>
    </row>
    <row r="2" spans="1:31" ht="12.75" thickTop="1" x14ac:dyDescent="0.2">
      <c r="E2" s="12"/>
    </row>
    <row r="3" spans="1:31" ht="13.5" x14ac:dyDescent="0.25">
      <c r="C3" s="12" t="s">
        <v>29</v>
      </c>
      <c r="E3" s="13" t="s">
        <v>32</v>
      </c>
      <c r="F3" s="13" t="s">
        <v>33</v>
      </c>
      <c r="G3" s="13" t="s">
        <v>34</v>
      </c>
    </row>
    <row r="4" spans="1:31" x14ac:dyDescent="0.2">
      <c r="E4" s="14">
        <f>'C-Trave'!E15</f>
        <v>0</v>
      </c>
      <c r="F4" s="14">
        <f>'C-Trave'!F15</f>
        <v>1.2</v>
      </c>
      <c r="G4" s="14">
        <f>'C-Trave'!G15</f>
        <v>0</v>
      </c>
    </row>
    <row r="6" spans="1:31" ht="13.5" x14ac:dyDescent="0.25">
      <c r="C6" s="12" t="s">
        <v>41</v>
      </c>
      <c r="E6" s="13" t="s">
        <v>35</v>
      </c>
      <c r="F6" s="13" t="s">
        <v>36</v>
      </c>
      <c r="G6" s="13" t="s">
        <v>37</v>
      </c>
    </row>
    <row r="7" spans="1:31" x14ac:dyDescent="0.2">
      <c r="D7" s="1" t="s">
        <v>42</v>
      </c>
      <c r="E7" s="14">
        <f>'C-Trave'!E30</f>
        <v>0</v>
      </c>
      <c r="F7" s="14">
        <f>'C-Trave'!F30</f>
        <v>0</v>
      </c>
      <c r="G7" s="14">
        <f>'C-Trave'!G30</f>
        <v>0</v>
      </c>
    </row>
    <row r="8" spans="1:31" x14ac:dyDescent="0.2">
      <c r="E8" s="14"/>
      <c r="F8" s="14"/>
      <c r="G8" s="14"/>
      <c r="H8" s="15"/>
    </row>
    <row r="9" spans="1:31" ht="12.75" thickBot="1" x14ac:dyDescent="0.25">
      <c r="E9" s="14"/>
      <c r="F9" s="14"/>
      <c r="G9" s="14"/>
      <c r="H9" s="15"/>
    </row>
    <row r="10" spans="1:31" ht="13.5" thickTop="1" thickBot="1" x14ac:dyDescent="0.25">
      <c r="E10" s="14"/>
      <c r="F10" s="14"/>
      <c r="G10" s="14"/>
      <c r="H10" s="15"/>
      <c r="M10" s="54"/>
      <c r="N10" s="55"/>
      <c r="O10" s="55"/>
      <c r="P10" s="19"/>
      <c r="Q10" s="20"/>
      <c r="R10" s="20"/>
      <c r="S10" s="20"/>
      <c r="T10" s="19"/>
      <c r="U10" s="19"/>
      <c r="V10" s="56"/>
      <c r="W10" s="19"/>
      <c r="X10" s="19"/>
      <c r="Y10" s="20" t="s">
        <v>16</v>
      </c>
      <c r="Z10" s="20"/>
      <c r="AA10" s="19"/>
      <c r="AB10" s="19" t="s">
        <v>26</v>
      </c>
      <c r="AC10" s="19"/>
      <c r="AD10" s="19"/>
      <c r="AE10" s="21"/>
    </row>
    <row r="11" spans="1:31" x14ac:dyDescent="0.2">
      <c r="E11" s="14"/>
      <c r="F11" s="14"/>
      <c r="G11" s="14"/>
      <c r="H11" s="15"/>
      <c r="M11" s="49"/>
      <c r="N11" s="5"/>
      <c r="O11" s="5"/>
      <c r="P11" s="2"/>
      <c r="Q11" s="3"/>
      <c r="R11" s="3"/>
      <c r="S11" s="3"/>
      <c r="T11" s="2"/>
      <c r="U11" s="2"/>
      <c r="V11" s="44"/>
      <c r="W11" s="2"/>
      <c r="X11" s="2"/>
      <c r="Y11" s="59">
        <v>0</v>
      </c>
      <c r="Z11" s="60">
        <f>5+MAX('C-car.4'!Z11:Z29)</f>
        <v>34.14</v>
      </c>
      <c r="AA11" s="2"/>
      <c r="AB11" s="67">
        <f>AB49</f>
        <v>0</v>
      </c>
      <c r="AC11" s="68">
        <v>0</v>
      </c>
      <c r="AD11" s="2"/>
      <c r="AE11" s="22"/>
    </row>
    <row r="12" spans="1:31" x14ac:dyDescent="0.2">
      <c r="C12" s="15"/>
      <c r="D12" s="15"/>
      <c r="E12" s="15"/>
      <c r="F12" s="15"/>
      <c r="G12" s="15"/>
      <c r="H12" s="15"/>
      <c r="M12" s="49"/>
      <c r="N12" s="3"/>
      <c r="O12" s="5"/>
      <c r="P12" s="2"/>
      <c r="Q12" s="3"/>
      <c r="R12" s="3"/>
      <c r="S12" s="3"/>
      <c r="T12" s="2"/>
      <c r="U12" s="2"/>
      <c r="V12" s="3"/>
      <c r="W12" s="2"/>
      <c r="X12" s="2"/>
      <c r="Y12" s="65">
        <f>E4</f>
        <v>0</v>
      </c>
      <c r="Z12" s="62">
        <f>Z11</f>
        <v>34.14</v>
      </c>
      <c r="AA12" s="2"/>
      <c r="AB12" s="61">
        <f>AB11</f>
        <v>0</v>
      </c>
      <c r="AC12" s="87">
        <f>V44</f>
        <v>0</v>
      </c>
      <c r="AD12" s="2"/>
      <c r="AE12" s="22"/>
    </row>
    <row r="13" spans="1:31" x14ac:dyDescent="0.2">
      <c r="C13" s="15"/>
      <c r="D13" s="15"/>
      <c r="E13" s="15"/>
      <c r="F13" s="15"/>
      <c r="G13" s="15"/>
      <c r="H13" s="15"/>
      <c r="M13" s="23"/>
      <c r="N13" s="3"/>
      <c r="O13" s="3"/>
      <c r="P13" s="3"/>
      <c r="Q13" s="3"/>
      <c r="R13" s="3"/>
      <c r="S13" s="3"/>
      <c r="T13" s="3"/>
      <c r="U13" s="3"/>
      <c r="V13" s="3"/>
      <c r="W13" s="2"/>
      <c r="X13" s="2"/>
      <c r="Y13" s="65">
        <f>Y12</f>
        <v>0</v>
      </c>
      <c r="Z13" s="62">
        <f>Z12+E7</f>
        <v>34.14</v>
      </c>
      <c r="AA13" s="2"/>
      <c r="AB13" s="61">
        <f>AB50</f>
        <v>1.2</v>
      </c>
      <c r="AC13" s="87">
        <v>0</v>
      </c>
      <c r="AD13" s="2"/>
      <c r="AE13" s="22"/>
    </row>
    <row r="14" spans="1:31" ht="12.75" thickBot="1" x14ac:dyDescent="0.25">
      <c r="C14" s="15"/>
      <c r="D14" s="15"/>
      <c r="E14" s="15"/>
      <c r="F14" s="15"/>
      <c r="G14" s="15"/>
      <c r="H14" s="15"/>
      <c r="M14" s="23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65">
        <v>0</v>
      </c>
      <c r="Z14" s="62">
        <f>Z13</f>
        <v>34.14</v>
      </c>
      <c r="AA14" s="2"/>
      <c r="AB14" s="63">
        <f>AB13</f>
        <v>1.2</v>
      </c>
      <c r="AC14" s="69">
        <f>V53</f>
        <v>0</v>
      </c>
      <c r="AD14" s="2"/>
      <c r="AE14" s="22"/>
    </row>
    <row r="15" spans="1:31" ht="15" customHeight="1" thickBot="1" x14ac:dyDescent="0.25">
      <c r="A15" s="345" t="s">
        <v>31</v>
      </c>
      <c r="B15" s="345"/>
      <c r="C15" s="345"/>
      <c r="D15" s="345"/>
      <c r="E15" s="345"/>
      <c r="F15" s="345"/>
      <c r="G15" s="345"/>
      <c r="H15" s="345"/>
      <c r="I15" s="345"/>
      <c r="J15" s="345"/>
      <c r="M15" s="24"/>
      <c r="N15" s="11"/>
      <c r="O15" s="2"/>
      <c r="P15" s="59" t="s">
        <v>12</v>
      </c>
      <c r="Q15" s="68">
        <f>E7*E4^2/2</f>
        <v>0</v>
      </c>
      <c r="R15" s="2"/>
      <c r="S15" s="3"/>
      <c r="T15" s="3"/>
      <c r="U15" s="3"/>
      <c r="V15" s="2"/>
      <c r="W15" s="2"/>
      <c r="X15" s="2"/>
      <c r="Y15" s="66">
        <v>0</v>
      </c>
      <c r="Z15" s="64">
        <f>Z11</f>
        <v>34.14</v>
      </c>
      <c r="AA15" s="2"/>
      <c r="AB15" s="11"/>
      <c r="AC15" s="11"/>
      <c r="AD15" s="2"/>
      <c r="AE15" s="22"/>
    </row>
    <row r="16" spans="1:31" ht="12.75" thickBot="1" x14ac:dyDescent="0.25">
      <c r="M16" s="24"/>
      <c r="N16" s="11"/>
      <c r="O16" s="2"/>
      <c r="P16" s="66" t="s">
        <v>7</v>
      </c>
      <c r="Q16" s="69">
        <f>G7*G4^2/2</f>
        <v>0</v>
      </c>
      <c r="R16" s="2"/>
      <c r="S16" s="44"/>
      <c r="T16" s="44"/>
      <c r="U16" s="44"/>
      <c r="V16" s="2"/>
      <c r="W16" s="2"/>
      <c r="X16" s="2"/>
      <c r="Y16" s="2"/>
      <c r="Z16" s="2"/>
      <c r="AA16" s="2"/>
      <c r="AB16" s="11"/>
      <c r="AC16" s="11"/>
      <c r="AD16" s="2"/>
      <c r="AE16" s="22"/>
    </row>
    <row r="17" spans="1:46" s="46" customFormat="1" ht="14.25" thickBot="1" x14ac:dyDescent="0.3">
      <c r="D17" s="17" t="s">
        <v>30</v>
      </c>
      <c r="E17" s="16" t="s">
        <v>38</v>
      </c>
      <c r="F17" s="16" t="s">
        <v>39</v>
      </c>
      <c r="G17" s="16" t="s">
        <v>40</v>
      </c>
      <c r="H17" s="3"/>
      <c r="I17" s="3"/>
      <c r="K17" s="18"/>
      <c r="M17" s="24"/>
      <c r="N17" s="3"/>
      <c r="O17" s="2"/>
      <c r="P17" s="2"/>
      <c r="Q17" s="2"/>
      <c r="R17" s="2"/>
      <c r="S17" s="2"/>
      <c r="T17" s="2"/>
      <c r="U17" s="2"/>
      <c r="V17" s="2"/>
      <c r="W17" s="2"/>
      <c r="X17" s="2"/>
      <c r="Y17" s="3" t="s">
        <v>17</v>
      </c>
      <c r="Z17" s="3"/>
      <c r="AA17" s="2"/>
      <c r="AB17" s="11"/>
      <c r="AC17" s="11"/>
      <c r="AD17" s="2"/>
      <c r="AE17" s="22"/>
      <c r="AO17" s="1"/>
      <c r="AP17" s="1"/>
      <c r="AQ17" s="1"/>
      <c r="AR17" s="1"/>
      <c r="AS17" s="1"/>
      <c r="AT17" s="1"/>
    </row>
    <row r="18" spans="1:46" s="46" customFormat="1" x14ac:dyDescent="0.2">
      <c r="E18" s="16">
        <f>'C-Trave'!E77</f>
        <v>1</v>
      </c>
      <c r="F18" s="16">
        <f>'C-Trave'!F77</f>
        <v>9.9999999999999995E-8</v>
      </c>
      <c r="G18" s="16">
        <f>'C-Trave'!G77</f>
        <v>9.9999999999999995E-8</v>
      </c>
      <c r="H18" s="3"/>
      <c r="I18" s="3"/>
      <c r="M18" s="24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59">
        <f>E4</f>
        <v>0</v>
      </c>
      <c r="Z18" s="60">
        <f>Z11</f>
        <v>34.14</v>
      </c>
      <c r="AA18" s="2"/>
      <c r="AB18" s="11"/>
      <c r="AC18" s="11"/>
      <c r="AD18" s="2"/>
      <c r="AE18" s="22"/>
      <c r="AO18" s="1"/>
      <c r="AP18" s="1"/>
      <c r="AQ18" s="1"/>
      <c r="AR18" s="1"/>
      <c r="AS18" s="1"/>
      <c r="AT18" s="1"/>
    </row>
    <row r="19" spans="1:46" s="46" customFormat="1" x14ac:dyDescent="0.2">
      <c r="M19" s="23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61">
        <f>AB50</f>
        <v>1.2</v>
      </c>
      <c r="Z19" s="62">
        <f>Z18</f>
        <v>34.14</v>
      </c>
      <c r="AA19" s="2"/>
      <c r="AB19" s="11"/>
      <c r="AC19" s="11"/>
      <c r="AD19" s="2"/>
      <c r="AE19" s="22"/>
      <c r="AO19" s="1"/>
      <c r="AP19" s="1"/>
      <c r="AQ19" s="1"/>
      <c r="AR19" s="1"/>
      <c r="AS19" s="1"/>
      <c r="AT19" s="1"/>
    </row>
    <row r="20" spans="1:46" s="46" customFormat="1" ht="12.75" thickBot="1" x14ac:dyDescent="0.25">
      <c r="A20" s="17"/>
      <c r="B20" s="3"/>
      <c r="C20" s="3"/>
      <c r="D20" s="3"/>
      <c r="F20" s="45"/>
      <c r="G20" s="3"/>
      <c r="H20" s="3"/>
      <c r="I20" s="3"/>
      <c r="M20" s="24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61">
        <f>Y19</f>
        <v>1.2</v>
      </c>
      <c r="Z20" s="62">
        <f>Z19+F7</f>
        <v>34.14</v>
      </c>
      <c r="AA20" s="3"/>
      <c r="AB20" s="11"/>
      <c r="AC20" s="11"/>
      <c r="AD20" s="2"/>
      <c r="AE20" s="22"/>
    </row>
    <row r="21" spans="1:46" s="46" customFormat="1" x14ac:dyDescent="0.2">
      <c r="A21" s="1"/>
      <c r="B21" s="3"/>
      <c r="C21" s="3"/>
      <c r="D21" s="3"/>
      <c r="F21" s="3"/>
      <c r="G21" s="3"/>
      <c r="H21" s="3"/>
      <c r="I21" s="3"/>
      <c r="M21" s="98" t="s">
        <v>8</v>
      </c>
      <c r="N21" s="70" t="s">
        <v>9</v>
      </c>
      <c r="O21" s="70" t="s">
        <v>10</v>
      </c>
      <c r="P21" s="70" t="s">
        <v>11</v>
      </c>
      <c r="Q21" s="3"/>
      <c r="R21" s="3"/>
      <c r="S21" s="3"/>
      <c r="T21" s="3"/>
      <c r="U21" s="3"/>
      <c r="V21" s="3"/>
      <c r="W21" s="3"/>
      <c r="X21" s="3"/>
      <c r="Y21" s="65">
        <f>Y18</f>
        <v>0</v>
      </c>
      <c r="Z21" s="62">
        <f>Z20</f>
        <v>34.14</v>
      </c>
      <c r="AA21" s="3"/>
      <c r="AB21" s="11"/>
      <c r="AC21" s="11"/>
      <c r="AD21" s="2"/>
      <c r="AE21" s="22"/>
    </row>
    <row r="22" spans="1:46" ht="12.75" thickBot="1" x14ac:dyDescent="0.25">
      <c r="M22" s="99">
        <f>E7*E4</f>
        <v>0</v>
      </c>
      <c r="N22" s="71">
        <f>F7*F4-O22</f>
        <v>0</v>
      </c>
      <c r="O22" s="71">
        <f>(F7*F4^2/2+Q16-Q15)/F4</f>
        <v>0</v>
      </c>
      <c r="P22" s="71">
        <f>G7*G4</f>
        <v>0</v>
      </c>
      <c r="Q22" s="11"/>
      <c r="R22" s="11"/>
      <c r="S22" s="11"/>
      <c r="T22" s="11"/>
      <c r="U22" s="11"/>
      <c r="V22" s="11"/>
      <c r="W22" s="3"/>
      <c r="X22" s="3"/>
      <c r="Y22" s="66">
        <f>Y18</f>
        <v>0</v>
      </c>
      <c r="Z22" s="64">
        <f>Z18</f>
        <v>34.14</v>
      </c>
      <c r="AA22" s="3"/>
      <c r="AB22" s="11"/>
      <c r="AC22" s="11"/>
      <c r="AD22" s="2"/>
      <c r="AE22" s="22"/>
    </row>
    <row r="23" spans="1:46" x14ac:dyDescent="0.2">
      <c r="M23" s="24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2"/>
      <c r="Z23" s="2"/>
      <c r="AA23" s="3"/>
      <c r="AB23" s="3"/>
      <c r="AC23" s="3"/>
      <c r="AD23" s="3"/>
      <c r="AE23" s="25"/>
    </row>
    <row r="24" spans="1:46" ht="12.75" thickBot="1" x14ac:dyDescent="0.25">
      <c r="M24" s="24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 t="s">
        <v>18</v>
      </c>
      <c r="Z24" s="3"/>
      <c r="AA24" s="3"/>
      <c r="AB24" s="3"/>
      <c r="AC24" s="3"/>
      <c r="AD24" s="3"/>
      <c r="AE24" s="25"/>
    </row>
    <row r="25" spans="1:46" ht="12.75" thickBot="1" x14ac:dyDescent="0.25">
      <c r="M25" s="23"/>
      <c r="N25" s="2"/>
      <c r="O25" s="59" t="s">
        <v>0</v>
      </c>
      <c r="P25" s="60" t="s">
        <v>1</v>
      </c>
      <c r="Q25" s="3"/>
      <c r="R25" s="3"/>
      <c r="S25" s="3"/>
      <c r="T25" s="2"/>
      <c r="U25" s="2"/>
      <c r="V25" s="2"/>
      <c r="W25" s="2"/>
      <c r="X25" s="2"/>
      <c r="Y25" s="67">
        <f>AB50</f>
        <v>1.2</v>
      </c>
      <c r="Z25" s="60">
        <f>Z11</f>
        <v>34.14</v>
      </c>
      <c r="AA25" s="2"/>
      <c r="AB25" s="2" t="s">
        <v>21</v>
      </c>
      <c r="AC25" s="2"/>
      <c r="AD25" s="2"/>
      <c r="AE25" s="22"/>
    </row>
    <row r="26" spans="1:46" ht="12.75" thickBot="1" x14ac:dyDescent="0.25">
      <c r="M26" s="23"/>
      <c r="N26" s="2"/>
      <c r="O26" s="63">
        <f>M22+N22</f>
        <v>0</v>
      </c>
      <c r="P26" s="69">
        <f>O22+P22</f>
        <v>0</v>
      </c>
      <c r="Q26" s="11"/>
      <c r="R26" s="11"/>
      <c r="S26" s="11"/>
      <c r="T26" s="2"/>
      <c r="U26" s="2"/>
      <c r="V26" s="2"/>
      <c r="W26" s="2"/>
      <c r="X26" s="2"/>
      <c r="Y26" s="61">
        <f>AB51</f>
        <v>1.2</v>
      </c>
      <c r="Z26" s="62">
        <f>Z25</f>
        <v>34.14</v>
      </c>
      <c r="AA26" s="2"/>
      <c r="AB26" s="59" t="s">
        <v>22</v>
      </c>
      <c r="AC26" s="94" t="s">
        <v>25</v>
      </c>
      <c r="AD26" s="94" t="s">
        <v>2</v>
      </c>
      <c r="AE26" s="100" t="s">
        <v>24</v>
      </c>
    </row>
    <row r="27" spans="1:46" ht="12.75" thickBot="1" x14ac:dyDescent="0.25">
      <c r="M27" s="23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61">
        <f>Y26</f>
        <v>1.2</v>
      </c>
      <c r="Z27" s="62">
        <f>Z26+G7</f>
        <v>34.14</v>
      </c>
      <c r="AA27" s="2"/>
      <c r="AB27" s="95" t="s">
        <v>23</v>
      </c>
      <c r="AC27" s="88" t="e">
        <f>N22/F7</f>
        <v>#DIV/0!</v>
      </c>
      <c r="AD27" s="88" t="e">
        <f>E4+AC27</f>
        <v>#DIV/0!</v>
      </c>
      <c r="AE27" s="101" t="e">
        <f>N22*AC27-F7*AC27^2/2-Q15</f>
        <v>#DIV/0!</v>
      </c>
    </row>
    <row r="28" spans="1:46" x14ac:dyDescent="0.2">
      <c r="M28" s="23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61">
        <f>Y25</f>
        <v>1.2</v>
      </c>
      <c r="Z28" s="62">
        <f>Z27</f>
        <v>34.14</v>
      </c>
      <c r="AA28" s="2"/>
      <c r="AB28" s="48"/>
      <c r="AC28" s="11"/>
      <c r="AD28" s="11"/>
      <c r="AE28" s="50"/>
    </row>
    <row r="29" spans="1:46" s="46" customFormat="1" ht="12.75" thickBot="1" x14ac:dyDescent="0.25">
      <c r="M29" s="23" t="s">
        <v>19</v>
      </c>
      <c r="N29" s="2"/>
      <c r="O29" s="2"/>
      <c r="P29" s="2" t="s">
        <v>20</v>
      </c>
      <c r="Q29" s="2"/>
      <c r="R29" s="2"/>
      <c r="S29" s="2"/>
      <c r="T29" s="2"/>
      <c r="U29" s="2"/>
      <c r="V29" s="2"/>
      <c r="W29" s="2"/>
      <c r="X29" s="2"/>
      <c r="Y29" s="63">
        <f>Y25</f>
        <v>1.2</v>
      </c>
      <c r="Z29" s="64">
        <f>Z25</f>
        <v>34.14</v>
      </c>
      <c r="AA29" s="2"/>
      <c r="AB29" s="48"/>
      <c r="AC29" s="11"/>
      <c r="AD29" s="11"/>
      <c r="AE29" s="50"/>
    </row>
    <row r="30" spans="1:46" s="46" customFormat="1" x14ac:dyDescent="0.2">
      <c r="M30" s="102">
        <f>AB49</f>
        <v>0</v>
      </c>
      <c r="N30" s="73">
        <v>0</v>
      </c>
      <c r="O30" s="2"/>
      <c r="P30" s="72">
        <f>AB50</f>
        <v>1.2</v>
      </c>
      <c r="Q30" s="73">
        <v>0</v>
      </c>
      <c r="R30" s="2"/>
      <c r="S30" s="47"/>
      <c r="T30" s="2"/>
      <c r="U30" s="2"/>
      <c r="V30" s="2"/>
      <c r="W30" s="2"/>
      <c r="X30" s="2"/>
      <c r="Y30" s="3"/>
      <c r="Z30" s="3"/>
      <c r="AA30" s="2"/>
      <c r="AB30" s="48"/>
      <c r="AC30" s="11"/>
      <c r="AD30" s="11"/>
      <c r="AE30" s="50"/>
    </row>
    <row r="31" spans="1:46" ht="12.75" thickBot="1" x14ac:dyDescent="0.25">
      <c r="M31" s="103">
        <f>M30</f>
        <v>0</v>
      </c>
      <c r="N31" s="75">
        <f>O26</f>
        <v>0</v>
      </c>
      <c r="O31" s="2"/>
      <c r="P31" s="74">
        <f>P30</f>
        <v>1.2</v>
      </c>
      <c r="Q31" s="75">
        <f>P26</f>
        <v>0</v>
      </c>
      <c r="R31" s="2"/>
      <c r="S31" s="47"/>
      <c r="T31" s="47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2"/>
    </row>
    <row r="32" spans="1:46" x14ac:dyDescent="0.2">
      <c r="M32" s="24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2"/>
      <c r="Z32" s="2"/>
      <c r="AA32" s="3"/>
      <c r="AB32" s="3"/>
      <c r="AC32" s="3"/>
      <c r="AD32" s="3"/>
      <c r="AE32" s="25"/>
    </row>
    <row r="33" spans="13:31" ht="12.75" thickBot="1" x14ac:dyDescent="0.25">
      <c r="M33" s="23"/>
      <c r="N33" s="2"/>
      <c r="O33" s="3"/>
      <c r="P33" s="2"/>
      <c r="Q33" s="2"/>
      <c r="R33" s="3"/>
      <c r="S33" s="3"/>
      <c r="T33" s="3"/>
      <c r="U33" s="3"/>
      <c r="V33" s="3"/>
      <c r="W33" s="3"/>
      <c r="X33" s="3"/>
      <c r="Y33" s="2"/>
      <c r="Z33" s="2"/>
      <c r="AA33" s="3"/>
      <c r="AB33" s="2" t="s">
        <v>27</v>
      </c>
      <c r="AC33" s="2"/>
      <c r="AD33" s="3"/>
      <c r="AE33" s="25"/>
    </row>
    <row r="34" spans="13:31" x14ac:dyDescent="0.2">
      <c r="M34" s="57"/>
      <c r="N34" s="2"/>
      <c r="O34" s="2"/>
      <c r="P34" s="47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67" t="e">
        <f>AD27</f>
        <v>#DIV/0!</v>
      </c>
      <c r="AC34" s="60">
        <v>0</v>
      </c>
      <c r="AD34" s="2"/>
      <c r="AE34" s="22"/>
    </row>
    <row r="35" spans="13:31" ht="12.75" thickBot="1" x14ac:dyDescent="0.25">
      <c r="M35" s="57"/>
      <c r="N35" s="47"/>
      <c r="O35" s="2"/>
      <c r="P35" s="47"/>
      <c r="Q35" s="47"/>
      <c r="R35" s="2"/>
      <c r="S35" s="2"/>
      <c r="T35" s="2"/>
      <c r="U35" s="2"/>
      <c r="V35" s="2"/>
      <c r="W35" s="2"/>
      <c r="X35" s="2"/>
      <c r="Y35" s="2"/>
      <c r="Z35" s="2"/>
      <c r="AA35" s="2"/>
      <c r="AB35" s="63" t="e">
        <f>AB34</f>
        <v>#DIV/0!</v>
      </c>
      <c r="AC35" s="69" t="e">
        <f>AE27</f>
        <v>#DIV/0!</v>
      </c>
      <c r="AD35" s="2"/>
      <c r="AE35" s="22"/>
    </row>
    <row r="36" spans="13:31" x14ac:dyDescent="0.2">
      <c r="M36" s="23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11"/>
      <c r="AC36" s="3"/>
      <c r="AD36" s="2"/>
      <c r="AE36" s="22"/>
    </row>
    <row r="37" spans="13:31" x14ac:dyDescent="0.2">
      <c r="M37" s="23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11"/>
      <c r="AC37" s="11"/>
      <c r="AD37" s="2"/>
      <c r="AE37" s="22"/>
    </row>
    <row r="38" spans="13:31" x14ac:dyDescent="0.2">
      <c r="M38" s="23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11"/>
      <c r="AC38" s="3"/>
      <c r="AD38" s="2"/>
      <c r="AE38" s="22"/>
    </row>
    <row r="39" spans="13:31" ht="12.75" thickBot="1" x14ac:dyDescent="0.25">
      <c r="M39" s="23" t="s">
        <v>13</v>
      </c>
      <c r="N39" s="2"/>
      <c r="O39" s="2"/>
      <c r="P39" s="2"/>
      <c r="Q39" s="2" t="s">
        <v>69</v>
      </c>
      <c r="R39" s="2"/>
      <c r="S39" s="2"/>
      <c r="T39" s="2"/>
      <c r="U39" s="2" t="s">
        <v>15</v>
      </c>
      <c r="V39" s="2"/>
      <c r="W39" s="2"/>
      <c r="X39" s="2"/>
      <c r="Y39" s="2"/>
      <c r="Z39" s="2"/>
      <c r="AA39" s="2"/>
      <c r="AB39" s="11"/>
      <c r="AC39" s="11"/>
      <c r="AD39" s="2"/>
      <c r="AE39" s="22"/>
    </row>
    <row r="40" spans="13:31" x14ac:dyDescent="0.2">
      <c r="M40" s="104" t="s">
        <v>2</v>
      </c>
      <c r="N40" s="76" t="s">
        <v>3</v>
      </c>
      <c r="O40" s="77" t="s">
        <v>4</v>
      </c>
      <c r="P40" s="2"/>
      <c r="Q40" s="83" t="s">
        <v>2</v>
      </c>
      <c r="R40" s="84" t="s">
        <v>3</v>
      </c>
      <c r="S40" s="60" t="s">
        <v>4</v>
      </c>
      <c r="T40" s="2"/>
      <c r="U40" s="89" t="s">
        <v>2</v>
      </c>
      <c r="V40" s="90" t="s">
        <v>3</v>
      </c>
      <c r="W40" s="91" t="s">
        <v>4</v>
      </c>
      <c r="X40" s="2"/>
      <c r="Y40" s="2"/>
      <c r="Z40" s="2"/>
      <c r="AA40" s="2"/>
      <c r="AB40" s="11"/>
      <c r="AC40" s="3"/>
      <c r="AD40" s="2"/>
      <c r="AE40" s="22"/>
    </row>
    <row r="41" spans="13:31" x14ac:dyDescent="0.2">
      <c r="M41" s="26">
        <v>0</v>
      </c>
      <c r="N41" s="7">
        <f>-$E$7*M41^2/2</f>
        <v>0</v>
      </c>
      <c r="O41" s="79">
        <f>-$E$7*M41</f>
        <v>0</v>
      </c>
      <c r="P41" s="2"/>
      <c r="Q41" s="61">
        <v>0</v>
      </c>
      <c r="R41" s="8">
        <f>-$Q$16-$G$7*Q41^2/2+$P$22*Q41</f>
        <v>0</v>
      </c>
      <c r="S41" s="87">
        <f>$P$22-$G$7*Q41</f>
        <v>0</v>
      </c>
      <c r="T41" s="2"/>
      <c r="U41" s="78">
        <f t="shared" ref="U41:W44" si="0">M41</f>
        <v>0</v>
      </c>
      <c r="V41" s="7">
        <f>N41</f>
        <v>0</v>
      </c>
      <c r="W41" s="79">
        <f>O41</f>
        <v>0</v>
      </c>
      <c r="X41" s="2"/>
      <c r="Y41" s="2"/>
      <c r="Z41" s="2"/>
      <c r="AA41" s="2"/>
      <c r="AB41" s="11"/>
      <c r="AC41" s="11"/>
      <c r="AD41" s="2"/>
      <c r="AE41" s="22"/>
    </row>
    <row r="42" spans="13:31" x14ac:dyDescent="0.2">
      <c r="M42" s="26">
        <f>$E$4/3</f>
        <v>0</v>
      </c>
      <c r="N42" s="7">
        <f>-$E$7*M42^2/2</f>
        <v>0</v>
      </c>
      <c r="O42" s="79">
        <f>-$E$7*M42</f>
        <v>0</v>
      </c>
      <c r="P42" s="2"/>
      <c r="Q42" s="61">
        <f>$G$4/3</f>
        <v>0</v>
      </c>
      <c r="R42" s="8">
        <f>-$Q$16-$G$7*Q42^2/2+$P$22*Q42</f>
        <v>0</v>
      </c>
      <c r="S42" s="87">
        <f t="shared" ref="S42:S44" si="1">$P$22-$G$7*Q42</f>
        <v>0</v>
      </c>
      <c r="T42" s="2"/>
      <c r="U42" s="78">
        <f t="shared" si="0"/>
        <v>0</v>
      </c>
      <c r="V42" s="7">
        <f t="shared" si="0"/>
        <v>0</v>
      </c>
      <c r="W42" s="79">
        <f t="shared" si="0"/>
        <v>0</v>
      </c>
      <c r="X42" s="2"/>
      <c r="Y42" s="2"/>
      <c r="Z42" s="2"/>
      <c r="AA42" s="2"/>
      <c r="AB42" s="2"/>
      <c r="AC42" s="2"/>
      <c r="AD42" s="2"/>
      <c r="AE42" s="22"/>
    </row>
    <row r="43" spans="13:31" x14ac:dyDescent="0.2">
      <c r="M43" s="26">
        <f>2*$E$4/3</f>
        <v>0</v>
      </c>
      <c r="N43" s="7">
        <f>-$E$7*M43^2/2</f>
        <v>0</v>
      </c>
      <c r="O43" s="79">
        <f>-$E$7*M43</f>
        <v>0</v>
      </c>
      <c r="P43" s="2"/>
      <c r="Q43" s="61">
        <f>2*$G$4/3</f>
        <v>0</v>
      </c>
      <c r="R43" s="8">
        <f>-$Q$16-$G$7*Q43^2/2+$P$22*Q43</f>
        <v>0</v>
      </c>
      <c r="S43" s="87">
        <f t="shared" si="1"/>
        <v>0</v>
      </c>
      <c r="T43" s="2"/>
      <c r="U43" s="78">
        <f t="shared" si="0"/>
        <v>0</v>
      </c>
      <c r="V43" s="7">
        <f t="shared" si="0"/>
        <v>0</v>
      </c>
      <c r="W43" s="79">
        <f t="shared" si="0"/>
        <v>0</v>
      </c>
      <c r="X43" s="2"/>
      <c r="Y43" s="2"/>
      <c r="Z43" s="2"/>
      <c r="AA43" s="2"/>
      <c r="AB43" s="2"/>
      <c r="AC43" s="2"/>
      <c r="AD43" s="2"/>
      <c r="AE43" s="22"/>
    </row>
    <row r="44" spans="13:31" ht="12.75" thickBot="1" x14ac:dyDescent="0.25">
      <c r="M44" s="105">
        <f>3*$E$4/3</f>
        <v>0</v>
      </c>
      <c r="N44" s="80">
        <f>-$E$7*M44^2/2</f>
        <v>0</v>
      </c>
      <c r="O44" s="81">
        <f>-$E$7*M44</f>
        <v>0</v>
      </c>
      <c r="P44" s="2"/>
      <c r="Q44" s="63">
        <f>3*$G$4/3</f>
        <v>0</v>
      </c>
      <c r="R44" s="88">
        <f>-$Q$16-$G$7*Q44^2/2+$P$22*Q44</f>
        <v>0</v>
      </c>
      <c r="S44" s="69">
        <f t="shared" si="1"/>
        <v>0</v>
      </c>
      <c r="T44" s="2"/>
      <c r="U44" s="78">
        <f t="shared" si="0"/>
        <v>0</v>
      </c>
      <c r="V44" s="7">
        <f t="shared" si="0"/>
        <v>0</v>
      </c>
      <c r="W44" s="79">
        <f t="shared" si="0"/>
        <v>0</v>
      </c>
      <c r="X44" s="2"/>
      <c r="Y44" s="2"/>
      <c r="Z44" s="2"/>
      <c r="AA44" s="2"/>
      <c r="AB44" s="2"/>
      <c r="AC44" s="2"/>
      <c r="AD44" s="2"/>
      <c r="AE44" s="22"/>
    </row>
    <row r="45" spans="13:31" x14ac:dyDescent="0.2">
      <c r="M45" s="24"/>
      <c r="N45" s="3"/>
      <c r="O45" s="3"/>
      <c r="P45" s="2"/>
      <c r="Q45" s="2"/>
      <c r="R45" s="2"/>
      <c r="S45" s="2"/>
      <c r="T45" s="2"/>
      <c r="U45" s="85">
        <f t="shared" ref="U45:U53" si="2">$U$44+M49</f>
        <v>0</v>
      </c>
      <c r="V45" s="10">
        <f>N49</f>
        <v>0</v>
      </c>
      <c r="W45" s="86">
        <f>O49</f>
        <v>0</v>
      </c>
      <c r="X45" s="2"/>
      <c r="Y45" s="2"/>
      <c r="Z45" s="2"/>
      <c r="AA45" s="2"/>
      <c r="AB45" s="2"/>
      <c r="AC45" s="2"/>
      <c r="AD45" s="2"/>
      <c r="AE45" s="22"/>
    </row>
    <row r="46" spans="13:31" ht="12.75" thickBot="1" x14ac:dyDescent="0.25">
      <c r="M46" s="24"/>
      <c r="N46" s="3"/>
      <c r="O46" s="3"/>
      <c r="P46" s="2"/>
      <c r="Q46" s="2"/>
      <c r="R46" s="2"/>
      <c r="S46" s="2"/>
      <c r="T46" s="3"/>
      <c r="U46" s="85">
        <f t="shared" si="2"/>
        <v>0.15</v>
      </c>
      <c r="V46" s="10">
        <f t="shared" ref="V46:W53" si="3">N50</f>
        <v>0</v>
      </c>
      <c r="W46" s="86">
        <f t="shared" si="3"/>
        <v>0</v>
      </c>
      <c r="X46" s="2"/>
      <c r="Y46" s="2"/>
      <c r="Z46" s="2"/>
      <c r="AA46" s="2"/>
      <c r="AB46" s="2" t="s">
        <v>6</v>
      </c>
      <c r="AC46" s="2"/>
      <c r="AD46" s="2"/>
      <c r="AE46" s="22"/>
    </row>
    <row r="47" spans="13:31" ht="12.75" thickBot="1" x14ac:dyDescent="0.25">
      <c r="M47" s="23" t="s">
        <v>14</v>
      </c>
      <c r="N47" s="2"/>
      <c r="O47" s="2"/>
      <c r="P47" s="2"/>
      <c r="Q47" s="2"/>
      <c r="R47" s="2"/>
      <c r="S47" s="2"/>
      <c r="T47" s="3"/>
      <c r="U47" s="85">
        <f t="shared" si="2"/>
        <v>0.3</v>
      </c>
      <c r="V47" s="10">
        <f t="shared" si="3"/>
        <v>0</v>
      </c>
      <c r="W47" s="86">
        <f t="shared" si="3"/>
        <v>0</v>
      </c>
      <c r="X47" s="2"/>
      <c r="Y47" s="2"/>
      <c r="Z47" s="2"/>
      <c r="AA47" s="2"/>
      <c r="AB47" s="59" t="s">
        <v>2</v>
      </c>
      <c r="AC47" s="60" t="s">
        <v>5</v>
      </c>
      <c r="AD47" s="2"/>
      <c r="AE47" s="22"/>
    </row>
    <row r="48" spans="13:31" x14ac:dyDescent="0.2">
      <c r="M48" s="106" t="s">
        <v>2</v>
      </c>
      <c r="N48" s="84" t="s">
        <v>3</v>
      </c>
      <c r="O48" s="60" t="s">
        <v>4</v>
      </c>
      <c r="P48" s="2"/>
      <c r="Q48" s="2"/>
      <c r="R48" s="2"/>
      <c r="S48" s="2"/>
      <c r="T48" s="2"/>
      <c r="U48" s="85">
        <f t="shared" si="2"/>
        <v>0.44999999999999996</v>
      </c>
      <c r="V48" s="10">
        <f t="shared" si="3"/>
        <v>0</v>
      </c>
      <c r="W48" s="86">
        <f t="shared" si="3"/>
        <v>0</v>
      </c>
      <c r="X48" s="2"/>
      <c r="Y48" s="2"/>
      <c r="Z48" s="2"/>
      <c r="AA48" s="2"/>
      <c r="AB48" s="61">
        <v>0</v>
      </c>
      <c r="AC48" s="62">
        <v>0</v>
      </c>
      <c r="AD48" s="2"/>
      <c r="AE48" s="22"/>
    </row>
    <row r="49" spans="13:31" x14ac:dyDescent="0.2">
      <c r="M49" s="107">
        <v>0</v>
      </c>
      <c r="N49" s="10">
        <f t="shared" ref="N49:N57" si="4">-$Q$15-$F$7*M49^2/2+$N$22*M49</f>
        <v>0</v>
      </c>
      <c r="O49" s="86">
        <f t="shared" ref="O49:O57" si="5">-$F$7*M49+$N$22</f>
        <v>0</v>
      </c>
      <c r="P49" s="2"/>
      <c r="Q49" s="2"/>
      <c r="R49" s="2"/>
      <c r="S49" s="2"/>
      <c r="T49" s="2"/>
      <c r="U49" s="85">
        <f t="shared" si="2"/>
        <v>0.6</v>
      </c>
      <c r="V49" s="10">
        <f t="shared" si="3"/>
        <v>0</v>
      </c>
      <c r="W49" s="86">
        <f t="shared" si="3"/>
        <v>0</v>
      </c>
      <c r="X49" s="2"/>
      <c r="Y49" s="2"/>
      <c r="Z49" s="2"/>
      <c r="AA49" s="2"/>
      <c r="AB49" s="61">
        <f>E4</f>
        <v>0</v>
      </c>
      <c r="AC49" s="62">
        <v>0</v>
      </c>
      <c r="AD49" s="2"/>
      <c r="AE49" s="22"/>
    </row>
    <row r="50" spans="13:31" x14ac:dyDescent="0.2">
      <c r="M50" s="107">
        <f>$F$4/8</f>
        <v>0.15</v>
      </c>
      <c r="N50" s="10">
        <f t="shared" si="4"/>
        <v>0</v>
      </c>
      <c r="O50" s="86">
        <f t="shared" si="5"/>
        <v>0</v>
      </c>
      <c r="P50" s="2"/>
      <c r="Q50" s="2"/>
      <c r="R50" s="2"/>
      <c r="S50" s="2"/>
      <c r="T50" s="2"/>
      <c r="U50" s="85">
        <f t="shared" si="2"/>
        <v>0.75</v>
      </c>
      <c r="V50" s="10">
        <f t="shared" si="3"/>
        <v>0</v>
      </c>
      <c r="W50" s="86">
        <f t="shared" si="3"/>
        <v>0</v>
      </c>
      <c r="X50" s="2"/>
      <c r="Y50" s="2"/>
      <c r="Z50" s="2"/>
      <c r="AA50" s="2"/>
      <c r="AB50" s="61">
        <f>AB49+F4</f>
        <v>1.2</v>
      </c>
      <c r="AC50" s="62">
        <v>0</v>
      </c>
      <c r="AD50" s="2"/>
      <c r="AE50" s="22"/>
    </row>
    <row r="51" spans="13:31" ht="12.75" thickBot="1" x14ac:dyDescent="0.25">
      <c r="M51" s="107">
        <f>2*$F$4/8</f>
        <v>0.3</v>
      </c>
      <c r="N51" s="10">
        <f t="shared" si="4"/>
        <v>0</v>
      </c>
      <c r="O51" s="86">
        <f t="shared" si="5"/>
        <v>0</v>
      </c>
      <c r="P51" s="2"/>
      <c r="Q51" s="2"/>
      <c r="R51" s="2"/>
      <c r="S51" s="2"/>
      <c r="T51" s="2"/>
      <c r="U51" s="85">
        <f t="shared" si="2"/>
        <v>0.89999999999999991</v>
      </c>
      <c r="V51" s="10">
        <f t="shared" si="3"/>
        <v>0</v>
      </c>
      <c r="W51" s="86">
        <f t="shared" si="3"/>
        <v>0</v>
      </c>
      <c r="X51" s="2"/>
      <c r="Y51" s="2"/>
      <c r="Z51" s="2"/>
      <c r="AA51" s="2"/>
      <c r="AB51" s="63">
        <f>AB50+G4</f>
        <v>1.2</v>
      </c>
      <c r="AC51" s="64">
        <v>0</v>
      </c>
      <c r="AD51" s="2"/>
      <c r="AE51" s="22"/>
    </row>
    <row r="52" spans="13:31" x14ac:dyDescent="0.2">
      <c r="M52" s="107">
        <f>3*$F$4/8</f>
        <v>0.44999999999999996</v>
      </c>
      <c r="N52" s="10">
        <f t="shared" si="4"/>
        <v>0</v>
      </c>
      <c r="O52" s="86">
        <f t="shared" si="5"/>
        <v>0</v>
      </c>
      <c r="P52" s="2"/>
      <c r="Q52" s="2"/>
      <c r="R52" s="2"/>
      <c r="S52" s="2"/>
      <c r="T52" s="2"/>
      <c r="U52" s="85">
        <f t="shared" si="2"/>
        <v>1.05</v>
      </c>
      <c r="V52" s="10">
        <f t="shared" si="3"/>
        <v>0</v>
      </c>
      <c r="W52" s="86">
        <f t="shared" si="3"/>
        <v>0</v>
      </c>
      <c r="X52" s="2"/>
      <c r="Y52" s="2"/>
      <c r="Z52" s="2"/>
      <c r="AA52" s="2"/>
      <c r="AB52" s="11"/>
      <c r="AC52" s="3"/>
      <c r="AD52" s="2"/>
      <c r="AE52" s="22"/>
    </row>
    <row r="53" spans="13:31" x14ac:dyDescent="0.2">
      <c r="M53" s="107">
        <f>4*$F$4/8</f>
        <v>0.6</v>
      </c>
      <c r="N53" s="10">
        <f t="shared" si="4"/>
        <v>0</v>
      </c>
      <c r="O53" s="86">
        <f t="shared" si="5"/>
        <v>0</v>
      </c>
      <c r="P53" s="2"/>
      <c r="Q53" s="2"/>
      <c r="R53" s="2"/>
      <c r="S53" s="2"/>
      <c r="T53" s="2"/>
      <c r="U53" s="85">
        <f t="shared" si="2"/>
        <v>1.2</v>
      </c>
      <c r="V53" s="10">
        <f t="shared" si="3"/>
        <v>0</v>
      </c>
      <c r="W53" s="86">
        <f t="shared" si="3"/>
        <v>0</v>
      </c>
      <c r="X53" s="2"/>
      <c r="Y53" s="2"/>
      <c r="Z53" s="2"/>
      <c r="AA53" s="2"/>
      <c r="AB53" s="11"/>
      <c r="AC53" s="3"/>
      <c r="AD53" s="2"/>
      <c r="AE53" s="22"/>
    </row>
    <row r="54" spans="13:31" x14ac:dyDescent="0.2">
      <c r="M54" s="107">
        <f>5*$F$4/8</f>
        <v>0.75</v>
      </c>
      <c r="N54" s="10">
        <f t="shared" si="4"/>
        <v>0</v>
      </c>
      <c r="O54" s="86">
        <f t="shared" si="5"/>
        <v>0</v>
      </c>
      <c r="P54" s="2"/>
      <c r="Q54" s="2"/>
      <c r="R54" s="2"/>
      <c r="S54" s="2"/>
      <c r="T54" s="2"/>
      <c r="U54" s="92">
        <f>$U$53+Q41</f>
        <v>1.2</v>
      </c>
      <c r="V54" s="82">
        <f>R41</f>
        <v>0</v>
      </c>
      <c r="W54" s="93">
        <f>S41</f>
        <v>0</v>
      </c>
      <c r="X54" s="2"/>
      <c r="Y54" s="2"/>
      <c r="Z54" s="2"/>
      <c r="AA54" s="2"/>
      <c r="AB54" s="11"/>
      <c r="AC54" s="3"/>
      <c r="AD54" s="2"/>
      <c r="AE54" s="22"/>
    </row>
    <row r="55" spans="13:31" x14ac:dyDescent="0.2">
      <c r="M55" s="107">
        <f>6*$F$4/8</f>
        <v>0.89999999999999991</v>
      </c>
      <c r="N55" s="10">
        <f t="shared" si="4"/>
        <v>0</v>
      </c>
      <c r="O55" s="86">
        <f t="shared" si="5"/>
        <v>0</v>
      </c>
      <c r="P55" s="2"/>
      <c r="Q55" s="2"/>
      <c r="R55" s="2"/>
      <c r="S55" s="2"/>
      <c r="T55" s="2"/>
      <c r="U55" s="92">
        <f t="shared" ref="U55:U57" si="6">$U$53+Q42</f>
        <v>1.2</v>
      </c>
      <c r="V55" s="82">
        <f t="shared" ref="V55:W57" si="7">R42</f>
        <v>0</v>
      </c>
      <c r="W55" s="93">
        <f t="shared" si="7"/>
        <v>0</v>
      </c>
      <c r="X55" s="2"/>
      <c r="Y55" s="2"/>
      <c r="Z55" s="2"/>
      <c r="AA55" s="2"/>
      <c r="AB55" s="2"/>
      <c r="AC55" s="2"/>
      <c r="AD55" s="2"/>
      <c r="AE55" s="22"/>
    </row>
    <row r="56" spans="13:31" x14ac:dyDescent="0.2">
      <c r="M56" s="107">
        <f>7*$F$4/8</f>
        <v>1.05</v>
      </c>
      <c r="N56" s="10">
        <f t="shared" si="4"/>
        <v>0</v>
      </c>
      <c r="O56" s="86">
        <f t="shared" si="5"/>
        <v>0</v>
      </c>
      <c r="P56" s="2"/>
      <c r="Q56" s="2"/>
      <c r="R56" s="2"/>
      <c r="S56" s="2"/>
      <c r="T56" s="2"/>
      <c r="U56" s="92">
        <f t="shared" si="6"/>
        <v>1.2</v>
      </c>
      <c r="V56" s="82">
        <f t="shared" si="7"/>
        <v>0</v>
      </c>
      <c r="W56" s="93">
        <f t="shared" si="7"/>
        <v>0</v>
      </c>
      <c r="X56" s="2"/>
      <c r="Y56" s="2"/>
      <c r="Z56" s="2"/>
      <c r="AA56" s="2"/>
      <c r="AB56" s="2"/>
      <c r="AC56" s="2"/>
      <c r="AD56" s="2"/>
      <c r="AE56" s="22"/>
    </row>
    <row r="57" spans="13:31" ht="12.75" thickBot="1" x14ac:dyDescent="0.25">
      <c r="M57" s="108">
        <f>8*$F$4/8</f>
        <v>1.2</v>
      </c>
      <c r="N57" s="109">
        <f t="shared" si="4"/>
        <v>0</v>
      </c>
      <c r="O57" s="110">
        <f t="shared" si="5"/>
        <v>0</v>
      </c>
      <c r="P57" s="27"/>
      <c r="Q57" s="27"/>
      <c r="R57" s="27"/>
      <c r="S57" s="27"/>
      <c r="T57" s="27"/>
      <c r="U57" s="111">
        <f t="shared" si="6"/>
        <v>1.2</v>
      </c>
      <c r="V57" s="112">
        <f t="shared" si="7"/>
        <v>0</v>
      </c>
      <c r="W57" s="113">
        <f t="shared" si="7"/>
        <v>0</v>
      </c>
      <c r="X57" s="27"/>
      <c r="Y57" s="27"/>
      <c r="Z57" s="27"/>
      <c r="AA57" s="27"/>
      <c r="AB57" s="27"/>
      <c r="AC57" s="27"/>
      <c r="AD57" s="27"/>
      <c r="AE57" s="28"/>
    </row>
    <row r="58" spans="13:31" ht="12.75" thickTop="1" x14ac:dyDescent="0.2">
      <c r="M58" s="19"/>
      <c r="N58" s="19"/>
      <c r="O58" s="19"/>
      <c r="P58" s="19"/>
      <c r="Q58" s="114"/>
      <c r="R58" s="114"/>
      <c r="S58" s="114"/>
      <c r="T58" s="19"/>
      <c r="U58" s="114"/>
      <c r="V58" s="114"/>
      <c r="W58" s="114"/>
      <c r="X58" s="19"/>
      <c r="Y58" s="19"/>
      <c r="Z58" s="19"/>
      <c r="AA58" s="19"/>
      <c r="AB58" s="19"/>
      <c r="AC58" s="19"/>
      <c r="AD58" s="19"/>
      <c r="AE58" s="19"/>
    </row>
    <row r="59" spans="13:31" x14ac:dyDescent="0.2">
      <c r="M59" s="15"/>
      <c r="N59" s="15"/>
      <c r="O59" s="15"/>
      <c r="P59" s="2"/>
      <c r="Q59" s="15"/>
      <c r="R59" s="15"/>
      <c r="S59" s="15"/>
      <c r="T59" s="2"/>
      <c r="U59" s="15"/>
      <c r="V59" s="15"/>
      <c r="W59" s="15"/>
      <c r="X59" s="2"/>
      <c r="Y59" s="2"/>
      <c r="Z59" s="2"/>
      <c r="AA59" s="2"/>
      <c r="AB59" s="2"/>
      <c r="AC59" s="2"/>
      <c r="AD59" s="2"/>
      <c r="AE59" s="2"/>
    </row>
    <row r="60" spans="13:31" x14ac:dyDescent="0.2">
      <c r="M60" s="15"/>
      <c r="N60" s="15"/>
      <c r="O60" s="15"/>
      <c r="P60" s="2"/>
      <c r="Q60" s="15"/>
      <c r="R60" s="15"/>
      <c r="S60" s="15"/>
      <c r="T60" s="2"/>
      <c r="U60" s="15"/>
      <c r="V60" s="15"/>
      <c r="W60" s="15"/>
      <c r="X60" s="2"/>
      <c r="Y60" s="2"/>
      <c r="Z60" s="2"/>
      <c r="AA60" s="2"/>
      <c r="AB60" s="2"/>
      <c r="AC60" s="2"/>
      <c r="AD60" s="2"/>
      <c r="AE60" s="2"/>
    </row>
    <row r="61" spans="13:31" x14ac:dyDescent="0.2">
      <c r="M61" s="15"/>
      <c r="N61" s="15"/>
      <c r="O61" s="15"/>
      <c r="P61" s="2"/>
      <c r="Q61" s="15"/>
      <c r="R61" s="15"/>
      <c r="S61" s="15"/>
      <c r="T61" s="2"/>
      <c r="U61" s="15"/>
      <c r="V61" s="15"/>
      <c r="W61" s="15"/>
      <c r="X61" s="2"/>
      <c r="Y61" s="2"/>
      <c r="Z61" s="2"/>
      <c r="AA61" s="2"/>
      <c r="AB61" s="2"/>
      <c r="AC61" s="2"/>
      <c r="AD61" s="2"/>
      <c r="AE61" s="2"/>
    </row>
    <row r="62" spans="13:31" x14ac:dyDescent="0.2">
      <c r="M62" s="2"/>
      <c r="N62" s="2"/>
      <c r="O62" s="2"/>
      <c r="P62" s="2"/>
      <c r="Q62" s="2"/>
      <c r="R62" s="2"/>
      <c r="S62" s="2"/>
      <c r="T62" s="2"/>
      <c r="U62" s="15"/>
      <c r="V62" s="15"/>
      <c r="W62" s="15"/>
      <c r="X62" s="2"/>
      <c r="Y62" s="2"/>
      <c r="Z62" s="2"/>
      <c r="AA62" s="2"/>
      <c r="AB62" s="2"/>
      <c r="AC62" s="2"/>
      <c r="AD62" s="2"/>
      <c r="AE62" s="2"/>
    </row>
    <row r="63" spans="13:31" x14ac:dyDescent="0.2"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</row>
    <row r="64" spans="13:31" x14ac:dyDescent="0.2"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</row>
    <row r="65" spans="13:40" x14ac:dyDescent="0.2">
      <c r="M65" s="5"/>
      <c r="N65" s="5"/>
      <c r="O65" s="3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</row>
    <row r="66" spans="13:40" x14ac:dyDescent="0.2">
      <c r="M66" s="5"/>
      <c r="N66" s="15"/>
      <c r="O66" s="15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</row>
    <row r="72" spans="13:40" x14ac:dyDescent="0.2"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</row>
    <row r="73" spans="13:40" x14ac:dyDescent="0.2">
      <c r="V73" s="5"/>
      <c r="W73" s="15"/>
      <c r="X73" s="15"/>
      <c r="Y73" s="2"/>
      <c r="Z73" s="2"/>
      <c r="AA73" s="2"/>
      <c r="AB73" s="2"/>
      <c r="AC73" s="2"/>
      <c r="AD73" s="15"/>
      <c r="AE73" s="15"/>
      <c r="AF73" s="15"/>
      <c r="AG73" s="2"/>
      <c r="AH73" s="2"/>
      <c r="AI73" s="2"/>
      <c r="AJ73" s="2"/>
      <c r="AK73" s="2"/>
      <c r="AL73" s="2"/>
      <c r="AM73" s="2"/>
      <c r="AN73" s="2"/>
    </row>
    <row r="74" spans="13:40" x14ac:dyDescent="0.2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13:40" x14ac:dyDescent="0.2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13:40" x14ac:dyDescent="0.2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13:40" x14ac:dyDescent="0.2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13:40" x14ac:dyDescent="0.2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13:40" x14ac:dyDescent="0.2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13:40" x14ac:dyDescent="0.2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:N16"/>
  <sheetViews>
    <sheetView workbookViewId="0">
      <selection activeCell="E7" sqref="E7"/>
    </sheetView>
  </sheetViews>
  <sheetFormatPr defaultRowHeight="15" x14ac:dyDescent="0.25"/>
  <sheetData>
    <row r="1" spans="1:14" x14ac:dyDescent="0.25">
      <c r="A1" t="s">
        <v>47</v>
      </c>
      <c r="D1" t="s">
        <v>48</v>
      </c>
      <c r="G1" s="36"/>
      <c r="H1" s="36"/>
      <c r="J1" s="36"/>
      <c r="K1" s="36"/>
    </row>
    <row r="2" spans="1:14" x14ac:dyDescent="0.25">
      <c r="A2" s="29">
        <f>'C-Trave'!E15</f>
        <v>0</v>
      </c>
      <c r="B2" s="30">
        <v>0</v>
      </c>
      <c r="D2" s="29">
        <f>'C-Trave'!E15+'C-Trave'!F15</f>
        <v>1.2</v>
      </c>
      <c r="E2" s="30">
        <v>0</v>
      </c>
      <c r="G2" s="37"/>
      <c r="H2" s="33"/>
      <c r="J2" s="37"/>
      <c r="K2" s="33"/>
      <c r="M2" s="37"/>
      <c r="N2" s="33"/>
    </row>
    <row r="3" spans="1:14" x14ac:dyDescent="0.25">
      <c r="A3" s="29">
        <f>A2-0.2</f>
        <v>-0.2</v>
      </c>
      <c r="B3" s="30">
        <v>-4</v>
      </c>
      <c r="D3" s="29">
        <f>D2-0.2</f>
        <v>1</v>
      </c>
      <c r="E3" s="30">
        <v>-4</v>
      </c>
      <c r="G3" s="37"/>
      <c r="H3" s="33"/>
      <c r="J3" s="37"/>
      <c r="K3" s="33"/>
      <c r="M3" s="37"/>
      <c r="N3" s="33"/>
    </row>
    <row r="4" spans="1:14" x14ac:dyDescent="0.25">
      <c r="A4" s="29">
        <f>A2+0.2</f>
        <v>0.2</v>
      </c>
      <c r="B4" s="30">
        <f>B3</f>
        <v>-4</v>
      </c>
      <c r="D4" s="29">
        <f>D2+0.2</f>
        <v>1.4</v>
      </c>
      <c r="E4" s="30">
        <f>E3</f>
        <v>-4</v>
      </c>
      <c r="G4" s="37"/>
      <c r="H4" s="33"/>
      <c r="J4" s="37"/>
      <c r="K4" s="33"/>
      <c r="M4" s="37"/>
      <c r="N4" s="33"/>
    </row>
    <row r="5" spans="1:14" x14ac:dyDescent="0.25">
      <c r="A5" s="31">
        <f>A2</f>
        <v>0</v>
      </c>
      <c r="B5" s="32">
        <f>B2</f>
        <v>0</v>
      </c>
      <c r="D5" s="29">
        <f>D2</f>
        <v>1.2</v>
      </c>
      <c r="E5" s="30">
        <f>E2</f>
        <v>0</v>
      </c>
      <c r="G5" s="37"/>
      <c r="H5" s="33"/>
      <c r="J5" s="37"/>
      <c r="K5" s="33"/>
      <c r="M5" s="37"/>
      <c r="N5" s="33"/>
    </row>
    <row r="6" spans="1:14" x14ac:dyDescent="0.25">
      <c r="A6" s="34"/>
      <c r="B6" s="34"/>
    </row>
    <row r="7" spans="1:14" x14ac:dyDescent="0.25">
      <c r="A7" s="35"/>
      <c r="B7" s="33"/>
      <c r="C7" s="36"/>
      <c r="D7" s="35"/>
      <c r="E7" s="36"/>
      <c r="F7" s="36"/>
      <c r="G7" s="35"/>
      <c r="H7" s="36"/>
      <c r="I7" s="36"/>
      <c r="J7" s="35"/>
      <c r="K7" s="36"/>
      <c r="L7" s="36"/>
      <c r="M7" s="35"/>
      <c r="N7" s="36"/>
    </row>
    <row r="8" spans="1:14" x14ac:dyDescent="0.25">
      <c r="A8" s="37"/>
      <c r="B8" s="33"/>
      <c r="C8" s="36"/>
      <c r="D8" s="37"/>
      <c r="E8" s="33"/>
      <c r="F8" s="33"/>
      <c r="G8" s="37"/>
      <c r="H8" s="33"/>
      <c r="I8" s="33"/>
      <c r="J8" s="37"/>
      <c r="K8" s="33"/>
      <c r="L8" s="33"/>
      <c r="M8" s="37"/>
      <c r="N8" s="33"/>
    </row>
    <row r="9" spans="1:14" x14ac:dyDescent="0.25">
      <c r="A9" s="33"/>
      <c r="B9" s="33"/>
    </row>
    <row r="10" spans="1:14" x14ac:dyDescent="0.25">
      <c r="A10" s="33"/>
      <c r="B10" s="33"/>
    </row>
    <row r="11" spans="1:14" x14ac:dyDescent="0.25">
      <c r="A11" s="33"/>
      <c r="B11" s="33"/>
    </row>
    <row r="12" spans="1:14" x14ac:dyDescent="0.25">
      <c r="A12" s="33"/>
      <c r="B12" s="33"/>
    </row>
    <row r="13" spans="1:14" x14ac:dyDescent="0.25">
      <c r="A13" s="33"/>
      <c r="B13" s="33"/>
    </row>
    <row r="14" spans="1:14" x14ac:dyDescent="0.25">
      <c r="A14" s="33"/>
      <c r="B14" s="33"/>
    </row>
    <row r="15" spans="1:14" x14ac:dyDescent="0.25">
      <c r="A15" s="33"/>
      <c r="B15" s="33"/>
    </row>
    <row r="16" spans="1:14" x14ac:dyDescent="0.25">
      <c r="A16" s="33"/>
      <c r="B16" s="3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/>
  <dimension ref="A1:BD99"/>
  <sheetViews>
    <sheetView showGridLines="0" topLeftCell="C1" zoomScaleNormal="100" workbookViewId="0">
      <selection activeCell="E30" sqref="E30"/>
    </sheetView>
  </sheetViews>
  <sheetFormatPr defaultColWidth="9.140625" defaultRowHeight="12" x14ac:dyDescent="0.2"/>
  <cols>
    <col min="1" max="31" width="9.140625" style="1"/>
    <col min="32" max="50" width="9.140625" style="1" customWidth="1"/>
    <col min="51" max="16384" width="9.140625" style="1"/>
  </cols>
  <sheetData>
    <row r="1" spans="1:56" ht="15.75" customHeight="1" thickBot="1" x14ac:dyDescent="0.25">
      <c r="A1" s="334" t="s">
        <v>468</v>
      </c>
      <c r="B1" s="334"/>
      <c r="C1" s="334"/>
      <c r="D1" s="334"/>
      <c r="E1" s="334"/>
      <c r="F1" s="334"/>
      <c r="G1" s="334"/>
      <c r="H1" s="334"/>
      <c r="I1" s="334"/>
      <c r="J1" s="334"/>
      <c r="U1" s="2"/>
      <c r="AF1" s="2" t="s">
        <v>58</v>
      </c>
      <c r="AK1" s="2" t="s">
        <v>62</v>
      </c>
      <c r="AP1" s="2" t="s">
        <v>63</v>
      </c>
      <c r="AU1" s="2" t="s">
        <v>64</v>
      </c>
      <c r="AZ1" s="2" t="s">
        <v>65</v>
      </c>
    </row>
    <row r="2" spans="1:56" ht="14.25" customHeight="1" thickTop="1" x14ac:dyDescent="0.25">
      <c r="O2" s="12"/>
      <c r="AE2" s="117"/>
      <c r="AF2" s="118" t="s">
        <v>54</v>
      </c>
      <c r="AG2" s="39" t="s">
        <v>55</v>
      </c>
      <c r="AH2" s="39" t="s">
        <v>3</v>
      </c>
      <c r="AI2" s="39" t="s">
        <v>4</v>
      </c>
      <c r="AJ2" s="117"/>
      <c r="AK2" s="118" t="s">
        <v>54</v>
      </c>
      <c r="AL2" s="39" t="s">
        <v>55</v>
      </c>
      <c r="AM2" s="39" t="s">
        <v>3</v>
      </c>
      <c r="AN2" s="39" t="s">
        <v>4</v>
      </c>
      <c r="AP2" s="118" t="s">
        <v>54</v>
      </c>
      <c r="AQ2" s="39" t="s">
        <v>55</v>
      </c>
      <c r="AR2" s="39" t="s">
        <v>3</v>
      </c>
      <c r="AS2" s="39" t="s">
        <v>4</v>
      </c>
      <c r="AU2" s="118" t="s">
        <v>54</v>
      </c>
      <c r="AV2" s="39" t="s">
        <v>55</v>
      </c>
      <c r="AW2" s="39" t="s">
        <v>3</v>
      </c>
      <c r="AX2" s="39" t="s">
        <v>4</v>
      </c>
      <c r="AZ2" s="118" t="s">
        <v>54</v>
      </c>
      <c r="BA2" s="39" t="s">
        <v>55</v>
      </c>
      <c r="BB2" s="39" t="s">
        <v>3</v>
      </c>
      <c r="BC2" s="39" t="s">
        <v>4</v>
      </c>
    </row>
    <row r="3" spans="1:56" ht="13.5" customHeight="1" x14ac:dyDescent="0.2">
      <c r="L3" s="12"/>
      <c r="N3" s="5"/>
      <c r="O3" s="5"/>
      <c r="P3" s="5"/>
      <c r="Q3" s="5"/>
      <c r="AF3" s="115" t="s">
        <v>59</v>
      </c>
      <c r="AG3" s="115" t="s">
        <v>59</v>
      </c>
      <c r="AH3" s="115" t="s">
        <v>60</v>
      </c>
      <c r="AI3" s="115" t="s">
        <v>61</v>
      </c>
      <c r="AJ3" s="116"/>
      <c r="AK3" s="115" t="s">
        <v>59</v>
      </c>
      <c r="AL3" s="115" t="s">
        <v>59</v>
      </c>
      <c r="AM3" s="115" t="s">
        <v>60</v>
      </c>
      <c r="AN3" s="115" t="s">
        <v>61</v>
      </c>
      <c r="AP3" s="115" t="s">
        <v>59</v>
      </c>
      <c r="AQ3" s="115" t="s">
        <v>59</v>
      </c>
      <c r="AR3" s="115" t="s">
        <v>60</v>
      </c>
      <c r="AS3" s="115" t="s">
        <v>61</v>
      </c>
      <c r="AU3" s="115" t="s">
        <v>59</v>
      </c>
      <c r="AV3" s="115" t="s">
        <v>59</v>
      </c>
      <c r="AW3" s="115" t="s">
        <v>60</v>
      </c>
      <c r="AX3" s="115" t="s">
        <v>61</v>
      </c>
      <c r="AZ3" s="115" t="s">
        <v>59</v>
      </c>
      <c r="BA3" s="115" t="s">
        <v>59</v>
      </c>
      <c r="BB3" s="115" t="s">
        <v>60</v>
      </c>
      <c r="BC3" s="115" t="s">
        <v>61</v>
      </c>
    </row>
    <row r="4" spans="1:56" ht="12" customHeight="1" x14ac:dyDescent="0.2">
      <c r="D4" s="3"/>
      <c r="E4" s="343" t="s">
        <v>465</v>
      </c>
      <c r="F4" s="343"/>
      <c r="G4" s="343"/>
      <c r="H4" s="343"/>
      <c r="AE4" s="339" t="s">
        <v>56</v>
      </c>
      <c r="AF4" s="203">
        <f>AG4</f>
        <v>0</v>
      </c>
      <c r="AG4" s="203">
        <f>'CC-car.1'!AD47</f>
        <v>0</v>
      </c>
      <c r="AH4" s="203">
        <f>'CC-car.1'!AE47</f>
        <v>0</v>
      </c>
      <c r="AI4" s="203">
        <f>'CC-car.1'!AF47</f>
        <v>0</v>
      </c>
      <c r="AJ4" s="339" t="s">
        <v>56</v>
      </c>
      <c r="AK4" s="203">
        <f>AF4</f>
        <v>0</v>
      </c>
      <c r="AL4" s="203">
        <f>'CC-car.2'!AD47</f>
        <v>0</v>
      </c>
      <c r="AM4" s="203">
        <f>'CC-car.2'!AE47</f>
        <v>0</v>
      </c>
      <c r="AN4" s="203">
        <f>'CC-car.2'!AF47</f>
        <v>0</v>
      </c>
      <c r="AO4" s="339" t="s">
        <v>56</v>
      </c>
      <c r="AP4" s="203">
        <f>AF4</f>
        <v>0</v>
      </c>
      <c r="AQ4" s="203">
        <f>'CC-car.3'!AD47</f>
        <v>0</v>
      </c>
      <c r="AR4" s="203">
        <f>'CC-car.3'!AE47</f>
        <v>0</v>
      </c>
      <c r="AS4" s="203">
        <f>'CC-car.3'!AF47</f>
        <v>0</v>
      </c>
      <c r="AT4" s="339" t="s">
        <v>56</v>
      </c>
      <c r="AU4" s="203">
        <f>AF4</f>
        <v>0</v>
      </c>
      <c r="AV4" s="203">
        <f>'CC-car.4'!AD47</f>
        <v>0</v>
      </c>
      <c r="AW4" s="203">
        <f>'CC-car.4'!AE47</f>
        <v>0</v>
      </c>
      <c r="AX4" s="203">
        <f>'CC-car.4'!AF47</f>
        <v>0</v>
      </c>
      <c r="AY4" s="339" t="s">
        <v>56</v>
      </c>
      <c r="AZ4" s="203">
        <f>AF4</f>
        <v>0</v>
      </c>
      <c r="BA4" s="203">
        <f>'CC-car.5'!AD47</f>
        <v>0</v>
      </c>
      <c r="BB4" s="203">
        <f>'CC-car.5'!AE47</f>
        <v>0</v>
      </c>
      <c r="BC4" s="203">
        <f>'CC-car.5'!AF47</f>
        <v>0</v>
      </c>
    </row>
    <row r="5" spans="1:56" x14ac:dyDescent="0.2">
      <c r="AE5" s="339"/>
      <c r="AF5" s="201">
        <f t="shared" ref="AF5:AF7" si="0">AG5</f>
        <v>0</v>
      </c>
      <c r="AG5" s="201">
        <f>'CC-car.1'!AD48</f>
        <v>0</v>
      </c>
      <c r="AH5" s="201">
        <f>'CC-car.1'!AE48</f>
        <v>0</v>
      </c>
      <c r="AI5" s="201">
        <f>'CC-car.1'!AF48</f>
        <v>0</v>
      </c>
      <c r="AJ5" s="339"/>
      <c r="AK5" s="201">
        <f t="shared" ref="AK5:AK29" si="1">AF5</f>
        <v>0</v>
      </c>
      <c r="AL5" s="201">
        <f>'CC-car.2'!AD48</f>
        <v>0</v>
      </c>
      <c r="AM5" s="201">
        <f>'CC-car.2'!AE48</f>
        <v>0</v>
      </c>
      <c r="AN5" s="201">
        <f>'CC-car.2'!AF48</f>
        <v>0</v>
      </c>
      <c r="AO5" s="339"/>
      <c r="AP5" s="201">
        <f t="shared" ref="AP5:AP29" si="2">AF5</f>
        <v>0</v>
      </c>
      <c r="AQ5" s="201">
        <f>'CC-car.3'!AD48</f>
        <v>0</v>
      </c>
      <c r="AR5" s="201">
        <f>'CC-car.3'!AE48</f>
        <v>0</v>
      </c>
      <c r="AS5" s="201">
        <f>'CC-car.3'!AF48</f>
        <v>0</v>
      </c>
      <c r="AT5" s="339"/>
      <c r="AU5" s="201">
        <f t="shared" ref="AU5:AU29" si="3">AF5</f>
        <v>0</v>
      </c>
      <c r="AV5" s="201">
        <f>'CC-car.4'!AD48</f>
        <v>0</v>
      </c>
      <c r="AW5" s="201">
        <f>'CC-car.4'!AE48</f>
        <v>0</v>
      </c>
      <c r="AX5" s="201">
        <f>'CC-car.4'!AF48</f>
        <v>0</v>
      </c>
      <c r="AY5" s="339"/>
      <c r="AZ5" s="201">
        <f t="shared" ref="AZ5:AZ29" si="4">AF5</f>
        <v>0</v>
      </c>
      <c r="BA5" s="201">
        <f>'CC-car.5'!AD48</f>
        <v>0</v>
      </c>
      <c r="BB5" s="201">
        <f>'CC-car.5'!AE48</f>
        <v>0</v>
      </c>
      <c r="BC5" s="201">
        <f>'CC-car.5'!AF48</f>
        <v>0</v>
      </c>
    </row>
    <row r="6" spans="1:56" x14ac:dyDescent="0.2">
      <c r="E6" s="340" t="s">
        <v>452</v>
      </c>
      <c r="F6" s="340"/>
      <c r="G6" s="340"/>
      <c r="H6" s="340"/>
      <c r="AE6" s="339"/>
      <c r="AF6" s="201">
        <f t="shared" si="0"/>
        <v>0</v>
      </c>
      <c r="AG6" s="201">
        <f>'CC-car.1'!AD49</f>
        <v>0</v>
      </c>
      <c r="AH6" s="201">
        <f>'CC-car.1'!AE49</f>
        <v>0</v>
      </c>
      <c r="AI6" s="201">
        <f>'CC-car.1'!AF49</f>
        <v>0</v>
      </c>
      <c r="AJ6" s="339"/>
      <c r="AK6" s="201">
        <f t="shared" si="1"/>
        <v>0</v>
      </c>
      <c r="AL6" s="201">
        <f>'CC-car.2'!AD49</f>
        <v>0</v>
      </c>
      <c r="AM6" s="201">
        <f>'CC-car.2'!AE49</f>
        <v>0</v>
      </c>
      <c r="AN6" s="201">
        <f>'CC-car.2'!AF49</f>
        <v>0</v>
      </c>
      <c r="AO6" s="339"/>
      <c r="AP6" s="201">
        <f t="shared" si="2"/>
        <v>0</v>
      </c>
      <c r="AQ6" s="201">
        <f>'CC-car.3'!AD49</f>
        <v>0</v>
      </c>
      <c r="AR6" s="201">
        <f>'CC-car.3'!AE49</f>
        <v>0</v>
      </c>
      <c r="AS6" s="201">
        <f>'CC-car.3'!AF49</f>
        <v>0</v>
      </c>
      <c r="AT6" s="339"/>
      <c r="AU6" s="201">
        <f t="shared" si="3"/>
        <v>0</v>
      </c>
      <c r="AV6" s="201">
        <f>'CC-car.4'!AD49</f>
        <v>0</v>
      </c>
      <c r="AW6" s="201">
        <f>'CC-car.4'!AE49</f>
        <v>0</v>
      </c>
      <c r="AX6" s="201">
        <f>'CC-car.4'!AF49</f>
        <v>0</v>
      </c>
      <c r="AY6" s="339"/>
      <c r="AZ6" s="201">
        <f t="shared" si="4"/>
        <v>0</v>
      </c>
      <c r="BA6" s="201">
        <f>'CC-car.5'!AD49</f>
        <v>0</v>
      </c>
      <c r="BB6" s="201">
        <f>'CC-car.5'!AE49</f>
        <v>0</v>
      </c>
      <c r="BC6" s="201">
        <f>'CC-car.5'!AF49</f>
        <v>0</v>
      </c>
    </row>
    <row r="7" spans="1:56" ht="12" customHeight="1" x14ac:dyDescent="0.2">
      <c r="AE7" s="339"/>
      <c r="AF7" s="204">
        <f t="shared" si="0"/>
        <v>0</v>
      </c>
      <c r="AG7" s="204">
        <f>'CC-car.1'!AD50</f>
        <v>0</v>
      </c>
      <c r="AH7" s="204">
        <f>'CC-car.1'!AE50</f>
        <v>0</v>
      </c>
      <c r="AI7" s="204">
        <f>'CC-car.1'!AF50</f>
        <v>0</v>
      </c>
      <c r="AJ7" s="339"/>
      <c r="AK7" s="204">
        <f t="shared" si="1"/>
        <v>0</v>
      </c>
      <c r="AL7" s="204">
        <f>'CC-car.2'!AD50</f>
        <v>0</v>
      </c>
      <c r="AM7" s="204">
        <f>'CC-car.2'!AE50</f>
        <v>0</v>
      </c>
      <c r="AN7" s="204">
        <f>'CC-car.2'!AF50</f>
        <v>0</v>
      </c>
      <c r="AO7" s="339"/>
      <c r="AP7" s="204">
        <f t="shared" si="2"/>
        <v>0</v>
      </c>
      <c r="AQ7" s="204">
        <f>'CC-car.3'!AD50</f>
        <v>0</v>
      </c>
      <c r="AR7" s="204">
        <f>'CC-car.3'!AE50</f>
        <v>0</v>
      </c>
      <c r="AS7" s="204">
        <f>'CC-car.3'!AF50</f>
        <v>0</v>
      </c>
      <c r="AT7" s="339"/>
      <c r="AU7" s="204">
        <f t="shared" si="3"/>
        <v>0</v>
      </c>
      <c r="AV7" s="204">
        <f>'CC-car.4'!AD50</f>
        <v>0</v>
      </c>
      <c r="AW7" s="204">
        <f>'CC-car.4'!AE50</f>
        <v>0</v>
      </c>
      <c r="AX7" s="204">
        <f>'CC-car.4'!AF50</f>
        <v>0</v>
      </c>
      <c r="AY7" s="339"/>
      <c r="AZ7" s="204">
        <f t="shared" si="4"/>
        <v>0</v>
      </c>
      <c r="BA7" s="204">
        <f>'CC-car.5'!AD50</f>
        <v>0</v>
      </c>
      <c r="BB7" s="204">
        <f>'CC-car.5'!AE50</f>
        <v>0</v>
      </c>
      <c r="BC7" s="204">
        <f>'CC-car.5'!AF50</f>
        <v>0</v>
      </c>
    </row>
    <row r="8" spans="1:56" ht="12" customHeight="1" x14ac:dyDescent="0.2">
      <c r="AE8" s="338" t="s">
        <v>30</v>
      </c>
      <c r="AF8" s="203">
        <f t="shared" ref="AF8:AF16" si="5">AG8-$AG$7</f>
        <v>0</v>
      </c>
      <c r="AG8" s="203">
        <f>'CC-car.1'!AD51</f>
        <v>0</v>
      </c>
      <c r="AH8" s="203">
        <f>'CC-car.1'!AE51</f>
        <v>0</v>
      </c>
      <c r="AI8" s="203">
        <f>'CC-car.1'!AF51</f>
        <v>11.158000000000001</v>
      </c>
      <c r="AJ8" s="338" t="s">
        <v>30</v>
      </c>
      <c r="AK8" s="203">
        <f t="shared" si="1"/>
        <v>0</v>
      </c>
      <c r="AL8" s="203">
        <f>'CC-car.2'!AD51</f>
        <v>0</v>
      </c>
      <c r="AM8" s="203">
        <f>'CC-car.2'!AE51</f>
        <v>0</v>
      </c>
      <c r="AN8" s="203">
        <f>'CC-car.2'!AF51</f>
        <v>22.473733333333335</v>
      </c>
      <c r="AO8" s="338" t="s">
        <v>30</v>
      </c>
      <c r="AP8" s="203">
        <f t="shared" si="2"/>
        <v>0</v>
      </c>
      <c r="AQ8" s="203">
        <f>'CC-car.3'!AD51</f>
        <v>0</v>
      </c>
      <c r="AR8" s="203">
        <f>'CC-car.3'!AE51</f>
        <v>0</v>
      </c>
      <c r="AS8" s="203">
        <f>'CC-car.3'!AF51</f>
        <v>21.491333333333337</v>
      </c>
      <c r="AT8" s="338" t="s">
        <v>30</v>
      </c>
      <c r="AU8" s="203">
        <f t="shared" si="3"/>
        <v>0</v>
      </c>
      <c r="AV8" s="203">
        <f>'CC-car.4'!AD51</f>
        <v>0</v>
      </c>
      <c r="AW8" s="203">
        <f>'CC-car.4'!AE51</f>
        <v>0</v>
      </c>
      <c r="AX8" s="203">
        <f>'CC-car.4'!AF51</f>
        <v>11.287066666666668</v>
      </c>
      <c r="AY8" s="338" t="s">
        <v>30</v>
      </c>
      <c r="AZ8" s="203">
        <f t="shared" si="4"/>
        <v>0</v>
      </c>
      <c r="BA8" s="203">
        <f>'CC-car.5'!AD51</f>
        <v>0</v>
      </c>
      <c r="BB8" s="203">
        <f>'CC-car.5'!AE51</f>
        <v>0</v>
      </c>
      <c r="BC8" s="203">
        <f>'CC-car.5'!AF51</f>
        <v>0</v>
      </c>
    </row>
    <row r="9" spans="1:56" x14ac:dyDescent="0.2">
      <c r="AE9" s="338"/>
      <c r="AF9" s="201">
        <f t="shared" si="5"/>
        <v>0.625</v>
      </c>
      <c r="AG9" s="201">
        <f>'CC-car.1'!AD52</f>
        <v>0.625</v>
      </c>
      <c r="AH9" s="201">
        <f>'CC-car.1'!AE52</f>
        <v>5.8018750000000008</v>
      </c>
      <c r="AI9" s="201">
        <f>'CC-car.1'!AF52</f>
        <v>7.4080000000000013</v>
      </c>
      <c r="AJ9" s="338"/>
      <c r="AK9" s="201">
        <f t="shared" si="1"/>
        <v>0.625</v>
      </c>
      <c r="AL9" s="201">
        <f>'CC-car.2'!AD52</f>
        <v>0.625</v>
      </c>
      <c r="AM9" s="201">
        <f>'CC-car.2'!AE52</f>
        <v>11.936708333333335</v>
      </c>
      <c r="AN9" s="201">
        <f>'CC-car.2'!AF52</f>
        <v>15.723733333333335</v>
      </c>
      <c r="AO9" s="338"/>
      <c r="AP9" s="201">
        <f t="shared" si="2"/>
        <v>0.625</v>
      </c>
      <c r="AQ9" s="201">
        <f>'CC-car.3'!AD52</f>
        <v>0.625</v>
      </c>
      <c r="AR9" s="201">
        <f>'CC-car.3'!AE52</f>
        <v>11.322708333333335</v>
      </c>
      <c r="AS9" s="201">
        <f>'CC-car.3'!AF52</f>
        <v>14.741333333333337</v>
      </c>
      <c r="AT9" s="338"/>
      <c r="AU9" s="201">
        <f t="shared" si="3"/>
        <v>0.625</v>
      </c>
      <c r="AV9" s="201">
        <f>'CC-car.4'!AD52</f>
        <v>0.625</v>
      </c>
      <c r="AW9" s="201">
        <f>'CC-car.4'!AE52</f>
        <v>5.8825416666666674</v>
      </c>
      <c r="AX9" s="201">
        <f>'CC-car.4'!AF52</f>
        <v>7.5370666666666679</v>
      </c>
      <c r="AY9" s="338"/>
      <c r="AZ9" s="201">
        <f t="shared" si="4"/>
        <v>0.625</v>
      </c>
      <c r="BA9" s="201">
        <f>'CC-car.5'!AD52</f>
        <v>0.625</v>
      </c>
      <c r="BB9" s="201">
        <f>'CC-car.5'!AE52</f>
        <v>0</v>
      </c>
      <c r="BC9" s="201">
        <f>'CC-car.5'!AF52</f>
        <v>0</v>
      </c>
    </row>
    <row r="10" spans="1:56" x14ac:dyDescent="0.2">
      <c r="C10" s="286"/>
      <c r="D10" s="286"/>
      <c r="E10" s="343" t="s">
        <v>466</v>
      </c>
      <c r="F10" s="343"/>
      <c r="G10" s="343"/>
      <c r="H10" s="343"/>
      <c r="AE10" s="338"/>
      <c r="AF10" s="201">
        <f t="shared" si="5"/>
        <v>1.25</v>
      </c>
      <c r="AG10" s="201">
        <f>'CC-car.1'!AD53</f>
        <v>1.25</v>
      </c>
      <c r="AH10" s="201">
        <f>'CC-car.1'!AE53</f>
        <v>9.2600000000000016</v>
      </c>
      <c r="AI10" s="201">
        <f>'CC-car.1'!AF53</f>
        <v>3.6580000000000013</v>
      </c>
      <c r="AJ10" s="338"/>
      <c r="AK10" s="201">
        <f t="shared" si="1"/>
        <v>1.25</v>
      </c>
      <c r="AL10" s="201">
        <f>'CC-car.2'!AD53</f>
        <v>1.25</v>
      </c>
      <c r="AM10" s="201">
        <f>'CC-car.2'!AE53</f>
        <v>19.654666666666671</v>
      </c>
      <c r="AN10" s="201">
        <f>'CC-car.2'!AF53</f>
        <v>8.9737333333333353</v>
      </c>
      <c r="AO10" s="338"/>
      <c r="AP10" s="201">
        <f t="shared" si="2"/>
        <v>1.25</v>
      </c>
      <c r="AQ10" s="201">
        <f>'CC-car.3'!AD53</f>
        <v>1.25</v>
      </c>
      <c r="AR10" s="201">
        <f>'CC-car.3'!AE53</f>
        <v>18.426666666666669</v>
      </c>
      <c r="AS10" s="201">
        <f>'CC-car.3'!AF53</f>
        <v>7.991333333333337</v>
      </c>
      <c r="AT10" s="338"/>
      <c r="AU10" s="201">
        <f t="shared" si="3"/>
        <v>1.25</v>
      </c>
      <c r="AV10" s="201">
        <f>'CC-car.4'!AD53</f>
        <v>1.25</v>
      </c>
      <c r="AW10" s="201">
        <f>'CC-car.4'!AE53</f>
        <v>9.4213333333333349</v>
      </c>
      <c r="AX10" s="201">
        <f>'CC-car.4'!AF53</f>
        <v>3.7870666666666679</v>
      </c>
      <c r="AY10" s="338"/>
      <c r="AZ10" s="201">
        <f t="shared" si="4"/>
        <v>1.25</v>
      </c>
      <c r="BA10" s="201">
        <f>'CC-car.5'!AD53</f>
        <v>1.25</v>
      </c>
      <c r="BB10" s="201">
        <f>'CC-car.5'!AE53</f>
        <v>0</v>
      </c>
      <c r="BC10" s="201">
        <f>'CC-car.5'!AF53</f>
        <v>0</v>
      </c>
    </row>
    <row r="11" spans="1:56" x14ac:dyDescent="0.2">
      <c r="AE11" s="338"/>
      <c r="AF11" s="201">
        <f t="shared" si="5"/>
        <v>1.875</v>
      </c>
      <c r="AG11" s="201">
        <f>'CC-car.1'!AD54</f>
        <v>1.875</v>
      </c>
      <c r="AH11" s="201">
        <f>'CC-car.1'!AE54</f>
        <v>10.374375000000001</v>
      </c>
      <c r="AI11" s="201">
        <f>'CC-car.1'!AF54</f>
        <v>-9.1999999999998749E-2</v>
      </c>
      <c r="AJ11" s="338"/>
      <c r="AK11" s="201">
        <f t="shared" si="1"/>
        <v>1.875</v>
      </c>
      <c r="AL11" s="201">
        <f>'CC-car.2'!AD54</f>
        <v>1.875</v>
      </c>
      <c r="AM11" s="201">
        <f>'CC-car.2'!AE54</f>
        <v>23.153875000000006</v>
      </c>
      <c r="AN11" s="201">
        <f>'CC-car.2'!AF54</f>
        <v>2.2237333333333353</v>
      </c>
      <c r="AO11" s="338"/>
      <c r="AP11" s="201">
        <f t="shared" si="2"/>
        <v>1.875</v>
      </c>
      <c r="AQ11" s="201">
        <f>'CC-car.3'!AD54</f>
        <v>1.875</v>
      </c>
      <c r="AR11" s="201">
        <f>'CC-car.3'!AE54</f>
        <v>21.311875000000008</v>
      </c>
      <c r="AS11" s="201">
        <f>'CC-car.3'!AF54</f>
        <v>1.241333333333337</v>
      </c>
      <c r="AT11" s="338"/>
      <c r="AU11" s="201">
        <f t="shared" si="3"/>
        <v>1.875</v>
      </c>
      <c r="AV11" s="201">
        <f>'CC-car.4'!AD54</f>
        <v>1.875</v>
      </c>
      <c r="AW11" s="201">
        <f>'CC-car.4'!AE54</f>
        <v>10.616375000000001</v>
      </c>
      <c r="AX11" s="201">
        <f>'CC-car.4'!AF54</f>
        <v>3.7066666666667913E-2</v>
      </c>
      <c r="AY11" s="338"/>
      <c r="AZ11" s="201">
        <f t="shared" si="4"/>
        <v>1.875</v>
      </c>
      <c r="BA11" s="201">
        <f>'CC-car.5'!AD54</f>
        <v>1.875</v>
      </c>
      <c r="BB11" s="201">
        <f>'CC-car.5'!AE54</f>
        <v>0</v>
      </c>
      <c r="BC11" s="201">
        <f>'CC-car.5'!AF54</f>
        <v>0</v>
      </c>
    </row>
    <row r="12" spans="1:56" x14ac:dyDescent="0.2">
      <c r="G12" s="280"/>
      <c r="H12" s="280"/>
      <c r="O12" s="15"/>
      <c r="P12" s="15"/>
      <c r="Q12" s="15"/>
      <c r="R12" s="15"/>
      <c r="AE12" s="338"/>
      <c r="AF12" s="201">
        <f t="shared" si="5"/>
        <v>2.5</v>
      </c>
      <c r="AG12" s="201">
        <f>'CC-car.1'!AD55</f>
        <v>2.5</v>
      </c>
      <c r="AH12" s="201">
        <f>'CC-car.1'!AE55</f>
        <v>9.1450000000000031</v>
      </c>
      <c r="AI12" s="201">
        <f>'CC-car.1'!AF55</f>
        <v>-3.8419999999999987</v>
      </c>
      <c r="AJ12" s="338"/>
      <c r="AK12" s="201">
        <f t="shared" si="1"/>
        <v>2.5</v>
      </c>
      <c r="AL12" s="201">
        <f>'CC-car.2'!AD55</f>
        <v>2.5</v>
      </c>
      <c r="AM12" s="201">
        <f>'CC-car.2'!AE55</f>
        <v>22.434333333333342</v>
      </c>
      <c r="AN12" s="201">
        <f>'CC-car.2'!AF55</f>
        <v>-4.5262666666666647</v>
      </c>
      <c r="AO12" s="338"/>
      <c r="AP12" s="201">
        <f t="shared" si="2"/>
        <v>2.5</v>
      </c>
      <c r="AQ12" s="201">
        <f>'CC-car.3'!AD55</f>
        <v>2.5</v>
      </c>
      <c r="AR12" s="201">
        <f>'CC-car.3'!AE55</f>
        <v>19.978333333333339</v>
      </c>
      <c r="AS12" s="201">
        <f>'CC-car.3'!AF55</f>
        <v>-5.508666666666663</v>
      </c>
      <c r="AT12" s="338"/>
      <c r="AU12" s="201">
        <f t="shared" si="3"/>
        <v>2.5</v>
      </c>
      <c r="AV12" s="201">
        <f>'CC-car.4'!AD55</f>
        <v>2.5</v>
      </c>
      <c r="AW12" s="201">
        <f>'CC-car.4'!AE55</f>
        <v>9.4676666666666698</v>
      </c>
      <c r="AX12" s="201">
        <f>'CC-car.4'!AF55</f>
        <v>-3.7129333333333321</v>
      </c>
      <c r="AY12" s="338"/>
      <c r="AZ12" s="201">
        <f t="shared" si="4"/>
        <v>2.5</v>
      </c>
      <c r="BA12" s="201">
        <f>'CC-car.5'!AD55</f>
        <v>2.5</v>
      </c>
      <c r="BB12" s="201">
        <f>'CC-car.5'!AE55</f>
        <v>0</v>
      </c>
      <c r="BC12" s="201">
        <f>'CC-car.5'!AF55</f>
        <v>0</v>
      </c>
    </row>
    <row r="13" spans="1:56" x14ac:dyDescent="0.2">
      <c r="C13" s="252" t="s">
        <v>451</v>
      </c>
      <c r="D13" s="254"/>
      <c r="E13" s="257" t="s">
        <v>453</v>
      </c>
      <c r="F13" s="254" t="s">
        <v>454</v>
      </c>
      <c r="G13" s="254" t="s">
        <v>455</v>
      </c>
      <c r="H13" s="257" t="s">
        <v>458</v>
      </c>
      <c r="O13" s="15"/>
      <c r="P13" s="15"/>
      <c r="Q13" s="15"/>
      <c r="R13" s="15"/>
      <c r="AE13" s="338"/>
      <c r="AF13" s="201">
        <f t="shared" si="5"/>
        <v>3.125</v>
      </c>
      <c r="AG13" s="201">
        <f>'CC-car.1'!AD56</f>
        <v>3.125</v>
      </c>
      <c r="AH13" s="201">
        <f>'CC-car.1'!AE56</f>
        <v>5.5718750000000057</v>
      </c>
      <c r="AI13" s="201">
        <f>'CC-car.1'!AF56</f>
        <v>-7.5919999999999987</v>
      </c>
      <c r="AJ13" s="338"/>
      <c r="AK13" s="201">
        <f t="shared" si="1"/>
        <v>3.125</v>
      </c>
      <c r="AL13" s="201">
        <f>'CC-car.2'!AD56</f>
        <v>3.125</v>
      </c>
      <c r="AM13" s="201">
        <f>'CC-car.2'!AE56</f>
        <v>17.49604166666667</v>
      </c>
      <c r="AN13" s="201">
        <f>'CC-car.2'!AF56</f>
        <v>-11.276266666666665</v>
      </c>
      <c r="AO13" s="338"/>
      <c r="AP13" s="201">
        <f t="shared" si="2"/>
        <v>3.125</v>
      </c>
      <c r="AQ13" s="201">
        <f>'CC-car.3'!AD56</f>
        <v>3.125</v>
      </c>
      <c r="AR13" s="201">
        <f>'CC-car.3'!AE56</f>
        <v>14.426041666666677</v>
      </c>
      <c r="AS13" s="201">
        <f>'CC-car.3'!AF56</f>
        <v>-12.258666666666663</v>
      </c>
      <c r="AT13" s="338"/>
      <c r="AU13" s="201">
        <f t="shared" si="3"/>
        <v>3.125</v>
      </c>
      <c r="AV13" s="201">
        <f>'CC-car.4'!AD56</f>
        <v>3.125</v>
      </c>
      <c r="AW13" s="201">
        <f>'CC-car.4'!AE56</f>
        <v>5.9752083333333346</v>
      </c>
      <c r="AX13" s="201">
        <f>'CC-car.4'!AF56</f>
        <v>-7.4629333333333321</v>
      </c>
      <c r="AY13" s="338"/>
      <c r="AZ13" s="201">
        <f t="shared" si="4"/>
        <v>3.125</v>
      </c>
      <c r="BA13" s="201">
        <f>'CC-car.5'!AD56</f>
        <v>3.125</v>
      </c>
      <c r="BB13" s="201">
        <f>'CC-car.5'!AE56</f>
        <v>0</v>
      </c>
      <c r="BC13" s="201">
        <f>'CC-car.5'!AF56</f>
        <v>0</v>
      </c>
    </row>
    <row r="14" spans="1:56" x14ac:dyDescent="0.2">
      <c r="E14" s="308" t="s">
        <v>464</v>
      </c>
      <c r="H14" s="307" t="s">
        <v>463</v>
      </c>
      <c r="AE14" s="338"/>
      <c r="AF14" s="201">
        <f t="shared" si="5"/>
        <v>3.75</v>
      </c>
      <c r="AG14" s="201">
        <f>'CC-car.1'!AD57</f>
        <v>3.75</v>
      </c>
      <c r="AH14" s="201">
        <f>'CC-car.1'!AE57</f>
        <v>-0.34499999999999886</v>
      </c>
      <c r="AI14" s="201">
        <f>'CC-car.1'!AF57</f>
        <v>-11.341999999999999</v>
      </c>
      <c r="AJ14" s="338"/>
      <c r="AK14" s="201">
        <f t="shared" si="1"/>
        <v>3.75</v>
      </c>
      <c r="AL14" s="201">
        <f>'CC-car.2'!AD57</f>
        <v>3.75</v>
      </c>
      <c r="AM14" s="201">
        <f>'CC-car.2'!AE57</f>
        <v>8.3390000000000128</v>
      </c>
      <c r="AN14" s="201">
        <f>'CC-car.2'!AF57</f>
        <v>-18.026266666666665</v>
      </c>
      <c r="AO14" s="338"/>
      <c r="AP14" s="201">
        <f t="shared" si="2"/>
        <v>3.75</v>
      </c>
      <c r="AQ14" s="201">
        <f>'CC-car.3'!AD57</f>
        <v>3.75</v>
      </c>
      <c r="AR14" s="201">
        <f>'CC-car.3'!AE57</f>
        <v>4.6550000000000153</v>
      </c>
      <c r="AS14" s="201">
        <f>'CC-car.3'!AF57</f>
        <v>-19.008666666666663</v>
      </c>
      <c r="AT14" s="338"/>
      <c r="AU14" s="201">
        <f t="shared" si="3"/>
        <v>3.75</v>
      </c>
      <c r="AV14" s="201">
        <f>'CC-car.4'!AD57</f>
        <v>3.75</v>
      </c>
      <c r="AW14" s="201">
        <f>'CC-car.4'!AE57</f>
        <v>0.1390000000000029</v>
      </c>
      <c r="AX14" s="201">
        <f>'CC-car.4'!AF57</f>
        <v>-11.212933333333332</v>
      </c>
      <c r="AY14" s="338"/>
      <c r="AZ14" s="201">
        <f t="shared" si="4"/>
        <v>3.75</v>
      </c>
      <c r="BA14" s="201">
        <f>'CC-car.5'!AD57</f>
        <v>3.75</v>
      </c>
      <c r="BB14" s="201">
        <f>'CC-car.5'!AE57</f>
        <v>0</v>
      </c>
      <c r="BC14" s="201">
        <f>'CC-car.5'!AF57</f>
        <v>0</v>
      </c>
    </row>
    <row r="15" spans="1:56" x14ac:dyDescent="0.2">
      <c r="C15" s="252" t="s">
        <v>447</v>
      </c>
      <c r="D15" s="274" t="s">
        <v>449</v>
      </c>
      <c r="E15" s="278">
        <v>0</v>
      </c>
      <c r="F15" s="278">
        <v>5</v>
      </c>
      <c r="G15" s="278">
        <v>4</v>
      </c>
      <c r="H15" s="278">
        <v>1.1000000000000001</v>
      </c>
      <c r="AE15" s="338"/>
      <c r="AF15" s="201">
        <f t="shared" si="5"/>
        <v>4.375</v>
      </c>
      <c r="AG15" s="201">
        <f>'CC-car.1'!AD58</f>
        <v>4.375</v>
      </c>
      <c r="AH15" s="201">
        <f>'CC-car.1'!AE58</f>
        <v>-8.6056249999999963</v>
      </c>
      <c r="AI15" s="201">
        <f>'CC-car.1'!AF58</f>
        <v>-15.091999999999999</v>
      </c>
      <c r="AJ15" s="338"/>
      <c r="AK15" s="201">
        <f t="shared" si="1"/>
        <v>4.375</v>
      </c>
      <c r="AL15" s="201">
        <f>'CC-car.2'!AD58</f>
        <v>4.375</v>
      </c>
      <c r="AM15" s="201">
        <f>'CC-car.2'!AE58</f>
        <v>-5.0367916666666588</v>
      </c>
      <c r="AN15" s="201">
        <f>'CC-car.2'!AF58</f>
        <v>-24.776266666666665</v>
      </c>
      <c r="AO15" s="338"/>
      <c r="AP15" s="201">
        <f t="shared" si="2"/>
        <v>4.375</v>
      </c>
      <c r="AQ15" s="201">
        <f>'CC-car.3'!AD58</f>
        <v>4.375</v>
      </c>
      <c r="AR15" s="201">
        <f>'CC-car.3'!AE58</f>
        <v>-9.3347916666666464</v>
      </c>
      <c r="AS15" s="201">
        <f>'CC-car.3'!AF58</f>
        <v>-25.758666666666663</v>
      </c>
      <c r="AT15" s="338"/>
      <c r="AU15" s="201">
        <f t="shared" si="3"/>
        <v>4.375</v>
      </c>
      <c r="AV15" s="201">
        <f>'CC-car.4'!AD58</f>
        <v>4.375</v>
      </c>
      <c r="AW15" s="201">
        <f>'CC-car.4'!AE58</f>
        <v>-8.0409583333333288</v>
      </c>
      <c r="AX15" s="201">
        <f>'CC-car.4'!AF58</f>
        <v>-14.962933333333332</v>
      </c>
      <c r="AY15" s="338"/>
      <c r="AZ15" s="201">
        <f t="shared" si="4"/>
        <v>4.375</v>
      </c>
      <c r="BA15" s="201">
        <f>'CC-car.5'!AD58</f>
        <v>4.375</v>
      </c>
      <c r="BB15" s="201">
        <f>'CC-car.5'!AE58</f>
        <v>0</v>
      </c>
      <c r="BC15" s="201">
        <f>'CC-car.5'!AF58</f>
        <v>0</v>
      </c>
    </row>
    <row r="16" spans="1:56" s="46" customFormat="1" ht="13.5" customHeight="1" x14ac:dyDescent="0.2">
      <c r="A16" s="275"/>
      <c r="B16" s="275"/>
      <c r="C16" s="252" t="s">
        <v>450</v>
      </c>
      <c r="D16" s="42"/>
      <c r="E16" s="279" t="s">
        <v>448</v>
      </c>
      <c r="F16" s="346" t="str">
        <f>E6</f>
        <v>ca</v>
      </c>
      <c r="G16" s="346"/>
      <c r="H16" s="279" t="str">
        <f>E6</f>
        <v>ca</v>
      </c>
      <c r="U16" s="18"/>
      <c r="AE16" s="338"/>
      <c r="AF16" s="204">
        <f t="shared" si="5"/>
        <v>5</v>
      </c>
      <c r="AG16" s="204">
        <f>'CC-car.1'!AD59</f>
        <v>5</v>
      </c>
      <c r="AH16" s="204">
        <f>'CC-car.1'!AE59</f>
        <v>-19.209999999999994</v>
      </c>
      <c r="AI16" s="204">
        <f>'CC-car.1'!AF59</f>
        <v>-18.841999999999999</v>
      </c>
      <c r="AJ16" s="338"/>
      <c r="AK16" s="204">
        <f t="shared" si="1"/>
        <v>5</v>
      </c>
      <c r="AL16" s="204">
        <f>'CC-car.2'!AD59</f>
        <v>5</v>
      </c>
      <c r="AM16" s="204">
        <f>'CC-car.2'!AE59</f>
        <v>-22.631333333333316</v>
      </c>
      <c r="AN16" s="204">
        <f>'CC-car.2'!AF59</f>
        <v>-31.526266666666665</v>
      </c>
      <c r="AO16" s="338"/>
      <c r="AP16" s="204">
        <f t="shared" si="2"/>
        <v>5</v>
      </c>
      <c r="AQ16" s="204">
        <f>'CC-car.3'!AD59</f>
        <v>5</v>
      </c>
      <c r="AR16" s="204">
        <f>'CC-car.3'!AE59</f>
        <v>-27.543333333333322</v>
      </c>
      <c r="AS16" s="204">
        <f>'CC-car.3'!AF59</f>
        <v>-32.508666666666663</v>
      </c>
      <c r="AT16" s="338"/>
      <c r="AU16" s="204">
        <f t="shared" si="3"/>
        <v>5</v>
      </c>
      <c r="AV16" s="204">
        <f>'CC-car.4'!AD59</f>
        <v>5</v>
      </c>
      <c r="AW16" s="204">
        <f>'CC-car.4'!AE59</f>
        <v>-18.56466666666666</v>
      </c>
      <c r="AX16" s="204">
        <f>'CC-car.4'!AF59</f>
        <v>-18.712933333333332</v>
      </c>
      <c r="AY16" s="338"/>
      <c r="AZ16" s="204">
        <f t="shared" si="4"/>
        <v>5</v>
      </c>
      <c r="BA16" s="204">
        <f>'CC-car.5'!AD59</f>
        <v>5</v>
      </c>
      <c r="BB16" s="204">
        <f>'CC-car.5'!AE59</f>
        <v>0</v>
      </c>
      <c r="BC16" s="204">
        <f>'CC-car.5'!AF59</f>
        <v>0</v>
      </c>
      <c r="BD16" s="1"/>
    </row>
    <row r="17" spans="1:56" s="46" customFormat="1" ht="12" customHeight="1" x14ac:dyDescent="0.2">
      <c r="A17" s="275"/>
      <c r="B17" s="275"/>
      <c r="C17" s="252" t="s">
        <v>127</v>
      </c>
      <c r="D17" s="42"/>
      <c r="E17" s="305"/>
      <c r="F17" s="305" t="s">
        <v>474</v>
      </c>
      <c r="G17" s="305" t="s">
        <v>474</v>
      </c>
      <c r="H17" s="305" t="str">
        <f>G17</f>
        <v>30x50</v>
      </c>
      <c r="AE17" s="339" t="s">
        <v>72</v>
      </c>
      <c r="AF17" s="205">
        <f t="shared" ref="AF17:AF25" si="6">AG17-$AG$16</f>
        <v>0</v>
      </c>
      <c r="AG17" s="203">
        <f>'CC-car.1'!AD60</f>
        <v>5</v>
      </c>
      <c r="AH17" s="203">
        <f>'CC-car.1'!AE60</f>
        <v>-19.209999999999997</v>
      </c>
      <c r="AI17" s="203">
        <f>'CC-car.1'!AF60</f>
        <v>25.495000000000001</v>
      </c>
      <c r="AJ17" s="339" t="s">
        <v>72</v>
      </c>
      <c r="AK17" s="205">
        <f t="shared" si="1"/>
        <v>0</v>
      </c>
      <c r="AL17" s="203">
        <f>'CC-car.2'!AD60</f>
        <v>5</v>
      </c>
      <c r="AM17" s="203">
        <f>'CC-car.2'!AE60</f>
        <v>-22.631333333333327</v>
      </c>
      <c r="AN17" s="203">
        <f>'CC-car.2'!AF60</f>
        <v>16.024333333333331</v>
      </c>
      <c r="AO17" s="339" t="s">
        <v>72</v>
      </c>
      <c r="AP17" s="205">
        <f t="shared" si="2"/>
        <v>0</v>
      </c>
      <c r="AQ17" s="203">
        <f>'CC-car.3'!AD60</f>
        <v>5</v>
      </c>
      <c r="AR17" s="203">
        <f>'CC-car.3'!AE60</f>
        <v>-27.543333333333329</v>
      </c>
      <c r="AS17" s="203">
        <f>'CC-car.3'!AF60</f>
        <v>27.578333333333333</v>
      </c>
      <c r="AT17" s="339" t="s">
        <v>72</v>
      </c>
      <c r="AU17" s="205">
        <f t="shared" si="3"/>
        <v>0</v>
      </c>
      <c r="AV17" s="203">
        <f>'CC-car.4'!AD60</f>
        <v>5</v>
      </c>
      <c r="AW17" s="203">
        <f>'CC-car.4'!AE60</f>
        <v>-18.564666666666664</v>
      </c>
      <c r="AX17" s="203">
        <f>'CC-car.4'!AF60</f>
        <v>24.607666666666667</v>
      </c>
      <c r="AY17" s="339" t="s">
        <v>72</v>
      </c>
      <c r="AZ17" s="205">
        <f t="shared" si="4"/>
        <v>0</v>
      </c>
      <c r="BA17" s="203">
        <f>'CC-car.5'!AD60</f>
        <v>5</v>
      </c>
      <c r="BB17" s="203">
        <f>'CC-car.5'!AE60</f>
        <v>0</v>
      </c>
      <c r="BC17" s="203">
        <f>'CC-car.5'!AF60</f>
        <v>0</v>
      </c>
      <c r="BD17" s="1"/>
    </row>
    <row r="18" spans="1:56" s="46" customFormat="1" x14ac:dyDescent="0.2">
      <c r="A18" s="275"/>
      <c r="B18" s="275"/>
      <c r="C18" s="252" t="s">
        <v>460</v>
      </c>
      <c r="D18" s="274" t="s">
        <v>446</v>
      </c>
      <c r="E18" s="201" t="str">
        <f>IF($E16=$I$69,VLOOKUP($E17,matca,2,0),IF($E16=$I$70,VLOOKUP($E17,matacciaio,3,0),""))</f>
        <v/>
      </c>
      <c r="F18" s="201">
        <f>IF($E6=$I$69,VLOOKUP($F17,matca,2,0),IF($E6=$I$70,VLOOKUP($F17,matacciaio,3,0),""))</f>
        <v>3.75</v>
      </c>
      <c r="G18" s="201">
        <f>IF($E6=$I$69,VLOOKUP($G17,matca,2,0),IF($E6=$I$70,VLOOKUP($G17,matacciaio,3,0),""))</f>
        <v>3.75</v>
      </c>
      <c r="H18" s="201">
        <f>IF($H16=$I$69,VLOOKUP($H17,matca,2,0),IF($H16=$I$70,VLOOKUP($H17,matacciaio,3,0),""))</f>
        <v>3.75</v>
      </c>
      <c r="AE18" s="339"/>
      <c r="AF18" s="206">
        <f t="shared" si="6"/>
        <v>0.5</v>
      </c>
      <c r="AG18" s="201">
        <f>'CC-car.1'!AD61</f>
        <v>5.5</v>
      </c>
      <c r="AH18" s="201">
        <f>'CC-car.1'!AE61</f>
        <v>-7.8124999999999982</v>
      </c>
      <c r="AI18" s="201">
        <f>'CC-car.1'!AF61</f>
        <v>20.094999999999999</v>
      </c>
      <c r="AJ18" s="339"/>
      <c r="AK18" s="206">
        <f t="shared" si="1"/>
        <v>0.5</v>
      </c>
      <c r="AL18" s="201">
        <f>'CC-car.2'!AD61</f>
        <v>5.5</v>
      </c>
      <c r="AM18" s="201">
        <f>'CC-car.2'!AE61</f>
        <v>-15.369166666666661</v>
      </c>
      <c r="AN18" s="201">
        <f>'CC-car.2'!AF61</f>
        <v>13.024333333333331</v>
      </c>
      <c r="AO18" s="339"/>
      <c r="AP18" s="206">
        <f t="shared" si="2"/>
        <v>0.5</v>
      </c>
      <c r="AQ18" s="201">
        <f>'CC-car.3'!AD61</f>
        <v>5.5</v>
      </c>
      <c r="AR18" s="201">
        <f>'CC-car.3'!AE61</f>
        <v>-15.104166666666664</v>
      </c>
      <c r="AS18" s="201">
        <f>'CC-car.3'!AF61</f>
        <v>22.178333333333335</v>
      </c>
      <c r="AT18" s="339"/>
      <c r="AU18" s="206">
        <f t="shared" si="3"/>
        <v>0.5</v>
      </c>
      <c r="AV18" s="201">
        <f>'CC-car.4'!AD61</f>
        <v>5.5</v>
      </c>
      <c r="AW18" s="201">
        <f>'CC-car.4'!AE61</f>
        <v>-7.610833333333332</v>
      </c>
      <c r="AX18" s="201">
        <f>'CC-car.4'!AF61</f>
        <v>19.207666666666668</v>
      </c>
      <c r="AY18" s="339"/>
      <c r="AZ18" s="206">
        <f t="shared" si="4"/>
        <v>0.5</v>
      </c>
      <c r="BA18" s="201">
        <f>'CC-car.5'!AD61</f>
        <v>5.5</v>
      </c>
      <c r="BB18" s="201">
        <f>'CC-car.5'!AE61</f>
        <v>0</v>
      </c>
      <c r="BC18" s="201">
        <f>'CC-car.5'!AF61</f>
        <v>0</v>
      </c>
      <c r="BD18" s="1"/>
    </row>
    <row r="19" spans="1:56" s="46" customFormat="1" x14ac:dyDescent="0.2">
      <c r="C19" s="252" t="s">
        <v>461</v>
      </c>
      <c r="D19" s="274" t="s">
        <v>140</v>
      </c>
      <c r="E19" s="306" t="str">
        <f>IF($E16=$I$69,VLOOKUP($E17,matca,4,0),IF($E16=$I$70,VLOOKUP($E17,matacciaio,5,0),""))</f>
        <v/>
      </c>
      <c r="F19" s="306">
        <f>IF($E6=$I$69,VLOOKUP($F17,matca,4,0),IF($E6=$I$70,VLOOKUP($F17,matacciaio,5,0),""))</f>
        <v>312500</v>
      </c>
      <c r="G19" s="306">
        <f>IF($E6=$I$69,VLOOKUP($G17,matca,4,0),IF($E6=$I$70,VLOOKUP($G17,matacciaio,5,0),""))</f>
        <v>312500</v>
      </c>
      <c r="H19" s="306">
        <f>IF($H16=$I$69,VLOOKUP($H17,matca,4,0),IF($H16=$I$70,VLOOKUP($H17,matacciaio,5,0),""))</f>
        <v>312500</v>
      </c>
      <c r="P19" s="45"/>
      <c r="Q19" s="3"/>
      <c r="R19" s="3"/>
      <c r="S19" s="3"/>
      <c r="AE19" s="339"/>
      <c r="AF19" s="206">
        <f t="shared" si="6"/>
        <v>1</v>
      </c>
      <c r="AG19" s="201">
        <f>'CC-car.1'!AD62</f>
        <v>6</v>
      </c>
      <c r="AH19" s="201">
        <f>'CC-car.1'!AE62</f>
        <v>0.88500000000000156</v>
      </c>
      <c r="AI19" s="201">
        <f>'CC-car.1'!AF62</f>
        <v>14.695</v>
      </c>
      <c r="AJ19" s="339"/>
      <c r="AK19" s="206">
        <f t="shared" si="1"/>
        <v>1</v>
      </c>
      <c r="AL19" s="201">
        <f>'CC-car.2'!AD62</f>
        <v>6</v>
      </c>
      <c r="AM19" s="201">
        <f>'CC-car.2'!AE62</f>
        <v>-9.6069999999999958</v>
      </c>
      <c r="AN19" s="201">
        <f>'CC-car.2'!AF62</f>
        <v>10.024333333333331</v>
      </c>
      <c r="AO19" s="339"/>
      <c r="AP19" s="206">
        <f t="shared" si="2"/>
        <v>1</v>
      </c>
      <c r="AQ19" s="201">
        <f>'CC-car.3'!AD62</f>
        <v>6</v>
      </c>
      <c r="AR19" s="201">
        <f>'CC-car.3'!AE62</f>
        <v>-5.3649999999999949</v>
      </c>
      <c r="AS19" s="201">
        <f>'CC-car.3'!AF62</f>
        <v>16.778333333333332</v>
      </c>
      <c r="AT19" s="339"/>
      <c r="AU19" s="206">
        <f t="shared" si="3"/>
        <v>1</v>
      </c>
      <c r="AV19" s="201">
        <f>'CC-car.4'!AD62</f>
        <v>6</v>
      </c>
      <c r="AW19" s="201">
        <f>'CC-car.4'!AE62</f>
        <v>0.64300000000000068</v>
      </c>
      <c r="AX19" s="201">
        <f>'CC-car.4'!AF62</f>
        <v>13.807666666666666</v>
      </c>
      <c r="AY19" s="339"/>
      <c r="AZ19" s="206">
        <f t="shared" si="4"/>
        <v>1</v>
      </c>
      <c r="BA19" s="201">
        <f>'CC-car.5'!AD62</f>
        <v>6</v>
      </c>
      <c r="BB19" s="201">
        <f>'CC-car.5'!AE62</f>
        <v>0</v>
      </c>
      <c r="BC19" s="201">
        <f>'CC-car.5'!AF62</f>
        <v>0</v>
      </c>
    </row>
    <row r="20" spans="1:56" s="46" customFormat="1" x14ac:dyDescent="0.2">
      <c r="C20" s="275"/>
      <c r="D20" s="275"/>
      <c r="E20" s="275"/>
      <c r="F20" s="275"/>
      <c r="G20" s="275"/>
      <c r="H20" s="275"/>
      <c r="P20" s="3"/>
      <c r="Q20" s="3"/>
      <c r="R20" s="3"/>
      <c r="S20" s="3"/>
      <c r="AE20" s="339"/>
      <c r="AF20" s="206">
        <f t="shared" si="6"/>
        <v>1.5</v>
      </c>
      <c r="AG20" s="201">
        <f>'CC-car.1'!AD63</f>
        <v>6.5</v>
      </c>
      <c r="AH20" s="201">
        <f>'CC-car.1'!AE63</f>
        <v>6.8825000000000003</v>
      </c>
      <c r="AI20" s="201">
        <f>'CC-car.1'!AF63</f>
        <v>9.2949999999999982</v>
      </c>
      <c r="AJ20" s="339"/>
      <c r="AK20" s="206">
        <f t="shared" si="1"/>
        <v>1.5</v>
      </c>
      <c r="AL20" s="201">
        <f>'CC-car.2'!AD63</f>
        <v>6.5</v>
      </c>
      <c r="AM20" s="201">
        <f>'CC-car.2'!AE63</f>
        <v>-5.3448333333333302</v>
      </c>
      <c r="AN20" s="201">
        <f>'CC-car.2'!AF63</f>
        <v>7.0243333333333311</v>
      </c>
      <c r="AO20" s="339"/>
      <c r="AP20" s="206">
        <f t="shared" si="2"/>
        <v>1.5</v>
      </c>
      <c r="AQ20" s="201">
        <f>'CC-car.3'!AD63</f>
        <v>6.5</v>
      </c>
      <c r="AR20" s="201">
        <f>'CC-car.3'!AE63</f>
        <v>1.6741666666666717</v>
      </c>
      <c r="AS20" s="201">
        <f>'CC-car.3'!AF63</f>
        <v>11.37833333333333</v>
      </c>
      <c r="AT20" s="339"/>
      <c r="AU20" s="206">
        <f t="shared" si="3"/>
        <v>1.5</v>
      </c>
      <c r="AV20" s="201">
        <f>'CC-car.4'!AD63</f>
        <v>6.5</v>
      </c>
      <c r="AW20" s="201">
        <f>'CC-car.4'!AE63</f>
        <v>6.1968333333333376</v>
      </c>
      <c r="AX20" s="201">
        <f>'CC-car.4'!AF63</f>
        <v>8.407666666666664</v>
      </c>
      <c r="AY20" s="339"/>
      <c r="AZ20" s="206">
        <f t="shared" si="4"/>
        <v>1.5</v>
      </c>
      <c r="BA20" s="201">
        <f>'CC-car.5'!AD63</f>
        <v>6.5</v>
      </c>
      <c r="BB20" s="201">
        <f>'CC-car.5'!AE63</f>
        <v>0</v>
      </c>
      <c r="BC20" s="201">
        <f>'CC-car.5'!AF63</f>
        <v>0</v>
      </c>
    </row>
    <row r="21" spans="1:56" x14ac:dyDescent="0.2">
      <c r="AE21" s="339"/>
      <c r="AF21" s="206">
        <f t="shared" si="6"/>
        <v>2</v>
      </c>
      <c r="AG21" s="201">
        <f>'CC-car.1'!AD64</f>
        <v>7</v>
      </c>
      <c r="AH21" s="201">
        <f>'CC-car.1'!AE64</f>
        <v>10.18</v>
      </c>
      <c r="AI21" s="201">
        <f>'CC-car.1'!AF64</f>
        <v>3.8949999999999996</v>
      </c>
      <c r="AJ21" s="339"/>
      <c r="AK21" s="206">
        <f t="shared" si="1"/>
        <v>2</v>
      </c>
      <c r="AL21" s="201">
        <f>'CC-car.2'!AD64</f>
        <v>7</v>
      </c>
      <c r="AM21" s="201">
        <f>'CC-car.2'!AE64</f>
        <v>-2.5826666666666682</v>
      </c>
      <c r="AN21" s="201">
        <f>'CC-car.2'!AF64</f>
        <v>4.0243333333333311</v>
      </c>
      <c r="AO21" s="339"/>
      <c r="AP21" s="206">
        <f t="shared" si="2"/>
        <v>2</v>
      </c>
      <c r="AQ21" s="201">
        <f>'CC-car.3'!AD64</f>
        <v>7</v>
      </c>
      <c r="AR21" s="201">
        <f>'CC-car.3'!AE64</f>
        <v>6.0133333333333354</v>
      </c>
      <c r="AS21" s="201">
        <f>'CC-car.3'!AF64</f>
        <v>5.9783333333333317</v>
      </c>
      <c r="AT21" s="339"/>
      <c r="AU21" s="206">
        <f t="shared" si="3"/>
        <v>2</v>
      </c>
      <c r="AV21" s="201">
        <f>'CC-car.4'!AD64</f>
        <v>7</v>
      </c>
      <c r="AW21" s="201">
        <f>'CC-car.4'!AE64</f>
        <v>9.0506666666666717</v>
      </c>
      <c r="AX21" s="201">
        <f>'CC-car.4'!AF64</f>
        <v>3.0076666666666654</v>
      </c>
      <c r="AY21" s="339"/>
      <c r="AZ21" s="206">
        <f t="shared" si="4"/>
        <v>2</v>
      </c>
      <c r="BA21" s="201">
        <f>'CC-car.5'!AD64</f>
        <v>7</v>
      </c>
      <c r="BB21" s="201">
        <f>'CC-car.5'!AE64</f>
        <v>0</v>
      </c>
      <c r="BC21" s="201">
        <f>'CC-car.5'!AF64</f>
        <v>0</v>
      </c>
    </row>
    <row r="22" spans="1:56" x14ac:dyDescent="0.2">
      <c r="AE22" s="339"/>
      <c r="AF22" s="206">
        <f t="shared" si="6"/>
        <v>2.5</v>
      </c>
      <c r="AG22" s="201">
        <f>'CC-car.1'!AD65</f>
        <v>7.5</v>
      </c>
      <c r="AH22" s="201">
        <f>'CC-car.1'!AE65</f>
        <v>10.777500000000011</v>
      </c>
      <c r="AI22" s="201">
        <f>'CC-car.1'!AF65</f>
        <v>-1.504999999999999</v>
      </c>
      <c r="AJ22" s="339"/>
      <c r="AK22" s="206">
        <f t="shared" si="1"/>
        <v>2.5</v>
      </c>
      <c r="AL22" s="201">
        <f>'CC-car.2'!AD65</f>
        <v>7.5</v>
      </c>
      <c r="AM22" s="201">
        <f>'CC-car.2'!AE65</f>
        <v>-1.3205000000000027</v>
      </c>
      <c r="AN22" s="201">
        <f>'CC-car.2'!AF65</f>
        <v>1.0243333333333311</v>
      </c>
      <c r="AO22" s="339"/>
      <c r="AP22" s="206">
        <f t="shared" si="2"/>
        <v>2.5</v>
      </c>
      <c r="AQ22" s="201">
        <f>'CC-car.3'!AD65</f>
        <v>7.5</v>
      </c>
      <c r="AR22" s="201">
        <f>'CC-car.3'!AE65</f>
        <v>7.6524999999999963</v>
      </c>
      <c r="AS22" s="201">
        <f>'CC-car.3'!AF65</f>
        <v>0.57833333333333314</v>
      </c>
      <c r="AT22" s="339"/>
      <c r="AU22" s="206">
        <f t="shared" si="3"/>
        <v>2.5</v>
      </c>
      <c r="AV22" s="201">
        <f>'CC-car.4'!AD65</f>
        <v>7.5</v>
      </c>
      <c r="AW22" s="201">
        <f>'CC-car.4'!AE65</f>
        <v>9.2044999999999959</v>
      </c>
      <c r="AX22" s="201">
        <f>'CC-car.4'!AF65</f>
        <v>-2.3923333333333332</v>
      </c>
      <c r="AY22" s="339"/>
      <c r="AZ22" s="206">
        <f t="shared" si="4"/>
        <v>2.5</v>
      </c>
      <c r="BA22" s="201">
        <f>'CC-car.5'!AD65</f>
        <v>7.5</v>
      </c>
      <c r="BB22" s="201">
        <f>'CC-car.5'!AE65</f>
        <v>0</v>
      </c>
      <c r="BC22" s="201">
        <f>'CC-car.5'!AF65</f>
        <v>0</v>
      </c>
    </row>
    <row r="23" spans="1:56" x14ac:dyDescent="0.2">
      <c r="AE23" s="339"/>
      <c r="AF23" s="206">
        <f t="shared" si="6"/>
        <v>3</v>
      </c>
      <c r="AG23" s="201">
        <f>'CC-car.1'!AD66</f>
        <v>8</v>
      </c>
      <c r="AH23" s="201">
        <f>'CC-car.1'!AE66</f>
        <v>8.6749999999999972</v>
      </c>
      <c r="AI23" s="201">
        <f>'CC-car.1'!AF66</f>
        <v>-6.9050000000000047</v>
      </c>
      <c r="AJ23" s="339"/>
      <c r="AK23" s="206">
        <f t="shared" si="1"/>
        <v>3</v>
      </c>
      <c r="AL23" s="201">
        <f>'CC-car.2'!AD66</f>
        <v>8</v>
      </c>
      <c r="AM23" s="201">
        <f>'CC-car.2'!AE66</f>
        <v>-1.5583333333333371</v>
      </c>
      <c r="AN23" s="201">
        <f>'CC-car.2'!AF66</f>
        <v>-1.9756666666666689</v>
      </c>
      <c r="AO23" s="339"/>
      <c r="AP23" s="206">
        <f t="shared" si="2"/>
        <v>3</v>
      </c>
      <c r="AQ23" s="201">
        <f>'CC-car.3'!AD66</f>
        <v>8</v>
      </c>
      <c r="AR23" s="201">
        <f>'CC-car.3'!AE66</f>
        <v>6.5916666666666686</v>
      </c>
      <c r="AS23" s="201">
        <f>'CC-car.3'!AF66</f>
        <v>-4.8216666666666725</v>
      </c>
      <c r="AT23" s="339"/>
      <c r="AU23" s="206">
        <f t="shared" si="3"/>
        <v>3</v>
      </c>
      <c r="AV23" s="201">
        <f>'CC-car.4'!AD66</f>
        <v>8</v>
      </c>
      <c r="AW23" s="201">
        <f>'CC-car.4'!AE66</f>
        <v>6.6583333333333456</v>
      </c>
      <c r="AX23" s="201">
        <f>'CC-car.4'!AF66</f>
        <v>-7.7923333333333389</v>
      </c>
      <c r="AY23" s="339"/>
      <c r="AZ23" s="206">
        <f t="shared" si="4"/>
        <v>3</v>
      </c>
      <c r="BA23" s="201">
        <f>'CC-car.5'!AD66</f>
        <v>8</v>
      </c>
      <c r="BB23" s="201">
        <f>'CC-car.5'!AE66</f>
        <v>0</v>
      </c>
      <c r="BC23" s="201">
        <f>'CC-car.5'!AF66</f>
        <v>0</v>
      </c>
    </row>
    <row r="24" spans="1:56" x14ac:dyDescent="0.2">
      <c r="C24" s="299"/>
      <c r="D24" s="299"/>
      <c r="E24" s="343" t="s">
        <v>473</v>
      </c>
      <c r="F24" s="343"/>
      <c r="G24" s="343"/>
      <c r="H24" s="343"/>
      <c r="I24" s="275"/>
      <c r="J24" s="275"/>
      <c r="AE24" s="339"/>
      <c r="AF24" s="206">
        <f t="shared" si="6"/>
        <v>3.5</v>
      </c>
      <c r="AG24" s="201">
        <f>'CC-car.1'!AD67</f>
        <v>8.5</v>
      </c>
      <c r="AH24" s="201">
        <f>'CC-car.1'!AE67</f>
        <v>3.8725000000000023</v>
      </c>
      <c r="AI24" s="201">
        <f>'CC-car.1'!AF67</f>
        <v>-12.305000000000003</v>
      </c>
      <c r="AJ24" s="339"/>
      <c r="AK24" s="206">
        <f t="shared" si="1"/>
        <v>3.5</v>
      </c>
      <c r="AL24" s="201">
        <f>'CC-car.2'!AD67</f>
        <v>8.5</v>
      </c>
      <c r="AM24" s="201">
        <f>'CC-car.2'!AE67</f>
        <v>-3.2961666666666716</v>
      </c>
      <c r="AN24" s="201">
        <f>'CC-car.2'!AF67</f>
        <v>-4.9756666666666689</v>
      </c>
      <c r="AO24" s="339"/>
      <c r="AP24" s="206">
        <f t="shared" si="2"/>
        <v>3.5</v>
      </c>
      <c r="AQ24" s="201">
        <f>'CC-car.3'!AD67</f>
        <v>8.5</v>
      </c>
      <c r="AR24" s="201">
        <f>'CC-car.3'!AE67</f>
        <v>2.8308333333333451</v>
      </c>
      <c r="AS24" s="201">
        <f>'CC-car.3'!AF67</f>
        <v>-10.221666666666671</v>
      </c>
      <c r="AT24" s="339"/>
      <c r="AU24" s="206">
        <f t="shared" si="3"/>
        <v>3.5</v>
      </c>
      <c r="AV24" s="201">
        <f>'CC-car.4'!AD67</f>
        <v>8.5</v>
      </c>
      <c r="AW24" s="201">
        <f>'CC-car.4'!AE67</f>
        <v>1.4121666666666641</v>
      </c>
      <c r="AX24" s="201">
        <f>'CC-car.4'!AF67</f>
        <v>-13.192333333333337</v>
      </c>
      <c r="AY24" s="339"/>
      <c r="AZ24" s="206">
        <f t="shared" si="4"/>
        <v>3.5</v>
      </c>
      <c r="BA24" s="201">
        <f>'CC-car.5'!AD67</f>
        <v>8.5</v>
      </c>
      <c r="BB24" s="201">
        <f>'CC-car.5'!AE67</f>
        <v>0</v>
      </c>
      <c r="BC24" s="201">
        <f>'CC-car.5'!AF67</f>
        <v>0</v>
      </c>
    </row>
    <row r="25" spans="1:56" ht="12" customHeight="1" x14ac:dyDescent="0.2">
      <c r="C25" s="12"/>
      <c r="E25" s="302"/>
      <c r="F25" s="302"/>
      <c r="G25" s="302"/>
      <c r="H25" s="302"/>
      <c r="J25" s="275"/>
      <c r="AE25" s="339"/>
      <c r="AF25" s="207">
        <f t="shared" si="6"/>
        <v>4</v>
      </c>
      <c r="AG25" s="204">
        <f>'CC-car.1'!AD68</f>
        <v>9</v>
      </c>
      <c r="AH25" s="204">
        <f>'CC-car.1'!AE68</f>
        <v>-3.6299999999999955</v>
      </c>
      <c r="AI25" s="204">
        <f>'CC-car.1'!AF68</f>
        <v>-17.705000000000002</v>
      </c>
      <c r="AJ25" s="339"/>
      <c r="AK25" s="207">
        <f t="shared" si="1"/>
        <v>4</v>
      </c>
      <c r="AL25" s="204">
        <f>'CC-car.2'!AD68</f>
        <v>9</v>
      </c>
      <c r="AM25" s="204">
        <f>'CC-car.2'!AE68</f>
        <v>-6.534000000000006</v>
      </c>
      <c r="AN25" s="204">
        <f>'CC-car.2'!AF68</f>
        <v>-7.9756666666666689</v>
      </c>
      <c r="AO25" s="339"/>
      <c r="AP25" s="207">
        <f t="shared" si="2"/>
        <v>4</v>
      </c>
      <c r="AQ25" s="204">
        <f>'CC-car.3'!AD68</f>
        <v>9</v>
      </c>
      <c r="AR25" s="204">
        <f>'CC-car.3'!AE68</f>
        <v>-3.6299999999999955</v>
      </c>
      <c r="AS25" s="204">
        <f>'CC-car.3'!AF68</f>
        <v>-15.62166666666667</v>
      </c>
      <c r="AT25" s="339"/>
      <c r="AU25" s="207">
        <f t="shared" si="3"/>
        <v>4</v>
      </c>
      <c r="AV25" s="204">
        <f>'CC-car.4'!AD68</f>
        <v>9</v>
      </c>
      <c r="AW25" s="204">
        <f>'CC-car.4'!AE68</f>
        <v>-6.534000000000006</v>
      </c>
      <c r="AX25" s="204">
        <f>'CC-car.4'!AF68</f>
        <v>-18.592333333333336</v>
      </c>
      <c r="AY25" s="339"/>
      <c r="AZ25" s="207">
        <f t="shared" si="4"/>
        <v>4</v>
      </c>
      <c r="BA25" s="204">
        <f>'CC-car.5'!AD68</f>
        <v>9</v>
      </c>
      <c r="BB25" s="204">
        <f>'CC-car.5'!AE68</f>
        <v>0</v>
      </c>
      <c r="BC25" s="204">
        <f>'CC-car.5'!AF68</f>
        <v>0</v>
      </c>
    </row>
    <row r="26" spans="1:56" ht="12" customHeight="1" x14ac:dyDescent="0.2">
      <c r="C26" s="12" t="s">
        <v>49</v>
      </c>
      <c r="D26" s="301" t="s">
        <v>446</v>
      </c>
      <c r="E26" s="278">
        <v>0</v>
      </c>
      <c r="F26" s="278">
        <v>6</v>
      </c>
      <c r="G26" s="278">
        <v>10.8</v>
      </c>
      <c r="H26" s="278">
        <v>6</v>
      </c>
      <c r="AE26" s="339" t="s">
        <v>57</v>
      </c>
      <c r="AF26" s="205">
        <f>AG26-$AG$25</f>
        <v>0</v>
      </c>
      <c r="AG26" s="203">
        <f>'CC-car.1'!AD69</f>
        <v>9</v>
      </c>
      <c r="AH26" s="203">
        <f>'CC-car.1'!AE69</f>
        <v>-3.6300000000000008</v>
      </c>
      <c r="AI26" s="203">
        <f>'CC-car.1'!AF69</f>
        <v>6.6000000000000005</v>
      </c>
      <c r="AJ26" s="339" t="s">
        <v>57</v>
      </c>
      <c r="AK26" s="205">
        <f t="shared" si="1"/>
        <v>0</v>
      </c>
      <c r="AL26" s="203">
        <f>'CC-car.2'!AD69</f>
        <v>9</v>
      </c>
      <c r="AM26" s="203">
        <f>'CC-car.2'!AE69</f>
        <v>-6.5340000000000016</v>
      </c>
      <c r="AN26" s="203">
        <f>'CC-car.2'!AF69</f>
        <v>11.880000000000003</v>
      </c>
      <c r="AO26" s="339"/>
      <c r="AP26" s="205">
        <f t="shared" si="2"/>
        <v>0</v>
      </c>
      <c r="AQ26" s="203">
        <f>'CC-car.3'!AD69</f>
        <v>9</v>
      </c>
      <c r="AR26" s="203">
        <f>'CC-car.3'!AE69</f>
        <v>-3.6300000000000008</v>
      </c>
      <c r="AS26" s="203">
        <f>'CC-car.3'!AF69</f>
        <v>6.6000000000000005</v>
      </c>
      <c r="AT26" s="339"/>
      <c r="AU26" s="205">
        <f t="shared" si="3"/>
        <v>0</v>
      </c>
      <c r="AV26" s="203">
        <f>'CC-car.4'!AD69</f>
        <v>9</v>
      </c>
      <c r="AW26" s="203">
        <f>'CC-car.4'!AE69</f>
        <v>-6.5340000000000016</v>
      </c>
      <c r="AX26" s="203">
        <f>'CC-car.4'!AF69</f>
        <v>11.880000000000003</v>
      </c>
      <c r="AY26" s="339"/>
      <c r="AZ26" s="205">
        <f t="shared" si="4"/>
        <v>0</v>
      </c>
      <c r="BA26" s="203">
        <f>'CC-car.5'!AD69</f>
        <v>9</v>
      </c>
      <c r="BB26" s="203">
        <f>'CC-car.5'!AE69</f>
        <v>0</v>
      </c>
      <c r="BC26" s="203">
        <f>'CC-car.5'!AF69</f>
        <v>0</v>
      </c>
    </row>
    <row r="27" spans="1:56" x14ac:dyDescent="0.2">
      <c r="C27" s="12" t="s">
        <v>50</v>
      </c>
      <c r="D27" s="301" t="s">
        <v>446</v>
      </c>
      <c r="E27" s="278">
        <v>0</v>
      </c>
      <c r="F27" s="278">
        <v>10.8</v>
      </c>
      <c r="G27" s="278">
        <v>6</v>
      </c>
      <c r="H27" s="278">
        <v>10.8</v>
      </c>
      <c r="AE27" s="339"/>
      <c r="AF27" s="206">
        <f t="shared" ref="AF27:AF29" si="7">AG27-$AG$25</f>
        <v>0.36666666666666714</v>
      </c>
      <c r="AG27" s="201">
        <f>'CC-car.1'!AD70</f>
        <v>9.3666666666666671</v>
      </c>
      <c r="AH27" s="201">
        <f>'CC-car.1'!AE70</f>
        <v>-1.6133333333333337</v>
      </c>
      <c r="AI27" s="201">
        <f>'CC-car.1'!AF70</f>
        <v>4.4000000000000004</v>
      </c>
      <c r="AJ27" s="339"/>
      <c r="AK27" s="206">
        <f t="shared" si="1"/>
        <v>0.36666666666666714</v>
      </c>
      <c r="AL27" s="201">
        <f>'CC-car.2'!AD70</f>
        <v>9.3666666666666671</v>
      </c>
      <c r="AM27" s="201">
        <f>'CC-car.2'!AE70</f>
        <v>-2.9039999999999999</v>
      </c>
      <c r="AN27" s="201">
        <f>'CC-car.2'!AF70</f>
        <v>7.9200000000000017</v>
      </c>
      <c r="AO27" s="339"/>
      <c r="AP27" s="206">
        <f t="shared" si="2"/>
        <v>0.36666666666666714</v>
      </c>
      <c r="AQ27" s="201">
        <f>'CC-car.3'!AD70</f>
        <v>9.3666666666666671</v>
      </c>
      <c r="AR27" s="201">
        <f>'CC-car.3'!AE70</f>
        <v>-1.6133333333333337</v>
      </c>
      <c r="AS27" s="201">
        <f>'CC-car.3'!AF70</f>
        <v>4.4000000000000004</v>
      </c>
      <c r="AT27" s="339"/>
      <c r="AU27" s="206">
        <f t="shared" si="3"/>
        <v>0.36666666666666714</v>
      </c>
      <c r="AV27" s="201">
        <f>'CC-car.4'!AD70</f>
        <v>9.3666666666666671</v>
      </c>
      <c r="AW27" s="201">
        <f>'CC-car.4'!AE70</f>
        <v>-2.9039999999999999</v>
      </c>
      <c r="AX27" s="201">
        <f>'CC-car.4'!AF70</f>
        <v>7.9200000000000017</v>
      </c>
      <c r="AY27" s="339"/>
      <c r="AZ27" s="206">
        <f t="shared" si="4"/>
        <v>0.36666666666666714</v>
      </c>
      <c r="BA27" s="201">
        <f>'CC-car.5'!AD70</f>
        <v>9.3666666666666671</v>
      </c>
      <c r="BB27" s="201">
        <f>'CC-car.5'!AE70</f>
        <v>0</v>
      </c>
      <c r="BC27" s="201">
        <f>'CC-car.5'!AF70</f>
        <v>0</v>
      </c>
    </row>
    <row r="28" spans="1:56" s="46" customFormat="1" x14ac:dyDescent="0.2">
      <c r="C28" s="12" t="s">
        <v>51</v>
      </c>
      <c r="D28" s="301" t="s">
        <v>446</v>
      </c>
      <c r="E28" s="278">
        <v>0</v>
      </c>
      <c r="F28" s="278">
        <v>10.8</v>
      </c>
      <c r="G28" s="278">
        <v>10.8</v>
      </c>
      <c r="H28" s="278">
        <v>6</v>
      </c>
      <c r="I28" s="1"/>
      <c r="J28" s="1"/>
      <c r="AE28" s="339"/>
      <c r="AF28" s="206">
        <f t="shared" si="7"/>
        <v>0.73333333333333428</v>
      </c>
      <c r="AG28" s="201">
        <f>'CC-car.1'!AD71</f>
        <v>9.7333333333333343</v>
      </c>
      <c r="AH28" s="201">
        <f>'CC-car.1'!AE71</f>
        <v>-0.40333333333333332</v>
      </c>
      <c r="AI28" s="201">
        <f>'CC-car.1'!AF71</f>
        <v>2.2000000000000002</v>
      </c>
      <c r="AJ28" s="339"/>
      <c r="AK28" s="206">
        <f t="shared" si="1"/>
        <v>0.73333333333333428</v>
      </c>
      <c r="AL28" s="201">
        <f>'CC-car.2'!AD71</f>
        <v>9.7333333333333343</v>
      </c>
      <c r="AM28" s="201">
        <f>'CC-car.2'!AE71</f>
        <v>-0.72599999999999909</v>
      </c>
      <c r="AN28" s="201">
        <f>'CC-car.2'!AF71</f>
        <v>3.9600000000000017</v>
      </c>
      <c r="AO28" s="339"/>
      <c r="AP28" s="206">
        <f t="shared" si="2"/>
        <v>0.73333333333333428</v>
      </c>
      <c r="AQ28" s="201">
        <f>'CC-car.3'!AD71</f>
        <v>9.7333333333333343</v>
      </c>
      <c r="AR28" s="201">
        <f>'CC-car.3'!AE71</f>
        <v>-0.40333333333333332</v>
      </c>
      <c r="AS28" s="201">
        <f>'CC-car.3'!AF71</f>
        <v>2.2000000000000002</v>
      </c>
      <c r="AT28" s="339"/>
      <c r="AU28" s="206">
        <f t="shared" si="3"/>
        <v>0.73333333333333428</v>
      </c>
      <c r="AV28" s="201">
        <f>'CC-car.4'!AD71</f>
        <v>9.7333333333333343</v>
      </c>
      <c r="AW28" s="201">
        <f>'CC-car.4'!AE71</f>
        <v>-0.72599999999999909</v>
      </c>
      <c r="AX28" s="201">
        <f>'CC-car.4'!AF71</f>
        <v>3.9600000000000017</v>
      </c>
      <c r="AY28" s="339"/>
      <c r="AZ28" s="206">
        <f t="shared" si="4"/>
        <v>0.73333333333333428</v>
      </c>
      <c r="BA28" s="201">
        <f>'CC-car.5'!AD71</f>
        <v>9.7333333333333343</v>
      </c>
      <c r="BB28" s="201">
        <f>'CC-car.5'!AE71</f>
        <v>0</v>
      </c>
      <c r="BC28" s="201">
        <f>'CC-car.5'!AF71</f>
        <v>0</v>
      </c>
    </row>
    <row r="29" spans="1:56" s="46" customFormat="1" x14ac:dyDescent="0.2">
      <c r="C29" s="12" t="s">
        <v>52</v>
      </c>
      <c r="D29" s="301" t="s">
        <v>446</v>
      </c>
      <c r="E29" s="278">
        <v>0</v>
      </c>
      <c r="F29" s="278">
        <v>6</v>
      </c>
      <c r="G29" s="278">
        <v>10.8</v>
      </c>
      <c r="H29" s="278">
        <v>10.8</v>
      </c>
      <c r="I29" s="1">
        <v>1</v>
      </c>
      <c r="J29" s="1"/>
      <c r="AE29" s="339"/>
      <c r="AF29" s="207">
        <f t="shared" si="7"/>
        <v>1.0999999999999996</v>
      </c>
      <c r="AG29" s="204">
        <f>'CC-car.1'!AD72</f>
        <v>10.1</v>
      </c>
      <c r="AH29" s="204">
        <f>'CC-car.1'!AE72</f>
        <v>0</v>
      </c>
      <c r="AI29" s="204">
        <f>'CC-car.1'!AF72</f>
        <v>0</v>
      </c>
      <c r="AJ29" s="339"/>
      <c r="AK29" s="207">
        <f t="shared" si="1"/>
        <v>1.0999999999999996</v>
      </c>
      <c r="AL29" s="204">
        <f>'CC-car.2'!AD72</f>
        <v>10.1</v>
      </c>
      <c r="AM29" s="204">
        <f>'CC-car.2'!AE72</f>
        <v>0</v>
      </c>
      <c r="AN29" s="204">
        <f>'CC-car.2'!AF72</f>
        <v>0</v>
      </c>
      <c r="AO29" s="339"/>
      <c r="AP29" s="207">
        <f t="shared" si="2"/>
        <v>1.0999999999999996</v>
      </c>
      <c r="AQ29" s="204">
        <f>'CC-car.3'!AD72</f>
        <v>10.1</v>
      </c>
      <c r="AR29" s="204">
        <f>'CC-car.3'!AE72</f>
        <v>0</v>
      </c>
      <c r="AS29" s="204">
        <f>'CC-car.3'!AF72</f>
        <v>0</v>
      </c>
      <c r="AT29" s="339"/>
      <c r="AU29" s="207">
        <f t="shared" si="3"/>
        <v>1.0999999999999996</v>
      </c>
      <c r="AV29" s="204">
        <f>'CC-car.4'!AD72</f>
        <v>10.1</v>
      </c>
      <c r="AW29" s="204">
        <f>'CC-car.4'!AE72</f>
        <v>0</v>
      </c>
      <c r="AX29" s="204">
        <f>'CC-car.4'!AF72</f>
        <v>0</v>
      </c>
      <c r="AY29" s="339"/>
      <c r="AZ29" s="207">
        <f t="shared" si="4"/>
        <v>1.0999999999999996</v>
      </c>
      <c r="BA29" s="204">
        <f>'CC-car.5'!AD72</f>
        <v>10.1</v>
      </c>
      <c r="BB29" s="204">
        <f>'CC-car.5'!AE72</f>
        <v>0</v>
      </c>
      <c r="BC29" s="204">
        <f>'CC-car.5'!AF72</f>
        <v>0</v>
      </c>
    </row>
    <row r="30" spans="1:56" x14ac:dyDescent="0.2">
      <c r="C30" s="12" t="s">
        <v>53</v>
      </c>
      <c r="D30" s="301" t="s">
        <v>446</v>
      </c>
      <c r="E30" s="278">
        <v>0</v>
      </c>
      <c r="F30" s="278">
        <v>0</v>
      </c>
      <c r="G30" s="278">
        <v>0</v>
      </c>
      <c r="H30" s="278">
        <v>0</v>
      </c>
      <c r="AE30" s="117"/>
      <c r="AF30" s="15"/>
      <c r="AG30" s="11"/>
      <c r="AH30" s="11"/>
      <c r="AI30" s="11"/>
      <c r="AJ30" s="52"/>
      <c r="AK30" s="15"/>
      <c r="AL30" s="11"/>
      <c r="AM30" s="11"/>
      <c r="AN30" s="11"/>
      <c r="AO30" s="52"/>
      <c r="AP30" s="15"/>
      <c r="AQ30" s="11"/>
      <c r="AR30" s="11"/>
      <c r="AS30" s="11"/>
      <c r="AT30" s="53"/>
      <c r="AU30" s="15"/>
      <c r="AV30" s="11"/>
      <c r="AW30" s="11"/>
      <c r="AX30" s="11"/>
      <c r="AY30" s="52"/>
      <c r="AZ30" s="15"/>
      <c r="BA30" s="11"/>
      <c r="BB30" s="11"/>
      <c r="BC30" s="11"/>
    </row>
    <row r="31" spans="1:56" x14ac:dyDescent="0.2">
      <c r="AE31" s="117"/>
      <c r="AF31" s="15"/>
      <c r="AG31" s="11"/>
      <c r="AH31" s="11"/>
      <c r="AI31" s="11"/>
      <c r="AJ31" s="52"/>
      <c r="AK31" s="15"/>
      <c r="AL31" s="11"/>
      <c r="AM31" s="11"/>
      <c r="AN31" s="11"/>
      <c r="AO31" s="52"/>
      <c r="AP31" s="15"/>
      <c r="AQ31" s="11"/>
      <c r="AR31" s="11"/>
      <c r="AS31" s="11"/>
      <c r="AT31" s="53"/>
      <c r="AU31" s="15"/>
      <c r="AV31" s="11"/>
      <c r="AW31" s="11"/>
      <c r="AX31" s="11"/>
      <c r="AY31" s="52"/>
      <c r="AZ31" s="15"/>
      <c r="BA31" s="11"/>
      <c r="BB31" s="11"/>
      <c r="BC31" s="11"/>
    </row>
    <row r="32" spans="1:56" x14ac:dyDescent="0.2">
      <c r="AE32" s="117"/>
      <c r="AF32" s="15"/>
      <c r="AG32" s="11"/>
      <c r="AH32" s="11"/>
      <c r="AI32" s="11"/>
      <c r="AJ32" s="52"/>
      <c r="AK32" s="15"/>
      <c r="AL32" s="11"/>
      <c r="AM32" s="11"/>
      <c r="AN32" s="11"/>
      <c r="AO32" s="52"/>
      <c r="AP32" s="15"/>
      <c r="AQ32" s="11"/>
      <c r="AR32" s="11"/>
      <c r="AS32" s="11"/>
      <c r="AT32" s="53"/>
      <c r="AU32" s="15"/>
      <c r="AV32" s="11"/>
      <c r="AW32" s="11"/>
      <c r="AX32" s="11"/>
      <c r="AY32" s="52"/>
      <c r="AZ32" s="15"/>
      <c r="BA32" s="11"/>
      <c r="BB32" s="11"/>
      <c r="BC32" s="11"/>
    </row>
    <row r="33" spans="23:55" x14ac:dyDescent="0.2">
      <c r="AE33" s="117"/>
      <c r="AF33" s="15"/>
      <c r="AG33" s="11"/>
      <c r="AH33" s="11"/>
      <c r="AI33" s="11"/>
      <c r="AJ33" s="52"/>
      <c r="AK33" s="15"/>
      <c r="AL33" s="11"/>
      <c r="AM33" s="11"/>
      <c r="AN33" s="11"/>
      <c r="AO33" s="52"/>
      <c r="AP33" s="15"/>
      <c r="AQ33" s="11"/>
      <c r="AR33" s="11"/>
      <c r="AS33" s="11"/>
      <c r="AT33" s="53"/>
      <c r="AU33" s="15"/>
      <c r="AV33" s="11"/>
      <c r="AW33" s="11"/>
      <c r="AX33" s="11"/>
      <c r="AY33" s="52"/>
      <c r="AZ33" s="15"/>
      <c r="BA33" s="11"/>
      <c r="BB33" s="11"/>
      <c r="BC33" s="11"/>
    </row>
    <row r="34" spans="23:55" ht="12" customHeight="1" x14ac:dyDescent="0.2">
      <c r="AE34" s="117"/>
      <c r="AF34" s="15"/>
      <c r="AG34" s="11"/>
      <c r="AH34" s="11"/>
      <c r="AI34" s="11"/>
      <c r="AJ34" s="53"/>
      <c r="AK34" s="15"/>
      <c r="AL34" s="11"/>
      <c r="AM34" s="11"/>
      <c r="AN34" s="11"/>
      <c r="AO34" s="53"/>
      <c r="AP34" s="15"/>
      <c r="AQ34" s="11"/>
      <c r="AR34" s="11"/>
      <c r="AS34" s="11"/>
      <c r="AT34" s="53"/>
      <c r="AU34" s="15"/>
      <c r="AV34" s="11"/>
      <c r="AW34" s="11"/>
      <c r="AX34" s="11"/>
      <c r="AY34" s="53"/>
      <c r="AZ34" s="15"/>
      <c r="BA34" s="11"/>
      <c r="BB34" s="11"/>
      <c r="BC34" s="11"/>
    </row>
    <row r="35" spans="23:55" ht="12" customHeight="1" x14ac:dyDescent="0.2"/>
    <row r="38" spans="23:55" ht="15" customHeight="1" x14ac:dyDescent="0.2">
      <c r="W38" s="341" t="s">
        <v>66</v>
      </c>
      <c r="X38" s="341"/>
      <c r="Y38" s="341"/>
      <c r="Z38" s="341"/>
      <c r="AA38" s="341"/>
      <c r="AB38" s="341"/>
      <c r="AC38" s="51"/>
      <c r="AD38" s="51"/>
    </row>
    <row r="39" spans="23:55" x14ac:dyDescent="0.2">
      <c r="W39" s="43" t="s">
        <v>8</v>
      </c>
      <c r="X39" s="43" t="s">
        <v>9</v>
      </c>
      <c r="Y39" s="43" t="s">
        <v>10</v>
      </c>
      <c r="Z39" s="43" t="s">
        <v>11</v>
      </c>
      <c r="AA39" s="43" t="s">
        <v>76</v>
      </c>
      <c r="AB39" s="43" t="s">
        <v>77</v>
      </c>
      <c r="AC39" s="3"/>
      <c r="AD39" s="3"/>
      <c r="AE39" s="52"/>
      <c r="AF39" s="15"/>
      <c r="AG39" s="11"/>
      <c r="AH39" s="11"/>
      <c r="AI39" s="11"/>
      <c r="AJ39" s="52"/>
      <c r="AK39" s="15"/>
      <c r="AL39" s="11"/>
      <c r="AM39" s="11"/>
      <c r="AN39" s="11"/>
      <c r="AO39" s="52"/>
      <c r="AP39" s="15"/>
      <c r="AQ39" s="11"/>
      <c r="AR39" s="11"/>
      <c r="AS39" s="11"/>
      <c r="AT39" s="52"/>
      <c r="AU39" s="15"/>
      <c r="AV39" s="11"/>
      <c r="AW39" s="11"/>
      <c r="AX39" s="11"/>
      <c r="AY39" s="52"/>
      <c r="AZ39" s="15"/>
      <c r="BA39" s="11"/>
      <c r="BB39" s="11"/>
      <c r="BC39" s="11"/>
    </row>
    <row r="40" spans="23:55" x14ac:dyDescent="0.2">
      <c r="W40" s="344" t="s">
        <v>67</v>
      </c>
      <c r="X40" s="344"/>
      <c r="Y40" s="344"/>
      <c r="Z40" s="344"/>
      <c r="AA40" s="344"/>
      <c r="AB40" s="344"/>
      <c r="AC40" s="51"/>
      <c r="AD40" s="51"/>
      <c r="AE40" s="52"/>
      <c r="AF40" s="15"/>
      <c r="AG40" s="11"/>
      <c r="AH40" s="11"/>
      <c r="AI40" s="11"/>
      <c r="AJ40" s="52"/>
      <c r="AK40" s="15"/>
      <c r="AL40" s="11"/>
      <c r="AM40" s="11"/>
      <c r="AN40" s="11"/>
      <c r="AO40" s="52"/>
      <c r="AP40" s="15"/>
      <c r="AQ40" s="11"/>
      <c r="AR40" s="11"/>
      <c r="AS40" s="11"/>
      <c r="AT40" s="52"/>
      <c r="AU40" s="15"/>
      <c r="AV40" s="11"/>
      <c r="AW40" s="11"/>
      <c r="AX40" s="11"/>
      <c r="AY40" s="52"/>
      <c r="AZ40" s="15"/>
      <c r="BA40" s="11"/>
      <c r="BB40" s="11"/>
      <c r="BC40" s="11"/>
    </row>
    <row r="41" spans="23:55" x14ac:dyDescent="0.2">
      <c r="W41" s="2" t="s">
        <v>49</v>
      </c>
      <c r="AC41" s="2"/>
      <c r="AE41" s="52"/>
      <c r="AF41" s="15"/>
      <c r="AG41" s="11"/>
      <c r="AH41" s="11"/>
      <c r="AI41" s="11"/>
      <c r="AJ41" s="52"/>
      <c r="AK41" s="15"/>
      <c r="AL41" s="11"/>
      <c r="AM41" s="11"/>
      <c r="AN41" s="11"/>
      <c r="AO41" s="52"/>
      <c r="AP41" s="15"/>
      <c r="AQ41" s="11"/>
      <c r="AR41" s="11"/>
      <c r="AS41" s="11"/>
      <c r="AT41" s="52"/>
      <c r="AU41" s="15"/>
      <c r="AV41" s="11"/>
      <c r="AW41" s="11"/>
      <c r="AX41" s="11"/>
      <c r="AY41" s="52"/>
      <c r="AZ41" s="15"/>
      <c r="BA41" s="11"/>
      <c r="BB41" s="11"/>
      <c r="BC41" s="11"/>
    </row>
    <row r="42" spans="23:55" x14ac:dyDescent="0.2">
      <c r="W42" s="201">
        <f>AI7</f>
        <v>0</v>
      </c>
      <c r="X42" s="201">
        <f>AI8</f>
        <v>11.158000000000001</v>
      </c>
      <c r="Y42" s="201">
        <f>AI16</f>
        <v>-18.841999999999999</v>
      </c>
      <c r="Z42" s="201">
        <f>AI17</f>
        <v>25.495000000000001</v>
      </c>
      <c r="AA42" s="201">
        <f>AI25</f>
        <v>-17.705000000000002</v>
      </c>
      <c r="AB42" s="201">
        <f>AI26</f>
        <v>6.6000000000000005</v>
      </c>
      <c r="AC42" s="11"/>
      <c r="AD42" s="11"/>
      <c r="AE42" s="52"/>
      <c r="AF42" s="15"/>
      <c r="AG42" s="11"/>
      <c r="AH42" s="11"/>
      <c r="AI42" s="11"/>
      <c r="AJ42" s="52"/>
      <c r="AK42" s="15"/>
      <c r="AL42" s="11"/>
      <c r="AM42" s="11"/>
      <c r="AN42" s="11"/>
      <c r="AO42" s="52"/>
      <c r="AP42" s="15"/>
      <c r="AQ42" s="11"/>
      <c r="AR42" s="11"/>
      <c r="AS42" s="11"/>
      <c r="AT42" s="52"/>
      <c r="AU42" s="15"/>
      <c r="AV42" s="11"/>
      <c r="AW42" s="11"/>
      <c r="AX42" s="11"/>
      <c r="AY42" s="52"/>
      <c r="AZ42" s="15"/>
      <c r="BA42" s="11"/>
      <c r="BB42" s="11"/>
      <c r="BC42" s="11"/>
    </row>
    <row r="43" spans="23:55" ht="12" customHeight="1" x14ac:dyDescent="0.2">
      <c r="W43" s="46"/>
      <c r="X43" s="46"/>
      <c r="Y43" s="46"/>
      <c r="Z43" s="46"/>
      <c r="AA43" s="46"/>
      <c r="AB43" s="46"/>
      <c r="AC43" s="3"/>
      <c r="AD43" s="3"/>
      <c r="AE43" s="52"/>
      <c r="AF43" s="15"/>
      <c r="AG43" s="11"/>
      <c r="AH43" s="11"/>
      <c r="AI43" s="11"/>
      <c r="AJ43" s="52"/>
      <c r="AK43" s="15"/>
      <c r="AL43" s="11"/>
      <c r="AM43" s="11"/>
      <c r="AN43" s="11"/>
      <c r="AO43" s="52"/>
      <c r="AP43" s="15"/>
      <c r="AQ43" s="11"/>
      <c r="AR43" s="11"/>
      <c r="AS43" s="11"/>
      <c r="AT43" s="52"/>
      <c r="AU43" s="15"/>
      <c r="AV43" s="11"/>
      <c r="AW43" s="11"/>
      <c r="AX43" s="11"/>
      <c r="AY43" s="52"/>
      <c r="AZ43" s="15"/>
      <c r="BA43" s="11"/>
      <c r="BB43" s="11"/>
      <c r="BC43" s="11"/>
    </row>
    <row r="44" spans="23:55" ht="12" customHeight="1" x14ac:dyDescent="0.2">
      <c r="W44" s="2" t="s">
        <v>50</v>
      </c>
      <c r="X44" s="46"/>
      <c r="Y44" s="46"/>
      <c r="Z44" s="46"/>
      <c r="AA44" s="46"/>
      <c r="AB44" s="46"/>
      <c r="AC44" s="3"/>
      <c r="AD44" s="3"/>
    </row>
    <row r="45" spans="23:55" x14ac:dyDescent="0.2">
      <c r="W45" s="201">
        <f>AN7</f>
        <v>0</v>
      </c>
      <c r="X45" s="201">
        <f>AN8</f>
        <v>22.473733333333335</v>
      </c>
      <c r="Y45" s="201">
        <f>AN16</f>
        <v>-31.526266666666665</v>
      </c>
      <c r="Z45" s="201">
        <f>AN17</f>
        <v>16.024333333333331</v>
      </c>
      <c r="AA45" s="201">
        <f>AN25</f>
        <v>-7.9756666666666689</v>
      </c>
      <c r="AB45" s="201">
        <f>AN26</f>
        <v>11.880000000000003</v>
      </c>
      <c r="AC45" s="11"/>
      <c r="AD45" s="11"/>
    </row>
    <row r="46" spans="23:55" x14ac:dyDescent="0.2">
      <c r="W46" s="46"/>
      <c r="X46" s="46"/>
      <c r="Y46" s="46"/>
      <c r="Z46" s="46"/>
      <c r="AA46" s="46"/>
      <c r="AB46" s="46"/>
      <c r="AC46" s="3"/>
      <c r="AD46" s="3"/>
    </row>
    <row r="47" spans="23:55" x14ac:dyDescent="0.2">
      <c r="W47" s="2" t="s">
        <v>51</v>
      </c>
      <c r="X47" s="46"/>
      <c r="Y47" s="46"/>
      <c r="Z47" s="46"/>
      <c r="AA47" s="46"/>
      <c r="AB47" s="46"/>
      <c r="AC47" s="3"/>
      <c r="AD47" s="3"/>
    </row>
    <row r="48" spans="23:55" x14ac:dyDescent="0.2">
      <c r="W48" s="201">
        <f>AS7</f>
        <v>0</v>
      </c>
      <c r="X48" s="201">
        <f>AS8</f>
        <v>21.491333333333337</v>
      </c>
      <c r="Y48" s="201">
        <f>AS16</f>
        <v>-32.508666666666663</v>
      </c>
      <c r="Z48" s="201">
        <f>AS17</f>
        <v>27.578333333333333</v>
      </c>
      <c r="AA48" s="201">
        <f>AS25</f>
        <v>-15.62166666666667</v>
      </c>
      <c r="AB48" s="201">
        <f>AS26</f>
        <v>6.6000000000000005</v>
      </c>
      <c r="AC48" s="11"/>
      <c r="AD48" s="11"/>
      <c r="AE48" s="46"/>
      <c r="AF48" s="15"/>
      <c r="AG48" s="15"/>
      <c r="AH48" s="15"/>
      <c r="AI48" s="5"/>
      <c r="AJ48" s="15"/>
      <c r="AK48" s="15"/>
      <c r="AL48" s="15"/>
      <c r="AM48" s="5"/>
      <c r="AN48" s="15"/>
      <c r="AT48" s="4"/>
      <c r="AU48" s="4"/>
      <c r="AV48" s="4"/>
      <c r="AW48" s="4"/>
      <c r="AX48" s="4"/>
    </row>
    <row r="49" spans="21:50" x14ac:dyDescent="0.2">
      <c r="W49" s="46"/>
      <c r="X49" s="46"/>
      <c r="Y49" s="46"/>
      <c r="Z49" s="46"/>
      <c r="AA49" s="46"/>
      <c r="AB49" s="46"/>
      <c r="AC49" s="3"/>
      <c r="AD49" s="3"/>
      <c r="AE49" s="46"/>
      <c r="AF49" s="15"/>
      <c r="AG49" s="15"/>
      <c r="AH49" s="15"/>
      <c r="AI49" s="5"/>
      <c r="AJ49" s="15"/>
      <c r="AK49" s="15"/>
      <c r="AL49" s="15"/>
      <c r="AM49" s="5"/>
      <c r="AN49" s="15"/>
      <c r="AO49" s="15"/>
      <c r="AP49" s="15"/>
      <c r="AQ49" s="4"/>
      <c r="AR49" s="4"/>
      <c r="AS49" s="4"/>
      <c r="AT49" s="4"/>
      <c r="AU49" s="4"/>
      <c r="AV49" s="4"/>
      <c r="AW49" s="4"/>
      <c r="AX49" s="4"/>
    </row>
    <row r="50" spans="21:50" x14ac:dyDescent="0.2">
      <c r="W50" s="2" t="s">
        <v>52</v>
      </c>
      <c r="X50" s="46"/>
      <c r="Y50" s="46"/>
      <c r="Z50" s="46"/>
      <c r="AA50" s="46"/>
      <c r="AB50" s="46"/>
      <c r="AC50" s="3"/>
      <c r="AD50" s="3"/>
      <c r="AE50" s="46"/>
      <c r="AF50" s="5"/>
      <c r="AG50" s="5"/>
      <c r="AH50" s="5"/>
      <c r="AI50" s="5"/>
      <c r="AJ50" s="15"/>
      <c r="AK50" s="15"/>
      <c r="AL50" s="15"/>
      <c r="AM50" s="5"/>
      <c r="AN50" s="15"/>
      <c r="AO50" s="15"/>
      <c r="AP50" s="15"/>
      <c r="AQ50" s="4"/>
      <c r="AR50" s="5"/>
      <c r="AS50" s="5"/>
      <c r="AT50" s="4"/>
      <c r="AU50" s="4"/>
      <c r="AV50" s="4"/>
      <c r="AW50" s="4"/>
      <c r="AX50" s="4"/>
    </row>
    <row r="51" spans="21:50" x14ac:dyDescent="0.2">
      <c r="W51" s="201">
        <f>AX7</f>
        <v>0</v>
      </c>
      <c r="X51" s="201">
        <f>AX8</f>
        <v>11.287066666666668</v>
      </c>
      <c r="Y51" s="201">
        <f>AX16</f>
        <v>-18.712933333333332</v>
      </c>
      <c r="Z51" s="201">
        <f>AX17</f>
        <v>24.607666666666667</v>
      </c>
      <c r="AA51" s="201">
        <f>AX25</f>
        <v>-18.592333333333336</v>
      </c>
      <c r="AB51" s="201">
        <f>AX26</f>
        <v>11.880000000000003</v>
      </c>
      <c r="AC51" s="11"/>
      <c r="AD51" s="11"/>
      <c r="AE51" s="46"/>
      <c r="AF51" s="5"/>
      <c r="AG51" s="5"/>
      <c r="AH51" s="5"/>
      <c r="AI51" s="5"/>
      <c r="AJ51" s="15"/>
      <c r="AK51" s="15"/>
      <c r="AL51" s="15"/>
      <c r="AM51" s="5"/>
      <c r="AN51" s="15"/>
      <c r="AO51" s="15"/>
      <c r="AP51" s="15"/>
      <c r="AQ51" s="4"/>
      <c r="AR51" s="15"/>
      <c r="AS51" s="5"/>
      <c r="AT51" s="4"/>
      <c r="AU51" s="4"/>
      <c r="AV51" s="4"/>
      <c r="AW51" s="4"/>
      <c r="AX51" s="4"/>
    </row>
    <row r="52" spans="21:50" x14ac:dyDescent="0.2">
      <c r="W52" s="46"/>
      <c r="X52" s="46"/>
      <c r="Y52" s="3"/>
      <c r="Z52" s="3"/>
      <c r="AA52" s="46"/>
      <c r="AB52" s="46"/>
      <c r="AC52" s="3"/>
      <c r="AD52" s="3"/>
      <c r="AE52" s="46"/>
      <c r="AF52" s="5"/>
      <c r="AG52" s="5"/>
      <c r="AH52" s="5"/>
      <c r="AI52" s="5"/>
      <c r="AJ52" s="15"/>
      <c r="AK52" s="15"/>
      <c r="AL52" s="15"/>
      <c r="AM52" s="5"/>
      <c r="AN52" s="15"/>
      <c r="AO52" s="15"/>
      <c r="AP52" s="15"/>
      <c r="AQ52" s="4"/>
      <c r="AR52" s="15"/>
      <c r="AS52" s="5"/>
      <c r="AT52" s="4"/>
      <c r="AU52" s="5"/>
      <c r="AV52" s="5"/>
      <c r="AW52" s="4"/>
      <c r="AX52" s="4"/>
    </row>
    <row r="53" spans="21:50" x14ac:dyDescent="0.2">
      <c r="W53" s="2" t="s">
        <v>53</v>
      </c>
      <c r="X53" s="46"/>
      <c r="Y53" s="3"/>
      <c r="Z53" s="3"/>
      <c r="AA53" s="46"/>
      <c r="AB53" s="46"/>
      <c r="AC53" s="3"/>
      <c r="AD53" s="3"/>
      <c r="AE53" s="46"/>
      <c r="AF53" s="5"/>
      <c r="AG53" s="5"/>
      <c r="AH53" s="5"/>
      <c r="AI53" s="5"/>
      <c r="AJ53" s="15"/>
      <c r="AK53" s="15"/>
      <c r="AL53" s="15"/>
      <c r="AM53" s="5"/>
      <c r="AN53" s="15"/>
      <c r="AO53" s="15"/>
      <c r="AP53" s="15"/>
      <c r="AQ53" s="4"/>
      <c r="AR53" s="15"/>
      <c r="AS53" s="5"/>
      <c r="AT53" s="4"/>
      <c r="AU53" s="15"/>
      <c r="AV53" s="5"/>
      <c r="AW53" s="4"/>
      <c r="AX53" s="4"/>
    </row>
    <row r="54" spans="21:50" x14ac:dyDescent="0.2">
      <c r="W54" s="201">
        <f>BC7</f>
        <v>0</v>
      </c>
      <c r="X54" s="201">
        <f>BC8</f>
        <v>0</v>
      </c>
      <c r="Y54" s="201">
        <f>BC16</f>
        <v>0</v>
      </c>
      <c r="Z54" s="201">
        <f>BC17</f>
        <v>0</v>
      </c>
      <c r="AA54" s="201">
        <f>BC25</f>
        <v>0</v>
      </c>
      <c r="AB54" s="201">
        <f>BC26</f>
        <v>0</v>
      </c>
      <c r="AC54" s="11"/>
      <c r="AD54" s="11"/>
      <c r="AE54" s="46"/>
      <c r="AF54" s="5"/>
      <c r="AG54" s="5"/>
      <c r="AH54" s="5"/>
      <c r="AI54" s="5"/>
      <c r="AJ54" s="15"/>
      <c r="AK54" s="15"/>
      <c r="AL54" s="15"/>
      <c r="AM54" s="5"/>
      <c r="AN54" s="15"/>
      <c r="AO54" s="15"/>
      <c r="AP54" s="15"/>
      <c r="AQ54" s="4"/>
      <c r="AR54" s="15"/>
      <c r="AS54" s="5"/>
      <c r="AT54" s="4"/>
      <c r="AU54" s="15"/>
      <c r="AV54" s="5"/>
      <c r="AW54" s="4"/>
      <c r="AX54" s="4"/>
    </row>
    <row r="55" spans="21:50" x14ac:dyDescent="0.2">
      <c r="U55" s="46"/>
      <c r="V55" s="46"/>
      <c r="W55" s="3"/>
      <c r="X55" s="3"/>
      <c r="Y55" s="46"/>
      <c r="Z55" s="46"/>
      <c r="AA55" s="46"/>
      <c r="AB55" s="46"/>
      <c r="AC55" s="46"/>
      <c r="AD55" s="46"/>
      <c r="AE55" s="46"/>
      <c r="AF55" s="5"/>
      <c r="AG55" s="5"/>
      <c r="AH55" s="5"/>
      <c r="AI55" s="5"/>
      <c r="AJ55" s="5"/>
      <c r="AK55" s="5"/>
      <c r="AL55" s="5"/>
      <c r="AM55" s="5"/>
      <c r="AN55" s="15"/>
      <c r="AO55" s="15"/>
      <c r="AP55" s="15"/>
      <c r="AQ55" s="4"/>
      <c r="AR55" s="15"/>
      <c r="AS55" s="5"/>
      <c r="AT55" s="4"/>
      <c r="AU55" s="15"/>
      <c r="AV55" s="5"/>
      <c r="AW55" s="4"/>
      <c r="AX55" s="4"/>
    </row>
    <row r="56" spans="21:50" x14ac:dyDescent="0.2"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5"/>
      <c r="AG56" s="5"/>
      <c r="AH56" s="5"/>
      <c r="AI56" s="5"/>
      <c r="AJ56" s="5"/>
      <c r="AK56" s="5"/>
      <c r="AL56" s="5"/>
      <c r="AM56" s="5"/>
      <c r="AN56" s="15"/>
      <c r="AO56" s="15"/>
      <c r="AP56" s="15"/>
      <c r="AQ56" s="4"/>
      <c r="AR56" s="4"/>
      <c r="AS56" s="4"/>
      <c r="AT56" s="4"/>
      <c r="AU56" s="15"/>
      <c r="AV56" s="5"/>
      <c r="AW56" s="4"/>
      <c r="AX56" s="4"/>
    </row>
    <row r="57" spans="21:50" x14ac:dyDescent="0.2">
      <c r="U57" s="46"/>
      <c r="Y57" s="341" t="s">
        <v>68</v>
      </c>
      <c r="Z57" s="341"/>
      <c r="AA57" s="341"/>
      <c r="AB57" s="51"/>
      <c r="AC57" s="46"/>
      <c r="AD57" s="46"/>
      <c r="AE57" s="46"/>
      <c r="AF57" s="5"/>
      <c r="AG57" s="5"/>
      <c r="AH57" s="5"/>
      <c r="AI57" s="5"/>
      <c r="AJ57" s="5"/>
      <c r="AK57" s="5"/>
      <c r="AL57" s="5"/>
      <c r="AM57" s="5"/>
      <c r="AN57" s="15"/>
      <c r="AO57" s="15"/>
      <c r="AP57" s="15"/>
      <c r="AQ57" s="4"/>
      <c r="AR57" s="4"/>
      <c r="AS57" s="4"/>
      <c r="AT57" s="4"/>
      <c r="AU57" s="15"/>
      <c r="AV57" s="5"/>
      <c r="AW57" s="4"/>
      <c r="AX57" s="4"/>
    </row>
    <row r="58" spans="21:50" x14ac:dyDescent="0.2">
      <c r="U58" s="46"/>
      <c r="X58" s="46"/>
      <c r="Y58" s="43" t="s">
        <v>0</v>
      </c>
      <c r="Z58" s="43" t="s">
        <v>1</v>
      </c>
      <c r="AA58" s="43" t="s">
        <v>78</v>
      </c>
      <c r="AB58" s="3"/>
      <c r="AC58" s="46"/>
      <c r="AD58" s="46"/>
      <c r="AE58" s="46"/>
      <c r="AF58" s="15"/>
      <c r="AG58" s="15"/>
      <c r="AH58" s="15"/>
      <c r="AI58" s="5"/>
      <c r="AJ58" s="15"/>
      <c r="AK58" s="15"/>
      <c r="AL58" s="15"/>
      <c r="AM58" s="5"/>
      <c r="AN58" s="15"/>
      <c r="AO58" s="15"/>
      <c r="AP58" s="15"/>
      <c r="AQ58" s="4"/>
      <c r="AR58" s="4"/>
      <c r="AS58" s="4"/>
      <c r="AT58" s="4"/>
      <c r="AU58" s="15"/>
      <c r="AV58" s="5"/>
      <c r="AW58" s="4"/>
      <c r="AX58" s="4"/>
    </row>
    <row r="59" spans="21:50" x14ac:dyDescent="0.2">
      <c r="U59" s="46"/>
      <c r="Y59" s="342" t="s">
        <v>67</v>
      </c>
      <c r="Z59" s="342"/>
      <c r="AA59" s="342"/>
      <c r="AB59" s="51"/>
      <c r="AC59" s="46"/>
      <c r="AD59" s="46"/>
      <c r="AE59" s="46"/>
      <c r="AF59" s="15"/>
      <c r="AG59" s="15"/>
      <c r="AH59" s="15"/>
      <c r="AI59" s="5"/>
      <c r="AJ59" s="15"/>
      <c r="AK59" s="15"/>
      <c r="AL59" s="15"/>
      <c r="AM59" s="5"/>
      <c r="AN59" s="15"/>
      <c r="AO59" s="15"/>
      <c r="AP59" s="15"/>
      <c r="AQ59" s="4"/>
      <c r="AR59" s="4"/>
      <c r="AS59" s="4"/>
      <c r="AT59" s="4"/>
      <c r="AU59" s="15"/>
      <c r="AV59" s="5"/>
      <c r="AW59" s="4"/>
      <c r="AX59" s="4"/>
    </row>
    <row r="60" spans="21:50" x14ac:dyDescent="0.2">
      <c r="U60" s="46"/>
      <c r="X60" s="42" t="s">
        <v>49</v>
      </c>
      <c r="Y60" s="201">
        <f>'CC-car.1'!X32</f>
        <v>11.158000000000001</v>
      </c>
      <c r="Z60" s="201">
        <f>'CC-car.1'!Y32</f>
        <v>44.337000000000003</v>
      </c>
      <c r="AA60" s="201">
        <f>'CC-car.1'!Z32</f>
        <v>24.305000000000003</v>
      </c>
      <c r="AB60" s="11"/>
      <c r="AC60" s="46"/>
      <c r="AD60" s="46"/>
      <c r="AE60" s="46"/>
      <c r="AF60" s="15"/>
      <c r="AG60" s="15"/>
      <c r="AH60" s="15"/>
      <c r="AI60" s="5"/>
      <c r="AJ60" s="15"/>
      <c r="AK60" s="15"/>
      <c r="AL60" s="15"/>
      <c r="AM60" s="5"/>
      <c r="AN60" s="15"/>
      <c r="AO60" s="15"/>
      <c r="AP60" s="15"/>
      <c r="AQ60" s="4"/>
      <c r="AR60" s="4"/>
      <c r="AS60" s="4"/>
      <c r="AT60" s="4"/>
      <c r="AU60" s="4"/>
      <c r="AV60" s="4"/>
      <c r="AW60" s="4"/>
      <c r="AX60" s="4"/>
    </row>
    <row r="61" spans="21:50" x14ac:dyDescent="0.2">
      <c r="U61" s="46"/>
      <c r="X61" s="42" t="s">
        <v>50</v>
      </c>
      <c r="Y61" s="201">
        <f>'CC-car.2'!X32</f>
        <v>22.473733333333335</v>
      </c>
      <c r="Z61" s="201">
        <f>'CC-car.2'!Y32</f>
        <v>47.550599999999996</v>
      </c>
      <c r="AA61" s="201">
        <f>'CC-car.2'!Z32</f>
        <v>19.855666666666671</v>
      </c>
      <c r="AB61" s="11"/>
      <c r="AC61" s="46"/>
      <c r="AD61" s="46"/>
      <c r="AE61" s="46"/>
      <c r="AF61" s="15"/>
      <c r="AG61" s="15"/>
      <c r="AH61" s="15"/>
      <c r="AI61" s="5"/>
      <c r="AJ61" s="15"/>
      <c r="AK61" s="15"/>
      <c r="AL61" s="15"/>
      <c r="AM61" s="5"/>
      <c r="AN61" s="15"/>
      <c r="AO61" s="15"/>
      <c r="AP61" s="15"/>
      <c r="AQ61" s="4"/>
      <c r="AR61" s="4"/>
      <c r="AS61" s="4"/>
      <c r="AT61" s="4"/>
      <c r="AU61" s="4"/>
      <c r="AV61" s="4"/>
      <c r="AW61" s="4"/>
      <c r="AX61" s="4"/>
    </row>
    <row r="62" spans="21:50" x14ac:dyDescent="0.2">
      <c r="U62" s="46"/>
      <c r="X62" s="42" t="s">
        <v>51</v>
      </c>
      <c r="Y62" s="201">
        <f>'CC-car.3'!X32</f>
        <v>21.491333333333337</v>
      </c>
      <c r="Z62" s="201">
        <f>'CC-car.3'!Y32</f>
        <v>60.086999999999996</v>
      </c>
      <c r="AA62" s="201">
        <f>'CC-car.3'!Z32</f>
        <v>22.221666666666671</v>
      </c>
      <c r="AB62" s="11"/>
      <c r="AC62" s="46"/>
      <c r="AD62" s="46"/>
      <c r="AE62" s="46"/>
      <c r="AF62" s="15"/>
      <c r="AG62" s="15"/>
      <c r="AH62" s="15"/>
      <c r="AI62" s="5"/>
      <c r="AJ62" s="15"/>
      <c r="AK62" s="15"/>
      <c r="AL62" s="15"/>
      <c r="AM62" s="5"/>
      <c r="AN62" s="15"/>
      <c r="AO62" s="15"/>
      <c r="AP62" s="15"/>
      <c r="AQ62" s="4"/>
      <c r="AR62" s="4"/>
      <c r="AS62" s="4"/>
      <c r="AT62" s="4"/>
      <c r="AU62" s="4"/>
      <c r="AV62" s="4"/>
      <c r="AW62" s="4"/>
      <c r="AX62" s="4"/>
    </row>
    <row r="63" spans="21:50" x14ac:dyDescent="0.2">
      <c r="U63" s="46"/>
      <c r="V63" s="46"/>
      <c r="X63" s="42" t="s">
        <v>52</v>
      </c>
      <c r="Y63" s="201">
        <f>'CC-car.4'!X32</f>
        <v>11.287066666666668</v>
      </c>
      <c r="Z63" s="201">
        <f>'CC-car.4'!Y32</f>
        <v>43.320599999999999</v>
      </c>
      <c r="AA63" s="201">
        <f>'CC-car.4'!Z32</f>
        <v>30.472333333333339</v>
      </c>
      <c r="AB63" s="11"/>
      <c r="AC63" s="46"/>
      <c r="AD63" s="46"/>
      <c r="AE63" s="46"/>
      <c r="AF63" s="15"/>
      <c r="AG63" s="15"/>
      <c r="AH63" s="15"/>
      <c r="AI63" s="5"/>
      <c r="AJ63" s="15"/>
      <c r="AK63" s="15"/>
      <c r="AL63" s="15"/>
      <c r="AM63" s="5"/>
      <c r="AN63" s="15"/>
      <c r="AO63" s="15"/>
      <c r="AP63" s="15"/>
      <c r="AQ63" s="4"/>
      <c r="AR63" s="4"/>
      <c r="AS63" s="4"/>
      <c r="AT63" s="4"/>
      <c r="AU63" s="4"/>
      <c r="AV63" s="4"/>
      <c r="AW63" s="4"/>
      <c r="AX63" s="4"/>
    </row>
    <row r="64" spans="21:50" x14ac:dyDescent="0.2">
      <c r="U64" s="46"/>
      <c r="V64" s="46"/>
      <c r="X64" s="42" t="s">
        <v>53</v>
      </c>
      <c r="Y64" s="201">
        <f>'CC-car.5'!X32</f>
        <v>0</v>
      </c>
      <c r="Z64" s="201">
        <f>'CC-car.5'!Y32</f>
        <v>0</v>
      </c>
      <c r="AA64" s="201">
        <f>'CC-car.5'!Z32</f>
        <v>0</v>
      </c>
      <c r="AB64" s="11"/>
      <c r="AC64" s="46"/>
      <c r="AD64" s="46"/>
      <c r="AE64" s="46"/>
      <c r="AF64" s="15"/>
      <c r="AG64" s="15"/>
      <c r="AH64" s="15"/>
      <c r="AI64" s="5"/>
      <c r="AJ64" s="15"/>
      <c r="AK64" s="15"/>
      <c r="AL64" s="15"/>
      <c r="AM64" s="5"/>
      <c r="AN64" s="15"/>
      <c r="AO64" s="15"/>
      <c r="AP64" s="15"/>
      <c r="AQ64" s="4"/>
      <c r="AR64" s="4"/>
      <c r="AS64" s="4"/>
      <c r="AT64" s="4"/>
      <c r="AU64" s="4"/>
      <c r="AV64" s="4"/>
      <c r="AW64" s="4"/>
      <c r="AX64" s="4"/>
    </row>
    <row r="65" spans="1:50" x14ac:dyDescent="0.2">
      <c r="AE65" s="46"/>
      <c r="AF65" s="15"/>
      <c r="AG65" s="15"/>
      <c r="AH65" s="15"/>
      <c r="AI65" s="5"/>
      <c r="AJ65" s="15"/>
      <c r="AK65" s="15"/>
      <c r="AL65" s="15"/>
      <c r="AM65" s="5"/>
      <c r="AN65" s="15"/>
      <c r="AO65" s="15"/>
      <c r="AP65" s="15"/>
      <c r="AQ65" s="4"/>
      <c r="AR65" s="4"/>
      <c r="AS65" s="4"/>
      <c r="AT65" s="4"/>
      <c r="AU65" s="4"/>
      <c r="AV65" s="4"/>
      <c r="AW65" s="4"/>
      <c r="AX65" s="4"/>
    </row>
    <row r="66" spans="1:50" x14ac:dyDescent="0.2">
      <c r="AE66" s="46"/>
      <c r="AF66" s="15"/>
      <c r="AG66" s="15"/>
      <c r="AH66" s="15"/>
      <c r="AI66" s="5"/>
      <c r="AJ66" s="15"/>
      <c r="AK66" s="15"/>
      <c r="AL66" s="15"/>
      <c r="AM66" s="5"/>
      <c r="AN66" s="15"/>
      <c r="AO66" s="15"/>
      <c r="AP66" s="15"/>
      <c r="AQ66" s="4"/>
      <c r="AR66" s="4"/>
      <c r="AS66" s="4"/>
      <c r="AT66" s="4"/>
      <c r="AU66" s="4"/>
      <c r="AV66" s="4"/>
      <c r="AW66" s="4"/>
      <c r="AX66" s="4"/>
    </row>
    <row r="67" spans="1:50" x14ac:dyDescent="0.2">
      <c r="AE67" s="46"/>
      <c r="AF67" s="5"/>
      <c r="AG67" s="5"/>
      <c r="AH67" s="5"/>
      <c r="AI67" s="5"/>
      <c r="AJ67" s="5"/>
      <c r="AK67" s="5"/>
      <c r="AL67" s="5"/>
      <c r="AM67" s="5"/>
      <c r="AN67" s="15"/>
      <c r="AO67" s="15"/>
      <c r="AP67" s="15"/>
      <c r="AQ67" s="4"/>
      <c r="AR67" s="4"/>
      <c r="AS67" s="4"/>
      <c r="AT67" s="4"/>
      <c r="AU67" s="4"/>
      <c r="AV67" s="4"/>
      <c r="AW67" s="4"/>
      <c r="AX67" s="4"/>
    </row>
    <row r="68" spans="1:50" x14ac:dyDescent="0.2">
      <c r="AF68" s="4"/>
      <c r="AG68" s="4"/>
      <c r="AH68" s="4"/>
      <c r="AI68" s="4"/>
      <c r="AJ68" s="4"/>
      <c r="AK68" s="4"/>
      <c r="AL68" s="4"/>
      <c r="AM68" s="4"/>
      <c r="AN68" s="15"/>
      <c r="AO68" s="15"/>
      <c r="AP68" s="15"/>
      <c r="AQ68" s="4"/>
      <c r="AR68" s="4"/>
      <c r="AS68" s="4"/>
      <c r="AT68" s="4"/>
      <c r="AU68" s="4"/>
      <c r="AV68" s="4"/>
      <c r="AW68" s="4"/>
      <c r="AX68" s="4"/>
    </row>
    <row r="69" spans="1:50" hidden="1" x14ac:dyDescent="0.2">
      <c r="A69" s="123" t="s">
        <v>462</v>
      </c>
      <c r="B69" s="275"/>
      <c r="C69" s="123" t="s">
        <v>463</v>
      </c>
      <c r="D69" s="275"/>
      <c r="E69" s="132" t="s">
        <v>464</v>
      </c>
      <c r="G69" s="123" t="s">
        <v>448</v>
      </c>
      <c r="I69" s="251" t="s">
        <v>452</v>
      </c>
      <c r="AF69" s="4"/>
      <c r="AG69" s="4"/>
      <c r="AH69" s="4"/>
      <c r="AI69" s="4"/>
      <c r="AJ69" s="4"/>
      <c r="AK69" s="4"/>
      <c r="AL69" s="4"/>
      <c r="AM69" s="4"/>
      <c r="AN69" s="15"/>
      <c r="AO69" s="15"/>
      <c r="AP69" s="15"/>
      <c r="AQ69" s="4"/>
      <c r="AR69" s="4"/>
      <c r="AS69" s="4"/>
      <c r="AT69" s="4"/>
      <c r="AU69" s="4"/>
      <c r="AV69" s="4"/>
      <c r="AW69" s="4"/>
      <c r="AX69" s="4"/>
    </row>
    <row r="70" spans="1:50" hidden="1" x14ac:dyDescent="0.2">
      <c r="A70" s="123" t="s">
        <v>463</v>
      </c>
      <c r="B70" s="275"/>
      <c r="C70" s="123" t="str">
        <f>E6</f>
        <v>ca</v>
      </c>
      <c r="D70" s="275"/>
      <c r="E70" s="132" t="s">
        <v>448</v>
      </c>
      <c r="G70" s="123"/>
      <c r="I70" s="256" t="s">
        <v>124</v>
      </c>
      <c r="AF70" s="5"/>
      <c r="AG70" s="5"/>
      <c r="AH70" s="5"/>
      <c r="AI70" s="4"/>
      <c r="AJ70" s="5"/>
      <c r="AK70" s="5"/>
      <c r="AL70" s="5"/>
      <c r="AM70" s="4"/>
      <c r="AN70" s="15"/>
      <c r="AO70" s="15"/>
      <c r="AP70" s="15"/>
      <c r="AQ70" s="4"/>
      <c r="AR70" s="4"/>
      <c r="AS70" s="4"/>
      <c r="AT70" s="4"/>
      <c r="AU70" s="4"/>
      <c r="AV70" s="4"/>
      <c r="AW70" s="4"/>
      <c r="AX70" s="4"/>
    </row>
    <row r="71" spans="1:50" hidden="1" x14ac:dyDescent="0.2">
      <c r="A71" s="123" t="s">
        <v>464</v>
      </c>
      <c r="B71" s="275"/>
      <c r="C71" s="275"/>
      <c r="D71" s="275"/>
      <c r="E71" s="275"/>
      <c r="F71" s="275"/>
      <c r="I71" s="251" t="s">
        <v>448</v>
      </c>
      <c r="AF71" s="5"/>
      <c r="AG71" s="15"/>
      <c r="AH71" s="15"/>
      <c r="AI71" s="4"/>
      <c r="AJ71" s="15"/>
      <c r="AK71" s="15"/>
      <c r="AL71" s="15"/>
      <c r="AM71" s="4"/>
      <c r="AN71" s="15"/>
      <c r="AO71" s="15"/>
      <c r="AP71" s="15"/>
      <c r="AQ71" s="4"/>
      <c r="AR71" s="4"/>
      <c r="AS71" s="4"/>
      <c r="AT71" s="4"/>
      <c r="AU71" s="4"/>
      <c r="AV71" s="4"/>
      <c r="AW71" s="4"/>
      <c r="AX71" s="4"/>
    </row>
    <row r="72" spans="1:50" hidden="1" x14ac:dyDescent="0.2">
      <c r="AF72" s="5"/>
      <c r="AG72" s="15"/>
      <c r="AH72" s="15"/>
      <c r="AI72" s="4"/>
      <c r="AJ72" s="15"/>
      <c r="AK72" s="15"/>
      <c r="AL72" s="15"/>
      <c r="AM72" s="4"/>
      <c r="AN72" s="15"/>
      <c r="AO72" s="15"/>
      <c r="AP72" s="15"/>
      <c r="AQ72" s="4"/>
      <c r="AR72" s="4"/>
      <c r="AS72" s="4"/>
      <c r="AT72" s="4"/>
      <c r="AU72" s="4"/>
      <c r="AV72" s="4"/>
      <c r="AW72" s="4"/>
      <c r="AX72" s="4"/>
    </row>
    <row r="73" spans="1:50" hidden="1" x14ac:dyDescent="0.2">
      <c r="AF73" s="5"/>
      <c r="AG73" s="15"/>
      <c r="AH73" s="15"/>
      <c r="AI73" s="4"/>
      <c r="AJ73" s="15"/>
      <c r="AK73" s="15"/>
      <c r="AL73" s="15"/>
      <c r="AM73" s="4"/>
      <c r="AN73" s="15"/>
      <c r="AO73" s="15"/>
      <c r="AP73" s="15"/>
      <c r="AQ73" s="4"/>
      <c r="AR73" s="4"/>
      <c r="AS73" s="4"/>
      <c r="AT73" s="4"/>
      <c r="AU73" s="4"/>
      <c r="AV73" s="4"/>
      <c r="AW73" s="4"/>
      <c r="AX73" s="4"/>
    </row>
    <row r="74" spans="1:50" hidden="1" x14ac:dyDescent="0.2">
      <c r="A74" s="335" t="s">
        <v>31</v>
      </c>
      <c r="B74" s="336"/>
      <c r="C74" s="336"/>
      <c r="D74" s="336"/>
      <c r="E74" s="336"/>
      <c r="F74" s="336"/>
      <c r="G74" s="336"/>
      <c r="H74" s="336"/>
      <c r="I74" s="336"/>
      <c r="J74" s="337"/>
      <c r="AF74" s="5"/>
      <c r="AG74" s="15"/>
      <c r="AH74" s="15"/>
      <c r="AI74" s="4"/>
      <c r="AJ74" s="15"/>
      <c r="AK74" s="15"/>
      <c r="AL74" s="15"/>
      <c r="AM74" s="4"/>
      <c r="AN74" s="15"/>
      <c r="AO74" s="15"/>
      <c r="AP74" s="15"/>
      <c r="AQ74" s="4"/>
      <c r="AR74" s="4"/>
      <c r="AS74" s="4"/>
      <c r="AT74" s="4"/>
      <c r="AU74" s="4"/>
      <c r="AV74" s="4"/>
      <c r="AW74" s="4"/>
      <c r="AX74" s="4"/>
    </row>
    <row r="75" spans="1:50" hidden="1" x14ac:dyDescent="0.2">
      <c r="A75" s="261"/>
      <c r="B75" s="2"/>
      <c r="C75" s="2"/>
      <c r="D75" s="2"/>
      <c r="E75" s="2"/>
      <c r="F75" s="2"/>
      <c r="G75" s="2"/>
      <c r="H75" s="2"/>
      <c r="I75" s="2"/>
      <c r="J75" s="262"/>
      <c r="AF75" s="5"/>
      <c r="AG75" s="15"/>
      <c r="AH75" s="15"/>
      <c r="AI75" s="4"/>
      <c r="AJ75" s="5"/>
      <c r="AK75" s="5"/>
      <c r="AL75" s="5"/>
      <c r="AM75" s="4"/>
      <c r="AN75" s="15"/>
      <c r="AO75" s="15"/>
      <c r="AP75" s="15"/>
      <c r="AQ75" s="4"/>
      <c r="AR75" s="4"/>
      <c r="AS75" s="4"/>
      <c r="AT75" s="4"/>
      <c r="AU75" s="4"/>
      <c r="AV75" s="4"/>
      <c r="AW75" s="4"/>
      <c r="AX75" s="4"/>
    </row>
    <row r="76" spans="1:50" ht="13.5" hidden="1" x14ac:dyDescent="0.25">
      <c r="A76" s="263" t="s">
        <v>30</v>
      </c>
      <c r="B76" s="274" t="s">
        <v>38</v>
      </c>
      <c r="C76" s="274" t="s">
        <v>39</v>
      </c>
      <c r="D76" s="274" t="s">
        <v>40</v>
      </c>
      <c r="E76" s="3"/>
      <c r="F76" s="45" t="s">
        <v>72</v>
      </c>
      <c r="G76" s="274" t="s">
        <v>73</v>
      </c>
      <c r="H76" s="274" t="s">
        <v>74</v>
      </c>
      <c r="I76" s="274" t="s">
        <v>75</v>
      </c>
      <c r="J76" s="266"/>
      <c r="AF76" s="5"/>
      <c r="AG76" s="15"/>
      <c r="AH76" s="15"/>
      <c r="AI76" s="4"/>
      <c r="AJ76" s="5"/>
      <c r="AK76" s="5"/>
      <c r="AL76" s="5"/>
      <c r="AM76" s="4"/>
      <c r="AN76" s="15"/>
      <c r="AO76" s="15"/>
      <c r="AP76" s="15"/>
      <c r="AQ76" s="4"/>
      <c r="AR76" s="4"/>
      <c r="AS76" s="4"/>
      <c r="AT76" s="4"/>
      <c r="AU76" s="4"/>
      <c r="AV76" s="4"/>
      <c r="AW76" s="4"/>
      <c r="AX76" s="4"/>
    </row>
    <row r="77" spans="1:50" hidden="1" x14ac:dyDescent="0.2">
      <c r="A77" s="226"/>
      <c r="B77" s="268">
        <v>1</v>
      </c>
      <c r="C77" s="282">
        <f>F19/10^8</f>
        <v>3.1250000000000002E-3</v>
      </c>
      <c r="D77" s="269">
        <f>B77*C77</f>
        <v>3.1250000000000002E-3</v>
      </c>
      <c r="E77" s="273"/>
      <c r="F77" s="273"/>
      <c r="G77" s="268">
        <v>1</v>
      </c>
      <c r="H77" s="282">
        <f>G19/10^8</f>
        <v>3.1250000000000002E-3</v>
      </c>
      <c r="I77" s="269">
        <f>G77*H77</f>
        <v>3.1250000000000002E-3</v>
      </c>
      <c r="J77" s="283"/>
      <c r="AF77" s="5"/>
      <c r="AG77" s="15"/>
      <c r="AH77" s="15"/>
      <c r="AI77" s="4"/>
      <c r="AJ77" s="5"/>
      <c r="AK77" s="5"/>
      <c r="AL77" s="5"/>
      <c r="AM77" s="4"/>
      <c r="AN77" s="15"/>
      <c r="AO77" s="15"/>
      <c r="AP77" s="15"/>
      <c r="AQ77" s="4"/>
      <c r="AR77" s="4"/>
      <c r="AS77" s="4"/>
      <c r="AT77" s="4"/>
      <c r="AU77" s="4"/>
      <c r="AV77" s="4"/>
      <c r="AW77" s="4"/>
      <c r="AX77" s="4"/>
    </row>
    <row r="78" spans="1:50" x14ac:dyDescent="0.2">
      <c r="AF78" s="5"/>
      <c r="AG78" s="15"/>
      <c r="AH78" s="15"/>
      <c r="AI78" s="4"/>
      <c r="AJ78" s="5"/>
      <c r="AK78" s="5"/>
      <c r="AL78" s="5"/>
      <c r="AM78" s="4"/>
      <c r="AN78" s="15"/>
      <c r="AO78" s="15"/>
      <c r="AP78" s="15"/>
      <c r="AQ78" s="4"/>
      <c r="AR78" s="4"/>
      <c r="AS78" s="4"/>
      <c r="AT78" s="4"/>
      <c r="AU78" s="4"/>
      <c r="AV78" s="4"/>
      <c r="AW78" s="4"/>
      <c r="AX78" s="4"/>
    </row>
    <row r="79" spans="1:50" x14ac:dyDescent="0.2">
      <c r="AF79" s="5"/>
      <c r="AG79" s="15"/>
      <c r="AH79" s="15"/>
      <c r="AI79" s="4"/>
      <c r="AJ79" s="5"/>
      <c r="AK79" s="5"/>
      <c r="AL79" s="5"/>
      <c r="AM79" s="4"/>
      <c r="AN79" s="15"/>
      <c r="AO79" s="15"/>
      <c r="AP79" s="15"/>
      <c r="AQ79" s="4"/>
      <c r="AR79" s="4"/>
      <c r="AS79" s="4"/>
      <c r="AT79" s="4"/>
      <c r="AU79" s="4"/>
      <c r="AV79" s="4"/>
      <c r="AW79" s="4"/>
      <c r="AX79" s="4"/>
    </row>
    <row r="80" spans="1:50" x14ac:dyDescent="0.2">
      <c r="AF80" s="4"/>
      <c r="AG80" s="4"/>
      <c r="AH80" s="4"/>
      <c r="AI80" s="4"/>
      <c r="AJ80" s="4"/>
      <c r="AK80" s="4"/>
      <c r="AL80" s="4"/>
      <c r="AM80" s="4"/>
      <c r="AN80" s="15"/>
      <c r="AO80" s="15"/>
      <c r="AP80" s="15"/>
      <c r="AQ80" s="4"/>
      <c r="AR80" s="4"/>
      <c r="AS80" s="4"/>
      <c r="AT80" s="4"/>
      <c r="AU80" s="4"/>
      <c r="AV80" s="4"/>
      <c r="AW80" s="4"/>
      <c r="AX80" s="4"/>
    </row>
    <row r="81" spans="15:50" x14ac:dyDescent="0.2">
      <c r="AF81" s="4"/>
      <c r="AG81" s="4"/>
      <c r="AH81" s="4"/>
      <c r="AI81" s="4"/>
      <c r="AJ81" s="4"/>
      <c r="AK81" s="4"/>
      <c r="AL81" s="4"/>
      <c r="AM81" s="4"/>
      <c r="AN81" s="15"/>
      <c r="AO81" s="15"/>
      <c r="AP81" s="15"/>
      <c r="AQ81" s="4"/>
      <c r="AR81" s="4"/>
      <c r="AS81" s="4"/>
      <c r="AT81" s="4"/>
      <c r="AU81" s="4"/>
      <c r="AV81" s="4"/>
      <c r="AW81" s="4"/>
      <c r="AX81" s="4"/>
    </row>
    <row r="82" spans="15:50" x14ac:dyDescent="0.2">
      <c r="AF82" s="4"/>
      <c r="AG82" s="4"/>
      <c r="AH82" s="4"/>
      <c r="AI82" s="4"/>
      <c r="AJ82" s="4"/>
      <c r="AK82" s="4"/>
      <c r="AL82" s="4"/>
      <c r="AM82" s="4"/>
      <c r="AN82" s="15"/>
      <c r="AO82" s="15"/>
      <c r="AP82" s="15"/>
      <c r="AQ82" s="4"/>
      <c r="AR82" s="4"/>
      <c r="AS82" s="4"/>
      <c r="AT82" s="4"/>
      <c r="AU82" s="4"/>
      <c r="AV82" s="4"/>
      <c r="AW82" s="4"/>
      <c r="AX82" s="4"/>
    </row>
    <row r="83" spans="15:50" x14ac:dyDescent="0.2">
      <c r="AF83" s="4"/>
      <c r="AG83" s="4"/>
      <c r="AH83" s="4"/>
      <c r="AI83" s="4"/>
      <c r="AJ83" s="4"/>
      <c r="AK83" s="4"/>
      <c r="AL83" s="4"/>
      <c r="AM83" s="4"/>
      <c r="AN83" s="15"/>
      <c r="AO83" s="15"/>
      <c r="AP83" s="15"/>
      <c r="AQ83" s="4"/>
      <c r="AR83" s="4"/>
      <c r="AS83" s="4"/>
      <c r="AT83" s="4"/>
      <c r="AU83" s="4"/>
      <c r="AV83" s="4"/>
      <c r="AW83" s="4"/>
      <c r="AX83" s="4"/>
    </row>
    <row r="84" spans="15:50" x14ac:dyDescent="0.2">
      <c r="AF84" s="4"/>
      <c r="AG84" s="4"/>
      <c r="AH84" s="4"/>
      <c r="AI84" s="4"/>
      <c r="AJ84" s="4"/>
      <c r="AK84" s="4"/>
      <c r="AL84" s="4"/>
      <c r="AM84" s="4"/>
      <c r="AN84" s="15"/>
      <c r="AO84" s="15"/>
      <c r="AP84" s="15"/>
      <c r="AQ84" s="4"/>
      <c r="AR84" s="4"/>
      <c r="AS84" s="4"/>
      <c r="AT84" s="4"/>
      <c r="AU84" s="4"/>
      <c r="AV84" s="4"/>
      <c r="AW84" s="4"/>
      <c r="AX84" s="4"/>
    </row>
    <row r="85" spans="15:50" x14ac:dyDescent="0.2">
      <c r="AF85" s="4"/>
      <c r="AG85" s="4"/>
      <c r="AH85" s="4"/>
      <c r="AI85" s="4"/>
      <c r="AJ85" s="4"/>
      <c r="AK85" s="4"/>
      <c r="AL85" s="4"/>
      <c r="AM85" s="4"/>
      <c r="AN85" s="15"/>
      <c r="AO85" s="15"/>
      <c r="AP85" s="15"/>
      <c r="AQ85" s="4"/>
      <c r="AR85" s="4"/>
      <c r="AS85" s="4"/>
      <c r="AT85" s="4"/>
      <c r="AU85" s="4"/>
      <c r="AV85" s="4"/>
      <c r="AW85" s="4"/>
      <c r="AX85" s="4"/>
    </row>
    <row r="86" spans="15:50" x14ac:dyDescent="0.2">
      <c r="AF86" s="4"/>
      <c r="AG86" s="4"/>
      <c r="AH86" s="4"/>
      <c r="AI86" s="4"/>
      <c r="AJ86" s="4"/>
      <c r="AK86" s="4"/>
      <c r="AL86" s="4"/>
      <c r="AM86" s="4"/>
      <c r="AN86" s="15"/>
      <c r="AO86" s="15"/>
      <c r="AP86" s="15"/>
      <c r="AQ86" s="4"/>
      <c r="AR86" s="4"/>
      <c r="AS86" s="4"/>
      <c r="AT86" s="4"/>
      <c r="AU86" s="4"/>
      <c r="AV86" s="4"/>
      <c r="AW86" s="4"/>
      <c r="AX86" s="4"/>
    </row>
    <row r="87" spans="15:50" x14ac:dyDescent="0.2">
      <c r="AF87" s="4"/>
      <c r="AG87" s="4"/>
      <c r="AH87" s="4"/>
      <c r="AI87" s="4"/>
      <c r="AJ87" s="4"/>
      <c r="AK87" s="4"/>
      <c r="AL87" s="4"/>
      <c r="AM87" s="4"/>
      <c r="AN87" s="15"/>
      <c r="AO87" s="15"/>
      <c r="AP87" s="15"/>
      <c r="AQ87" s="4"/>
      <c r="AR87" s="4"/>
      <c r="AS87" s="4"/>
      <c r="AT87" s="4"/>
      <c r="AU87" s="4"/>
      <c r="AV87" s="4"/>
      <c r="AW87" s="4"/>
      <c r="AX87" s="4"/>
    </row>
    <row r="88" spans="15:50" x14ac:dyDescent="0.2">
      <c r="W88" s="2"/>
      <c r="X88" s="2"/>
      <c r="AF88" s="4"/>
      <c r="AG88" s="4"/>
      <c r="AH88" s="4"/>
      <c r="AI88" s="4"/>
      <c r="AJ88" s="4"/>
      <c r="AK88" s="4"/>
      <c r="AL88" s="4"/>
      <c r="AM88" s="4"/>
      <c r="AN88" s="15"/>
      <c r="AO88" s="15"/>
      <c r="AP88" s="15"/>
      <c r="AQ88" s="4"/>
      <c r="AR88" s="4"/>
      <c r="AS88" s="4"/>
      <c r="AT88" s="4"/>
      <c r="AU88" s="4"/>
      <c r="AV88" s="4"/>
      <c r="AW88" s="4"/>
      <c r="AX88" s="4"/>
    </row>
    <row r="89" spans="15:50" x14ac:dyDescent="0.2">
      <c r="W89" s="11"/>
      <c r="X89" s="11"/>
      <c r="AF89" s="4"/>
      <c r="AG89" s="4"/>
      <c r="AH89" s="4"/>
      <c r="AI89" s="4"/>
      <c r="AJ89" s="4"/>
      <c r="AK89" s="4"/>
      <c r="AL89" s="4"/>
      <c r="AM89" s="4"/>
      <c r="AN89" s="15"/>
      <c r="AO89" s="15"/>
      <c r="AP89" s="15"/>
      <c r="AQ89" s="4"/>
      <c r="AR89" s="4"/>
      <c r="AS89" s="4"/>
      <c r="AT89" s="4"/>
      <c r="AU89" s="4"/>
      <c r="AV89" s="4"/>
      <c r="AW89" s="4"/>
      <c r="AX89" s="4"/>
    </row>
    <row r="90" spans="15:50" x14ac:dyDescent="0.2">
      <c r="W90" s="11"/>
      <c r="X90" s="11"/>
    </row>
    <row r="91" spans="15:50" x14ac:dyDescent="0.2">
      <c r="O91" s="3"/>
      <c r="P91" s="3"/>
      <c r="Q91" s="3"/>
      <c r="W91" s="11"/>
      <c r="X91" s="11"/>
    </row>
    <row r="92" spans="15:50" x14ac:dyDescent="0.2">
      <c r="O92" s="3"/>
      <c r="P92" s="3"/>
      <c r="Q92" s="3"/>
      <c r="W92" s="11"/>
      <c r="X92" s="11"/>
    </row>
    <row r="93" spans="15:50" x14ac:dyDescent="0.2">
      <c r="O93" s="3"/>
      <c r="P93" s="3"/>
      <c r="Q93" s="3"/>
      <c r="W93" s="11"/>
      <c r="X93" s="11"/>
    </row>
    <row r="94" spans="15:50" x14ac:dyDescent="0.2">
      <c r="O94" s="3"/>
      <c r="P94" s="3"/>
      <c r="Q94" s="3"/>
    </row>
    <row r="95" spans="15:50" x14ac:dyDescent="0.2">
      <c r="O95" s="3"/>
      <c r="P95" s="3"/>
      <c r="Q95" s="3"/>
    </row>
    <row r="96" spans="15:50" x14ac:dyDescent="0.2">
      <c r="O96" s="3"/>
      <c r="P96" s="3"/>
      <c r="Q96" s="3"/>
    </row>
    <row r="97" spans="15:17" x14ac:dyDescent="0.2">
      <c r="O97" s="3"/>
      <c r="P97" s="3"/>
      <c r="Q97" s="3"/>
    </row>
    <row r="98" spans="15:17" x14ac:dyDescent="0.2">
      <c r="O98" s="2"/>
      <c r="P98" s="2"/>
      <c r="Q98" s="2"/>
    </row>
    <row r="99" spans="15:17" x14ac:dyDescent="0.2">
      <c r="O99" s="2"/>
      <c r="P99" s="2"/>
      <c r="Q99" s="2"/>
    </row>
  </sheetData>
  <sheetProtection selectLockedCells="1"/>
  <mergeCells count="31">
    <mergeCell ref="W38:AB38"/>
    <mergeCell ref="AJ17:AJ25"/>
    <mergeCell ref="AO17:AO25"/>
    <mergeCell ref="AT17:AT25"/>
    <mergeCell ref="E4:H4"/>
    <mergeCell ref="E6:H6"/>
    <mergeCell ref="E10:H10"/>
    <mergeCell ref="F16:G16"/>
    <mergeCell ref="A1:J1"/>
    <mergeCell ref="AE4:AE7"/>
    <mergeCell ref="AJ4:AJ7"/>
    <mergeCell ref="AO4:AO7"/>
    <mergeCell ref="AE8:AE16"/>
    <mergeCell ref="AJ8:AJ16"/>
    <mergeCell ref="AO8:AO16"/>
    <mergeCell ref="AY26:AY29"/>
    <mergeCell ref="AY17:AY25"/>
    <mergeCell ref="AT4:AT7"/>
    <mergeCell ref="AY4:AY7"/>
    <mergeCell ref="A74:J74"/>
    <mergeCell ref="AT8:AT16"/>
    <mergeCell ref="AY8:AY16"/>
    <mergeCell ref="AE26:AE29"/>
    <mergeCell ref="AJ26:AJ29"/>
    <mergeCell ref="AO26:AO29"/>
    <mergeCell ref="W40:AB40"/>
    <mergeCell ref="Y57:AA57"/>
    <mergeCell ref="E24:H24"/>
    <mergeCell ref="Y59:AA59"/>
    <mergeCell ref="AT26:AT29"/>
    <mergeCell ref="AE17:AE25"/>
  </mergeCells>
  <dataValidations count="10">
    <dataValidation type="custom" allowBlank="1" showInputMessage="1" showErrorMessage="1" sqref="E15" xr:uid="{00000000-0002-0000-0800-000000000000}">
      <formula1>IF(E14=A71,E15=0,E15&gt;0)</formula1>
    </dataValidation>
    <dataValidation type="custom" allowBlank="1" showInputMessage="1" showErrorMessage="1" sqref="H15" xr:uid="{00000000-0002-0000-0800-000001000000}">
      <formula1>IF(H14=A71,H15=0,H15&gt;0)</formula1>
    </dataValidation>
    <dataValidation type="list" allowBlank="1" showInputMessage="1" showErrorMessage="1" sqref="E6" xr:uid="{00000000-0002-0000-0800-000002000000}">
      <formula1>$I$69:$I$70</formula1>
    </dataValidation>
    <dataValidation type="list" allowBlank="1" showInputMessage="1" showErrorMessage="1" sqref="H16" xr:uid="{00000000-0002-0000-0800-000003000000}">
      <formula1>INDIRECT($H$14)</formula1>
    </dataValidation>
    <dataValidation type="list" allowBlank="1" showInputMessage="1" showErrorMessage="1" sqref="H17" xr:uid="{00000000-0002-0000-0800-000004000000}">
      <formula1>INDIRECT($H$16)</formula1>
    </dataValidation>
    <dataValidation type="list" allowBlank="1" showInputMessage="1" showErrorMessage="1" sqref="H14 E14" xr:uid="{00000000-0002-0000-0800-000005000000}">
      <formula1>$A$70:$A$71</formula1>
    </dataValidation>
    <dataValidation type="list" allowBlank="1" showInputMessage="1" showErrorMessage="1" sqref="F17:G17" xr:uid="{00000000-0002-0000-0800-000006000000}">
      <formula1>INDIRECT($E$6)</formula1>
    </dataValidation>
    <dataValidation type="list" allowBlank="1" showInputMessage="1" showErrorMessage="1" sqref="E17" xr:uid="{00000000-0002-0000-0800-000007000000}">
      <formula1>INDIRECT($E$16)</formula1>
    </dataValidation>
    <dataValidation type="custom" allowBlank="1" showInputMessage="1" showErrorMessage="1" sqref="F15:G15" xr:uid="{00000000-0002-0000-0800-000008000000}">
      <formula1>F15&gt;0</formula1>
    </dataValidation>
    <dataValidation type="list" allowBlank="1" showInputMessage="1" showErrorMessage="1" sqref="E16" xr:uid="{00000000-0002-0000-0800-000009000000}">
      <formula1>INDIRECT($E$14)</formula1>
    </dataValidation>
  </dataValidations>
  <pageMargins left="0.52" right="0.4" top="0.24" bottom="0.41" header="0.22" footer="0.31496062992125984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6">
                <anchor moveWithCells="1" sizeWithCells="1">
                  <from>
                    <xdr:col>8</xdr:col>
                    <xdr:colOff>28575</xdr:colOff>
                    <xdr:row>25</xdr:row>
                    <xdr:rowOff>9525</xdr:rowOff>
                  </from>
                  <to>
                    <xdr:col>8</xdr:col>
                    <xdr:colOff>571500</xdr:colOff>
                    <xdr:row>25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acro17">
                <anchor moveWithCells="1" sizeWithCells="1">
                  <from>
                    <xdr:col>8</xdr:col>
                    <xdr:colOff>28575</xdr:colOff>
                    <xdr:row>26</xdr:row>
                    <xdr:rowOff>9525</xdr:rowOff>
                  </from>
                  <to>
                    <xdr:col>8</xdr:col>
                    <xdr:colOff>571500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Macro18">
                <anchor moveWithCells="1" sizeWithCells="1">
                  <from>
                    <xdr:col>8</xdr:col>
                    <xdr:colOff>28575</xdr:colOff>
                    <xdr:row>27</xdr:row>
                    <xdr:rowOff>9525</xdr:rowOff>
                  </from>
                  <to>
                    <xdr:col>8</xdr:col>
                    <xdr:colOff>571500</xdr:colOff>
                    <xdr:row>27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Macro19">
                <anchor moveWithCells="1" sizeWithCells="1">
                  <from>
                    <xdr:col>8</xdr:col>
                    <xdr:colOff>28575</xdr:colOff>
                    <xdr:row>28</xdr:row>
                    <xdr:rowOff>9525</xdr:rowOff>
                  </from>
                  <to>
                    <xdr:col>8</xdr:col>
                    <xdr:colOff>571500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Macro20">
                <anchor moveWithCells="1" sizeWithCells="1">
                  <from>
                    <xdr:col>8</xdr:col>
                    <xdr:colOff>28575</xdr:colOff>
                    <xdr:row>29</xdr:row>
                    <xdr:rowOff>19050</xdr:rowOff>
                  </from>
                  <to>
                    <xdr:col>8</xdr:col>
                    <xdr:colOff>571500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Macro21">
                <anchor moveWithCells="1" sizeWithCells="1">
                  <from>
                    <xdr:col>9</xdr:col>
                    <xdr:colOff>28575</xdr:colOff>
                    <xdr:row>25</xdr:row>
                    <xdr:rowOff>19050</xdr:rowOff>
                  </from>
                  <to>
                    <xdr:col>9</xdr:col>
                    <xdr:colOff>571500</xdr:colOff>
                    <xdr:row>29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Macro10">
                <anchor moveWithCells="1" sizeWithCells="1">
                  <from>
                    <xdr:col>8</xdr:col>
                    <xdr:colOff>28575</xdr:colOff>
                    <xdr:row>0</xdr:row>
                    <xdr:rowOff>19050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1" name="Button 15">
              <controlPr defaultSize="0" print="0" autoFill="0" autoPict="0" macro="[0]!Macro38">
                <anchor moveWithCells="1" sizeWithCells="1">
                  <from>
                    <xdr:col>4</xdr:col>
                    <xdr:colOff>19050</xdr:colOff>
                    <xdr:row>11</xdr:row>
                    <xdr:rowOff>9525</xdr:rowOff>
                  </from>
                  <to>
                    <xdr:col>4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2" name="Button 16">
              <controlPr defaultSize="0" print="0" autoFill="0" autoPict="0" macro="[0]!Macro39">
                <anchor moveWithCells="1" siz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7</xdr:col>
                    <xdr:colOff>600075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3" name="Button 17">
              <controlPr defaultSize="0" print="0" autoFill="0" autoPict="0" macro="[0]!Macro40">
                <anchor moveWithCells="1" sizeWithCells="1">
                  <from>
                    <xdr:col>4</xdr:col>
                    <xdr:colOff>38100</xdr:colOff>
                    <xdr:row>19</xdr:row>
                    <xdr:rowOff>9525</xdr:rowOff>
                  </from>
                  <to>
                    <xdr:col>4</xdr:col>
                    <xdr:colOff>600075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Button 18">
              <controlPr defaultSize="0" print="0" autoFill="0" autoPict="0" macro="[0]!Macro41">
                <anchor moveWithCells="1" sizeWithCells="1">
                  <from>
                    <xdr:col>7</xdr:col>
                    <xdr:colOff>19050</xdr:colOff>
                    <xdr:row>19</xdr:row>
                    <xdr:rowOff>28575</xdr:rowOff>
                  </from>
                  <to>
                    <xdr:col>7</xdr:col>
                    <xdr:colOff>590550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5" name="Button 20">
              <controlPr defaultSize="0" print="0" autoFill="0" autoPict="0" macro="[0]!Sezionica">
                <anchor moveWithCells="1" sizeWithCells="1">
                  <from>
                    <xdr:col>8</xdr:col>
                    <xdr:colOff>47625</xdr:colOff>
                    <xdr:row>13</xdr:row>
                    <xdr:rowOff>9525</xdr:rowOff>
                  </from>
                  <to>
                    <xdr:col>9</xdr:col>
                    <xdr:colOff>514350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6" name="Button 21">
              <controlPr defaultSize="0" print="0" autoFill="0" autoPict="0" macro="[0]!Sezioneacciaiodadue">
                <anchor moveWithCells="1" sizeWithCells="1">
                  <from>
                    <xdr:col>8</xdr:col>
                    <xdr:colOff>47625</xdr:colOff>
                    <xdr:row>16</xdr:row>
                    <xdr:rowOff>38100</xdr:rowOff>
                  </from>
                  <to>
                    <xdr:col>9</xdr:col>
                    <xdr:colOff>514350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BC3A9-9E78-41BA-9076-D99986E33C98}">
  <sheetPr codeName="Foglio33"/>
  <dimension ref="A1:BD99"/>
  <sheetViews>
    <sheetView showGridLines="0" topLeftCell="H18" zoomScale="85" zoomScaleNormal="85" workbookViewId="0">
      <selection activeCell="E26" sqref="E26"/>
    </sheetView>
  </sheetViews>
  <sheetFormatPr defaultColWidth="9.140625" defaultRowHeight="12" x14ac:dyDescent="0.2"/>
  <cols>
    <col min="1" max="1" width="9.140625" style="1"/>
    <col min="2" max="2" width="12.5703125" style="1" customWidth="1"/>
    <col min="3" max="3" width="8.28515625" style="1" bestFit="1" customWidth="1"/>
    <col min="4" max="7" width="9.140625" style="1"/>
    <col min="8" max="8" width="8.28515625" style="1" bestFit="1" customWidth="1"/>
    <col min="9" max="31" width="9.140625" style="1"/>
    <col min="32" max="50" width="9.140625" style="1" customWidth="1"/>
    <col min="51" max="16384" width="9.140625" style="1"/>
  </cols>
  <sheetData>
    <row r="1" spans="1:56" ht="15.75" customHeight="1" thickBot="1" x14ac:dyDescent="0.25">
      <c r="A1" s="334" t="s">
        <v>467</v>
      </c>
      <c r="B1" s="334"/>
      <c r="C1" s="334"/>
      <c r="D1" s="334"/>
      <c r="E1" s="334"/>
      <c r="F1" s="334"/>
      <c r="G1" s="334"/>
      <c r="H1" s="334"/>
      <c r="I1" s="334"/>
      <c r="J1" s="334"/>
      <c r="U1" s="2"/>
      <c r="AF1" s="2" t="s">
        <v>58</v>
      </c>
      <c r="AK1" s="2" t="s">
        <v>62</v>
      </c>
      <c r="AP1" s="2" t="s">
        <v>63</v>
      </c>
      <c r="AU1" s="2" t="s">
        <v>64</v>
      </c>
      <c r="AZ1" s="2" t="s">
        <v>65</v>
      </c>
    </row>
    <row r="2" spans="1:56" ht="14.25" customHeight="1" thickTop="1" x14ac:dyDescent="0.25">
      <c r="E2" s="12"/>
      <c r="AE2" s="327"/>
      <c r="AF2" s="329" t="s">
        <v>54</v>
      </c>
      <c r="AG2" s="39" t="s">
        <v>55</v>
      </c>
      <c r="AH2" s="39" t="s">
        <v>3</v>
      </c>
      <c r="AI2" s="39" t="s">
        <v>4</v>
      </c>
      <c r="AJ2" s="327"/>
      <c r="AK2" s="329" t="s">
        <v>54</v>
      </c>
      <c r="AL2" s="39" t="s">
        <v>55</v>
      </c>
      <c r="AM2" s="39" t="s">
        <v>3</v>
      </c>
      <c r="AN2" s="39" t="s">
        <v>4</v>
      </c>
      <c r="AP2" s="329" t="s">
        <v>54</v>
      </c>
      <c r="AQ2" s="39" t="s">
        <v>55</v>
      </c>
      <c r="AR2" s="39" t="s">
        <v>3</v>
      </c>
      <c r="AS2" s="39" t="s">
        <v>4</v>
      </c>
      <c r="AU2" s="329" t="s">
        <v>54</v>
      </c>
      <c r="AV2" s="39" t="s">
        <v>55</v>
      </c>
      <c r="AW2" s="39" t="s">
        <v>3</v>
      </c>
      <c r="AX2" s="39" t="s">
        <v>4</v>
      </c>
      <c r="AZ2" s="329" t="s">
        <v>54</v>
      </c>
      <c r="BA2" s="39" t="s">
        <v>55</v>
      </c>
      <c r="BB2" s="39" t="s">
        <v>3</v>
      </c>
      <c r="BC2" s="39" t="s">
        <v>4</v>
      </c>
    </row>
    <row r="3" spans="1:56" x14ac:dyDescent="0.2">
      <c r="AF3" s="328" t="s">
        <v>59</v>
      </c>
      <c r="AG3" s="328" t="s">
        <v>59</v>
      </c>
      <c r="AH3" s="328" t="s">
        <v>60</v>
      </c>
      <c r="AI3" s="328" t="s">
        <v>61</v>
      </c>
      <c r="AJ3" s="326"/>
      <c r="AK3" s="328" t="s">
        <v>59</v>
      </c>
      <c r="AL3" s="328" t="s">
        <v>59</v>
      </c>
      <c r="AM3" s="328" t="s">
        <v>60</v>
      </c>
      <c r="AN3" s="328" t="s">
        <v>61</v>
      </c>
      <c r="AP3" s="328" t="s">
        <v>59</v>
      </c>
      <c r="AQ3" s="328" t="s">
        <v>59</v>
      </c>
      <c r="AR3" s="328" t="s">
        <v>60</v>
      </c>
      <c r="AS3" s="328" t="s">
        <v>61</v>
      </c>
      <c r="AU3" s="328" t="s">
        <v>59</v>
      </c>
      <c r="AV3" s="328" t="s">
        <v>59</v>
      </c>
      <c r="AW3" s="328" t="s">
        <v>60</v>
      </c>
      <c r="AX3" s="328" t="s">
        <v>61</v>
      </c>
      <c r="AZ3" s="328" t="s">
        <v>59</v>
      </c>
      <c r="BA3" s="328" t="s">
        <v>59</v>
      </c>
      <c r="BB3" s="328" t="s">
        <v>60</v>
      </c>
      <c r="BC3" s="328" t="s">
        <v>61</v>
      </c>
    </row>
    <row r="4" spans="1:56" ht="12" customHeight="1" x14ac:dyDescent="0.2">
      <c r="D4" s="343" t="s">
        <v>465</v>
      </c>
      <c r="E4" s="343"/>
      <c r="F4" s="343"/>
      <c r="G4" s="343"/>
      <c r="H4" s="343"/>
      <c r="AE4" s="339" t="s">
        <v>56</v>
      </c>
      <c r="AF4" s="203">
        <f>AG4</f>
        <v>0</v>
      </c>
      <c r="AG4" s="203">
        <f>'CCC-car.1'!AD47</f>
        <v>0</v>
      </c>
      <c r="AH4" s="203">
        <f>'CCC-car.1'!AE47</f>
        <v>0</v>
      </c>
      <c r="AI4" s="203">
        <f>'CCC-car.1'!AF47</f>
        <v>0</v>
      </c>
      <c r="AJ4" s="339" t="s">
        <v>56</v>
      </c>
      <c r="AK4" s="203">
        <f>AF4</f>
        <v>0</v>
      </c>
      <c r="AL4" s="203">
        <f>'CCC-car.2'!AD47</f>
        <v>0</v>
      </c>
      <c r="AM4" s="203">
        <f>'CCC-car.2'!AE47</f>
        <v>0</v>
      </c>
      <c r="AN4" s="203">
        <f>'CCC-car.2'!AF47</f>
        <v>0</v>
      </c>
      <c r="AO4" s="339" t="s">
        <v>56</v>
      </c>
      <c r="AP4" s="203">
        <f>AF4</f>
        <v>0</v>
      </c>
      <c r="AQ4" s="203">
        <f>'CCC-car.3'!AD47</f>
        <v>0</v>
      </c>
      <c r="AR4" s="203">
        <f>'CCC-car.3'!AE47</f>
        <v>0</v>
      </c>
      <c r="AS4" s="203">
        <f>'CCC-car.3'!AF47</f>
        <v>0</v>
      </c>
      <c r="AT4" s="339" t="s">
        <v>56</v>
      </c>
      <c r="AU4" s="203">
        <f>AF4</f>
        <v>0</v>
      </c>
      <c r="AV4" s="203">
        <f>'CCC-car.4'!AD47</f>
        <v>0</v>
      </c>
      <c r="AW4" s="203">
        <f>'CCC-car.4'!AE47</f>
        <v>0</v>
      </c>
      <c r="AX4" s="203">
        <f>'CCC-car.4'!AF47</f>
        <v>0</v>
      </c>
      <c r="AY4" s="339" t="s">
        <v>56</v>
      </c>
      <c r="AZ4" s="203">
        <f>AF4</f>
        <v>0</v>
      </c>
      <c r="BA4" s="203">
        <f>'CCC-car.5'!AD47</f>
        <v>0</v>
      </c>
      <c r="BB4" s="203">
        <f>'CCC-car.5'!AE47</f>
        <v>0</v>
      </c>
      <c r="BC4" s="203">
        <f>'CCC-car.5'!AF47</f>
        <v>0</v>
      </c>
    </row>
    <row r="5" spans="1:56" x14ac:dyDescent="0.2">
      <c r="G5" s="3"/>
      <c r="AE5" s="339"/>
      <c r="AF5" s="201">
        <f t="shared" ref="AF5:AF7" si="0">AG5</f>
        <v>0</v>
      </c>
      <c r="AG5" s="201">
        <f>'CCC-car.1'!AD48</f>
        <v>0</v>
      </c>
      <c r="AH5" s="201">
        <f>'CCC-car.1'!AE48</f>
        <v>0</v>
      </c>
      <c r="AI5" s="201">
        <f>'CCC-car.1'!AF48</f>
        <v>0</v>
      </c>
      <c r="AJ5" s="339"/>
      <c r="AK5" s="201">
        <f t="shared" ref="AK5:AK38" si="1">AF5</f>
        <v>0</v>
      </c>
      <c r="AL5" s="201">
        <f>'CCC-car.2'!AD48</f>
        <v>0</v>
      </c>
      <c r="AM5" s="201">
        <f>'CCC-car.2'!AE48</f>
        <v>0</v>
      </c>
      <c r="AN5" s="201">
        <f>'CCC-car.2'!AF48</f>
        <v>0</v>
      </c>
      <c r="AO5" s="339"/>
      <c r="AP5" s="201">
        <f t="shared" ref="AP5:AP38" si="2">AF5</f>
        <v>0</v>
      </c>
      <c r="AQ5" s="201">
        <f>'CCC-car.3'!AD48</f>
        <v>0</v>
      </c>
      <c r="AR5" s="201">
        <f>'CCC-car.3'!AE48</f>
        <v>0</v>
      </c>
      <c r="AS5" s="201">
        <f>'CCC-car.3'!AF48</f>
        <v>0</v>
      </c>
      <c r="AT5" s="339"/>
      <c r="AU5" s="201">
        <f t="shared" ref="AU5:AU38" si="3">AF5</f>
        <v>0</v>
      </c>
      <c r="AV5" s="201">
        <f>'CCC-car.4'!AD48</f>
        <v>0</v>
      </c>
      <c r="AW5" s="201">
        <f>'CCC-car.4'!AE48</f>
        <v>0</v>
      </c>
      <c r="AX5" s="201">
        <f>'CCC-car.4'!AF48</f>
        <v>0</v>
      </c>
      <c r="AY5" s="339"/>
      <c r="AZ5" s="201">
        <f t="shared" ref="AZ5:AZ38" si="4">AF5</f>
        <v>0</v>
      </c>
      <c r="BA5" s="201">
        <f>'CCC-car.5'!AD48</f>
        <v>0</v>
      </c>
      <c r="BB5" s="201">
        <f>'CCC-car.5'!AE48</f>
        <v>0</v>
      </c>
      <c r="BC5" s="201">
        <f>'CCC-car.5'!AF48</f>
        <v>0</v>
      </c>
    </row>
    <row r="6" spans="1:56" x14ac:dyDescent="0.2">
      <c r="D6" s="340" t="s">
        <v>452</v>
      </c>
      <c r="E6" s="340"/>
      <c r="F6" s="340"/>
      <c r="G6" s="340"/>
      <c r="H6" s="340"/>
      <c r="AE6" s="339"/>
      <c r="AF6" s="201">
        <f t="shared" si="0"/>
        <v>0</v>
      </c>
      <c r="AG6" s="201">
        <f>'CCC-car.1'!AD49</f>
        <v>0</v>
      </c>
      <c r="AH6" s="201">
        <f>'CCC-car.1'!AE49</f>
        <v>0</v>
      </c>
      <c r="AI6" s="201">
        <f>'CCC-car.1'!AF49</f>
        <v>0</v>
      </c>
      <c r="AJ6" s="339"/>
      <c r="AK6" s="201">
        <f t="shared" si="1"/>
        <v>0</v>
      </c>
      <c r="AL6" s="201">
        <f>'CCC-car.2'!AD49</f>
        <v>0</v>
      </c>
      <c r="AM6" s="201">
        <f>'CCC-car.2'!AE49</f>
        <v>0</v>
      </c>
      <c r="AN6" s="201">
        <f>'CCC-car.2'!AF49</f>
        <v>0</v>
      </c>
      <c r="AO6" s="339"/>
      <c r="AP6" s="201">
        <f t="shared" si="2"/>
        <v>0</v>
      </c>
      <c r="AQ6" s="201">
        <f>'CCC-car.3'!AD49</f>
        <v>0</v>
      </c>
      <c r="AR6" s="201">
        <f>'CCC-car.3'!AE49</f>
        <v>0</v>
      </c>
      <c r="AS6" s="201">
        <f>'CCC-car.3'!AF49</f>
        <v>0</v>
      </c>
      <c r="AT6" s="339"/>
      <c r="AU6" s="201">
        <f t="shared" si="3"/>
        <v>0</v>
      </c>
      <c r="AV6" s="201">
        <f>'CCC-car.4'!AD49</f>
        <v>0</v>
      </c>
      <c r="AW6" s="201">
        <f>'CCC-car.4'!AE49</f>
        <v>0</v>
      </c>
      <c r="AX6" s="201">
        <f>'CCC-car.4'!AF49</f>
        <v>0</v>
      </c>
      <c r="AY6" s="339"/>
      <c r="AZ6" s="201">
        <f t="shared" si="4"/>
        <v>0</v>
      </c>
      <c r="BA6" s="201">
        <f>'CCC-car.5'!AD49</f>
        <v>0</v>
      </c>
      <c r="BB6" s="201">
        <f>'CCC-car.5'!AE49</f>
        <v>0</v>
      </c>
      <c r="BC6" s="201">
        <f>'CCC-car.5'!AF49</f>
        <v>0</v>
      </c>
    </row>
    <row r="7" spans="1:56" ht="12" customHeight="1" x14ac:dyDescent="0.2">
      <c r="AE7" s="339"/>
      <c r="AF7" s="204">
        <f t="shared" si="0"/>
        <v>0</v>
      </c>
      <c r="AG7" s="204">
        <f>'CCC-car.1'!AD50</f>
        <v>0</v>
      </c>
      <c r="AH7" s="204">
        <f>'CCC-car.1'!AE50</f>
        <v>0</v>
      </c>
      <c r="AI7" s="204">
        <f>'CCC-car.1'!AF50</f>
        <v>0</v>
      </c>
      <c r="AJ7" s="339"/>
      <c r="AK7" s="204">
        <f t="shared" si="1"/>
        <v>0</v>
      </c>
      <c r="AL7" s="204">
        <f>'CCC-car.2'!AD50</f>
        <v>0</v>
      </c>
      <c r="AM7" s="204">
        <f>'CCC-car.2'!AE50</f>
        <v>0</v>
      </c>
      <c r="AN7" s="204">
        <f>'CCC-car.2'!AF50</f>
        <v>0</v>
      </c>
      <c r="AO7" s="339"/>
      <c r="AP7" s="204">
        <f t="shared" si="2"/>
        <v>0</v>
      </c>
      <c r="AQ7" s="204">
        <f>'CCC-car.3'!AD50</f>
        <v>0</v>
      </c>
      <c r="AR7" s="204">
        <f>'CCC-car.3'!AE50</f>
        <v>0</v>
      </c>
      <c r="AS7" s="204">
        <f>'CCC-car.3'!AF50</f>
        <v>0</v>
      </c>
      <c r="AT7" s="339"/>
      <c r="AU7" s="204">
        <f t="shared" si="3"/>
        <v>0</v>
      </c>
      <c r="AV7" s="204">
        <f>'CCC-car.4'!AD50</f>
        <v>0</v>
      </c>
      <c r="AW7" s="204">
        <f>'CCC-car.4'!AE50</f>
        <v>0</v>
      </c>
      <c r="AX7" s="204">
        <f>'CCC-car.4'!AF50</f>
        <v>0</v>
      </c>
      <c r="AY7" s="339"/>
      <c r="AZ7" s="204">
        <f t="shared" si="4"/>
        <v>0</v>
      </c>
      <c r="BA7" s="204">
        <f>'CCC-car.5'!AD50</f>
        <v>0</v>
      </c>
      <c r="BB7" s="204">
        <f>'CCC-car.5'!AE50</f>
        <v>0</v>
      </c>
      <c r="BC7" s="204">
        <f>'CCC-car.5'!AF50</f>
        <v>0</v>
      </c>
    </row>
    <row r="8" spans="1:56" ht="12" customHeight="1" x14ac:dyDescent="0.2">
      <c r="AE8" s="338" t="s">
        <v>30</v>
      </c>
      <c r="AF8" s="203">
        <f t="shared" ref="AF8:AF16" si="5">AG8-$AG$7</f>
        <v>0</v>
      </c>
      <c r="AG8" s="203">
        <f>'CCC-car.1'!AD51</f>
        <v>0</v>
      </c>
      <c r="AH8" s="203">
        <f>'CCC-car.1'!AE51</f>
        <v>0</v>
      </c>
      <c r="AI8" s="203">
        <f>'CCC-car.1'!AF51</f>
        <v>61.322442602040823</v>
      </c>
      <c r="AJ8" s="338" t="s">
        <v>30</v>
      </c>
      <c r="AK8" s="203">
        <f t="shared" si="1"/>
        <v>0</v>
      </c>
      <c r="AL8" s="203">
        <f>'CCC-car.2'!AD51</f>
        <v>0</v>
      </c>
      <c r="AM8" s="203">
        <f>'CCC-car.2'!AE51</f>
        <v>0</v>
      </c>
      <c r="AN8" s="203">
        <f>'CCC-car.2'!AF51</f>
        <v>40.787748724489788</v>
      </c>
      <c r="AO8" s="338" t="s">
        <v>30</v>
      </c>
      <c r="AP8" s="203">
        <f t="shared" si="2"/>
        <v>0</v>
      </c>
      <c r="AQ8" s="203">
        <f>'CCC-car.3'!AD51</f>
        <v>0</v>
      </c>
      <c r="AR8" s="203">
        <f>'CCC-car.3'!AE51</f>
        <v>0</v>
      </c>
      <c r="AS8" s="203">
        <f>'CCC-car.3'!AF51</f>
        <v>66.067525510204092</v>
      </c>
      <c r="AT8" s="338" t="s">
        <v>30</v>
      </c>
      <c r="AU8" s="203">
        <f t="shared" si="3"/>
        <v>0</v>
      </c>
      <c r="AV8" s="203">
        <f>'CCC-car.4'!AD51</f>
        <v>0</v>
      </c>
      <c r="AW8" s="203">
        <f>'CCC-car.4'!AE51</f>
        <v>0</v>
      </c>
      <c r="AX8" s="203">
        <f>'CCC-car.4'!AF51</f>
        <v>41.531391959561603</v>
      </c>
      <c r="AY8" s="338" t="s">
        <v>30</v>
      </c>
      <c r="AZ8" s="203">
        <f t="shared" si="4"/>
        <v>0</v>
      </c>
      <c r="BA8" s="203">
        <f>'CCC-car.5'!AD51</f>
        <v>0</v>
      </c>
      <c r="BB8" s="203">
        <f>'CCC-car.5'!AE51</f>
        <v>0</v>
      </c>
      <c r="BC8" s="203">
        <f>'CCC-car.5'!AF51</f>
        <v>60.578799366969008</v>
      </c>
    </row>
    <row r="9" spans="1:56" x14ac:dyDescent="0.2">
      <c r="AE9" s="338"/>
      <c r="AF9" s="201">
        <f t="shared" si="5"/>
        <v>0.5</v>
      </c>
      <c r="AG9" s="201">
        <f>'CCC-car.1'!AD52</f>
        <v>0.5</v>
      </c>
      <c r="AH9" s="201">
        <f>'CCC-car.1'!AE52</f>
        <v>25.23372130102041</v>
      </c>
      <c r="AI9" s="201">
        <f>'CCC-car.1'!AF52</f>
        <v>39.612442602040822</v>
      </c>
      <c r="AJ9" s="338"/>
      <c r="AK9" s="201">
        <f t="shared" si="1"/>
        <v>0.5</v>
      </c>
      <c r="AL9" s="201">
        <f>'CCC-car.2'!AD52</f>
        <v>0.5</v>
      </c>
      <c r="AM9" s="201">
        <f>'CCC-car.2'!AE52</f>
        <v>16.363874362244893</v>
      </c>
      <c r="AN9" s="201">
        <f>'CCC-car.2'!AF52</f>
        <v>24.66774872448979</v>
      </c>
      <c r="AO9" s="338"/>
      <c r="AP9" s="201">
        <f t="shared" si="2"/>
        <v>0.5</v>
      </c>
      <c r="AQ9" s="201">
        <f>'CCC-car.3'!AD52</f>
        <v>0.5</v>
      </c>
      <c r="AR9" s="201">
        <f>'CCC-car.3'!AE52</f>
        <v>27.606262755102044</v>
      </c>
      <c r="AS9" s="201">
        <f>'CCC-car.3'!AF52</f>
        <v>44.357525510204091</v>
      </c>
      <c r="AT9" s="338"/>
      <c r="AU9" s="201">
        <f t="shared" si="3"/>
        <v>0.5</v>
      </c>
      <c r="AV9" s="201">
        <f>'CCC-car.4'!AD52</f>
        <v>0.5</v>
      </c>
      <c r="AW9" s="201">
        <f>'CCC-car.4'!AE52</f>
        <v>16.7356959797808</v>
      </c>
      <c r="AX9" s="201">
        <f>'CCC-car.4'!AF52</f>
        <v>25.411391959561605</v>
      </c>
      <c r="AY9" s="338"/>
      <c r="AZ9" s="201">
        <f t="shared" si="4"/>
        <v>0.5</v>
      </c>
      <c r="BA9" s="201">
        <f>'CCC-car.5'!AD52</f>
        <v>0.5</v>
      </c>
      <c r="BB9" s="201">
        <f>'CCC-car.5'!AE52</f>
        <v>24.861899683484502</v>
      </c>
      <c r="BC9" s="201">
        <f>'CCC-car.5'!AF52</f>
        <v>38.868799366969007</v>
      </c>
    </row>
    <row r="10" spans="1:56" x14ac:dyDescent="0.2">
      <c r="B10" s="286"/>
      <c r="C10" s="286"/>
      <c r="D10" s="343" t="s">
        <v>466</v>
      </c>
      <c r="E10" s="343"/>
      <c r="F10" s="343"/>
      <c r="G10" s="343"/>
      <c r="H10" s="343"/>
      <c r="AE10" s="338"/>
      <c r="AF10" s="201">
        <f t="shared" si="5"/>
        <v>1</v>
      </c>
      <c r="AG10" s="201">
        <f>'CCC-car.1'!AD53</f>
        <v>1</v>
      </c>
      <c r="AH10" s="201">
        <f>'CCC-car.1'!AE53</f>
        <v>39.612442602040822</v>
      </c>
      <c r="AI10" s="201">
        <f>'CCC-car.1'!AF53</f>
        <v>17.902442602040821</v>
      </c>
      <c r="AJ10" s="338"/>
      <c r="AK10" s="201">
        <f t="shared" si="1"/>
        <v>1</v>
      </c>
      <c r="AL10" s="201">
        <f>'CCC-car.2'!AD53</f>
        <v>1</v>
      </c>
      <c r="AM10" s="201">
        <f>'CCC-car.2'!AE53</f>
        <v>24.66774872448979</v>
      </c>
      <c r="AN10" s="201">
        <f>'CCC-car.2'!AF53</f>
        <v>8.5477487244897929</v>
      </c>
      <c r="AO10" s="338"/>
      <c r="AP10" s="201">
        <f t="shared" si="2"/>
        <v>1</v>
      </c>
      <c r="AQ10" s="201">
        <f>'CCC-car.3'!AD53</f>
        <v>1</v>
      </c>
      <c r="AR10" s="201">
        <f>'CCC-car.3'!AE53</f>
        <v>44.357525510204091</v>
      </c>
      <c r="AS10" s="201">
        <f>'CCC-car.3'!AF53</f>
        <v>22.64752551020409</v>
      </c>
      <c r="AT10" s="338"/>
      <c r="AU10" s="201">
        <f t="shared" si="3"/>
        <v>1</v>
      </c>
      <c r="AV10" s="201">
        <f>'CCC-car.4'!AD53</f>
        <v>1</v>
      </c>
      <c r="AW10" s="201">
        <f>'CCC-car.4'!AE53</f>
        <v>25.411391959561605</v>
      </c>
      <c r="AX10" s="201">
        <f>'CCC-car.4'!AF53</f>
        <v>9.2913919595616079</v>
      </c>
      <c r="AY10" s="338"/>
      <c r="AZ10" s="201">
        <f t="shared" si="4"/>
        <v>1</v>
      </c>
      <c r="BA10" s="201">
        <f>'CCC-car.5'!AD53</f>
        <v>1</v>
      </c>
      <c r="BB10" s="201">
        <f>'CCC-car.5'!AE53</f>
        <v>38.868799366969007</v>
      </c>
      <c r="BC10" s="201">
        <f>'CCC-car.5'!AF53</f>
        <v>17.158799366969006</v>
      </c>
    </row>
    <row r="11" spans="1:56" x14ac:dyDescent="0.2">
      <c r="B11" s="304"/>
      <c r="C11" s="304"/>
      <c r="D11" s="304"/>
      <c r="E11" s="304"/>
      <c r="F11" s="304"/>
      <c r="G11" s="304"/>
      <c r="H11" s="304"/>
      <c r="AE11" s="338"/>
      <c r="AF11" s="201">
        <f t="shared" si="5"/>
        <v>1.5</v>
      </c>
      <c r="AG11" s="201">
        <f>'CCC-car.1'!AD54</f>
        <v>1.5</v>
      </c>
      <c r="AH11" s="201">
        <f>'CCC-car.1'!AE54</f>
        <v>43.136163903061224</v>
      </c>
      <c r="AI11" s="201">
        <f>'CCC-car.1'!AF54</f>
        <v>-3.8075573979591724</v>
      </c>
      <c r="AJ11" s="338"/>
      <c r="AK11" s="201">
        <f t="shared" si="1"/>
        <v>1.5</v>
      </c>
      <c r="AL11" s="201">
        <f>'CCC-car.2'!AD54</f>
        <v>1.5</v>
      </c>
      <c r="AM11" s="201">
        <f>'CCC-car.2'!AE54</f>
        <v>24.911623086734686</v>
      </c>
      <c r="AN11" s="201">
        <f>'CCC-car.2'!AF54</f>
        <v>-7.5722512755102045</v>
      </c>
      <c r="AO11" s="338"/>
      <c r="AP11" s="201">
        <f t="shared" si="2"/>
        <v>1.5</v>
      </c>
      <c r="AQ11" s="201">
        <f>'CCC-car.3'!AD54</f>
        <v>1.5</v>
      </c>
      <c r="AR11" s="201">
        <f>'CCC-car.3'!AE54</f>
        <v>50.253788265306135</v>
      </c>
      <c r="AS11" s="201">
        <f>'CCC-car.3'!AF54</f>
        <v>0.93752551020409669</v>
      </c>
      <c r="AT11" s="338"/>
      <c r="AU11" s="201">
        <f t="shared" si="3"/>
        <v>1.5</v>
      </c>
      <c r="AV11" s="201">
        <f>'CCC-car.4'!AD54</f>
        <v>1.5</v>
      </c>
      <c r="AW11" s="201">
        <f>'CCC-car.4'!AE54</f>
        <v>26.027087939342408</v>
      </c>
      <c r="AX11" s="201">
        <f>'CCC-car.4'!AF54</f>
        <v>-6.8286080404383895</v>
      </c>
      <c r="AY11" s="338"/>
      <c r="AZ11" s="201">
        <f t="shared" si="4"/>
        <v>1.5</v>
      </c>
      <c r="BA11" s="201">
        <f>'CCC-car.5'!AD54</f>
        <v>1.5</v>
      </c>
      <c r="BB11" s="201">
        <f>'CCC-car.5'!AE54</f>
        <v>42.020699050453509</v>
      </c>
      <c r="BC11" s="201">
        <f>'CCC-car.5'!AF54</f>
        <v>-4.5512006330309873</v>
      </c>
    </row>
    <row r="12" spans="1:56" x14ac:dyDescent="0.2">
      <c r="B12" s="303"/>
      <c r="C12" s="303"/>
      <c r="D12" s="303"/>
      <c r="E12" s="303"/>
      <c r="F12" s="303"/>
      <c r="G12" s="303"/>
      <c r="H12" s="280"/>
      <c r="AE12" s="338"/>
      <c r="AF12" s="201">
        <f t="shared" si="5"/>
        <v>2</v>
      </c>
      <c r="AG12" s="201">
        <f>'CCC-car.1'!AD55</f>
        <v>2</v>
      </c>
      <c r="AH12" s="201">
        <f>'CCC-car.1'!AE55</f>
        <v>35.804885204081643</v>
      </c>
      <c r="AI12" s="201">
        <f>'CCC-car.1'!AF55</f>
        <v>-25.51755739795918</v>
      </c>
      <c r="AJ12" s="338"/>
      <c r="AK12" s="201">
        <f t="shared" si="1"/>
        <v>2</v>
      </c>
      <c r="AL12" s="201">
        <f>'CCC-car.2'!AD55</f>
        <v>2</v>
      </c>
      <c r="AM12" s="201">
        <f>'CCC-car.2'!AE55</f>
        <v>17.095497448979586</v>
      </c>
      <c r="AN12" s="201">
        <f>'CCC-car.2'!AF55</f>
        <v>-23.692251275510202</v>
      </c>
      <c r="AO12" s="338"/>
      <c r="AP12" s="201">
        <f t="shared" si="2"/>
        <v>2</v>
      </c>
      <c r="AQ12" s="201">
        <f>'CCC-car.3'!AD55</f>
        <v>2</v>
      </c>
      <c r="AR12" s="201">
        <f>'CCC-car.3'!AE55</f>
        <v>45.295051020408181</v>
      </c>
      <c r="AS12" s="201">
        <f>'CCC-car.3'!AF55</f>
        <v>-20.772474489795911</v>
      </c>
      <c r="AT12" s="338"/>
      <c r="AU12" s="201">
        <f t="shared" si="3"/>
        <v>2</v>
      </c>
      <c r="AV12" s="201">
        <f>'CCC-car.4'!AD55</f>
        <v>2</v>
      </c>
      <c r="AW12" s="201">
        <f>'CCC-car.4'!AE55</f>
        <v>18.582783919123216</v>
      </c>
      <c r="AX12" s="201">
        <f>'CCC-car.4'!AF55</f>
        <v>-22.948608040438387</v>
      </c>
      <c r="AY12" s="338"/>
      <c r="AZ12" s="201">
        <f t="shared" si="4"/>
        <v>2</v>
      </c>
      <c r="BA12" s="201">
        <f>'CCC-car.5'!AD55</f>
        <v>2</v>
      </c>
      <c r="BB12" s="201">
        <f>'CCC-car.5'!AE55</f>
        <v>34.317598733938013</v>
      </c>
      <c r="BC12" s="201">
        <f>'CCC-car.5'!AF55</f>
        <v>-26.261200633030995</v>
      </c>
    </row>
    <row r="13" spans="1:56" x14ac:dyDescent="0.2">
      <c r="B13" s="252" t="s">
        <v>451</v>
      </c>
      <c r="C13" s="254"/>
      <c r="D13" s="257" t="s">
        <v>453</v>
      </c>
      <c r="E13" s="254" t="s">
        <v>454</v>
      </c>
      <c r="F13" s="254" t="s">
        <v>455</v>
      </c>
      <c r="G13" s="254" t="s">
        <v>456</v>
      </c>
      <c r="H13" s="257" t="s">
        <v>458</v>
      </c>
      <c r="AE13" s="338"/>
      <c r="AF13" s="201">
        <f t="shared" si="5"/>
        <v>2.5</v>
      </c>
      <c r="AG13" s="201">
        <f>'CCC-car.1'!AD56</f>
        <v>2.5</v>
      </c>
      <c r="AH13" s="201">
        <f>'CCC-car.1'!AE56</f>
        <v>17.618606505102065</v>
      </c>
      <c r="AI13" s="201">
        <f>'CCC-car.1'!AF56</f>
        <v>-47.227557397959188</v>
      </c>
      <c r="AJ13" s="338"/>
      <c r="AK13" s="201">
        <f t="shared" si="1"/>
        <v>2.5</v>
      </c>
      <c r="AL13" s="201">
        <f>'CCC-car.2'!AD56</f>
        <v>2.5</v>
      </c>
      <c r="AM13" s="201">
        <f>'CCC-car.2'!AE56</f>
        <v>1.2193718112244909</v>
      </c>
      <c r="AN13" s="201">
        <f>'CCC-car.2'!AF56</f>
        <v>-39.812251275510206</v>
      </c>
      <c r="AO13" s="338"/>
      <c r="AP13" s="201">
        <f t="shared" si="2"/>
        <v>2.5</v>
      </c>
      <c r="AQ13" s="201">
        <f>'CCC-car.3'!AD56</f>
        <v>2.5</v>
      </c>
      <c r="AR13" s="201">
        <f>'CCC-car.3'!AE56</f>
        <v>29.481313775510216</v>
      </c>
      <c r="AS13" s="201">
        <f>'CCC-car.3'!AF56</f>
        <v>-42.482474489795919</v>
      </c>
      <c r="AT13" s="338"/>
      <c r="AU13" s="201">
        <f t="shared" si="3"/>
        <v>2.5</v>
      </c>
      <c r="AV13" s="201">
        <f>'CCC-car.4'!AD56</f>
        <v>2.5</v>
      </c>
      <c r="AW13" s="201">
        <f>'CCC-car.4'!AE56</f>
        <v>3.0784798989040212</v>
      </c>
      <c r="AX13" s="201">
        <f>'CCC-car.4'!AF56</f>
        <v>-39.068608040438392</v>
      </c>
      <c r="AY13" s="338"/>
      <c r="AZ13" s="201">
        <f t="shared" si="4"/>
        <v>2.5</v>
      </c>
      <c r="BA13" s="201">
        <f>'CCC-car.5'!AD56</f>
        <v>2.5</v>
      </c>
      <c r="BB13" s="201">
        <f>'CCC-car.5'!AE56</f>
        <v>15.75949841742252</v>
      </c>
      <c r="BC13" s="201">
        <f>'CCC-car.5'!AF56</f>
        <v>-47.971200633031003</v>
      </c>
    </row>
    <row r="14" spans="1:56" x14ac:dyDescent="0.2">
      <c r="D14" s="330" t="s">
        <v>464</v>
      </c>
      <c r="H14" s="330" t="s">
        <v>464</v>
      </c>
      <c r="AE14" s="338"/>
      <c r="AF14" s="201">
        <f t="shared" si="5"/>
        <v>3</v>
      </c>
      <c r="AG14" s="201">
        <f>'CCC-car.1'!AD57</f>
        <v>3</v>
      </c>
      <c r="AH14" s="201">
        <f>'CCC-car.1'!AE57</f>
        <v>-11.42267219387756</v>
      </c>
      <c r="AI14" s="201">
        <f>'CCC-car.1'!AF57</f>
        <v>-68.937557397959168</v>
      </c>
      <c r="AJ14" s="338"/>
      <c r="AK14" s="201">
        <f t="shared" si="1"/>
        <v>3</v>
      </c>
      <c r="AL14" s="201">
        <f>'CCC-car.2'!AD57</f>
        <v>3</v>
      </c>
      <c r="AM14" s="201">
        <f>'CCC-car.2'!AE57</f>
        <v>-22.716753826530621</v>
      </c>
      <c r="AN14" s="201">
        <f>'CCC-car.2'!AF57</f>
        <v>-55.932251275510197</v>
      </c>
      <c r="AO14" s="338"/>
      <c r="AP14" s="201">
        <f t="shared" si="2"/>
        <v>3</v>
      </c>
      <c r="AQ14" s="201">
        <f>'CCC-car.3'!AD57</f>
        <v>3</v>
      </c>
      <c r="AR14" s="201">
        <f>'CCC-car.3'!AE57</f>
        <v>2.8125765306122616</v>
      </c>
      <c r="AS14" s="201">
        <f>'CCC-car.3'!AF57</f>
        <v>-64.192474489795899</v>
      </c>
      <c r="AT14" s="338"/>
      <c r="AU14" s="201">
        <f t="shared" si="3"/>
        <v>3</v>
      </c>
      <c r="AV14" s="201">
        <f>'CCC-car.4'!AD57</f>
        <v>3</v>
      </c>
      <c r="AW14" s="201">
        <f>'CCC-car.4'!AE57</f>
        <v>-20.485824121315176</v>
      </c>
      <c r="AX14" s="201">
        <f>'CCC-car.4'!AF57</f>
        <v>-55.188608040438382</v>
      </c>
      <c r="AY14" s="338"/>
      <c r="AZ14" s="201">
        <f t="shared" si="4"/>
        <v>3</v>
      </c>
      <c r="BA14" s="201">
        <f>'CCC-car.5'!AD57</f>
        <v>3</v>
      </c>
      <c r="BB14" s="201">
        <f>'CCC-car.5'!AE57</f>
        <v>-13.65360189909299</v>
      </c>
      <c r="BC14" s="201">
        <f>'CCC-car.5'!AF57</f>
        <v>-69.681200633030983</v>
      </c>
    </row>
    <row r="15" spans="1:56" x14ac:dyDescent="0.2">
      <c r="B15" s="252" t="s">
        <v>447</v>
      </c>
      <c r="C15" s="332" t="s">
        <v>449</v>
      </c>
      <c r="D15" s="278">
        <v>0</v>
      </c>
      <c r="E15" s="278">
        <v>4</v>
      </c>
      <c r="F15" s="278">
        <v>5.5</v>
      </c>
      <c r="G15" s="278">
        <v>4</v>
      </c>
      <c r="H15" s="278">
        <v>0</v>
      </c>
      <c r="AE15" s="338"/>
      <c r="AF15" s="201">
        <f t="shared" si="5"/>
        <v>3.5</v>
      </c>
      <c r="AG15" s="201">
        <f>'CCC-car.1'!AD58</f>
        <v>3.5</v>
      </c>
      <c r="AH15" s="201">
        <f>'CCC-car.1'!AE58</f>
        <v>-51.318950892857117</v>
      </c>
      <c r="AI15" s="201">
        <f>'CCC-car.1'!AF58</f>
        <v>-90.647557397959176</v>
      </c>
      <c r="AJ15" s="338"/>
      <c r="AK15" s="201">
        <f t="shared" si="1"/>
        <v>3.5</v>
      </c>
      <c r="AL15" s="201">
        <f>'CCC-car.2'!AD58</f>
        <v>3.5</v>
      </c>
      <c r="AM15" s="201">
        <f>'CCC-car.2'!AE58</f>
        <v>-54.71287946428572</v>
      </c>
      <c r="AN15" s="201">
        <f>'CCC-car.2'!AF58</f>
        <v>-72.052251275510187</v>
      </c>
      <c r="AO15" s="338"/>
      <c r="AP15" s="201">
        <f t="shared" si="2"/>
        <v>3.5</v>
      </c>
      <c r="AQ15" s="201">
        <f>'CCC-car.3'!AD58</f>
        <v>3.5</v>
      </c>
      <c r="AR15" s="201">
        <f>'CCC-car.3'!AE58</f>
        <v>-34.711160714285654</v>
      </c>
      <c r="AS15" s="201">
        <f>'CCC-car.3'!AF58</f>
        <v>-85.902474489795907</v>
      </c>
      <c r="AT15" s="338"/>
      <c r="AU15" s="201">
        <f t="shared" si="3"/>
        <v>3.5</v>
      </c>
      <c r="AV15" s="201">
        <f>'CCC-car.4'!AD58</f>
        <v>3.5</v>
      </c>
      <c r="AW15" s="201">
        <f>'CCC-car.4'!AE58</f>
        <v>-52.110128141534346</v>
      </c>
      <c r="AX15" s="201">
        <f>'CCC-car.4'!AF58</f>
        <v>-71.308608040438372</v>
      </c>
      <c r="AY15" s="338"/>
      <c r="AZ15" s="201">
        <f t="shared" si="4"/>
        <v>3.5</v>
      </c>
      <c r="BA15" s="201">
        <f>'CCC-car.5'!AD58</f>
        <v>3.5</v>
      </c>
      <c r="BB15" s="201">
        <f>'CCC-car.5'!AE58</f>
        <v>-53.921702215608462</v>
      </c>
      <c r="BC15" s="201">
        <f>'CCC-car.5'!AF58</f>
        <v>-91.391200633030991</v>
      </c>
    </row>
    <row r="16" spans="1:56" s="333" customFormat="1" ht="13.5" customHeight="1" x14ac:dyDescent="0.2">
      <c r="B16" s="252" t="s">
        <v>450</v>
      </c>
      <c r="C16" s="42"/>
      <c r="D16" s="279" t="s">
        <v>448</v>
      </c>
      <c r="E16" s="346" t="str">
        <f>D6</f>
        <v>ca</v>
      </c>
      <c r="F16" s="346"/>
      <c r="G16" s="346"/>
      <c r="H16" s="279" t="s">
        <v>448</v>
      </c>
      <c r="U16" s="18"/>
      <c r="AE16" s="338"/>
      <c r="AF16" s="204">
        <f t="shared" si="5"/>
        <v>4</v>
      </c>
      <c r="AG16" s="204">
        <f>'CCC-car.1'!AD59</f>
        <v>4</v>
      </c>
      <c r="AH16" s="201">
        <f>'CCC-car.1'!AE59</f>
        <v>-102.07022959183672</v>
      </c>
      <c r="AI16" s="204">
        <f>'CCC-car.1'!AF59</f>
        <v>-112.35755739795918</v>
      </c>
      <c r="AJ16" s="338"/>
      <c r="AK16" s="204">
        <f t="shared" si="1"/>
        <v>4</v>
      </c>
      <c r="AL16" s="204">
        <f>'CCC-car.2'!AD59</f>
        <v>4</v>
      </c>
      <c r="AM16" s="204">
        <f>'CCC-car.2'!AE59</f>
        <v>-94.769005102040808</v>
      </c>
      <c r="AN16" s="204">
        <f>'CCC-car.2'!AF59</f>
        <v>-88.172251275510192</v>
      </c>
      <c r="AO16" s="338"/>
      <c r="AP16" s="204">
        <f t="shared" si="2"/>
        <v>4</v>
      </c>
      <c r="AQ16" s="204">
        <f>'CCC-car.3'!AD59</f>
        <v>4</v>
      </c>
      <c r="AR16" s="204">
        <f>'CCC-car.3'!AE59</f>
        <v>-83.089897959183645</v>
      </c>
      <c r="AS16" s="204">
        <f>'CCC-car.3'!AF59</f>
        <v>-107.61247448979591</v>
      </c>
      <c r="AT16" s="338"/>
      <c r="AU16" s="204">
        <f t="shared" si="3"/>
        <v>4</v>
      </c>
      <c r="AV16" s="204">
        <f>'CCC-car.4'!AD59</f>
        <v>4</v>
      </c>
      <c r="AW16" s="204">
        <f>'CCC-car.4'!AE59</f>
        <v>-91.794432161753548</v>
      </c>
      <c r="AX16" s="204">
        <f>'CCC-car.4'!AF59</f>
        <v>-87.428608040438377</v>
      </c>
      <c r="AY16" s="338"/>
      <c r="AZ16" s="204">
        <f t="shared" si="4"/>
        <v>4</v>
      </c>
      <c r="BA16" s="204">
        <f>'CCC-car.5'!AD59</f>
        <v>4</v>
      </c>
      <c r="BB16" s="204">
        <f>'CCC-car.5'!AE59</f>
        <v>-105.04480253212398</v>
      </c>
      <c r="BC16" s="204">
        <f>'CCC-car.5'!AF59</f>
        <v>-113.101200633031</v>
      </c>
      <c r="BD16" s="1"/>
    </row>
    <row r="17" spans="2:56" s="333" customFormat="1" ht="12" customHeight="1" x14ac:dyDescent="0.2">
      <c r="B17" s="252" t="s">
        <v>127</v>
      </c>
      <c r="C17" s="42"/>
      <c r="D17" s="330" t="s">
        <v>464</v>
      </c>
      <c r="E17" s="330" t="s">
        <v>475</v>
      </c>
      <c r="F17" s="330" t="s">
        <v>475</v>
      </c>
      <c r="G17" s="330" t="s">
        <v>475</v>
      </c>
      <c r="H17" s="330"/>
      <c r="AE17" s="339" t="s">
        <v>72</v>
      </c>
      <c r="AF17" s="205">
        <f t="shared" ref="AF17:AF25" si="6">AG17-$AG$16</f>
        <v>0</v>
      </c>
      <c r="AG17" s="203">
        <f>'CCC-car.1'!AD60</f>
        <v>4</v>
      </c>
      <c r="AH17" s="203">
        <f>'CCC-car.1'!AE60</f>
        <v>-102.07022959183672</v>
      </c>
      <c r="AI17" s="203">
        <f>'CCC-car.1'!AF60</f>
        <v>119.40499999999999</v>
      </c>
      <c r="AJ17" s="339" t="s">
        <v>72</v>
      </c>
      <c r="AK17" s="205">
        <f t="shared" si="1"/>
        <v>0</v>
      </c>
      <c r="AL17" s="203">
        <f>'CCC-car.2'!AD60</f>
        <v>4</v>
      </c>
      <c r="AM17" s="203">
        <f>'CCC-car.2'!AE60</f>
        <v>-94.769005102040808</v>
      </c>
      <c r="AN17" s="203">
        <f>'CCC-car.2'!AF60</f>
        <v>119.40499999999999</v>
      </c>
      <c r="AO17" s="339" t="s">
        <v>72</v>
      </c>
      <c r="AP17" s="205">
        <f t="shared" si="2"/>
        <v>0</v>
      </c>
      <c r="AQ17" s="203">
        <f>'CCC-car.3'!AD60</f>
        <v>4</v>
      </c>
      <c r="AR17" s="203">
        <f>'CCC-car.3'!AE60</f>
        <v>-83.089897959183673</v>
      </c>
      <c r="AS17" s="203">
        <f>'CCC-car.3'!AF60</f>
        <v>88.659999999999982</v>
      </c>
      <c r="AT17" s="339" t="s">
        <v>72</v>
      </c>
      <c r="AU17" s="205">
        <f t="shared" si="3"/>
        <v>0</v>
      </c>
      <c r="AV17" s="203">
        <f>'CCC-car.4'!AD60</f>
        <v>4</v>
      </c>
      <c r="AW17" s="203">
        <f>'CCC-car.4'!AE60</f>
        <v>-91.794432161753576</v>
      </c>
      <c r="AX17" s="203">
        <f>'CCC-car.4'!AF60</f>
        <v>116.99584175084173</v>
      </c>
      <c r="AY17" s="339" t="s">
        <v>72</v>
      </c>
      <c r="AZ17" s="205">
        <f t="shared" si="4"/>
        <v>0</v>
      </c>
      <c r="BA17" s="203">
        <f>'CCC-car.5'!AD60</f>
        <v>4</v>
      </c>
      <c r="BB17" s="203">
        <f>'CCC-car.5'!AE60</f>
        <v>-105.04480253212395</v>
      </c>
      <c r="BC17" s="203">
        <f>'CCC-car.5'!AF60</f>
        <v>121.81415824915825</v>
      </c>
      <c r="BD17" s="1"/>
    </row>
    <row r="18" spans="2:56" s="333" customFormat="1" x14ac:dyDescent="0.2">
      <c r="B18" s="252" t="s">
        <v>460</v>
      </c>
      <c r="C18" s="332" t="s">
        <v>446</v>
      </c>
      <c r="D18" s="201" t="str">
        <f>IF($D16=$I$69,VLOOKUP($D17,matca,2,0),IF($D16=$I$70,VLOOKUP($D17,matacciaio,3,0),""))</f>
        <v/>
      </c>
      <c r="E18" s="201">
        <v>0</v>
      </c>
      <c r="F18" s="201">
        <v>0</v>
      </c>
      <c r="G18" s="201">
        <v>0</v>
      </c>
      <c r="H18" s="201" t="str">
        <f>IF($H16=$I$69,VLOOKUP($H17,matca,2,0),IF($H16=$I$70,VLOOKUP($H17,matacciaio,3,0),""))</f>
        <v/>
      </c>
      <c r="AE18" s="339"/>
      <c r="AF18" s="206">
        <f t="shared" si="6"/>
        <v>0.6875</v>
      </c>
      <c r="AG18" s="201">
        <f>'CCC-car.1'!AD61</f>
        <v>4.6875</v>
      </c>
      <c r="AH18" s="201">
        <f>'CCC-car.1'!AE61</f>
        <v>-30.240659279336725</v>
      </c>
      <c r="AI18" s="201">
        <f>'CCC-car.1'!AF61</f>
        <v>89.55374999999998</v>
      </c>
      <c r="AJ18" s="339"/>
      <c r="AK18" s="206">
        <f t="shared" si="1"/>
        <v>0.6875</v>
      </c>
      <c r="AL18" s="201">
        <f>'CCC-car.2'!AD61</f>
        <v>4.6875</v>
      </c>
      <c r="AM18" s="201">
        <f>'CCC-car.2'!AE61</f>
        <v>-22.939434789540812</v>
      </c>
      <c r="AN18" s="201">
        <f>'CCC-car.2'!AF61</f>
        <v>89.55374999999998</v>
      </c>
      <c r="AO18" s="339"/>
      <c r="AP18" s="206">
        <f t="shared" si="2"/>
        <v>0.6875</v>
      </c>
      <c r="AQ18" s="201">
        <f>'CCC-car.3'!AD61</f>
        <v>4.6875</v>
      </c>
      <c r="AR18" s="201">
        <f>'CCC-car.3'!AE61</f>
        <v>-29.75536670918369</v>
      </c>
      <c r="AS18" s="201">
        <f>'CCC-car.3'!AF61</f>
        <v>66.49499999999999</v>
      </c>
      <c r="AT18" s="339"/>
      <c r="AU18" s="206">
        <f t="shared" si="3"/>
        <v>0.6875</v>
      </c>
      <c r="AV18" s="201">
        <f>'CCC-car.4'!AD61</f>
        <v>4.6875</v>
      </c>
      <c r="AW18" s="201">
        <f>'CCC-car.4'!AE61</f>
        <v>-21.621158145549884</v>
      </c>
      <c r="AX18" s="201">
        <f>'CCC-car.4'!AF61</f>
        <v>87.144591750841727</v>
      </c>
      <c r="AY18" s="339"/>
      <c r="AZ18" s="206">
        <f t="shared" si="4"/>
        <v>0.6875</v>
      </c>
      <c r="BA18" s="201">
        <f>'CCC-car.5'!AD61</f>
        <v>4.6875</v>
      </c>
      <c r="BB18" s="201">
        <f>'CCC-car.5'!AE61</f>
        <v>-31.558935923327653</v>
      </c>
      <c r="BC18" s="201">
        <f>'CCC-car.5'!AF61</f>
        <v>91.962908249158261</v>
      </c>
      <c r="BD18" s="1"/>
    </row>
    <row r="19" spans="2:56" s="333" customFormat="1" x14ac:dyDescent="0.2">
      <c r="B19" s="252" t="s">
        <v>461</v>
      </c>
      <c r="C19" s="332" t="s">
        <v>140</v>
      </c>
      <c r="D19" s="306" t="str">
        <f>IF($D16=$I$69,VLOOKUP($D17,matca,4,0),IF($D16=$I$70,VLOOKUP($D17,matacciaio,5,0),""))</f>
        <v/>
      </c>
      <c r="E19" s="306">
        <f>IF($D6=$I$69,VLOOKUP($E17,matca,4,0),IF($D6=$I$70,VLOOKUP($E17,matacciaio,5,0),""))</f>
        <v>13333.333333333334</v>
      </c>
      <c r="F19" s="306">
        <f>IF($D6=$I$69,VLOOKUP($F17,matca,4,0),IF($D6=$I$70,VLOOKUP($F17,matacciaio,5,0),""))</f>
        <v>13333.333333333334</v>
      </c>
      <c r="G19" s="306">
        <f>IF($D6=$I$69,VLOOKUP($G17,matca,4,0),IF($D6=$I$70,VLOOKUP($G17,matacciaio,5,0),""))</f>
        <v>13333.333333333334</v>
      </c>
      <c r="H19" s="306" t="str">
        <f>IF($H16=$I$69,VLOOKUP($H17,matca,4,0),IF($H16=$I$70,VLOOKUP($H17,matacciaio,5,0),""))</f>
        <v/>
      </c>
      <c r="AE19" s="339"/>
      <c r="AF19" s="206">
        <f t="shared" si="6"/>
        <v>1.375</v>
      </c>
      <c r="AG19" s="201">
        <f>'CCC-car.1'!AD62</f>
        <v>5.375</v>
      </c>
      <c r="AH19" s="201">
        <f>'CCC-car.1'!AE62</f>
        <v>21.066176658163272</v>
      </c>
      <c r="AI19" s="201">
        <f>'CCC-car.1'!AF62</f>
        <v>59.702499999999986</v>
      </c>
      <c r="AJ19" s="339"/>
      <c r="AK19" s="206">
        <f t="shared" si="1"/>
        <v>1.375</v>
      </c>
      <c r="AL19" s="201">
        <f>'CCC-car.2'!AD62</f>
        <v>5.375</v>
      </c>
      <c r="AM19" s="201">
        <f>'CCC-car.2'!AE62</f>
        <v>28.367401147959185</v>
      </c>
      <c r="AN19" s="201">
        <f>'CCC-car.2'!AF62</f>
        <v>59.702499999999986</v>
      </c>
      <c r="AO19" s="339"/>
      <c r="AP19" s="206">
        <f t="shared" si="2"/>
        <v>1.375</v>
      </c>
      <c r="AQ19" s="201">
        <f>'CCC-car.3'!AD62</f>
        <v>5.375</v>
      </c>
      <c r="AR19" s="201">
        <f>'CCC-car.3'!AE62</f>
        <v>8.3407270408163043</v>
      </c>
      <c r="AS19" s="201">
        <f>'CCC-car.3'!AF62</f>
        <v>44.329999999999991</v>
      </c>
      <c r="AT19" s="339"/>
      <c r="AU19" s="206">
        <f t="shared" si="3"/>
        <v>1.375</v>
      </c>
      <c r="AV19" s="201">
        <f>'CCC-car.4'!AD62</f>
        <v>5.375</v>
      </c>
      <c r="AW19" s="201">
        <f>'CCC-car.4'!AE62</f>
        <v>28.029381495653809</v>
      </c>
      <c r="AX19" s="201">
        <f>'CCC-car.4'!AF62</f>
        <v>57.293341750841734</v>
      </c>
      <c r="AY19" s="339"/>
      <c r="AZ19" s="206">
        <f t="shared" si="4"/>
        <v>1.375</v>
      </c>
      <c r="BA19" s="201">
        <f>'CCC-car.5'!AD62</f>
        <v>5.375</v>
      </c>
      <c r="BB19" s="201">
        <f>'CCC-car.5'!AE62</f>
        <v>21.404196310468649</v>
      </c>
      <c r="BC19" s="201">
        <f>'CCC-car.5'!AF62</f>
        <v>62.111658249158253</v>
      </c>
    </row>
    <row r="20" spans="2:56" s="333" customFormat="1" x14ac:dyDescent="0.2">
      <c r="AE20" s="339"/>
      <c r="AF20" s="206">
        <f t="shared" si="6"/>
        <v>2.0625</v>
      </c>
      <c r="AG20" s="201">
        <f>'CCC-car.1'!AD63</f>
        <v>6.0625</v>
      </c>
      <c r="AH20" s="201">
        <f>'CCC-car.1'!AE63</f>
        <v>51.850278220663256</v>
      </c>
      <c r="AI20" s="201">
        <f>'CCC-car.1'!AF63</f>
        <v>29.851249999999979</v>
      </c>
      <c r="AJ20" s="339"/>
      <c r="AK20" s="206">
        <f t="shared" si="1"/>
        <v>2.0625</v>
      </c>
      <c r="AL20" s="201">
        <f>'CCC-car.2'!AD63</f>
        <v>6.0625</v>
      </c>
      <c r="AM20" s="201">
        <f>'CCC-car.2'!AE63</f>
        <v>59.15150271045917</v>
      </c>
      <c r="AN20" s="201">
        <f>'CCC-car.2'!AF63</f>
        <v>29.851249999999979</v>
      </c>
      <c r="AO20" s="339"/>
      <c r="AP20" s="206">
        <f t="shared" si="2"/>
        <v>2.0625</v>
      </c>
      <c r="AQ20" s="201">
        <f>'CCC-car.3'!AD63</f>
        <v>6.0625</v>
      </c>
      <c r="AR20" s="201">
        <f>'CCC-car.3'!AE63</f>
        <v>31.198383290816281</v>
      </c>
      <c r="AS20" s="201">
        <f>'CCC-car.3'!AF63</f>
        <v>22.164999999999992</v>
      </c>
      <c r="AT20" s="339"/>
      <c r="AU20" s="206">
        <f t="shared" si="3"/>
        <v>2.0625</v>
      </c>
      <c r="AV20" s="201">
        <f>'CCC-car.4'!AD63</f>
        <v>6.0625</v>
      </c>
      <c r="AW20" s="201">
        <f>'CCC-car.4'!AE63</f>
        <v>57.157186761857503</v>
      </c>
      <c r="AX20" s="201">
        <f>'CCC-car.4'!AF63</f>
        <v>27.442091750841726</v>
      </c>
      <c r="AY20" s="339"/>
      <c r="AZ20" s="206">
        <f t="shared" si="4"/>
        <v>2.0625</v>
      </c>
      <c r="BA20" s="201">
        <f>'CCC-car.5'!AD63</f>
        <v>6.0625</v>
      </c>
      <c r="BB20" s="201">
        <f>'CCC-car.5'!AE63</f>
        <v>53.844594169264923</v>
      </c>
      <c r="BC20" s="201">
        <f>'CCC-car.5'!AF63</f>
        <v>32.260408249158246</v>
      </c>
    </row>
    <row r="21" spans="2:56" x14ac:dyDescent="0.2">
      <c r="AE21" s="339"/>
      <c r="AF21" s="206">
        <f t="shared" si="6"/>
        <v>2.75</v>
      </c>
      <c r="AG21" s="201">
        <f>'CCC-car.1'!AD64</f>
        <v>6.75</v>
      </c>
      <c r="AH21" s="201">
        <f>'CCC-car.1'!AE64</f>
        <v>62.111645408163213</v>
      </c>
      <c r="AI21" s="201">
        <f>'CCC-car.1'!AF64</f>
        <v>0</v>
      </c>
      <c r="AJ21" s="339"/>
      <c r="AK21" s="206">
        <f t="shared" si="1"/>
        <v>2.75</v>
      </c>
      <c r="AL21" s="201">
        <f>'CCC-car.2'!AD64</f>
        <v>6.75</v>
      </c>
      <c r="AM21" s="201">
        <f>'CCC-car.2'!AE64</f>
        <v>69.412869897959126</v>
      </c>
      <c r="AN21" s="201">
        <f>'CCC-car.2'!AF64</f>
        <v>0</v>
      </c>
      <c r="AO21" s="339"/>
      <c r="AP21" s="206">
        <f t="shared" si="2"/>
        <v>2.75</v>
      </c>
      <c r="AQ21" s="201">
        <f>'CCC-car.3'!AD64</f>
        <v>6.75</v>
      </c>
      <c r="AR21" s="201">
        <f>'CCC-car.3'!AE64</f>
        <v>38.817602040816269</v>
      </c>
      <c r="AS21" s="201">
        <f>'CCC-car.3'!AF64</f>
        <v>0</v>
      </c>
      <c r="AT21" s="339"/>
      <c r="AU21" s="206">
        <f t="shared" si="3"/>
        <v>2.75</v>
      </c>
      <c r="AV21" s="201">
        <f>'CCC-car.4'!AD64</f>
        <v>6.75</v>
      </c>
      <c r="AW21" s="201">
        <f>'CCC-car.4'!AE64</f>
        <v>65.76225765306117</v>
      </c>
      <c r="AX21" s="201">
        <f>'CCC-car.4'!AF64</f>
        <v>-2.409158249158267</v>
      </c>
      <c r="AY21" s="339"/>
      <c r="AZ21" s="206">
        <f t="shared" si="4"/>
        <v>2.75</v>
      </c>
      <c r="BA21" s="201">
        <f>'CCC-car.5'!AD64</f>
        <v>6.75</v>
      </c>
      <c r="BB21" s="201">
        <f>'CCC-car.5'!AE64</f>
        <v>65.762257653061226</v>
      </c>
      <c r="BC21" s="201">
        <f>'CCC-car.5'!AF64</f>
        <v>2.4091582491582528</v>
      </c>
    </row>
    <row r="22" spans="2:56" x14ac:dyDescent="0.2">
      <c r="I22" s="1" t="s">
        <v>464</v>
      </c>
      <c r="AE22" s="339"/>
      <c r="AF22" s="206">
        <f t="shared" si="6"/>
        <v>3.4375</v>
      </c>
      <c r="AG22" s="201">
        <f>'CCC-car.1'!AD65</f>
        <v>7.4375</v>
      </c>
      <c r="AH22" s="201">
        <f>'CCC-car.1'!AE65</f>
        <v>51.850278220663256</v>
      </c>
      <c r="AI22" s="201">
        <f>'CCC-car.1'!AF65</f>
        <v>-29.851250000000007</v>
      </c>
      <c r="AJ22" s="339"/>
      <c r="AK22" s="206">
        <f t="shared" si="1"/>
        <v>3.4375</v>
      </c>
      <c r="AL22" s="201">
        <f>'CCC-car.2'!AD65</f>
        <v>7.4375</v>
      </c>
      <c r="AM22" s="201">
        <f>'CCC-car.2'!AE65</f>
        <v>59.15150271045917</v>
      </c>
      <c r="AN22" s="201">
        <f>'CCC-car.2'!AF65</f>
        <v>-29.851250000000007</v>
      </c>
      <c r="AO22" s="339"/>
      <c r="AP22" s="206">
        <f t="shared" si="2"/>
        <v>3.4375</v>
      </c>
      <c r="AQ22" s="201">
        <f>'CCC-car.3'!AD65</f>
        <v>7.4375</v>
      </c>
      <c r="AR22" s="201">
        <f>'CCC-car.3'!AE65</f>
        <v>31.198383290816309</v>
      </c>
      <c r="AS22" s="201">
        <f>'CCC-car.3'!AF65</f>
        <v>-22.165000000000006</v>
      </c>
      <c r="AT22" s="339"/>
      <c r="AU22" s="206">
        <f t="shared" si="3"/>
        <v>3.4375</v>
      </c>
      <c r="AV22" s="201">
        <f>'CCC-car.4'!AD65</f>
        <v>7.4375</v>
      </c>
      <c r="AW22" s="201">
        <f>'CCC-car.4'!AE65</f>
        <v>53.844594169264894</v>
      </c>
      <c r="AX22" s="201">
        <f>'CCC-car.4'!AF65</f>
        <v>-32.26040824915826</v>
      </c>
      <c r="AY22" s="339"/>
      <c r="AZ22" s="206">
        <f t="shared" si="4"/>
        <v>3.4375</v>
      </c>
      <c r="BA22" s="201">
        <f>'CCC-car.5'!AD65</f>
        <v>7.4375</v>
      </c>
      <c r="BB22" s="201">
        <f>'CCC-car.5'!AE65</f>
        <v>57.157186761857531</v>
      </c>
      <c r="BC22" s="201">
        <f>'CCC-car.5'!AF65</f>
        <v>-27.44209175084174</v>
      </c>
    </row>
    <row r="23" spans="2:56" x14ac:dyDescent="0.2">
      <c r="AE23" s="339"/>
      <c r="AF23" s="206">
        <f t="shared" si="6"/>
        <v>4.125</v>
      </c>
      <c r="AG23" s="201">
        <f>'CCC-car.1'!AD66</f>
        <v>8.125</v>
      </c>
      <c r="AH23" s="201">
        <f>'CCC-car.1'!AE66</f>
        <v>21.066176658163215</v>
      </c>
      <c r="AI23" s="201">
        <f>'CCC-car.1'!AF66</f>
        <v>-59.702500000000029</v>
      </c>
      <c r="AJ23" s="339"/>
      <c r="AK23" s="206">
        <f t="shared" si="1"/>
        <v>4.125</v>
      </c>
      <c r="AL23" s="201">
        <f>'CCC-car.2'!AD66</f>
        <v>8.125</v>
      </c>
      <c r="AM23" s="201">
        <f>'CCC-car.2'!AE66</f>
        <v>28.367401147959129</v>
      </c>
      <c r="AN23" s="201">
        <f>'CCC-car.2'!AF66</f>
        <v>-59.702500000000029</v>
      </c>
      <c r="AO23" s="339"/>
      <c r="AP23" s="206">
        <f t="shared" si="2"/>
        <v>4.125</v>
      </c>
      <c r="AQ23" s="201">
        <f>'CCC-car.3'!AD66</f>
        <v>8.125</v>
      </c>
      <c r="AR23" s="201">
        <f>'CCC-car.3'!AE66</f>
        <v>8.3407270408162617</v>
      </c>
      <c r="AS23" s="201">
        <f>'CCC-car.3'!AF66</f>
        <v>-44.33</v>
      </c>
      <c r="AT23" s="339"/>
      <c r="AU23" s="206">
        <f t="shared" si="3"/>
        <v>4.125</v>
      </c>
      <c r="AV23" s="201">
        <f>'CCC-car.4'!AD66</f>
        <v>8.125</v>
      </c>
      <c r="AW23" s="201">
        <f>'CCC-car.4'!AE66</f>
        <v>21.404196310468592</v>
      </c>
      <c r="AX23" s="201">
        <f>'CCC-car.4'!AF66</f>
        <v>-62.111658249158282</v>
      </c>
      <c r="AY23" s="339"/>
      <c r="AZ23" s="206">
        <f t="shared" si="4"/>
        <v>4.125</v>
      </c>
      <c r="BA23" s="201">
        <f>'CCC-car.5'!AD66</f>
        <v>8.125</v>
      </c>
      <c r="BB23" s="201">
        <f>'CCC-car.5'!AE66</f>
        <v>28.029381495653752</v>
      </c>
      <c r="BC23" s="201">
        <f>'CCC-car.5'!AF66</f>
        <v>-57.293341750841762</v>
      </c>
    </row>
    <row r="24" spans="2:56" x14ac:dyDescent="0.2">
      <c r="B24" s="286"/>
      <c r="C24" s="286"/>
      <c r="D24" s="343" t="s">
        <v>473</v>
      </c>
      <c r="E24" s="343"/>
      <c r="F24" s="343"/>
      <c r="G24" s="343"/>
      <c r="H24" s="343"/>
      <c r="AE24" s="339"/>
      <c r="AF24" s="206">
        <f t="shared" si="6"/>
        <v>4.8125</v>
      </c>
      <c r="AG24" s="201">
        <f>'CCC-car.1'!AD67</f>
        <v>8.8125</v>
      </c>
      <c r="AH24" s="201">
        <f>'CCC-car.1'!AE67</f>
        <v>-30.240659279336796</v>
      </c>
      <c r="AI24" s="201">
        <f>'CCC-car.1'!AF67</f>
        <v>-89.553750000000022</v>
      </c>
      <c r="AJ24" s="339"/>
      <c r="AK24" s="206">
        <f t="shared" si="1"/>
        <v>4.8125</v>
      </c>
      <c r="AL24" s="201">
        <f>'CCC-car.2'!AD67</f>
        <v>8.8125</v>
      </c>
      <c r="AM24" s="201">
        <f>'CCC-car.2'!AE67</f>
        <v>-22.939434789540883</v>
      </c>
      <c r="AN24" s="201">
        <f>'CCC-car.2'!AF67</f>
        <v>-89.553750000000022</v>
      </c>
      <c r="AO24" s="339"/>
      <c r="AP24" s="206">
        <f t="shared" si="2"/>
        <v>4.8125</v>
      </c>
      <c r="AQ24" s="201">
        <f>'CCC-car.3'!AD67</f>
        <v>8.8125</v>
      </c>
      <c r="AR24" s="201">
        <f>'CCC-car.3'!AE67</f>
        <v>-29.755366709183647</v>
      </c>
      <c r="AS24" s="201">
        <f>'CCC-car.3'!AF67</f>
        <v>-66.49499999999999</v>
      </c>
      <c r="AT24" s="339"/>
      <c r="AU24" s="206">
        <f t="shared" si="3"/>
        <v>4.8125</v>
      </c>
      <c r="AV24" s="201">
        <f>'CCC-car.4'!AD67</f>
        <v>8.8125</v>
      </c>
      <c r="AW24" s="201">
        <f>'CCC-car.4'!AE67</f>
        <v>-31.558935923327795</v>
      </c>
      <c r="AX24" s="201">
        <f>'CCC-car.4'!AF67</f>
        <v>-91.962908249158275</v>
      </c>
      <c r="AY24" s="339"/>
      <c r="AZ24" s="206">
        <f t="shared" si="4"/>
        <v>4.8125</v>
      </c>
      <c r="BA24" s="201">
        <f>'CCC-car.5'!AD67</f>
        <v>8.8125</v>
      </c>
      <c r="BB24" s="201">
        <f>'CCC-car.5'!AE67</f>
        <v>-21.621158145549884</v>
      </c>
      <c r="BC24" s="201">
        <f>'CCC-car.5'!AF67</f>
        <v>-87.144591750841755</v>
      </c>
    </row>
    <row r="25" spans="2:56" ht="12" customHeight="1" x14ac:dyDescent="0.2">
      <c r="B25" s="333"/>
      <c r="C25" s="333"/>
      <c r="D25" s="333"/>
      <c r="E25" s="333"/>
      <c r="G25" s="333"/>
      <c r="H25" s="333"/>
      <c r="I25" s="333"/>
      <c r="J25" s="333"/>
      <c r="AE25" s="339"/>
      <c r="AF25" s="207">
        <f t="shared" si="6"/>
        <v>5.5</v>
      </c>
      <c r="AG25" s="204">
        <f>'CCC-car.1'!AD68</f>
        <v>9.5</v>
      </c>
      <c r="AH25" s="204">
        <f>'CCC-car.1'!AE68</f>
        <v>-102.07022959183678</v>
      </c>
      <c r="AI25" s="204">
        <f>'CCC-car.1'!AF68</f>
        <v>-119.40500000000002</v>
      </c>
      <c r="AJ25" s="339"/>
      <c r="AK25" s="207">
        <f t="shared" si="1"/>
        <v>5.5</v>
      </c>
      <c r="AL25" s="204">
        <f>'CCC-car.2'!AD68</f>
        <v>9.5</v>
      </c>
      <c r="AM25" s="204">
        <f>'CCC-car.2'!AE68</f>
        <v>-94.769005102040865</v>
      </c>
      <c r="AN25" s="204">
        <f>'CCC-car.2'!AF68</f>
        <v>-119.40500000000002</v>
      </c>
      <c r="AO25" s="339"/>
      <c r="AP25" s="207">
        <f t="shared" si="2"/>
        <v>5.5</v>
      </c>
      <c r="AQ25" s="204">
        <f>'CCC-car.3'!AD68</f>
        <v>9.5</v>
      </c>
      <c r="AR25" s="204">
        <f>'CCC-car.3'!AE68</f>
        <v>-83.089897959183759</v>
      </c>
      <c r="AS25" s="204">
        <f>'CCC-car.3'!AF68</f>
        <v>-88.659999999999982</v>
      </c>
      <c r="AT25" s="339"/>
      <c r="AU25" s="207">
        <f t="shared" si="3"/>
        <v>5.5</v>
      </c>
      <c r="AV25" s="204">
        <f>'CCC-car.4'!AD68</f>
        <v>9.5</v>
      </c>
      <c r="AW25" s="204">
        <f>'CCC-car.4'!AE68</f>
        <v>-105.04480253212409</v>
      </c>
      <c r="AX25" s="204">
        <f>'CCC-car.4'!AF68</f>
        <v>-121.81415824915827</v>
      </c>
      <c r="AY25" s="339"/>
      <c r="AZ25" s="207">
        <f t="shared" si="4"/>
        <v>5.5</v>
      </c>
      <c r="BA25" s="204">
        <f>'CCC-car.5'!AD68</f>
        <v>9.5</v>
      </c>
      <c r="BB25" s="204">
        <f>'CCC-car.5'!AE68</f>
        <v>-91.794432161753662</v>
      </c>
      <c r="BC25" s="204">
        <f>'CCC-car.5'!AF68</f>
        <v>-116.99584175084175</v>
      </c>
    </row>
    <row r="26" spans="2:56" ht="12" customHeight="1" x14ac:dyDescent="0.2">
      <c r="B26" s="12" t="s">
        <v>49</v>
      </c>
      <c r="C26" s="333" t="s">
        <v>446</v>
      </c>
      <c r="D26" s="278">
        <v>0</v>
      </c>
      <c r="E26" s="278">
        <f>((1.9)*1.3+(3.59)*1.5+2*1.5)*2+7.78*1.5/4</f>
        <v>24.627500000000001</v>
      </c>
      <c r="F26" s="278">
        <f t="shared" ref="E26:G30" si="7">((1.9)*1.3+(3.59)*1.5+2*1.5)*2+7.78*1.5/4</f>
        <v>24.627500000000001</v>
      </c>
      <c r="G26" s="278">
        <f t="shared" si="7"/>
        <v>24.627500000000001</v>
      </c>
      <c r="H26" s="278">
        <v>0</v>
      </c>
      <c r="AE26" s="338" t="s">
        <v>88</v>
      </c>
      <c r="AF26" s="205">
        <f t="shared" ref="AF26:AF34" si="8">AG26-$AG$25</f>
        <v>0</v>
      </c>
      <c r="AG26" s="203">
        <f>'CCC-car.1'!AD69</f>
        <v>9.5</v>
      </c>
      <c r="AH26" s="203">
        <f>'CCC-car.1'!AE69</f>
        <v>-102.07022959183672</v>
      </c>
      <c r="AI26" s="203">
        <f>'CCC-car.1'!AF69</f>
        <v>112.35755739795918</v>
      </c>
      <c r="AJ26" s="338" t="s">
        <v>88</v>
      </c>
      <c r="AK26" s="205">
        <f t="shared" si="1"/>
        <v>0</v>
      </c>
      <c r="AL26" s="203">
        <f>'CCC-car.2'!AD69</f>
        <v>9.5</v>
      </c>
      <c r="AM26" s="203">
        <f>'CCC-car.2'!AE69</f>
        <v>-94.769005102040808</v>
      </c>
      <c r="AN26" s="203">
        <f>'CCC-car.2'!AF69</f>
        <v>88.172251275510192</v>
      </c>
      <c r="AO26" s="338" t="s">
        <v>88</v>
      </c>
      <c r="AP26" s="205">
        <f t="shared" si="2"/>
        <v>0</v>
      </c>
      <c r="AQ26" s="203">
        <f>'CCC-car.3'!AD69</f>
        <v>9.5</v>
      </c>
      <c r="AR26" s="203">
        <f>'CCC-car.3'!AE69</f>
        <v>-83.089897959183673</v>
      </c>
      <c r="AS26" s="203">
        <f>'CCC-car.3'!AF69</f>
        <v>107.61247448979591</v>
      </c>
      <c r="AT26" s="338" t="s">
        <v>88</v>
      </c>
      <c r="AU26" s="205">
        <f t="shared" si="3"/>
        <v>0</v>
      </c>
      <c r="AV26" s="203">
        <f>'CCC-car.4'!AD69</f>
        <v>9.5</v>
      </c>
      <c r="AW26" s="203">
        <f>'CCC-car.4'!AE69</f>
        <v>-105.04480253212395</v>
      </c>
      <c r="AX26" s="203">
        <f>'CCC-car.4'!AF69</f>
        <v>113.101200633031</v>
      </c>
      <c r="AY26" s="338" t="s">
        <v>88</v>
      </c>
      <c r="AZ26" s="205">
        <f t="shared" si="4"/>
        <v>0</v>
      </c>
      <c r="BA26" s="203">
        <f>'CCC-car.5'!AD69</f>
        <v>9.5</v>
      </c>
      <c r="BB26" s="203">
        <f>'CCC-car.5'!AE69</f>
        <v>-91.794432161753576</v>
      </c>
      <c r="BC26" s="203">
        <f>'CCC-car.5'!AF69</f>
        <v>87.428608040438377</v>
      </c>
    </row>
    <row r="27" spans="2:56" x14ac:dyDescent="0.2">
      <c r="B27" s="12" t="s">
        <v>50</v>
      </c>
      <c r="C27" s="333" t="s">
        <v>446</v>
      </c>
      <c r="D27" s="278">
        <v>0</v>
      </c>
      <c r="E27" s="278">
        <f t="shared" si="7"/>
        <v>24.627500000000001</v>
      </c>
      <c r="F27" s="278">
        <f>((1.9)*1.3+(3.59)*1+2*1)*2+7.78*1/4</f>
        <v>18.064999999999998</v>
      </c>
      <c r="G27" s="278">
        <f t="shared" si="7"/>
        <v>24.627500000000001</v>
      </c>
      <c r="H27" s="278">
        <v>0</v>
      </c>
      <c r="AE27" s="338"/>
      <c r="AF27" s="206">
        <f t="shared" si="8"/>
        <v>0.5</v>
      </c>
      <c r="AG27" s="201">
        <f>'CCC-car.1'!AD70</f>
        <v>10</v>
      </c>
      <c r="AH27" s="201">
        <f>'CCC-car.1'!AE70</f>
        <v>-51.318950892857124</v>
      </c>
      <c r="AI27" s="201">
        <f>'CCC-car.1'!AF70</f>
        <v>90.64755739795919</v>
      </c>
      <c r="AJ27" s="338"/>
      <c r="AK27" s="206">
        <f t="shared" si="1"/>
        <v>0.5</v>
      </c>
      <c r="AL27" s="201">
        <f>'CCC-car.2'!AD70</f>
        <v>10</v>
      </c>
      <c r="AM27" s="201">
        <f>'CCC-car.2'!AE70</f>
        <v>-54.712879464285713</v>
      </c>
      <c r="AN27" s="201">
        <f>'CCC-car.2'!AF70</f>
        <v>72.052251275510201</v>
      </c>
      <c r="AO27" s="338"/>
      <c r="AP27" s="206">
        <f t="shared" si="2"/>
        <v>0.5</v>
      </c>
      <c r="AQ27" s="201">
        <f>'CCC-car.3'!AD70</f>
        <v>10</v>
      </c>
      <c r="AR27" s="201">
        <f>'CCC-car.3'!AE70</f>
        <v>-34.711160714285711</v>
      </c>
      <c r="AS27" s="201">
        <f>'CCC-car.3'!AF70</f>
        <v>85.902474489795907</v>
      </c>
      <c r="AT27" s="338"/>
      <c r="AU27" s="206">
        <f t="shared" si="3"/>
        <v>0.5</v>
      </c>
      <c r="AV27" s="201">
        <f>'CCC-car.4'!AD70</f>
        <v>10</v>
      </c>
      <c r="AW27" s="201">
        <f>'CCC-car.4'!AE70</f>
        <v>-53.921702215608448</v>
      </c>
      <c r="AX27" s="201">
        <f>'CCC-car.4'!AF70</f>
        <v>91.391200633030991</v>
      </c>
      <c r="AY27" s="338"/>
      <c r="AZ27" s="206">
        <f t="shared" si="4"/>
        <v>0.5</v>
      </c>
      <c r="BA27" s="201">
        <f>'CCC-car.5'!AD70</f>
        <v>10</v>
      </c>
      <c r="BB27" s="201">
        <f>'CCC-car.5'!AE70</f>
        <v>-52.110128141534389</v>
      </c>
      <c r="BC27" s="201">
        <f>'CCC-car.5'!AF70</f>
        <v>71.308608040438372</v>
      </c>
    </row>
    <row r="28" spans="2:56" s="333" customFormat="1" x14ac:dyDescent="0.2">
      <c r="B28" s="12" t="s">
        <v>51</v>
      </c>
      <c r="C28" s="333" t="s">
        <v>446</v>
      </c>
      <c r="D28" s="278">
        <v>0</v>
      </c>
      <c r="E28" s="278">
        <f>((1.9)*1.3+(3.59)*1+2*1)*2+7.78*1/4</f>
        <v>18.064999999999998</v>
      </c>
      <c r="F28" s="278">
        <f t="shared" si="7"/>
        <v>24.627500000000001</v>
      </c>
      <c r="G28" s="278">
        <f>((1.9)*1.3+(3.59)*1+2*1)*2+7.78*1/4</f>
        <v>18.064999999999998</v>
      </c>
      <c r="H28" s="278">
        <v>0</v>
      </c>
      <c r="I28" s="1"/>
      <c r="J28" s="1"/>
      <c r="AE28" s="338"/>
      <c r="AF28" s="206">
        <f t="shared" si="8"/>
        <v>1</v>
      </c>
      <c r="AG28" s="201">
        <f>'CCC-car.1'!AD71</f>
        <v>10.5</v>
      </c>
      <c r="AH28" s="201">
        <f>'CCC-car.1'!AE71</f>
        <v>-11.422672193877546</v>
      </c>
      <c r="AI28" s="201">
        <f>'CCC-car.1'!AF71</f>
        <v>68.937557397959182</v>
      </c>
      <c r="AJ28" s="338"/>
      <c r="AK28" s="206">
        <f t="shared" si="1"/>
        <v>1</v>
      </c>
      <c r="AL28" s="201">
        <f>'CCC-car.2'!AD71</f>
        <v>10.5</v>
      </c>
      <c r="AM28" s="201">
        <f>'CCC-car.2'!AE71</f>
        <v>-22.716753826530621</v>
      </c>
      <c r="AN28" s="201">
        <f>'CCC-car.2'!AF71</f>
        <v>55.932251275510197</v>
      </c>
      <c r="AO28" s="338"/>
      <c r="AP28" s="206">
        <f t="shared" si="2"/>
        <v>1</v>
      </c>
      <c r="AQ28" s="201">
        <f>'CCC-car.3'!AD71</f>
        <v>10.5</v>
      </c>
      <c r="AR28" s="201">
        <f>'CCC-car.3'!AE71</f>
        <v>2.8125765306122332</v>
      </c>
      <c r="AS28" s="201">
        <f>'CCC-car.3'!AF71</f>
        <v>64.192474489795913</v>
      </c>
      <c r="AT28" s="338"/>
      <c r="AU28" s="206">
        <f t="shared" si="3"/>
        <v>1</v>
      </c>
      <c r="AV28" s="201">
        <f>'CCC-car.4'!AD71</f>
        <v>10.5</v>
      </c>
      <c r="AW28" s="201">
        <f>'CCC-car.4'!AE71</f>
        <v>-13.653601899092962</v>
      </c>
      <c r="AX28" s="201">
        <f>'CCC-car.4'!AF71</f>
        <v>69.681200633030997</v>
      </c>
      <c r="AY28" s="338"/>
      <c r="AZ28" s="206">
        <f t="shared" si="4"/>
        <v>1</v>
      </c>
      <c r="BA28" s="201">
        <f>'CCC-car.5'!AD71</f>
        <v>10.5</v>
      </c>
      <c r="BB28" s="201">
        <f>'CCC-car.5'!AE71</f>
        <v>-20.485824121315204</v>
      </c>
      <c r="BC28" s="201">
        <f>'CCC-car.5'!AF71</f>
        <v>55.188608040438382</v>
      </c>
    </row>
    <row r="29" spans="2:56" s="333" customFormat="1" x14ac:dyDescent="0.2">
      <c r="B29" s="12" t="s">
        <v>52</v>
      </c>
      <c r="C29" s="333" t="s">
        <v>446</v>
      </c>
      <c r="D29" s="278">
        <v>0</v>
      </c>
      <c r="E29" s="278">
        <f t="shared" si="7"/>
        <v>24.627500000000001</v>
      </c>
      <c r="F29" s="278">
        <f>((1.9)*1.3+(3.59)*1+2*1)*2+7.78*1/4</f>
        <v>18.064999999999998</v>
      </c>
      <c r="G29" s="278">
        <f>((1.9)*1.3+(3.59)*1+2*1)*2+7.78*1/4</f>
        <v>18.064999999999998</v>
      </c>
      <c r="H29" s="278">
        <v>0</v>
      </c>
      <c r="I29" s="1">
        <v>1</v>
      </c>
      <c r="J29" s="1"/>
      <c r="AE29" s="338"/>
      <c r="AF29" s="206">
        <f t="shared" si="8"/>
        <v>1.5</v>
      </c>
      <c r="AG29" s="201">
        <f>'CCC-car.1'!AD72</f>
        <v>11</v>
      </c>
      <c r="AH29" s="201">
        <f>'CCC-car.1'!AE72</f>
        <v>17.618606505102065</v>
      </c>
      <c r="AI29" s="201">
        <f>'CCC-car.1'!AF72</f>
        <v>47.227557397959188</v>
      </c>
      <c r="AJ29" s="338"/>
      <c r="AK29" s="206">
        <f t="shared" si="1"/>
        <v>1.5</v>
      </c>
      <c r="AL29" s="201">
        <f>'CCC-car.2'!AD72</f>
        <v>11</v>
      </c>
      <c r="AM29" s="201">
        <f>'CCC-car.2'!AE72</f>
        <v>1.2193718112245051</v>
      </c>
      <c r="AN29" s="201">
        <f>'CCC-car.2'!AF72</f>
        <v>39.812251275510199</v>
      </c>
      <c r="AO29" s="338"/>
      <c r="AP29" s="206">
        <f t="shared" si="2"/>
        <v>1.5</v>
      </c>
      <c r="AQ29" s="201">
        <f>'CCC-car.3'!AD72</f>
        <v>11</v>
      </c>
      <c r="AR29" s="201">
        <f>'CCC-car.3'!AE72</f>
        <v>29.481313775510216</v>
      </c>
      <c r="AS29" s="201">
        <f>'CCC-car.3'!AF72</f>
        <v>42.482474489795919</v>
      </c>
      <c r="AT29" s="338"/>
      <c r="AU29" s="206">
        <f t="shared" si="3"/>
        <v>1.5</v>
      </c>
      <c r="AV29" s="201">
        <f>'CCC-car.4'!AD72</f>
        <v>11</v>
      </c>
      <c r="AW29" s="201">
        <f>'CCC-car.4'!AE72</f>
        <v>15.759498417422549</v>
      </c>
      <c r="AX29" s="201">
        <f>'CCC-car.4'!AF72</f>
        <v>47.971200633031003</v>
      </c>
      <c r="AY29" s="338"/>
      <c r="AZ29" s="206">
        <f t="shared" si="4"/>
        <v>1.5</v>
      </c>
      <c r="BA29" s="201">
        <f>'CCC-car.5'!AD72</f>
        <v>11</v>
      </c>
      <c r="BB29" s="201">
        <f>'CCC-car.5'!AE72</f>
        <v>3.0784798989039928</v>
      </c>
      <c r="BC29" s="201">
        <f>'CCC-car.5'!AF72</f>
        <v>39.068608040438384</v>
      </c>
    </row>
    <row r="30" spans="2:56" x14ac:dyDescent="0.2">
      <c r="B30" s="12" t="s">
        <v>53</v>
      </c>
      <c r="C30" s="333" t="s">
        <v>446</v>
      </c>
      <c r="D30" s="278">
        <v>0</v>
      </c>
      <c r="E30" s="278">
        <f>((1.9)*1.3+(3.59)*1+2*1)*2+7.78*1/4</f>
        <v>18.064999999999998</v>
      </c>
      <c r="F30" s="278">
        <f>((1.9)*1.3+(3.59)*1+2*1)*2+7.78*1/4</f>
        <v>18.064999999999998</v>
      </c>
      <c r="G30" s="278">
        <f t="shared" si="7"/>
        <v>24.627500000000001</v>
      </c>
      <c r="H30" s="278">
        <v>0</v>
      </c>
      <c r="AE30" s="338"/>
      <c r="AF30" s="206">
        <f t="shared" si="8"/>
        <v>2</v>
      </c>
      <c r="AG30" s="201">
        <f>'CCC-car.1'!AD73</f>
        <v>11.5</v>
      </c>
      <c r="AH30" s="201">
        <f>'CCC-car.1'!AE73</f>
        <v>35.804885204081643</v>
      </c>
      <c r="AI30" s="201">
        <f>'CCC-car.1'!AF73</f>
        <v>25.51755739795918</v>
      </c>
      <c r="AJ30" s="338"/>
      <c r="AK30" s="206">
        <f t="shared" si="1"/>
        <v>2</v>
      </c>
      <c r="AL30" s="201">
        <f>'CCC-car.2'!AD73</f>
        <v>11.5</v>
      </c>
      <c r="AM30" s="201">
        <f>'CCC-car.2'!AE73</f>
        <v>17.095497448979586</v>
      </c>
      <c r="AN30" s="201">
        <f>'CCC-car.2'!AF73</f>
        <v>23.692251275510202</v>
      </c>
      <c r="AO30" s="338"/>
      <c r="AP30" s="206">
        <f t="shared" si="2"/>
        <v>2</v>
      </c>
      <c r="AQ30" s="201">
        <f>'CCC-car.3'!AD73</f>
        <v>11.5</v>
      </c>
      <c r="AR30" s="201">
        <f>'CCC-car.3'!AE73</f>
        <v>45.295051020408152</v>
      </c>
      <c r="AS30" s="201">
        <f>'CCC-car.3'!AF73</f>
        <v>20.772474489795911</v>
      </c>
      <c r="AT30" s="338"/>
      <c r="AU30" s="206">
        <f t="shared" si="3"/>
        <v>2</v>
      </c>
      <c r="AV30" s="201">
        <f>'CCC-car.4'!AD73</f>
        <v>11.5</v>
      </c>
      <c r="AW30" s="201">
        <f>'CCC-car.4'!AE73</f>
        <v>34.317598733938041</v>
      </c>
      <c r="AX30" s="201">
        <f>'CCC-car.4'!AF73</f>
        <v>26.261200633030995</v>
      </c>
      <c r="AY30" s="338"/>
      <c r="AZ30" s="206">
        <f t="shared" si="4"/>
        <v>2</v>
      </c>
      <c r="BA30" s="201">
        <f>'CCC-car.5'!AD73</f>
        <v>11.5</v>
      </c>
      <c r="BB30" s="201">
        <f>'CCC-car.5'!AE73</f>
        <v>18.582783919123187</v>
      </c>
      <c r="BC30" s="201">
        <f>'CCC-car.5'!AF73</f>
        <v>22.948608040438387</v>
      </c>
    </row>
    <row r="31" spans="2:56" x14ac:dyDescent="0.2">
      <c r="AE31" s="338"/>
      <c r="AF31" s="206">
        <f t="shared" si="8"/>
        <v>2.5</v>
      </c>
      <c r="AG31" s="201">
        <f>'CCC-car.1'!AD74</f>
        <v>12</v>
      </c>
      <c r="AH31" s="201">
        <f>'CCC-car.1'!AE74</f>
        <v>43.136163903061231</v>
      </c>
      <c r="AI31" s="201">
        <f>'CCC-car.1'!AF74</f>
        <v>3.8075573979591724</v>
      </c>
      <c r="AJ31" s="338"/>
      <c r="AK31" s="206">
        <f t="shared" si="1"/>
        <v>2.5</v>
      </c>
      <c r="AL31" s="201">
        <f>'CCC-car.2'!AD74</f>
        <v>12</v>
      </c>
      <c r="AM31" s="201">
        <f>'CCC-car.2'!AE74</f>
        <v>24.911623086734664</v>
      </c>
      <c r="AN31" s="201">
        <f>'CCC-car.2'!AF74</f>
        <v>7.5722512755101974</v>
      </c>
      <c r="AO31" s="338"/>
      <c r="AP31" s="206">
        <f t="shared" si="2"/>
        <v>2.5</v>
      </c>
      <c r="AQ31" s="201">
        <f>'CCC-car.3'!AD74</f>
        <v>12</v>
      </c>
      <c r="AR31" s="201">
        <f>'CCC-car.3'!AE74</f>
        <v>50.253788265306099</v>
      </c>
      <c r="AS31" s="201">
        <f>'CCC-car.3'!AF74</f>
        <v>-0.93752551020409669</v>
      </c>
      <c r="AT31" s="338"/>
      <c r="AU31" s="206">
        <f t="shared" si="3"/>
        <v>2.5</v>
      </c>
      <c r="AV31" s="201">
        <f>'CCC-car.4'!AD74</f>
        <v>12</v>
      </c>
      <c r="AW31" s="201">
        <f>'CCC-car.4'!AE74</f>
        <v>42.020699050453544</v>
      </c>
      <c r="AX31" s="201">
        <f>'CCC-car.4'!AF74</f>
        <v>4.5512006330309873</v>
      </c>
      <c r="AY31" s="338"/>
      <c r="AZ31" s="206">
        <f t="shared" si="4"/>
        <v>2.5</v>
      </c>
      <c r="BA31" s="201">
        <f>'CCC-car.5'!AD74</f>
        <v>12</v>
      </c>
      <c r="BB31" s="201">
        <f>'CCC-car.5'!AE74</f>
        <v>26.02708793934238</v>
      </c>
      <c r="BC31" s="201">
        <f>'CCC-car.5'!AF74</f>
        <v>6.8286080404383824</v>
      </c>
    </row>
    <row r="32" spans="2:56" x14ac:dyDescent="0.2">
      <c r="AE32" s="338"/>
      <c r="AF32" s="206">
        <f t="shared" si="8"/>
        <v>3</v>
      </c>
      <c r="AG32" s="201">
        <f>'CCC-car.1'!AD75</f>
        <v>12.5</v>
      </c>
      <c r="AH32" s="201">
        <f>'CCC-car.1'!AE75</f>
        <v>39.612442602040801</v>
      </c>
      <c r="AI32" s="201">
        <f>'CCC-car.1'!AF75</f>
        <v>-17.902442602040807</v>
      </c>
      <c r="AJ32" s="338"/>
      <c r="AK32" s="206">
        <f t="shared" si="1"/>
        <v>3</v>
      </c>
      <c r="AL32" s="201">
        <f>'CCC-car.2'!AD75</f>
        <v>12.5</v>
      </c>
      <c r="AM32" s="201">
        <f>'CCC-car.2'!AE75</f>
        <v>24.667748724489797</v>
      </c>
      <c r="AN32" s="201">
        <f>'CCC-car.2'!AF75</f>
        <v>-8.5477487244897929</v>
      </c>
      <c r="AO32" s="338"/>
      <c r="AP32" s="206">
        <f t="shared" si="2"/>
        <v>3</v>
      </c>
      <c r="AQ32" s="201">
        <f>'CCC-car.3'!AD75</f>
        <v>12.5</v>
      </c>
      <c r="AR32" s="201">
        <f>'CCC-car.3'!AE75</f>
        <v>44.357525510204084</v>
      </c>
      <c r="AS32" s="201">
        <f>'CCC-car.3'!AF75</f>
        <v>-22.647525510204076</v>
      </c>
      <c r="AT32" s="338"/>
      <c r="AU32" s="206">
        <f t="shared" si="3"/>
        <v>3</v>
      </c>
      <c r="AV32" s="201">
        <f>'CCC-car.4'!AD75</f>
        <v>12.5</v>
      </c>
      <c r="AW32" s="201">
        <f>'CCC-car.4'!AE75</f>
        <v>38.868799366969029</v>
      </c>
      <c r="AX32" s="201">
        <f>'CCC-car.4'!AF75</f>
        <v>-17.158799366968992</v>
      </c>
      <c r="AY32" s="338"/>
      <c r="AZ32" s="206">
        <f t="shared" si="4"/>
        <v>3</v>
      </c>
      <c r="BA32" s="201">
        <f>'CCC-car.5'!AD75</f>
        <v>12.5</v>
      </c>
      <c r="BB32" s="201">
        <f>'CCC-car.5'!AE75</f>
        <v>25.411391959561598</v>
      </c>
      <c r="BC32" s="201">
        <f>'CCC-car.5'!AF75</f>
        <v>-9.2913919595616079</v>
      </c>
    </row>
    <row r="33" spans="22:55" x14ac:dyDescent="0.2">
      <c r="AE33" s="338"/>
      <c r="AF33" s="206">
        <f t="shared" si="8"/>
        <v>3.5</v>
      </c>
      <c r="AG33" s="201">
        <f>'CCC-car.1'!AD76</f>
        <v>13</v>
      </c>
      <c r="AH33" s="201">
        <f>'CCC-car.1'!AE76</f>
        <v>25.23372130102041</v>
      </c>
      <c r="AI33" s="201">
        <f>'CCC-car.1'!AF76</f>
        <v>-39.612442602040815</v>
      </c>
      <c r="AJ33" s="338"/>
      <c r="AK33" s="206">
        <f t="shared" si="1"/>
        <v>3.5</v>
      </c>
      <c r="AL33" s="201">
        <f>'CCC-car.2'!AD76</f>
        <v>13</v>
      </c>
      <c r="AM33" s="201">
        <f>'CCC-car.2'!AE76</f>
        <v>16.363874362244871</v>
      </c>
      <c r="AN33" s="201">
        <f>'CCC-car.2'!AF76</f>
        <v>-24.667748724489783</v>
      </c>
      <c r="AO33" s="338"/>
      <c r="AP33" s="206">
        <f t="shared" si="2"/>
        <v>3.5</v>
      </c>
      <c r="AQ33" s="201">
        <f>'CCC-car.3'!AD76</f>
        <v>13</v>
      </c>
      <c r="AR33" s="201">
        <f>'CCC-car.3'!AE76</f>
        <v>27.60626275510208</v>
      </c>
      <c r="AS33" s="201">
        <f>'CCC-car.3'!AF76</f>
        <v>-44.357525510204084</v>
      </c>
      <c r="AT33" s="338"/>
      <c r="AU33" s="206">
        <f t="shared" si="3"/>
        <v>3.5</v>
      </c>
      <c r="AV33" s="201">
        <f>'CCC-car.4'!AD76</f>
        <v>13</v>
      </c>
      <c r="AW33" s="201">
        <f>'CCC-car.4'!AE76</f>
        <v>24.861899683484523</v>
      </c>
      <c r="AX33" s="201">
        <f>'CCC-car.4'!AF76</f>
        <v>-38.868799366969</v>
      </c>
      <c r="AY33" s="338"/>
      <c r="AZ33" s="206">
        <f t="shared" si="4"/>
        <v>3.5</v>
      </c>
      <c r="BA33" s="201">
        <f>'CCC-car.5'!AD76</f>
        <v>13</v>
      </c>
      <c r="BB33" s="201">
        <f>'CCC-car.5'!AE76</f>
        <v>16.735695979780758</v>
      </c>
      <c r="BC33" s="201">
        <f>'CCC-car.5'!AF76</f>
        <v>-25.411391959561598</v>
      </c>
    </row>
    <row r="34" spans="22:55" ht="12" customHeight="1" x14ac:dyDescent="0.2">
      <c r="AE34" s="338"/>
      <c r="AF34" s="208">
        <f t="shared" si="8"/>
        <v>4</v>
      </c>
      <c r="AG34" s="209">
        <f>'CCC-car.1'!AD77</f>
        <v>13.5</v>
      </c>
      <c r="AH34" s="209">
        <f>'CCC-car.1'!AE77</f>
        <v>0</v>
      </c>
      <c r="AI34" s="209">
        <f>'CCC-car.1'!AF77</f>
        <v>-61.322442602040823</v>
      </c>
      <c r="AJ34" s="338"/>
      <c r="AK34" s="208">
        <f t="shared" si="1"/>
        <v>4</v>
      </c>
      <c r="AL34" s="209">
        <f>'CCC-car.2'!AD77</f>
        <v>13.5</v>
      </c>
      <c r="AM34" s="209">
        <f>'CCC-car.2'!AE77</f>
        <v>0</v>
      </c>
      <c r="AN34" s="209">
        <f>'CCC-car.2'!AF77</f>
        <v>-40.787748724489788</v>
      </c>
      <c r="AO34" s="338"/>
      <c r="AP34" s="208">
        <f t="shared" si="2"/>
        <v>4</v>
      </c>
      <c r="AQ34" s="209">
        <f>'CCC-car.3'!AD77</f>
        <v>13.5</v>
      </c>
      <c r="AR34" s="209">
        <f>'CCC-car.3'!AE77</f>
        <v>0</v>
      </c>
      <c r="AS34" s="209">
        <f>'CCC-car.3'!AF77</f>
        <v>-66.067525510204092</v>
      </c>
      <c r="AT34" s="338"/>
      <c r="AU34" s="208">
        <f t="shared" si="3"/>
        <v>4</v>
      </c>
      <c r="AV34" s="209">
        <f>'CCC-car.4'!AD77</f>
        <v>13.5</v>
      </c>
      <c r="AW34" s="209">
        <f>'CCC-car.4'!AE77</f>
        <v>0</v>
      </c>
      <c r="AX34" s="209">
        <f>'CCC-car.4'!AF77</f>
        <v>-60.578799366969008</v>
      </c>
      <c r="AY34" s="338"/>
      <c r="AZ34" s="208">
        <f t="shared" si="4"/>
        <v>4</v>
      </c>
      <c r="BA34" s="209">
        <f>'CCC-car.5'!AD77</f>
        <v>13.5</v>
      </c>
      <c r="BB34" s="209">
        <f>'CCC-car.5'!AE77</f>
        <v>0</v>
      </c>
      <c r="BC34" s="209">
        <f>'CCC-car.5'!AF77</f>
        <v>-41.531391959561603</v>
      </c>
    </row>
    <row r="35" spans="22:55" ht="12" customHeight="1" x14ac:dyDescent="0.2">
      <c r="AE35" s="339" t="s">
        <v>57</v>
      </c>
      <c r="AF35" s="205">
        <f>AG35-$AG$34</f>
        <v>0</v>
      </c>
      <c r="AG35" s="203">
        <f>'CCC-car.1'!AD78</f>
        <v>13.5</v>
      </c>
      <c r="AH35" s="203">
        <f>'CCC-car.1'!AE78</f>
        <v>0</v>
      </c>
      <c r="AI35" s="203">
        <f>'CCC-car.1'!AF78</f>
        <v>0</v>
      </c>
      <c r="AJ35" s="339" t="s">
        <v>57</v>
      </c>
      <c r="AK35" s="205">
        <f t="shared" si="1"/>
        <v>0</v>
      </c>
      <c r="AL35" s="203">
        <f>'CCC-car.2'!AD78</f>
        <v>13.5</v>
      </c>
      <c r="AM35" s="203">
        <f>'CCC-car.2'!AE78</f>
        <v>0</v>
      </c>
      <c r="AN35" s="203">
        <f>'CCC-car.2'!AF78</f>
        <v>0</v>
      </c>
      <c r="AO35" s="339" t="s">
        <v>57</v>
      </c>
      <c r="AP35" s="205">
        <f t="shared" si="2"/>
        <v>0</v>
      </c>
      <c r="AQ35" s="203">
        <f>'CCC-car.3'!AD78</f>
        <v>13.5</v>
      </c>
      <c r="AR35" s="203">
        <f>'CCC-car.3'!AE78</f>
        <v>0</v>
      </c>
      <c r="AS35" s="203">
        <f>'CCC-car.3'!AF78</f>
        <v>0</v>
      </c>
      <c r="AT35" s="339" t="s">
        <v>57</v>
      </c>
      <c r="AU35" s="205">
        <f t="shared" si="3"/>
        <v>0</v>
      </c>
      <c r="AV35" s="203">
        <f>'CCC-car.4'!AD78</f>
        <v>13.5</v>
      </c>
      <c r="AW35" s="203">
        <f>'CCC-car.4'!AE78</f>
        <v>0</v>
      </c>
      <c r="AX35" s="203">
        <f>'CCC-car.4'!AF78</f>
        <v>0</v>
      </c>
      <c r="AY35" s="339" t="s">
        <v>57</v>
      </c>
      <c r="AZ35" s="205">
        <f t="shared" si="4"/>
        <v>0</v>
      </c>
      <c r="BA35" s="203">
        <f>'CCC-car.5'!AD78</f>
        <v>13.5</v>
      </c>
      <c r="BB35" s="203">
        <f>'CCC-car.5'!AE78</f>
        <v>0</v>
      </c>
      <c r="BC35" s="203">
        <f>'CCC-car.5'!AF78</f>
        <v>0</v>
      </c>
    </row>
    <row r="36" spans="22:55" x14ac:dyDescent="0.2">
      <c r="AE36" s="339"/>
      <c r="AF36" s="206">
        <f t="shared" ref="AF36:AF38" si="9">AG36-$AG$34</f>
        <v>0</v>
      </c>
      <c r="AG36" s="201">
        <f>'CCC-car.1'!AD79</f>
        <v>13.5</v>
      </c>
      <c r="AH36" s="201">
        <f>'CCC-car.1'!AE79</f>
        <v>0</v>
      </c>
      <c r="AI36" s="201">
        <f>'CCC-car.1'!AF79</f>
        <v>0</v>
      </c>
      <c r="AJ36" s="339"/>
      <c r="AK36" s="206">
        <f t="shared" si="1"/>
        <v>0</v>
      </c>
      <c r="AL36" s="201">
        <f>'CCC-car.2'!AD79</f>
        <v>13.5</v>
      </c>
      <c r="AM36" s="201">
        <f>'CCC-car.2'!AE79</f>
        <v>0</v>
      </c>
      <c r="AN36" s="201">
        <f>'CCC-car.2'!AF79</f>
        <v>0</v>
      </c>
      <c r="AO36" s="339"/>
      <c r="AP36" s="206">
        <f t="shared" si="2"/>
        <v>0</v>
      </c>
      <c r="AQ36" s="201">
        <f>'CCC-car.3'!AD79</f>
        <v>13.5</v>
      </c>
      <c r="AR36" s="201">
        <f>'CCC-car.3'!AE79</f>
        <v>0</v>
      </c>
      <c r="AS36" s="201">
        <f>'CCC-car.3'!AF79</f>
        <v>0</v>
      </c>
      <c r="AT36" s="339"/>
      <c r="AU36" s="206">
        <f t="shared" si="3"/>
        <v>0</v>
      </c>
      <c r="AV36" s="201">
        <f>'CCC-car.4'!AD79</f>
        <v>13.5</v>
      </c>
      <c r="AW36" s="201">
        <f>'CCC-car.4'!AE79</f>
        <v>0</v>
      </c>
      <c r="AX36" s="201">
        <f>'CCC-car.4'!AF79</f>
        <v>0</v>
      </c>
      <c r="AY36" s="339"/>
      <c r="AZ36" s="206">
        <f t="shared" si="4"/>
        <v>0</v>
      </c>
      <c r="BA36" s="201">
        <f>'CCC-car.5'!AD79</f>
        <v>13.5</v>
      </c>
      <c r="BB36" s="201">
        <f>'CCC-car.5'!AE79</f>
        <v>0</v>
      </c>
      <c r="BC36" s="201">
        <f>'CCC-car.5'!AF79</f>
        <v>0</v>
      </c>
    </row>
    <row r="37" spans="22:55" x14ac:dyDescent="0.2">
      <c r="AE37" s="339"/>
      <c r="AF37" s="206">
        <f t="shared" si="9"/>
        <v>0</v>
      </c>
      <c r="AG37" s="201">
        <f>'CCC-car.1'!AD80</f>
        <v>13.5</v>
      </c>
      <c r="AH37" s="201">
        <f>'CCC-car.1'!AE80</f>
        <v>0</v>
      </c>
      <c r="AI37" s="201">
        <f>'CCC-car.1'!AF80</f>
        <v>0</v>
      </c>
      <c r="AJ37" s="339"/>
      <c r="AK37" s="206">
        <f t="shared" si="1"/>
        <v>0</v>
      </c>
      <c r="AL37" s="201">
        <f>'CCC-car.2'!AD80</f>
        <v>13.5</v>
      </c>
      <c r="AM37" s="201">
        <f>'CCC-car.2'!AE80</f>
        <v>0</v>
      </c>
      <c r="AN37" s="201">
        <f>'CCC-car.2'!AF80</f>
        <v>0</v>
      </c>
      <c r="AO37" s="339"/>
      <c r="AP37" s="206">
        <f t="shared" si="2"/>
        <v>0</v>
      </c>
      <c r="AQ37" s="201">
        <f>'CCC-car.3'!AD80</f>
        <v>13.5</v>
      </c>
      <c r="AR37" s="201">
        <f>'CCC-car.3'!AE80</f>
        <v>0</v>
      </c>
      <c r="AS37" s="201">
        <f>'CCC-car.3'!AF80</f>
        <v>0</v>
      </c>
      <c r="AT37" s="339"/>
      <c r="AU37" s="206">
        <f t="shared" si="3"/>
        <v>0</v>
      </c>
      <c r="AV37" s="201">
        <f>'CCC-car.4'!AD80</f>
        <v>13.5</v>
      </c>
      <c r="AW37" s="201">
        <f>'CCC-car.4'!AE80</f>
        <v>0</v>
      </c>
      <c r="AX37" s="201">
        <f>'CCC-car.4'!AF80</f>
        <v>0</v>
      </c>
      <c r="AY37" s="339"/>
      <c r="AZ37" s="206">
        <f t="shared" si="4"/>
        <v>0</v>
      </c>
      <c r="BA37" s="201">
        <f>'CCC-car.5'!AD80</f>
        <v>13.5</v>
      </c>
      <c r="BB37" s="201">
        <f>'CCC-car.5'!AE80</f>
        <v>0</v>
      </c>
      <c r="BC37" s="201">
        <f>'CCC-car.5'!AF80</f>
        <v>0</v>
      </c>
    </row>
    <row r="38" spans="22:55" ht="15" customHeight="1" x14ac:dyDescent="0.2">
      <c r="V38" s="341" t="s">
        <v>66</v>
      </c>
      <c r="W38" s="341"/>
      <c r="X38" s="341"/>
      <c r="Y38" s="341"/>
      <c r="Z38" s="341"/>
      <c r="AA38" s="341"/>
      <c r="AB38" s="341"/>
      <c r="AC38" s="341"/>
      <c r="AD38" s="51"/>
      <c r="AE38" s="339"/>
      <c r="AF38" s="207">
        <f t="shared" si="9"/>
        <v>0</v>
      </c>
      <c r="AG38" s="204">
        <f>'CCC-car.1'!AD81</f>
        <v>13.5</v>
      </c>
      <c r="AH38" s="204">
        <f>'CCC-car.1'!AE81</f>
        <v>0</v>
      </c>
      <c r="AI38" s="204">
        <f>'CCC-car.1'!AF81</f>
        <v>0</v>
      </c>
      <c r="AJ38" s="339"/>
      <c r="AK38" s="207">
        <f t="shared" si="1"/>
        <v>0</v>
      </c>
      <c r="AL38" s="204">
        <f>'CCC-car.2'!AD81</f>
        <v>13.5</v>
      </c>
      <c r="AM38" s="204">
        <f>'CCC-car.2'!AE81</f>
        <v>0</v>
      </c>
      <c r="AN38" s="204">
        <f>'CCC-car.2'!AF81</f>
        <v>0</v>
      </c>
      <c r="AO38" s="339"/>
      <c r="AP38" s="207">
        <f t="shared" si="2"/>
        <v>0</v>
      </c>
      <c r="AQ38" s="204">
        <f>'CCC-car.3'!AD81</f>
        <v>13.5</v>
      </c>
      <c r="AR38" s="204">
        <f>'CCC-car.3'!AE81</f>
        <v>0</v>
      </c>
      <c r="AS38" s="204">
        <f>'CCC-car.3'!AF81</f>
        <v>0</v>
      </c>
      <c r="AT38" s="339"/>
      <c r="AU38" s="207">
        <f t="shared" si="3"/>
        <v>0</v>
      </c>
      <c r="AV38" s="204">
        <f>'CCC-car.4'!AD81</f>
        <v>13.5</v>
      </c>
      <c r="AW38" s="204">
        <f>'CCC-car.4'!AE81</f>
        <v>0</v>
      </c>
      <c r="AX38" s="204">
        <f>'CCC-car.4'!AF81</f>
        <v>0</v>
      </c>
      <c r="AY38" s="339"/>
      <c r="AZ38" s="207">
        <f t="shared" si="4"/>
        <v>0</v>
      </c>
      <c r="BA38" s="204">
        <f>'CCC-car.5'!AD81</f>
        <v>13.5</v>
      </c>
      <c r="BB38" s="204">
        <f>'CCC-car.5'!AE81</f>
        <v>0</v>
      </c>
      <c r="BC38" s="204">
        <f>'CCC-car.5'!AF81</f>
        <v>0</v>
      </c>
    </row>
    <row r="39" spans="22:55" x14ac:dyDescent="0.2">
      <c r="V39" s="43" t="s">
        <v>8</v>
      </c>
      <c r="W39" s="43" t="s">
        <v>9</v>
      </c>
      <c r="X39" s="43" t="s">
        <v>10</v>
      </c>
      <c r="Y39" s="43" t="s">
        <v>11</v>
      </c>
      <c r="Z39" s="43" t="s">
        <v>76</v>
      </c>
      <c r="AA39" s="43" t="s">
        <v>77</v>
      </c>
      <c r="AB39" s="43" t="s">
        <v>92</v>
      </c>
      <c r="AC39" s="43" t="s">
        <v>93</v>
      </c>
      <c r="AD39" s="3"/>
      <c r="AE39" s="52"/>
      <c r="AF39" s="15"/>
      <c r="AG39" s="11"/>
      <c r="AH39" s="11"/>
      <c r="AI39" s="11"/>
      <c r="AJ39" s="52"/>
      <c r="AK39" s="15"/>
      <c r="AL39" s="11"/>
      <c r="AM39" s="11"/>
      <c r="AN39" s="11"/>
      <c r="AO39" s="52"/>
      <c r="AP39" s="15"/>
      <c r="AQ39" s="11"/>
      <c r="AR39" s="11"/>
      <c r="AS39" s="11"/>
      <c r="AT39" s="52"/>
      <c r="AU39" s="15"/>
      <c r="AV39" s="11"/>
      <c r="AW39" s="11"/>
      <c r="AX39" s="11"/>
      <c r="AY39" s="52"/>
      <c r="AZ39" s="15"/>
      <c r="BA39" s="11"/>
      <c r="BB39" s="11"/>
      <c r="BC39" s="11"/>
    </row>
    <row r="40" spans="22:55" x14ac:dyDescent="0.2">
      <c r="V40" s="344" t="s">
        <v>67</v>
      </c>
      <c r="W40" s="344"/>
      <c r="X40" s="344"/>
      <c r="Y40" s="344"/>
      <c r="Z40" s="344"/>
      <c r="AA40" s="344"/>
      <c r="AB40" s="344"/>
      <c r="AC40" s="344"/>
      <c r="AD40" s="51"/>
      <c r="AE40" s="52"/>
      <c r="AF40" s="15"/>
      <c r="AG40" s="11"/>
      <c r="AH40" s="11"/>
      <c r="AI40" s="11"/>
      <c r="AJ40" s="52"/>
      <c r="AK40" s="15"/>
      <c r="AL40" s="11"/>
      <c r="AM40" s="11"/>
      <c r="AN40" s="11"/>
      <c r="AO40" s="52"/>
      <c r="AP40" s="15"/>
      <c r="AQ40" s="11"/>
      <c r="AR40" s="11"/>
      <c r="AS40" s="11"/>
      <c r="AT40" s="52"/>
      <c r="AU40" s="15"/>
      <c r="AV40" s="11"/>
      <c r="AW40" s="11"/>
      <c r="AX40" s="11"/>
      <c r="AY40" s="52"/>
      <c r="AZ40" s="15"/>
      <c r="BA40" s="11"/>
      <c r="BB40" s="11"/>
      <c r="BC40" s="11"/>
    </row>
    <row r="41" spans="22:55" x14ac:dyDescent="0.2">
      <c r="V41" s="2" t="s">
        <v>49</v>
      </c>
      <c r="AE41" s="52"/>
      <c r="AF41" s="15"/>
      <c r="AG41" s="11"/>
      <c r="AH41" s="11"/>
      <c r="AI41" s="11"/>
      <c r="AJ41" s="52"/>
      <c r="AK41" s="15"/>
      <c r="AL41" s="11"/>
      <c r="AM41" s="11"/>
      <c r="AN41" s="11"/>
      <c r="AO41" s="52"/>
      <c r="AP41" s="15"/>
      <c r="AQ41" s="11"/>
      <c r="AR41" s="11"/>
      <c r="AS41" s="11"/>
      <c r="AT41" s="52"/>
      <c r="AU41" s="15"/>
      <c r="AV41" s="11"/>
      <c r="AW41" s="11"/>
      <c r="AX41" s="11"/>
      <c r="AY41" s="52"/>
      <c r="AZ41" s="15"/>
      <c r="BA41" s="11"/>
      <c r="BB41" s="11"/>
      <c r="BC41" s="11"/>
    </row>
    <row r="42" spans="22:55" x14ac:dyDescent="0.2">
      <c r="V42" s="201">
        <f>AI7</f>
        <v>0</v>
      </c>
      <c r="W42" s="201">
        <f>AI8</f>
        <v>61.322442602040823</v>
      </c>
      <c r="X42" s="201">
        <f>AI16</f>
        <v>-112.35755739795918</v>
      </c>
      <c r="Y42" s="201">
        <f>AI17</f>
        <v>119.40499999999999</v>
      </c>
      <c r="Z42" s="201">
        <f>AI25</f>
        <v>-119.40500000000002</v>
      </c>
      <c r="AA42" s="201">
        <f>AI26</f>
        <v>112.35755739795918</v>
      </c>
      <c r="AB42" s="201">
        <f>AI34</f>
        <v>-61.322442602040823</v>
      </c>
      <c r="AC42" s="201">
        <f>AI35</f>
        <v>0</v>
      </c>
      <c r="AD42" s="11"/>
      <c r="AE42" s="52"/>
      <c r="AF42" s="15"/>
      <c r="AG42" s="11"/>
      <c r="AH42" s="11"/>
      <c r="AI42" s="11"/>
      <c r="AJ42" s="52"/>
      <c r="AK42" s="15"/>
      <c r="AL42" s="11"/>
      <c r="AM42" s="11"/>
      <c r="AN42" s="11"/>
      <c r="AO42" s="52"/>
      <c r="AP42" s="15"/>
      <c r="AQ42" s="11"/>
      <c r="AR42" s="11"/>
      <c r="AS42" s="11"/>
      <c r="AT42" s="52"/>
      <c r="AU42" s="15"/>
      <c r="AV42" s="11"/>
      <c r="AW42" s="11"/>
      <c r="AX42" s="11"/>
      <c r="AY42" s="52"/>
      <c r="AZ42" s="15"/>
      <c r="BA42" s="11"/>
      <c r="BB42" s="11"/>
      <c r="BC42" s="11"/>
    </row>
    <row r="43" spans="22:55" ht="12" customHeight="1" x14ac:dyDescent="0.2">
      <c r="V43" s="333"/>
      <c r="W43" s="333"/>
      <c r="X43" s="333"/>
      <c r="Y43" s="333"/>
      <c r="Z43" s="333"/>
      <c r="AA43" s="333"/>
      <c r="AB43" s="333"/>
      <c r="AC43" s="333"/>
      <c r="AD43" s="3"/>
      <c r="AE43" s="52"/>
      <c r="AF43" s="15"/>
      <c r="AG43" s="11"/>
      <c r="AH43" s="11"/>
      <c r="AI43" s="11"/>
      <c r="AJ43" s="52"/>
      <c r="AK43" s="15"/>
      <c r="AL43" s="11"/>
      <c r="AM43" s="11"/>
      <c r="AN43" s="11"/>
      <c r="AO43" s="52"/>
      <c r="AP43" s="15"/>
      <c r="AQ43" s="11"/>
      <c r="AR43" s="11"/>
      <c r="AS43" s="11"/>
      <c r="AT43" s="52"/>
      <c r="AU43" s="15"/>
      <c r="AV43" s="11"/>
      <c r="AW43" s="11"/>
      <c r="AX43" s="11"/>
      <c r="AY43" s="52"/>
      <c r="AZ43" s="15"/>
      <c r="BA43" s="11"/>
      <c r="BB43" s="11"/>
      <c r="BC43" s="11"/>
    </row>
    <row r="44" spans="22:55" ht="12" customHeight="1" x14ac:dyDescent="0.2">
      <c r="V44" s="2" t="s">
        <v>50</v>
      </c>
      <c r="W44" s="333"/>
      <c r="X44" s="333"/>
      <c r="Y44" s="333"/>
      <c r="Z44" s="333"/>
      <c r="AA44" s="333"/>
      <c r="AB44" s="333"/>
      <c r="AC44" s="333"/>
      <c r="AD44" s="3"/>
    </row>
    <row r="45" spans="22:55" x14ac:dyDescent="0.2">
      <c r="V45" s="201">
        <f>AN7</f>
        <v>0</v>
      </c>
      <c r="W45" s="201">
        <f>AN8</f>
        <v>40.787748724489788</v>
      </c>
      <c r="X45" s="201">
        <f>AN16</f>
        <v>-88.172251275510192</v>
      </c>
      <c r="Y45" s="201">
        <f>AN17</f>
        <v>119.40499999999999</v>
      </c>
      <c r="Z45" s="201">
        <f>AN25</f>
        <v>-119.40500000000002</v>
      </c>
      <c r="AA45" s="201">
        <f>AN26</f>
        <v>88.172251275510192</v>
      </c>
      <c r="AB45" s="201">
        <f>AN34</f>
        <v>-40.787748724489788</v>
      </c>
      <c r="AC45" s="201">
        <f>AN35</f>
        <v>0</v>
      </c>
      <c r="AD45" s="11"/>
    </row>
    <row r="46" spans="22:55" x14ac:dyDescent="0.2">
      <c r="V46" s="333"/>
      <c r="W46" s="333"/>
      <c r="X46" s="333"/>
      <c r="Y46" s="333"/>
      <c r="Z46" s="333"/>
      <c r="AA46" s="333"/>
      <c r="AB46" s="333"/>
      <c r="AC46" s="333"/>
      <c r="AD46" s="3"/>
    </row>
    <row r="47" spans="22:55" x14ac:dyDescent="0.2">
      <c r="V47" s="2" t="s">
        <v>51</v>
      </c>
      <c r="W47" s="333"/>
      <c r="X47" s="333"/>
      <c r="Y47" s="333"/>
      <c r="Z47" s="333"/>
      <c r="AA47" s="333"/>
      <c r="AB47" s="333"/>
      <c r="AC47" s="333"/>
      <c r="AD47" s="3"/>
    </row>
    <row r="48" spans="22:55" x14ac:dyDescent="0.2">
      <c r="V48" s="201">
        <f>AS7</f>
        <v>0</v>
      </c>
      <c r="W48" s="201">
        <f>AS8</f>
        <v>66.067525510204092</v>
      </c>
      <c r="X48" s="201">
        <f>AS16</f>
        <v>-107.61247448979591</v>
      </c>
      <c r="Y48" s="201">
        <f>AS17</f>
        <v>88.659999999999982</v>
      </c>
      <c r="Z48" s="201">
        <f>AS25</f>
        <v>-88.659999999999982</v>
      </c>
      <c r="AA48" s="201">
        <f>AS26</f>
        <v>107.61247448979591</v>
      </c>
      <c r="AB48" s="201">
        <f>AS34</f>
        <v>-66.067525510204092</v>
      </c>
      <c r="AC48" s="201">
        <f>AS35</f>
        <v>0</v>
      </c>
      <c r="AD48" s="11"/>
      <c r="AE48" s="333"/>
      <c r="AF48" s="15"/>
      <c r="AG48" s="15"/>
      <c r="AH48" s="15"/>
      <c r="AI48" s="5"/>
      <c r="AJ48" s="15"/>
      <c r="AK48" s="15"/>
      <c r="AL48" s="15"/>
      <c r="AM48" s="5"/>
      <c r="AN48" s="15"/>
      <c r="AT48" s="4"/>
      <c r="AU48" s="4"/>
      <c r="AV48" s="4"/>
      <c r="AW48" s="4"/>
      <c r="AX48" s="4"/>
    </row>
    <row r="49" spans="21:50" x14ac:dyDescent="0.2">
      <c r="V49" s="333"/>
      <c r="W49" s="333"/>
      <c r="X49" s="333"/>
      <c r="Y49" s="333"/>
      <c r="Z49" s="333"/>
      <c r="AA49" s="333"/>
      <c r="AB49" s="333"/>
      <c r="AC49" s="333"/>
      <c r="AD49" s="3"/>
      <c r="AE49" s="333"/>
      <c r="AF49" s="15"/>
      <c r="AG49" s="15"/>
      <c r="AH49" s="15"/>
      <c r="AI49" s="5"/>
      <c r="AJ49" s="15"/>
      <c r="AK49" s="15"/>
      <c r="AL49" s="15"/>
      <c r="AM49" s="5"/>
      <c r="AN49" s="15"/>
      <c r="AO49" s="15"/>
      <c r="AP49" s="15"/>
      <c r="AQ49" s="4"/>
      <c r="AR49" s="4"/>
      <c r="AS49" s="4"/>
      <c r="AT49" s="4"/>
      <c r="AU49" s="4"/>
      <c r="AV49" s="4"/>
      <c r="AW49" s="4"/>
      <c r="AX49" s="4"/>
    </row>
    <row r="50" spans="21:50" x14ac:dyDescent="0.2">
      <c r="V50" s="2" t="s">
        <v>52</v>
      </c>
      <c r="W50" s="333"/>
      <c r="X50" s="333"/>
      <c r="Y50" s="333"/>
      <c r="Z50" s="333"/>
      <c r="AA50" s="333"/>
      <c r="AB50" s="333"/>
      <c r="AC50" s="333"/>
      <c r="AD50" s="3"/>
      <c r="AE50" s="333"/>
      <c r="AF50" s="5"/>
      <c r="AG50" s="5"/>
      <c r="AH50" s="5"/>
      <c r="AI50" s="5"/>
      <c r="AJ50" s="15"/>
      <c r="AK50" s="15"/>
      <c r="AL50" s="15"/>
      <c r="AM50" s="5"/>
      <c r="AN50" s="15"/>
      <c r="AO50" s="15"/>
      <c r="AP50" s="15"/>
      <c r="AQ50" s="4"/>
      <c r="AR50" s="5"/>
      <c r="AS50" s="5"/>
      <c r="AT50" s="4"/>
      <c r="AU50" s="4"/>
      <c r="AV50" s="4"/>
      <c r="AW50" s="4"/>
      <c r="AX50" s="4"/>
    </row>
    <row r="51" spans="21:50" x14ac:dyDescent="0.2">
      <c r="V51" s="201">
        <f>AX7</f>
        <v>0</v>
      </c>
      <c r="W51" s="201">
        <f>AX8</f>
        <v>41.531391959561603</v>
      </c>
      <c r="X51" s="201">
        <f>AX16</f>
        <v>-87.428608040438377</v>
      </c>
      <c r="Y51" s="201">
        <f>AX17</f>
        <v>116.99584175084173</v>
      </c>
      <c r="Z51" s="201">
        <f>AX25</f>
        <v>-121.81415824915827</v>
      </c>
      <c r="AA51" s="201">
        <f>AX26</f>
        <v>113.101200633031</v>
      </c>
      <c r="AB51" s="201">
        <f>AX34</f>
        <v>-60.578799366969008</v>
      </c>
      <c r="AC51" s="201">
        <f>AX35</f>
        <v>0</v>
      </c>
      <c r="AD51" s="11"/>
      <c r="AE51" s="333"/>
      <c r="AF51" s="5"/>
      <c r="AG51" s="5"/>
      <c r="AH51" s="5"/>
      <c r="AI51" s="5"/>
      <c r="AJ51" s="15"/>
      <c r="AK51" s="15"/>
      <c r="AL51" s="15"/>
      <c r="AM51" s="5"/>
      <c r="AN51" s="15"/>
      <c r="AO51" s="15"/>
      <c r="AP51" s="15"/>
      <c r="AQ51" s="4"/>
      <c r="AR51" s="15"/>
      <c r="AS51" s="5"/>
      <c r="AT51" s="4"/>
      <c r="AU51" s="4"/>
      <c r="AV51" s="4"/>
      <c r="AW51" s="4"/>
      <c r="AX51" s="4"/>
    </row>
    <row r="52" spans="21:50" x14ac:dyDescent="0.2">
      <c r="V52" s="333"/>
      <c r="W52" s="333"/>
      <c r="X52" s="3"/>
      <c r="Y52" s="3"/>
      <c r="Z52" s="333"/>
      <c r="AA52" s="333"/>
      <c r="AB52" s="333"/>
      <c r="AC52" s="333"/>
      <c r="AD52" s="3"/>
      <c r="AE52" s="333"/>
      <c r="AF52" s="5"/>
      <c r="AG52" s="5"/>
      <c r="AH52" s="5"/>
      <c r="AI52" s="5"/>
      <c r="AJ52" s="15"/>
      <c r="AK52" s="15"/>
      <c r="AL52" s="15"/>
      <c r="AM52" s="5"/>
      <c r="AN52" s="15"/>
      <c r="AO52" s="15"/>
      <c r="AP52" s="15"/>
      <c r="AQ52" s="4"/>
      <c r="AR52" s="15"/>
      <c r="AS52" s="5"/>
      <c r="AT52" s="4"/>
      <c r="AU52" s="5"/>
      <c r="AV52" s="5"/>
      <c r="AW52" s="4"/>
      <c r="AX52" s="4"/>
    </row>
    <row r="53" spans="21:50" x14ac:dyDescent="0.2">
      <c r="V53" s="2" t="s">
        <v>53</v>
      </c>
      <c r="W53" s="333"/>
      <c r="X53" s="3"/>
      <c r="Y53" s="3"/>
      <c r="Z53" s="333"/>
      <c r="AA53" s="333"/>
      <c r="AB53" s="333"/>
      <c r="AC53" s="333"/>
      <c r="AD53" s="3"/>
      <c r="AE53" s="333"/>
      <c r="AF53" s="5"/>
      <c r="AG53" s="5"/>
      <c r="AH53" s="5"/>
      <c r="AI53" s="5"/>
      <c r="AJ53" s="15"/>
      <c r="AK53" s="15"/>
      <c r="AL53" s="15"/>
      <c r="AM53" s="5"/>
      <c r="AN53" s="15"/>
      <c r="AO53" s="15"/>
      <c r="AP53" s="15"/>
      <c r="AQ53" s="4"/>
      <c r="AR53" s="15"/>
      <c r="AS53" s="5"/>
      <c r="AT53" s="4"/>
      <c r="AU53" s="15"/>
      <c r="AV53" s="5"/>
      <c r="AW53" s="4"/>
      <c r="AX53" s="4"/>
    </row>
    <row r="54" spans="21:50" x14ac:dyDescent="0.2">
      <c r="V54" s="201">
        <f>BC7</f>
        <v>0</v>
      </c>
      <c r="W54" s="201">
        <f>BC8</f>
        <v>60.578799366969008</v>
      </c>
      <c r="X54" s="201">
        <f>BC16</f>
        <v>-113.101200633031</v>
      </c>
      <c r="Y54" s="201">
        <f>BC17</f>
        <v>121.81415824915825</v>
      </c>
      <c r="Z54" s="201">
        <f>BC25</f>
        <v>-116.99584175084175</v>
      </c>
      <c r="AA54" s="201">
        <f>BC26</f>
        <v>87.428608040438377</v>
      </c>
      <c r="AB54" s="201">
        <f>BC34</f>
        <v>-41.531391959561603</v>
      </c>
      <c r="AC54" s="201">
        <f>BC35</f>
        <v>0</v>
      </c>
      <c r="AD54" s="11"/>
      <c r="AE54" s="333"/>
      <c r="AF54" s="5"/>
      <c r="AG54" s="5"/>
      <c r="AH54" s="5"/>
      <c r="AI54" s="5"/>
      <c r="AJ54" s="15"/>
      <c r="AK54" s="15"/>
      <c r="AL54" s="15"/>
      <c r="AM54" s="5"/>
      <c r="AN54" s="15"/>
      <c r="AO54" s="15"/>
      <c r="AP54" s="15"/>
      <c r="AQ54" s="4"/>
      <c r="AR54" s="15"/>
      <c r="AS54" s="5"/>
      <c r="AT54" s="4"/>
      <c r="AU54" s="15"/>
      <c r="AV54" s="5"/>
      <c r="AW54" s="4"/>
      <c r="AX54" s="4"/>
    </row>
    <row r="55" spans="21:50" x14ac:dyDescent="0.2">
      <c r="U55" s="333"/>
      <c r="V55" s="333"/>
      <c r="W55" s="3"/>
      <c r="X55" s="3"/>
      <c r="Y55" s="333"/>
      <c r="Z55" s="333"/>
      <c r="AA55" s="333"/>
      <c r="AB55" s="333"/>
      <c r="AC55" s="333"/>
      <c r="AD55" s="333"/>
      <c r="AE55" s="333"/>
      <c r="AF55" s="5"/>
      <c r="AG55" s="5"/>
      <c r="AH55" s="5"/>
      <c r="AI55" s="5"/>
      <c r="AJ55" s="5"/>
      <c r="AK55" s="5"/>
      <c r="AL55" s="5"/>
      <c r="AM55" s="5"/>
      <c r="AN55" s="15"/>
      <c r="AO55" s="15"/>
      <c r="AP55" s="15"/>
      <c r="AQ55" s="4"/>
      <c r="AR55" s="15"/>
      <c r="AS55" s="5"/>
      <c r="AT55" s="4"/>
      <c r="AU55" s="15"/>
      <c r="AV55" s="5"/>
      <c r="AW55" s="4"/>
      <c r="AX55" s="4"/>
    </row>
    <row r="56" spans="21:50" x14ac:dyDescent="0.2">
      <c r="U56" s="333"/>
      <c r="V56" s="333"/>
      <c r="W56" s="333"/>
      <c r="X56" s="333"/>
      <c r="Y56" s="333"/>
      <c r="Z56" s="333"/>
      <c r="AA56" s="333"/>
      <c r="AB56" s="333"/>
      <c r="AC56" s="333"/>
      <c r="AD56" s="333"/>
      <c r="AE56" s="333"/>
      <c r="AF56" s="5"/>
      <c r="AG56" s="5"/>
      <c r="AH56" s="5"/>
      <c r="AI56" s="5"/>
      <c r="AJ56" s="5"/>
      <c r="AK56" s="5"/>
      <c r="AL56" s="5"/>
      <c r="AM56" s="5"/>
      <c r="AN56" s="15"/>
      <c r="AO56" s="15"/>
      <c r="AP56" s="15"/>
      <c r="AQ56" s="4"/>
      <c r="AR56" s="4"/>
      <c r="AS56" s="4"/>
      <c r="AT56" s="4"/>
      <c r="AU56" s="15"/>
      <c r="AV56" s="5"/>
      <c r="AW56" s="4"/>
      <c r="AX56" s="4"/>
    </row>
    <row r="57" spans="21:50" x14ac:dyDescent="0.2">
      <c r="U57" s="333"/>
      <c r="Y57" s="341" t="s">
        <v>68</v>
      </c>
      <c r="Z57" s="341"/>
      <c r="AA57" s="341"/>
      <c r="AB57" s="341"/>
      <c r="AC57" s="333"/>
      <c r="AD57" s="333"/>
      <c r="AE57" s="333"/>
      <c r="AF57" s="5"/>
      <c r="AG57" s="5"/>
      <c r="AH57" s="5"/>
      <c r="AI57" s="5"/>
      <c r="AJ57" s="5"/>
      <c r="AK57" s="5"/>
      <c r="AL57" s="5"/>
      <c r="AM57" s="5"/>
      <c r="AN57" s="15"/>
      <c r="AO57" s="15"/>
      <c r="AP57" s="15"/>
      <c r="AQ57" s="4"/>
      <c r="AR57" s="4"/>
      <c r="AS57" s="4"/>
      <c r="AT57" s="4"/>
      <c r="AU57" s="15"/>
      <c r="AV57" s="5"/>
      <c r="AW57" s="4"/>
      <c r="AX57" s="4"/>
    </row>
    <row r="58" spans="21:50" x14ac:dyDescent="0.2">
      <c r="U58" s="333"/>
      <c r="X58" s="333"/>
      <c r="Y58" s="43" t="s">
        <v>0</v>
      </c>
      <c r="Z58" s="43" t="s">
        <v>1</v>
      </c>
      <c r="AA58" s="43" t="s">
        <v>78</v>
      </c>
      <c r="AB58" s="43" t="s">
        <v>94</v>
      </c>
      <c r="AC58" s="333"/>
      <c r="AD58" s="333"/>
      <c r="AE58" s="333"/>
      <c r="AF58" s="15"/>
      <c r="AG58" s="15"/>
      <c r="AH58" s="15"/>
      <c r="AI58" s="5"/>
      <c r="AJ58" s="15"/>
      <c r="AK58" s="15"/>
      <c r="AL58" s="15"/>
      <c r="AM58" s="5"/>
      <c r="AN58" s="15"/>
      <c r="AO58" s="15"/>
      <c r="AP58" s="15"/>
      <c r="AQ58" s="4"/>
      <c r="AR58" s="4"/>
      <c r="AS58" s="4"/>
      <c r="AT58" s="4"/>
      <c r="AU58" s="15"/>
      <c r="AV58" s="5"/>
      <c r="AW58" s="4"/>
      <c r="AX58" s="4"/>
    </row>
    <row r="59" spans="21:50" x14ac:dyDescent="0.2">
      <c r="U59" s="333"/>
      <c r="Y59" s="342" t="s">
        <v>67</v>
      </c>
      <c r="Z59" s="342"/>
      <c r="AA59" s="342"/>
      <c r="AB59" s="342"/>
      <c r="AC59" s="333"/>
      <c r="AD59" s="333"/>
      <c r="AE59" s="333"/>
      <c r="AF59" s="15"/>
      <c r="AG59" s="15"/>
      <c r="AH59" s="15"/>
      <c r="AI59" s="5"/>
      <c r="AJ59" s="15"/>
      <c r="AK59" s="15"/>
      <c r="AL59" s="15"/>
      <c r="AM59" s="5"/>
      <c r="AN59" s="15"/>
      <c r="AO59" s="15"/>
      <c r="AP59" s="15"/>
      <c r="AQ59" s="4"/>
      <c r="AR59" s="4"/>
      <c r="AS59" s="4"/>
      <c r="AT59" s="4"/>
      <c r="AU59" s="15"/>
      <c r="AV59" s="5"/>
      <c r="AW59" s="4"/>
      <c r="AX59" s="4"/>
    </row>
    <row r="60" spans="21:50" x14ac:dyDescent="0.2">
      <c r="U60" s="333"/>
      <c r="X60" s="42" t="s">
        <v>49</v>
      </c>
      <c r="Y60" s="201">
        <f>'CCC-car.1'!X32</f>
        <v>61.322442602040823</v>
      </c>
      <c r="Z60" s="201">
        <f>'CCC-car.1'!Y32</f>
        <v>231.76255739795917</v>
      </c>
      <c r="AA60" s="201">
        <f>'CCC-car.1'!Z32</f>
        <v>231.7625573979592</v>
      </c>
      <c r="AB60" s="201">
        <f>'CCC-car.1'!AA32</f>
        <v>61.322442602040823</v>
      </c>
      <c r="AC60" s="333"/>
      <c r="AD60" s="333"/>
      <c r="AE60" s="333"/>
      <c r="AF60" s="15"/>
      <c r="AG60" s="15"/>
      <c r="AH60" s="15"/>
      <c r="AI60" s="5"/>
      <c r="AJ60" s="15"/>
      <c r="AK60" s="15"/>
      <c r="AL60" s="15"/>
      <c r="AM60" s="5"/>
      <c r="AN60" s="15"/>
      <c r="AO60" s="15"/>
      <c r="AP60" s="15"/>
      <c r="AQ60" s="4"/>
      <c r="AR60" s="4"/>
      <c r="AS60" s="4"/>
      <c r="AT60" s="4"/>
      <c r="AU60" s="4"/>
      <c r="AV60" s="4"/>
      <c r="AW60" s="4"/>
      <c r="AX60" s="4"/>
    </row>
    <row r="61" spans="21:50" x14ac:dyDescent="0.2">
      <c r="U61" s="333"/>
      <c r="X61" s="42" t="s">
        <v>50</v>
      </c>
      <c r="Y61" s="201">
        <f>'CCC-car.2'!X32</f>
        <v>40.787748724489788</v>
      </c>
      <c r="Z61" s="201">
        <f>'CCC-car.2'!Y32</f>
        <v>207.57725127551018</v>
      </c>
      <c r="AA61" s="201">
        <f>'CCC-car.2'!Z32</f>
        <v>207.57725127551021</v>
      </c>
      <c r="AB61" s="201">
        <f>'CCC-car.2'!AA32</f>
        <v>40.787748724489788</v>
      </c>
      <c r="AC61" s="333"/>
      <c r="AD61" s="333"/>
      <c r="AE61" s="333"/>
      <c r="AF61" s="15"/>
      <c r="AG61" s="15"/>
      <c r="AH61" s="15"/>
      <c r="AI61" s="5"/>
      <c r="AJ61" s="15"/>
      <c r="AK61" s="15"/>
      <c r="AL61" s="15"/>
      <c r="AM61" s="5"/>
      <c r="AN61" s="15"/>
      <c r="AO61" s="15"/>
      <c r="AP61" s="15"/>
      <c r="AQ61" s="4"/>
      <c r="AR61" s="4"/>
      <c r="AS61" s="4"/>
      <c r="AT61" s="4"/>
      <c r="AU61" s="4"/>
      <c r="AV61" s="4"/>
      <c r="AW61" s="4"/>
      <c r="AX61" s="4"/>
    </row>
    <row r="62" spans="21:50" x14ac:dyDescent="0.2">
      <c r="U62" s="333"/>
      <c r="X62" s="42" t="s">
        <v>51</v>
      </c>
      <c r="Y62" s="201">
        <f>'CCC-car.3'!X32</f>
        <v>66.067525510204092</v>
      </c>
      <c r="Z62" s="201">
        <f>'CCC-car.3'!Y32</f>
        <v>196.27247448979591</v>
      </c>
      <c r="AA62" s="201">
        <f>'CCC-car.3'!Z32</f>
        <v>196.27247448979591</v>
      </c>
      <c r="AB62" s="201">
        <f>'CCC-car.3'!AA32</f>
        <v>66.067525510204092</v>
      </c>
      <c r="AC62" s="333"/>
      <c r="AD62" s="333"/>
      <c r="AE62" s="333"/>
      <c r="AF62" s="15"/>
      <c r="AG62" s="15"/>
      <c r="AH62" s="15"/>
      <c r="AI62" s="5"/>
      <c r="AJ62" s="15"/>
      <c r="AK62" s="15"/>
      <c r="AL62" s="15"/>
      <c r="AM62" s="5"/>
      <c r="AN62" s="15"/>
      <c r="AO62" s="15"/>
      <c r="AP62" s="15"/>
      <c r="AQ62" s="4"/>
      <c r="AR62" s="4"/>
      <c r="AS62" s="4"/>
      <c r="AT62" s="4"/>
      <c r="AU62" s="4"/>
      <c r="AV62" s="4"/>
      <c r="AW62" s="4"/>
      <c r="AX62" s="4"/>
    </row>
    <row r="63" spans="21:50" x14ac:dyDescent="0.2">
      <c r="U63" s="333"/>
      <c r="V63" s="333"/>
      <c r="X63" s="42" t="s">
        <v>52</v>
      </c>
      <c r="Y63" s="201">
        <f>'CCC-car.4'!X32</f>
        <v>41.531391959561603</v>
      </c>
      <c r="Z63" s="201">
        <f>'CCC-car.4'!Y32</f>
        <v>204.4244497912801</v>
      </c>
      <c r="AA63" s="201">
        <f>'CCC-car.4'!Z32</f>
        <v>234.91535888218925</v>
      </c>
      <c r="AB63" s="201">
        <f>'CCC-car.4'!AA32</f>
        <v>60.578799366969015</v>
      </c>
      <c r="AC63" s="333"/>
      <c r="AD63" s="333"/>
      <c r="AE63" s="333"/>
      <c r="AF63" s="15"/>
      <c r="AG63" s="15"/>
      <c r="AH63" s="15"/>
      <c r="AI63" s="5"/>
      <c r="AJ63" s="15"/>
      <c r="AK63" s="15"/>
      <c r="AL63" s="15"/>
      <c r="AM63" s="5"/>
      <c r="AN63" s="15"/>
      <c r="AO63" s="15"/>
      <c r="AP63" s="15"/>
      <c r="AQ63" s="4"/>
      <c r="AR63" s="4"/>
      <c r="AS63" s="4"/>
      <c r="AT63" s="4"/>
      <c r="AU63" s="4"/>
      <c r="AV63" s="4"/>
      <c r="AW63" s="4"/>
      <c r="AX63" s="4"/>
    </row>
    <row r="64" spans="21:50" x14ac:dyDescent="0.2">
      <c r="U64" s="333"/>
      <c r="V64" s="333"/>
      <c r="X64" s="42" t="s">
        <v>53</v>
      </c>
      <c r="Y64" s="201">
        <f>'CCC-car.5'!X32</f>
        <v>60.578799366969008</v>
      </c>
      <c r="Z64" s="201">
        <f>'CCC-car.5'!Y32</f>
        <v>234.91535888218925</v>
      </c>
      <c r="AA64" s="201">
        <f>'CCC-car.5'!Z32</f>
        <v>204.42444979128013</v>
      </c>
      <c r="AB64" s="201">
        <f>'CCC-car.5'!AA32</f>
        <v>41.531391959561596</v>
      </c>
      <c r="AC64" s="333"/>
      <c r="AD64" s="333"/>
      <c r="AE64" s="333"/>
      <c r="AF64" s="15"/>
      <c r="AG64" s="15"/>
      <c r="AH64" s="15"/>
      <c r="AI64" s="5"/>
      <c r="AJ64" s="15"/>
      <c r="AK64" s="15"/>
      <c r="AL64" s="15"/>
      <c r="AM64" s="5"/>
      <c r="AN64" s="15"/>
      <c r="AO64" s="15"/>
      <c r="AP64" s="15"/>
      <c r="AQ64" s="4"/>
      <c r="AR64" s="4"/>
      <c r="AS64" s="4"/>
      <c r="AT64" s="4"/>
      <c r="AU64" s="4"/>
      <c r="AV64" s="4"/>
      <c r="AW64" s="4"/>
      <c r="AX64" s="4"/>
    </row>
    <row r="65" spans="1:50" x14ac:dyDescent="0.2">
      <c r="AE65" s="333"/>
      <c r="AF65" s="15"/>
      <c r="AG65" s="15"/>
      <c r="AH65" s="15"/>
      <c r="AI65" s="5"/>
      <c r="AJ65" s="15"/>
      <c r="AK65" s="15"/>
      <c r="AL65" s="15"/>
      <c r="AM65" s="5"/>
      <c r="AN65" s="15"/>
      <c r="AO65" s="15"/>
      <c r="AP65" s="15"/>
      <c r="AQ65" s="4"/>
      <c r="AR65" s="4"/>
      <c r="AS65" s="4"/>
      <c r="AT65" s="4"/>
      <c r="AU65" s="4"/>
      <c r="AV65" s="4"/>
      <c r="AW65" s="4"/>
      <c r="AX65" s="4"/>
    </row>
    <row r="66" spans="1:50" x14ac:dyDescent="0.2">
      <c r="AE66" s="333"/>
      <c r="AF66" s="15"/>
      <c r="AG66" s="15"/>
      <c r="AH66" s="15"/>
      <c r="AI66" s="5"/>
      <c r="AJ66" s="15"/>
      <c r="AK66" s="15"/>
      <c r="AL66" s="15"/>
      <c r="AM66" s="5"/>
      <c r="AN66" s="15"/>
      <c r="AO66" s="15"/>
      <c r="AP66" s="15"/>
      <c r="AQ66" s="4"/>
      <c r="AR66" s="4"/>
      <c r="AS66" s="4"/>
      <c r="AT66" s="4"/>
      <c r="AU66" s="4"/>
      <c r="AV66" s="4"/>
      <c r="AW66" s="4"/>
      <c r="AX66" s="4"/>
    </row>
    <row r="67" spans="1:50" x14ac:dyDescent="0.2">
      <c r="AE67" s="333"/>
      <c r="AF67" s="5"/>
      <c r="AG67" s="5"/>
      <c r="AH67" s="5"/>
      <c r="AI67" s="5"/>
      <c r="AJ67" s="5"/>
      <c r="AK67" s="5"/>
      <c r="AL67" s="5"/>
      <c r="AM67" s="5"/>
      <c r="AN67" s="15"/>
      <c r="AO67" s="15"/>
      <c r="AP67" s="15"/>
      <c r="AQ67" s="4"/>
      <c r="AR67" s="4"/>
      <c r="AS67" s="4"/>
      <c r="AT67" s="4"/>
      <c r="AU67" s="4"/>
      <c r="AV67" s="4"/>
      <c r="AW67" s="4"/>
      <c r="AX67" s="4"/>
    </row>
    <row r="68" spans="1:50" x14ac:dyDescent="0.2">
      <c r="AF68" s="4"/>
      <c r="AG68" s="4"/>
      <c r="AH68" s="4"/>
      <c r="AI68" s="4"/>
      <c r="AJ68" s="4"/>
      <c r="AK68" s="4"/>
      <c r="AL68" s="4"/>
      <c r="AM68" s="4"/>
      <c r="AN68" s="15"/>
      <c r="AO68" s="15"/>
      <c r="AP68" s="15"/>
      <c r="AQ68" s="4"/>
      <c r="AR68" s="4"/>
      <c r="AS68" s="4"/>
      <c r="AT68" s="4"/>
      <c r="AU68" s="4"/>
      <c r="AV68" s="4"/>
      <c r="AW68" s="4"/>
      <c r="AX68" s="4"/>
    </row>
    <row r="69" spans="1:50" hidden="1" x14ac:dyDescent="0.2">
      <c r="A69" s="123" t="s">
        <v>462</v>
      </c>
      <c r="B69" s="333"/>
      <c r="C69" s="123" t="s">
        <v>463</v>
      </c>
      <c r="D69" s="333"/>
      <c r="E69" s="132" t="s">
        <v>464</v>
      </c>
      <c r="G69" s="123" t="s">
        <v>448</v>
      </c>
      <c r="I69" s="251" t="s">
        <v>452</v>
      </c>
      <c r="AF69" s="4"/>
      <c r="AG69" s="4"/>
      <c r="AH69" s="4"/>
      <c r="AI69" s="4"/>
      <c r="AJ69" s="4"/>
      <c r="AK69" s="4"/>
      <c r="AL69" s="4"/>
      <c r="AM69" s="4"/>
      <c r="AN69" s="15"/>
      <c r="AO69" s="15"/>
      <c r="AP69" s="15"/>
      <c r="AQ69" s="4"/>
      <c r="AR69" s="4"/>
      <c r="AS69" s="4"/>
      <c r="AT69" s="4"/>
      <c r="AU69" s="4"/>
      <c r="AV69" s="4"/>
      <c r="AW69" s="4"/>
      <c r="AX69" s="4"/>
    </row>
    <row r="70" spans="1:50" hidden="1" x14ac:dyDescent="0.2">
      <c r="A70" s="123" t="s">
        <v>463</v>
      </c>
      <c r="B70" s="333"/>
      <c r="C70" s="123" t="str">
        <f>D6</f>
        <v>ca</v>
      </c>
      <c r="D70" s="333"/>
      <c r="E70" s="132" t="s">
        <v>448</v>
      </c>
      <c r="G70" s="123"/>
      <c r="I70" s="256" t="s">
        <v>124</v>
      </c>
      <c r="AF70" s="5"/>
      <c r="AG70" s="5"/>
      <c r="AH70" s="5"/>
      <c r="AI70" s="4"/>
      <c r="AJ70" s="5"/>
      <c r="AK70" s="5"/>
      <c r="AL70" s="5"/>
      <c r="AM70" s="4"/>
      <c r="AN70" s="15"/>
      <c r="AO70" s="15"/>
      <c r="AP70" s="15"/>
      <c r="AQ70" s="4"/>
      <c r="AR70" s="4"/>
      <c r="AS70" s="4"/>
      <c r="AT70" s="4"/>
      <c r="AU70" s="4"/>
      <c r="AV70" s="4"/>
      <c r="AW70" s="4"/>
      <c r="AX70" s="4"/>
    </row>
    <row r="71" spans="1:50" hidden="1" x14ac:dyDescent="0.2">
      <c r="A71" s="123" t="s">
        <v>464</v>
      </c>
      <c r="B71" s="333"/>
      <c r="C71" s="333"/>
      <c r="D71" s="333"/>
      <c r="E71" s="333"/>
      <c r="F71" s="333"/>
      <c r="I71" s="251" t="s">
        <v>448</v>
      </c>
      <c r="AF71" s="5"/>
      <c r="AG71" s="15"/>
      <c r="AH71" s="15"/>
      <c r="AI71" s="4"/>
      <c r="AJ71" s="15"/>
      <c r="AK71" s="15"/>
      <c r="AL71" s="15"/>
      <c r="AM71" s="4"/>
      <c r="AN71" s="15"/>
      <c r="AO71" s="15"/>
      <c r="AP71" s="15"/>
      <c r="AQ71" s="4"/>
      <c r="AR71" s="4"/>
      <c r="AS71" s="4"/>
      <c r="AT71" s="4"/>
      <c r="AU71" s="4"/>
      <c r="AV71" s="4"/>
      <c r="AW71" s="4"/>
      <c r="AX71" s="4"/>
    </row>
    <row r="72" spans="1:50" hidden="1" x14ac:dyDescent="0.2">
      <c r="AF72" s="5"/>
      <c r="AG72" s="15"/>
      <c r="AH72" s="15"/>
      <c r="AI72" s="4"/>
      <c r="AJ72" s="15"/>
      <c r="AK72" s="15"/>
      <c r="AL72" s="15"/>
      <c r="AM72" s="4"/>
      <c r="AN72" s="15"/>
      <c r="AO72" s="15"/>
      <c r="AP72" s="15"/>
      <c r="AQ72" s="4"/>
      <c r="AR72" s="4"/>
      <c r="AS72" s="4"/>
      <c r="AT72" s="4"/>
      <c r="AU72" s="4"/>
      <c r="AV72" s="4"/>
      <c r="AW72" s="4"/>
      <c r="AX72" s="4"/>
    </row>
    <row r="73" spans="1:50" hidden="1" x14ac:dyDescent="0.2">
      <c r="AF73" s="5"/>
      <c r="AG73" s="15"/>
      <c r="AH73" s="15"/>
      <c r="AI73" s="4"/>
      <c r="AJ73" s="15"/>
      <c r="AK73" s="15"/>
      <c r="AL73" s="15"/>
      <c r="AM73" s="4"/>
      <c r="AN73" s="15"/>
      <c r="AO73" s="15"/>
      <c r="AP73" s="15"/>
      <c r="AQ73" s="4"/>
      <c r="AR73" s="4"/>
      <c r="AS73" s="4"/>
      <c r="AT73" s="4"/>
      <c r="AU73" s="4"/>
      <c r="AV73" s="4"/>
      <c r="AW73" s="4"/>
      <c r="AX73" s="4"/>
    </row>
    <row r="74" spans="1:50" hidden="1" x14ac:dyDescent="0.2">
      <c r="A74" s="335" t="s">
        <v>31</v>
      </c>
      <c r="B74" s="336"/>
      <c r="C74" s="336"/>
      <c r="D74" s="336"/>
      <c r="E74" s="336"/>
      <c r="F74" s="336"/>
      <c r="G74" s="336"/>
      <c r="H74" s="336"/>
      <c r="I74" s="336"/>
      <c r="J74" s="337"/>
      <c r="AF74" s="5"/>
      <c r="AG74" s="15"/>
      <c r="AH74" s="15"/>
      <c r="AI74" s="4"/>
      <c r="AJ74" s="15"/>
      <c r="AK74" s="15"/>
      <c r="AL74" s="15"/>
      <c r="AM74" s="4"/>
      <c r="AN74" s="15"/>
      <c r="AO74" s="15"/>
      <c r="AP74" s="15"/>
      <c r="AQ74" s="4"/>
      <c r="AR74" s="4"/>
      <c r="AS74" s="4"/>
      <c r="AT74" s="4"/>
      <c r="AU74" s="4"/>
      <c r="AV74" s="4"/>
      <c r="AW74" s="4"/>
      <c r="AX74" s="4"/>
    </row>
    <row r="75" spans="1:50" hidden="1" x14ac:dyDescent="0.2">
      <c r="A75" s="261"/>
      <c r="B75" s="2"/>
      <c r="C75" s="2"/>
      <c r="D75" s="2"/>
      <c r="E75" s="2"/>
      <c r="F75" s="2"/>
      <c r="G75" s="2"/>
      <c r="H75" s="2"/>
      <c r="I75" s="2"/>
      <c r="J75" s="262"/>
      <c r="AF75" s="5"/>
      <c r="AG75" s="15"/>
      <c r="AH75" s="15"/>
      <c r="AI75" s="4"/>
      <c r="AJ75" s="5"/>
      <c r="AK75" s="5"/>
      <c r="AL75" s="5"/>
      <c r="AM75" s="4"/>
      <c r="AN75" s="15"/>
      <c r="AO75" s="15"/>
      <c r="AP75" s="15"/>
      <c r="AQ75" s="4"/>
      <c r="AR75" s="4"/>
      <c r="AS75" s="4"/>
      <c r="AT75" s="4"/>
      <c r="AU75" s="4"/>
      <c r="AV75" s="4"/>
      <c r="AW75" s="4"/>
      <c r="AX75" s="4"/>
    </row>
    <row r="76" spans="1:50" ht="13.5" hidden="1" x14ac:dyDescent="0.25">
      <c r="A76" s="263" t="s">
        <v>30</v>
      </c>
      <c r="B76" s="332" t="s">
        <v>38</v>
      </c>
      <c r="C76" s="332" t="s">
        <v>39</v>
      </c>
      <c r="D76" s="332" t="s">
        <v>40</v>
      </c>
      <c r="E76" s="3"/>
      <c r="F76" s="45" t="s">
        <v>72</v>
      </c>
      <c r="G76" s="332" t="s">
        <v>73</v>
      </c>
      <c r="H76" s="332" t="s">
        <v>74</v>
      </c>
      <c r="I76" s="332" t="s">
        <v>75</v>
      </c>
      <c r="J76" s="266"/>
      <c r="AF76" s="5"/>
      <c r="AG76" s="15"/>
      <c r="AH76" s="15"/>
      <c r="AI76" s="4"/>
      <c r="AJ76" s="5"/>
      <c r="AK76" s="5"/>
      <c r="AL76" s="5"/>
      <c r="AM76" s="4"/>
      <c r="AN76" s="15"/>
      <c r="AO76" s="15"/>
      <c r="AP76" s="15"/>
      <c r="AQ76" s="4"/>
      <c r="AR76" s="4"/>
      <c r="AS76" s="4"/>
      <c r="AT76" s="4"/>
      <c r="AU76" s="4"/>
      <c r="AV76" s="4"/>
      <c r="AW76" s="4"/>
      <c r="AX76" s="4"/>
    </row>
    <row r="77" spans="1:50" hidden="1" x14ac:dyDescent="0.2">
      <c r="A77" s="225"/>
      <c r="B77" s="332">
        <v>1</v>
      </c>
      <c r="C77" s="281">
        <f>E19/10^8</f>
        <v>1.3333333333333334E-4</v>
      </c>
      <c r="D77" s="331">
        <f>B77*C77</f>
        <v>1.3333333333333334E-4</v>
      </c>
      <c r="E77" s="3"/>
      <c r="F77" s="3"/>
      <c r="G77" s="332">
        <v>1</v>
      </c>
      <c r="H77" s="281">
        <f>F19/10^8</f>
        <v>1.3333333333333334E-4</v>
      </c>
      <c r="I77" s="331">
        <f>G77*H77</f>
        <v>1.3333333333333334E-4</v>
      </c>
      <c r="J77" s="266"/>
      <c r="AF77" s="5"/>
      <c r="AG77" s="15"/>
      <c r="AH77" s="15"/>
      <c r="AI77" s="4"/>
      <c r="AJ77" s="5"/>
      <c r="AK77" s="5"/>
      <c r="AL77" s="5"/>
      <c r="AM77" s="4"/>
      <c r="AN77" s="15"/>
      <c r="AO77" s="15"/>
      <c r="AP77" s="15"/>
      <c r="AQ77" s="4"/>
      <c r="AR77" s="4"/>
      <c r="AS77" s="4"/>
      <c r="AT77" s="4"/>
      <c r="AU77" s="4"/>
      <c r="AV77" s="4"/>
      <c r="AW77" s="4"/>
      <c r="AX77" s="4"/>
    </row>
    <row r="78" spans="1:50" hidden="1" x14ac:dyDescent="0.2">
      <c r="A78" s="225"/>
      <c r="B78" s="3"/>
      <c r="C78" s="3"/>
      <c r="D78" s="3"/>
      <c r="E78" s="3"/>
      <c r="F78" s="3"/>
      <c r="G78" s="3"/>
      <c r="H78" s="3"/>
      <c r="I78" s="3"/>
      <c r="J78" s="266"/>
      <c r="AF78" s="5"/>
      <c r="AG78" s="15"/>
      <c r="AH78" s="15"/>
      <c r="AI78" s="4"/>
      <c r="AJ78" s="5"/>
      <c r="AK78" s="5"/>
      <c r="AL78" s="5"/>
      <c r="AM78" s="4"/>
      <c r="AN78" s="15"/>
      <c r="AO78" s="15"/>
      <c r="AP78" s="15"/>
      <c r="AQ78" s="4"/>
      <c r="AR78" s="4"/>
      <c r="AS78" s="4"/>
      <c r="AT78" s="4"/>
      <c r="AU78" s="4"/>
      <c r="AV78" s="4"/>
      <c r="AW78" s="4"/>
      <c r="AX78" s="4"/>
    </row>
    <row r="79" spans="1:50" ht="13.5" hidden="1" x14ac:dyDescent="0.25">
      <c r="A79" s="263" t="s">
        <v>88</v>
      </c>
      <c r="B79" s="332" t="s">
        <v>89</v>
      </c>
      <c r="C79" s="332" t="s">
        <v>90</v>
      </c>
      <c r="D79" s="332" t="s">
        <v>91</v>
      </c>
      <c r="E79" s="3"/>
      <c r="F79" s="45"/>
      <c r="G79" s="3"/>
      <c r="H79" s="3"/>
      <c r="I79" s="3"/>
      <c r="J79" s="266"/>
      <c r="AF79" s="5"/>
      <c r="AG79" s="15"/>
      <c r="AH79" s="15"/>
      <c r="AI79" s="4"/>
      <c r="AJ79" s="5"/>
      <c r="AK79" s="5"/>
      <c r="AL79" s="5"/>
      <c r="AM79" s="4"/>
      <c r="AN79" s="15"/>
      <c r="AO79" s="15"/>
      <c r="AP79" s="15"/>
      <c r="AQ79" s="4"/>
      <c r="AR79" s="4"/>
      <c r="AS79" s="4"/>
      <c r="AT79" s="4"/>
      <c r="AU79" s="4"/>
      <c r="AV79" s="4"/>
      <c r="AW79" s="4"/>
      <c r="AX79" s="4"/>
    </row>
    <row r="80" spans="1:50" hidden="1" x14ac:dyDescent="0.2">
      <c r="A80" s="267"/>
      <c r="B80" s="268">
        <v>1</v>
      </c>
      <c r="C80" s="282">
        <f>G19/10^8</f>
        <v>1.3333333333333334E-4</v>
      </c>
      <c r="D80" s="269">
        <f>B80*C80</f>
        <v>1.3333333333333334E-4</v>
      </c>
      <c r="E80" s="328"/>
      <c r="F80" s="328"/>
      <c r="G80" s="328"/>
      <c r="H80" s="328"/>
      <c r="I80" s="328"/>
      <c r="J80" s="283"/>
      <c r="AF80" s="4"/>
      <c r="AG80" s="4"/>
      <c r="AH80" s="4"/>
      <c r="AI80" s="4"/>
      <c r="AJ80" s="4"/>
      <c r="AK80" s="4"/>
      <c r="AL80" s="4"/>
      <c r="AM80" s="4"/>
      <c r="AN80" s="15"/>
      <c r="AO80" s="15"/>
      <c r="AP80" s="15"/>
      <c r="AQ80" s="4"/>
      <c r="AR80" s="4"/>
      <c r="AS80" s="4"/>
      <c r="AT80" s="4"/>
      <c r="AU80" s="4"/>
      <c r="AV80" s="4"/>
      <c r="AW80" s="4"/>
      <c r="AX80" s="4"/>
    </row>
    <row r="81" spans="15:50" x14ac:dyDescent="0.2">
      <c r="AF81" s="4"/>
      <c r="AG81" s="4"/>
      <c r="AH81" s="4"/>
      <c r="AI81" s="4"/>
      <c r="AJ81" s="4"/>
      <c r="AK81" s="4"/>
      <c r="AL81" s="4"/>
      <c r="AM81" s="4"/>
      <c r="AN81" s="15"/>
      <c r="AO81" s="15"/>
      <c r="AP81" s="15"/>
      <c r="AQ81" s="4"/>
      <c r="AR81" s="4"/>
      <c r="AS81" s="4"/>
      <c r="AT81" s="4"/>
      <c r="AU81" s="4"/>
      <c r="AV81" s="4"/>
      <c r="AW81" s="4"/>
      <c r="AX81" s="4"/>
    </row>
    <row r="82" spans="15:50" x14ac:dyDescent="0.2">
      <c r="AF82" s="4"/>
      <c r="AG82" s="4"/>
      <c r="AH82" s="4"/>
      <c r="AI82" s="4"/>
      <c r="AJ82" s="4"/>
      <c r="AK82" s="4"/>
      <c r="AL82" s="4"/>
      <c r="AM82" s="4"/>
      <c r="AN82" s="15"/>
      <c r="AO82" s="15"/>
      <c r="AP82" s="15"/>
      <c r="AQ82" s="4"/>
      <c r="AR82" s="4"/>
      <c r="AS82" s="4"/>
      <c r="AT82" s="4"/>
      <c r="AU82" s="4"/>
      <c r="AV82" s="4"/>
      <c r="AW82" s="4"/>
      <c r="AX82" s="4"/>
    </row>
    <row r="83" spans="15:50" x14ac:dyDescent="0.2">
      <c r="AF83" s="4"/>
      <c r="AG83" s="4"/>
      <c r="AH83" s="4"/>
      <c r="AI83" s="4"/>
      <c r="AJ83" s="4"/>
      <c r="AK83" s="4"/>
      <c r="AL83" s="4"/>
      <c r="AM83" s="4"/>
      <c r="AN83" s="15"/>
      <c r="AO83" s="15"/>
      <c r="AP83" s="15"/>
      <c r="AQ83" s="4"/>
      <c r="AR83" s="4"/>
      <c r="AS83" s="4"/>
      <c r="AT83" s="4"/>
      <c r="AU83" s="4"/>
      <c r="AV83" s="4"/>
      <c r="AW83" s="4"/>
      <c r="AX83" s="4"/>
    </row>
    <row r="84" spans="15:50" x14ac:dyDescent="0.2">
      <c r="AF84" s="4"/>
      <c r="AG84" s="4"/>
      <c r="AH84" s="4"/>
      <c r="AI84" s="4"/>
      <c r="AJ84" s="4"/>
      <c r="AK84" s="4"/>
      <c r="AL84" s="4"/>
      <c r="AM84" s="4"/>
      <c r="AN84" s="15"/>
      <c r="AO84" s="15"/>
      <c r="AP84" s="15"/>
      <c r="AQ84" s="4"/>
      <c r="AR84" s="4"/>
      <c r="AS84" s="4"/>
      <c r="AT84" s="4"/>
      <c r="AU84" s="4"/>
      <c r="AV84" s="4"/>
      <c r="AW84" s="4"/>
      <c r="AX84" s="4"/>
    </row>
    <row r="85" spans="15:50" x14ac:dyDescent="0.2">
      <c r="AF85" s="4"/>
      <c r="AG85" s="4"/>
      <c r="AH85" s="4"/>
      <c r="AI85" s="4"/>
      <c r="AJ85" s="4"/>
      <c r="AK85" s="4"/>
      <c r="AL85" s="4"/>
      <c r="AM85" s="4"/>
      <c r="AN85" s="15"/>
      <c r="AO85" s="15"/>
      <c r="AP85" s="15"/>
      <c r="AQ85" s="4"/>
      <c r="AR85" s="4"/>
      <c r="AS85" s="4"/>
      <c r="AT85" s="4"/>
      <c r="AU85" s="4"/>
      <c r="AV85" s="4"/>
      <c r="AW85" s="4"/>
      <c r="AX85" s="4"/>
    </row>
    <row r="86" spans="15:50" x14ac:dyDescent="0.2">
      <c r="AF86" s="4"/>
      <c r="AG86" s="4"/>
      <c r="AH86" s="4"/>
      <c r="AI86" s="4"/>
      <c r="AJ86" s="4"/>
      <c r="AK86" s="4"/>
      <c r="AL86" s="4"/>
      <c r="AM86" s="4"/>
      <c r="AN86" s="15"/>
      <c r="AO86" s="15"/>
      <c r="AP86" s="15"/>
      <c r="AQ86" s="4"/>
      <c r="AR86" s="4"/>
      <c r="AS86" s="4"/>
      <c r="AT86" s="4"/>
      <c r="AU86" s="4"/>
      <c r="AV86" s="4"/>
      <c r="AW86" s="4"/>
      <c r="AX86" s="4"/>
    </row>
    <row r="87" spans="15:50" x14ac:dyDescent="0.2">
      <c r="AF87" s="4"/>
      <c r="AG87" s="4"/>
      <c r="AH87" s="4"/>
      <c r="AI87" s="4"/>
      <c r="AJ87" s="4"/>
      <c r="AK87" s="4"/>
      <c r="AL87" s="4"/>
      <c r="AM87" s="4"/>
      <c r="AN87" s="15"/>
      <c r="AO87" s="15"/>
      <c r="AP87" s="15"/>
      <c r="AQ87" s="4"/>
      <c r="AR87" s="4"/>
      <c r="AS87" s="4"/>
      <c r="AT87" s="4"/>
      <c r="AU87" s="4"/>
      <c r="AV87" s="4"/>
      <c r="AW87" s="4"/>
      <c r="AX87" s="4"/>
    </row>
    <row r="88" spans="15:50" x14ac:dyDescent="0.2">
      <c r="W88" s="2"/>
      <c r="X88" s="2"/>
      <c r="AF88" s="4"/>
      <c r="AG88" s="4"/>
      <c r="AH88" s="4"/>
      <c r="AI88" s="4"/>
      <c r="AJ88" s="4"/>
      <c r="AK88" s="4"/>
      <c r="AL88" s="4"/>
      <c r="AM88" s="4"/>
      <c r="AN88" s="15"/>
      <c r="AO88" s="15"/>
      <c r="AP88" s="15"/>
      <c r="AQ88" s="4"/>
      <c r="AR88" s="4"/>
      <c r="AS88" s="4"/>
      <c r="AT88" s="4"/>
      <c r="AU88" s="4"/>
      <c r="AV88" s="4"/>
      <c r="AW88" s="4"/>
      <c r="AX88" s="4"/>
    </row>
    <row r="89" spans="15:50" x14ac:dyDescent="0.2">
      <c r="W89" s="11"/>
      <c r="X89" s="11"/>
      <c r="AF89" s="4"/>
      <c r="AG89" s="4"/>
      <c r="AH89" s="4"/>
      <c r="AI89" s="4"/>
      <c r="AJ89" s="4"/>
      <c r="AK89" s="4"/>
      <c r="AL89" s="4"/>
      <c r="AM89" s="4"/>
      <c r="AN89" s="15"/>
      <c r="AO89" s="15"/>
      <c r="AP89" s="15"/>
      <c r="AQ89" s="4"/>
      <c r="AR89" s="4"/>
      <c r="AS89" s="4"/>
      <c r="AT89" s="4"/>
      <c r="AU89" s="4"/>
      <c r="AV89" s="4"/>
      <c r="AW89" s="4"/>
      <c r="AX89" s="4"/>
    </row>
    <row r="90" spans="15:50" x14ac:dyDescent="0.2">
      <c r="W90" s="11"/>
      <c r="X90" s="11"/>
    </row>
    <row r="91" spans="15:50" x14ac:dyDescent="0.2">
      <c r="O91" s="3"/>
      <c r="P91" s="3"/>
      <c r="Q91" s="3"/>
      <c r="W91" s="11"/>
      <c r="X91" s="11"/>
    </row>
    <row r="92" spans="15:50" x14ac:dyDescent="0.2">
      <c r="O92" s="3"/>
      <c r="P92" s="3"/>
      <c r="Q92" s="3"/>
      <c r="W92" s="11"/>
      <c r="X92" s="11"/>
    </row>
    <row r="93" spans="15:50" x14ac:dyDescent="0.2">
      <c r="O93" s="3"/>
      <c r="P93" s="3"/>
      <c r="Q93" s="3"/>
      <c r="W93" s="11"/>
      <c r="X93" s="11"/>
    </row>
    <row r="94" spans="15:50" x14ac:dyDescent="0.2">
      <c r="O94" s="3"/>
      <c r="P94" s="3"/>
      <c r="Q94" s="3"/>
    </row>
    <row r="95" spans="15:50" x14ac:dyDescent="0.2">
      <c r="O95" s="3"/>
      <c r="P95" s="3"/>
      <c r="Q95" s="3"/>
    </row>
    <row r="96" spans="15:50" x14ac:dyDescent="0.2">
      <c r="O96" s="3"/>
      <c r="P96" s="3"/>
      <c r="Q96" s="3"/>
    </row>
    <row r="97" spans="15:17" x14ac:dyDescent="0.2">
      <c r="O97" s="3"/>
      <c r="P97" s="3"/>
      <c r="Q97" s="3"/>
    </row>
    <row r="98" spans="15:17" x14ac:dyDescent="0.2">
      <c r="O98" s="2"/>
      <c r="P98" s="2"/>
      <c r="Q98" s="2"/>
    </row>
    <row r="99" spans="15:17" x14ac:dyDescent="0.2">
      <c r="O99" s="2"/>
      <c r="P99" s="2"/>
      <c r="Q99" s="2"/>
    </row>
  </sheetData>
  <sheetProtection selectLockedCells="1"/>
  <mergeCells count="36">
    <mergeCell ref="V38:AC38"/>
    <mergeCell ref="V40:AC40"/>
    <mergeCell ref="Y57:AB57"/>
    <mergeCell ref="Y59:AB59"/>
    <mergeCell ref="A74:J74"/>
    <mergeCell ref="AE26:AE34"/>
    <mergeCell ref="AJ26:AJ34"/>
    <mergeCell ref="AO26:AO34"/>
    <mergeCell ref="AT26:AT34"/>
    <mergeCell ref="AY26:AY34"/>
    <mergeCell ref="AE35:AE38"/>
    <mergeCell ref="AJ35:AJ38"/>
    <mergeCell ref="AO35:AO38"/>
    <mergeCell ref="AT35:AT38"/>
    <mergeCell ref="AY35:AY38"/>
    <mergeCell ref="D24:H24"/>
    <mergeCell ref="AY4:AY7"/>
    <mergeCell ref="D6:H6"/>
    <mergeCell ref="AE8:AE16"/>
    <mergeCell ref="AJ8:AJ16"/>
    <mergeCell ref="AO8:AO16"/>
    <mergeCell ref="AT8:AT16"/>
    <mergeCell ref="AY8:AY16"/>
    <mergeCell ref="D10:H10"/>
    <mergeCell ref="E16:G16"/>
    <mergeCell ref="AT4:AT7"/>
    <mergeCell ref="AE17:AE25"/>
    <mergeCell ref="AJ17:AJ25"/>
    <mergeCell ref="AO17:AO25"/>
    <mergeCell ref="AT17:AT25"/>
    <mergeCell ref="AY17:AY25"/>
    <mergeCell ref="A1:J1"/>
    <mergeCell ref="D4:H4"/>
    <mergeCell ref="AE4:AE7"/>
    <mergeCell ref="AJ4:AJ7"/>
    <mergeCell ref="AO4:AO7"/>
  </mergeCells>
  <dataValidations disablePrompts="1" count="10">
    <dataValidation type="custom" allowBlank="1" showInputMessage="1" showErrorMessage="1" sqref="E15:G15" xr:uid="{1156B116-66AC-4ED0-BF36-9FA4EC7ECCDB}">
      <formula1>E15&gt;0</formula1>
    </dataValidation>
    <dataValidation type="list" allowBlank="1" showInputMessage="1" showErrorMessage="1" sqref="E17:G17" xr:uid="{BACD7000-2ED0-4A75-8AC6-C74A4222CB6F}">
      <formula1>INDIRECT($D$6)</formula1>
    </dataValidation>
    <dataValidation type="list" allowBlank="1" showInputMessage="1" showErrorMessage="1" sqref="D17" xr:uid="{0A7FFBD8-D2C5-407F-837B-4DF8EE07999C}">
      <formula1>INDIRECT($D$16)</formula1>
    </dataValidation>
    <dataValidation type="list" allowBlank="1" showInputMessage="1" showErrorMessage="1" sqref="D16" xr:uid="{9CB29056-5184-48CE-9771-6C740487F80C}">
      <formula1>INDIRECT($D$14)</formula1>
    </dataValidation>
    <dataValidation type="list" allowBlank="1" showInputMessage="1" showErrorMessage="1" sqref="H14 D14" xr:uid="{E8783345-0E35-4281-B46A-480F3A5BD114}">
      <formula1>$A$70:$A$71</formula1>
    </dataValidation>
    <dataValidation type="list" allowBlank="1" showInputMessage="1" showErrorMessage="1" sqref="H16" xr:uid="{838ED2F4-E252-4E7F-99B8-E2F451169468}">
      <formula1>INDIRECT($H$14)</formula1>
    </dataValidation>
    <dataValidation type="list" allowBlank="1" showInputMessage="1" showErrorMessage="1" sqref="H17" xr:uid="{C95EE0E4-ACBE-432B-AAA1-EA8634D0DB5F}">
      <formula1>INDIRECT($H$16)</formula1>
    </dataValidation>
    <dataValidation type="list" allowBlank="1" showInputMessage="1" showErrorMessage="1" sqref="D6" xr:uid="{17C66981-42D9-490C-8F18-EC8803422784}">
      <formula1>$I$69:$I$70</formula1>
    </dataValidation>
    <dataValidation type="custom" allowBlank="1" showInputMessage="1" showErrorMessage="1" sqref="H15" xr:uid="{05FF2074-31BC-493F-9B1B-DE89451C050C}">
      <formula1>IF(H14=A71,H15=0,H15&gt;0)</formula1>
    </dataValidation>
    <dataValidation type="custom" allowBlank="1" showInputMessage="1" showErrorMessage="1" sqref="D15" xr:uid="{D91B85DE-D738-4A66-A6A4-632DE4F9BFDF}">
      <formula1>IF(D14=A71,D15=0,D15&gt;0)</formula1>
    </dataValidation>
  </dataValidations>
  <pageMargins left="0.52" right="0.4" top="0.24" bottom="0.41" header="0.22" footer="0.31496062992125984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Macro22">
                <anchor moveWithCells="1" sizeWithCells="1">
                  <from>
                    <xdr:col>8</xdr:col>
                    <xdr:colOff>28575</xdr:colOff>
                    <xdr:row>25</xdr:row>
                    <xdr:rowOff>9525</xdr:rowOff>
                  </from>
                  <to>
                    <xdr:col>8</xdr:col>
                    <xdr:colOff>571500</xdr:colOff>
                    <xdr:row>25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Macro23">
                <anchor moveWithCells="1" sizeWithCells="1">
                  <from>
                    <xdr:col>8</xdr:col>
                    <xdr:colOff>28575</xdr:colOff>
                    <xdr:row>26</xdr:row>
                    <xdr:rowOff>9525</xdr:rowOff>
                  </from>
                  <to>
                    <xdr:col>8</xdr:col>
                    <xdr:colOff>571500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Macro24">
                <anchor moveWithCells="1" sizeWithCells="1">
                  <from>
                    <xdr:col>8</xdr:col>
                    <xdr:colOff>28575</xdr:colOff>
                    <xdr:row>27</xdr:row>
                    <xdr:rowOff>9525</xdr:rowOff>
                  </from>
                  <to>
                    <xdr:col>8</xdr:col>
                    <xdr:colOff>571500</xdr:colOff>
                    <xdr:row>27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Macro25">
                <anchor moveWithCells="1" sizeWithCells="1">
                  <from>
                    <xdr:col>8</xdr:col>
                    <xdr:colOff>28575</xdr:colOff>
                    <xdr:row>28</xdr:row>
                    <xdr:rowOff>9525</xdr:rowOff>
                  </from>
                  <to>
                    <xdr:col>8</xdr:col>
                    <xdr:colOff>571500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Macro26">
                <anchor moveWithCells="1" sizeWithCells="1">
                  <from>
                    <xdr:col>8</xdr:col>
                    <xdr:colOff>28575</xdr:colOff>
                    <xdr:row>29</xdr:row>
                    <xdr:rowOff>19050</xdr:rowOff>
                  </from>
                  <to>
                    <xdr:col>8</xdr:col>
                    <xdr:colOff>571500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Macro27">
                <anchor moveWithCells="1" sizeWithCells="1">
                  <from>
                    <xdr:col>9</xdr:col>
                    <xdr:colOff>28575</xdr:colOff>
                    <xdr:row>25</xdr:row>
                    <xdr:rowOff>19050</xdr:rowOff>
                  </from>
                  <to>
                    <xdr:col>9</xdr:col>
                    <xdr:colOff>571500</xdr:colOff>
                    <xdr:row>29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Macro12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10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Macro43">
                <anchor moveWithCells="1" sizeWithCells="1">
                  <from>
                    <xdr:col>7</xdr:col>
                    <xdr:colOff>0</xdr:colOff>
                    <xdr:row>11</xdr:row>
                    <xdr:rowOff>19050</xdr:rowOff>
                  </from>
                  <to>
                    <xdr:col>8</xdr:col>
                    <xdr:colOff>19050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Macro1">
                <anchor moveWithCells="1" sizeWithCells="1">
                  <from>
                    <xdr:col>3</xdr:col>
                    <xdr:colOff>19050</xdr:colOff>
                    <xdr:row>11</xdr:row>
                    <xdr:rowOff>19050</xdr:rowOff>
                  </from>
                  <to>
                    <xdr:col>4</xdr:col>
                    <xdr:colOff>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Macro44">
                <anchor moveWithCells="1" sizeWithCells="1">
                  <from>
                    <xdr:col>3</xdr:col>
                    <xdr:colOff>19050</xdr:colOff>
                    <xdr:row>19</xdr:row>
                    <xdr:rowOff>19050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Macro45">
                <anchor moveWithCells="1" sizeWithCells="1">
                  <from>
                    <xdr:col>7</xdr:col>
                    <xdr:colOff>9525</xdr:colOff>
                    <xdr:row>19</xdr:row>
                    <xdr:rowOff>28575</xdr:rowOff>
                  </from>
                  <to>
                    <xdr:col>8</xdr:col>
                    <xdr:colOff>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Sezionecadatre">
                <anchor moveWithCells="1" sizeWithCells="1">
                  <from>
                    <xdr:col>8</xdr:col>
                    <xdr:colOff>76200</xdr:colOff>
                    <xdr:row>13</xdr:row>
                    <xdr:rowOff>0</xdr:rowOff>
                  </from>
                  <to>
                    <xdr:col>9</xdr:col>
                    <xdr:colOff>514350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Sezioneacciaiodatre">
                <anchor moveWithCells="1" sizeWithCells="1">
                  <from>
                    <xdr:col>8</xdr:col>
                    <xdr:colOff>76200</xdr:colOff>
                    <xdr:row>16</xdr:row>
                    <xdr:rowOff>28575</xdr:rowOff>
                  </from>
                  <to>
                    <xdr:col>9</xdr:col>
                    <xdr:colOff>514350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6"/>
  <dimension ref="A1:BD99"/>
  <sheetViews>
    <sheetView showGridLines="0" topLeftCell="M13" zoomScale="85" zoomScaleNormal="85" workbookViewId="0">
      <selection activeCell="G26" sqref="E26:G30"/>
    </sheetView>
  </sheetViews>
  <sheetFormatPr defaultColWidth="9.140625" defaultRowHeight="12" x14ac:dyDescent="0.2"/>
  <cols>
    <col min="1" max="1" width="9.140625" style="1"/>
    <col min="2" max="2" width="12.5703125" style="1" customWidth="1"/>
    <col min="3" max="3" width="8.28515625" style="1" bestFit="1" customWidth="1"/>
    <col min="4" max="7" width="9.140625" style="1"/>
    <col min="8" max="8" width="8.28515625" style="1" bestFit="1" customWidth="1"/>
    <col min="9" max="31" width="9.140625" style="1"/>
    <col min="32" max="50" width="9.140625" style="1" customWidth="1"/>
    <col min="51" max="16384" width="9.140625" style="1"/>
  </cols>
  <sheetData>
    <row r="1" spans="1:56" ht="15.75" customHeight="1" thickBot="1" x14ac:dyDescent="0.25">
      <c r="A1" s="334" t="s">
        <v>467</v>
      </c>
      <c r="B1" s="334"/>
      <c r="C1" s="334"/>
      <c r="D1" s="334"/>
      <c r="E1" s="334"/>
      <c r="F1" s="334"/>
      <c r="G1" s="334"/>
      <c r="H1" s="334"/>
      <c r="I1" s="334"/>
      <c r="J1" s="334"/>
      <c r="U1" s="2"/>
      <c r="AF1" s="2" t="s">
        <v>58</v>
      </c>
      <c r="AK1" s="2" t="s">
        <v>62</v>
      </c>
      <c r="AP1" s="2" t="s">
        <v>63</v>
      </c>
      <c r="AU1" s="2" t="s">
        <v>64</v>
      </c>
      <c r="AZ1" s="2" t="s">
        <v>65</v>
      </c>
    </row>
    <row r="2" spans="1:56" ht="14.25" customHeight="1" thickTop="1" x14ac:dyDescent="0.25">
      <c r="E2" s="12"/>
      <c r="AE2" s="120"/>
      <c r="AF2" s="122" t="s">
        <v>54</v>
      </c>
      <c r="AG2" s="39" t="s">
        <v>55</v>
      </c>
      <c r="AH2" s="39" t="s">
        <v>3</v>
      </c>
      <c r="AI2" s="39" t="s">
        <v>4</v>
      </c>
      <c r="AJ2" s="120"/>
      <c r="AK2" s="122" t="s">
        <v>54</v>
      </c>
      <c r="AL2" s="39" t="s">
        <v>55</v>
      </c>
      <c r="AM2" s="39" t="s">
        <v>3</v>
      </c>
      <c r="AN2" s="39" t="s">
        <v>4</v>
      </c>
      <c r="AP2" s="122" t="s">
        <v>54</v>
      </c>
      <c r="AQ2" s="39" t="s">
        <v>55</v>
      </c>
      <c r="AR2" s="39" t="s">
        <v>3</v>
      </c>
      <c r="AS2" s="39" t="s">
        <v>4</v>
      </c>
      <c r="AU2" s="122" t="s">
        <v>54</v>
      </c>
      <c r="AV2" s="39" t="s">
        <v>55</v>
      </c>
      <c r="AW2" s="39" t="s">
        <v>3</v>
      </c>
      <c r="AX2" s="39" t="s">
        <v>4</v>
      </c>
      <c r="AZ2" s="122" t="s">
        <v>54</v>
      </c>
      <c r="BA2" s="39" t="s">
        <v>55</v>
      </c>
      <c r="BB2" s="39" t="s">
        <v>3</v>
      </c>
      <c r="BC2" s="39" t="s">
        <v>4</v>
      </c>
    </row>
    <row r="3" spans="1:56" x14ac:dyDescent="0.2">
      <c r="AF3" s="121" t="s">
        <v>59</v>
      </c>
      <c r="AG3" s="121" t="s">
        <v>59</v>
      </c>
      <c r="AH3" s="121" t="s">
        <v>60</v>
      </c>
      <c r="AI3" s="121" t="s">
        <v>61</v>
      </c>
      <c r="AJ3" s="119"/>
      <c r="AK3" s="121" t="s">
        <v>59</v>
      </c>
      <c r="AL3" s="121" t="s">
        <v>59</v>
      </c>
      <c r="AM3" s="121" t="s">
        <v>60</v>
      </c>
      <c r="AN3" s="121" t="s">
        <v>61</v>
      </c>
      <c r="AP3" s="121" t="s">
        <v>59</v>
      </c>
      <c r="AQ3" s="121" t="s">
        <v>59</v>
      </c>
      <c r="AR3" s="121" t="s">
        <v>60</v>
      </c>
      <c r="AS3" s="121" t="s">
        <v>61</v>
      </c>
      <c r="AU3" s="121" t="s">
        <v>59</v>
      </c>
      <c r="AV3" s="121" t="s">
        <v>59</v>
      </c>
      <c r="AW3" s="121" t="s">
        <v>60</v>
      </c>
      <c r="AX3" s="121" t="s">
        <v>61</v>
      </c>
      <c r="AZ3" s="121" t="s">
        <v>59</v>
      </c>
      <c r="BA3" s="121" t="s">
        <v>59</v>
      </c>
      <c r="BB3" s="121" t="s">
        <v>60</v>
      </c>
      <c r="BC3" s="121" t="s">
        <v>61</v>
      </c>
    </row>
    <row r="4" spans="1:56" ht="12" customHeight="1" x14ac:dyDescent="0.2">
      <c r="D4" s="343" t="s">
        <v>465</v>
      </c>
      <c r="E4" s="343"/>
      <c r="F4" s="343"/>
      <c r="G4" s="343"/>
      <c r="H4" s="343"/>
      <c r="AE4" s="339" t="s">
        <v>56</v>
      </c>
      <c r="AF4" s="203">
        <f>AG4</f>
        <v>0</v>
      </c>
      <c r="AG4" s="203">
        <f>'CCC-car.1'!AD47</f>
        <v>0</v>
      </c>
      <c r="AH4" s="203">
        <f>'CCC-car.1'!AE47</f>
        <v>0</v>
      </c>
      <c r="AI4" s="203">
        <f>'CCC-car.1'!AF47</f>
        <v>0</v>
      </c>
      <c r="AJ4" s="339" t="s">
        <v>56</v>
      </c>
      <c r="AK4" s="203">
        <f>AF4</f>
        <v>0</v>
      </c>
      <c r="AL4" s="203">
        <f>'CCC-car.2'!AD47</f>
        <v>0</v>
      </c>
      <c r="AM4" s="203">
        <f>'CCC-car.2'!AE47</f>
        <v>0</v>
      </c>
      <c r="AN4" s="203">
        <f>'CCC-car.2'!AF47</f>
        <v>0</v>
      </c>
      <c r="AO4" s="339" t="s">
        <v>56</v>
      </c>
      <c r="AP4" s="203">
        <f>AF4</f>
        <v>0</v>
      </c>
      <c r="AQ4" s="203">
        <f>'CCC-car.3'!AD47</f>
        <v>0</v>
      </c>
      <c r="AR4" s="203">
        <f>'CCC-car.3'!AE47</f>
        <v>0</v>
      </c>
      <c r="AS4" s="203">
        <f>'CCC-car.3'!AF47</f>
        <v>0</v>
      </c>
      <c r="AT4" s="339" t="s">
        <v>56</v>
      </c>
      <c r="AU4" s="203">
        <f>AF4</f>
        <v>0</v>
      </c>
      <c r="AV4" s="203">
        <f>'CCC-car.4'!AD47</f>
        <v>0</v>
      </c>
      <c r="AW4" s="203">
        <f>'CCC-car.4'!AE47</f>
        <v>0</v>
      </c>
      <c r="AX4" s="203">
        <f>'CCC-car.4'!AF47</f>
        <v>0</v>
      </c>
      <c r="AY4" s="339" t="s">
        <v>56</v>
      </c>
      <c r="AZ4" s="203">
        <f>AF4</f>
        <v>0</v>
      </c>
      <c r="BA4" s="203">
        <f>'CCC-car.5'!AD47</f>
        <v>0</v>
      </c>
      <c r="BB4" s="203">
        <f>'CCC-car.5'!AE47</f>
        <v>0</v>
      </c>
      <c r="BC4" s="203">
        <f>'CCC-car.5'!AF47</f>
        <v>0</v>
      </c>
    </row>
    <row r="5" spans="1:56" x14ac:dyDescent="0.2">
      <c r="G5" s="3"/>
      <c r="AE5" s="339"/>
      <c r="AF5" s="201">
        <f t="shared" ref="AF5:AF7" si="0">AG5</f>
        <v>0</v>
      </c>
      <c r="AG5" s="201">
        <f>'CCC-car.1'!AD48</f>
        <v>0</v>
      </c>
      <c r="AH5" s="201">
        <f>'CCC-car.1'!AE48</f>
        <v>0</v>
      </c>
      <c r="AI5" s="201">
        <f>'CCC-car.1'!AF48</f>
        <v>0</v>
      </c>
      <c r="AJ5" s="339"/>
      <c r="AK5" s="201">
        <f t="shared" ref="AK5:AK38" si="1">AF5</f>
        <v>0</v>
      </c>
      <c r="AL5" s="201">
        <f>'CCC-car.2'!AD48</f>
        <v>0</v>
      </c>
      <c r="AM5" s="201">
        <f>'CCC-car.2'!AE48</f>
        <v>0</v>
      </c>
      <c r="AN5" s="201">
        <f>'CCC-car.2'!AF48</f>
        <v>0</v>
      </c>
      <c r="AO5" s="339"/>
      <c r="AP5" s="201">
        <f t="shared" ref="AP5:AP38" si="2">AF5</f>
        <v>0</v>
      </c>
      <c r="AQ5" s="201">
        <f>'CCC-car.3'!AD48</f>
        <v>0</v>
      </c>
      <c r="AR5" s="201">
        <f>'CCC-car.3'!AE48</f>
        <v>0</v>
      </c>
      <c r="AS5" s="201">
        <f>'CCC-car.3'!AF48</f>
        <v>0</v>
      </c>
      <c r="AT5" s="339"/>
      <c r="AU5" s="201">
        <f t="shared" ref="AU5:AU38" si="3">AF5</f>
        <v>0</v>
      </c>
      <c r="AV5" s="201">
        <f>'CCC-car.4'!AD48</f>
        <v>0</v>
      </c>
      <c r="AW5" s="201">
        <f>'CCC-car.4'!AE48</f>
        <v>0</v>
      </c>
      <c r="AX5" s="201">
        <f>'CCC-car.4'!AF48</f>
        <v>0</v>
      </c>
      <c r="AY5" s="339"/>
      <c r="AZ5" s="201">
        <f t="shared" ref="AZ5:AZ38" si="4">AF5</f>
        <v>0</v>
      </c>
      <c r="BA5" s="201">
        <f>'CCC-car.5'!AD48</f>
        <v>0</v>
      </c>
      <c r="BB5" s="201">
        <f>'CCC-car.5'!AE48</f>
        <v>0</v>
      </c>
      <c r="BC5" s="201">
        <f>'CCC-car.5'!AF48</f>
        <v>0</v>
      </c>
    </row>
    <row r="6" spans="1:56" x14ac:dyDescent="0.2">
      <c r="D6" s="340" t="s">
        <v>452</v>
      </c>
      <c r="E6" s="340"/>
      <c r="F6" s="340"/>
      <c r="G6" s="340"/>
      <c r="H6" s="340"/>
      <c r="AE6" s="339"/>
      <c r="AF6" s="201">
        <f t="shared" si="0"/>
        <v>0</v>
      </c>
      <c r="AG6" s="201">
        <f>'CCC-car.1'!AD49</f>
        <v>0</v>
      </c>
      <c r="AH6" s="201">
        <f>'CCC-car.1'!AE49</f>
        <v>0</v>
      </c>
      <c r="AI6" s="201">
        <f>'CCC-car.1'!AF49</f>
        <v>0</v>
      </c>
      <c r="AJ6" s="339"/>
      <c r="AK6" s="201">
        <f t="shared" si="1"/>
        <v>0</v>
      </c>
      <c r="AL6" s="201">
        <f>'CCC-car.2'!AD49</f>
        <v>0</v>
      </c>
      <c r="AM6" s="201">
        <f>'CCC-car.2'!AE49</f>
        <v>0</v>
      </c>
      <c r="AN6" s="201">
        <f>'CCC-car.2'!AF49</f>
        <v>0</v>
      </c>
      <c r="AO6" s="339"/>
      <c r="AP6" s="201">
        <f t="shared" si="2"/>
        <v>0</v>
      </c>
      <c r="AQ6" s="201">
        <f>'CCC-car.3'!AD49</f>
        <v>0</v>
      </c>
      <c r="AR6" s="201">
        <f>'CCC-car.3'!AE49</f>
        <v>0</v>
      </c>
      <c r="AS6" s="201">
        <f>'CCC-car.3'!AF49</f>
        <v>0</v>
      </c>
      <c r="AT6" s="339"/>
      <c r="AU6" s="201">
        <f t="shared" si="3"/>
        <v>0</v>
      </c>
      <c r="AV6" s="201">
        <f>'CCC-car.4'!AD49</f>
        <v>0</v>
      </c>
      <c r="AW6" s="201">
        <f>'CCC-car.4'!AE49</f>
        <v>0</v>
      </c>
      <c r="AX6" s="201">
        <f>'CCC-car.4'!AF49</f>
        <v>0</v>
      </c>
      <c r="AY6" s="339"/>
      <c r="AZ6" s="201">
        <f t="shared" si="4"/>
        <v>0</v>
      </c>
      <c r="BA6" s="201">
        <f>'CCC-car.5'!AD49</f>
        <v>0</v>
      </c>
      <c r="BB6" s="201">
        <f>'CCC-car.5'!AE49</f>
        <v>0</v>
      </c>
      <c r="BC6" s="201">
        <f>'CCC-car.5'!AF49</f>
        <v>0</v>
      </c>
    </row>
    <row r="7" spans="1:56" ht="12" customHeight="1" x14ac:dyDescent="0.2">
      <c r="AE7" s="339"/>
      <c r="AF7" s="204">
        <f t="shared" si="0"/>
        <v>0</v>
      </c>
      <c r="AG7" s="204">
        <f>'CCC-car.1'!AD50</f>
        <v>0</v>
      </c>
      <c r="AH7" s="204">
        <f>'CCC-car.1'!AE50</f>
        <v>0</v>
      </c>
      <c r="AI7" s="204">
        <f>'CCC-car.1'!AF50</f>
        <v>0</v>
      </c>
      <c r="AJ7" s="339"/>
      <c r="AK7" s="204">
        <f t="shared" si="1"/>
        <v>0</v>
      </c>
      <c r="AL7" s="204">
        <f>'CCC-car.2'!AD50</f>
        <v>0</v>
      </c>
      <c r="AM7" s="204">
        <f>'CCC-car.2'!AE50</f>
        <v>0</v>
      </c>
      <c r="AN7" s="204">
        <f>'CCC-car.2'!AF50</f>
        <v>0</v>
      </c>
      <c r="AO7" s="339"/>
      <c r="AP7" s="204">
        <f t="shared" si="2"/>
        <v>0</v>
      </c>
      <c r="AQ7" s="204">
        <f>'CCC-car.3'!AD50</f>
        <v>0</v>
      </c>
      <c r="AR7" s="204">
        <f>'CCC-car.3'!AE50</f>
        <v>0</v>
      </c>
      <c r="AS7" s="204">
        <f>'CCC-car.3'!AF50</f>
        <v>0</v>
      </c>
      <c r="AT7" s="339"/>
      <c r="AU7" s="204">
        <f t="shared" si="3"/>
        <v>0</v>
      </c>
      <c r="AV7" s="204">
        <f>'CCC-car.4'!AD50</f>
        <v>0</v>
      </c>
      <c r="AW7" s="204">
        <f>'CCC-car.4'!AE50</f>
        <v>0</v>
      </c>
      <c r="AX7" s="204">
        <f>'CCC-car.4'!AF50</f>
        <v>0</v>
      </c>
      <c r="AY7" s="339"/>
      <c r="AZ7" s="204">
        <f t="shared" si="4"/>
        <v>0</v>
      </c>
      <c r="BA7" s="204">
        <f>'CCC-car.5'!AD50</f>
        <v>0</v>
      </c>
      <c r="BB7" s="204">
        <f>'CCC-car.5'!AE50</f>
        <v>0</v>
      </c>
      <c r="BC7" s="204">
        <f>'CCC-car.5'!AF50</f>
        <v>0</v>
      </c>
    </row>
    <row r="8" spans="1:56" ht="12" customHeight="1" x14ac:dyDescent="0.2">
      <c r="AE8" s="338" t="s">
        <v>30</v>
      </c>
      <c r="AF8" s="203">
        <f t="shared" ref="AF8:AF16" si="5">AG8-$AG$7</f>
        <v>0</v>
      </c>
      <c r="AG8" s="203">
        <f>'CCC-car.1'!AD51</f>
        <v>0</v>
      </c>
      <c r="AH8" s="203">
        <f>'CCC-car.1'!AE51</f>
        <v>0</v>
      </c>
      <c r="AI8" s="203">
        <f>'CCC-car.1'!AF51</f>
        <v>61.322442602040823</v>
      </c>
      <c r="AJ8" s="338" t="s">
        <v>30</v>
      </c>
      <c r="AK8" s="203">
        <f t="shared" si="1"/>
        <v>0</v>
      </c>
      <c r="AL8" s="203">
        <f>'CCC-car.2'!AD51</f>
        <v>0</v>
      </c>
      <c r="AM8" s="203">
        <f>'CCC-car.2'!AE51</f>
        <v>0</v>
      </c>
      <c r="AN8" s="203">
        <f>'CCC-car.2'!AF51</f>
        <v>40.787748724489788</v>
      </c>
      <c r="AO8" s="338" t="s">
        <v>30</v>
      </c>
      <c r="AP8" s="203">
        <f t="shared" si="2"/>
        <v>0</v>
      </c>
      <c r="AQ8" s="203">
        <f>'CCC-car.3'!AD51</f>
        <v>0</v>
      </c>
      <c r="AR8" s="203">
        <f>'CCC-car.3'!AE51</f>
        <v>0</v>
      </c>
      <c r="AS8" s="203">
        <f>'CCC-car.3'!AF51</f>
        <v>66.067525510204092</v>
      </c>
      <c r="AT8" s="338" t="s">
        <v>30</v>
      </c>
      <c r="AU8" s="203">
        <f t="shared" si="3"/>
        <v>0</v>
      </c>
      <c r="AV8" s="203">
        <f>'CCC-car.4'!AD51</f>
        <v>0</v>
      </c>
      <c r="AW8" s="203">
        <f>'CCC-car.4'!AE51</f>
        <v>0</v>
      </c>
      <c r="AX8" s="203">
        <f>'CCC-car.4'!AF51</f>
        <v>41.531391959561603</v>
      </c>
      <c r="AY8" s="338" t="s">
        <v>30</v>
      </c>
      <c r="AZ8" s="203">
        <f t="shared" si="4"/>
        <v>0</v>
      </c>
      <c r="BA8" s="203">
        <f>'CCC-car.5'!AD51</f>
        <v>0</v>
      </c>
      <c r="BB8" s="203">
        <f>'CCC-car.5'!AE51</f>
        <v>0</v>
      </c>
      <c r="BC8" s="203">
        <f>'CCC-car.5'!AF51</f>
        <v>60.578799366969008</v>
      </c>
    </row>
    <row r="9" spans="1:56" x14ac:dyDescent="0.2">
      <c r="AE9" s="338"/>
      <c r="AF9" s="201">
        <f t="shared" si="5"/>
        <v>0.5</v>
      </c>
      <c r="AG9" s="201">
        <f>'CCC-car.1'!AD52</f>
        <v>0.5</v>
      </c>
      <c r="AH9" s="201">
        <f>'CCC-car.1'!AE52</f>
        <v>25.23372130102041</v>
      </c>
      <c r="AI9" s="201">
        <f>'CCC-car.1'!AF52</f>
        <v>39.612442602040822</v>
      </c>
      <c r="AJ9" s="338"/>
      <c r="AK9" s="201">
        <f t="shared" si="1"/>
        <v>0.5</v>
      </c>
      <c r="AL9" s="201">
        <f>'CCC-car.2'!AD52</f>
        <v>0.5</v>
      </c>
      <c r="AM9" s="201">
        <f>'CCC-car.2'!AE52</f>
        <v>16.363874362244893</v>
      </c>
      <c r="AN9" s="201">
        <f>'CCC-car.2'!AF52</f>
        <v>24.66774872448979</v>
      </c>
      <c r="AO9" s="338"/>
      <c r="AP9" s="201">
        <f t="shared" si="2"/>
        <v>0.5</v>
      </c>
      <c r="AQ9" s="201">
        <f>'CCC-car.3'!AD52</f>
        <v>0.5</v>
      </c>
      <c r="AR9" s="201">
        <f>'CCC-car.3'!AE52</f>
        <v>27.606262755102044</v>
      </c>
      <c r="AS9" s="201">
        <f>'CCC-car.3'!AF52</f>
        <v>44.357525510204091</v>
      </c>
      <c r="AT9" s="338"/>
      <c r="AU9" s="201">
        <f t="shared" si="3"/>
        <v>0.5</v>
      </c>
      <c r="AV9" s="201">
        <f>'CCC-car.4'!AD52</f>
        <v>0.5</v>
      </c>
      <c r="AW9" s="201">
        <f>'CCC-car.4'!AE52</f>
        <v>16.7356959797808</v>
      </c>
      <c r="AX9" s="201">
        <f>'CCC-car.4'!AF52</f>
        <v>25.411391959561605</v>
      </c>
      <c r="AY9" s="338"/>
      <c r="AZ9" s="201">
        <f t="shared" si="4"/>
        <v>0.5</v>
      </c>
      <c r="BA9" s="201">
        <f>'CCC-car.5'!AD52</f>
        <v>0.5</v>
      </c>
      <c r="BB9" s="201">
        <f>'CCC-car.5'!AE52</f>
        <v>24.861899683484502</v>
      </c>
      <c r="BC9" s="201">
        <f>'CCC-car.5'!AF52</f>
        <v>38.868799366969007</v>
      </c>
    </row>
    <row r="10" spans="1:56" x14ac:dyDescent="0.2">
      <c r="B10" s="286"/>
      <c r="C10" s="286"/>
      <c r="D10" s="343" t="s">
        <v>466</v>
      </c>
      <c r="E10" s="343"/>
      <c r="F10" s="343"/>
      <c r="G10" s="343"/>
      <c r="H10" s="343"/>
      <c r="AE10" s="338"/>
      <c r="AF10" s="201">
        <f t="shared" si="5"/>
        <v>1</v>
      </c>
      <c r="AG10" s="201">
        <f>'CCC-car.1'!AD53</f>
        <v>1</v>
      </c>
      <c r="AH10" s="201">
        <f>'CCC-car.1'!AE53</f>
        <v>39.612442602040822</v>
      </c>
      <c r="AI10" s="201">
        <f>'CCC-car.1'!AF53</f>
        <v>17.902442602040821</v>
      </c>
      <c r="AJ10" s="338"/>
      <c r="AK10" s="201">
        <f t="shared" si="1"/>
        <v>1</v>
      </c>
      <c r="AL10" s="201">
        <f>'CCC-car.2'!AD53</f>
        <v>1</v>
      </c>
      <c r="AM10" s="201">
        <f>'CCC-car.2'!AE53</f>
        <v>24.66774872448979</v>
      </c>
      <c r="AN10" s="201">
        <f>'CCC-car.2'!AF53</f>
        <v>8.5477487244897929</v>
      </c>
      <c r="AO10" s="338"/>
      <c r="AP10" s="201">
        <f t="shared" si="2"/>
        <v>1</v>
      </c>
      <c r="AQ10" s="201">
        <f>'CCC-car.3'!AD53</f>
        <v>1</v>
      </c>
      <c r="AR10" s="201">
        <f>'CCC-car.3'!AE53</f>
        <v>44.357525510204091</v>
      </c>
      <c r="AS10" s="201">
        <f>'CCC-car.3'!AF53</f>
        <v>22.64752551020409</v>
      </c>
      <c r="AT10" s="338"/>
      <c r="AU10" s="201">
        <f t="shared" si="3"/>
        <v>1</v>
      </c>
      <c r="AV10" s="201">
        <f>'CCC-car.4'!AD53</f>
        <v>1</v>
      </c>
      <c r="AW10" s="201">
        <f>'CCC-car.4'!AE53</f>
        <v>25.411391959561605</v>
      </c>
      <c r="AX10" s="201">
        <f>'CCC-car.4'!AF53</f>
        <v>9.2913919595616079</v>
      </c>
      <c r="AY10" s="338"/>
      <c r="AZ10" s="201">
        <f t="shared" si="4"/>
        <v>1</v>
      </c>
      <c r="BA10" s="201">
        <f>'CCC-car.5'!AD53</f>
        <v>1</v>
      </c>
      <c r="BB10" s="201">
        <f>'CCC-car.5'!AE53</f>
        <v>38.868799366969007</v>
      </c>
      <c r="BC10" s="201">
        <f>'CCC-car.5'!AF53</f>
        <v>17.158799366969006</v>
      </c>
    </row>
    <row r="11" spans="1:56" x14ac:dyDescent="0.2">
      <c r="B11" s="304"/>
      <c r="C11" s="304"/>
      <c r="D11" s="304"/>
      <c r="E11" s="304"/>
      <c r="F11" s="304"/>
      <c r="G11" s="304"/>
      <c r="H11" s="304"/>
      <c r="AE11" s="338"/>
      <c r="AF11" s="201">
        <f t="shared" si="5"/>
        <v>1.5</v>
      </c>
      <c r="AG11" s="201">
        <f>'CCC-car.1'!AD54</f>
        <v>1.5</v>
      </c>
      <c r="AH11" s="201">
        <f>'CCC-car.1'!AE54</f>
        <v>43.136163903061224</v>
      </c>
      <c r="AI11" s="201">
        <f>'CCC-car.1'!AF54</f>
        <v>-3.8075573979591724</v>
      </c>
      <c r="AJ11" s="338"/>
      <c r="AK11" s="201">
        <f t="shared" si="1"/>
        <v>1.5</v>
      </c>
      <c r="AL11" s="201">
        <f>'CCC-car.2'!AD54</f>
        <v>1.5</v>
      </c>
      <c r="AM11" s="201">
        <f>'CCC-car.2'!AE54</f>
        <v>24.911623086734686</v>
      </c>
      <c r="AN11" s="201">
        <f>'CCC-car.2'!AF54</f>
        <v>-7.5722512755102045</v>
      </c>
      <c r="AO11" s="338"/>
      <c r="AP11" s="201">
        <f t="shared" si="2"/>
        <v>1.5</v>
      </c>
      <c r="AQ11" s="201">
        <f>'CCC-car.3'!AD54</f>
        <v>1.5</v>
      </c>
      <c r="AR11" s="201">
        <f>'CCC-car.3'!AE54</f>
        <v>50.253788265306135</v>
      </c>
      <c r="AS11" s="201">
        <f>'CCC-car.3'!AF54</f>
        <v>0.93752551020409669</v>
      </c>
      <c r="AT11" s="338"/>
      <c r="AU11" s="201">
        <f t="shared" si="3"/>
        <v>1.5</v>
      </c>
      <c r="AV11" s="201">
        <f>'CCC-car.4'!AD54</f>
        <v>1.5</v>
      </c>
      <c r="AW11" s="201">
        <f>'CCC-car.4'!AE54</f>
        <v>26.027087939342408</v>
      </c>
      <c r="AX11" s="201">
        <f>'CCC-car.4'!AF54</f>
        <v>-6.8286080404383895</v>
      </c>
      <c r="AY11" s="338"/>
      <c r="AZ11" s="201">
        <f t="shared" si="4"/>
        <v>1.5</v>
      </c>
      <c r="BA11" s="201">
        <f>'CCC-car.5'!AD54</f>
        <v>1.5</v>
      </c>
      <c r="BB11" s="201">
        <f>'CCC-car.5'!AE54</f>
        <v>42.020699050453509</v>
      </c>
      <c r="BC11" s="201">
        <f>'CCC-car.5'!AF54</f>
        <v>-4.5512006330309873</v>
      </c>
    </row>
    <row r="12" spans="1:56" x14ac:dyDescent="0.2">
      <c r="B12" s="303"/>
      <c r="C12" s="303"/>
      <c r="D12" s="303"/>
      <c r="E12" s="303"/>
      <c r="F12" s="303"/>
      <c r="G12" s="303"/>
      <c r="H12" s="280"/>
      <c r="AE12" s="338"/>
      <c r="AF12" s="201">
        <f t="shared" si="5"/>
        <v>2</v>
      </c>
      <c r="AG12" s="201">
        <f>'CCC-car.1'!AD55</f>
        <v>2</v>
      </c>
      <c r="AH12" s="201">
        <f>'CCC-car.1'!AE55</f>
        <v>35.804885204081643</v>
      </c>
      <c r="AI12" s="201">
        <f>'CCC-car.1'!AF55</f>
        <v>-25.51755739795918</v>
      </c>
      <c r="AJ12" s="338"/>
      <c r="AK12" s="201">
        <f t="shared" si="1"/>
        <v>2</v>
      </c>
      <c r="AL12" s="201">
        <f>'CCC-car.2'!AD55</f>
        <v>2</v>
      </c>
      <c r="AM12" s="201">
        <f>'CCC-car.2'!AE55</f>
        <v>17.095497448979586</v>
      </c>
      <c r="AN12" s="201">
        <f>'CCC-car.2'!AF55</f>
        <v>-23.692251275510202</v>
      </c>
      <c r="AO12" s="338"/>
      <c r="AP12" s="201">
        <f t="shared" si="2"/>
        <v>2</v>
      </c>
      <c r="AQ12" s="201">
        <f>'CCC-car.3'!AD55</f>
        <v>2</v>
      </c>
      <c r="AR12" s="201">
        <f>'CCC-car.3'!AE55</f>
        <v>45.295051020408181</v>
      </c>
      <c r="AS12" s="201">
        <f>'CCC-car.3'!AF55</f>
        <v>-20.772474489795911</v>
      </c>
      <c r="AT12" s="338"/>
      <c r="AU12" s="201">
        <f t="shared" si="3"/>
        <v>2</v>
      </c>
      <c r="AV12" s="201">
        <f>'CCC-car.4'!AD55</f>
        <v>2</v>
      </c>
      <c r="AW12" s="201">
        <f>'CCC-car.4'!AE55</f>
        <v>18.582783919123216</v>
      </c>
      <c r="AX12" s="201">
        <f>'CCC-car.4'!AF55</f>
        <v>-22.948608040438387</v>
      </c>
      <c r="AY12" s="338"/>
      <c r="AZ12" s="201">
        <f t="shared" si="4"/>
        <v>2</v>
      </c>
      <c r="BA12" s="201">
        <f>'CCC-car.5'!AD55</f>
        <v>2</v>
      </c>
      <c r="BB12" s="201">
        <f>'CCC-car.5'!AE55</f>
        <v>34.317598733938013</v>
      </c>
      <c r="BC12" s="201">
        <f>'CCC-car.5'!AF55</f>
        <v>-26.261200633030995</v>
      </c>
    </row>
    <row r="13" spans="1:56" x14ac:dyDescent="0.2">
      <c r="B13" s="252" t="s">
        <v>451</v>
      </c>
      <c r="C13" s="254"/>
      <c r="D13" s="257" t="s">
        <v>453</v>
      </c>
      <c r="E13" s="254" t="s">
        <v>454</v>
      </c>
      <c r="F13" s="254" t="s">
        <v>455</v>
      </c>
      <c r="G13" s="254" t="s">
        <v>456</v>
      </c>
      <c r="H13" s="257" t="s">
        <v>458</v>
      </c>
      <c r="AE13" s="338"/>
      <c r="AF13" s="201">
        <f t="shared" si="5"/>
        <v>2.5</v>
      </c>
      <c r="AG13" s="201">
        <f>'CCC-car.1'!AD56</f>
        <v>2.5</v>
      </c>
      <c r="AH13" s="201">
        <f>'CCC-car.1'!AE56</f>
        <v>17.618606505102065</v>
      </c>
      <c r="AI13" s="201">
        <f>'CCC-car.1'!AF56</f>
        <v>-47.227557397959188</v>
      </c>
      <c r="AJ13" s="338"/>
      <c r="AK13" s="201">
        <f t="shared" si="1"/>
        <v>2.5</v>
      </c>
      <c r="AL13" s="201">
        <f>'CCC-car.2'!AD56</f>
        <v>2.5</v>
      </c>
      <c r="AM13" s="201">
        <f>'CCC-car.2'!AE56</f>
        <v>1.2193718112244909</v>
      </c>
      <c r="AN13" s="201">
        <f>'CCC-car.2'!AF56</f>
        <v>-39.812251275510206</v>
      </c>
      <c r="AO13" s="338"/>
      <c r="AP13" s="201">
        <f t="shared" si="2"/>
        <v>2.5</v>
      </c>
      <c r="AQ13" s="201">
        <f>'CCC-car.3'!AD56</f>
        <v>2.5</v>
      </c>
      <c r="AR13" s="201">
        <f>'CCC-car.3'!AE56</f>
        <v>29.481313775510216</v>
      </c>
      <c r="AS13" s="201">
        <f>'CCC-car.3'!AF56</f>
        <v>-42.482474489795919</v>
      </c>
      <c r="AT13" s="338"/>
      <c r="AU13" s="201">
        <f t="shared" si="3"/>
        <v>2.5</v>
      </c>
      <c r="AV13" s="201">
        <f>'CCC-car.4'!AD56</f>
        <v>2.5</v>
      </c>
      <c r="AW13" s="201">
        <f>'CCC-car.4'!AE56</f>
        <v>3.0784798989040212</v>
      </c>
      <c r="AX13" s="201">
        <f>'CCC-car.4'!AF56</f>
        <v>-39.068608040438392</v>
      </c>
      <c r="AY13" s="338"/>
      <c r="AZ13" s="201">
        <f t="shared" si="4"/>
        <v>2.5</v>
      </c>
      <c r="BA13" s="201">
        <f>'CCC-car.5'!AD56</f>
        <v>2.5</v>
      </c>
      <c r="BB13" s="201">
        <f>'CCC-car.5'!AE56</f>
        <v>15.75949841742252</v>
      </c>
      <c r="BC13" s="201">
        <f>'CCC-car.5'!AF56</f>
        <v>-47.971200633031003</v>
      </c>
    </row>
    <row r="14" spans="1:56" x14ac:dyDescent="0.2">
      <c r="D14" s="310" t="s">
        <v>464</v>
      </c>
      <c r="H14" s="310" t="s">
        <v>464</v>
      </c>
      <c r="AE14" s="338"/>
      <c r="AF14" s="201">
        <f t="shared" si="5"/>
        <v>3</v>
      </c>
      <c r="AG14" s="201">
        <f>'CCC-car.1'!AD57</f>
        <v>3</v>
      </c>
      <c r="AH14" s="201">
        <f>'CCC-car.1'!AE57</f>
        <v>-11.42267219387756</v>
      </c>
      <c r="AI14" s="201">
        <f>'CCC-car.1'!AF57</f>
        <v>-68.937557397959168</v>
      </c>
      <c r="AJ14" s="338"/>
      <c r="AK14" s="201">
        <f t="shared" si="1"/>
        <v>3</v>
      </c>
      <c r="AL14" s="201">
        <f>'CCC-car.2'!AD57</f>
        <v>3</v>
      </c>
      <c r="AM14" s="201">
        <f>'CCC-car.2'!AE57</f>
        <v>-22.716753826530621</v>
      </c>
      <c r="AN14" s="201">
        <f>'CCC-car.2'!AF57</f>
        <v>-55.932251275510197</v>
      </c>
      <c r="AO14" s="338"/>
      <c r="AP14" s="201">
        <f t="shared" si="2"/>
        <v>3</v>
      </c>
      <c r="AQ14" s="201">
        <f>'CCC-car.3'!AD57</f>
        <v>3</v>
      </c>
      <c r="AR14" s="201">
        <f>'CCC-car.3'!AE57</f>
        <v>2.8125765306122616</v>
      </c>
      <c r="AS14" s="201">
        <f>'CCC-car.3'!AF57</f>
        <v>-64.192474489795899</v>
      </c>
      <c r="AT14" s="338"/>
      <c r="AU14" s="201">
        <f t="shared" si="3"/>
        <v>3</v>
      </c>
      <c r="AV14" s="201">
        <f>'CCC-car.4'!AD57</f>
        <v>3</v>
      </c>
      <c r="AW14" s="201">
        <f>'CCC-car.4'!AE57</f>
        <v>-20.485824121315176</v>
      </c>
      <c r="AX14" s="201">
        <f>'CCC-car.4'!AF57</f>
        <v>-55.188608040438382</v>
      </c>
      <c r="AY14" s="338"/>
      <c r="AZ14" s="201">
        <f t="shared" si="4"/>
        <v>3</v>
      </c>
      <c r="BA14" s="201">
        <f>'CCC-car.5'!AD57</f>
        <v>3</v>
      </c>
      <c r="BB14" s="201">
        <f>'CCC-car.5'!AE57</f>
        <v>-13.65360189909299</v>
      </c>
      <c r="BC14" s="201">
        <f>'CCC-car.5'!AF57</f>
        <v>-69.681200633030983</v>
      </c>
    </row>
    <row r="15" spans="1:56" x14ac:dyDescent="0.2">
      <c r="B15" s="252" t="s">
        <v>447</v>
      </c>
      <c r="C15" s="272" t="s">
        <v>449</v>
      </c>
      <c r="D15" s="278">
        <v>0</v>
      </c>
      <c r="E15" s="278">
        <v>4</v>
      </c>
      <c r="F15" s="278">
        <v>5.5</v>
      </c>
      <c r="G15" s="278">
        <v>4</v>
      </c>
      <c r="H15" s="278">
        <v>0</v>
      </c>
      <c r="AE15" s="338"/>
      <c r="AF15" s="201">
        <f t="shared" si="5"/>
        <v>3.5</v>
      </c>
      <c r="AG15" s="201">
        <f>'CCC-car.1'!AD58</f>
        <v>3.5</v>
      </c>
      <c r="AH15" s="201">
        <f>'CCC-car.1'!AE58</f>
        <v>-51.318950892857117</v>
      </c>
      <c r="AI15" s="201">
        <f>'CCC-car.1'!AF58</f>
        <v>-90.647557397959176</v>
      </c>
      <c r="AJ15" s="338"/>
      <c r="AK15" s="201">
        <f t="shared" si="1"/>
        <v>3.5</v>
      </c>
      <c r="AL15" s="201">
        <f>'CCC-car.2'!AD58</f>
        <v>3.5</v>
      </c>
      <c r="AM15" s="201">
        <f>'CCC-car.2'!AE58</f>
        <v>-54.71287946428572</v>
      </c>
      <c r="AN15" s="201">
        <f>'CCC-car.2'!AF58</f>
        <v>-72.052251275510187</v>
      </c>
      <c r="AO15" s="338"/>
      <c r="AP15" s="201">
        <f t="shared" si="2"/>
        <v>3.5</v>
      </c>
      <c r="AQ15" s="201">
        <f>'CCC-car.3'!AD58</f>
        <v>3.5</v>
      </c>
      <c r="AR15" s="201">
        <f>'CCC-car.3'!AE58</f>
        <v>-34.711160714285654</v>
      </c>
      <c r="AS15" s="201">
        <f>'CCC-car.3'!AF58</f>
        <v>-85.902474489795907</v>
      </c>
      <c r="AT15" s="338"/>
      <c r="AU15" s="201">
        <f t="shared" si="3"/>
        <v>3.5</v>
      </c>
      <c r="AV15" s="201">
        <f>'CCC-car.4'!AD58</f>
        <v>3.5</v>
      </c>
      <c r="AW15" s="201">
        <f>'CCC-car.4'!AE58</f>
        <v>-52.110128141534346</v>
      </c>
      <c r="AX15" s="201">
        <f>'CCC-car.4'!AF58</f>
        <v>-71.308608040438372</v>
      </c>
      <c r="AY15" s="338"/>
      <c r="AZ15" s="201">
        <f t="shared" si="4"/>
        <v>3.5</v>
      </c>
      <c r="BA15" s="201">
        <f>'CCC-car.5'!AD58</f>
        <v>3.5</v>
      </c>
      <c r="BB15" s="201">
        <f>'CCC-car.5'!AE58</f>
        <v>-53.921702215608462</v>
      </c>
      <c r="BC15" s="201">
        <f>'CCC-car.5'!AF58</f>
        <v>-91.391200633030991</v>
      </c>
    </row>
    <row r="16" spans="1:56" s="46" customFormat="1" ht="13.5" customHeight="1" x14ac:dyDescent="0.2">
      <c r="B16" s="252" t="s">
        <v>450</v>
      </c>
      <c r="C16" s="42"/>
      <c r="D16" s="279" t="s">
        <v>448</v>
      </c>
      <c r="E16" s="346" t="str">
        <f>D6</f>
        <v>ca</v>
      </c>
      <c r="F16" s="346"/>
      <c r="G16" s="346"/>
      <c r="H16" s="279" t="s">
        <v>448</v>
      </c>
      <c r="U16" s="18"/>
      <c r="AE16" s="338"/>
      <c r="AF16" s="204">
        <f t="shared" si="5"/>
        <v>4</v>
      </c>
      <c r="AG16" s="204">
        <f>'CCC-car.1'!AD59</f>
        <v>4</v>
      </c>
      <c r="AH16" s="204">
        <f>'CCC-car.1'!AE59</f>
        <v>-102.07022959183672</v>
      </c>
      <c r="AI16" s="204">
        <f>'CCC-car.1'!AF59</f>
        <v>-112.35755739795918</v>
      </c>
      <c r="AJ16" s="338"/>
      <c r="AK16" s="204">
        <f t="shared" si="1"/>
        <v>4</v>
      </c>
      <c r="AL16" s="204">
        <f>'CCC-car.2'!AD59</f>
        <v>4</v>
      </c>
      <c r="AM16" s="204">
        <f>'CCC-car.2'!AE59</f>
        <v>-94.769005102040808</v>
      </c>
      <c r="AN16" s="204">
        <f>'CCC-car.2'!AF59</f>
        <v>-88.172251275510192</v>
      </c>
      <c r="AO16" s="338"/>
      <c r="AP16" s="204">
        <f t="shared" si="2"/>
        <v>4</v>
      </c>
      <c r="AQ16" s="204">
        <f>'CCC-car.3'!AD59</f>
        <v>4</v>
      </c>
      <c r="AR16" s="204">
        <f>'CCC-car.3'!AE59</f>
        <v>-83.089897959183645</v>
      </c>
      <c r="AS16" s="204">
        <f>'CCC-car.3'!AF59</f>
        <v>-107.61247448979591</v>
      </c>
      <c r="AT16" s="338"/>
      <c r="AU16" s="204">
        <f t="shared" si="3"/>
        <v>4</v>
      </c>
      <c r="AV16" s="204">
        <f>'CCC-car.4'!AD59</f>
        <v>4</v>
      </c>
      <c r="AW16" s="204">
        <f>'CCC-car.4'!AE59</f>
        <v>-91.794432161753548</v>
      </c>
      <c r="AX16" s="204">
        <f>'CCC-car.4'!AF59</f>
        <v>-87.428608040438377</v>
      </c>
      <c r="AY16" s="338"/>
      <c r="AZ16" s="204">
        <f t="shared" si="4"/>
        <v>4</v>
      </c>
      <c r="BA16" s="204">
        <f>'CCC-car.5'!AD59</f>
        <v>4</v>
      </c>
      <c r="BB16" s="204">
        <f>'CCC-car.5'!AE59</f>
        <v>-105.04480253212398</v>
      </c>
      <c r="BC16" s="204">
        <f>'CCC-car.5'!AF59</f>
        <v>-113.101200633031</v>
      </c>
      <c r="BD16" s="1"/>
    </row>
    <row r="17" spans="2:56" s="46" customFormat="1" ht="12" customHeight="1" x14ac:dyDescent="0.2">
      <c r="B17" s="252" t="s">
        <v>127</v>
      </c>
      <c r="C17" s="42"/>
      <c r="D17" s="309" t="s">
        <v>464</v>
      </c>
      <c r="E17" s="276" t="s">
        <v>475</v>
      </c>
      <c r="F17" s="276" t="s">
        <v>475</v>
      </c>
      <c r="G17" s="276" t="s">
        <v>475</v>
      </c>
      <c r="H17" s="310"/>
      <c r="AE17" s="339" t="s">
        <v>72</v>
      </c>
      <c r="AF17" s="205">
        <f t="shared" ref="AF17:AF25" si="6">AG17-$AG$16</f>
        <v>0</v>
      </c>
      <c r="AG17" s="203">
        <f>'CCC-car.1'!AD60</f>
        <v>4</v>
      </c>
      <c r="AH17" s="203">
        <f>'CCC-car.1'!AE60</f>
        <v>-102.07022959183672</v>
      </c>
      <c r="AI17" s="203">
        <f>'CCC-car.1'!AF60</f>
        <v>119.40499999999999</v>
      </c>
      <c r="AJ17" s="339" t="s">
        <v>72</v>
      </c>
      <c r="AK17" s="205">
        <f t="shared" si="1"/>
        <v>0</v>
      </c>
      <c r="AL17" s="203">
        <f>'CCC-car.2'!AD60</f>
        <v>4</v>
      </c>
      <c r="AM17" s="203">
        <f>'CCC-car.2'!AE60</f>
        <v>-94.769005102040808</v>
      </c>
      <c r="AN17" s="203">
        <f>'CCC-car.2'!AF60</f>
        <v>119.40499999999999</v>
      </c>
      <c r="AO17" s="339" t="s">
        <v>72</v>
      </c>
      <c r="AP17" s="205">
        <f t="shared" si="2"/>
        <v>0</v>
      </c>
      <c r="AQ17" s="203">
        <f>'CCC-car.3'!AD60</f>
        <v>4</v>
      </c>
      <c r="AR17" s="203">
        <f>'CCC-car.3'!AE60</f>
        <v>-83.089897959183673</v>
      </c>
      <c r="AS17" s="203">
        <f>'CCC-car.3'!AF60</f>
        <v>88.659999999999982</v>
      </c>
      <c r="AT17" s="339" t="s">
        <v>72</v>
      </c>
      <c r="AU17" s="205">
        <f t="shared" si="3"/>
        <v>0</v>
      </c>
      <c r="AV17" s="203">
        <f>'CCC-car.4'!AD60</f>
        <v>4</v>
      </c>
      <c r="AW17" s="203">
        <f>'CCC-car.4'!AE60</f>
        <v>-91.794432161753576</v>
      </c>
      <c r="AX17" s="203">
        <f>'CCC-car.4'!AF60</f>
        <v>116.99584175084173</v>
      </c>
      <c r="AY17" s="339" t="s">
        <v>72</v>
      </c>
      <c r="AZ17" s="205">
        <f t="shared" si="4"/>
        <v>0</v>
      </c>
      <c r="BA17" s="203">
        <f>'CCC-car.5'!AD60</f>
        <v>4</v>
      </c>
      <c r="BB17" s="203">
        <f>'CCC-car.5'!AE60</f>
        <v>-105.04480253212395</v>
      </c>
      <c r="BC17" s="203">
        <f>'CCC-car.5'!AF60</f>
        <v>121.81415824915825</v>
      </c>
      <c r="BD17" s="1"/>
    </row>
    <row r="18" spans="2:56" s="46" customFormat="1" x14ac:dyDescent="0.2">
      <c r="B18" s="252" t="s">
        <v>460</v>
      </c>
      <c r="C18" s="272" t="s">
        <v>446</v>
      </c>
      <c r="D18" s="201" t="str">
        <f>IF($D16=$I$69,VLOOKUP($D17,matca,2,0),IF($D16=$I$70,VLOOKUP($D17,matacciaio,3,0),""))</f>
        <v/>
      </c>
      <c r="E18" s="201">
        <v>0</v>
      </c>
      <c r="F18" s="201">
        <v>0</v>
      </c>
      <c r="G18" s="201">
        <v>0</v>
      </c>
      <c r="H18" s="201" t="str">
        <f>IF($H16=$I$69,VLOOKUP($H17,matca,2,0),IF($H16=$I$70,VLOOKUP($H17,matacciaio,3,0),""))</f>
        <v/>
      </c>
      <c r="AE18" s="339"/>
      <c r="AF18" s="206">
        <f t="shared" si="6"/>
        <v>0.6875</v>
      </c>
      <c r="AG18" s="201">
        <f>'CCC-car.1'!AD61</f>
        <v>4.6875</v>
      </c>
      <c r="AH18" s="201">
        <f>'CCC-car.1'!AE61</f>
        <v>-30.240659279336725</v>
      </c>
      <c r="AI18" s="201">
        <f>'CCC-car.1'!AF61</f>
        <v>89.55374999999998</v>
      </c>
      <c r="AJ18" s="339"/>
      <c r="AK18" s="206">
        <f t="shared" si="1"/>
        <v>0.6875</v>
      </c>
      <c r="AL18" s="201">
        <f>'CCC-car.2'!AD61</f>
        <v>4.6875</v>
      </c>
      <c r="AM18" s="201">
        <f>'CCC-car.2'!AE61</f>
        <v>-22.939434789540812</v>
      </c>
      <c r="AN18" s="201">
        <f>'CCC-car.2'!AF61</f>
        <v>89.55374999999998</v>
      </c>
      <c r="AO18" s="339"/>
      <c r="AP18" s="206">
        <f t="shared" si="2"/>
        <v>0.6875</v>
      </c>
      <c r="AQ18" s="201">
        <f>'CCC-car.3'!AD61</f>
        <v>4.6875</v>
      </c>
      <c r="AR18" s="201">
        <f>'CCC-car.3'!AE61</f>
        <v>-29.75536670918369</v>
      </c>
      <c r="AS18" s="201">
        <f>'CCC-car.3'!AF61</f>
        <v>66.49499999999999</v>
      </c>
      <c r="AT18" s="339"/>
      <c r="AU18" s="206">
        <f t="shared" si="3"/>
        <v>0.6875</v>
      </c>
      <c r="AV18" s="201">
        <f>'CCC-car.4'!AD61</f>
        <v>4.6875</v>
      </c>
      <c r="AW18" s="201">
        <f>'CCC-car.4'!AE61</f>
        <v>-21.621158145549884</v>
      </c>
      <c r="AX18" s="201">
        <f>'CCC-car.4'!AF61</f>
        <v>87.144591750841727</v>
      </c>
      <c r="AY18" s="339"/>
      <c r="AZ18" s="206">
        <f t="shared" si="4"/>
        <v>0.6875</v>
      </c>
      <c r="BA18" s="201">
        <f>'CCC-car.5'!AD61</f>
        <v>4.6875</v>
      </c>
      <c r="BB18" s="201">
        <f>'CCC-car.5'!AE61</f>
        <v>-31.558935923327653</v>
      </c>
      <c r="BC18" s="201">
        <f>'CCC-car.5'!AF61</f>
        <v>91.962908249158261</v>
      </c>
      <c r="BD18" s="1"/>
    </row>
    <row r="19" spans="2:56" s="46" customFormat="1" x14ac:dyDescent="0.2">
      <c r="B19" s="252" t="s">
        <v>461</v>
      </c>
      <c r="C19" s="272" t="s">
        <v>140</v>
      </c>
      <c r="D19" s="306" t="str">
        <f>IF($D16=$I$69,VLOOKUP($D17,matca,4,0),IF($D16=$I$70,VLOOKUP($D17,matacciaio,5,0),""))</f>
        <v/>
      </c>
      <c r="E19" s="306">
        <f>IF($D6=$I$69,VLOOKUP($E17,matca,4,0),IF($D6=$I$70,VLOOKUP($E17,matacciaio,5,0),""))</f>
        <v>13333.333333333334</v>
      </c>
      <c r="F19" s="306">
        <f>IF($D6=$I$69,VLOOKUP($F17,matca,4,0),IF($D6=$I$70,VLOOKUP($F17,matacciaio,5,0),""))</f>
        <v>13333.333333333334</v>
      </c>
      <c r="G19" s="306">
        <f>IF($D6=$I$69,VLOOKUP($G17,matca,4,0),IF($D6=$I$70,VLOOKUP($G17,matacciaio,5,0),""))</f>
        <v>13333.333333333334</v>
      </c>
      <c r="H19" s="306" t="str">
        <f>IF($H16=$I$69,VLOOKUP($H17,matca,4,0),IF($H16=$I$70,VLOOKUP($H17,matacciaio,5,0),""))</f>
        <v/>
      </c>
      <c r="AE19" s="339"/>
      <c r="AF19" s="206">
        <f t="shared" si="6"/>
        <v>1.375</v>
      </c>
      <c r="AG19" s="201">
        <f>'CCC-car.1'!AD62</f>
        <v>5.375</v>
      </c>
      <c r="AH19" s="201">
        <f>'CCC-car.1'!AE62</f>
        <v>21.066176658163272</v>
      </c>
      <c r="AI19" s="201">
        <f>'CCC-car.1'!AF62</f>
        <v>59.702499999999986</v>
      </c>
      <c r="AJ19" s="339"/>
      <c r="AK19" s="206">
        <f t="shared" si="1"/>
        <v>1.375</v>
      </c>
      <c r="AL19" s="201">
        <f>'CCC-car.2'!AD62</f>
        <v>5.375</v>
      </c>
      <c r="AM19" s="201">
        <f>'CCC-car.2'!AE62</f>
        <v>28.367401147959185</v>
      </c>
      <c r="AN19" s="201">
        <f>'CCC-car.2'!AF62</f>
        <v>59.702499999999986</v>
      </c>
      <c r="AO19" s="339"/>
      <c r="AP19" s="206">
        <f t="shared" si="2"/>
        <v>1.375</v>
      </c>
      <c r="AQ19" s="201">
        <f>'CCC-car.3'!AD62</f>
        <v>5.375</v>
      </c>
      <c r="AR19" s="201">
        <f>'CCC-car.3'!AE62</f>
        <v>8.3407270408163043</v>
      </c>
      <c r="AS19" s="201">
        <f>'CCC-car.3'!AF62</f>
        <v>44.329999999999991</v>
      </c>
      <c r="AT19" s="339"/>
      <c r="AU19" s="206">
        <f t="shared" si="3"/>
        <v>1.375</v>
      </c>
      <c r="AV19" s="201">
        <f>'CCC-car.4'!AD62</f>
        <v>5.375</v>
      </c>
      <c r="AW19" s="201">
        <f>'CCC-car.4'!AE62</f>
        <v>28.029381495653809</v>
      </c>
      <c r="AX19" s="201">
        <f>'CCC-car.4'!AF62</f>
        <v>57.293341750841734</v>
      </c>
      <c r="AY19" s="339"/>
      <c r="AZ19" s="206">
        <f t="shared" si="4"/>
        <v>1.375</v>
      </c>
      <c r="BA19" s="201">
        <f>'CCC-car.5'!AD62</f>
        <v>5.375</v>
      </c>
      <c r="BB19" s="201">
        <f>'CCC-car.5'!AE62</f>
        <v>21.404196310468649</v>
      </c>
      <c r="BC19" s="201">
        <f>'CCC-car.5'!AF62</f>
        <v>62.111658249158253</v>
      </c>
    </row>
    <row r="20" spans="2:56" s="46" customFormat="1" x14ac:dyDescent="0.2">
      <c r="B20" s="271"/>
      <c r="C20" s="271"/>
      <c r="D20" s="271"/>
      <c r="E20" s="271"/>
      <c r="F20" s="271"/>
      <c r="G20" s="271"/>
      <c r="H20" s="271"/>
      <c r="AE20" s="339"/>
      <c r="AF20" s="206">
        <f t="shared" si="6"/>
        <v>2.0625</v>
      </c>
      <c r="AG20" s="201">
        <f>'CCC-car.1'!AD63</f>
        <v>6.0625</v>
      </c>
      <c r="AH20" s="201">
        <f>'CCC-car.1'!AE63</f>
        <v>51.850278220663256</v>
      </c>
      <c r="AI20" s="201">
        <f>'CCC-car.1'!AF63</f>
        <v>29.851249999999979</v>
      </c>
      <c r="AJ20" s="339"/>
      <c r="AK20" s="206">
        <f t="shared" si="1"/>
        <v>2.0625</v>
      </c>
      <c r="AL20" s="201">
        <f>'CCC-car.2'!AD63</f>
        <v>6.0625</v>
      </c>
      <c r="AM20" s="201">
        <f>'CCC-car.2'!AE63</f>
        <v>59.15150271045917</v>
      </c>
      <c r="AN20" s="201">
        <f>'CCC-car.2'!AF63</f>
        <v>29.851249999999979</v>
      </c>
      <c r="AO20" s="339"/>
      <c r="AP20" s="206">
        <f t="shared" si="2"/>
        <v>2.0625</v>
      </c>
      <c r="AQ20" s="201">
        <f>'CCC-car.3'!AD63</f>
        <v>6.0625</v>
      </c>
      <c r="AR20" s="201">
        <f>'CCC-car.3'!AE63</f>
        <v>31.198383290816281</v>
      </c>
      <c r="AS20" s="201">
        <f>'CCC-car.3'!AF63</f>
        <v>22.164999999999992</v>
      </c>
      <c r="AT20" s="339"/>
      <c r="AU20" s="206">
        <f t="shared" si="3"/>
        <v>2.0625</v>
      </c>
      <c r="AV20" s="201">
        <f>'CCC-car.4'!AD63</f>
        <v>6.0625</v>
      </c>
      <c r="AW20" s="201">
        <f>'CCC-car.4'!AE63</f>
        <v>57.157186761857503</v>
      </c>
      <c r="AX20" s="201">
        <f>'CCC-car.4'!AF63</f>
        <v>27.442091750841726</v>
      </c>
      <c r="AY20" s="339"/>
      <c r="AZ20" s="206">
        <f t="shared" si="4"/>
        <v>2.0625</v>
      </c>
      <c r="BA20" s="201">
        <f>'CCC-car.5'!AD63</f>
        <v>6.0625</v>
      </c>
      <c r="BB20" s="201">
        <f>'CCC-car.5'!AE63</f>
        <v>53.844594169264923</v>
      </c>
      <c r="BC20" s="201">
        <f>'CCC-car.5'!AF63</f>
        <v>32.260408249158246</v>
      </c>
    </row>
    <row r="21" spans="2:56" x14ac:dyDescent="0.2">
      <c r="AE21" s="339"/>
      <c r="AF21" s="206">
        <f t="shared" si="6"/>
        <v>2.75</v>
      </c>
      <c r="AG21" s="201">
        <f>'CCC-car.1'!AD64</f>
        <v>6.75</v>
      </c>
      <c r="AH21" s="201">
        <f>'CCC-car.1'!AE64</f>
        <v>62.111645408163213</v>
      </c>
      <c r="AI21" s="201">
        <f>'CCC-car.1'!AF64</f>
        <v>0</v>
      </c>
      <c r="AJ21" s="339"/>
      <c r="AK21" s="206">
        <f t="shared" si="1"/>
        <v>2.75</v>
      </c>
      <c r="AL21" s="201">
        <f>'CCC-car.2'!AD64</f>
        <v>6.75</v>
      </c>
      <c r="AM21" s="201">
        <f>'CCC-car.2'!AE64</f>
        <v>69.412869897959126</v>
      </c>
      <c r="AN21" s="201">
        <f>'CCC-car.2'!AF64</f>
        <v>0</v>
      </c>
      <c r="AO21" s="339"/>
      <c r="AP21" s="206">
        <f t="shared" si="2"/>
        <v>2.75</v>
      </c>
      <c r="AQ21" s="201">
        <f>'CCC-car.3'!AD64</f>
        <v>6.75</v>
      </c>
      <c r="AR21" s="201">
        <f>'CCC-car.3'!AE64</f>
        <v>38.817602040816269</v>
      </c>
      <c r="AS21" s="201">
        <f>'CCC-car.3'!AF64</f>
        <v>0</v>
      </c>
      <c r="AT21" s="339"/>
      <c r="AU21" s="206">
        <f t="shared" si="3"/>
        <v>2.75</v>
      </c>
      <c r="AV21" s="201">
        <f>'CCC-car.4'!AD64</f>
        <v>6.75</v>
      </c>
      <c r="AW21" s="201">
        <f>'CCC-car.4'!AE64</f>
        <v>65.76225765306117</v>
      </c>
      <c r="AX21" s="201">
        <f>'CCC-car.4'!AF64</f>
        <v>-2.409158249158267</v>
      </c>
      <c r="AY21" s="339"/>
      <c r="AZ21" s="206">
        <f t="shared" si="4"/>
        <v>2.75</v>
      </c>
      <c r="BA21" s="201">
        <f>'CCC-car.5'!AD64</f>
        <v>6.75</v>
      </c>
      <c r="BB21" s="201">
        <f>'CCC-car.5'!AE64</f>
        <v>65.762257653061226</v>
      </c>
      <c r="BC21" s="201">
        <f>'CCC-car.5'!AF64</f>
        <v>2.4091582491582528</v>
      </c>
    </row>
    <row r="22" spans="2:56" x14ac:dyDescent="0.2">
      <c r="I22" s="1" t="s">
        <v>464</v>
      </c>
      <c r="AE22" s="339"/>
      <c r="AF22" s="206">
        <f t="shared" si="6"/>
        <v>3.4375</v>
      </c>
      <c r="AG22" s="201">
        <f>'CCC-car.1'!AD65</f>
        <v>7.4375</v>
      </c>
      <c r="AH22" s="201">
        <f>'CCC-car.1'!AE65</f>
        <v>51.850278220663256</v>
      </c>
      <c r="AI22" s="201">
        <f>'CCC-car.1'!AF65</f>
        <v>-29.851250000000007</v>
      </c>
      <c r="AJ22" s="339"/>
      <c r="AK22" s="206">
        <f t="shared" si="1"/>
        <v>3.4375</v>
      </c>
      <c r="AL22" s="201">
        <f>'CCC-car.2'!AD65</f>
        <v>7.4375</v>
      </c>
      <c r="AM22" s="201">
        <f>'CCC-car.2'!AE65</f>
        <v>59.15150271045917</v>
      </c>
      <c r="AN22" s="201">
        <f>'CCC-car.2'!AF65</f>
        <v>-29.851250000000007</v>
      </c>
      <c r="AO22" s="339"/>
      <c r="AP22" s="206">
        <f t="shared" si="2"/>
        <v>3.4375</v>
      </c>
      <c r="AQ22" s="201">
        <f>'CCC-car.3'!AD65</f>
        <v>7.4375</v>
      </c>
      <c r="AR22" s="201">
        <f>'CCC-car.3'!AE65</f>
        <v>31.198383290816309</v>
      </c>
      <c r="AS22" s="201">
        <f>'CCC-car.3'!AF65</f>
        <v>-22.165000000000006</v>
      </c>
      <c r="AT22" s="339"/>
      <c r="AU22" s="206">
        <f t="shared" si="3"/>
        <v>3.4375</v>
      </c>
      <c r="AV22" s="201">
        <f>'CCC-car.4'!AD65</f>
        <v>7.4375</v>
      </c>
      <c r="AW22" s="201">
        <f>'CCC-car.4'!AE65</f>
        <v>53.844594169264894</v>
      </c>
      <c r="AX22" s="201">
        <f>'CCC-car.4'!AF65</f>
        <v>-32.26040824915826</v>
      </c>
      <c r="AY22" s="339"/>
      <c r="AZ22" s="206">
        <f t="shared" si="4"/>
        <v>3.4375</v>
      </c>
      <c r="BA22" s="201">
        <f>'CCC-car.5'!AD65</f>
        <v>7.4375</v>
      </c>
      <c r="BB22" s="201">
        <f>'CCC-car.5'!AE65</f>
        <v>57.157186761857531</v>
      </c>
      <c r="BC22" s="201">
        <f>'CCC-car.5'!AF65</f>
        <v>-27.44209175084174</v>
      </c>
    </row>
    <row r="23" spans="2:56" x14ac:dyDescent="0.2">
      <c r="AE23" s="339"/>
      <c r="AF23" s="206">
        <f t="shared" si="6"/>
        <v>4.125</v>
      </c>
      <c r="AG23" s="201">
        <f>'CCC-car.1'!AD66</f>
        <v>8.125</v>
      </c>
      <c r="AH23" s="201">
        <f>'CCC-car.1'!AE66</f>
        <v>21.066176658163215</v>
      </c>
      <c r="AI23" s="201">
        <f>'CCC-car.1'!AF66</f>
        <v>-59.702500000000029</v>
      </c>
      <c r="AJ23" s="339"/>
      <c r="AK23" s="206">
        <f t="shared" si="1"/>
        <v>4.125</v>
      </c>
      <c r="AL23" s="201">
        <f>'CCC-car.2'!AD66</f>
        <v>8.125</v>
      </c>
      <c r="AM23" s="201">
        <f>'CCC-car.2'!AE66</f>
        <v>28.367401147959129</v>
      </c>
      <c r="AN23" s="201">
        <f>'CCC-car.2'!AF66</f>
        <v>-59.702500000000029</v>
      </c>
      <c r="AO23" s="339"/>
      <c r="AP23" s="206">
        <f t="shared" si="2"/>
        <v>4.125</v>
      </c>
      <c r="AQ23" s="201">
        <f>'CCC-car.3'!AD66</f>
        <v>8.125</v>
      </c>
      <c r="AR23" s="201">
        <f>'CCC-car.3'!AE66</f>
        <v>8.3407270408162617</v>
      </c>
      <c r="AS23" s="201">
        <f>'CCC-car.3'!AF66</f>
        <v>-44.33</v>
      </c>
      <c r="AT23" s="339"/>
      <c r="AU23" s="206">
        <f t="shared" si="3"/>
        <v>4.125</v>
      </c>
      <c r="AV23" s="201">
        <f>'CCC-car.4'!AD66</f>
        <v>8.125</v>
      </c>
      <c r="AW23" s="201">
        <f>'CCC-car.4'!AE66</f>
        <v>21.404196310468592</v>
      </c>
      <c r="AX23" s="201">
        <f>'CCC-car.4'!AF66</f>
        <v>-62.111658249158282</v>
      </c>
      <c r="AY23" s="339"/>
      <c r="AZ23" s="206">
        <f t="shared" si="4"/>
        <v>4.125</v>
      </c>
      <c r="BA23" s="201">
        <f>'CCC-car.5'!AD66</f>
        <v>8.125</v>
      </c>
      <c r="BB23" s="201">
        <f>'CCC-car.5'!AE66</f>
        <v>28.029381495653752</v>
      </c>
      <c r="BC23" s="201">
        <f>'CCC-car.5'!AF66</f>
        <v>-57.293341750841762</v>
      </c>
    </row>
    <row r="24" spans="2:56" x14ac:dyDescent="0.2">
      <c r="B24" s="286"/>
      <c r="C24" s="286"/>
      <c r="D24" s="343" t="s">
        <v>473</v>
      </c>
      <c r="E24" s="343"/>
      <c r="F24" s="343"/>
      <c r="G24" s="343"/>
      <c r="H24" s="343"/>
      <c r="AE24" s="339"/>
      <c r="AF24" s="206">
        <f t="shared" si="6"/>
        <v>4.8125</v>
      </c>
      <c r="AG24" s="201">
        <f>'CCC-car.1'!AD67</f>
        <v>8.8125</v>
      </c>
      <c r="AH24" s="201">
        <f>'CCC-car.1'!AE67</f>
        <v>-30.240659279336796</v>
      </c>
      <c r="AI24" s="201">
        <f>'CCC-car.1'!AF67</f>
        <v>-89.553750000000022</v>
      </c>
      <c r="AJ24" s="339"/>
      <c r="AK24" s="206">
        <f t="shared" si="1"/>
        <v>4.8125</v>
      </c>
      <c r="AL24" s="201">
        <f>'CCC-car.2'!AD67</f>
        <v>8.8125</v>
      </c>
      <c r="AM24" s="201">
        <f>'CCC-car.2'!AE67</f>
        <v>-22.939434789540883</v>
      </c>
      <c r="AN24" s="201">
        <f>'CCC-car.2'!AF67</f>
        <v>-89.553750000000022</v>
      </c>
      <c r="AO24" s="339"/>
      <c r="AP24" s="206">
        <f t="shared" si="2"/>
        <v>4.8125</v>
      </c>
      <c r="AQ24" s="201">
        <f>'CCC-car.3'!AD67</f>
        <v>8.8125</v>
      </c>
      <c r="AR24" s="201">
        <f>'CCC-car.3'!AE67</f>
        <v>-29.755366709183647</v>
      </c>
      <c r="AS24" s="201">
        <f>'CCC-car.3'!AF67</f>
        <v>-66.49499999999999</v>
      </c>
      <c r="AT24" s="339"/>
      <c r="AU24" s="206">
        <f t="shared" si="3"/>
        <v>4.8125</v>
      </c>
      <c r="AV24" s="201">
        <f>'CCC-car.4'!AD67</f>
        <v>8.8125</v>
      </c>
      <c r="AW24" s="201">
        <f>'CCC-car.4'!AE67</f>
        <v>-31.558935923327795</v>
      </c>
      <c r="AX24" s="201">
        <f>'CCC-car.4'!AF67</f>
        <v>-91.962908249158275</v>
      </c>
      <c r="AY24" s="339"/>
      <c r="AZ24" s="206">
        <f t="shared" si="4"/>
        <v>4.8125</v>
      </c>
      <c r="BA24" s="201">
        <f>'CCC-car.5'!AD67</f>
        <v>8.8125</v>
      </c>
      <c r="BB24" s="201">
        <f>'CCC-car.5'!AE67</f>
        <v>-21.621158145549884</v>
      </c>
      <c r="BC24" s="201">
        <f>'CCC-car.5'!AF67</f>
        <v>-87.144591750841755</v>
      </c>
    </row>
    <row r="25" spans="2:56" ht="12" customHeight="1" x14ac:dyDescent="0.2">
      <c r="B25" s="46"/>
      <c r="C25" s="46"/>
      <c r="D25" s="46"/>
      <c r="E25" s="46"/>
      <c r="G25" s="46"/>
      <c r="H25" s="46"/>
      <c r="I25" s="46"/>
      <c r="J25" s="46"/>
      <c r="AE25" s="339"/>
      <c r="AF25" s="207">
        <f t="shared" si="6"/>
        <v>5.5</v>
      </c>
      <c r="AG25" s="204">
        <f>'CCC-car.1'!AD68</f>
        <v>9.5</v>
      </c>
      <c r="AH25" s="204">
        <f>'CCC-car.1'!AE68</f>
        <v>-102.07022959183678</v>
      </c>
      <c r="AI25" s="204">
        <f>'CCC-car.1'!AF68</f>
        <v>-119.40500000000002</v>
      </c>
      <c r="AJ25" s="339"/>
      <c r="AK25" s="207">
        <f t="shared" si="1"/>
        <v>5.5</v>
      </c>
      <c r="AL25" s="204">
        <f>'CCC-car.2'!AD68</f>
        <v>9.5</v>
      </c>
      <c r="AM25" s="204">
        <f>'CCC-car.2'!AE68</f>
        <v>-94.769005102040865</v>
      </c>
      <c r="AN25" s="204">
        <f>'CCC-car.2'!AF68</f>
        <v>-119.40500000000002</v>
      </c>
      <c r="AO25" s="339"/>
      <c r="AP25" s="207">
        <f t="shared" si="2"/>
        <v>5.5</v>
      </c>
      <c r="AQ25" s="204">
        <f>'CCC-car.3'!AD68</f>
        <v>9.5</v>
      </c>
      <c r="AR25" s="204">
        <f>'CCC-car.3'!AE68</f>
        <v>-83.089897959183759</v>
      </c>
      <c r="AS25" s="204">
        <f>'CCC-car.3'!AF68</f>
        <v>-88.659999999999982</v>
      </c>
      <c r="AT25" s="339"/>
      <c r="AU25" s="207">
        <f t="shared" si="3"/>
        <v>5.5</v>
      </c>
      <c r="AV25" s="204">
        <f>'CCC-car.4'!AD68</f>
        <v>9.5</v>
      </c>
      <c r="AW25" s="204">
        <f>'CCC-car.4'!AE68</f>
        <v>-105.04480253212409</v>
      </c>
      <c r="AX25" s="204">
        <f>'CCC-car.4'!AF68</f>
        <v>-121.81415824915827</v>
      </c>
      <c r="AY25" s="339"/>
      <c r="AZ25" s="207">
        <f t="shared" si="4"/>
        <v>5.5</v>
      </c>
      <c r="BA25" s="204">
        <f>'CCC-car.5'!AD68</f>
        <v>9.5</v>
      </c>
      <c r="BB25" s="204">
        <f>'CCC-car.5'!AE68</f>
        <v>-91.794432161753662</v>
      </c>
      <c r="BC25" s="204">
        <f>'CCC-car.5'!AF68</f>
        <v>-116.99584175084175</v>
      </c>
    </row>
    <row r="26" spans="2:56" ht="12" customHeight="1" x14ac:dyDescent="0.2">
      <c r="B26" s="12" t="s">
        <v>49</v>
      </c>
      <c r="C26" s="301" t="s">
        <v>446</v>
      </c>
      <c r="D26" s="278">
        <v>0</v>
      </c>
      <c r="E26" s="278">
        <f>((1.9)*1.3+(3.59)*1.5+2*1.5)*4</f>
        <v>43.42</v>
      </c>
      <c r="F26" s="278">
        <f t="shared" ref="F26:G26" si="7">((1.9)*1.3+(3.59)*1.5+2*1.5)*4</f>
        <v>43.42</v>
      </c>
      <c r="G26" s="278">
        <f t="shared" si="7"/>
        <v>43.42</v>
      </c>
      <c r="H26" s="278">
        <v>0</v>
      </c>
      <c r="AE26" s="338" t="s">
        <v>88</v>
      </c>
      <c r="AF26" s="205">
        <f t="shared" ref="AF26:AF34" si="8">AG26-$AG$25</f>
        <v>0</v>
      </c>
      <c r="AG26" s="203">
        <f>'CCC-car.1'!AD69</f>
        <v>9.5</v>
      </c>
      <c r="AH26" s="203">
        <f>'CCC-car.1'!AE69</f>
        <v>-102.07022959183672</v>
      </c>
      <c r="AI26" s="203">
        <f>'CCC-car.1'!AF69</f>
        <v>112.35755739795918</v>
      </c>
      <c r="AJ26" s="338" t="s">
        <v>88</v>
      </c>
      <c r="AK26" s="205">
        <f t="shared" si="1"/>
        <v>0</v>
      </c>
      <c r="AL26" s="203">
        <f>'CCC-car.2'!AD69</f>
        <v>9.5</v>
      </c>
      <c r="AM26" s="203">
        <f>'CCC-car.2'!AE69</f>
        <v>-94.769005102040808</v>
      </c>
      <c r="AN26" s="203">
        <f>'CCC-car.2'!AF69</f>
        <v>88.172251275510192</v>
      </c>
      <c r="AO26" s="338" t="s">
        <v>88</v>
      </c>
      <c r="AP26" s="205">
        <f t="shared" si="2"/>
        <v>0</v>
      </c>
      <c r="AQ26" s="203">
        <f>'CCC-car.3'!AD69</f>
        <v>9.5</v>
      </c>
      <c r="AR26" s="203">
        <f>'CCC-car.3'!AE69</f>
        <v>-83.089897959183673</v>
      </c>
      <c r="AS26" s="203">
        <f>'CCC-car.3'!AF69</f>
        <v>107.61247448979591</v>
      </c>
      <c r="AT26" s="338" t="s">
        <v>88</v>
      </c>
      <c r="AU26" s="205">
        <f t="shared" si="3"/>
        <v>0</v>
      </c>
      <c r="AV26" s="203">
        <f>'CCC-car.4'!AD69</f>
        <v>9.5</v>
      </c>
      <c r="AW26" s="203">
        <f>'CCC-car.4'!AE69</f>
        <v>-105.04480253212395</v>
      </c>
      <c r="AX26" s="203">
        <f>'CCC-car.4'!AF69</f>
        <v>113.101200633031</v>
      </c>
      <c r="AY26" s="338" t="s">
        <v>88</v>
      </c>
      <c r="AZ26" s="205">
        <f t="shared" si="4"/>
        <v>0</v>
      </c>
      <c r="BA26" s="203">
        <f>'CCC-car.5'!AD69</f>
        <v>9.5</v>
      </c>
      <c r="BB26" s="203">
        <f>'CCC-car.5'!AE69</f>
        <v>-91.794432161753576</v>
      </c>
      <c r="BC26" s="203">
        <f>'CCC-car.5'!AF69</f>
        <v>87.428608040438377</v>
      </c>
    </row>
    <row r="27" spans="2:56" x14ac:dyDescent="0.2">
      <c r="B27" s="12" t="s">
        <v>50</v>
      </c>
      <c r="C27" s="301" t="s">
        <v>446</v>
      </c>
      <c r="D27" s="278">
        <v>0</v>
      </c>
      <c r="E27" s="278">
        <f>((1.9)*1.3+(3.59)*1+2*1)*4</f>
        <v>32.239999999999995</v>
      </c>
      <c r="F27" s="278">
        <f>((1.9)*1.3+(3.59)*1.5+2*1.5)*4</f>
        <v>43.42</v>
      </c>
      <c r="G27" s="278">
        <f>((1.9)*1.3+(3.59)*1+2*1)*4</f>
        <v>32.239999999999995</v>
      </c>
      <c r="H27" s="278">
        <v>0</v>
      </c>
      <c r="AE27" s="338"/>
      <c r="AF27" s="206">
        <f t="shared" si="8"/>
        <v>0.5</v>
      </c>
      <c r="AG27" s="201">
        <f>'CCC-car.1'!AD70</f>
        <v>10</v>
      </c>
      <c r="AH27" s="201">
        <f>'CCC-car.1'!AE70</f>
        <v>-51.318950892857124</v>
      </c>
      <c r="AI27" s="201">
        <f>'CCC-car.1'!AF70</f>
        <v>90.64755739795919</v>
      </c>
      <c r="AJ27" s="338"/>
      <c r="AK27" s="206">
        <f t="shared" si="1"/>
        <v>0.5</v>
      </c>
      <c r="AL27" s="201">
        <f>'CCC-car.2'!AD70</f>
        <v>10</v>
      </c>
      <c r="AM27" s="201">
        <f>'CCC-car.2'!AE70</f>
        <v>-54.712879464285713</v>
      </c>
      <c r="AN27" s="201">
        <f>'CCC-car.2'!AF70</f>
        <v>72.052251275510201</v>
      </c>
      <c r="AO27" s="338"/>
      <c r="AP27" s="206">
        <f t="shared" si="2"/>
        <v>0.5</v>
      </c>
      <c r="AQ27" s="201">
        <f>'CCC-car.3'!AD70</f>
        <v>10</v>
      </c>
      <c r="AR27" s="201">
        <f>'CCC-car.3'!AE70</f>
        <v>-34.711160714285711</v>
      </c>
      <c r="AS27" s="201">
        <f>'CCC-car.3'!AF70</f>
        <v>85.902474489795907</v>
      </c>
      <c r="AT27" s="338"/>
      <c r="AU27" s="206">
        <f t="shared" si="3"/>
        <v>0.5</v>
      </c>
      <c r="AV27" s="201">
        <f>'CCC-car.4'!AD70</f>
        <v>10</v>
      </c>
      <c r="AW27" s="201">
        <f>'CCC-car.4'!AE70</f>
        <v>-53.921702215608448</v>
      </c>
      <c r="AX27" s="201">
        <f>'CCC-car.4'!AF70</f>
        <v>91.391200633030991</v>
      </c>
      <c r="AY27" s="338"/>
      <c r="AZ27" s="206">
        <f t="shared" si="4"/>
        <v>0.5</v>
      </c>
      <c r="BA27" s="201">
        <f>'CCC-car.5'!AD70</f>
        <v>10</v>
      </c>
      <c r="BB27" s="201">
        <f>'CCC-car.5'!AE70</f>
        <v>-52.110128141534389</v>
      </c>
      <c r="BC27" s="201">
        <f>'CCC-car.5'!AF70</f>
        <v>71.308608040438372</v>
      </c>
    </row>
    <row r="28" spans="2:56" s="46" customFormat="1" x14ac:dyDescent="0.2">
      <c r="B28" s="12" t="s">
        <v>51</v>
      </c>
      <c r="C28" s="301" t="s">
        <v>446</v>
      </c>
      <c r="D28" s="278">
        <v>0</v>
      </c>
      <c r="E28" s="278">
        <f>((1.9)*1.3+(3.59)*1.5+2*1.5)*4</f>
        <v>43.42</v>
      </c>
      <c r="F28" s="278">
        <f>((1.9)*1.3+(3.59)*1+2*1)*4</f>
        <v>32.239999999999995</v>
      </c>
      <c r="G28" s="278">
        <f>((1.9)*1.3+(3.59)*1.5+2*1.5)*4</f>
        <v>43.42</v>
      </c>
      <c r="H28" s="278">
        <v>0</v>
      </c>
      <c r="I28" s="1"/>
      <c r="J28" s="1"/>
      <c r="AE28" s="338"/>
      <c r="AF28" s="206">
        <f t="shared" si="8"/>
        <v>1</v>
      </c>
      <c r="AG28" s="201">
        <f>'CCC-car.1'!AD71</f>
        <v>10.5</v>
      </c>
      <c r="AH28" s="201">
        <f>'CCC-car.1'!AE71</f>
        <v>-11.422672193877546</v>
      </c>
      <c r="AI28" s="201">
        <f>'CCC-car.1'!AF71</f>
        <v>68.937557397959182</v>
      </c>
      <c r="AJ28" s="338"/>
      <c r="AK28" s="206">
        <f t="shared" si="1"/>
        <v>1</v>
      </c>
      <c r="AL28" s="201">
        <f>'CCC-car.2'!AD71</f>
        <v>10.5</v>
      </c>
      <c r="AM28" s="201">
        <f>'CCC-car.2'!AE71</f>
        <v>-22.716753826530621</v>
      </c>
      <c r="AN28" s="201">
        <f>'CCC-car.2'!AF71</f>
        <v>55.932251275510197</v>
      </c>
      <c r="AO28" s="338"/>
      <c r="AP28" s="206">
        <f t="shared" si="2"/>
        <v>1</v>
      </c>
      <c r="AQ28" s="201">
        <f>'CCC-car.3'!AD71</f>
        <v>10.5</v>
      </c>
      <c r="AR28" s="201">
        <f>'CCC-car.3'!AE71</f>
        <v>2.8125765306122332</v>
      </c>
      <c r="AS28" s="201">
        <f>'CCC-car.3'!AF71</f>
        <v>64.192474489795913</v>
      </c>
      <c r="AT28" s="338"/>
      <c r="AU28" s="206">
        <f t="shared" si="3"/>
        <v>1</v>
      </c>
      <c r="AV28" s="201">
        <f>'CCC-car.4'!AD71</f>
        <v>10.5</v>
      </c>
      <c r="AW28" s="201">
        <f>'CCC-car.4'!AE71</f>
        <v>-13.653601899092962</v>
      </c>
      <c r="AX28" s="201">
        <f>'CCC-car.4'!AF71</f>
        <v>69.681200633030997</v>
      </c>
      <c r="AY28" s="338"/>
      <c r="AZ28" s="206">
        <f t="shared" si="4"/>
        <v>1</v>
      </c>
      <c r="BA28" s="201">
        <f>'CCC-car.5'!AD71</f>
        <v>10.5</v>
      </c>
      <c r="BB28" s="201">
        <f>'CCC-car.5'!AE71</f>
        <v>-20.485824121315204</v>
      </c>
      <c r="BC28" s="201">
        <f>'CCC-car.5'!AF71</f>
        <v>55.188608040438382</v>
      </c>
    </row>
    <row r="29" spans="2:56" s="46" customFormat="1" x14ac:dyDescent="0.2">
      <c r="B29" s="12" t="s">
        <v>52</v>
      </c>
      <c r="C29" s="301" t="s">
        <v>446</v>
      </c>
      <c r="D29" s="278">
        <v>0</v>
      </c>
      <c r="E29" s="278">
        <f>((1.9)*1.3+(3.59)*1+2*1)*4</f>
        <v>32.239999999999995</v>
      </c>
      <c r="F29" s="278">
        <f>((1.9)*1.3+(3.59)*1.5+2*1.5)*4</f>
        <v>43.42</v>
      </c>
      <c r="G29" s="278">
        <f>((1.9)*1.3+(3.59)*1.5+2*1.5)*4</f>
        <v>43.42</v>
      </c>
      <c r="H29" s="278">
        <v>0</v>
      </c>
      <c r="I29" s="1">
        <v>1</v>
      </c>
      <c r="J29" s="1"/>
      <c r="AE29" s="338"/>
      <c r="AF29" s="206">
        <f t="shared" si="8"/>
        <v>1.5</v>
      </c>
      <c r="AG29" s="201">
        <f>'CCC-car.1'!AD72</f>
        <v>11</v>
      </c>
      <c r="AH29" s="201">
        <f>'CCC-car.1'!AE72</f>
        <v>17.618606505102065</v>
      </c>
      <c r="AI29" s="201">
        <f>'CCC-car.1'!AF72</f>
        <v>47.227557397959188</v>
      </c>
      <c r="AJ29" s="338"/>
      <c r="AK29" s="206">
        <f t="shared" si="1"/>
        <v>1.5</v>
      </c>
      <c r="AL29" s="201">
        <f>'CCC-car.2'!AD72</f>
        <v>11</v>
      </c>
      <c r="AM29" s="201">
        <f>'CCC-car.2'!AE72</f>
        <v>1.2193718112245051</v>
      </c>
      <c r="AN29" s="201">
        <f>'CCC-car.2'!AF72</f>
        <v>39.812251275510199</v>
      </c>
      <c r="AO29" s="338"/>
      <c r="AP29" s="206">
        <f t="shared" si="2"/>
        <v>1.5</v>
      </c>
      <c r="AQ29" s="201">
        <f>'CCC-car.3'!AD72</f>
        <v>11</v>
      </c>
      <c r="AR29" s="201">
        <f>'CCC-car.3'!AE72</f>
        <v>29.481313775510216</v>
      </c>
      <c r="AS29" s="201">
        <f>'CCC-car.3'!AF72</f>
        <v>42.482474489795919</v>
      </c>
      <c r="AT29" s="338"/>
      <c r="AU29" s="206">
        <f t="shared" si="3"/>
        <v>1.5</v>
      </c>
      <c r="AV29" s="201">
        <f>'CCC-car.4'!AD72</f>
        <v>11</v>
      </c>
      <c r="AW29" s="201">
        <f>'CCC-car.4'!AE72</f>
        <v>15.759498417422549</v>
      </c>
      <c r="AX29" s="201">
        <f>'CCC-car.4'!AF72</f>
        <v>47.971200633031003</v>
      </c>
      <c r="AY29" s="338"/>
      <c r="AZ29" s="206">
        <f t="shared" si="4"/>
        <v>1.5</v>
      </c>
      <c r="BA29" s="201">
        <f>'CCC-car.5'!AD72</f>
        <v>11</v>
      </c>
      <c r="BB29" s="201">
        <f>'CCC-car.5'!AE72</f>
        <v>3.0784798989039928</v>
      </c>
      <c r="BC29" s="201">
        <f>'CCC-car.5'!AF72</f>
        <v>39.068608040438384</v>
      </c>
    </row>
    <row r="30" spans="2:56" x14ac:dyDescent="0.2">
      <c r="B30" s="12" t="s">
        <v>53</v>
      </c>
      <c r="C30" s="301" t="s">
        <v>446</v>
      </c>
      <c r="D30" s="278">
        <v>0</v>
      </c>
      <c r="E30" s="278">
        <f>((1.9)*1.3+(3.59)*1.5+2*1.5)*4</f>
        <v>43.42</v>
      </c>
      <c r="F30" s="278">
        <f>((1.9)*1.3+(3.59)*1.5+2*1.5)*4</f>
        <v>43.42</v>
      </c>
      <c r="G30" s="278">
        <f>((1.9)*1.3+(3.59)*1+2*1)*4</f>
        <v>32.239999999999995</v>
      </c>
      <c r="H30" s="278">
        <v>0</v>
      </c>
      <c r="AE30" s="338"/>
      <c r="AF30" s="206">
        <f t="shared" si="8"/>
        <v>2</v>
      </c>
      <c r="AG30" s="201">
        <f>'CCC-car.1'!AD73</f>
        <v>11.5</v>
      </c>
      <c r="AH30" s="201">
        <f>'CCC-car.1'!AE73</f>
        <v>35.804885204081643</v>
      </c>
      <c r="AI30" s="201">
        <f>'CCC-car.1'!AF73</f>
        <v>25.51755739795918</v>
      </c>
      <c r="AJ30" s="338"/>
      <c r="AK30" s="206">
        <f t="shared" si="1"/>
        <v>2</v>
      </c>
      <c r="AL30" s="201">
        <f>'CCC-car.2'!AD73</f>
        <v>11.5</v>
      </c>
      <c r="AM30" s="201">
        <f>'CCC-car.2'!AE73</f>
        <v>17.095497448979586</v>
      </c>
      <c r="AN30" s="201">
        <f>'CCC-car.2'!AF73</f>
        <v>23.692251275510202</v>
      </c>
      <c r="AO30" s="338"/>
      <c r="AP30" s="206">
        <f t="shared" si="2"/>
        <v>2</v>
      </c>
      <c r="AQ30" s="201">
        <f>'CCC-car.3'!AD73</f>
        <v>11.5</v>
      </c>
      <c r="AR30" s="201">
        <f>'CCC-car.3'!AE73</f>
        <v>45.295051020408152</v>
      </c>
      <c r="AS30" s="201">
        <f>'CCC-car.3'!AF73</f>
        <v>20.772474489795911</v>
      </c>
      <c r="AT30" s="338"/>
      <c r="AU30" s="206">
        <f t="shared" si="3"/>
        <v>2</v>
      </c>
      <c r="AV30" s="201">
        <f>'CCC-car.4'!AD73</f>
        <v>11.5</v>
      </c>
      <c r="AW30" s="201">
        <f>'CCC-car.4'!AE73</f>
        <v>34.317598733938041</v>
      </c>
      <c r="AX30" s="201">
        <f>'CCC-car.4'!AF73</f>
        <v>26.261200633030995</v>
      </c>
      <c r="AY30" s="338"/>
      <c r="AZ30" s="206">
        <f t="shared" si="4"/>
        <v>2</v>
      </c>
      <c r="BA30" s="201">
        <f>'CCC-car.5'!AD73</f>
        <v>11.5</v>
      </c>
      <c r="BB30" s="201">
        <f>'CCC-car.5'!AE73</f>
        <v>18.582783919123187</v>
      </c>
      <c r="BC30" s="201">
        <f>'CCC-car.5'!AF73</f>
        <v>22.948608040438387</v>
      </c>
    </row>
    <row r="31" spans="2:56" x14ac:dyDescent="0.2">
      <c r="AE31" s="338"/>
      <c r="AF31" s="206">
        <f t="shared" si="8"/>
        <v>2.5</v>
      </c>
      <c r="AG31" s="201">
        <f>'CCC-car.1'!AD74</f>
        <v>12</v>
      </c>
      <c r="AH31" s="201">
        <f>'CCC-car.1'!AE74</f>
        <v>43.136163903061231</v>
      </c>
      <c r="AI31" s="201">
        <f>'CCC-car.1'!AF74</f>
        <v>3.8075573979591724</v>
      </c>
      <c r="AJ31" s="338"/>
      <c r="AK31" s="206">
        <f t="shared" si="1"/>
        <v>2.5</v>
      </c>
      <c r="AL31" s="201">
        <f>'CCC-car.2'!AD74</f>
        <v>12</v>
      </c>
      <c r="AM31" s="201">
        <f>'CCC-car.2'!AE74</f>
        <v>24.911623086734664</v>
      </c>
      <c r="AN31" s="201">
        <f>'CCC-car.2'!AF74</f>
        <v>7.5722512755101974</v>
      </c>
      <c r="AO31" s="338"/>
      <c r="AP31" s="206">
        <f t="shared" si="2"/>
        <v>2.5</v>
      </c>
      <c r="AQ31" s="201">
        <f>'CCC-car.3'!AD74</f>
        <v>12</v>
      </c>
      <c r="AR31" s="201">
        <f>'CCC-car.3'!AE74</f>
        <v>50.253788265306099</v>
      </c>
      <c r="AS31" s="201">
        <f>'CCC-car.3'!AF74</f>
        <v>-0.93752551020409669</v>
      </c>
      <c r="AT31" s="338"/>
      <c r="AU31" s="206">
        <f t="shared" si="3"/>
        <v>2.5</v>
      </c>
      <c r="AV31" s="201">
        <f>'CCC-car.4'!AD74</f>
        <v>12</v>
      </c>
      <c r="AW31" s="201">
        <f>'CCC-car.4'!AE74</f>
        <v>42.020699050453544</v>
      </c>
      <c r="AX31" s="201">
        <f>'CCC-car.4'!AF74</f>
        <v>4.5512006330309873</v>
      </c>
      <c r="AY31" s="338"/>
      <c r="AZ31" s="206">
        <f t="shared" si="4"/>
        <v>2.5</v>
      </c>
      <c r="BA31" s="201">
        <f>'CCC-car.5'!AD74</f>
        <v>12</v>
      </c>
      <c r="BB31" s="201">
        <f>'CCC-car.5'!AE74</f>
        <v>26.02708793934238</v>
      </c>
      <c r="BC31" s="201">
        <f>'CCC-car.5'!AF74</f>
        <v>6.8286080404383824</v>
      </c>
    </row>
    <row r="32" spans="2:56" x14ac:dyDescent="0.2">
      <c r="AE32" s="338"/>
      <c r="AF32" s="206">
        <f t="shared" si="8"/>
        <v>3</v>
      </c>
      <c r="AG32" s="201">
        <f>'CCC-car.1'!AD75</f>
        <v>12.5</v>
      </c>
      <c r="AH32" s="201">
        <f>'CCC-car.1'!AE75</f>
        <v>39.612442602040801</v>
      </c>
      <c r="AI32" s="201">
        <f>'CCC-car.1'!AF75</f>
        <v>-17.902442602040807</v>
      </c>
      <c r="AJ32" s="338"/>
      <c r="AK32" s="206">
        <f t="shared" si="1"/>
        <v>3</v>
      </c>
      <c r="AL32" s="201">
        <f>'CCC-car.2'!AD75</f>
        <v>12.5</v>
      </c>
      <c r="AM32" s="201">
        <f>'CCC-car.2'!AE75</f>
        <v>24.667748724489797</v>
      </c>
      <c r="AN32" s="201">
        <f>'CCC-car.2'!AF75</f>
        <v>-8.5477487244897929</v>
      </c>
      <c r="AO32" s="338"/>
      <c r="AP32" s="206">
        <f t="shared" si="2"/>
        <v>3</v>
      </c>
      <c r="AQ32" s="201">
        <f>'CCC-car.3'!AD75</f>
        <v>12.5</v>
      </c>
      <c r="AR32" s="201">
        <f>'CCC-car.3'!AE75</f>
        <v>44.357525510204084</v>
      </c>
      <c r="AS32" s="201">
        <f>'CCC-car.3'!AF75</f>
        <v>-22.647525510204076</v>
      </c>
      <c r="AT32" s="338"/>
      <c r="AU32" s="206">
        <f t="shared" si="3"/>
        <v>3</v>
      </c>
      <c r="AV32" s="201">
        <f>'CCC-car.4'!AD75</f>
        <v>12.5</v>
      </c>
      <c r="AW32" s="201">
        <f>'CCC-car.4'!AE75</f>
        <v>38.868799366969029</v>
      </c>
      <c r="AX32" s="201">
        <f>'CCC-car.4'!AF75</f>
        <v>-17.158799366968992</v>
      </c>
      <c r="AY32" s="338"/>
      <c r="AZ32" s="206">
        <f t="shared" si="4"/>
        <v>3</v>
      </c>
      <c r="BA32" s="201">
        <f>'CCC-car.5'!AD75</f>
        <v>12.5</v>
      </c>
      <c r="BB32" s="201">
        <f>'CCC-car.5'!AE75</f>
        <v>25.411391959561598</v>
      </c>
      <c r="BC32" s="201">
        <f>'CCC-car.5'!AF75</f>
        <v>-9.2913919595616079</v>
      </c>
    </row>
    <row r="33" spans="22:55" x14ac:dyDescent="0.2">
      <c r="AE33" s="338"/>
      <c r="AF33" s="206">
        <f t="shared" si="8"/>
        <v>3.5</v>
      </c>
      <c r="AG33" s="201">
        <f>'CCC-car.1'!AD76</f>
        <v>13</v>
      </c>
      <c r="AH33" s="201">
        <f>'CCC-car.1'!AE76</f>
        <v>25.23372130102041</v>
      </c>
      <c r="AI33" s="201">
        <f>'CCC-car.1'!AF76</f>
        <v>-39.612442602040815</v>
      </c>
      <c r="AJ33" s="338"/>
      <c r="AK33" s="206">
        <f t="shared" si="1"/>
        <v>3.5</v>
      </c>
      <c r="AL33" s="201">
        <f>'CCC-car.2'!AD76</f>
        <v>13</v>
      </c>
      <c r="AM33" s="201">
        <f>'CCC-car.2'!AE76</f>
        <v>16.363874362244871</v>
      </c>
      <c r="AN33" s="201">
        <f>'CCC-car.2'!AF76</f>
        <v>-24.667748724489783</v>
      </c>
      <c r="AO33" s="338"/>
      <c r="AP33" s="206">
        <f t="shared" si="2"/>
        <v>3.5</v>
      </c>
      <c r="AQ33" s="201">
        <f>'CCC-car.3'!AD76</f>
        <v>13</v>
      </c>
      <c r="AR33" s="201">
        <f>'CCC-car.3'!AE76</f>
        <v>27.60626275510208</v>
      </c>
      <c r="AS33" s="201">
        <f>'CCC-car.3'!AF76</f>
        <v>-44.357525510204084</v>
      </c>
      <c r="AT33" s="338"/>
      <c r="AU33" s="206">
        <f t="shared" si="3"/>
        <v>3.5</v>
      </c>
      <c r="AV33" s="201">
        <f>'CCC-car.4'!AD76</f>
        <v>13</v>
      </c>
      <c r="AW33" s="201">
        <f>'CCC-car.4'!AE76</f>
        <v>24.861899683484523</v>
      </c>
      <c r="AX33" s="201">
        <f>'CCC-car.4'!AF76</f>
        <v>-38.868799366969</v>
      </c>
      <c r="AY33" s="338"/>
      <c r="AZ33" s="206">
        <f t="shared" si="4"/>
        <v>3.5</v>
      </c>
      <c r="BA33" s="201">
        <f>'CCC-car.5'!AD76</f>
        <v>13</v>
      </c>
      <c r="BB33" s="201">
        <f>'CCC-car.5'!AE76</f>
        <v>16.735695979780758</v>
      </c>
      <c r="BC33" s="201">
        <f>'CCC-car.5'!AF76</f>
        <v>-25.411391959561598</v>
      </c>
    </row>
    <row r="34" spans="22:55" ht="12" customHeight="1" x14ac:dyDescent="0.2">
      <c r="AE34" s="338"/>
      <c r="AF34" s="208">
        <f t="shared" si="8"/>
        <v>4</v>
      </c>
      <c r="AG34" s="209">
        <f>'CCC-car.1'!AD77</f>
        <v>13.5</v>
      </c>
      <c r="AH34" s="209">
        <f>'CCC-car.1'!AE77</f>
        <v>0</v>
      </c>
      <c r="AI34" s="209">
        <f>'CCC-car.1'!AF77</f>
        <v>-61.322442602040823</v>
      </c>
      <c r="AJ34" s="338"/>
      <c r="AK34" s="208">
        <f t="shared" si="1"/>
        <v>4</v>
      </c>
      <c r="AL34" s="209">
        <f>'CCC-car.2'!AD77</f>
        <v>13.5</v>
      </c>
      <c r="AM34" s="209">
        <f>'CCC-car.2'!AE77</f>
        <v>0</v>
      </c>
      <c r="AN34" s="209">
        <f>'CCC-car.2'!AF77</f>
        <v>-40.787748724489788</v>
      </c>
      <c r="AO34" s="338"/>
      <c r="AP34" s="208">
        <f t="shared" si="2"/>
        <v>4</v>
      </c>
      <c r="AQ34" s="209">
        <f>'CCC-car.3'!AD77</f>
        <v>13.5</v>
      </c>
      <c r="AR34" s="209">
        <f>'CCC-car.3'!AE77</f>
        <v>0</v>
      </c>
      <c r="AS34" s="209">
        <f>'CCC-car.3'!AF77</f>
        <v>-66.067525510204092</v>
      </c>
      <c r="AT34" s="338"/>
      <c r="AU34" s="208">
        <f t="shared" si="3"/>
        <v>4</v>
      </c>
      <c r="AV34" s="209">
        <f>'CCC-car.4'!AD77</f>
        <v>13.5</v>
      </c>
      <c r="AW34" s="209">
        <f>'CCC-car.4'!AE77</f>
        <v>0</v>
      </c>
      <c r="AX34" s="209">
        <f>'CCC-car.4'!AF77</f>
        <v>-60.578799366969008</v>
      </c>
      <c r="AY34" s="338"/>
      <c r="AZ34" s="208">
        <f t="shared" si="4"/>
        <v>4</v>
      </c>
      <c r="BA34" s="209">
        <f>'CCC-car.5'!AD77</f>
        <v>13.5</v>
      </c>
      <c r="BB34" s="209">
        <f>'CCC-car.5'!AE77</f>
        <v>0</v>
      </c>
      <c r="BC34" s="209">
        <f>'CCC-car.5'!AF77</f>
        <v>-41.531391959561603</v>
      </c>
    </row>
    <row r="35" spans="22:55" ht="12" customHeight="1" x14ac:dyDescent="0.2">
      <c r="AE35" s="339" t="s">
        <v>57</v>
      </c>
      <c r="AF35" s="205">
        <f>AG35-$AG$34</f>
        <v>0</v>
      </c>
      <c r="AG35" s="203">
        <f>'CCC-car.1'!AD78</f>
        <v>13.5</v>
      </c>
      <c r="AH35" s="203">
        <f>'CCC-car.1'!AE78</f>
        <v>0</v>
      </c>
      <c r="AI35" s="203">
        <f>'CCC-car.1'!AF78</f>
        <v>0</v>
      </c>
      <c r="AJ35" s="339" t="s">
        <v>57</v>
      </c>
      <c r="AK35" s="205">
        <f t="shared" si="1"/>
        <v>0</v>
      </c>
      <c r="AL35" s="203">
        <f>'CCC-car.2'!AD78</f>
        <v>13.5</v>
      </c>
      <c r="AM35" s="203">
        <f>'CCC-car.2'!AE78</f>
        <v>0</v>
      </c>
      <c r="AN35" s="203">
        <f>'CCC-car.2'!AF78</f>
        <v>0</v>
      </c>
      <c r="AO35" s="339" t="s">
        <v>57</v>
      </c>
      <c r="AP35" s="205">
        <f t="shared" si="2"/>
        <v>0</v>
      </c>
      <c r="AQ35" s="203">
        <f>'CCC-car.3'!AD78</f>
        <v>13.5</v>
      </c>
      <c r="AR35" s="203">
        <f>'CCC-car.3'!AE78</f>
        <v>0</v>
      </c>
      <c r="AS35" s="203">
        <f>'CCC-car.3'!AF78</f>
        <v>0</v>
      </c>
      <c r="AT35" s="339" t="s">
        <v>57</v>
      </c>
      <c r="AU35" s="205">
        <f t="shared" si="3"/>
        <v>0</v>
      </c>
      <c r="AV35" s="203">
        <f>'CCC-car.4'!AD78</f>
        <v>13.5</v>
      </c>
      <c r="AW35" s="203">
        <f>'CCC-car.4'!AE78</f>
        <v>0</v>
      </c>
      <c r="AX35" s="203">
        <f>'CCC-car.4'!AF78</f>
        <v>0</v>
      </c>
      <c r="AY35" s="339" t="s">
        <v>57</v>
      </c>
      <c r="AZ35" s="205">
        <f t="shared" si="4"/>
        <v>0</v>
      </c>
      <c r="BA35" s="203">
        <f>'CCC-car.5'!AD78</f>
        <v>13.5</v>
      </c>
      <c r="BB35" s="203">
        <f>'CCC-car.5'!AE78</f>
        <v>0</v>
      </c>
      <c r="BC35" s="203">
        <f>'CCC-car.5'!AF78</f>
        <v>0</v>
      </c>
    </row>
    <row r="36" spans="22:55" x14ac:dyDescent="0.2">
      <c r="AE36" s="339"/>
      <c r="AF36" s="206">
        <f t="shared" ref="AF36:AF38" si="9">AG36-$AG$34</f>
        <v>0</v>
      </c>
      <c r="AG36" s="201">
        <f>'CCC-car.1'!AD79</f>
        <v>13.5</v>
      </c>
      <c r="AH36" s="201">
        <f>'CCC-car.1'!AE79</f>
        <v>0</v>
      </c>
      <c r="AI36" s="201">
        <f>'CCC-car.1'!AF79</f>
        <v>0</v>
      </c>
      <c r="AJ36" s="339"/>
      <c r="AK36" s="206">
        <f t="shared" si="1"/>
        <v>0</v>
      </c>
      <c r="AL36" s="201">
        <f>'CCC-car.2'!AD79</f>
        <v>13.5</v>
      </c>
      <c r="AM36" s="201">
        <f>'CCC-car.2'!AE79</f>
        <v>0</v>
      </c>
      <c r="AN36" s="201">
        <f>'CCC-car.2'!AF79</f>
        <v>0</v>
      </c>
      <c r="AO36" s="339"/>
      <c r="AP36" s="206">
        <f t="shared" si="2"/>
        <v>0</v>
      </c>
      <c r="AQ36" s="201">
        <f>'CCC-car.3'!AD79</f>
        <v>13.5</v>
      </c>
      <c r="AR36" s="201">
        <f>'CCC-car.3'!AE79</f>
        <v>0</v>
      </c>
      <c r="AS36" s="201">
        <f>'CCC-car.3'!AF79</f>
        <v>0</v>
      </c>
      <c r="AT36" s="339"/>
      <c r="AU36" s="206">
        <f t="shared" si="3"/>
        <v>0</v>
      </c>
      <c r="AV36" s="201">
        <f>'CCC-car.4'!AD79</f>
        <v>13.5</v>
      </c>
      <c r="AW36" s="201">
        <f>'CCC-car.4'!AE79</f>
        <v>0</v>
      </c>
      <c r="AX36" s="201">
        <f>'CCC-car.4'!AF79</f>
        <v>0</v>
      </c>
      <c r="AY36" s="339"/>
      <c r="AZ36" s="206">
        <f t="shared" si="4"/>
        <v>0</v>
      </c>
      <c r="BA36" s="201">
        <f>'CCC-car.5'!AD79</f>
        <v>13.5</v>
      </c>
      <c r="BB36" s="201">
        <f>'CCC-car.5'!AE79</f>
        <v>0</v>
      </c>
      <c r="BC36" s="201">
        <f>'CCC-car.5'!AF79</f>
        <v>0</v>
      </c>
    </row>
    <row r="37" spans="22:55" x14ac:dyDescent="0.2">
      <c r="AE37" s="339"/>
      <c r="AF37" s="206">
        <f t="shared" si="9"/>
        <v>0</v>
      </c>
      <c r="AG37" s="201">
        <f>'CCC-car.1'!AD80</f>
        <v>13.5</v>
      </c>
      <c r="AH37" s="201">
        <f>'CCC-car.1'!AE80</f>
        <v>0</v>
      </c>
      <c r="AI37" s="201">
        <f>'CCC-car.1'!AF80</f>
        <v>0</v>
      </c>
      <c r="AJ37" s="339"/>
      <c r="AK37" s="206">
        <f t="shared" si="1"/>
        <v>0</v>
      </c>
      <c r="AL37" s="201">
        <f>'CCC-car.2'!AD80</f>
        <v>13.5</v>
      </c>
      <c r="AM37" s="201">
        <f>'CCC-car.2'!AE80</f>
        <v>0</v>
      </c>
      <c r="AN37" s="201">
        <f>'CCC-car.2'!AF80</f>
        <v>0</v>
      </c>
      <c r="AO37" s="339"/>
      <c r="AP37" s="206">
        <f t="shared" si="2"/>
        <v>0</v>
      </c>
      <c r="AQ37" s="201">
        <f>'CCC-car.3'!AD80</f>
        <v>13.5</v>
      </c>
      <c r="AR37" s="201">
        <f>'CCC-car.3'!AE80</f>
        <v>0</v>
      </c>
      <c r="AS37" s="201">
        <f>'CCC-car.3'!AF80</f>
        <v>0</v>
      </c>
      <c r="AT37" s="339"/>
      <c r="AU37" s="206">
        <f t="shared" si="3"/>
        <v>0</v>
      </c>
      <c r="AV37" s="201">
        <f>'CCC-car.4'!AD80</f>
        <v>13.5</v>
      </c>
      <c r="AW37" s="201">
        <f>'CCC-car.4'!AE80</f>
        <v>0</v>
      </c>
      <c r="AX37" s="201">
        <f>'CCC-car.4'!AF80</f>
        <v>0</v>
      </c>
      <c r="AY37" s="339"/>
      <c r="AZ37" s="206">
        <f t="shared" si="4"/>
        <v>0</v>
      </c>
      <c r="BA37" s="201">
        <f>'CCC-car.5'!AD80</f>
        <v>13.5</v>
      </c>
      <c r="BB37" s="201">
        <f>'CCC-car.5'!AE80</f>
        <v>0</v>
      </c>
      <c r="BC37" s="201">
        <f>'CCC-car.5'!AF80</f>
        <v>0</v>
      </c>
    </row>
    <row r="38" spans="22:55" ht="15" customHeight="1" x14ac:dyDescent="0.2">
      <c r="V38" s="341" t="s">
        <v>66</v>
      </c>
      <c r="W38" s="341"/>
      <c r="X38" s="341"/>
      <c r="Y38" s="341"/>
      <c r="Z38" s="341"/>
      <c r="AA38" s="341"/>
      <c r="AB38" s="341"/>
      <c r="AC38" s="341"/>
      <c r="AD38" s="51"/>
      <c r="AE38" s="339"/>
      <c r="AF38" s="207">
        <f t="shared" si="9"/>
        <v>0</v>
      </c>
      <c r="AG38" s="204">
        <f>'CCC-car.1'!AD81</f>
        <v>13.5</v>
      </c>
      <c r="AH38" s="204">
        <f>'CCC-car.1'!AE81</f>
        <v>0</v>
      </c>
      <c r="AI38" s="204">
        <f>'CCC-car.1'!AF81</f>
        <v>0</v>
      </c>
      <c r="AJ38" s="339"/>
      <c r="AK38" s="207">
        <f t="shared" si="1"/>
        <v>0</v>
      </c>
      <c r="AL38" s="204">
        <f>'CCC-car.2'!AD81</f>
        <v>13.5</v>
      </c>
      <c r="AM38" s="204">
        <f>'CCC-car.2'!AE81</f>
        <v>0</v>
      </c>
      <c r="AN38" s="204">
        <f>'CCC-car.2'!AF81</f>
        <v>0</v>
      </c>
      <c r="AO38" s="339"/>
      <c r="AP38" s="207">
        <f t="shared" si="2"/>
        <v>0</v>
      </c>
      <c r="AQ38" s="204">
        <f>'CCC-car.3'!AD81</f>
        <v>13.5</v>
      </c>
      <c r="AR38" s="204">
        <f>'CCC-car.3'!AE81</f>
        <v>0</v>
      </c>
      <c r="AS38" s="204">
        <f>'CCC-car.3'!AF81</f>
        <v>0</v>
      </c>
      <c r="AT38" s="339"/>
      <c r="AU38" s="207">
        <f t="shared" si="3"/>
        <v>0</v>
      </c>
      <c r="AV38" s="204">
        <f>'CCC-car.4'!AD81</f>
        <v>13.5</v>
      </c>
      <c r="AW38" s="204">
        <f>'CCC-car.4'!AE81</f>
        <v>0</v>
      </c>
      <c r="AX38" s="204">
        <f>'CCC-car.4'!AF81</f>
        <v>0</v>
      </c>
      <c r="AY38" s="339"/>
      <c r="AZ38" s="207">
        <f t="shared" si="4"/>
        <v>0</v>
      </c>
      <c r="BA38" s="204">
        <f>'CCC-car.5'!AD81</f>
        <v>13.5</v>
      </c>
      <c r="BB38" s="204">
        <f>'CCC-car.5'!AE81</f>
        <v>0</v>
      </c>
      <c r="BC38" s="204">
        <f>'CCC-car.5'!AF81</f>
        <v>0</v>
      </c>
    </row>
    <row r="39" spans="22:55" x14ac:dyDescent="0.2">
      <c r="V39" s="43" t="s">
        <v>8</v>
      </c>
      <c r="W39" s="43" t="s">
        <v>9</v>
      </c>
      <c r="X39" s="43" t="s">
        <v>10</v>
      </c>
      <c r="Y39" s="43" t="s">
        <v>11</v>
      </c>
      <c r="Z39" s="43" t="s">
        <v>76</v>
      </c>
      <c r="AA39" s="43" t="s">
        <v>77</v>
      </c>
      <c r="AB39" s="43" t="s">
        <v>92</v>
      </c>
      <c r="AC39" s="43" t="s">
        <v>93</v>
      </c>
      <c r="AD39" s="3"/>
      <c r="AE39" s="52"/>
      <c r="AF39" s="15"/>
      <c r="AG39" s="11"/>
      <c r="AH39" s="11"/>
      <c r="AI39" s="11"/>
      <c r="AJ39" s="52"/>
      <c r="AK39" s="15"/>
      <c r="AL39" s="11"/>
      <c r="AM39" s="11"/>
      <c r="AN39" s="11"/>
      <c r="AO39" s="52"/>
      <c r="AP39" s="15"/>
      <c r="AQ39" s="11"/>
      <c r="AR39" s="11"/>
      <c r="AS39" s="11"/>
      <c r="AT39" s="52"/>
      <c r="AU39" s="15"/>
      <c r="AV39" s="11"/>
      <c r="AW39" s="11"/>
      <c r="AX39" s="11"/>
      <c r="AY39" s="52"/>
      <c r="AZ39" s="15"/>
      <c r="BA39" s="11"/>
      <c r="BB39" s="11"/>
      <c r="BC39" s="11"/>
    </row>
    <row r="40" spans="22:55" x14ac:dyDescent="0.2">
      <c r="V40" s="344" t="s">
        <v>67</v>
      </c>
      <c r="W40" s="344"/>
      <c r="X40" s="344"/>
      <c r="Y40" s="344"/>
      <c r="Z40" s="344"/>
      <c r="AA40" s="344"/>
      <c r="AB40" s="344"/>
      <c r="AC40" s="344"/>
      <c r="AD40" s="51"/>
      <c r="AE40" s="52"/>
      <c r="AF40" s="15"/>
      <c r="AG40" s="11"/>
      <c r="AH40" s="11"/>
      <c r="AI40" s="11"/>
      <c r="AJ40" s="52"/>
      <c r="AK40" s="15"/>
      <c r="AL40" s="11"/>
      <c r="AM40" s="11"/>
      <c r="AN40" s="11"/>
      <c r="AO40" s="52"/>
      <c r="AP40" s="15"/>
      <c r="AQ40" s="11"/>
      <c r="AR40" s="11"/>
      <c r="AS40" s="11"/>
      <c r="AT40" s="52"/>
      <c r="AU40" s="15"/>
      <c r="AV40" s="11"/>
      <c r="AW40" s="11"/>
      <c r="AX40" s="11"/>
      <c r="AY40" s="52"/>
      <c r="AZ40" s="15"/>
      <c r="BA40" s="11"/>
      <c r="BB40" s="11"/>
      <c r="BC40" s="11"/>
    </row>
    <row r="41" spans="22:55" x14ac:dyDescent="0.2">
      <c r="V41" s="2" t="s">
        <v>49</v>
      </c>
      <c r="AE41" s="52"/>
      <c r="AF41" s="15"/>
      <c r="AG41" s="11"/>
      <c r="AH41" s="11"/>
      <c r="AI41" s="11"/>
      <c r="AJ41" s="52"/>
      <c r="AK41" s="15"/>
      <c r="AL41" s="11"/>
      <c r="AM41" s="11"/>
      <c r="AN41" s="11"/>
      <c r="AO41" s="52"/>
      <c r="AP41" s="15"/>
      <c r="AQ41" s="11"/>
      <c r="AR41" s="11"/>
      <c r="AS41" s="11"/>
      <c r="AT41" s="52"/>
      <c r="AU41" s="15"/>
      <c r="AV41" s="11"/>
      <c r="AW41" s="11"/>
      <c r="AX41" s="11"/>
      <c r="AY41" s="52"/>
      <c r="AZ41" s="15"/>
      <c r="BA41" s="11"/>
      <c r="BB41" s="11"/>
      <c r="BC41" s="11"/>
    </row>
    <row r="42" spans="22:55" x14ac:dyDescent="0.2">
      <c r="V42" s="201">
        <f>AI7</f>
        <v>0</v>
      </c>
      <c r="W42" s="201">
        <f>AI8</f>
        <v>61.322442602040823</v>
      </c>
      <c r="X42" s="201">
        <f>AI16</f>
        <v>-112.35755739795918</v>
      </c>
      <c r="Y42" s="201">
        <f>AI17</f>
        <v>119.40499999999999</v>
      </c>
      <c r="Z42" s="201">
        <f>AI25</f>
        <v>-119.40500000000002</v>
      </c>
      <c r="AA42" s="201">
        <f>AI26</f>
        <v>112.35755739795918</v>
      </c>
      <c r="AB42" s="201">
        <f>AI34</f>
        <v>-61.322442602040823</v>
      </c>
      <c r="AC42" s="201">
        <f>AI35</f>
        <v>0</v>
      </c>
      <c r="AD42" s="11"/>
      <c r="AE42" s="52"/>
      <c r="AF42" s="15"/>
      <c r="AG42" s="11"/>
      <c r="AH42" s="11"/>
      <c r="AI42" s="11"/>
      <c r="AJ42" s="52"/>
      <c r="AK42" s="15"/>
      <c r="AL42" s="11"/>
      <c r="AM42" s="11"/>
      <c r="AN42" s="11"/>
      <c r="AO42" s="52"/>
      <c r="AP42" s="15"/>
      <c r="AQ42" s="11"/>
      <c r="AR42" s="11"/>
      <c r="AS42" s="11"/>
      <c r="AT42" s="52"/>
      <c r="AU42" s="15"/>
      <c r="AV42" s="11"/>
      <c r="AW42" s="11"/>
      <c r="AX42" s="11"/>
      <c r="AY42" s="52"/>
      <c r="AZ42" s="15"/>
      <c r="BA42" s="11"/>
      <c r="BB42" s="11"/>
      <c r="BC42" s="11"/>
    </row>
    <row r="43" spans="22:55" ht="12" customHeight="1" x14ac:dyDescent="0.2">
      <c r="V43" s="46"/>
      <c r="W43" s="46"/>
      <c r="X43" s="46"/>
      <c r="Y43" s="46"/>
      <c r="Z43" s="46"/>
      <c r="AA43" s="46"/>
      <c r="AB43" s="46"/>
      <c r="AC43" s="46"/>
      <c r="AD43" s="3"/>
      <c r="AE43" s="52"/>
      <c r="AF43" s="15"/>
      <c r="AG43" s="11"/>
      <c r="AH43" s="11"/>
      <c r="AI43" s="11"/>
      <c r="AJ43" s="52"/>
      <c r="AK43" s="15"/>
      <c r="AL43" s="11"/>
      <c r="AM43" s="11"/>
      <c r="AN43" s="11"/>
      <c r="AO43" s="52"/>
      <c r="AP43" s="15"/>
      <c r="AQ43" s="11"/>
      <c r="AR43" s="11"/>
      <c r="AS43" s="11"/>
      <c r="AT43" s="52"/>
      <c r="AU43" s="15"/>
      <c r="AV43" s="11"/>
      <c r="AW43" s="11"/>
      <c r="AX43" s="11"/>
      <c r="AY43" s="52"/>
      <c r="AZ43" s="15"/>
      <c r="BA43" s="11"/>
      <c r="BB43" s="11"/>
      <c r="BC43" s="11"/>
    </row>
    <row r="44" spans="22:55" ht="12" customHeight="1" x14ac:dyDescent="0.2">
      <c r="V44" s="2" t="s">
        <v>50</v>
      </c>
      <c r="W44" s="46"/>
      <c r="X44" s="46"/>
      <c r="Y44" s="46"/>
      <c r="Z44" s="46"/>
      <c r="AA44" s="46"/>
      <c r="AB44" s="46"/>
      <c r="AC44" s="46"/>
      <c r="AD44" s="3"/>
    </row>
    <row r="45" spans="22:55" x14ac:dyDescent="0.2">
      <c r="V45" s="201">
        <f>AN7</f>
        <v>0</v>
      </c>
      <c r="W45" s="201">
        <f>AN8</f>
        <v>40.787748724489788</v>
      </c>
      <c r="X45" s="201">
        <f>AN16</f>
        <v>-88.172251275510192</v>
      </c>
      <c r="Y45" s="201">
        <f>AN17</f>
        <v>119.40499999999999</v>
      </c>
      <c r="Z45" s="201">
        <f>AN25</f>
        <v>-119.40500000000002</v>
      </c>
      <c r="AA45" s="201">
        <f>AN26</f>
        <v>88.172251275510192</v>
      </c>
      <c r="AB45" s="201">
        <f>AN34</f>
        <v>-40.787748724489788</v>
      </c>
      <c r="AC45" s="201">
        <f>AN35</f>
        <v>0</v>
      </c>
      <c r="AD45" s="11"/>
    </row>
    <row r="46" spans="22:55" x14ac:dyDescent="0.2">
      <c r="V46" s="46"/>
      <c r="W46" s="46"/>
      <c r="X46" s="46"/>
      <c r="Y46" s="46"/>
      <c r="Z46" s="46"/>
      <c r="AA46" s="46"/>
      <c r="AB46" s="46"/>
      <c r="AC46" s="46"/>
      <c r="AD46" s="3"/>
    </row>
    <row r="47" spans="22:55" x14ac:dyDescent="0.2">
      <c r="V47" s="2" t="s">
        <v>51</v>
      </c>
      <c r="W47" s="46"/>
      <c r="X47" s="46"/>
      <c r="Y47" s="46"/>
      <c r="Z47" s="46"/>
      <c r="AA47" s="46"/>
      <c r="AB47" s="46"/>
      <c r="AC47" s="46"/>
      <c r="AD47" s="3"/>
    </row>
    <row r="48" spans="22:55" x14ac:dyDescent="0.2">
      <c r="V48" s="201">
        <f>AS7</f>
        <v>0</v>
      </c>
      <c r="W48" s="201">
        <f>AS8</f>
        <v>66.067525510204092</v>
      </c>
      <c r="X48" s="201">
        <f>AS16</f>
        <v>-107.61247448979591</v>
      </c>
      <c r="Y48" s="201">
        <f>AS17</f>
        <v>88.659999999999982</v>
      </c>
      <c r="Z48" s="201">
        <f>AS25</f>
        <v>-88.659999999999982</v>
      </c>
      <c r="AA48" s="201">
        <f>AS26</f>
        <v>107.61247448979591</v>
      </c>
      <c r="AB48" s="201">
        <f>AS34</f>
        <v>-66.067525510204092</v>
      </c>
      <c r="AC48" s="201">
        <f>AS35</f>
        <v>0</v>
      </c>
      <c r="AD48" s="11"/>
      <c r="AE48" s="46"/>
      <c r="AF48" s="15"/>
      <c r="AG48" s="15"/>
      <c r="AH48" s="15"/>
      <c r="AI48" s="5"/>
      <c r="AJ48" s="15"/>
      <c r="AK48" s="15"/>
      <c r="AL48" s="15"/>
      <c r="AM48" s="5"/>
      <c r="AN48" s="15"/>
      <c r="AT48" s="4"/>
      <c r="AU48" s="4"/>
      <c r="AV48" s="4"/>
      <c r="AW48" s="4"/>
      <c r="AX48" s="4"/>
    </row>
    <row r="49" spans="21:50" x14ac:dyDescent="0.2">
      <c r="V49" s="46"/>
      <c r="W49" s="46"/>
      <c r="X49" s="46"/>
      <c r="Y49" s="46"/>
      <c r="Z49" s="46"/>
      <c r="AA49" s="46"/>
      <c r="AB49" s="46"/>
      <c r="AC49" s="46"/>
      <c r="AD49" s="3"/>
      <c r="AE49" s="46"/>
      <c r="AF49" s="15"/>
      <c r="AG49" s="15"/>
      <c r="AH49" s="15"/>
      <c r="AI49" s="5"/>
      <c r="AJ49" s="15"/>
      <c r="AK49" s="15"/>
      <c r="AL49" s="15"/>
      <c r="AM49" s="5"/>
      <c r="AN49" s="15"/>
      <c r="AO49" s="15"/>
      <c r="AP49" s="15"/>
      <c r="AQ49" s="4"/>
      <c r="AR49" s="4"/>
      <c r="AS49" s="4"/>
      <c r="AT49" s="4"/>
      <c r="AU49" s="4"/>
      <c r="AV49" s="4"/>
      <c r="AW49" s="4"/>
      <c r="AX49" s="4"/>
    </row>
    <row r="50" spans="21:50" x14ac:dyDescent="0.2">
      <c r="V50" s="2" t="s">
        <v>52</v>
      </c>
      <c r="W50" s="46"/>
      <c r="X50" s="46"/>
      <c r="Y50" s="46"/>
      <c r="Z50" s="46"/>
      <c r="AA50" s="46"/>
      <c r="AB50" s="46"/>
      <c r="AC50" s="46"/>
      <c r="AD50" s="3"/>
      <c r="AE50" s="46"/>
      <c r="AF50" s="5"/>
      <c r="AG50" s="5"/>
      <c r="AH50" s="5"/>
      <c r="AI50" s="5"/>
      <c r="AJ50" s="15"/>
      <c r="AK50" s="15"/>
      <c r="AL50" s="15"/>
      <c r="AM50" s="5"/>
      <c r="AN50" s="15"/>
      <c r="AO50" s="15"/>
      <c r="AP50" s="15"/>
      <c r="AQ50" s="4"/>
      <c r="AR50" s="5"/>
      <c r="AS50" s="5"/>
      <c r="AT50" s="4"/>
      <c r="AU50" s="4"/>
      <c r="AV50" s="4"/>
      <c r="AW50" s="4"/>
      <c r="AX50" s="4"/>
    </row>
    <row r="51" spans="21:50" x14ac:dyDescent="0.2">
      <c r="V51" s="201">
        <f>AX7</f>
        <v>0</v>
      </c>
      <c r="W51" s="201">
        <f>AX8</f>
        <v>41.531391959561603</v>
      </c>
      <c r="X51" s="201">
        <f>AX16</f>
        <v>-87.428608040438377</v>
      </c>
      <c r="Y51" s="201">
        <f>AX17</f>
        <v>116.99584175084173</v>
      </c>
      <c r="Z51" s="201">
        <f>AX25</f>
        <v>-121.81415824915827</v>
      </c>
      <c r="AA51" s="201">
        <f>AX26</f>
        <v>113.101200633031</v>
      </c>
      <c r="AB51" s="201">
        <f>AX34</f>
        <v>-60.578799366969008</v>
      </c>
      <c r="AC51" s="201">
        <f>AX35</f>
        <v>0</v>
      </c>
      <c r="AD51" s="11"/>
      <c r="AE51" s="46"/>
      <c r="AF51" s="5"/>
      <c r="AG51" s="5"/>
      <c r="AH51" s="5"/>
      <c r="AI51" s="5"/>
      <c r="AJ51" s="15"/>
      <c r="AK51" s="15"/>
      <c r="AL51" s="15"/>
      <c r="AM51" s="5"/>
      <c r="AN51" s="15"/>
      <c r="AO51" s="15"/>
      <c r="AP51" s="15"/>
      <c r="AQ51" s="4"/>
      <c r="AR51" s="15"/>
      <c r="AS51" s="5"/>
      <c r="AT51" s="4"/>
      <c r="AU51" s="4"/>
      <c r="AV51" s="4"/>
      <c r="AW51" s="4"/>
      <c r="AX51" s="4"/>
    </row>
    <row r="52" spans="21:50" x14ac:dyDescent="0.2">
      <c r="V52" s="46"/>
      <c r="W52" s="46"/>
      <c r="X52" s="3"/>
      <c r="Y52" s="3"/>
      <c r="Z52" s="46"/>
      <c r="AA52" s="46"/>
      <c r="AB52" s="46"/>
      <c r="AC52" s="46"/>
      <c r="AD52" s="3"/>
      <c r="AE52" s="46"/>
      <c r="AF52" s="5"/>
      <c r="AG52" s="5"/>
      <c r="AH52" s="5"/>
      <c r="AI52" s="5"/>
      <c r="AJ52" s="15"/>
      <c r="AK52" s="15"/>
      <c r="AL52" s="15"/>
      <c r="AM52" s="5"/>
      <c r="AN52" s="15"/>
      <c r="AO52" s="15"/>
      <c r="AP52" s="15"/>
      <c r="AQ52" s="4"/>
      <c r="AR52" s="15"/>
      <c r="AS52" s="5"/>
      <c r="AT52" s="4"/>
      <c r="AU52" s="5"/>
      <c r="AV52" s="5"/>
      <c r="AW52" s="4"/>
      <c r="AX52" s="4"/>
    </row>
    <row r="53" spans="21:50" x14ac:dyDescent="0.2">
      <c r="V53" s="2" t="s">
        <v>53</v>
      </c>
      <c r="W53" s="46"/>
      <c r="X53" s="3"/>
      <c r="Y53" s="3"/>
      <c r="Z53" s="46"/>
      <c r="AA53" s="46"/>
      <c r="AB53" s="46"/>
      <c r="AC53" s="46"/>
      <c r="AD53" s="3"/>
      <c r="AE53" s="46"/>
      <c r="AF53" s="5"/>
      <c r="AG53" s="5"/>
      <c r="AH53" s="5"/>
      <c r="AI53" s="5"/>
      <c r="AJ53" s="15"/>
      <c r="AK53" s="15"/>
      <c r="AL53" s="15"/>
      <c r="AM53" s="5"/>
      <c r="AN53" s="15"/>
      <c r="AO53" s="15"/>
      <c r="AP53" s="15"/>
      <c r="AQ53" s="4"/>
      <c r="AR53" s="15"/>
      <c r="AS53" s="5"/>
      <c r="AT53" s="4"/>
      <c r="AU53" s="15"/>
      <c r="AV53" s="5"/>
      <c r="AW53" s="4"/>
      <c r="AX53" s="4"/>
    </row>
    <row r="54" spans="21:50" x14ac:dyDescent="0.2">
      <c r="V54" s="201">
        <f>BC7</f>
        <v>0</v>
      </c>
      <c r="W54" s="201">
        <f>BC8</f>
        <v>60.578799366969008</v>
      </c>
      <c r="X54" s="201">
        <f>BC16</f>
        <v>-113.101200633031</v>
      </c>
      <c r="Y54" s="201">
        <f>BC17</f>
        <v>121.81415824915825</v>
      </c>
      <c r="Z54" s="201">
        <f>BC25</f>
        <v>-116.99584175084175</v>
      </c>
      <c r="AA54" s="201">
        <f>BC26</f>
        <v>87.428608040438377</v>
      </c>
      <c r="AB54" s="201">
        <f>BC34</f>
        <v>-41.531391959561603</v>
      </c>
      <c r="AC54" s="201">
        <f>BC35</f>
        <v>0</v>
      </c>
      <c r="AD54" s="11"/>
      <c r="AE54" s="46"/>
      <c r="AF54" s="5"/>
      <c r="AG54" s="5"/>
      <c r="AH54" s="5"/>
      <c r="AI54" s="5"/>
      <c r="AJ54" s="15"/>
      <c r="AK54" s="15"/>
      <c r="AL54" s="15"/>
      <c r="AM54" s="5"/>
      <c r="AN54" s="15"/>
      <c r="AO54" s="15"/>
      <c r="AP54" s="15"/>
      <c r="AQ54" s="4"/>
      <c r="AR54" s="15"/>
      <c r="AS54" s="5"/>
      <c r="AT54" s="4"/>
      <c r="AU54" s="15"/>
      <c r="AV54" s="5"/>
      <c r="AW54" s="4"/>
      <c r="AX54" s="4"/>
    </row>
    <row r="55" spans="21:50" x14ac:dyDescent="0.2">
      <c r="U55" s="46"/>
      <c r="V55" s="46"/>
      <c r="W55" s="3"/>
      <c r="X55" s="3"/>
      <c r="Y55" s="46"/>
      <c r="Z55" s="46"/>
      <c r="AA55" s="46"/>
      <c r="AB55" s="46"/>
      <c r="AC55" s="46"/>
      <c r="AD55" s="46"/>
      <c r="AE55" s="46"/>
      <c r="AF55" s="5"/>
      <c r="AG55" s="5"/>
      <c r="AH55" s="5"/>
      <c r="AI55" s="5"/>
      <c r="AJ55" s="5"/>
      <c r="AK55" s="5"/>
      <c r="AL55" s="5"/>
      <c r="AM55" s="5"/>
      <c r="AN55" s="15"/>
      <c r="AO55" s="15"/>
      <c r="AP55" s="15"/>
      <c r="AQ55" s="4"/>
      <c r="AR55" s="15"/>
      <c r="AS55" s="5"/>
      <c r="AT55" s="4"/>
      <c r="AU55" s="15"/>
      <c r="AV55" s="5"/>
      <c r="AW55" s="4"/>
      <c r="AX55" s="4"/>
    </row>
    <row r="56" spans="21:50" x14ac:dyDescent="0.2"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5"/>
      <c r="AG56" s="5"/>
      <c r="AH56" s="5"/>
      <c r="AI56" s="5"/>
      <c r="AJ56" s="5"/>
      <c r="AK56" s="5"/>
      <c r="AL56" s="5"/>
      <c r="AM56" s="5"/>
      <c r="AN56" s="15"/>
      <c r="AO56" s="15"/>
      <c r="AP56" s="15"/>
      <c r="AQ56" s="4"/>
      <c r="AR56" s="4"/>
      <c r="AS56" s="4"/>
      <c r="AT56" s="4"/>
      <c r="AU56" s="15"/>
      <c r="AV56" s="5"/>
      <c r="AW56" s="4"/>
      <c r="AX56" s="4"/>
    </row>
    <row r="57" spans="21:50" x14ac:dyDescent="0.2">
      <c r="U57" s="46"/>
      <c r="Y57" s="341" t="s">
        <v>68</v>
      </c>
      <c r="Z57" s="341"/>
      <c r="AA57" s="341"/>
      <c r="AB57" s="341"/>
      <c r="AC57" s="46"/>
      <c r="AD57" s="46"/>
      <c r="AE57" s="46"/>
      <c r="AF57" s="5"/>
      <c r="AG57" s="5"/>
      <c r="AH57" s="5"/>
      <c r="AI57" s="5"/>
      <c r="AJ57" s="5"/>
      <c r="AK57" s="5"/>
      <c r="AL57" s="5"/>
      <c r="AM57" s="5"/>
      <c r="AN57" s="15"/>
      <c r="AO57" s="15"/>
      <c r="AP57" s="15"/>
      <c r="AQ57" s="4"/>
      <c r="AR57" s="4"/>
      <c r="AS57" s="4"/>
      <c r="AT57" s="4"/>
      <c r="AU57" s="15"/>
      <c r="AV57" s="5"/>
      <c r="AW57" s="4"/>
      <c r="AX57" s="4"/>
    </row>
    <row r="58" spans="21:50" x14ac:dyDescent="0.2">
      <c r="U58" s="46"/>
      <c r="X58" s="46"/>
      <c r="Y58" s="43" t="s">
        <v>0</v>
      </c>
      <c r="Z58" s="43" t="s">
        <v>1</v>
      </c>
      <c r="AA58" s="43" t="s">
        <v>78</v>
      </c>
      <c r="AB58" s="43" t="s">
        <v>94</v>
      </c>
      <c r="AC58" s="46"/>
      <c r="AD58" s="46"/>
      <c r="AE58" s="46"/>
      <c r="AF58" s="15"/>
      <c r="AG58" s="15"/>
      <c r="AH58" s="15"/>
      <c r="AI58" s="5"/>
      <c r="AJ58" s="15"/>
      <c r="AK58" s="15"/>
      <c r="AL58" s="15"/>
      <c r="AM58" s="5"/>
      <c r="AN58" s="15"/>
      <c r="AO58" s="15"/>
      <c r="AP58" s="15"/>
      <c r="AQ58" s="4"/>
      <c r="AR58" s="4"/>
      <c r="AS58" s="4"/>
      <c r="AT58" s="4"/>
      <c r="AU58" s="15"/>
      <c r="AV58" s="5"/>
      <c r="AW58" s="4"/>
      <c r="AX58" s="4"/>
    </row>
    <row r="59" spans="21:50" x14ac:dyDescent="0.2">
      <c r="U59" s="46"/>
      <c r="Y59" s="342" t="s">
        <v>67</v>
      </c>
      <c r="Z59" s="342"/>
      <c r="AA59" s="342"/>
      <c r="AB59" s="342"/>
      <c r="AC59" s="46"/>
      <c r="AD59" s="46"/>
      <c r="AE59" s="46"/>
      <c r="AF59" s="15"/>
      <c r="AG59" s="15"/>
      <c r="AH59" s="15"/>
      <c r="AI59" s="5"/>
      <c r="AJ59" s="15"/>
      <c r="AK59" s="15"/>
      <c r="AL59" s="15"/>
      <c r="AM59" s="5"/>
      <c r="AN59" s="15"/>
      <c r="AO59" s="15"/>
      <c r="AP59" s="15"/>
      <c r="AQ59" s="4"/>
      <c r="AR59" s="4"/>
      <c r="AS59" s="4"/>
      <c r="AT59" s="4"/>
      <c r="AU59" s="15"/>
      <c r="AV59" s="5"/>
      <c r="AW59" s="4"/>
      <c r="AX59" s="4"/>
    </row>
    <row r="60" spans="21:50" x14ac:dyDescent="0.2">
      <c r="U60" s="46"/>
      <c r="X60" s="42" t="s">
        <v>49</v>
      </c>
      <c r="Y60" s="201">
        <f>'CCC-car.1'!X32</f>
        <v>61.322442602040823</v>
      </c>
      <c r="Z60" s="201">
        <f>'CCC-car.1'!Y32</f>
        <v>231.76255739795917</v>
      </c>
      <c r="AA60" s="201">
        <f>'CCC-car.1'!Z32</f>
        <v>231.7625573979592</v>
      </c>
      <c r="AB60" s="201">
        <f>'CCC-car.1'!AA32</f>
        <v>61.322442602040823</v>
      </c>
      <c r="AC60" s="46"/>
      <c r="AD60" s="46"/>
      <c r="AE60" s="46"/>
      <c r="AF60" s="15"/>
      <c r="AG60" s="15"/>
      <c r="AH60" s="15"/>
      <c r="AI60" s="5"/>
      <c r="AJ60" s="15"/>
      <c r="AK60" s="15"/>
      <c r="AL60" s="15"/>
      <c r="AM60" s="5"/>
      <c r="AN60" s="15"/>
      <c r="AO60" s="15"/>
      <c r="AP60" s="15"/>
      <c r="AQ60" s="4"/>
      <c r="AR60" s="4"/>
      <c r="AS60" s="4"/>
      <c r="AT60" s="4"/>
      <c r="AU60" s="4"/>
      <c r="AV60" s="4"/>
      <c r="AW60" s="4"/>
      <c r="AX60" s="4"/>
    </row>
    <row r="61" spans="21:50" x14ac:dyDescent="0.2">
      <c r="U61" s="46"/>
      <c r="X61" s="42" t="s">
        <v>50</v>
      </c>
      <c r="Y61" s="201">
        <f>'CCC-car.2'!X32</f>
        <v>40.787748724489788</v>
      </c>
      <c r="Z61" s="201">
        <f>'CCC-car.2'!Y32</f>
        <v>207.57725127551018</v>
      </c>
      <c r="AA61" s="201">
        <f>'CCC-car.2'!Z32</f>
        <v>207.57725127551021</v>
      </c>
      <c r="AB61" s="201">
        <f>'CCC-car.2'!AA32</f>
        <v>40.787748724489788</v>
      </c>
      <c r="AC61" s="46"/>
      <c r="AD61" s="46"/>
      <c r="AE61" s="46"/>
      <c r="AF61" s="15"/>
      <c r="AG61" s="15"/>
      <c r="AH61" s="15"/>
      <c r="AI61" s="5"/>
      <c r="AJ61" s="15"/>
      <c r="AK61" s="15"/>
      <c r="AL61" s="15"/>
      <c r="AM61" s="5"/>
      <c r="AN61" s="15"/>
      <c r="AO61" s="15"/>
      <c r="AP61" s="15"/>
      <c r="AQ61" s="4"/>
      <c r="AR61" s="4"/>
      <c r="AS61" s="4"/>
      <c r="AT61" s="4"/>
      <c r="AU61" s="4"/>
      <c r="AV61" s="4"/>
      <c r="AW61" s="4"/>
      <c r="AX61" s="4"/>
    </row>
    <row r="62" spans="21:50" x14ac:dyDescent="0.2">
      <c r="U62" s="46"/>
      <c r="X62" s="42" t="s">
        <v>51</v>
      </c>
      <c r="Y62" s="201">
        <f>'CCC-car.3'!X32</f>
        <v>66.067525510204092</v>
      </c>
      <c r="Z62" s="201">
        <f>'CCC-car.3'!Y32</f>
        <v>196.27247448979591</v>
      </c>
      <c r="AA62" s="201">
        <f>'CCC-car.3'!Z32</f>
        <v>196.27247448979591</v>
      </c>
      <c r="AB62" s="201">
        <f>'CCC-car.3'!AA32</f>
        <v>66.067525510204092</v>
      </c>
      <c r="AC62" s="46"/>
      <c r="AD62" s="46"/>
      <c r="AE62" s="46"/>
      <c r="AF62" s="15"/>
      <c r="AG62" s="15"/>
      <c r="AH62" s="15"/>
      <c r="AI62" s="5"/>
      <c r="AJ62" s="15"/>
      <c r="AK62" s="15"/>
      <c r="AL62" s="15"/>
      <c r="AM62" s="5"/>
      <c r="AN62" s="15"/>
      <c r="AO62" s="15"/>
      <c r="AP62" s="15"/>
      <c r="AQ62" s="4"/>
      <c r="AR62" s="4"/>
      <c r="AS62" s="4"/>
      <c r="AT62" s="4"/>
      <c r="AU62" s="4"/>
      <c r="AV62" s="4"/>
      <c r="AW62" s="4"/>
      <c r="AX62" s="4"/>
    </row>
    <row r="63" spans="21:50" x14ac:dyDescent="0.2">
      <c r="U63" s="46"/>
      <c r="V63" s="46"/>
      <c r="X63" s="42" t="s">
        <v>52</v>
      </c>
      <c r="Y63" s="201">
        <f>'CCC-car.4'!X32</f>
        <v>41.531391959561603</v>
      </c>
      <c r="Z63" s="201">
        <f>'CCC-car.4'!Y32</f>
        <v>204.4244497912801</v>
      </c>
      <c r="AA63" s="201">
        <f>'CCC-car.4'!Z32</f>
        <v>234.91535888218925</v>
      </c>
      <c r="AB63" s="201">
        <f>'CCC-car.4'!AA32</f>
        <v>60.578799366969015</v>
      </c>
      <c r="AC63" s="46"/>
      <c r="AD63" s="46"/>
      <c r="AE63" s="46"/>
      <c r="AF63" s="15"/>
      <c r="AG63" s="15"/>
      <c r="AH63" s="15"/>
      <c r="AI63" s="5"/>
      <c r="AJ63" s="15"/>
      <c r="AK63" s="15"/>
      <c r="AL63" s="15"/>
      <c r="AM63" s="5"/>
      <c r="AN63" s="15"/>
      <c r="AO63" s="15"/>
      <c r="AP63" s="15"/>
      <c r="AQ63" s="4"/>
      <c r="AR63" s="4"/>
      <c r="AS63" s="4"/>
      <c r="AT63" s="4"/>
      <c r="AU63" s="4"/>
      <c r="AV63" s="4"/>
      <c r="AW63" s="4"/>
      <c r="AX63" s="4"/>
    </row>
    <row r="64" spans="21:50" x14ac:dyDescent="0.2">
      <c r="U64" s="46"/>
      <c r="V64" s="46"/>
      <c r="X64" s="42" t="s">
        <v>53</v>
      </c>
      <c r="Y64" s="201">
        <f>'CCC-car.5'!X32</f>
        <v>60.578799366969008</v>
      </c>
      <c r="Z64" s="201">
        <f>'CCC-car.5'!Y32</f>
        <v>234.91535888218925</v>
      </c>
      <c r="AA64" s="201">
        <f>'CCC-car.5'!Z32</f>
        <v>204.42444979128013</v>
      </c>
      <c r="AB64" s="201">
        <f>'CCC-car.5'!AA32</f>
        <v>41.531391959561596</v>
      </c>
      <c r="AC64" s="46"/>
      <c r="AD64" s="46"/>
      <c r="AE64" s="46"/>
      <c r="AF64" s="15"/>
      <c r="AG64" s="15"/>
      <c r="AH64" s="15"/>
      <c r="AI64" s="5"/>
      <c r="AJ64" s="15"/>
      <c r="AK64" s="15"/>
      <c r="AL64" s="15"/>
      <c r="AM64" s="5"/>
      <c r="AN64" s="15"/>
      <c r="AO64" s="15"/>
      <c r="AP64" s="15"/>
      <c r="AQ64" s="4"/>
      <c r="AR64" s="4"/>
      <c r="AS64" s="4"/>
      <c r="AT64" s="4"/>
      <c r="AU64" s="4"/>
      <c r="AV64" s="4"/>
      <c r="AW64" s="4"/>
      <c r="AX64" s="4"/>
    </row>
    <row r="65" spans="1:50" x14ac:dyDescent="0.2">
      <c r="AE65" s="46"/>
      <c r="AF65" s="15"/>
      <c r="AG65" s="15"/>
      <c r="AH65" s="15"/>
      <c r="AI65" s="5"/>
      <c r="AJ65" s="15"/>
      <c r="AK65" s="15"/>
      <c r="AL65" s="15"/>
      <c r="AM65" s="5"/>
      <c r="AN65" s="15"/>
      <c r="AO65" s="15"/>
      <c r="AP65" s="15"/>
      <c r="AQ65" s="4"/>
      <c r="AR65" s="4"/>
      <c r="AS65" s="4"/>
      <c r="AT65" s="4"/>
      <c r="AU65" s="4"/>
      <c r="AV65" s="4"/>
      <c r="AW65" s="4"/>
      <c r="AX65" s="4"/>
    </row>
    <row r="66" spans="1:50" x14ac:dyDescent="0.2">
      <c r="AE66" s="46"/>
      <c r="AF66" s="15"/>
      <c r="AG66" s="15"/>
      <c r="AH66" s="15"/>
      <c r="AI66" s="5"/>
      <c r="AJ66" s="15"/>
      <c r="AK66" s="15"/>
      <c r="AL66" s="15"/>
      <c r="AM66" s="5"/>
      <c r="AN66" s="15"/>
      <c r="AO66" s="15"/>
      <c r="AP66" s="15"/>
      <c r="AQ66" s="4"/>
      <c r="AR66" s="4"/>
      <c r="AS66" s="4"/>
      <c r="AT66" s="4"/>
      <c r="AU66" s="4"/>
      <c r="AV66" s="4"/>
      <c r="AW66" s="4"/>
      <c r="AX66" s="4"/>
    </row>
    <row r="67" spans="1:50" x14ac:dyDescent="0.2">
      <c r="AE67" s="46"/>
      <c r="AF67" s="5"/>
      <c r="AG67" s="5"/>
      <c r="AH67" s="5"/>
      <c r="AI67" s="5"/>
      <c r="AJ67" s="5"/>
      <c r="AK67" s="5"/>
      <c r="AL67" s="5"/>
      <c r="AM67" s="5"/>
      <c r="AN67" s="15"/>
      <c r="AO67" s="15"/>
      <c r="AP67" s="15"/>
      <c r="AQ67" s="4"/>
      <c r="AR67" s="4"/>
      <c r="AS67" s="4"/>
      <c r="AT67" s="4"/>
      <c r="AU67" s="4"/>
      <c r="AV67" s="4"/>
      <c r="AW67" s="4"/>
      <c r="AX67" s="4"/>
    </row>
    <row r="68" spans="1:50" x14ac:dyDescent="0.2">
      <c r="AF68" s="4"/>
      <c r="AG68" s="4"/>
      <c r="AH68" s="4"/>
      <c r="AI68" s="4"/>
      <c r="AJ68" s="4"/>
      <c r="AK68" s="4"/>
      <c r="AL68" s="4"/>
      <c r="AM68" s="4"/>
      <c r="AN68" s="15"/>
      <c r="AO68" s="15"/>
      <c r="AP68" s="15"/>
      <c r="AQ68" s="4"/>
      <c r="AR68" s="4"/>
      <c r="AS68" s="4"/>
      <c r="AT68" s="4"/>
      <c r="AU68" s="4"/>
      <c r="AV68" s="4"/>
      <c r="AW68" s="4"/>
      <c r="AX68" s="4"/>
    </row>
    <row r="69" spans="1:50" hidden="1" x14ac:dyDescent="0.2">
      <c r="A69" s="123" t="s">
        <v>462</v>
      </c>
      <c r="B69" s="271"/>
      <c r="C69" s="123" t="s">
        <v>463</v>
      </c>
      <c r="D69" s="271"/>
      <c r="E69" s="132" t="s">
        <v>464</v>
      </c>
      <c r="G69" s="123" t="s">
        <v>448</v>
      </c>
      <c r="I69" s="251" t="s">
        <v>452</v>
      </c>
      <c r="AF69" s="4"/>
      <c r="AG69" s="4"/>
      <c r="AH69" s="4"/>
      <c r="AI69" s="4"/>
      <c r="AJ69" s="4"/>
      <c r="AK69" s="4"/>
      <c r="AL69" s="4"/>
      <c r="AM69" s="4"/>
      <c r="AN69" s="15"/>
      <c r="AO69" s="15"/>
      <c r="AP69" s="15"/>
      <c r="AQ69" s="4"/>
      <c r="AR69" s="4"/>
      <c r="AS69" s="4"/>
      <c r="AT69" s="4"/>
      <c r="AU69" s="4"/>
      <c r="AV69" s="4"/>
      <c r="AW69" s="4"/>
      <c r="AX69" s="4"/>
    </row>
    <row r="70" spans="1:50" hidden="1" x14ac:dyDescent="0.2">
      <c r="A70" s="123" t="s">
        <v>463</v>
      </c>
      <c r="B70" s="271"/>
      <c r="C70" s="123" t="str">
        <f>D6</f>
        <v>ca</v>
      </c>
      <c r="D70" s="271"/>
      <c r="E70" s="132" t="s">
        <v>448</v>
      </c>
      <c r="G70" s="123"/>
      <c r="I70" s="256" t="s">
        <v>124</v>
      </c>
      <c r="AF70" s="5"/>
      <c r="AG70" s="5"/>
      <c r="AH70" s="5"/>
      <c r="AI70" s="4"/>
      <c r="AJ70" s="5"/>
      <c r="AK70" s="5"/>
      <c r="AL70" s="5"/>
      <c r="AM70" s="4"/>
      <c r="AN70" s="15"/>
      <c r="AO70" s="15"/>
      <c r="AP70" s="15"/>
      <c r="AQ70" s="4"/>
      <c r="AR70" s="4"/>
      <c r="AS70" s="4"/>
      <c r="AT70" s="4"/>
      <c r="AU70" s="4"/>
      <c r="AV70" s="4"/>
      <c r="AW70" s="4"/>
      <c r="AX70" s="4"/>
    </row>
    <row r="71" spans="1:50" hidden="1" x14ac:dyDescent="0.2">
      <c r="A71" s="123" t="s">
        <v>464</v>
      </c>
      <c r="B71" s="271"/>
      <c r="C71" s="271"/>
      <c r="D71" s="271"/>
      <c r="E71" s="271"/>
      <c r="F71" s="271"/>
      <c r="I71" s="251" t="s">
        <v>448</v>
      </c>
      <c r="AF71" s="5"/>
      <c r="AG71" s="15"/>
      <c r="AH71" s="15"/>
      <c r="AI71" s="4"/>
      <c r="AJ71" s="15"/>
      <c r="AK71" s="15"/>
      <c r="AL71" s="15"/>
      <c r="AM71" s="4"/>
      <c r="AN71" s="15"/>
      <c r="AO71" s="15"/>
      <c r="AP71" s="15"/>
      <c r="AQ71" s="4"/>
      <c r="AR71" s="4"/>
      <c r="AS71" s="4"/>
      <c r="AT71" s="4"/>
      <c r="AU71" s="4"/>
      <c r="AV71" s="4"/>
      <c r="AW71" s="4"/>
      <c r="AX71" s="4"/>
    </row>
    <row r="72" spans="1:50" hidden="1" x14ac:dyDescent="0.2">
      <c r="AF72" s="5"/>
      <c r="AG72" s="15"/>
      <c r="AH72" s="15"/>
      <c r="AI72" s="4"/>
      <c r="AJ72" s="15"/>
      <c r="AK72" s="15"/>
      <c r="AL72" s="15"/>
      <c r="AM72" s="4"/>
      <c r="AN72" s="15"/>
      <c r="AO72" s="15"/>
      <c r="AP72" s="15"/>
      <c r="AQ72" s="4"/>
      <c r="AR72" s="4"/>
      <c r="AS72" s="4"/>
      <c r="AT72" s="4"/>
      <c r="AU72" s="4"/>
      <c r="AV72" s="4"/>
      <c r="AW72" s="4"/>
      <c r="AX72" s="4"/>
    </row>
    <row r="73" spans="1:50" hidden="1" x14ac:dyDescent="0.2">
      <c r="AF73" s="5"/>
      <c r="AG73" s="15"/>
      <c r="AH73" s="15"/>
      <c r="AI73" s="4"/>
      <c r="AJ73" s="15"/>
      <c r="AK73" s="15"/>
      <c r="AL73" s="15"/>
      <c r="AM73" s="4"/>
      <c r="AN73" s="15"/>
      <c r="AO73" s="15"/>
      <c r="AP73" s="15"/>
      <c r="AQ73" s="4"/>
      <c r="AR73" s="4"/>
      <c r="AS73" s="4"/>
      <c r="AT73" s="4"/>
      <c r="AU73" s="4"/>
      <c r="AV73" s="4"/>
      <c r="AW73" s="4"/>
      <c r="AX73" s="4"/>
    </row>
    <row r="74" spans="1:50" hidden="1" x14ac:dyDescent="0.2">
      <c r="A74" s="335" t="s">
        <v>31</v>
      </c>
      <c r="B74" s="336"/>
      <c r="C74" s="336"/>
      <c r="D74" s="336"/>
      <c r="E74" s="336"/>
      <c r="F74" s="336"/>
      <c r="G74" s="336"/>
      <c r="H74" s="336"/>
      <c r="I74" s="336"/>
      <c r="J74" s="337"/>
      <c r="AF74" s="5"/>
      <c r="AG74" s="15"/>
      <c r="AH74" s="15"/>
      <c r="AI74" s="4"/>
      <c r="AJ74" s="15"/>
      <c r="AK74" s="15"/>
      <c r="AL74" s="15"/>
      <c r="AM74" s="4"/>
      <c r="AN74" s="15"/>
      <c r="AO74" s="15"/>
      <c r="AP74" s="15"/>
      <c r="AQ74" s="4"/>
      <c r="AR74" s="4"/>
      <c r="AS74" s="4"/>
      <c r="AT74" s="4"/>
      <c r="AU74" s="4"/>
      <c r="AV74" s="4"/>
      <c r="AW74" s="4"/>
      <c r="AX74" s="4"/>
    </row>
    <row r="75" spans="1:50" hidden="1" x14ac:dyDescent="0.2">
      <c r="A75" s="261"/>
      <c r="B75" s="2"/>
      <c r="C75" s="2"/>
      <c r="D75" s="2"/>
      <c r="E75" s="2"/>
      <c r="F75" s="2"/>
      <c r="G75" s="2"/>
      <c r="H75" s="2"/>
      <c r="I75" s="2"/>
      <c r="J75" s="262"/>
      <c r="AF75" s="5"/>
      <c r="AG75" s="15"/>
      <c r="AH75" s="15"/>
      <c r="AI75" s="4"/>
      <c r="AJ75" s="5"/>
      <c r="AK75" s="5"/>
      <c r="AL75" s="5"/>
      <c r="AM75" s="4"/>
      <c r="AN75" s="15"/>
      <c r="AO75" s="15"/>
      <c r="AP75" s="15"/>
      <c r="AQ75" s="4"/>
      <c r="AR75" s="4"/>
      <c r="AS75" s="4"/>
      <c r="AT75" s="4"/>
      <c r="AU75" s="4"/>
      <c r="AV75" s="4"/>
      <c r="AW75" s="4"/>
      <c r="AX75" s="4"/>
    </row>
    <row r="76" spans="1:50" ht="13.5" hidden="1" x14ac:dyDescent="0.25">
      <c r="A76" s="263" t="s">
        <v>30</v>
      </c>
      <c r="B76" s="274" t="s">
        <v>38</v>
      </c>
      <c r="C76" s="274" t="s">
        <v>39</v>
      </c>
      <c r="D76" s="274" t="s">
        <v>40</v>
      </c>
      <c r="E76" s="3"/>
      <c r="F76" s="45" t="s">
        <v>72</v>
      </c>
      <c r="G76" s="274" t="s">
        <v>73</v>
      </c>
      <c r="H76" s="274" t="s">
        <v>74</v>
      </c>
      <c r="I76" s="274" t="s">
        <v>75</v>
      </c>
      <c r="J76" s="266"/>
      <c r="AF76" s="5"/>
      <c r="AG76" s="15"/>
      <c r="AH76" s="15"/>
      <c r="AI76" s="4"/>
      <c r="AJ76" s="5"/>
      <c r="AK76" s="5"/>
      <c r="AL76" s="5"/>
      <c r="AM76" s="4"/>
      <c r="AN76" s="15"/>
      <c r="AO76" s="15"/>
      <c r="AP76" s="15"/>
      <c r="AQ76" s="4"/>
      <c r="AR76" s="4"/>
      <c r="AS76" s="4"/>
      <c r="AT76" s="4"/>
      <c r="AU76" s="4"/>
      <c r="AV76" s="4"/>
      <c r="AW76" s="4"/>
      <c r="AX76" s="4"/>
    </row>
    <row r="77" spans="1:50" hidden="1" x14ac:dyDescent="0.2">
      <c r="A77" s="225"/>
      <c r="B77" s="274">
        <v>1</v>
      </c>
      <c r="C77" s="281">
        <f>E19/10^8</f>
        <v>1.3333333333333334E-4</v>
      </c>
      <c r="D77" s="202">
        <f>B77*C77</f>
        <v>1.3333333333333334E-4</v>
      </c>
      <c r="E77" s="3"/>
      <c r="F77" s="3"/>
      <c r="G77" s="274">
        <v>1</v>
      </c>
      <c r="H77" s="281">
        <f>F19/10^8</f>
        <v>1.3333333333333334E-4</v>
      </c>
      <c r="I77" s="202">
        <f>G77*H77</f>
        <v>1.3333333333333334E-4</v>
      </c>
      <c r="J77" s="266"/>
      <c r="AF77" s="5"/>
      <c r="AG77" s="15"/>
      <c r="AH77" s="15"/>
      <c r="AI77" s="4"/>
      <c r="AJ77" s="5"/>
      <c r="AK77" s="5"/>
      <c r="AL77" s="5"/>
      <c r="AM77" s="4"/>
      <c r="AN77" s="15"/>
      <c r="AO77" s="15"/>
      <c r="AP77" s="15"/>
      <c r="AQ77" s="4"/>
      <c r="AR77" s="4"/>
      <c r="AS77" s="4"/>
      <c r="AT77" s="4"/>
      <c r="AU77" s="4"/>
      <c r="AV77" s="4"/>
      <c r="AW77" s="4"/>
      <c r="AX77" s="4"/>
    </row>
    <row r="78" spans="1:50" hidden="1" x14ac:dyDescent="0.2">
      <c r="A78" s="225"/>
      <c r="B78" s="3"/>
      <c r="C78" s="3"/>
      <c r="D78" s="3"/>
      <c r="E78" s="3"/>
      <c r="F78" s="3"/>
      <c r="G78" s="3"/>
      <c r="H78" s="3"/>
      <c r="I78" s="3"/>
      <c r="J78" s="266"/>
      <c r="AF78" s="5"/>
      <c r="AG78" s="15"/>
      <c r="AH78" s="15"/>
      <c r="AI78" s="4"/>
      <c r="AJ78" s="5"/>
      <c r="AK78" s="5"/>
      <c r="AL78" s="5"/>
      <c r="AM78" s="4"/>
      <c r="AN78" s="15"/>
      <c r="AO78" s="15"/>
      <c r="AP78" s="15"/>
      <c r="AQ78" s="4"/>
      <c r="AR78" s="4"/>
      <c r="AS78" s="4"/>
      <c r="AT78" s="4"/>
      <c r="AU78" s="4"/>
      <c r="AV78" s="4"/>
      <c r="AW78" s="4"/>
      <c r="AX78" s="4"/>
    </row>
    <row r="79" spans="1:50" ht="13.5" hidden="1" x14ac:dyDescent="0.25">
      <c r="A79" s="263" t="s">
        <v>88</v>
      </c>
      <c r="B79" s="274" t="s">
        <v>89</v>
      </c>
      <c r="C79" s="274" t="s">
        <v>90</v>
      </c>
      <c r="D79" s="274" t="s">
        <v>91</v>
      </c>
      <c r="E79" s="3"/>
      <c r="F79" s="45"/>
      <c r="G79" s="3"/>
      <c r="H79" s="3"/>
      <c r="I79" s="3"/>
      <c r="J79" s="266"/>
      <c r="AF79" s="5"/>
      <c r="AG79" s="15"/>
      <c r="AH79" s="15"/>
      <c r="AI79" s="4"/>
      <c r="AJ79" s="5"/>
      <c r="AK79" s="5"/>
      <c r="AL79" s="5"/>
      <c r="AM79" s="4"/>
      <c r="AN79" s="15"/>
      <c r="AO79" s="15"/>
      <c r="AP79" s="15"/>
      <c r="AQ79" s="4"/>
      <c r="AR79" s="4"/>
      <c r="AS79" s="4"/>
      <c r="AT79" s="4"/>
      <c r="AU79" s="4"/>
      <c r="AV79" s="4"/>
      <c r="AW79" s="4"/>
      <c r="AX79" s="4"/>
    </row>
    <row r="80" spans="1:50" hidden="1" x14ac:dyDescent="0.2">
      <c r="A80" s="267"/>
      <c r="B80" s="268">
        <v>1</v>
      </c>
      <c r="C80" s="282">
        <f>G19/10^8</f>
        <v>1.3333333333333334E-4</v>
      </c>
      <c r="D80" s="269">
        <f>B80*C80</f>
        <v>1.3333333333333334E-4</v>
      </c>
      <c r="E80" s="273"/>
      <c r="F80" s="273"/>
      <c r="G80" s="273"/>
      <c r="H80" s="273"/>
      <c r="I80" s="273"/>
      <c r="J80" s="283"/>
      <c r="AF80" s="4"/>
      <c r="AG80" s="4"/>
      <c r="AH80" s="4"/>
      <c r="AI80" s="4"/>
      <c r="AJ80" s="4"/>
      <c r="AK80" s="4"/>
      <c r="AL80" s="4"/>
      <c r="AM80" s="4"/>
      <c r="AN80" s="15"/>
      <c r="AO80" s="15"/>
      <c r="AP80" s="15"/>
      <c r="AQ80" s="4"/>
      <c r="AR80" s="4"/>
      <c r="AS80" s="4"/>
      <c r="AT80" s="4"/>
      <c r="AU80" s="4"/>
      <c r="AV80" s="4"/>
      <c r="AW80" s="4"/>
      <c r="AX80" s="4"/>
    </row>
    <row r="81" spans="15:50" x14ac:dyDescent="0.2">
      <c r="AF81" s="4"/>
      <c r="AG81" s="4"/>
      <c r="AH81" s="4"/>
      <c r="AI81" s="4"/>
      <c r="AJ81" s="4"/>
      <c r="AK81" s="4"/>
      <c r="AL81" s="4"/>
      <c r="AM81" s="4"/>
      <c r="AN81" s="15"/>
      <c r="AO81" s="15"/>
      <c r="AP81" s="15"/>
      <c r="AQ81" s="4"/>
      <c r="AR81" s="4"/>
      <c r="AS81" s="4"/>
      <c r="AT81" s="4"/>
      <c r="AU81" s="4"/>
      <c r="AV81" s="4"/>
      <c r="AW81" s="4"/>
      <c r="AX81" s="4"/>
    </row>
    <row r="82" spans="15:50" x14ac:dyDescent="0.2">
      <c r="AF82" s="4"/>
      <c r="AG82" s="4"/>
      <c r="AH82" s="4"/>
      <c r="AI82" s="4"/>
      <c r="AJ82" s="4"/>
      <c r="AK82" s="4"/>
      <c r="AL82" s="4"/>
      <c r="AM82" s="4"/>
      <c r="AN82" s="15"/>
      <c r="AO82" s="15"/>
      <c r="AP82" s="15"/>
      <c r="AQ82" s="4"/>
      <c r="AR82" s="4"/>
      <c r="AS82" s="4"/>
      <c r="AT82" s="4"/>
      <c r="AU82" s="4"/>
      <c r="AV82" s="4"/>
      <c r="AW82" s="4"/>
      <c r="AX82" s="4"/>
    </row>
    <row r="83" spans="15:50" x14ac:dyDescent="0.2">
      <c r="AF83" s="4"/>
      <c r="AG83" s="4"/>
      <c r="AH83" s="4"/>
      <c r="AI83" s="4"/>
      <c r="AJ83" s="4"/>
      <c r="AK83" s="4"/>
      <c r="AL83" s="4"/>
      <c r="AM83" s="4"/>
      <c r="AN83" s="15"/>
      <c r="AO83" s="15"/>
      <c r="AP83" s="15"/>
      <c r="AQ83" s="4"/>
      <c r="AR83" s="4"/>
      <c r="AS83" s="4"/>
      <c r="AT83" s="4"/>
      <c r="AU83" s="4"/>
      <c r="AV83" s="4"/>
      <c r="AW83" s="4"/>
      <c r="AX83" s="4"/>
    </row>
    <row r="84" spans="15:50" x14ac:dyDescent="0.2">
      <c r="AF84" s="4"/>
      <c r="AG84" s="4"/>
      <c r="AH84" s="4"/>
      <c r="AI84" s="4"/>
      <c r="AJ84" s="4"/>
      <c r="AK84" s="4"/>
      <c r="AL84" s="4"/>
      <c r="AM84" s="4"/>
      <c r="AN84" s="15"/>
      <c r="AO84" s="15"/>
      <c r="AP84" s="15"/>
      <c r="AQ84" s="4"/>
      <c r="AR84" s="4"/>
      <c r="AS84" s="4"/>
      <c r="AT84" s="4"/>
      <c r="AU84" s="4"/>
      <c r="AV84" s="4"/>
      <c r="AW84" s="4"/>
      <c r="AX84" s="4"/>
    </row>
    <row r="85" spans="15:50" x14ac:dyDescent="0.2">
      <c r="AF85" s="4"/>
      <c r="AG85" s="4"/>
      <c r="AH85" s="4"/>
      <c r="AI85" s="4"/>
      <c r="AJ85" s="4"/>
      <c r="AK85" s="4"/>
      <c r="AL85" s="4"/>
      <c r="AM85" s="4"/>
      <c r="AN85" s="15"/>
      <c r="AO85" s="15"/>
      <c r="AP85" s="15"/>
      <c r="AQ85" s="4"/>
      <c r="AR85" s="4"/>
      <c r="AS85" s="4"/>
      <c r="AT85" s="4"/>
      <c r="AU85" s="4"/>
      <c r="AV85" s="4"/>
      <c r="AW85" s="4"/>
      <c r="AX85" s="4"/>
    </row>
    <row r="86" spans="15:50" x14ac:dyDescent="0.2">
      <c r="AF86" s="4"/>
      <c r="AG86" s="4"/>
      <c r="AH86" s="4"/>
      <c r="AI86" s="4"/>
      <c r="AJ86" s="4"/>
      <c r="AK86" s="4"/>
      <c r="AL86" s="4"/>
      <c r="AM86" s="4"/>
      <c r="AN86" s="15"/>
      <c r="AO86" s="15"/>
      <c r="AP86" s="15"/>
      <c r="AQ86" s="4"/>
      <c r="AR86" s="4"/>
      <c r="AS86" s="4"/>
      <c r="AT86" s="4"/>
      <c r="AU86" s="4"/>
      <c r="AV86" s="4"/>
      <c r="AW86" s="4"/>
      <c r="AX86" s="4"/>
    </row>
    <row r="87" spans="15:50" x14ac:dyDescent="0.2">
      <c r="AF87" s="4"/>
      <c r="AG87" s="4"/>
      <c r="AH87" s="4"/>
      <c r="AI87" s="4"/>
      <c r="AJ87" s="4"/>
      <c r="AK87" s="4"/>
      <c r="AL87" s="4"/>
      <c r="AM87" s="4"/>
      <c r="AN87" s="15"/>
      <c r="AO87" s="15"/>
      <c r="AP87" s="15"/>
      <c r="AQ87" s="4"/>
      <c r="AR87" s="4"/>
      <c r="AS87" s="4"/>
      <c r="AT87" s="4"/>
      <c r="AU87" s="4"/>
      <c r="AV87" s="4"/>
      <c r="AW87" s="4"/>
      <c r="AX87" s="4"/>
    </row>
    <row r="88" spans="15:50" x14ac:dyDescent="0.2">
      <c r="W88" s="2"/>
      <c r="X88" s="2"/>
      <c r="AF88" s="4"/>
      <c r="AG88" s="4"/>
      <c r="AH88" s="4"/>
      <c r="AI88" s="4"/>
      <c r="AJ88" s="4"/>
      <c r="AK88" s="4"/>
      <c r="AL88" s="4"/>
      <c r="AM88" s="4"/>
      <c r="AN88" s="15"/>
      <c r="AO88" s="15"/>
      <c r="AP88" s="15"/>
      <c r="AQ88" s="4"/>
      <c r="AR88" s="4"/>
      <c r="AS88" s="4"/>
      <c r="AT88" s="4"/>
      <c r="AU88" s="4"/>
      <c r="AV88" s="4"/>
      <c r="AW88" s="4"/>
      <c r="AX88" s="4"/>
    </row>
    <row r="89" spans="15:50" x14ac:dyDescent="0.2">
      <c r="W89" s="11"/>
      <c r="X89" s="11"/>
      <c r="AF89" s="4"/>
      <c r="AG89" s="4"/>
      <c r="AH89" s="4"/>
      <c r="AI89" s="4"/>
      <c r="AJ89" s="4"/>
      <c r="AK89" s="4"/>
      <c r="AL89" s="4"/>
      <c r="AM89" s="4"/>
      <c r="AN89" s="15"/>
      <c r="AO89" s="15"/>
      <c r="AP89" s="15"/>
      <c r="AQ89" s="4"/>
      <c r="AR89" s="4"/>
      <c r="AS89" s="4"/>
      <c r="AT89" s="4"/>
      <c r="AU89" s="4"/>
      <c r="AV89" s="4"/>
      <c r="AW89" s="4"/>
      <c r="AX89" s="4"/>
    </row>
    <row r="90" spans="15:50" x14ac:dyDescent="0.2">
      <c r="W90" s="11"/>
      <c r="X90" s="11"/>
    </row>
    <row r="91" spans="15:50" x14ac:dyDescent="0.2">
      <c r="O91" s="3"/>
      <c r="P91" s="3"/>
      <c r="Q91" s="3"/>
      <c r="W91" s="11"/>
      <c r="X91" s="11"/>
    </row>
    <row r="92" spans="15:50" x14ac:dyDescent="0.2">
      <c r="O92" s="3"/>
      <c r="P92" s="3"/>
      <c r="Q92" s="3"/>
      <c r="W92" s="11"/>
      <c r="X92" s="11"/>
    </row>
    <row r="93" spans="15:50" x14ac:dyDescent="0.2">
      <c r="O93" s="3"/>
      <c r="P93" s="3"/>
      <c r="Q93" s="3"/>
      <c r="W93" s="11"/>
      <c r="X93" s="11"/>
    </row>
    <row r="94" spans="15:50" x14ac:dyDescent="0.2">
      <c r="O94" s="3"/>
      <c r="P94" s="3"/>
      <c r="Q94" s="3"/>
    </row>
    <row r="95" spans="15:50" x14ac:dyDescent="0.2">
      <c r="O95" s="3"/>
      <c r="P95" s="3"/>
      <c r="Q95" s="3"/>
    </row>
    <row r="96" spans="15:50" x14ac:dyDescent="0.2">
      <c r="O96" s="3"/>
      <c r="P96" s="3"/>
      <c r="Q96" s="3"/>
    </row>
    <row r="97" spans="15:17" x14ac:dyDescent="0.2">
      <c r="O97" s="3"/>
      <c r="P97" s="3"/>
      <c r="Q97" s="3"/>
    </row>
    <row r="98" spans="15:17" x14ac:dyDescent="0.2">
      <c r="O98" s="2"/>
      <c r="P98" s="2"/>
      <c r="Q98" s="2"/>
    </row>
    <row r="99" spans="15:17" x14ac:dyDescent="0.2">
      <c r="O99" s="2"/>
      <c r="P99" s="2"/>
      <c r="Q99" s="2"/>
    </row>
  </sheetData>
  <sheetProtection selectLockedCells="1"/>
  <mergeCells count="36">
    <mergeCell ref="D10:H10"/>
    <mergeCell ref="D24:H24"/>
    <mergeCell ref="D4:H4"/>
    <mergeCell ref="D6:H6"/>
    <mergeCell ref="AT4:AT7"/>
    <mergeCell ref="AT17:AT25"/>
    <mergeCell ref="E16:G16"/>
    <mergeCell ref="AY4:AY7"/>
    <mergeCell ref="A74:J74"/>
    <mergeCell ref="A1:J1"/>
    <mergeCell ref="AE4:AE7"/>
    <mergeCell ref="AJ4:AJ7"/>
    <mergeCell ref="AO4:AO7"/>
    <mergeCell ref="AE8:AE16"/>
    <mergeCell ref="AJ8:AJ16"/>
    <mergeCell ref="AO8:AO16"/>
    <mergeCell ref="AT8:AT16"/>
    <mergeCell ref="AY8:AY16"/>
    <mergeCell ref="AY35:AY38"/>
    <mergeCell ref="V38:AC38"/>
    <mergeCell ref="AE17:AE25"/>
    <mergeCell ref="AJ17:AJ25"/>
    <mergeCell ref="AO17:AO25"/>
    <mergeCell ref="AY17:AY25"/>
    <mergeCell ref="AE26:AE34"/>
    <mergeCell ref="AJ26:AJ34"/>
    <mergeCell ref="AO26:AO34"/>
    <mergeCell ref="AT26:AT34"/>
    <mergeCell ref="AY26:AY34"/>
    <mergeCell ref="Y59:AB59"/>
    <mergeCell ref="AE35:AE38"/>
    <mergeCell ref="AJ35:AJ38"/>
    <mergeCell ref="AO35:AO38"/>
    <mergeCell ref="AT35:AT38"/>
    <mergeCell ref="V40:AC40"/>
    <mergeCell ref="Y57:AB57"/>
  </mergeCells>
  <phoneticPr fontId="9" type="noConversion"/>
  <dataValidations count="10">
    <dataValidation type="custom" allowBlank="1" showInputMessage="1" showErrorMessage="1" sqref="D15" xr:uid="{00000000-0002-0000-0900-000000000000}">
      <formula1>IF(D14=A71,D15=0,D15&gt;0)</formula1>
    </dataValidation>
    <dataValidation type="custom" allowBlank="1" showInputMessage="1" showErrorMessage="1" sqref="H15" xr:uid="{00000000-0002-0000-0900-000001000000}">
      <formula1>IF(H14=A71,H15=0,H15&gt;0)</formula1>
    </dataValidation>
    <dataValidation type="list" allowBlank="1" showInputMessage="1" showErrorMessage="1" sqref="D6" xr:uid="{00000000-0002-0000-0900-000002000000}">
      <formula1>$I$69:$I$70</formula1>
    </dataValidation>
    <dataValidation type="list" allowBlank="1" showInputMessage="1" showErrorMessage="1" sqref="H17" xr:uid="{00000000-0002-0000-0900-000003000000}">
      <formula1>INDIRECT($H$16)</formula1>
    </dataValidation>
    <dataValidation type="list" allowBlank="1" showInputMessage="1" showErrorMessage="1" sqref="H16" xr:uid="{00000000-0002-0000-0900-000004000000}">
      <formula1>INDIRECT($H$14)</formula1>
    </dataValidation>
    <dataValidation type="list" allowBlank="1" showInputMessage="1" showErrorMessage="1" sqref="H14 D14" xr:uid="{00000000-0002-0000-0900-000005000000}">
      <formula1>$A$70:$A$71</formula1>
    </dataValidation>
    <dataValidation type="list" allowBlank="1" showInputMessage="1" showErrorMessage="1" sqref="D16" xr:uid="{00000000-0002-0000-0900-000006000000}">
      <formula1>INDIRECT($D$14)</formula1>
    </dataValidation>
    <dataValidation type="list" allowBlank="1" showInputMessage="1" showErrorMessage="1" sqref="D17" xr:uid="{00000000-0002-0000-0900-000007000000}">
      <formula1>INDIRECT($D$16)</formula1>
    </dataValidation>
    <dataValidation type="list" allowBlank="1" showInputMessage="1" showErrorMessage="1" sqref="E17:G17" xr:uid="{00000000-0002-0000-0900-000008000000}">
      <formula1>INDIRECT($D$6)</formula1>
    </dataValidation>
    <dataValidation type="custom" allowBlank="1" showInputMessage="1" showErrorMessage="1" sqref="E15:G15" xr:uid="{00000000-0002-0000-0900-000009000000}">
      <formula1>E15&gt;0</formula1>
    </dataValidation>
  </dataValidations>
  <pageMargins left="0.52" right="0.4" top="0.24" bottom="0.41" header="0.22" footer="0.31496062992125984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22">
                <anchor moveWithCells="1" sizeWithCells="1">
                  <from>
                    <xdr:col>8</xdr:col>
                    <xdr:colOff>28575</xdr:colOff>
                    <xdr:row>25</xdr:row>
                    <xdr:rowOff>9525</xdr:rowOff>
                  </from>
                  <to>
                    <xdr:col>8</xdr:col>
                    <xdr:colOff>571500</xdr:colOff>
                    <xdr:row>25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acro23">
                <anchor moveWithCells="1" sizeWithCells="1">
                  <from>
                    <xdr:col>8</xdr:col>
                    <xdr:colOff>28575</xdr:colOff>
                    <xdr:row>26</xdr:row>
                    <xdr:rowOff>9525</xdr:rowOff>
                  </from>
                  <to>
                    <xdr:col>8</xdr:col>
                    <xdr:colOff>571500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Macro24">
                <anchor moveWithCells="1" sizeWithCells="1">
                  <from>
                    <xdr:col>8</xdr:col>
                    <xdr:colOff>28575</xdr:colOff>
                    <xdr:row>27</xdr:row>
                    <xdr:rowOff>9525</xdr:rowOff>
                  </from>
                  <to>
                    <xdr:col>8</xdr:col>
                    <xdr:colOff>571500</xdr:colOff>
                    <xdr:row>27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Macro25">
                <anchor moveWithCells="1" sizeWithCells="1">
                  <from>
                    <xdr:col>8</xdr:col>
                    <xdr:colOff>28575</xdr:colOff>
                    <xdr:row>28</xdr:row>
                    <xdr:rowOff>9525</xdr:rowOff>
                  </from>
                  <to>
                    <xdr:col>8</xdr:col>
                    <xdr:colOff>571500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Macro26">
                <anchor moveWithCells="1" sizeWithCells="1">
                  <from>
                    <xdr:col>8</xdr:col>
                    <xdr:colOff>28575</xdr:colOff>
                    <xdr:row>29</xdr:row>
                    <xdr:rowOff>19050</xdr:rowOff>
                  </from>
                  <to>
                    <xdr:col>8</xdr:col>
                    <xdr:colOff>571500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Macro27">
                <anchor moveWithCells="1" sizeWithCells="1">
                  <from>
                    <xdr:col>9</xdr:col>
                    <xdr:colOff>28575</xdr:colOff>
                    <xdr:row>25</xdr:row>
                    <xdr:rowOff>19050</xdr:rowOff>
                  </from>
                  <to>
                    <xdr:col>9</xdr:col>
                    <xdr:colOff>571500</xdr:colOff>
                    <xdr:row>29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Macro12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10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1" name="Button 20">
              <controlPr defaultSize="0" print="0" autoFill="0" autoPict="0" macro="[0]!Macro43">
                <anchor moveWithCells="1" sizeWithCells="1">
                  <from>
                    <xdr:col>7</xdr:col>
                    <xdr:colOff>0</xdr:colOff>
                    <xdr:row>11</xdr:row>
                    <xdr:rowOff>19050</xdr:rowOff>
                  </from>
                  <to>
                    <xdr:col>8</xdr:col>
                    <xdr:colOff>19050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12" name="Button 27">
              <controlPr defaultSize="0" print="0" autoFill="0" autoPict="0" macro="[0]!Macro1">
                <anchor moveWithCells="1" sizeWithCells="1">
                  <from>
                    <xdr:col>3</xdr:col>
                    <xdr:colOff>19050</xdr:colOff>
                    <xdr:row>11</xdr:row>
                    <xdr:rowOff>19050</xdr:rowOff>
                  </from>
                  <to>
                    <xdr:col>4</xdr:col>
                    <xdr:colOff>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13" name="Button 28">
              <controlPr defaultSize="0" print="0" autoFill="0" autoPict="0" macro="[0]!Macro44">
                <anchor moveWithCells="1" sizeWithCells="1">
                  <from>
                    <xdr:col>3</xdr:col>
                    <xdr:colOff>19050</xdr:colOff>
                    <xdr:row>19</xdr:row>
                    <xdr:rowOff>19050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14" name="Button 38">
              <controlPr defaultSize="0" print="0" autoFill="0" autoPict="0" macro="[0]!Macro45">
                <anchor moveWithCells="1" sizeWithCells="1">
                  <from>
                    <xdr:col>7</xdr:col>
                    <xdr:colOff>9525</xdr:colOff>
                    <xdr:row>19</xdr:row>
                    <xdr:rowOff>28575</xdr:rowOff>
                  </from>
                  <to>
                    <xdr:col>8</xdr:col>
                    <xdr:colOff>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15" name="Button 39">
              <controlPr defaultSize="0" print="0" autoFill="0" autoPict="0" macro="[0]!Sezionecadatre">
                <anchor moveWithCells="1" sizeWithCells="1">
                  <from>
                    <xdr:col>8</xdr:col>
                    <xdr:colOff>76200</xdr:colOff>
                    <xdr:row>13</xdr:row>
                    <xdr:rowOff>0</xdr:rowOff>
                  </from>
                  <to>
                    <xdr:col>9</xdr:col>
                    <xdr:colOff>514350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16" name="Button 40">
              <controlPr defaultSize="0" print="0" autoFill="0" autoPict="0" macro="[0]!Sezioneacciaiodatre">
                <anchor moveWithCells="1" sizeWithCells="1">
                  <from>
                    <xdr:col>8</xdr:col>
                    <xdr:colOff>76200</xdr:colOff>
                    <xdr:row>16</xdr:row>
                    <xdr:rowOff>28575</xdr:rowOff>
                  </from>
                  <to>
                    <xdr:col>9</xdr:col>
                    <xdr:colOff>514350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314C8-9AEA-4AAC-ABF7-A2A88E5FACF2}">
  <sheetPr codeName="Foglio34"/>
  <dimension ref="A1:BD99"/>
  <sheetViews>
    <sheetView showGridLines="0" tabSelected="1" topLeftCell="P13" zoomScale="85" zoomScaleNormal="85" workbookViewId="0">
      <selection activeCell="G33" sqref="G33"/>
    </sheetView>
  </sheetViews>
  <sheetFormatPr defaultColWidth="9.140625" defaultRowHeight="12" x14ac:dyDescent="0.2"/>
  <cols>
    <col min="1" max="1" width="9.140625" style="1"/>
    <col min="2" max="2" width="12.5703125" style="1" customWidth="1"/>
    <col min="3" max="3" width="8.28515625" style="1" bestFit="1" customWidth="1"/>
    <col min="4" max="7" width="9.140625" style="1"/>
    <col min="8" max="8" width="8.28515625" style="1" bestFit="1" customWidth="1"/>
    <col min="9" max="31" width="9.140625" style="1"/>
    <col min="32" max="50" width="9.140625" style="1" customWidth="1"/>
    <col min="51" max="16384" width="9.140625" style="1"/>
  </cols>
  <sheetData>
    <row r="1" spans="1:56" ht="15.75" customHeight="1" thickBot="1" x14ac:dyDescent="0.25">
      <c r="A1" s="334" t="s">
        <v>467</v>
      </c>
      <c r="B1" s="334"/>
      <c r="C1" s="334"/>
      <c r="D1" s="334"/>
      <c r="E1" s="334"/>
      <c r="F1" s="334"/>
      <c r="G1" s="334"/>
      <c r="H1" s="334"/>
      <c r="I1" s="334"/>
      <c r="J1" s="334"/>
      <c r="U1" s="2"/>
      <c r="AF1" s="2" t="s">
        <v>58</v>
      </c>
      <c r="AK1" s="2" t="s">
        <v>62</v>
      </c>
      <c r="AP1" s="2" t="s">
        <v>63</v>
      </c>
      <c r="AU1" s="2" t="s">
        <v>64</v>
      </c>
      <c r="AZ1" s="2" t="s">
        <v>65</v>
      </c>
    </row>
    <row r="2" spans="1:56" ht="14.25" customHeight="1" thickTop="1" x14ac:dyDescent="0.25">
      <c r="E2" s="12"/>
      <c r="AE2" s="327"/>
      <c r="AF2" s="329" t="s">
        <v>54</v>
      </c>
      <c r="AG2" s="39" t="s">
        <v>55</v>
      </c>
      <c r="AH2" s="39" t="s">
        <v>3</v>
      </c>
      <c r="AI2" s="39" t="s">
        <v>4</v>
      </c>
      <c r="AJ2" s="327"/>
      <c r="AK2" s="329" t="s">
        <v>54</v>
      </c>
      <c r="AL2" s="39" t="s">
        <v>55</v>
      </c>
      <c r="AM2" s="39" t="s">
        <v>3</v>
      </c>
      <c r="AN2" s="39" t="s">
        <v>4</v>
      </c>
      <c r="AP2" s="329" t="s">
        <v>54</v>
      </c>
      <c r="AQ2" s="39" t="s">
        <v>55</v>
      </c>
      <c r="AR2" s="39" t="s">
        <v>3</v>
      </c>
      <c r="AS2" s="39" t="s">
        <v>4</v>
      </c>
      <c r="AU2" s="329" t="s">
        <v>54</v>
      </c>
      <c r="AV2" s="39" t="s">
        <v>55</v>
      </c>
      <c r="AW2" s="39" t="s">
        <v>3</v>
      </c>
      <c r="AX2" s="39" t="s">
        <v>4</v>
      </c>
      <c r="AZ2" s="329" t="s">
        <v>54</v>
      </c>
      <c r="BA2" s="39" t="s">
        <v>55</v>
      </c>
      <c r="BB2" s="39" t="s">
        <v>3</v>
      </c>
      <c r="BC2" s="39" t="s">
        <v>4</v>
      </c>
    </row>
    <row r="3" spans="1:56" x14ac:dyDescent="0.2">
      <c r="AF3" s="328" t="s">
        <v>59</v>
      </c>
      <c r="AG3" s="328" t="s">
        <v>59</v>
      </c>
      <c r="AH3" s="328" t="s">
        <v>60</v>
      </c>
      <c r="AI3" s="328" t="s">
        <v>61</v>
      </c>
      <c r="AJ3" s="326"/>
      <c r="AK3" s="328" t="s">
        <v>59</v>
      </c>
      <c r="AL3" s="328" t="s">
        <v>59</v>
      </c>
      <c r="AM3" s="328" t="s">
        <v>60</v>
      </c>
      <c r="AN3" s="328" t="s">
        <v>61</v>
      </c>
      <c r="AP3" s="328" t="s">
        <v>59</v>
      </c>
      <c r="AQ3" s="328" t="s">
        <v>59</v>
      </c>
      <c r="AR3" s="328" t="s">
        <v>60</v>
      </c>
      <c r="AS3" s="328" t="s">
        <v>61</v>
      </c>
      <c r="AU3" s="328" t="s">
        <v>59</v>
      </c>
      <c r="AV3" s="328" t="s">
        <v>59</v>
      </c>
      <c r="AW3" s="328" t="s">
        <v>60</v>
      </c>
      <c r="AX3" s="328" t="s">
        <v>61</v>
      </c>
      <c r="AZ3" s="328" t="s">
        <v>59</v>
      </c>
      <c r="BA3" s="328" t="s">
        <v>59</v>
      </c>
      <c r="BB3" s="328" t="s">
        <v>60</v>
      </c>
      <c r="BC3" s="328" t="s">
        <v>61</v>
      </c>
    </row>
    <row r="4" spans="1:56" ht="12" customHeight="1" x14ac:dyDescent="0.2">
      <c r="D4" s="343" t="s">
        <v>465</v>
      </c>
      <c r="E4" s="343"/>
      <c r="F4" s="343"/>
      <c r="G4" s="343"/>
      <c r="H4" s="343"/>
      <c r="AE4" s="339" t="s">
        <v>56</v>
      </c>
      <c r="AF4" s="203">
        <f>AG4</f>
        <v>0</v>
      </c>
      <c r="AG4" s="203">
        <f>'CCC-car.1'!AD47</f>
        <v>0</v>
      </c>
      <c r="AH4" s="203">
        <f>'CCC-car.1'!AE47</f>
        <v>0</v>
      </c>
      <c r="AI4" s="203">
        <f>'CCC-car.1'!AF47</f>
        <v>0</v>
      </c>
      <c r="AJ4" s="339" t="s">
        <v>56</v>
      </c>
      <c r="AK4" s="203">
        <f>AF4</f>
        <v>0</v>
      </c>
      <c r="AL4" s="203">
        <f>'CCC-car.2'!AD47</f>
        <v>0</v>
      </c>
      <c r="AM4" s="203">
        <f>'CCC-car.2'!AE47</f>
        <v>0</v>
      </c>
      <c r="AN4" s="203">
        <f>'CCC-car.2'!AF47</f>
        <v>0</v>
      </c>
      <c r="AO4" s="339" t="s">
        <v>56</v>
      </c>
      <c r="AP4" s="203">
        <f>AF4</f>
        <v>0</v>
      </c>
      <c r="AQ4" s="203">
        <f>'CCC-car.3'!AD47</f>
        <v>0</v>
      </c>
      <c r="AR4" s="203">
        <f>'CCC-car.3'!AE47</f>
        <v>0</v>
      </c>
      <c r="AS4" s="203">
        <f>'CCC-car.3'!AF47</f>
        <v>0</v>
      </c>
      <c r="AT4" s="339" t="s">
        <v>56</v>
      </c>
      <c r="AU4" s="203">
        <f>AF4</f>
        <v>0</v>
      </c>
      <c r="AV4" s="203">
        <f>'CCC-car.4'!AD47</f>
        <v>0</v>
      </c>
      <c r="AW4" s="203">
        <f>'CCC-car.4'!AE47</f>
        <v>0</v>
      </c>
      <c r="AX4" s="203">
        <f>'CCC-car.4'!AF47</f>
        <v>0</v>
      </c>
      <c r="AY4" s="339" t="s">
        <v>56</v>
      </c>
      <c r="AZ4" s="203">
        <f>AF4</f>
        <v>0</v>
      </c>
      <c r="BA4" s="203">
        <f>'CCC-car.5'!AD47</f>
        <v>0</v>
      </c>
      <c r="BB4" s="203">
        <f>'CCC-car.5'!AE47</f>
        <v>0</v>
      </c>
      <c r="BC4" s="203">
        <f>'CCC-car.5'!AF47</f>
        <v>0</v>
      </c>
    </row>
    <row r="5" spans="1:56" x14ac:dyDescent="0.2">
      <c r="G5" s="3"/>
      <c r="AE5" s="339"/>
      <c r="AF5" s="201">
        <f t="shared" ref="AF5:AF7" si="0">AG5</f>
        <v>0</v>
      </c>
      <c r="AG5" s="201">
        <f>'CCC-car.1'!AD48</f>
        <v>0</v>
      </c>
      <c r="AH5" s="201">
        <f>'CCC-car.1'!AE48</f>
        <v>0</v>
      </c>
      <c r="AI5" s="201">
        <f>'CCC-car.1'!AF48</f>
        <v>0</v>
      </c>
      <c r="AJ5" s="339"/>
      <c r="AK5" s="201">
        <f t="shared" ref="AK5:AK38" si="1">AF5</f>
        <v>0</v>
      </c>
      <c r="AL5" s="201">
        <f>'CCC-car.2'!AD48</f>
        <v>0</v>
      </c>
      <c r="AM5" s="201">
        <f>'CCC-car.2'!AE48</f>
        <v>0</v>
      </c>
      <c r="AN5" s="201">
        <f>'CCC-car.2'!AF48</f>
        <v>0</v>
      </c>
      <c r="AO5" s="339"/>
      <c r="AP5" s="201">
        <f t="shared" ref="AP5:AP38" si="2">AF5</f>
        <v>0</v>
      </c>
      <c r="AQ5" s="201">
        <f>'CCC-car.3'!AD48</f>
        <v>0</v>
      </c>
      <c r="AR5" s="201">
        <f>'CCC-car.3'!AE48</f>
        <v>0</v>
      </c>
      <c r="AS5" s="201">
        <f>'CCC-car.3'!AF48</f>
        <v>0</v>
      </c>
      <c r="AT5" s="339"/>
      <c r="AU5" s="201">
        <f t="shared" ref="AU5:AU38" si="3">AF5</f>
        <v>0</v>
      </c>
      <c r="AV5" s="201">
        <f>'CCC-car.4'!AD48</f>
        <v>0</v>
      </c>
      <c r="AW5" s="201">
        <f>'CCC-car.4'!AE48</f>
        <v>0</v>
      </c>
      <c r="AX5" s="201">
        <f>'CCC-car.4'!AF48</f>
        <v>0</v>
      </c>
      <c r="AY5" s="339"/>
      <c r="AZ5" s="201">
        <f t="shared" ref="AZ5:AZ38" si="4">AF5</f>
        <v>0</v>
      </c>
      <c r="BA5" s="201">
        <f>'CCC-car.5'!AD48</f>
        <v>0</v>
      </c>
      <c r="BB5" s="201">
        <f>'CCC-car.5'!AE48</f>
        <v>0</v>
      </c>
      <c r="BC5" s="201">
        <f>'CCC-car.5'!AF48</f>
        <v>0</v>
      </c>
    </row>
    <row r="6" spans="1:56" x14ac:dyDescent="0.2">
      <c r="D6" s="340" t="s">
        <v>452</v>
      </c>
      <c r="E6" s="340"/>
      <c r="F6" s="340"/>
      <c r="G6" s="340"/>
      <c r="H6" s="340"/>
      <c r="AE6" s="339"/>
      <c r="AF6" s="201">
        <f t="shared" si="0"/>
        <v>0</v>
      </c>
      <c r="AG6" s="201">
        <f>'CCC-car.1'!AD49</f>
        <v>0</v>
      </c>
      <c r="AH6" s="201">
        <f>'CCC-car.1'!AE49</f>
        <v>0</v>
      </c>
      <c r="AI6" s="201">
        <f>'CCC-car.1'!AF49</f>
        <v>0</v>
      </c>
      <c r="AJ6" s="339"/>
      <c r="AK6" s="201">
        <f t="shared" si="1"/>
        <v>0</v>
      </c>
      <c r="AL6" s="201">
        <f>'CCC-car.2'!AD49</f>
        <v>0</v>
      </c>
      <c r="AM6" s="201">
        <f>'CCC-car.2'!AE49</f>
        <v>0</v>
      </c>
      <c r="AN6" s="201">
        <f>'CCC-car.2'!AF49</f>
        <v>0</v>
      </c>
      <c r="AO6" s="339"/>
      <c r="AP6" s="201">
        <f t="shared" si="2"/>
        <v>0</v>
      </c>
      <c r="AQ6" s="201">
        <f>'CCC-car.3'!AD49</f>
        <v>0</v>
      </c>
      <c r="AR6" s="201">
        <f>'CCC-car.3'!AE49</f>
        <v>0</v>
      </c>
      <c r="AS6" s="201">
        <f>'CCC-car.3'!AF49</f>
        <v>0</v>
      </c>
      <c r="AT6" s="339"/>
      <c r="AU6" s="201">
        <f t="shared" si="3"/>
        <v>0</v>
      </c>
      <c r="AV6" s="201">
        <f>'CCC-car.4'!AD49</f>
        <v>0</v>
      </c>
      <c r="AW6" s="201">
        <f>'CCC-car.4'!AE49</f>
        <v>0</v>
      </c>
      <c r="AX6" s="201">
        <f>'CCC-car.4'!AF49</f>
        <v>0</v>
      </c>
      <c r="AY6" s="339"/>
      <c r="AZ6" s="201">
        <f t="shared" si="4"/>
        <v>0</v>
      </c>
      <c r="BA6" s="201">
        <f>'CCC-car.5'!AD49</f>
        <v>0</v>
      </c>
      <c r="BB6" s="201">
        <f>'CCC-car.5'!AE49</f>
        <v>0</v>
      </c>
      <c r="BC6" s="201">
        <f>'CCC-car.5'!AF49</f>
        <v>0</v>
      </c>
    </row>
    <row r="7" spans="1:56" ht="12" customHeight="1" x14ac:dyDescent="0.2">
      <c r="AE7" s="339"/>
      <c r="AF7" s="204">
        <f t="shared" si="0"/>
        <v>0</v>
      </c>
      <c r="AG7" s="204">
        <f>'CCC-car.1'!AD50</f>
        <v>0</v>
      </c>
      <c r="AH7" s="204">
        <f>'CCC-car.1'!AE50</f>
        <v>0</v>
      </c>
      <c r="AI7" s="204">
        <f>'CCC-car.1'!AF50</f>
        <v>0</v>
      </c>
      <c r="AJ7" s="339"/>
      <c r="AK7" s="204">
        <f t="shared" si="1"/>
        <v>0</v>
      </c>
      <c r="AL7" s="204">
        <f>'CCC-car.2'!AD50</f>
        <v>0</v>
      </c>
      <c r="AM7" s="204">
        <f>'CCC-car.2'!AE50</f>
        <v>0</v>
      </c>
      <c r="AN7" s="204">
        <f>'CCC-car.2'!AF50</f>
        <v>0</v>
      </c>
      <c r="AO7" s="339"/>
      <c r="AP7" s="204">
        <f t="shared" si="2"/>
        <v>0</v>
      </c>
      <c r="AQ7" s="204">
        <f>'CCC-car.3'!AD50</f>
        <v>0</v>
      </c>
      <c r="AR7" s="204">
        <f>'CCC-car.3'!AE50</f>
        <v>0</v>
      </c>
      <c r="AS7" s="204">
        <f>'CCC-car.3'!AF50</f>
        <v>0</v>
      </c>
      <c r="AT7" s="339"/>
      <c r="AU7" s="204">
        <f t="shared" si="3"/>
        <v>0</v>
      </c>
      <c r="AV7" s="204">
        <f>'CCC-car.4'!AD50</f>
        <v>0</v>
      </c>
      <c r="AW7" s="204">
        <f>'CCC-car.4'!AE50</f>
        <v>0</v>
      </c>
      <c r="AX7" s="204">
        <f>'CCC-car.4'!AF50</f>
        <v>0</v>
      </c>
      <c r="AY7" s="339"/>
      <c r="AZ7" s="204">
        <f t="shared" si="4"/>
        <v>0</v>
      </c>
      <c r="BA7" s="204">
        <f>'CCC-car.5'!AD50</f>
        <v>0</v>
      </c>
      <c r="BB7" s="204">
        <f>'CCC-car.5'!AE50</f>
        <v>0</v>
      </c>
      <c r="BC7" s="204">
        <f>'CCC-car.5'!AF50</f>
        <v>0</v>
      </c>
    </row>
    <row r="8" spans="1:56" ht="12" customHeight="1" x14ac:dyDescent="0.2">
      <c r="AE8" s="338" t="s">
        <v>30</v>
      </c>
      <c r="AF8" s="203">
        <f t="shared" ref="AF8:AF16" si="5">AG8-$AG$7</f>
        <v>0</v>
      </c>
      <c r="AG8" s="203">
        <f>'CCC-car.1'!AD51</f>
        <v>0</v>
      </c>
      <c r="AH8" s="203">
        <f>'CCC-car.1'!AE51</f>
        <v>0</v>
      </c>
      <c r="AI8" s="203">
        <f>'CCC-car.1'!AF51</f>
        <v>61.322442602040823</v>
      </c>
      <c r="AJ8" s="338" t="s">
        <v>30</v>
      </c>
      <c r="AK8" s="203">
        <f t="shared" si="1"/>
        <v>0</v>
      </c>
      <c r="AL8" s="203">
        <f>'CCC-car.2'!AD51</f>
        <v>0</v>
      </c>
      <c r="AM8" s="203">
        <f>'CCC-car.2'!AE51</f>
        <v>0</v>
      </c>
      <c r="AN8" s="203">
        <f>'CCC-car.2'!AF51</f>
        <v>40.787748724489788</v>
      </c>
      <c r="AO8" s="338" t="s">
        <v>30</v>
      </c>
      <c r="AP8" s="203">
        <f t="shared" si="2"/>
        <v>0</v>
      </c>
      <c r="AQ8" s="203">
        <f>'CCC-car.3'!AD51</f>
        <v>0</v>
      </c>
      <c r="AR8" s="203">
        <f>'CCC-car.3'!AE51</f>
        <v>0</v>
      </c>
      <c r="AS8" s="203">
        <f>'CCC-car.3'!AF51</f>
        <v>66.067525510204092</v>
      </c>
      <c r="AT8" s="338" t="s">
        <v>30</v>
      </c>
      <c r="AU8" s="203">
        <f t="shared" si="3"/>
        <v>0</v>
      </c>
      <c r="AV8" s="203">
        <f>'CCC-car.4'!AD51</f>
        <v>0</v>
      </c>
      <c r="AW8" s="203">
        <f>'CCC-car.4'!AE51</f>
        <v>0</v>
      </c>
      <c r="AX8" s="203">
        <f>'CCC-car.4'!AF51</f>
        <v>41.531391959561603</v>
      </c>
      <c r="AY8" s="338" t="s">
        <v>30</v>
      </c>
      <c r="AZ8" s="203">
        <f t="shared" si="4"/>
        <v>0</v>
      </c>
      <c r="BA8" s="203">
        <f>'CCC-car.5'!AD51</f>
        <v>0</v>
      </c>
      <c r="BB8" s="203">
        <f>'CCC-car.5'!AE51</f>
        <v>0</v>
      </c>
      <c r="BC8" s="203">
        <f>'CCC-car.5'!AF51</f>
        <v>60.578799366969008</v>
      </c>
    </row>
    <row r="9" spans="1:56" x14ac:dyDescent="0.2">
      <c r="AE9" s="338"/>
      <c r="AF9" s="201">
        <f t="shared" si="5"/>
        <v>0.5</v>
      </c>
      <c r="AG9" s="201">
        <f>'CCC-car.1'!AD52</f>
        <v>0.5</v>
      </c>
      <c r="AH9" s="201">
        <f>'CCC-car.1'!AE52</f>
        <v>25.23372130102041</v>
      </c>
      <c r="AI9" s="201">
        <f>'CCC-car.1'!AF52</f>
        <v>39.612442602040822</v>
      </c>
      <c r="AJ9" s="338"/>
      <c r="AK9" s="201">
        <f t="shared" si="1"/>
        <v>0.5</v>
      </c>
      <c r="AL9" s="201">
        <f>'CCC-car.2'!AD52</f>
        <v>0.5</v>
      </c>
      <c r="AM9" s="201">
        <f>'CCC-car.2'!AE52</f>
        <v>16.363874362244893</v>
      </c>
      <c r="AN9" s="201">
        <f>'CCC-car.2'!AF52</f>
        <v>24.66774872448979</v>
      </c>
      <c r="AO9" s="338"/>
      <c r="AP9" s="201">
        <f t="shared" si="2"/>
        <v>0.5</v>
      </c>
      <c r="AQ9" s="201">
        <f>'CCC-car.3'!AD52</f>
        <v>0.5</v>
      </c>
      <c r="AR9" s="201">
        <f>'CCC-car.3'!AE52</f>
        <v>27.606262755102044</v>
      </c>
      <c r="AS9" s="201">
        <f>'CCC-car.3'!AF52</f>
        <v>44.357525510204091</v>
      </c>
      <c r="AT9" s="338"/>
      <c r="AU9" s="201">
        <f t="shared" si="3"/>
        <v>0.5</v>
      </c>
      <c r="AV9" s="201">
        <f>'CCC-car.4'!AD52</f>
        <v>0.5</v>
      </c>
      <c r="AW9" s="201">
        <f>'CCC-car.4'!AE52</f>
        <v>16.7356959797808</v>
      </c>
      <c r="AX9" s="201">
        <f>'CCC-car.4'!AF52</f>
        <v>25.411391959561605</v>
      </c>
      <c r="AY9" s="338"/>
      <c r="AZ9" s="201">
        <f t="shared" si="4"/>
        <v>0.5</v>
      </c>
      <c r="BA9" s="201">
        <f>'CCC-car.5'!AD52</f>
        <v>0.5</v>
      </c>
      <c r="BB9" s="201">
        <f>'CCC-car.5'!AE52</f>
        <v>24.861899683484502</v>
      </c>
      <c r="BC9" s="201">
        <f>'CCC-car.5'!AF52</f>
        <v>38.868799366969007</v>
      </c>
    </row>
    <row r="10" spans="1:56" x14ac:dyDescent="0.2">
      <c r="B10" s="286"/>
      <c r="C10" s="286"/>
      <c r="D10" s="343" t="s">
        <v>466</v>
      </c>
      <c r="E10" s="343"/>
      <c r="F10" s="343"/>
      <c r="G10" s="343"/>
      <c r="H10" s="343"/>
      <c r="AE10" s="338"/>
      <c r="AF10" s="201">
        <f t="shared" si="5"/>
        <v>1</v>
      </c>
      <c r="AG10" s="201">
        <f>'CCC-car.1'!AD53</f>
        <v>1</v>
      </c>
      <c r="AH10" s="201">
        <f>'CCC-car.1'!AE53</f>
        <v>39.612442602040822</v>
      </c>
      <c r="AI10" s="201">
        <f>'CCC-car.1'!AF53</f>
        <v>17.902442602040821</v>
      </c>
      <c r="AJ10" s="338"/>
      <c r="AK10" s="201">
        <f t="shared" si="1"/>
        <v>1</v>
      </c>
      <c r="AL10" s="201">
        <f>'CCC-car.2'!AD53</f>
        <v>1</v>
      </c>
      <c r="AM10" s="201">
        <f>'CCC-car.2'!AE53</f>
        <v>24.66774872448979</v>
      </c>
      <c r="AN10" s="201">
        <f>'CCC-car.2'!AF53</f>
        <v>8.5477487244897929</v>
      </c>
      <c r="AO10" s="338"/>
      <c r="AP10" s="201">
        <f t="shared" si="2"/>
        <v>1</v>
      </c>
      <c r="AQ10" s="201">
        <f>'CCC-car.3'!AD53</f>
        <v>1</v>
      </c>
      <c r="AR10" s="201">
        <f>'CCC-car.3'!AE53</f>
        <v>44.357525510204091</v>
      </c>
      <c r="AS10" s="201">
        <f>'CCC-car.3'!AF53</f>
        <v>22.64752551020409</v>
      </c>
      <c r="AT10" s="338"/>
      <c r="AU10" s="201">
        <f t="shared" si="3"/>
        <v>1</v>
      </c>
      <c r="AV10" s="201">
        <f>'CCC-car.4'!AD53</f>
        <v>1</v>
      </c>
      <c r="AW10" s="201">
        <f>'CCC-car.4'!AE53</f>
        <v>25.411391959561605</v>
      </c>
      <c r="AX10" s="201">
        <f>'CCC-car.4'!AF53</f>
        <v>9.2913919595616079</v>
      </c>
      <c r="AY10" s="338"/>
      <c r="AZ10" s="201">
        <f t="shared" si="4"/>
        <v>1</v>
      </c>
      <c r="BA10" s="201">
        <f>'CCC-car.5'!AD53</f>
        <v>1</v>
      </c>
      <c r="BB10" s="201">
        <f>'CCC-car.5'!AE53</f>
        <v>38.868799366969007</v>
      </c>
      <c r="BC10" s="201">
        <f>'CCC-car.5'!AF53</f>
        <v>17.158799366969006</v>
      </c>
    </row>
    <row r="11" spans="1:56" x14ac:dyDescent="0.2">
      <c r="B11" s="304"/>
      <c r="C11" s="304"/>
      <c r="D11" s="304"/>
      <c r="E11" s="304"/>
      <c r="F11" s="304"/>
      <c r="G11" s="304"/>
      <c r="H11" s="304"/>
      <c r="AE11" s="338"/>
      <c r="AF11" s="201">
        <f t="shared" si="5"/>
        <v>1.5</v>
      </c>
      <c r="AG11" s="201">
        <f>'CCC-car.1'!AD54</f>
        <v>1.5</v>
      </c>
      <c r="AH11" s="201">
        <f>'CCC-car.1'!AE54</f>
        <v>43.136163903061224</v>
      </c>
      <c r="AI11" s="201">
        <f>'CCC-car.1'!AF54</f>
        <v>-3.8075573979591724</v>
      </c>
      <c r="AJ11" s="338"/>
      <c r="AK11" s="201">
        <f t="shared" si="1"/>
        <v>1.5</v>
      </c>
      <c r="AL11" s="201">
        <f>'CCC-car.2'!AD54</f>
        <v>1.5</v>
      </c>
      <c r="AM11" s="201">
        <f>'CCC-car.2'!AE54</f>
        <v>24.911623086734686</v>
      </c>
      <c r="AN11" s="201">
        <f>'CCC-car.2'!AF54</f>
        <v>-7.5722512755102045</v>
      </c>
      <c r="AO11" s="338"/>
      <c r="AP11" s="201">
        <f t="shared" si="2"/>
        <v>1.5</v>
      </c>
      <c r="AQ11" s="201">
        <f>'CCC-car.3'!AD54</f>
        <v>1.5</v>
      </c>
      <c r="AR11" s="201">
        <f>'CCC-car.3'!AE54</f>
        <v>50.253788265306135</v>
      </c>
      <c r="AS11" s="201">
        <f>'CCC-car.3'!AF54</f>
        <v>0.93752551020409669</v>
      </c>
      <c r="AT11" s="338"/>
      <c r="AU11" s="201">
        <f t="shared" si="3"/>
        <v>1.5</v>
      </c>
      <c r="AV11" s="201">
        <f>'CCC-car.4'!AD54</f>
        <v>1.5</v>
      </c>
      <c r="AW11" s="201">
        <f>'CCC-car.4'!AE54</f>
        <v>26.027087939342408</v>
      </c>
      <c r="AX11" s="201">
        <f>'CCC-car.4'!AF54</f>
        <v>-6.8286080404383895</v>
      </c>
      <c r="AY11" s="338"/>
      <c r="AZ11" s="201">
        <f t="shared" si="4"/>
        <v>1.5</v>
      </c>
      <c r="BA11" s="201">
        <f>'CCC-car.5'!AD54</f>
        <v>1.5</v>
      </c>
      <c r="BB11" s="201">
        <f>'CCC-car.5'!AE54</f>
        <v>42.020699050453509</v>
      </c>
      <c r="BC11" s="201">
        <f>'CCC-car.5'!AF54</f>
        <v>-4.5512006330309873</v>
      </c>
    </row>
    <row r="12" spans="1:56" x14ac:dyDescent="0.2">
      <c r="B12" s="303"/>
      <c r="C12" s="303"/>
      <c r="D12" s="303"/>
      <c r="E12" s="303"/>
      <c r="F12" s="303"/>
      <c r="G12" s="303"/>
      <c r="H12" s="280"/>
      <c r="AE12" s="338"/>
      <c r="AF12" s="201">
        <f t="shared" si="5"/>
        <v>2</v>
      </c>
      <c r="AG12" s="201">
        <f>'CCC-car.1'!AD55</f>
        <v>2</v>
      </c>
      <c r="AH12" s="201">
        <f>'CCC-car.1'!AE55</f>
        <v>35.804885204081643</v>
      </c>
      <c r="AI12" s="201">
        <f>'CCC-car.1'!AF55</f>
        <v>-25.51755739795918</v>
      </c>
      <c r="AJ12" s="338"/>
      <c r="AK12" s="201">
        <f t="shared" si="1"/>
        <v>2</v>
      </c>
      <c r="AL12" s="201">
        <f>'CCC-car.2'!AD55</f>
        <v>2</v>
      </c>
      <c r="AM12" s="201">
        <f>'CCC-car.2'!AE55</f>
        <v>17.095497448979586</v>
      </c>
      <c r="AN12" s="201">
        <f>'CCC-car.2'!AF55</f>
        <v>-23.692251275510202</v>
      </c>
      <c r="AO12" s="338"/>
      <c r="AP12" s="201">
        <f t="shared" si="2"/>
        <v>2</v>
      </c>
      <c r="AQ12" s="201">
        <f>'CCC-car.3'!AD55</f>
        <v>2</v>
      </c>
      <c r="AR12" s="201">
        <f>'CCC-car.3'!AE55</f>
        <v>45.295051020408181</v>
      </c>
      <c r="AS12" s="201">
        <f>'CCC-car.3'!AF55</f>
        <v>-20.772474489795911</v>
      </c>
      <c r="AT12" s="338"/>
      <c r="AU12" s="201">
        <f t="shared" si="3"/>
        <v>2</v>
      </c>
      <c r="AV12" s="201">
        <f>'CCC-car.4'!AD55</f>
        <v>2</v>
      </c>
      <c r="AW12" s="201">
        <f>'CCC-car.4'!AE55</f>
        <v>18.582783919123216</v>
      </c>
      <c r="AX12" s="201">
        <f>'CCC-car.4'!AF55</f>
        <v>-22.948608040438387</v>
      </c>
      <c r="AY12" s="338"/>
      <c r="AZ12" s="201">
        <f t="shared" si="4"/>
        <v>2</v>
      </c>
      <c r="BA12" s="201">
        <f>'CCC-car.5'!AD55</f>
        <v>2</v>
      </c>
      <c r="BB12" s="201">
        <f>'CCC-car.5'!AE55</f>
        <v>34.317598733938013</v>
      </c>
      <c r="BC12" s="201">
        <f>'CCC-car.5'!AF55</f>
        <v>-26.261200633030995</v>
      </c>
    </row>
    <row r="13" spans="1:56" x14ac:dyDescent="0.2">
      <c r="B13" s="252" t="s">
        <v>451</v>
      </c>
      <c r="C13" s="254"/>
      <c r="D13" s="257" t="s">
        <v>453</v>
      </c>
      <c r="E13" s="254" t="s">
        <v>454</v>
      </c>
      <c r="F13" s="254" t="s">
        <v>455</v>
      </c>
      <c r="G13" s="254" t="s">
        <v>456</v>
      </c>
      <c r="H13" s="257" t="s">
        <v>458</v>
      </c>
      <c r="AE13" s="338"/>
      <c r="AF13" s="201">
        <f t="shared" si="5"/>
        <v>2.5</v>
      </c>
      <c r="AG13" s="201">
        <f>'CCC-car.1'!AD56</f>
        <v>2.5</v>
      </c>
      <c r="AH13" s="201">
        <f>'CCC-car.1'!AE56</f>
        <v>17.618606505102065</v>
      </c>
      <c r="AI13" s="201">
        <f>'CCC-car.1'!AF56</f>
        <v>-47.227557397959188</v>
      </c>
      <c r="AJ13" s="338"/>
      <c r="AK13" s="201">
        <f t="shared" si="1"/>
        <v>2.5</v>
      </c>
      <c r="AL13" s="201">
        <f>'CCC-car.2'!AD56</f>
        <v>2.5</v>
      </c>
      <c r="AM13" s="201">
        <f>'CCC-car.2'!AE56</f>
        <v>1.2193718112244909</v>
      </c>
      <c r="AN13" s="201">
        <f>'CCC-car.2'!AF56</f>
        <v>-39.812251275510206</v>
      </c>
      <c r="AO13" s="338"/>
      <c r="AP13" s="201">
        <f t="shared" si="2"/>
        <v>2.5</v>
      </c>
      <c r="AQ13" s="201">
        <f>'CCC-car.3'!AD56</f>
        <v>2.5</v>
      </c>
      <c r="AR13" s="201">
        <f>'CCC-car.3'!AE56</f>
        <v>29.481313775510216</v>
      </c>
      <c r="AS13" s="201">
        <f>'CCC-car.3'!AF56</f>
        <v>-42.482474489795919</v>
      </c>
      <c r="AT13" s="338"/>
      <c r="AU13" s="201">
        <f t="shared" si="3"/>
        <v>2.5</v>
      </c>
      <c r="AV13" s="201">
        <f>'CCC-car.4'!AD56</f>
        <v>2.5</v>
      </c>
      <c r="AW13" s="201">
        <f>'CCC-car.4'!AE56</f>
        <v>3.0784798989040212</v>
      </c>
      <c r="AX13" s="201">
        <f>'CCC-car.4'!AF56</f>
        <v>-39.068608040438392</v>
      </c>
      <c r="AY13" s="338"/>
      <c r="AZ13" s="201">
        <f t="shared" si="4"/>
        <v>2.5</v>
      </c>
      <c r="BA13" s="201">
        <f>'CCC-car.5'!AD56</f>
        <v>2.5</v>
      </c>
      <c r="BB13" s="201">
        <f>'CCC-car.5'!AE56</f>
        <v>15.75949841742252</v>
      </c>
      <c r="BC13" s="201">
        <f>'CCC-car.5'!AF56</f>
        <v>-47.971200633031003</v>
      </c>
    </row>
    <row r="14" spans="1:56" x14ac:dyDescent="0.2">
      <c r="D14" s="330" t="s">
        <v>464</v>
      </c>
      <c r="H14" s="330" t="s">
        <v>464</v>
      </c>
      <c r="AE14" s="338"/>
      <c r="AF14" s="201">
        <f t="shared" si="5"/>
        <v>3</v>
      </c>
      <c r="AG14" s="201">
        <f>'CCC-car.1'!AD57</f>
        <v>3</v>
      </c>
      <c r="AH14" s="201">
        <f>'CCC-car.1'!AE57</f>
        <v>-11.42267219387756</v>
      </c>
      <c r="AI14" s="201">
        <f>'CCC-car.1'!AF57</f>
        <v>-68.937557397959168</v>
      </c>
      <c r="AJ14" s="338"/>
      <c r="AK14" s="201">
        <f t="shared" si="1"/>
        <v>3</v>
      </c>
      <c r="AL14" s="201">
        <f>'CCC-car.2'!AD57</f>
        <v>3</v>
      </c>
      <c r="AM14" s="201">
        <f>'CCC-car.2'!AE57</f>
        <v>-22.716753826530621</v>
      </c>
      <c r="AN14" s="201">
        <f>'CCC-car.2'!AF57</f>
        <v>-55.932251275510197</v>
      </c>
      <c r="AO14" s="338"/>
      <c r="AP14" s="201">
        <f t="shared" si="2"/>
        <v>3</v>
      </c>
      <c r="AQ14" s="201">
        <f>'CCC-car.3'!AD57</f>
        <v>3</v>
      </c>
      <c r="AR14" s="201">
        <f>'CCC-car.3'!AE57</f>
        <v>2.8125765306122616</v>
      </c>
      <c r="AS14" s="201">
        <f>'CCC-car.3'!AF57</f>
        <v>-64.192474489795899</v>
      </c>
      <c r="AT14" s="338"/>
      <c r="AU14" s="201">
        <f t="shared" si="3"/>
        <v>3</v>
      </c>
      <c r="AV14" s="201">
        <f>'CCC-car.4'!AD57</f>
        <v>3</v>
      </c>
      <c r="AW14" s="201">
        <f>'CCC-car.4'!AE57</f>
        <v>-20.485824121315176</v>
      </c>
      <c r="AX14" s="201">
        <f>'CCC-car.4'!AF57</f>
        <v>-55.188608040438382</v>
      </c>
      <c r="AY14" s="338"/>
      <c r="AZ14" s="201">
        <f t="shared" si="4"/>
        <v>3</v>
      </c>
      <c r="BA14" s="201">
        <f>'CCC-car.5'!AD57</f>
        <v>3</v>
      </c>
      <c r="BB14" s="201">
        <f>'CCC-car.5'!AE57</f>
        <v>-13.65360189909299</v>
      </c>
      <c r="BC14" s="201">
        <f>'CCC-car.5'!AF57</f>
        <v>-69.681200633030983</v>
      </c>
    </row>
    <row r="15" spans="1:56" x14ac:dyDescent="0.2">
      <c r="B15" s="252" t="s">
        <v>447</v>
      </c>
      <c r="C15" s="332" t="s">
        <v>449</v>
      </c>
      <c r="D15" s="278">
        <v>0</v>
      </c>
      <c r="E15" s="278">
        <v>4</v>
      </c>
      <c r="F15" s="278">
        <v>5.5</v>
      </c>
      <c r="G15" s="278">
        <v>4</v>
      </c>
      <c r="H15" s="278">
        <v>0</v>
      </c>
      <c r="AE15" s="338"/>
      <c r="AF15" s="201">
        <f t="shared" si="5"/>
        <v>3.5</v>
      </c>
      <c r="AG15" s="201">
        <f>'CCC-car.1'!AD58</f>
        <v>3.5</v>
      </c>
      <c r="AH15" s="201">
        <f>'CCC-car.1'!AE58</f>
        <v>-51.318950892857117</v>
      </c>
      <c r="AI15" s="201">
        <f>'CCC-car.1'!AF58</f>
        <v>-90.647557397959176</v>
      </c>
      <c r="AJ15" s="338"/>
      <c r="AK15" s="201">
        <f t="shared" si="1"/>
        <v>3.5</v>
      </c>
      <c r="AL15" s="201">
        <f>'CCC-car.2'!AD58</f>
        <v>3.5</v>
      </c>
      <c r="AM15" s="201">
        <f>'CCC-car.2'!AE58</f>
        <v>-54.71287946428572</v>
      </c>
      <c r="AN15" s="201">
        <f>'CCC-car.2'!AF58</f>
        <v>-72.052251275510187</v>
      </c>
      <c r="AO15" s="338"/>
      <c r="AP15" s="201">
        <f t="shared" si="2"/>
        <v>3.5</v>
      </c>
      <c r="AQ15" s="201">
        <f>'CCC-car.3'!AD58</f>
        <v>3.5</v>
      </c>
      <c r="AR15" s="201">
        <f>'CCC-car.3'!AE58</f>
        <v>-34.711160714285654</v>
      </c>
      <c r="AS15" s="201">
        <f>'CCC-car.3'!AF58</f>
        <v>-85.902474489795907</v>
      </c>
      <c r="AT15" s="338"/>
      <c r="AU15" s="201">
        <f t="shared" si="3"/>
        <v>3.5</v>
      </c>
      <c r="AV15" s="201">
        <f>'CCC-car.4'!AD58</f>
        <v>3.5</v>
      </c>
      <c r="AW15" s="201">
        <f>'CCC-car.4'!AE58</f>
        <v>-52.110128141534346</v>
      </c>
      <c r="AX15" s="201">
        <f>'CCC-car.4'!AF58</f>
        <v>-71.308608040438372</v>
      </c>
      <c r="AY15" s="338"/>
      <c r="AZ15" s="201">
        <f t="shared" si="4"/>
        <v>3.5</v>
      </c>
      <c r="BA15" s="201">
        <f>'CCC-car.5'!AD58</f>
        <v>3.5</v>
      </c>
      <c r="BB15" s="201">
        <f>'CCC-car.5'!AE58</f>
        <v>-53.921702215608462</v>
      </c>
      <c r="BC15" s="201">
        <f>'CCC-car.5'!AF58</f>
        <v>-91.391200633030991</v>
      </c>
    </row>
    <row r="16" spans="1:56" s="333" customFormat="1" ht="13.5" customHeight="1" x14ac:dyDescent="0.2">
      <c r="B16" s="252" t="s">
        <v>450</v>
      </c>
      <c r="C16" s="42"/>
      <c r="D16" s="279" t="s">
        <v>448</v>
      </c>
      <c r="E16" s="346" t="str">
        <f>D6</f>
        <v>ca</v>
      </c>
      <c r="F16" s="346"/>
      <c r="G16" s="346"/>
      <c r="H16" s="279" t="s">
        <v>448</v>
      </c>
      <c r="U16" s="18"/>
      <c r="AE16" s="338"/>
      <c r="AF16" s="204">
        <f t="shared" si="5"/>
        <v>4</v>
      </c>
      <c r="AG16" s="204">
        <f>'CCC-car.1'!AD59</f>
        <v>4</v>
      </c>
      <c r="AH16" s="204">
        <f>'CCC-car.1'!AE59</f>
        <v>-102.07022959183672</v>
      </c>
      <c r="AI16" s="204">
        <f>'CCC-car.1'!AF59</f>
        <v>-112.35755739795918</v>
      </c>
      <c r="AJ16" s="338"/>
      <c r="AK16" s="204">
        <f t="shared" si="1"/>
        <v>4</v>
      </c>
      <c r="AL16" s="204">
        <f>'CCC-car.2'!AD59</f>
        <v>4</v>
      </c>
      <c r="AM16" s="204">
        <f>'CCC-car.2'!AE59</f>
        <v>-94.769005102040808</v>
      </c>
      <c r="AN16" s="204">
        <f>'CCC-car.2'!AF59</f>
        <v>-88.172251275510192</v>
      </c>
      <c r="AO16" s="338"/>
      <c r="AP16" s="204">
        <f t="shared" si="2"/>
        <v>4</v>
      </c>
      <c r="AQ16" s="204">
        <f>'CCC-car.3'!AD59</f>
        <v>4</v>
      </c>
      <c r="AR16" s="204">
        <f>'CCC-car.3'!AE59</f>
        <v>-83.089897959183645</v>
      </c>
      <c r="AS16" s="204">
        <f>'CCC-car.3'!AF59</f>
        <v>-107.61247448979591</v>
      </c>
      <c r="AT16" s="338"/>
      <c r="AU16" s="204">
        <f t="shared" si="3"/>
        <v>4</v>
      </c>
      <c r="AV16" s="204">
        <f>'CCC-car.4'!AD59</f>
        <v>4</v>
      </c>
      <c r="AW16" s="204">
        <f>'CCC-car.4'!AE59</f>
        <v>-91.794432161753548</v>
      </c>
      <c r="AX16" s="204">
        <f>'CCC-car.4'!AF59</f>
        <v>-87.428608040438377</v>
      </c>
      <c r="AY16" s="338"/>
      <c r="AZ16" s="204">
        <f t="shared" si="4"/>
        <v>4</v>
      </c>
      <c r="BA16" s="204">
        <f>'CCC-car.5'!AD59</f>
        <v>4</v>
      </c>
      <c r="BB16" s="204">
        <f>'CCC-car.5'!AE59</f>
        <v>-105.04480253212398</v>
      </c>
      <c r="BC16" s="204">
        <f>'CCC-car.5'!AF59</f>
        <v>-113.101200633031</v>
      </c>
      <c r="BD16" s="1"/>
    </row>
    <row r="17" spans="2:56" s="333" customFormat="1" ht="12" customHeight="1" x14ac:dyDescent="0.2">
      <c r="B17" s="252" t="s">
        <v>127</v>
      </c>
      <c r="C17" s="42"/>
      <c r="D17" s="330" t="s">
        <v>464</v>
      </c>
      <c r="E17" s="330" t="s">
        <v>475</v>
      </c>
      <c r="F17" s="330" t="s">
        <v>475</v>
      </c>
      <c r="G17" s="330" t="s">
        <v>475</v>
      </c>
      <c r="H17" s="330"/>
      <c r="AE17" s="339" t="s">
        <v>72</v>
      </c>
      <c r="AF17" s="205">
        <f t="shared" ref="AF17:AF25" si="6">AG17-$AG$16</f>
        <v>0</v>
      </c>
      <c r="AG17" s="203">
        <f>'CCC-car.1'!AD60</f>
        <v>4</v>
      </c>
      <c r="AH17" s="203">
        <f>'CCC-car.1'!AE60</f>
        <v>-102.07022959183672</v>
      </c>
      <c r="AI17" s="203">
        <f>'CCC-car.1'!AF60</f>
        <v>119.40499999999999</v>
      </c>
      <c r="AJ17" s="339" t="s">
        <v>72</v>
      </c>
      <c r="AK17" s="205">
        <f t="shared" si="1"/>
        <v>0</v>
      </c>
      <c r="AL17" s="203">
        <f>'CCC-car.2'!AD60</f>
        <v>4</v>
      </c>
      <c r="AM17" s="203">
        <f>'CCC-car.2'!AE60</f>
        <v>-94.769005102040808</v>
      </c>
      <c r="AN17" s="203">
        <f>'CCC-car.2'!AF60</f>
        <v>119.40499999999999</v>
      </c>
      <c r="AO17" s="339" t="s">
        <v>72</v>
      </c>
      <c r="AP17" s="205">
        <f t="shared" si="2"/>
        <v>0</v>
      </c>
      <c r="AQ17" s="203">
        <f>'CCC-car.3'!AD60</f>
        <v>4</v>
      </c>
      <c r="AR17" s="203">
        <f>'CCC-car.3'!AE60</f>
        <v>-83.089897959183673</v>
      </c>
      <c r="AS17" s="203">
        <f>'CCC-car.3'!AF60</f>
        <v>88.659999999999982</v>
      </c>
      <c r="AT17" s="339" t="s">
        <v>72</v>
      </c>
      <c r="AU17" s="205">
        <f t="shared" si="3"/>
        <v>0</v>
      </c>
      <c r="AV17" s="203">
        <f>'CCC-car.4'!AD60</f>
        <v>4</v>
      </c>
      <c r="AW17" s="203">
        <f>'CCC-car.4'!AE60</f>
        <v>-91.794432161753576</v>
      </c>
      <c r="AX17" s="203">
        <f>'CCC-car.4'!AF60</f>
        <v>116.99584175084173</v>
      </c>
      <c r="AY17" s="339" t="s">
        <v>72</v>
      </c>
      <c r="AZ17" s="205">
        <f t="shared" si="4"/>
        <v>0</v>
      </c>
      <c r="BA17" s="203">
        <f>'CCC-car.5'!AD60</f>
        <v>4</v>
      </c>
      <c r="BB17" s="203">
        <f>'CCC-car.5'!AE60</f>
        <v>-105.04480253212395</v>
      </c>
      <c r="BC17" s="203">
        <f>'CCC-car.5'!AF60</f>
        <v>121.81415824915825</v>
      </c>
      <c r="BD17" s="1"/>
    </row>
    <row r="18" spans="2:56" s="333" customFormat="1" x14ac:dyDescent="0.2">
      <c r="B18" s="252" t="s">
        <v>460</v>
      </c>
      <c r="C18" s="332" t="s">
        <v>446</v>
      </c>
      <c r="D18" s="201" t="str">
        <f>IF($D16=$I$69,VLOOKUP($D17,matca,2,0),IF($D16=$I$70,VLOOKUP($D17,matacciaio,3,0),""))</f>
        <v/>
      </c>
      <c r="E18" s="201">
        <v>0</v>
      </c>
      <c r="F18" s="201">
        <v>0</v>
      </c>
      <c r="G18" s="201">
        <v>0</v>
      </c>
      <c r="H18" s="201" t="str">
        <f>IF($H16=$I$69,VLOOKUP($H17,matca,2,0),IF($H16=$I$70,VLOOKUP($H17,matacciaio,3,0),""))</f>
        <v/>
      </c>
      <c r="AE18" s="339"/>
      <c r="AF18" s="206">
        <f t="shared" si="6"/>
        <v>0.6875</v>
      </c>
      <c r="AG18" s="201">
        <f>'CCC-car.1'!AD61</f>
        <v>4.6875</v>
      </c>
      <c r="AH18" s="201">
        <f>'CCC-car.1'!AE61</f>
        <v>-30.240659279336725</v>
      </c>
      <c r="AI18" s="201">
        <f>'CCC-car.1'!AF61</f>
        <v>89.55374999999998</v>
      </c>
      <c r="AJ18" s="339"/>
      <c r="AK18" s="206">
        <f t="shared" si="1"/>
        <v>0.6875</v>
      </c>
      <c r="AL18" s="201">
        <f>'CCC-car.2'!AD61</f>
        <v>4.6875</v>
      </c>
      <c r="AM18" s="201">
        <f>'CCC-car.2'!AE61</f>
        <v>-22.939434789540812</v>
      </c>
      <c r="AN18" s="201">
        <f>'CCC-car.2'!AF61</f>
        <v>89.55374999999998</v>
      </c>
      <c r="AO18" s="339"/>
      <c r="AP18" s="206">
        <f t="shared" si="2"/>
        <v>0.6875</v>
      </c>
      <c r="AQ18" s="201">
        <f>'CCC-car.3'!AD61</f>
        <v>4.6875</v>
      </c>
      <c r="AR18" s="201">
        <f>'CCC-car.3'!AE61</f>
        <v>-29.75536670918369</v>
      </c>
      <c r="AS18" s="201">
        <f>'CCC-car.3'!AF61</f>
        <v>66.49499999999999</v>
      </c>
      <c r="AT18" s="339"/>
      <c r="AU18" s="206">
        <f t="shared" si="3"/>
        <v>0.6875</v>
      </c>
      <c r="AV18" s="201">
        <f>'CCC-car.4'!AD61</f>
        <v>4.6875</v>
      </c>
      <c r="AW18" s="201">
        <f>'CCC-car.4'!AE61</f>
        <v>-21.621158145549884</v>
      </c>
      <c r="AX18" s="201">
        <f>'CCC-car.4'!AF61</f>
        <v>87.144591750841727</v>
      </c>
      <c r="AY18" s="339"/>
      <c r="AZ18" s="206">
        <f t="shared" si="4"/>
        <v>0.6875</v>
      </c>
      <c r="BA18" s="201">
        <f>'CCC-car.5'!AD61</f>
        <v>4.6875</v>
      </c>
      <c r="BB18" s="201">
        <f>'CCC-car.5'!AE61</f>
        <v>-31.558935923327653</v>
      </c>
      <c r="BC18" s="201">
        <f>'CCC-car.5'!AF61</f>
        <v>91.962908249158261</v>
      </c>
      <c r="BD18" s="1"/>
    </row>
    <row r="19" spans="2:56" s="333" customFormat="1" x14ac:dyDescent="0.2">
      <c r="B19" s="252" t="s">
        <v>461</v>
      </c>
      <c r="C19" s="332" t="s">
        <v>140</v>
      </c>
      <c r="D19" s="306" t="str">
        <f>IF($D16=$I$69,VLOOKUP($D17,matca,4,0),IF($D16=$I$70,VLOOKUP($D17,matacciaio,5,0),""))</f>
        <v/>
      </c>
      <c r="E19" s="306">
        <f>IF($D6=$I$69,VLOOKUP($E17,matca,4,0),IF($D6=$I$70,VLOOKUP($E17,matacciaio,5,0),""))</f>
        <v>13333.333333333334</v>
      </c>
      <c r="F19" s="306">
        <f>IF($D6=$I$69,VLOOKUP($F17,matca,4,0),IF($D6=$I$70,VLOOKUP($F17,matacciaio,5,0),""))</f>
        <v>13333.333333333334</v>
      </c>
      <c r="G19" s="306">
        <f>IF($D6=$I$69,VLOOKUP($G17,matca,4,0),IF($D6=$I$70,VLOOKUP($G17,matacciaio,5,0),""))</f>
        <v>13333.333333333334</v>
      </c>
      <c r="H19" s="306" t="str">
        <f>IF($H16=$I$69,VLOOKUP($H17,matca,4,0),IF($H16=$I$70,VLOOKUP($H17,matacciaio,5,0),""))</f>
        <v/>
      </c>
      <c r="AE19" s="339"/>
      <c r="AF19" s="206">
        <f t="shared" si="6"/>
        <v>1.375</v>
      </c>
      <c r="AG19" s="201">
        <f>'CCC-car.1'!AD62</f>
        <v>5.375</v>
      </c>
      <c r="AH19" s="201">
        <f>'CCC-car.1'!AE62</f>
        <v>21.066176658163272</v>
      </c>
      <c r="AI19" s="201">
        <f>'CCC-car.1'!AF62</f>
        <v>59.702499999999986</v>
      </c>
      <c r="AJ19" s="339"/>
      <c r="AK19" s="206">
        <f t="shared" si="1"/>
        <v>1.375</v>
      </c>
      <c r="AL19" s="201">
        <f>'CCC-car.2'!AD62</f>
        <v>5.375</v>
      </c>
      <c r="AM19" s="201">
        <f>'CCC-car.2'!AE62</f>
        <v>28.367401147959185</v>
      </c>
      <c r="AN19" s="201">
        <f>'CCC-car.2'!AF62</f>
        <v>59.702499999999986</v>
      </c>
      <c r="AO19" s="339"/>
      <c r="AP19" s="206">
        <f t="shared" si="2"/>
        <v>1.375</v>
      </c>
      <c r="AQ19" s="201">
        <f>'CCC-car.3'!AD62</f>
        <v>5.375</v>
      </c>
      <c r="AR19" s="201">
        <f>'CCC-car.3'!AE62</f>
        <v>8.3407270408163043</v>
      </c>
      <c r="AS19" s="201">
        <f>'CCC-car.3'!AF62</f>
        <v>44.329999999999991</v>
      </c>
      <c r="AT19" s="339"/>
      <c r="AU19" s="206">
        <f t="shared" si="3"/>
        <v>1.375</v>
      </c>
      <c r="AV19" s="201">
        <f>'CCC-car.4'!AD62</f>
        <v>5.375</v>
      </c>
      <c r="AW19" s="201">
        <f>'CCC-car.4'!AE62</f>
        <v>28.029381495653809</v>
      </c>
      <c r="AX19" s="201">
        <f>'CCC-car.4'!AF62</f>
        <v>57.293341750841734</v>
      </c>
      <c r="AY19" s="339"/>
      <c r="AZ19" s="206">
        <f t="shared" si="4"/>
        <v>1.375</v>
      </c>
      <c r="BA19" s="201">
        <f>'CCC-car.5'!AD62</f>
        <v>5.375</v>
      </c>
      <c r="BB19" s="201">
        <f>'CCC-car.5'!AE62</f>
        <v>21.404196310468649</v>
      </c>
      <c r="BC19" s="201">
        <f>'CCC-car.5'!AF62</f>
        <v>62.111658249158253</v>
      </c>
    </row>
    <row r="20" spans="2:56" s="333" customFormat="1" x14ac:dyDescent="0.2">
      <c r="AE20" s="339"/>
      <c r="AF20" s="206">
        <f t="shared" si="6"/>
        <v>2.0625</v>
      </c>
      <c r="AG20" s="201">
        <f>'CCC-car.1'!AD63</f>
        <v>6.0625</v>
      </c>
      <c r="AH20" s="201">
        <f>'CCC-car.1'!AE63</f>
        <v>51.850278220663256</v>
      </c>
      <c r="AI20" s="201">
        <f>'CCC-car.1'!AF63</f>
        <v>29.851249999999979</v>
      </c>
      <c r="AJ20" s="339"/>
      <c r="AK20" s="206">
        <f t="shared" si="1"/>
        <v>2.0625</v>
      </c>
      <c r="AL20" s="201">
        <f>'CCC-car.2'!AD63</f>
        <v>6.0625</v>
      </c>
      <c r="AM20" s="201">
        <f>'CCC-car.2'!AE63</f>
        <v>59.15150271045917</v>
      </c>
      <c r="AN20" s="201">
        <f>'CCC-car.2'!AF63</f>
        <v>29.851249999999979</v>
      </c>
      <c r="AO20" s="339"/>
      <c r="AP20" s="206">
        <f t="shared" si="2"/>
        <v>2.0625</v>
      </c>
      <c r="AQ20" s="201">
        <f>'CCC-car.3'!AD63</f>
        <v>6.0625</v>
      </c>
      <c r="AR20" s="201">
        <f>'CCC-car.3'!AE63</f>
        <v>31.198383290816281</v>
      </c>
      <c r="AS20" s="201">
        <f>'CCC-car.3'!AF63</f>
        <v>22.164999999999992</v>
      </c>
      <c r="AT20" s="339"/>
      <c r="AU20" s="206">
        <f t="shared" si="3"/>
        <v>2.0625</v>
      </c>
      <c r="AV20" s="201">
        <f>'CCC-car.4'!AD63</f>
        <v>6.0625</v>
      </c>
      <c r="AW20" s="201">
        <f>'CCC-car.4'!AE63</f>
        <v>57.157186761857503</v>
      </c>
      <c r="AX20" s="201">
        <f>'CCC-car.4'!AF63</f>
        <v>27.442091750841726</v>
      </c>
      <c r="AY20" s="339"/>
      <c r="AZ20" s="206">
        <f t="shared" si="4"/>
        <v>2.0625</v>
      </c>
      <c r="BA20" s="201">
        <f>'CCC-car.5'!AD63</f>
        <v>6.0625</v>
      </c>
      <c r="BB20" s="201">
        <f>'CCC-car.5'!AE63</f>
        <v>53.844594169264923</v>
      </c>
      <c r="BC20" s="201">
        <f>'CCC-car.5'!AF63</f>
        <v>32.260408249158246</v>
      </c>
    </row>
    <row r="21" spans="2:56" x14ac:dyDescent="0.2">
      <c r="AE21" s="339"/>
      <c r="AF21" s="206">
        <f t="shared" si="6"/>
        <v>2.75</v>
      </c>
      <c r="AG21" s="201">
        <f>'CCC-car.1'!AD64</f>
        <v>6.75</v>
      </c>
      <c r="AH21" s="201">
        <f>'CCC-car.1'!AE64</f>
        <v>62.111645408163213</v>
      </c>
      <c r="AI21" s="201">
        <f>'CCC-car.1'!AF64</f>
        <v>0</v>
      </c>
      <c r="AJ21" s="339"/>
      <c r="AK21" s="206">
        <f t="shared" si="1"/>
        <v>2.75</v>
      </c>
      <c r="AL21" s="201">
        <f>'CCC-car.2'!AD64</f>
        <v>6.75</v>
      </c>
      <c r="AM21" s="201">
        <f>'CCC-car.2'!AE64</f>
        <v>69.412869897959126</v>
      </c>
      <c r="AN21" s="201">
        <f>'CCC-car.2'!AF64</f>
        <v>0</v>
      </c>
      <c r="AO21" s="339"/>
      <c r="AP21" s="206">
        <f t="shared" si="2"/>
        <v>2.75</v>
      </c>
      <c r="AQ21" s="201">
        <f>'CCC-car.3'!AD64</f>
        <v>6.75</v>
      </c>
      <c r="AR21" s="201">
        <f>'CCC-car.3'!AE64</f>
        <v>38.817602040816269</v>
      </c>
      <c r="AS21" s="201">
        <f>'CCC-car.3'!AF64</f>
        <v>0</v>
      </c>
      <c r="AT21" s="339"/>
      <c r="AU21" s="206">
        <f t="shared" si="3"/>
        <v>2.75</v>
      </c>
      <c r="AV21" s="201">
        <f>'CCC-car.4'!AD64</f>
        <v>6.75</v>
      </c>
      <c r="AW21" s="201">
        <f>'CCC-car.4'!AE64</f>
        <v>65.76225765306117</v>
      </c>
      <c r="AX21" s="201">
        <f>'CCC-car.4'!AF64</f>
        <v>-2.409158249158267</v>
      </c>
      <c r="AY21" s="339"/>
      <c r="AZ21" s="206">
        <f t="shared" si="4"/>
        <v>2.75</v>
      </c>
      <c r="BA21" s="201">
        <f>'CCC-car.5'!AD64</f>
        <v>6.75</v>
      </c>
      <c r="BB21" s="201">
        <f>'CCC-car.5'!AE64</f>
        <v>65.762257653061226</v>
      </c>
      <c r="BC21" s="201">
        <f>'CCC-car.5'!AF64</f>
        <v>2.4091582491582528</v>
      </c>
    </row>
    <row r="22" spans="2:56" x14ac:dyDescent="0.2">
      <c r="I22" s="1" t="s">
        <v>464</v>
      </c>
      <c r="AE22" s="339"/>
      <c r="AF22" s="206">
        <f t="shared" si="6"/>
        <v>3.4375</v>
      </c>
      <c r="AG22" s="201">
        <f>'CCC-car.1'!AD65</f>
        <v>7.4375</v>
      </c>
      <c r="AH22" s="201">
        <f>'CCC-car.1'!AE65</f>
        <v>51.850278220663256</v>
      </c>
      <c r="AI22" s="201">
        <f>'CCC-car.1'!AF65</f>
        <v>-29.851250000000007</v>
      </c>
      <c r="AJ22" s="339"/>
      <c r="AK22" s="206">
        <f t="shared" si="1"/>
        <v>3.4375</v>
      </c>
      <c r="AL22" s="201">
        <f>'CCC-car.2'!AD65</f>
        <v>7.4375</v>
      </c>
      <c r="AM22" s="201">
        <f>'CCC-car.2'!AE65</f>
        <v>59.15150271045917</v>
      </c>
      <c r="AN22" s="201">
        <f>'CCC-car.2'!AF65</f>
        <v>-29.851250000000007</v>
      </c>
      <c r="AO22" s="339"/>
      <c r="AP22" s="206">
        <f t="shared" si="2"/>
        <v>3.4375</v>
      </c>
      <c r="AQ22" s="201">
        <f>'CCC-car.3'!AD65</f>
        <v>7.4375</v>
      </c>
      <c r="AR22" s="201">
        <f>'CCC-car.3'!AE65</f>
        <v>31.198383290816309</v>
      </c>
      <c r="AS22" s="201">
        <f>'CCC-car.3'!AF65</f>
        <v>-22.165000000000006</v>
      </c>
      <c r="AT22" s="339"/>
      <c r="AU22" s="206">
        <f t="shared" si="3"/>
        <v>3.4375</v>
      </c>
      <c r="AV22" s="201">
        <f>'CCC-car.4'!AD65</f>
        <v>7.4375</v>
      </c>
      <c r="AW22" s="201">
        <f>'CCC-car.4'!AE65</f>
        <v>53.844594169264894</v>
      </c>
      <c r="AX22" s="201">
        <f>'CCC-car.4'!AF65</f>
        <v>-32.26040824915826</v>
      </c>
      <c r="AY22" s="339"/>
      <c r="AZ22" s="206">
        <f t="shared" si="4"/>
        <v>3.4375</v>
      </c>
      <c r="BA22" s="201">
        <f>'CCC-car.5'!AD65</f>
        <v>7.4375</v>
      </c>
      <c r="BB22" s="201">
        <f>'CCC-car.5'!AE65</f>
        <v>57.157186761857531</v>
      </c>
      <c r="BC22" s="201">
        <f>'CCC-car.5'!AF65</f>
        <v>-27.44209175084174</v>
      </c>
    </row>
    <row r="23" spans="2:56" x14ac:dyDescent="0.2">
      <c r="AE23" s="339"/>
      <c r="AF23" s="206">
        <f t="shared" si="6"/>
        <v>4.125</v>
      </c>
      <c r="AG23" s="201">
        <f>'CCC-car.1'!AD66</f>
        <v>8.125</v>
      </c>
      <c r="AH23" s="201">
        <f>'CCC-car.1'!AE66</f>
        <v>21.066176658163215</v>
      </c>
      <c r="AI23" s="201">
        <f>'CCC-car.1'!AF66</f>
        <v>-59.702500000000029</v>
      </c>
      <c r="AJ23" s="339"/>
      <c r="AK23" s="206">
        <f t="shared" si="1"/>
        <v>4.125</v>
      </c>
      <c r="AL23" s="201">
        <f>'CCC-car.2'!AD66</f>
        <v>8.125</v>
      </c>
      <c r="AM23" s="201">
        <f>'CCC-car.2'!AE66</f>
        <v>28.367401147959129</v>
      </c>
      <c r="AN23" s="201">
        <f>'CCC-car.2'!AF66</f>
        <v>-59.702500000000029</v>
      </c>
      <c r="AO23" s="339"/>
      <c r="AP23" s="206">
        <f t="shared" si="2"/>
        <v>4.125</v>
      </c>
      <c r="AQ23" s="201">
        <f>'CCC-car.3'!AD66</f>
        <v>8.125</v>
      </c>
      <c r="AR23" s="201">
        <f>'CCC-car.3'!AE66</f>
        <v>8.3407270408162617</v>
      </c>
      <c r="AS23" s="201">
        <f>'CCC-car.3'!AF66</f>
        <v>-44.33</v>
      </c>
      <c r="AT23" s="339"/>
      <c r="AU23" s="206">
        <f t="shared" si="3"/>
        <v>4.125</v>
      </c>
      <c r="AV23" s="201">
        <f>'CCC-car.4'!AD66</f>
        <v>8.125</v>
      </c>
      <c r="AW23" s="201">
        <f>'CCC-car.4'!AE66</f>
        <v>21.404196310468592</v>
      </c>
      <c r="AX23" s="201">
        <f>'CCC-car.4'!AF66</f>
        <v>-62.111658249158282</v>
      </c>
      <c r="AY23" s="339"/>
      <c r="AZ23" s="206">
        <f t="shared" si="4"/>
        <v>4.125</v>
      </c>
      <c r="BA23" s="201">
        <f>'CCC-car.5'!AD66</f>
        <v>8.125</v>
      </c>
      <c r="BB23" s="201">
        <f>'CCC-car.5'!AE66</f>
        <v>28.029381495653752</v>
      </c>
      <c r="BC23" s="201">
        <f>'CCC-car.5'!AF66</f>
        <v>-57.293341750841762</v>
      </c>
    </row>
    <row r="24" spans="2:56" x14ac:dyDescent="0.2">
      <c r="B24" s="286"/>
      <c r="C24" s="286"/>
      <c r="D24" s="343" t="s">
        <v>473</v>
      </c>
      <c r="E24" s="343"/>
      <c r="F24" s="343"/>
      <c r="G24" s="343"/>
      <c r="H24" s="343"/>
      <c r="AE24" s="339"/>
      <c r="AF24" s="206">
        <f t="shared" si="6"/>
        <v>4.8125</v>
      </c>
      <c r="AG24" s="201">
        <f>'CCC-car.1'!AD67</f>
        <v>8.8125</v>
      </c>
      <c r="AH24" s="201">
        <f>'CCC-car.1'!AE67</f>
        <v>-30.240659279336796</v>
      </c>
      <c r="AI24" s="201">
        <f>'CCC-car.1'!AF67</f>
        <v>-89.553750000000022</v>
      </c>
      <c r="AJ24" s="339"/>
      <c r="AK24" s="206">
        <f t="shared" si="1"/>
        <v>4.8125</v>
      </c>
      <c r="AL24" s="201">
        <f>'CCC-car.2'!AD67</f>
        <v>8.8125</v>
      </c>
      <c r="AM24" s="201">
        <f>'CCC-car.2'!AE67</f>
        <v>-22.939434789540883</v>
      </c>
      <c r="AN24" s="201">
        <f>'CCC-car.2'!AF67</f>
        <v>-89.553750000000022</v>
      </c>
      <c r="AO24" s="339"/>
      <c r="AP24" s="206">
        <f t="shared" si="2"/>
        <v>4.8125</v>
      </c>
      <c r="AQ24" s="201">
        <f>'CCC-car.3'!AD67</f>
        <v>8.8125</v>
      </c>
      <c r="AR24" s="201">
        <f>'CCC-car.3'!AE67</f>
        <v>-29.755366709183647</v>
      </c>
      <c r="AS24" s="201">
        <f>'CCC-car.3'!AF67</f>
        <v>-66.49499999999999</v>
      </c>
      <c r="AT24" s="339"/>
      <c r="AU24" s="206">
        <f t="shared" si="3"/>
        <v>4.8125</v>
      </c>
      <c r="AV24" s="201">
        <f>'CCC-car.4'!AD67</f>
        <v>8.8125</v>
      </c>
      <c r="AW24" s="201">
        <f>'CCC-car.4'!AE67</f>
        <v>-31.558935923327795</v>
      </c>
      <c r="AX24" s="201">
        <f>'CCC-car.4'!AF67</f>
        <v>-91.962908249158275</v>
      </c>
      <c r="AY24" s="339"/>
      <c r="AZ24" s="206">
        <f t="shared" si="4"/>
        <v>4.8125</v>
      </c>
      <c r="BA24" s="201">
        <f>'CCC-car.5'!AD67</f>
        <v>8.8125</v>
      </c>
      <c r="BB24" s="201">
        <f>'CCC-car.5'!AE67</f>
        <v>-21.621158145549884</v>
      </c>
      <c r="BC24" s="201">
        <f>'CCC-car.5'!AF67</f>
        <v>-87.144591750841755</v>
      </c>
    </row>
    <row r="25" spans="2:56" ht="12" customHeight="1" x14ac:dyDescent="0.2">
      <c r="B25" s="333"/>
      <c r="C25" s="333"/>
      <c r="D25" s="333"/>
      <c r="E25" s="333"/>
      <c r="G25" s="333"/>
      <c r="H25" s="333"/>
      <c r="I25" s="333"/>
      <c r="J25" s="333"/>
      <c r="AE25" s="339"/>
      <c r="AF25" s="207">
        <f t="shared" si="6"/>
        <v>5.5</v>
      </c>
      <c r="AG25" s="204">
        <f>'CCC-car.1'!AD68</f>
        <v>9.5</v>
      </c>
      <c r="AH25" s="204">
        <f>'CCC-car.1'!AE68</f>
        <v>-102.07022959183678</v>
      </c>
      <c r="AI25" s="204">
        <f>'CCC-car.1'!AF68</f>
        <v>-119.40500000000002</v>
      </c>
      <c r="AJ25" s="339"/>
      <c r="AK25" s="207">
        <f t="shared" si="1"/>
        <v>5.5</v>
      </c>
      <c r="AL25" s="204">
        <f>'CCC-car.2'!AD68</f>
        <v>9.5</v>
      </c>
      <c r="AM25" s="204">
        <f>'CCC-car.2'!AE68</f>
        <v>-94.769005102040865</v>
      </c>
      <c r="AN25" s="204">
        <f>'CCC-car.2'!AF68</f>
        <v>-119.40500000000002</v>
      </c>
      <c r="AO25" s="339"/>
      <c r="AP25" s="207">
        <f t="shared" si="2"/>
        <v>5.5</v>
      </c>
      <c r="AQ25" s="204">
        <f>'CCC-car.3'!AD68</f>
        <v>9.5</v>
      </c>
      <c r="AR25" s="204">
        <f>'CCC-car.3'!AE68</f>
        <v>-83.089897959183759</v>
      </c>
      <c r="AS25" s="204">
        <f>'CCC-car.3'!AF68</f>
        <v>-88.659999999999982</v>
      </c>
      <c r="AT25" s="339"/>
      <c r="AU25" s="207">
        <f t="shared" si="3"/>
        <v>5.5</v>
      </c>
      <c r="AV25" s="204">
        <f>'CCC-car.4'!AD68</f>
        <v>9.5</v>
      </c>
      <c r="AW25" s="204">
        <f>'CCC-car.4'!AE68</f>
        <v>-105.04480253212409</v>
      </c>
      <c r="AX25" s="204">
        <f>'CCC-car.4'!AF68</f>
        <v>-121.81415824915827</v>
      </c>
      <c r="AY25" s="339"/>
      <c r="AZ25" s="207">
        <f t="shared" si="4"/>
        <v>5.5</v>
      </c>
      <c r="BA25" s="204">
        <f>'CCC-car.5'!AD68</f>
        <v>9.5</v>
      </c>
      <c r="BB25" s="204">
        <f>'CCC-car.5'!AE68</f>
        <v>-91.794432161753662</v>
      </c>
      <c r="BC25" s="204">
        <f>'CCC-car.5'!AF68</f>
        <v>-116.99584175084175</v>
      </c>
    </row>
    <row r="26" spans="2:56" ht="12" customHeight="1" x14ac:dyDescent="0.2">
      <c r="B26" s="12" t="s">
        <v>49</v>
      </c>
      <c r="C26" s="333" t="s">
        <v>446</v>
      </c>
      <c r="D26" s="278">
        <v>0</v>
      </c>
      <c r="E26" s="278">
        <f>((1.9)*1.3+(3.59)*1.5+2*1.5)*4.75</f>
        <v>51.561250000000001</v>
      </c>
      <c r="F26" s="278">
        <f t="shared" ref="E26:G30" si="7">((1.9)*1.3+(3.59)*1.5+2*1.5)*4.75</f>
        <v>51.561250000000001</v>
      </c>
      <c r="G26" s="278">
        <f t="shared" si="7"/>
        <v>51.561250000000001</v>
      </c>
      <c r="H26" s="278">
        <v>0</v>
      </c>
      <c r="AE26" s="338" t="s">
        <v>88</v>
      </c>
      <c r="AF26" s="205">
        <f t="shared" ref="AF26:AF34" si="8">AG26-$AG$25</f>
        <v>0</v>
      </c>
      <c r="AG26" s="203">
        <f>'CCC-car.1'!AD69</f>
        <v>9.5</v>
      </c>
      <c r="AH26" s="203">
        <f>'CCC-car.1'!AE69</f>
        <v>-102.07022959183672</v>
      </c>
      <c r="AI26" s="203">
        <f>'CCC-car.1'!AF69</f>
        <v>112.35755739795918</v>
      </c>
      <c r="AJ26" s="338" t="s">
        <v>88</v>
      </c>
      <c r="AK26" s="205">
        <f t="shared" si="1"/>
        <v>0</v>
      </c>
      <c r="AL26" s="203">
        <f>'CCC-car.2'!AD69</f>
        <v>9.5</v>
      </c>
      <c r="AM26" s="203">
        <f>'CCC-car.2'!AE69</f>
        <v>-94.769005102040808</v>
      </c>
      <c r="AN26" s="203">
        <f>'CCC-car.2'!AF69</f>
        <v>88.172251275510192</v>
      </c>
      <c r="AO26" s="338" t="s">
        <v>88</v>
      </c>
      <c r="AP26" s="205">
        <f t="shared" si="2"/>
        <v>0</v>
      </c>
      <c r="AQ26" s="203">
        <f>'CCC-car.3'!AD69</f>
        <v>9.5</v>
      </c>
      <c r="AR26" s="203">
        <f>'CCC-car.3'!AE69</f>
        <v>-83.089897959183673</v>
      </c>
      <c r="AS26" s="203">
        <f>'CCC-car.3'!AF69</f>
        <v>107.61247448979591</v>
      </c>
      <c r="AT26" s="338" t="s">
        <v>88</v>
      </c>
      <c r="AU26" s="205">
        <f t="shared" si="3"/>
        <v>0</v>
      </c>
      <c r="AV26" s="203">
        <f>'CCC-car.4'!AD69</f>
        <v>9.5</v>
      </c>
      <c r="AW26" s="203">
        <f>'CCC-car.4'!AE69</f>
        <v>-105.04480253212395</v>
      </c>
      <c r="AX26" s="203">
        <f>'CCC-car.4'!AF69</f>
        <v>113.101200633031</v>
      </c>
      <c r="AY26" s="338" t="s">
        <v>88</v>
      </c>
      <c r="AZ26" s="205">
        <f t="shared" si="4"/>
        <v>0</v>
      </c>
      <c r="BA26" s="203">
        <f>'CCC-car.5'!AD69</f>
        <v>9.5</v>
      </c>
      <c r="BB26" s="203">
        <f>'CCC-car.5'!AE69</f>
        <v>-91.794432161753576</v>
      </c>
      <c r="BC26" s="203">
        <f>'CCC-car.5'!AF69</f>
        <v>87.428608040438377</v>
      </c>
    </row>
    <row r="27" spans="2:56" x14ac:dyDescent="0.2">
      <c r="B27" s="12" t="s">
        <v>50</v>
      </c>
      <c r="C27" s="333" t="s">
        <v>446</v>
      </c>
      <c r="D27" s="278">
        <v>0</v>
      </c>
      <c r="E27" s="278">
        <f>((1.9)*1.3+(3.59)*1+2*1)*4.75</f>
        <v>38.284999999999997</v>
      </c>
      <c r="F27" s="278">
        <f t="shared" si="7"/>
        <v>51.561250000000001</v>
      </c>
      <c r="G27" s="278">
        <f>((1.9)*1.3+(3.59)*1+2*1)*4.75</f>
        <v>38.284999999999997</v>
      </c>
      <c r="H27" s="278">
        <v>0</v>
      </c>
      <c r="AE27" s="338"/>
      <c r="AF27" s="206">
        <f t="shared" si="8"/>
        <v>0.5</v>
      </c>
      <c r="AG27" s="201">
        <f>'CCC-car.1'!AD70</f>
        <v>10</v>
      </c>
      <c r="AH27" s="201">
        <f>'CCC-car.1'!AE70</f>
        <v>-51.318950892857124</v>
      </c>
      <c r="AI27" s="201">
        <f>'CCC-car.1'!AF70</f>
        <v>90.64755739795919</v>
      </c>
      <c r="AJ27" s="338"/>
      <c r="AK27" s="206">
        <f t="shared" si="1"/>
        <v>0.5</v>
      </c>
      <c r="AL27" s="201">
        <f>'CCC-car.2'!AD70</f>
        <v>10</v>
      </c>
      <c r="AM27" s="201">
        <f>'CCC-car.2'!AE70</f>
        <v>-54.712879464285713</v>
      </c>
      <c r="AN27" s="201">
        <f>'CCC-car.2'!AF70</f>
        <v>72.052251275510201</v>
      </c>
      <c r="AO27" s="338"/>
      <c r="AP27" s="206">
        <f t="shared" si="2"/>
        <v>0.5</v>
      </c>
      <c r="AQ27" s="201">
        <f>'CCC-car.3'!AD70</f>
        <v>10</v>
      </c>
      <c r="AR27" s="201">
        <f>'CCC-car.3'!AE70</f>
        <v>-34.711160714285711</v>
      </c>
      <c r="AS27" s="201">
        <f>'CCC-car.3'!AF70</f>
        <v>85.902474489795907</v>
      </c>
      <c r="AT27" s="338"/>
      <c r="AU27" s="206">
        <f t="shared" si="3"/>
        <v>0.5</v>
      </c>
      <c r="AV27" s="201">
        <f>'CCC-car.4'!AD70</f>
        <v>10</v>
      </c>
      <c r="AW27" s="201">
        <f>'CCC-car.4'!AE70</f>
        <v>-53.921702215608448</v>
      </c>
      <c r="AX27" s="201">
        <f>'CCC-car.4'!AF70</f>
        <v>91.391200633030991</v>
      </c>
      <c r="AY27" s="338"/>
      <c r="AZ27" s="206">
        <f t="shared" si="4"/>
        <v>0.5</v>
      </c>
      <c r="BA27" s="201">
        <f>'CCC-car.5'!AD70</f>
        <v>10</v>
      </c>
      <c r="BB27" s="201">
        <f>'CCC-car.5'!AE70</f>
        <v>-52.110128141534389</v>
      </c>
      <c r="BC27" s="201">
        <f>'CCC-car.5'!AF70</f>
        <v>71.308608040438372</v>
      </c>
    </row>
    <row r="28" spans="2:56" s="333" customFormat="1" x14ac:dyDescent="0.2">
      <c r="B28" s="12" t="s">
        <v>51</v>
      </c>
      <c r="C28" s="333" t="s">
        <v>446</v>
      </c>
      <c r="D28" s="278">
        <v>0</v>
      </c>
      <c r="E28" s="278">
        <f t="shared" si="7"/>
        <v>51.561250000000001</v>
      </c>
      <c r="F28" s="278">
        <f>((1.9)*1.3+(3.59)*1+2*1)*4.75</f>
        <v>38.284999999999997</v>
      </c>
      <c r="G28" s="278">
        <f t="shared" si="7"/>
        <v>51.561250000000001</v>
      </c>
      <c r="H28" s="278">
        <v>0</v>
      </c>
      <c r="I28" s="1"/>
      <c r="J28" s="1"/>
      <c r="AE28" s="338"/>
      <c r="AF28" s="206">
        <f t="shared" si="8"/>
        <v>1</v>
      </c>
      <c r="AG28" s="201">
        <f>'CCC-car.1'!AD71</f>
        <v>10.5</v>
      </c>
      <c r="AH28" s="201">
        <f>'CCC-car.1'!AE71</f>
        <v>-11.422672193877546</v>
      </c>
      <c r="AI28" s="201">
        <f>'CCC-car.1'!AF71</f>
        <v>68.937557397959182</v>
      </c>
      <c r="AJ28" s="338"/>
      <c r="AK28" s="206">
        <f t="shared" si="1"/>
        <v>1</v>
      </c>
      <c r="AL28" s="201">
        <f>'CCC-car.2'!AD71</f>
        <v>10.5</v>
      </c>
      <c r="AM28" s="201">
        <f>'CCC-car.2'!AE71</f>
        <v>-22.716753826530621</v>
      </c>
      <c r="AN28" s="201">
        <f>'CCC-car.2'!AF71</f>
        <v>55.932251275510197</v>
      </c>
      <c r="AO28" s="338"/>
      <c r="AP28" s="206">
        <f t="shared" si="2"/>
        <v>1</v>
      </c>
      <c r="AQ28" s="201">
        <f>'CCC-car.3'!AD71</f>
        <v>10.5</v>
      </c>
      <c r="AR28" s="201">
        <f>'CCC-car.3'!AE71</f>
        <v>2.8125765306122332</v>
      </c>
      <c r="AS28" s="201">
        <f>'CCC-car.3'!AF71</f>
        <v>64.192474489795913</v>
      </c>
      <c r="AT28" s="338"/>
      <c r="AU28" s="206">
        <f t="shared" si="3"/>
        <v>1</v>
      </c>
      <c r="AV28" s="201">
        <f>'CCC-car.4'!AD71</f>
        <v>10.5</v>
      </c>
      <c r="AW28" s="201">
        <f>'CCC-car.4'!AE71</f>
        <v>-13.653601899092962</v>
      </c>
      <c r="AX28" s="201">
        <f>'CCC-car.4'!AF71</f>
        <v>69.681200633030997</v>
      </c>
      <c r="AY28" s="338"/>
      <c r="AZ28" s="206">
        <f t="shared" si="4"/>
        <v>1</v>
      </c>
      <c r="BA28" s="201">
        <f>'CCC-car.5'!AD71</f>
        <v>10.5</v>
      </c>
      <c r="BB28" s="201">
        <f>'CCC-car.5'!AE71</f>
        <v>-20.485824121315204</v>
      </c>
      <c r="BC28" s="201">
        <f>'CCC-car.5'!AF71</f>
        <v>55.188608040438382</v>
      </c>
    </row>
    <row r="29" spans="2:56" s="333" customFormat="1" x14ac:dyDescent="0.2">
      <c r="B29" s="12" t="s">
        <v>52</v>
      </c>
      <c r="C29" s="333" t="s">
        <v>446</v>
      </c>
      <c r="D29" s="278">
        <v>0</v>
      </c>
      <c r="E29" s="278">
        <f>((1.9)*1.3+(3.59)*1+2*1)*4.75</f>
        <v>38.284999999999997</v>
      </c>
      <c r="F29" s="278">
        <f t="shared" si="7"/>
        <v>51.561250000000001</v>
      </c>
      <c r="G29" s="278">
        <f t="shared" si="7"/>
        <v>51.561250000000001</v>
      </c>
      <c r="H29" s="278">
        <v>0</v>
      </c>
      <c r="I29" s="1">
        <v>1</v>
      </c>
      <c r="J29" s="1"/>
      <c r="AE29" s="338"/>
      <c r="AF29" s="206">
        <f t="shared" si="8"/>
        <v>1.5</v>
      </c>
      <c r="AG29" s="201">
        <f>'CCC-car.1'!AD72</f>
        <v>11</v>
      </c>
      <c r="AH29" s="201">
        <f>'CCC-car.1'!AE72</f>
        <v>17.618606505102065</v>
      </c>
      <c r="AI29" s="201">
        <f>'CCC-car.1'!AF72</f>
        <v>47.227557397959188</v>
      </c>
      <c r="AJ29" s="338"/>
      <c r="AK29" s="206">
        <f t="shared" si="1"/>
        <v>1.5</v>
      </c>
      <c r="AL29" s="201">
        <f>'CCC-car.2'!AD72</f>
        <v>11</v>
      </c>
      <c r="AM29" s="201">
        <f>'CCC-car.2'!AE72</f>
        <v>1.2193718112245051</v>
      </c>
      <c r="AN29" s="201">
        <f>'CCC-car.2'!AF72</f>
        <v>39.812251275510199</v>
      </c>
      <c r="AO29" s="338"/>
      <c r="AP29" s="206">
        <f t="shared" si="2"/>
        <v>1.5</v>
      </c>
      <c r="AQ29" s="201">
        <f>'CCC-car.3'!AD72</f>
        <v>11</v>
      </c>
      <c r="AR29" s="201">
        <f>'CCC-car.3'!AE72</f>
        <v>29.481313775510216</v>
      </c>
      <c r="AS29" s="201">
        <f>'CCC-car.3'!AF72</f>
        <v>42.482474489795919</v>
      </c>
      <c r="AT29" s="338"/>
      <c r="AU29" s="206">
        <f t="shared" si="3"/>
        <v>1.5</v>
      </c>
      <c r="AV29" s="201">
        <f>'CCC-car.4'!AD72</f>
        <v>11</v>
      </c>
      <c r="AW29" s="201">
        <f>'CCC-car.4'!AE72</f>
        <v>15.759498417422549</v>
      </c>
      <c r="AX29" s="201">
        <f>'CCC-car.4'!AF72</f>
        <v>47.971200633031003</v>
      </c>
      <c r="AY29" s="338"/>
      <c r="AZ29" s="206">
        <f t="shared" si="4"/>
        <v>1.5</v>
      </c>
      <c r="BA29" s="201">
        <f>'CCC-car.5'!AD72</f>
        <v>11</v>
      </c>
      <c r="BB29" s="201">
        <f>'CCC-car.5'!AE72</f>
        <v>3.0784798989039928</v>
      </c>
      <c r="BC29" s="201">
        <f>'CCC-car.5'!AF72</f>
        <v>39.068608040438384</v>
      </c>
    </row>
    <row r="30" spans="2:56" x14ac:dyDescent="0.2">
      <c r="B30" s="12" t="s">
        <v>53</v>
      </c>
      <c r="C30" s="333" t="s">
        <v>446</v>
      </c>
      <c r="D30" s="278">
        <v>0</v>
      </c>
      <c r="E30" s="278">
        <f t="shared" si="7"/>
        <v>51.561250000000001</v>
      </c>
      <c r="F30" s="278">
        <f t="shared" si="7"/>
        <v>51.561250000000001</v>
      </c>
      <c r="G30" s="278">
        <f>((1.9)*1.3+(3.59)*1+2*1)*4.75</f>
        <v>38.284999999999997</v>
      </c>
      <c r="H30" s="278">
        <v>0</v>
      </c>
      <c r="AE30" s="338"/>
      <c r="AF30" s="206">
        <f t="shared" si="8"/>
        <v>2</v>
      </c>
      <c r="AG30" s="201">
        <f>'CCC-car.1'!AD73</f>
        <v>11.5</v>
      </c>
      <c r="AH30" s="201">
        <f>'CCC-car.1'!AE73</f>
        <v>35.804885204081643</v>
      </c>
      <c r="AI30" s="201">
        <f>'CCC-car.1'!AF73</f>
        <v>25.51755739795918</v>
      </c>
      <c r="AJ30" s="338"/>
      <c r="AK30" s="206">
        <f t="shared" si="1"/>
        <v>2</v>
      </c>
      <c r="AL30" s="201">
        <f>'CCC-car.2'!AD73</f>
        <v>11.5</v>
      </c>
      <c r="AM30" s="201">
        <f>'CCC-car.2'!AE73</f>
        <v>17.095497448979586</v>
      </c>
      <c r="AN30" s="201">
        <f>'CCC-car.2'!AF73</f>
        <v>23.692251275510202</v>
      </c>
      <c r="AO30" s="338"/>
      <c r="AP30" s="206">
        <f t="shared" si="2"/>
        <v>2</v>
      </c>
      <c r="AQ30" s="201">
        <f>'CCC-car.3'!AD73</f>
        <v>11.5</v>
      </c>
      <c r="AR30" s="201">
        <f>'CCC-car.3'!AE73</f>
        <v>45.295051020408152</v>
      </c>
      <c r="AS30" s="201">
        <f>'CCC-car.3'!AF73</f>
        <v>20.772474489795911</v>
      </c>
      <c r="AT30" s="338"/>
      <c r="AU30" s="206">
        <f t="shared" si="3"/>
        <v>2</v>
      </c>
      <c r="AV30" s="201">
        <f>'CCC-car.4'!AD73</f>
        <v>11.5</v>
      </c>
      <c r="AW30" s="201">
        <f>'CCC-car.4'!AE73</f>
        <v>34.317598733938041</v>
      </c>
      <c r="AX30" s="201">
        <f>'CCC-car.4'!AF73</f>
        <v>26.261200633030995</v>
      </c>
      <c r="AY30" s="338"/>
      <c r="AZ30" s="206">
        <f t="shared" si="4"/>
        <v>2</v>
      </c>
      <c r="BA30" s="201">
        <f>'CCC-car.5'!AD73</f>
        <v>11.5</v>
      </c>
      <c r="BB30" s="201">
        <f>'CCC-car.5'!AE73</f>
        <v>18.582783919123187</v>
      </c>
      <c r="BC30" s="201">
        <f>'CCC-car.5'!AF73</f>
        <v>22.948608040438387</v>
      </c>
    </row>
    <row r="31" spans="2:56" x14ac:dyDescent="0.2">
      <c r="AE31" s="338"/>
      <c r="AF31" s="206">
        <f t="shared" si="8"/>
        <v>2.5</v>
      </c>
      <c r="AG31" s="201">
        <f>'CCC-car.1'!AD74</f>
        <v>12</v>
      </c>
      <c r="AH31" s="201">
        <f>'CCC-car.1'!AE74</f>
        <v>43.136163903061231</v>
      </c>
      <c r="AI31" s="201">
        <f>'CCC-car.1'!AF74</f>
        <v>3.8075573979591724</v>
      </c>
      <c r="AJ31" s="338"/>
      <c r="AK31" s="206">
        <f t="shared" si="1"/>
        <v>2.5</v>
      </c>
      <c r="AL31" s="201">
        <f>'CCC-car.2'!AD74</f>
        <v>12</v>
      </c>
      <c r="AM31" s="201">
        <f>'CCC-car.2'!AE74</f>
        <v>24.911623086734664</v>
      </c>
      <c r="AN31" s="201">
        <f>'CCC-car.2'!AF74</f>
        <v>7.5722512755101974</v>
      </c>
      <c r="AO31" s="338"/>
      <c r="AP31" s="206">
        <f t="shared" si="2"/>
        <v>2.5</v>
      </c>
      <c r="AQ31" s="201">
        <f>'CCC-car.3'!AD74</f>
        <v>12</v>
      </c>
      <c r="AR31" s="201">
        <f>'CCC-car.3'!AE74</f>
        <v>50.253788265306099</v>
      </c>
      <c r="AS31" s="201">
        <f>'CCC-car.3'!AF74</f>
        <v>-0.93752551020409669</v>
      </c>
      <c r="AT31" s="338"/>
      <c r="AU31" s="206">
        <f t="shared" si="3"/>
        <v>2.5</v>
      </c>
      <c r="AV31" s="201">
        <f>'CCC-car.4'!AD74</f>
        <v>12</v>
      </c>
      <c r="AW31" s="201">
        <f>'CCC-car.4'!AE74</f>
        <v>42.020699050453544</v>
      </c>
      <c r="AX31" s="201">
        <f>'CCC-car.4'!AF74</f>
        <v>4.5512006330309873</v>
      </c>
      <c r="AY31" s="338"/>
      <c r="AZ31" s="206">
        <f t="shared" si="4"/>
        <v>2.5</v>
      </c>
      <c r="BA31" s="201">
        <f>'CCC-car.5'!AD74</f>
        <v>12</v>
      </c>
      <c r="BB31" s="201">
        <f>'CCC-car.5'!AE74</f>
        <v>26.02708793934238</v>
      </c>
      <c r="BC31" s="201">
        <f>'CCC-car.5'!AF74</f>
        <v>6.8286080404383824</v>
      </c>
    </row>
    <row r="32" spans="2:56" x14ac:dyDescent="0.2">
      <c r="AE32" s="338"/>
      <c r="AF32" s="206">
        <f t="shared" si="8"/>
        <v>3</v>
      </c>
      <c r="AG32" s="201">
        <f>'CCC-car.1'!AD75</f>
        <v>12.5</v>
      </c>
      <c r="AH32" s="201">
        <f>'CCC-car.1'!AE75</f>
        <v>39.612442602040801</v>
      </c>
      <c r="AI32" s="201">
        <f>'CCC-car.1'!AF75</f>
        <v>-17.902442602040807</v>
      </c>
      <c r="AJ32" s="338"/>
      <c r="AK32" s="206">
        <f t="shared" si="1"/>
        <v>3</v>
      </c>
      <c r="AL32" s="201">
        <f>'CCC-car.2'!AD75</f>
        <v>12.5</v>
      </c>
      <c r="AM32" s="201">
        <f>'CCC-car.2'!AE75</f>
        <v>24.667748724489797</v>
      </c>
      <c r="AN32" s="201">
        <f>'CCC-car.2'!AF75</f>
        <v>-8.5477487244897929</v>
      </c>
      <c r="AO32" s="338"/>
      <c r="AP32" s="206">
        <f t="shared" si="2"/>
        <v>3</v>
      </c>
      <c r="AQ32" s="201">
        <f>'CCC-car.3'!AD75</f>
        <v>12.5</v>
      </c>
      <c r="AR32" s="201">
        <f>'CCC-car.3'!AE75</f>
        <v>44.357525510204084</v>
      </c>
      <c r="AS32" s="201">
        <f>'CCC-car.3'!AF75</f>
        <v>-22.647525510204076</v>
      </c>
      <c r="AT32" s="338"/>
      <c r="AU32" s="206">
        <f t="shared" si="3"/>
        <v>3</v>
      </c>
      <c r="AV32" s="201">
        <f>'CCC-car.4'!AD75</f>
        <v>12.5</v>
      </c>
      <c r="AW32" s="201">
        <f>'CCC-car.4'!AE75</f>
        <v>38.868799366969029</v>
      </c>
      <c r="AX32" s="201">
        <f>'CCC-car.4'!AF75</f>
        <v>-17.158799366968992</v>
      </c>
      <c r="AY32" s="338"/>
      <c r="AZ32" s="206">
        <f t="shared" si="4"/>
        <v>3</v>
      </c>
      <c r="BA32" s="201">
        <f>'CCC-car.5'!AD75</f>
        <v>12.5</v>
      </c>
      <c r="BB32" s="201">
        <f>'CCC-car.5'!AE75</f>
        <v>25.411391959561598</v>
      </c>
      <c r="BC32" s="201">
        <f>'CCC-car.5'!AF75</f>
        <v>-9.2913919595616079</v>
      </c>
    </row>
    <row r="33" spans="22:55" x14ac:dyDescent="0.2">
      <c r="AE33" s="338"/>
      <c r="AF33" s="206">
        <f t="shared" si="8"/>
        <v>3.5</v>
      </c>
      <c r="AG33" s="201">
        <f>'CCC-car.1'!AD76</f>
        <v>13</v>
      </c>
      <c r="AH33" s="201">
        <f>'CCC-car.1'!AE76</f>
        <v>25.23372130102041</v>
      </c>
      <c r="AI33" s="201">
        <f>'CCC-car.1'!AF76</f>
        <v>-39.612442602040815</v>
      </c>
      <c r="AJ33" s="338"/>
      <c r="AK33" s="206">
        <f t="shared" si="1"/>
        <v>3.5</v>
      </c>
      <c r="AL33" s="201">
        <f>'CCC-car.2'!AD76</f>
        <v>13</v>
      </c>
      <c r="AM33" s="201">
        <f>'CCC-car.2'!AE76</f>
        <v>16.363874362244871</v>
      </c>
      <c r="AN33" s="201">
        <f>'CCC-car.2'!AF76</f>
        <v>-24.667748724489783</v>
      </c>
      <c r="AO33" s="338"/>
      <c r="AP33" s="206">
        <f t="shared" si="2"/>
        <v>3.5</v>
      </c>
      <c r="AQ33" s="201">
        <f>'CCC-car.3'!AD76</f>
        <v>13</v>
      </c>
      <c r="AR33" s="201">
        <f>'CCC-car.3'!AE76</f>
        <v>27.60626275510208</v>
      </c>
      <c r="AS33" s="201">
        <f>'CCC-car.3'!AF76</f>
        <v>-44.357525510204084</v>
      </c>
      <c r="AT33" s="338"/>
      <c r="AU33" s="206">
        <f t="shared" si="3"/>
        <v>3.5</v>
      </c>
      <c r="AV33" s="201">
        <f>'CCC-car.4'!AD76</f>
        <v>13</v>
      </c>
      <c r="AW33" s="201">
        <f>'CCC-car.4'!AE76</f>
        <v>24.861899683484523</v>
      </c>
      <c r="AX33" s="201">
        <f>'CCC-car.4'!AF76</f>
        <v>-38.868799366969</v>
      </c>
      <c r="AY33" s="338"/>
      <c r="AZ33" s="206">
        <f t="shared" si="4"/>
        <v>3.5</v>
      </c>
      <c r="BA33" s="201">
        <f>'CCC-car.5'!AD76</f>
        <v>13</v>
      </c>
      <c r="BB33" s="201">
        <f>'CCC-car.5'!AE76</f>
        <v>16.735695979780758</v>
      </c>
      <c r="BC33" s="201">
        <f>'CCC-car.5'!AF76</f>
        <v>-25.411391959561598</v>
      </c>
    </row>
    <row r="34" spans="22:55" ht="12" customHeight="1" x14ac:dyDescent="0.2">
      <c r="AE34" s="338"/>
      <c r="AF34" s="208">
        <f t="shared" si="8"/>
        <v>4</v>
      </c>
      <c r="AG34" s="209">
        <f>'CCC-car.1'!AD77</f>
        <v>13.5</v>
      </c>
      <c r="AH34" s="209">
        <f>'CCC-car.1'!AE77</f>
        <v>0</v>
      </c>
      <c r="AI34" s="209">
        <f>'CCC-car.1'!AF77</f>
        <v>-61.322442602040823</v>
      </c>
      <c r="AJ34" s="338"/>
      <c r="AK34" s="208">
        <f t="shared" si="1"/>
        <v>4</v>
      </c>
      <c r="AL34" s="209">
        <f>'CCC-car.2'!AD77</f>
        <v>13.5</v>
      </c>
      <c r="AM34" s="209">
        <f>'CCC-car.2'!AE77</f>
        <v>0</v>
      </c>
      <c r="AN34" s="209">
        <f>'CCC-car.2'!AF77</f>
        <v>-40.787748724489788</v>
      </c>
      <c r="AO34" s="338"/>
      <c r="AP34" s="208">
        <f t="shared" si="2"/>
        <v>4</v>
      </c>
      <c r="AQ34" s="209">
        <f>'CCC-car.3'!AD77</f>
        <v>13.5</v>
      </c>
      <c r="AR34" s="209">
        <f>'CCC-car.3'!AE77</f>
        <v>0</v>
      </c>
      <c r="AS34" s="209">
        <f>'CCC-car.3'!AF77</f>
        <v>-66.067525510204092</v>
      </c>
      <c r="AT34" s="338"/>
      <c r="AU34" s="208">
        <f t="shared" si="3"/>
        <v>4</v>
      </c>
      <c r="AV34" s="209">
        <f>'CCC-car.4'!AD77</f>
        <v>13.5</v>
      </c>
      <c r="AW34" s="209">
        <f>'CCC-car.4'!AE77</f>
        <v>0</v>
      </c>
      <c r="AX34" s="209">
        <f>'CCC-car.4'!AF77</f>
        <v>-60.578799366969008</v>
      </c>
      <c r="AY34" s="338"/>
      <c r="AZ34" s="208">
        <f t="shared" si="4"/>
        <v>4</v>
      </c>
      <c r="BA34" s="209">
        <f>'CCC-car.5'!AD77</f>
        <v>13.5</v>
      </c>
      <c r="BB34" s="209">
        <f>'CCC-car.5'!AE77</f>
        <v>0</v>
      </c>
      <c r="BC34" s="209">
        <f>'CCC-car.5'!AF77</f>
        <v>-41.531391959561603</v>
      </c>
    </row>
    <row r="35" spans="22:55" ht="12" customHeight="1" x14ac:dyDescent="0.2">
      <c r="AE35" s="339" t="s">
        <v>57</v>
      </c>
      <c r="AF35" s="205">
        <f>AG35-$AG$34</f>
        <v>0</v>
      </c>
      <c r="AG35" s="203">
        <f>'CCC-car.1'!AD78</f>
        <v>13.5</v>
      </c>
      <c r="AH35" s="203">
        <f>'CCC-car.1'!AE78</f>
        <v>0</v>
      </c>
      <c r="AI35" s="203">
        <f>'CCC-car.1'!AF78</f>
        <v>0</v>
      </c>
      <c r="AJ35" s="339" t="s">
        <v>57</v>
      </c>
      <c r="AK35" s="205">
        <f t="shared" si="1"/>
        <v>0</v>
      </c>
      <c r="AL35" s="203">
        <f>'CCC-car.2'!AD78</f>
        <v>13.5</v>
      </c>
      <c r="AM35" s="203">
        <f>'CCC-car.2'!AE78</f>
        <v>0</v>
      </c>
      <c r="AN35" s="203">
        <f>'CCC-car.2'!AF78</f>
        <v>0</v>
      </c>
      <c r="AO35" s="339" t="s">
        <v>57</v>
      </c>
      <c r="AP35" s="205">
        <f t="shared" si="2"/>
        <v>0</v>
      </c>
      <c r="AQ35" s="203">
        <f>'CCC-car.3'!AD78</f>
        <v>13.5</v>
      </c>
      <c r="AR35" s="203">
        <f>'CCC-car.3'!AE78</f>
        <v>0</v>
      </c>
      <c r="AS35" s="203">
        <f>'CCC-car.3'!AF78</f>
        <v>0</v>
      </c>
      <c r="AT35" s="339" t="s">
        <v>57</v>
      </c>
      <c r="AU35" s="205">
        <f t="shared" si="3"/>
        <v>0</v>
      </c>
      <c r="AV35" s="203">
        <f>'CCC-car.4'!AD78</f>
        <v>13.5</v>
      </c>
      <c r="AW35" s="203">
        <f>'CCC-car.4'!AE78</f>
        <v>0</v>
      </c>
      <c r="AX35" s="203">
        <f>'CCC-car.4'!AF78</f>
        <v>0</v>
      </c>
      <c r="AY35" s="339" t="s">
        <v>57</v>
      </c>
      <c r="AZ35" s="205">
        <f t="shared" si="4"/>
        <v>0</v>
      </c>
      <c r="BA35" s="203">
        <f>'CCC-car.5'!AD78</f>
        <v>13.5</v>
      </c>
      <c r="BB35" s="203">
        <f>'CCC-car.5'!AE78</f>
        <v>0</v>
      </c>
      <c r="BC35" s="203">
        <f>'CCC-car.5'!AF78</f>
        <v>0</v>
      </c>
    </row>
    <row r="36" spans="22:55" x14ac:dyDescent="0.2">
      <c r="AE36" s="339"/>
      <c r="AF36" s="206">
        <f t="shared" ref="AF36:AF38" si="9">AG36-$AG$34</f>
        <v>0</v>
      </c>
      <c r="AG36" s="201">
        <f>'CCC-car.1'!AD79</f>
        <v>13.5</v>
      </c>
      <c r="AH36" s="201">
        <f>'CCC-car.1'!AE79</f>
        <v>0</v>
      </c>
      <c r="AI36" s="201">
        <f>'CCC-car.1'!AF79</f>
        <v>0</v>
      </c>
      <c r="AJ36" s="339"/>
      <c r="AK36" s="206">
        <f t="shared" si="1"/>
        <v>0</v>
      </c>
      <c r="AL36" s="201">
        <f>'CCC-car.2'!AD79</f>
        <v>13.5</v>
      </c>
      <c r="AM36" s="201">
        <f>'CCC-car.2'!AE79</f>
        <v>0</v>
      </c>
      <c r="AN36" s="201">
        <f>'CCC-car.2'!AF79</f>
        <v>0</v>
      </c>
      <c r="AO36" s="339"/>
      <c r="AP36" s="206">
        <f t="shared" si="2"/>
        <v>0</v>
      </c>
      <c r="AQ36" s="201">
        <f>'CCC-car.3'!AD79</f>
        <v>13.5</v>
      </c>
      <c r="AR36" s="201">
        <f>'CCC-car.3'!AE79</f>
        <v>0</v>
      </c>
      <c r="AS36" s="201">
        <f>'CCC-car.3'!AF79</f>
        <v>0</v>
      </c>
      <c r="AT36" s="339"/>
      <c r="AU36" s="206">
        <f t="shared" si="3"/>
        <v>0</v>
      </c>
      <c r="AV36" s="201">
        <f>'CCC-car.4'!AD79</f>
        <v>13.5</v>
      </c>
      <c r="AW36" s="201">
        <f>'CCC-car.4'!AE79</f>
        <v>0</v>
      </c>
      <c r="AX36" s="201">
        <f>'CCC-car.4'!AF79</f>
        <v>0</v>
      </c>
      <c r="AY36" s="339"/>
      <c r="AZ36" s="206">
        <f t="shared" si="4"/>
        <v>0</v>
      </c>
      <c r="BA36" s="201">
        <f>'CCC-car.5'!AD79</f>
        <v>13.5</v>
      </c>
      <c r="BB36" s="201">
        <f>'CCC-car.5'!AE79</f>
        <v>0</v>
      </c>
      <c r="BC36" s="201">
        <f>'CCC-car.5'!AF79</f>
        <v>0</v>
      </c>
    </row>
    <row r="37" spans="22:55" x14ac:dyDescent="0.2">
      <c r="AE37" s="339"/>
      <c r="AF37" s="206">
        <f t="shared" si="9"/>
        <v>0</v>
      </c>
      <c r="AG37" s="201">
        <f>'CCC-car.1'!AD80</f>
        <v>13.5</v>
      </c>
      <c r="AH37" s="201">
        <f>'CCC-car.1'!AE80</f>
        <v>0</v>
      </c>
      <c r="AI37" s="201">
        <f>'CCC-car.1'!AF80</f>
        <v>0</v>
      </c>
      <c r="AJ37" s="339"/>
      <c r="AK37" s="206">
        <f t="shared" si="1"/>
        <v>0</v>
      </c>
      <c r="AL37" s="201">
        <f>'CCC-car.2'!AD80</f>
        <v>13.5</v>
      </c>
      <c r="AM37" s="201">
        <f>'CCC-car.2'!AE80</f>
        <v>0</v>
      </c>
      <c r="AN37" s="201">
        <f>'CCC-car.2'!AF80</f>
        <v>0</v>
      </c>
      <c r="AO37" s="339"/>
      <c r="AP37" s="206">
        <f t="shared" si="2"/>
        <v>0</v>
      </c>
      <c r="AQ37" s="201">
        <f>'CCC-car.3'!AD80</f>
        <v>13.5</v>
      </c>
      <c r="AR37" s="201">
        <f>'CCC-car.3'!AE80</f>
        <v>0</v>
      </c>
      <c r="AS37" s="201">
        <f>'CCC-car.3'!AF80</f>
        <v>0</v>
      </c>
      <c r="AT37" s="339"/>
      <c r="AU37" s="206">
        <f t="shared" si="3"/>
        <v>0</v>
      </c>
      <c r="AV37" s="201">
        <f>'CCC-car.4'!AD80</f>
        <v>13.5</v>
      </c>
      <c r="AW37" s="201">
        <f>'CCC-car.4'!AE80</f>
        <v>0</v>
      </c>
      <c r="AX37" s="201">
        <f>'CCC-car.4'!AF80</f>
        <v>0</v>
      </c>
      <c r="AY37" s="339"/>
      <c r="AZ37" s="206">
        <f t="shared" si="4"/>
        <v>0</v>
      </c>
      <c r="BA37" s="201">
        <f>'CCC-car.5'!AD80</f>
        <v>13.5</v>
      </c>
      <c r="BB37" s="201">
        <f>'CCC-car.5'!AE80</f>
        <v>0</v>
      </c>
      <c r="BC37" s="201">
        <f>'CCC-car.5'!AF80</f>
        <v>0</v>
      </c>
    </row>
    <row r="38" spans="22:55" ht="15" customHeight="1" x14ac:dyDescent="0.2">
      <c r="V38" s="341" t="s">
        <v>66</v>
      </c>
      <c r="W38" s="341"/>
      <c r="X38" s="341"/>
      <c r="Y38" s="341"/>
      <c r="Z38" s="341"/>
      <c r="AA38" s="341"/>
      <c r="AB38" s="341"/>
      <c r="AC38" s="341"/>
      <c r="AD38" s="51"/>
      <c r="AE38" s="339"/>
      <c r="AF38" s="207">
        <f t="shared" si="9"/>
        <v>0</v>
      </c>
      <c r="AG38" s="204">
        <f>'CCC-car.1'!AD81</f>
        <v>13.5</v>
      </c>
      <c r="AH38" s="204">
        <f>'CCC-car.1'!AE81</f>
        <v>0</v>
      </c>
      <c r="AI38" s="204">
        <f>'CCC-car.1'!AF81</f>
        <v>0</v>
      </c>
      <c r="AJ38" s="339"/>
      <c r="AK38" s="207">
        <f t="shared" si="1"/>
        <v>0</v>
      </c>
      <c r="AL38" s="204">
        <f>'CCC-car.2'!AD81</f>
        <v>13.5</v>
      </c>
      <c r="AM38" s="204">
        <f>'CCC-car.2'!AE81</f>
        <v>0</v>
      </c>
      <c r="AN38" s="204">
        <f>'CCC-car.2'!AF81</f>
        <v>0</v>
      </c>
      <c r="AO38" s="339"/>
      <c r="AP38" s="207">
        <f t="shared" si="2"/>
        <v>0</v>
      </c>
      <c r="AQ38" s="204">
        <f>'CCC-car.3'!AD81</f>
        <v>13.5</v>
      </c>
      <c r="AR38" s="204">
        <f>'CCC-car.3'!AE81</f>
        <v>0</v>
      </c>
      <c r="AS38" s="204">
        <f>'CCC-car.3'!AF81</f>
        <v>0</v>
      </c>
      <c r="AT38" s="339"/>
      <c r="AU38" s="207">
        <f t="shared" si="3"/>
        <v>0</v>
      </c>
      <c r="AV38" s="204">
        <f>'CCC-car.4'!AD81</f>
        <v>13.5</v>
      </c>
      <c r="AW38" s="204">
        <f>'CCC-car.4'!AE81</f>
        <v>0</v>
      </c>
      <c r="AX38" s="204">
        <f>'CCC-car.4'!AF81</f>
        <v>0</v>
      </c>
      <c r="AY38" s="339"/>
      <c r="AZ38" s="207">
        <f t="shared" si="4"/>
        <v>0</v>
      </c>
      <c r="BA38" s="204">
        <f>'CCC-car.5'!AD81</f>
        <v>13.5</v>
      </c>
      <c r="BB38" s="204">
        <f>'CCC-car.5'!AE81</f>
        <v>0</v>
      </c>
      <c r="BC38" s="204">
        <f>'CCC-car.5'!AF81</f>
        <v>0</v>
      </c>
    </row>
    <row r="39" spans="22:55" x14ac:dyDescent="0.2">
      <c r="V39" s="43" t="s">
        <v>8</v>
      </c>
      <c r="W39" s="43" t="s">
        <v>9</v>
      </c>
      <c r="X39" s="43" t="s">
        <v>10</v>
      </c>
      <c r="Y39" s="43" t="s">
        <v>11</v>
      </c>
      <c r="Z39" s="43" t="s">
        <v>76</v>
      </c>
      <c r="AA39" s="43" t="s">
        <v>77</v>
      </c>
      <c r="AB39" s="43" t="s">
        <v>92</v>
      </c>
      <c r="AC39" s="43" t="s">
        <v>93</v>
      </c>
      <c r="AD39" s="3"/>
      <c r="AE39" s="52"/>
      <c r="AF39" s="15"/>
      <c r="AG39" s="11"/>
      <c r="AH39" s="11"/>
      <c r="AI39" s="11"/>
      <c r="AJ39" s="52"/>
      <c r="AK39" s="15"/>
      <c r="AL39" s="11"/>
      <c r="AM39" s="11"/>
      <c r="AN39" s="11"/>
      <c r="AO39" s="52"/>
      <c r="AP39" s="15"/>
      <c r="AQ39" s="11"/>
      <c r="AR39" s="11"/>
      <c r="AS39" s="11"/>
      <c r="AT39" s="52"/>
      <c r="AU39" s="15"/>
      <c r="AV39" s="11"/>
      <c r="AW39" s="11"/>
      <c r="AX39" s="11"/>
      <c r="AY39" s="52"/>
      <c r="AZ39" s="15"/>
      <c r="BA39" s="11"/>
      <c r="BB39" s="11"/>
      <c r="BC39" s="11"/>
    </row>
    <row r="40" spans="22:55" x14ac:dyDescent="0.2">
      <c r="V40" s="344" t="s">
        <v>67</v>
      </c>
      <c r="W40" s="344"/>
      <c r="X40" s="344"/>
      <c r="Y40" s="344"/>
      <c r="Z40" s="344"/>
      <c r="AA40" s="344"/>
      <c r="AB40" s="344"/>
      <c r="AC40" s="344"/>
      <c r="AD40" s="51"/>
      <c r="AE40" s="52"/>
      <c r="AF40" s="15"/>
      <c r="AG40" s="11"/>
      <c r="AH40" s="11"/>
      <c r="AI40" s="11"/>
      <c r="AJ40" s="52"/>
      <c r="AK40" s="15"/>
      <c r="AL40" s="11"/>
      <c r="AM40" s="11"/>
      <c r="AN40" s="11"/>
      <c r="AO40" s="52"/>
      <c r="AP40" s="15"/>
      <c r="AQ40" s="11"/>
      <c r="AR40" s="11"/>
      <c r="AS40" s="11"/>
      <c r="AT40" s="52"/>
      <c r="AU40" s="15"/>
      <c r="AV40" s="11"/>
      <c r="AW40" s="11"/>
      <c r="AX40" s="11"/>
      <c r="AY40" s="52"/>
      <c r="AZ40" s="15"/>
      <c r="BA40" s="11"/>
      <c r="BB40" s="11"/>
      <c r="BC40" s="11"/>
    </row>
    <row r="41" spans="22:55" x14ac:dyDescent="0.2">
      <c r="V41" s="2" t="s">
        <v>49</v>
      </c>
      <c r="AE41" s="52"/>
      <c r="AF41" s="15"/>
      <c r="AG41" s="11"/>
      <c r="AH41" s="11"/>
      <c r="AI41" s="11"/>
      <c r="AJ41" s="52"/>
      <c r="AK41" s="15"/>
      <c r="AL41" s="11"/>
      <c r="AM41" s="11"/>
      <c r="AN41" s="11"/>
      <c r="AO41" s="52"/>
      <c r="AP41" s="15"/>
      <c r="AQ41" s="11"/>
      <c r="AR41" s="11"/>
      <c r="AS41" s="11"/>
      <c r="AT41" s="52"/>
      <c r="AU41" s="15"/>
      <c r="AV41" s="11"/>
      <c r="AW41" s="11"/>
      <c r="AX41" s="11"/>
      <c r="AY41" s="52"/>
      <c r="AZ41" s="15"/>
      <c r="BA41" s="11"/>
      <c r="BB41" s="11"/>
      <c r="BC41" s="11"/>
    </row>
    <row r="42" spans="22:55" x14ac:dyDescent="0.2">
      <c r="V42" s="201">
        <f>AI7</f>
        <v>0</v>
      </c>
      <c r="W42" s="201">
        <f>AI8</f>
        <v>61.322442602040823</v>
      </c>
      <c r="X42" s="201">
        <f>AI16</f>
        <v>-112.35755739795918</v>
      </c>
      <c r="Y42" s="201">
        <f>AI17</f>
        <v>119.40499999999999</v>
      </c>
      <c r="Z42" s="201">
        <f>AI25</f>
        <v>-119.40500000000002</v>
      </c>
      <c r="AA42" s="201">
        <f>AI26</f>
        <v>112.35755739795918</v>
      </c>
      <c r="AB42" s="201">
        <f>AI34</f>
        <v>-61.322442602040823</v>
      </c>
      <c r="AC42" s="201">
        <f>AI35</f>
        <v>0</v>
      </c>
      <c r="AD42" s="11"/>
      <c r="AE42" s="52"/>
      <c r="AF42" s="15"/>
      <c r="AG42" s="11"/>
      <c r="AH42" s="11"/>
      <c r="AI42" s="11"/>
      <c r="AJ42" s="52"/>
      <c r="AK42" s="15"/>
      <c r="AL42" s="11"/>
      <c r="AM42" s="11"/>
      <c r="AN42" s="11"/>
      <c r="AO42" s="52"/>
      <c r="AP42" s="15"/>
      <c r="AQ42" s="11"/>
      <c r="AR42" s="11"/>
      <c r="AS42" s="11"/>
      <c r="AT42" s="52"/>
      <c r="AU42" s="15"/>
      <c r="AV42" s="11"/>
      <c r="AW42" s="11"/>
      <c r="AX42" s="11"/>
      <c r="AY42" s="52"/>
      <c r="AZ42" s="15"/>
      <c r="BA42" s="11"/>
      <c r="BB42" s="11"/>
      <c r="BC42" s="11"/>
    </row>
    <row r="43" spans="22:55" ht="12" customHeight="1" x14ac:dyDescent="0.2">
      <c r="V43" s="333"/>
      <c r="W43" s="333"/>
      <c r="X43" s="333"/>
      <c r="Y43" s="333"/>
      <c r="Z43" s="333"/>
      <c r="AA43" s="333"/>
      <c r="AB43" s="333"/>
      <c r="AC43" s="333"/>
      <c r="AD43" s="3"/>
      <c r="AE43" s="52"/>
      <c r="AF43" s="15"/>
      <c r="AG43" s="11"/>
      <c r="AH43" s="11"/>
      <c r="AI43" s="11"/>
      <c r="AJ43" s="52"/>
      <c r="AK43" s="15"/>
      <c r="AL43" s="11"/>
      <c r="AM43" s="11"/>
      <c r="AN43" s="11"/>
      <c r="AO43" s="52"/>
      <c r="AP43" s="15"/>
      <c r="AQ43" s="11"/>
      <c r="AR43" s="11"/>
      <c r="AS43" s="11"/>
      <c r="AT43" s="52"/>
      <c r="AU43" s="15"/>
      <c r="AV43" s="11"/>
      <c r="AW43" s="11"/>
      <c r="AX43" s="11"/>
      <c r="AY43" s="52"/>
      <c r="AZ43" s="15"/>
      <c r="BA43" s="11"/>
      <c r="BB43" s="11"/>
      <c r="BC43" s="11"/>
    </row>
    <row r="44" spans="22:55" ht="12" customHeight="1" x14ac:dyDescent="0.2">
      <c r="V44" s="2" t="s">
        <v>50</v>
      </c>
      <c r="W44" s="333"/>
      <c r="X44" s="333"/>
      <c r="Y44" s="333"/>
      <c r="Z44" s="333"/>
      <c r="AA44" s="333"/>
      <c r="AB44" s="333"/>
      <c r="AC44" s="333"/>
      <c r="AD44" s="3"/>
    </row>
    <row r="45" spans="22:55" x14ac:dyDescent="0.2">
      <c r="V45" s="201">
        <f>AN7</f>
        <v>0</v>
      </c>
      <c r="W45" s="201">
        <f>AN8</f>
        <v>40.787748724489788</v>
      </c>
      <c r="X45" s="201">
        <f>AN16</f>
        <v>-88.172251275510192</v>
      </c>
      <c r="Y45" s="201">
        <f>AN17</f>
        <v>119.40499999999999</v>
      </c>
      <c r="Z45" s="201">
        <f>AN25</f>
        <v>-119.40500000000002</v>
      </c>
      <c r="AA45" s="201">
        <f>AN26</f>
        <v>88.172251275510192</v>
      </c>
      <c r="AB45" s="201">
        <f>AN34</f>
        <v>-40.787748724489788</v>
      </c>
      <c r="AC45" s="201">
        <f>AN35</f>
        <v>0</v>
      </c>
      <c r="AD45" s="11"/>
    </row>
    <row r="46" spans="22:55" x14ac:dyDescent="0.2">
      <c r="V46" s="333"/>
      <c r="W46" s="333"/>
      <c r="X46" s="333"/>
      <c r="Y46" s="333"/>
      <c r="Z46" s="333"/>
      <c r="AA46" s="333"/>
      <c r="AB46" s="333"/>
      <c r="AC46" s="333"/>
      <c r="AD46" s="3"/>
    </row>
    <row r="47" spans="22:55" x14ac:dyDescent="0.2">
      <c r="V47" s="2" t="s">
        <v>51</v>
      </c>
      <c r="W47" s="333"/>
      <c r="X47" s="333"/>
      <c r="Y47" s="333"/>
      <c r="Z47" s="333"/>
      <c r="AA47" s="333"/>
      <c r="AB47" s="333"/>
      <c r="AC47" s="333"/>
      <c r="AD47" s="3"/>
    </row>
    <row r="48" spans="22:55" x14ac:dyDescent="0.2">
      <c r="V48" s="201">
        <f>AS7</f>
        <v>0</v>
      </c>
      <c r="W48" s="201">
        <f>AS8</f>
        <v>66.067525510204092</v>
      </c>
      <c r="X48" s="201">
        <f>AS16</f>
        <v>-107.61247448979591</v>
      </c>
      <c r="Y48" s="201">
        <f>AS17</f>
        <v>88.659999999999982</v>
      </c>
      <c r="Z48" s="201">
        <f>AS25</f>
        <v>-88.659999999999982</v>
      </c>
      <c r="AA48" s="201">
        <f>AS26</f>
        <v>107.61247448979591</v>
      </c>
      <c r="AB48" s="201">
        <f>AS34</f>
        <v>-66.067525510204092</v>
      </c>
      <c r="AC48" s="201">
        <f>AS35</f>
        <v>0</v>
      </c>
      <c r="AD48" s="11"/>
      <c r="AE48" s="333"/>
      <c r="AF48" s="15"/>
      <c r="AG48" s="15"/>
      <c r="AH48" s="15"/>
      <c r="AI48" s="5"/>
      <c r="AJ48" s="15"/>
      <c r="AK48" s="15"/>
      <c r="AL48" s="15"/>
      <c r="AM48" s="5"/>
      <c r="AN48" s="15"/>
      <c r="AT48" s="4"/>
      <c r="AU48" s="4"/>
      <c r="AV48" s="4"/>
      <c r="AW48" s="4"/>
      <c r="AX48" s="4"/>
    </row>
    <row r="49" spans="21:50" x14ac:dyDescent="0.2">
      <c r="V49" s="333"/>
      <c r="W49" s="333"/>
      <c r="X49" s="333"/>
      <c r="Y49" s="333"/>
      <c r="Z49" s="333"/>
      <c r="AA49" s="333"/>
      <c r="AB49" s="333"/>
      <c r="AC49" s="333"/>
      <c r="AD49" s="3"/>
      <c r="AE49" s="333"/>
      <c r="AF49" s="15"/>
      <c r="AG49" s="15"/>
      <c r="AH49" s="15"/>
      <c r="AI49" s="5"/>
      <c r="AJ49" s="15"/>
      <c r="AK49" s="15"/>
      <c r="AL49" s="15"/>
      <c r="AM49" s="5"/>
      <c r="AN49" s="15"/>
      <c r="AO49" s="15"/>
      <c r="AP49" s="15"/>
      <c r="AQ49" s="4"/>
      <c r="AR49" s="4"/>
      <c r="AS49" s="4"/>
      <c r="AT49" s="4"/>
      <c r="AU49" s="4"/>
      <c r="AV49" s="4"/>
      <c r="AW49" s="4"/>
      <c r="AX49" s="4"/>
    </row>
    <row r="50" spans="21:50" x14ac:dyDescent="0.2">
      <c r="V50" s="2" t="s">
        <v>52</v>
      </c>
      <c r="W50" s="333"/>
      <c r="X50" s="333"/>
      <c r="Y50" s="333"/>
      <c r="Z50" s="333"/>
      <c r="AA50" s="333"/>
      <c r="AB50" s="333"/>
      <c r="AC50" s="333"/>
      <c r="AD50" s="3"/>
      <c r="AE50" s="333"/>
      <c r="AF50" s="5"/>
      <c r="AG50" s="5"/>
      <c r="AH50" s="5"/>
      <c r="AI50" s="5"/>
      <c r="AJ50" s="15"/>
      <c r="AK50" s="15"/>
      <c r="AL50" s="15"/>
      <c r="AM50" s="5"/>
      <c r="AN50" s="15"/>
      <c r="AO50" s="15"/>
      <c r="AP50" s="15"/>
      <c r="AQ50" s="4"/>
      <c r="AR50" s="5"/>
      <c r="AS50" s="5"/>
      <c r="AT50" s="4"/>
      <c r="AU50" s="4"/>
      <c r="AV50" s="4"/>
      <c r="AW50" s="4"/>
      <c r="AX50" s="4"/>
    </row>
    <row r="51" spans="21:50" x14ac:dyDescent="0.2">
      <c r="V51" s="201">
        <f>AX7</f>
        <v>0</v>
      </c>
      <c r="W51" s="201">
        <f>AX8</f>
        <v>41.531391959561603</v>
      </c>
      <c r="X51" s="201">
        <f>AX16</f>
        <v>-87.428608040438377</v>
      </c>
      <c r="Y51" s="201">
        <f>AX17</f>
        <v>116.99584175084173</v>
      </c>
      <c r="Z51" s="201">
        <f>AX25</f>
        <v>-121.81415824915827</v>
      </c>
      <c r="AA51" s="201">
        <f>AX26</f>
        <v>113.101200633031</v>
      </c>
      <c r="AB51" s="201">
        <f>AX34</f>
        <v>-60.578799366969008</v>
      </c>
      <c r="AC51" s="201">
        <f>AX35</f>
        <v>0</v>
      </c>
      <c r="AD51" s="11"/>
      <c r="AE51" s="333"/>
      <c r="AF51" s="5"/>
      <c r="AG51" s="5"/>
      <c r="AH51" s="5"/>
      <c r="AI51" s="5"/>
      <c r="AJ51" s="15"/>
      <c r="AK51" s="15"/>
      <c r="AL51" s="15"/>
      <c r="AM51" s="5"/>
      <c r="AN51" s="15"/>
      <c r="AO51" s="15"/>
      <c r="AP51" s="15"/>
      <c r="AQ51" s="4"/>
      <c r="AR51" s="15"/>
      <c r="AS51" s="5"/>
      <c r="AT51" s="4"/>
      <c r="AU51" s="4"/>
      <c r="AV51" s="4"/>
      <c r="AW51" s="4"/>
      <c r="AX51" s="4"/>
    </row>
    <row r="52" spans="21:50" x14ac:dyDescent="0.2">
      <c r="V52" s="333"/>
      <c r="W52" s="333"/>
      <c r="X52" s="3"/>
      <c r="Y52" s="3"/>
      <c r="Z52" s="333"/>
      <c r="AA52" s="333"/>
      <c r="AB52" s="333"/>
      <c r="AC52" s="333"/>
      <c r="AD52" s="3"/>
      <c r="AE52" s="333"/>
      <c r="AF52" s="5"/>
      <c r="AG52" s="5"/>
      <c r="AH52" s="5"/>
      <c r="AI52" s="5"/>
      <c r="AJ52" s="15"/>
      <c r="AK52" s="15"/>
      <c r="AL52" s="15"/>
      <c r="AM52" s="5"/>
      <c r="AN52" s="15"/>
      <c r="AO52" s="15"/>
      <c r="AP52" s="15"/>
      <c r="AQ52" s="4"/>
      <c r="AR52" s="15"/>
      <c r="AS52" s="5"/>
      <c r="AT52" s="4"/>
      <c r="AU52" s="5"/>
      <c r="AV52" s="5"/>
      <c r="AW52" s="4"/>
      <c r="AX52" s="4"/>
    </row>
    <row r="53" spans="21:50" x14ac:dyDescent="0.2">
      <c r="V53" s="2" t="s">
        <v>53</v>
      </c>
      <c r="W53" s="333"/>
      <c r="X53" s="3"/>
      <c r="Y53" s="3"/>
      <c r="Z53" s="333"/>
      <c r="AA53" s="333"/>
      <c r="AB53" s="333"/>
      <c r="AC53" s="333"/>
      <c r="AD53" s="3"/>
      <c r="AE53" s="333"/>
      <c r="AF53" s="5"/>
      <c r="AG53" s="5"/>
      <c r="AH53" s="5"/>
      <c r="AI53" s="5"/>
      <c r="AJ53" s="15"/>
      <c r="AK53" s="15"/>
      <c r="AL53" s="15"/>
      <c r="AM53" s="5"/>
      <c r="AN53" s="15"/>
      <c r="AO53" s="15"/>
      <c r="AP53" s="15"/>
      <c r="AQ53" s="4"/>
      <c r="AR53" s="15"/>
      <c r="AS53" s="5"/>
      <c r="AT53" s="4"/>
      <c r="AU53" s="15"/>
      <c r="AV53" s="5"/>
      <c r="AW53" s="4"/>
      <c r="AX53" s="4"/>
    </row>
    <row r="54" spans="21:50" x14ac:dyDescent="0.2">
      <c r="V54" s="201">
        <f>BC7</f>
        <v>0</v>
      </c>
      <c r="W54" s="201">
        <f>BC8</f>
        <v>60.578799366969008</v>
      </c>
      <c r="X54" s="201">
        <f>BC16</f>
        <v>-113.101200633031</v>
      </c>
      <c r="Y54" s="201">
        <f>BC17</f>
        <v>121.81415824915825</v>
      </c>
      <c r="Z54" s="201">
        <f>BC25</f>
        <v>-116.99584175084175</v>
      </c>
      <c r="AA54" s="201">
        <f>BC26</f>
        <v>87.428608040438377</v>
      </c>
      <c r="AB54" s="201">
        <f>BC34</f>
        <v>-41.531391959561603</v>
      </c>
      <c r="AC54" s="201">
        <f>BC35</f>
        <v>0</v>
      </c>
      <c r="AD54" s="11"/>
      <c r="AE54" s="333"/>
      <c r="AF54" s="5"/>
      <c r="AG54" s="5"/>
      <c r="AH54" s="5"/>
      <c r="AI54" s="5"/>
      <c r="AJ54" s="15"/>
      <c r="AK54" s="15"/>
      <c r="AL54" s="15"/>
      <c r="AM54" s="5"/>
      <c r="AN54" s="15"/>
      <c r="AO54" s="15"/>
      <c r="AP54" s="15"/>
      <c r="AQ54" s="4"/>
      <c r="AR54" s="15"/>
      <c r="AS54" s="5"/>
      <c r="AT54" s="4"/>
      <c r="AU54" s="15"/>
      <c r="AV54" s="5"/>
      <c r="AW54" s="4"/>
      <c r="AX54" s="4"/>
    </row>
    <row r="55" spans="21:50" x14ac:dyDescent="0.2">
      <c r="U55" s="333"/>
      <c r="V55" s="333"/>
      <c r="W55" s="3"/>
      <c r="X55" s="3"/>
      <c r="Y55" s="333"/>
      <c r="Z55" s="333"/>
      <c r="AA55" s="333"/>
      <c r="AB55" s="333"/>
      <c r="AC55" s="333"/>
      <c r="AD55" s="333"/>
      <c r="AE55" s="333"/>
      <c r="AF55" s="5"/>
      <c r="AG55" s="5"/>
      <c r="AH55" s="5"/>
      <c r="AI55" s="5"/>
      <c r="AJ55" s="5"/>
      <c r="AK55" s="5"/>
      <c r="AL55" s="5"/>
      <c r="AM55" s="5"/>
      <c r="AN55" s="15"/>
      <c r="AO55" s="15"/>
      <c r="AP55" s="15"/>
      <c r="AQ55" s="4"/>
      <c r="AR55" s="15"/>
      <c r="AS55" s="5"/>
      <c r="AT55" s="4"/>
      <c r="AU55" s="15"/>
      <c r="AV55" s="5"/>
      <c r="AW55" s="4"/>
      <c r="AX55" s="4"/>
    </row>
    <row r="56" spans="21:50" x14ac:dyDescent="0.2">
      <c r="U56" s="333"/>
      <c r="V56" s="333"/>
      <c r="W56" s="333"/>
      <c r="X56" s="333"/>
      <c r="Y56" s="333"/>
      <c r="Z56" s="333"/>
      <c r="AA56" s="333"/>
      <c r="AB56" s="333"/>
      <c r="AC56" s="333"/>
      <c r="AD56" s="333"/>
      <c r="AE56" s="333"/>
      <c r="AF56" s="5"/>
      <c r="AG56" s="5"/>
      <c r="AH56" s="5"/>
      <c r="AI56" s="5"/>
      <c r="AJ56" s="5"/>
      <c r="AK56" s="5"/>
      <c r="AL56" s="5"/>
      <c r="AM56" s="5"/>
      <c r="AN56" s="15"/>
      <c r="AO56" s="15"/>
      <c r="AP56" s="15"/>
      <c r="AQ56" s="4"/>
      <c r="AR56" s="4"/>
      <c r="AS56" s="4"/>
      <c r="AT56" s="4"/>
      <c r="AU56" s="15"/>
      <c r="AV56" s="5"/>
      <c r="AW56" s="4"/>
      <c r="AX56" s="4"/>
    </row>
    <row r="57" spans="21:50" x14ac:dyDescent="0.2">
      <c r="U57" s="333"/>
      <c r="Y57" s="341" t="s">
        <v>68</v>
      </c>
      <c r="Z57" s="341"/>
      <c r="AA57" s="341"/>
      <c r="AB57" s="341"/>
      <c r="AC57" s="333"/>
      <c r="AD57" s="333"/>
      <c r="AE57" s="333"/>
      <c r="AF57" s="5"/>
      <c r="AG57" s="5"/>
      <c r="AH57" s="5"/>
      <c r="AI57" s="5"/>
      <c r="AJ57" s="5"/>
      <c r="AK57" s="5"/>
      <c r="AL57" s="5"/>
      <c r="AM57" s="5"/>
      <c r="AN57" s="15"/>
      <c r="AO57" s="15"/>
      <c r="AP57" s="15"/>
      <c r="AQ57" s="4"/>
      <c r="AR57" s="4"/>
      <c r="AS57" s="4"/>
      <c r="AT57" s="4"/>
      <c r="AU57" s="15"/>
      <c r="AV57" s="5"/>
      <c r="AW57" s="4"/>
      <c r="AX57" s="4"/>
    </row>
    <row r="58" spans="21:50" x14ac:dyDescent="0.2">
      <c r="U58" s="333"/>
      <c r="X58" s="333"/>
      <c r="Y58" s="43" t="s">
        <v>0</v>
      </c>
      <c r="Z58" s="43" t="s">
        <v>1</v>
      </c>
      <c r="AA58" s="43" t="s">
        <v>78</v>
      </c>
      <c r="AB58" s="43" t="s">
        <v>94</v>
      </c>
      <c r="AC58" s="333"/>
      <c r="AD58" s="333"/>
      <c r="AE58" s="333"/>
      <c r="AF58" s="15"/>
      <c r="AG58" s="15"/>
      <c r="AH58" s="15"/>
      <c r="AI58" s="5"/>
      <c r="AJ58" s="15"/>
      <c r="AK58" s="15"/>
      <c r="AL58" s="15"/>
      <c r="AM58" s="5"/>
      <c r="AN58" s="15"/>
      <c r="AO58" s="15"/>
      <c r="AP58" s="15"/>
      <c r="AQ58" s="4"/>
      <c r="AR58" s="4"/>
      <c r="AS58" s="4"/>
      <c r="AT58" s="4"/>
      <c r="AU58" s="15"/>
      <c r="AV58" s="5"/>
      <c r="AW58" s="4"/>
      <c r="AX58" s="4"/>
    </row>
    <row r="59" spans="21:50" x14ac:dyDescent="0.2">
      <c r="U59" s="333"/>
      <c r="Y59" s="342" t="s">
        <v>67</v>
      </c>
      <c r="Z59" s="342"/>
      <c r="AA59" s="342"/>
      <c r="AB59" s="342"/>
      <c r="AC59" s="333"/>
      <c r="AD59" s="333"/>
      <c r="AE59" s="333"/>
      <c r="AF59" s="15"/>
      <c r="AG59" s="15"/>
      <c r="AH59" s="15"/>
      <c r="AI59" s="5"/>
      <c r="AJ59" s="15"/>
      <c r="AK59" s="15"/>
      <c r="AL59" s="15"/>
      <c r="AM59" s="5"/>
      <c r="AN59" s="15"/>
      <c r="AO59" s="15"/>
      <c r="AP59" s="15"/>
      <c r="AQ59" s="4"/>
      <c r="AR59" s="4"/>
      <c r="AS59" s="4"/>
      <c r="AT59" s="4"/>
      <c r="AU59" s="15"/>
      <c r="AV59" s="5"/>
      <c r="AW59" s="4"/>
      <c r="AX59" s="4"/>
    </row>
    <row r="60" spans="21:50" x14ac:dyDescent="0.2">
      <c r="U60" s="333"/>
      <c r="X60" s="42" t="s">
        <v>49</v>
      </c>
      <c r="Y60" s="201">
        <f>'CCC-car.1'!X32</f>
        <v>61.322442602040823</v>
      </c>
      <c r="Z60" s="201">
        <f>'CCC-car.1'!Y32</f>
        <v>231.76255739795917</v>
      </c>
      <c r="AA60" s="201">
        <f>'CCC-car.1'!Z32</f>
        <v>231.7625573979592</v>
      </c>
      <c r="AB60" s="201">
        <f>'CCC-car.1'!AA32</f>
        <v>61.322442602040823</v>
      </c>
      <c r="AC60" s="333"/>
      <c r="AD60" s="333"/>
      <c r="AE60" s="333"/>
      <c r="AF60" s="15"/>
      <c r="AG60" s="15"/>
      <c r="AH60" s="15"/>
      <c r="AI60" s="5"/>
      <c r="AJ60" s="15"/>
      <c r="AK60" s="15"/>
      <c r="AL60" s="15"/>
      <c r="AM60" s="5"/>
      <c r="AN60" s="15"/>
      <c r="AO60" s="15"/>
      <c r="AP60" s="15"/>
      <c r="AQ60" s="4"/>
      <c r="AR60" s="4"/>
      <c r="AS60" s="4"/>
      <c r="AT60" s="4"/>
      <c r="AU60" s="4"/>
      <c r="AV60" s="4"/>
      <c r="AW60" s="4"/>
      <c r="AX60" s="4"/>
    </row>
    <row r="61" spans="21:50" x14ac:dyDescent="0.2">
      <c r="U61" s="333"/>
      <c r="X61" s="42" t="s">
        <v>50</v>
      </c>
      <c r="Y61" s="201">
        <f>'CCC-car.2'!X32</f>
        <v>40.787748724489788</v>
      </c>
      <c r="Z61" s="201">
        <f>'CCC-car.2'!Y32</f>
        <v>207.57725127551018</v>
      </c>
      <c r="AA61" s="201">
        <f>'CCC-car.2'!Z32</f>
        <v>207.57725127551021</v>
      </c>
      <c r="AB61" s="201">
        <f>'CCC-car.2'!AA32</f>
        <v>40.787748724489788</v>
      </c>
      <c r="AC61" s="333"/>
      <c r="AD61" s="333"/>
      <c r="AE61" s="333"/>
      <c r="AF61" s="15"/>
      <c r="AG61" s="15"/>
      <c r="AH61" s="15"/>
      <c r="AI61" s="5"/>
      <c r="AJ61" s="15"/>
      <c r="AK61" s="15"/>
      <c r="AL61" s="15"/>
      <c r="AM61" s="5"/>
      <c r="AN61" s="15"/>
      <c r="AO61" s="15"/>
      <c r="AP61" s="15"/>
      <c r="AQ61" s="4"/>
      <c r="AR61" s="4"/>
      <c r="AS61" s="4"/>
      <c r="AT61" s="4"/>
      <c r="AU61" s="4"/>
      <c r="AV61" s="4"/>
      <c r="AW61" s="4"/>
      <c r="AX61" s="4"/>
    </row>
    <row r="62" spans="21:50" x14ac:dyDescent="0.2">
      <c r="U62" s="333"/>
      <c r="X62" s="42" t="s">
        <v>51</v>
      </c>
      <c r="Y62" s="201">
        <f>'CCC-car.3'!X32</f>
        <v>66.067525510204092</v>
      </c>
      <c r="Z62" s="201">
        <f>'CCC-car.3'!Y32</f>
        <v>196.27247448979591</v>
      </c>
      <c r="AA62" s="201">
        <f>'CCC-car.3'!Z32</f>
        <v>196.27247448979591</v>
      </c>
      <c r="AB62" s="201">
        <f>'CCC-car.3'!AA32</f>
        <v>66.067525510204092</v>
      </c>
      <c r="AC62" s="333"/>
      <c r="AD62" s="333"/>
      <c r="AE62" s="333"/>
      <c r="AF62" s="15"/>
      <c r="AG62" s="15"/>
      <c r="AH62" s="15"/>
      <c r="AI62" s="5"/>
      <c r="AJ62" s="15"/>
      <c r="AK62" s="15"/>
      <c r="AL62" s="15"/>
      <c r="AM62" s="5"/>
      <c r="AN62" s="15"/>
      <c r="AO62" s="15"/>
      <c r="AP62" s="15"/>
      <c r="AQ62" s="4"/>
      <c r="AR62" s="4"/>
      <c r="AS62" s="4"/>
      <c r="AT62" s="4"/>
      <c r="AU62" s="4"/>
      <c r="AV62" s="4"/>
      <c r="AW62" s="4"/>
      <c r="AX62" s="4"/>
    </row>
    <row r="63" spans="21:50" x14ac:dyDescent="0.2">
      <c r="U63" s="333"/>
      <c r="V63" s="333"/>
      <c r="X63" s="42" t="s">
        <v>52</v>
      </c>
      <c r="Y63" s="201">
        <f>'CCC-car.4'!X32</f>
        <v>41.531391959561603</v>
      </c>
      <c r="Z63" s="201">
        <f>'CCC-car.4'!Y32</f>
        <v>204.4244497912801</v>
      </c>
      <c r="AA63" s="201">
        <f>'CCC-car.4'!Z32</f>
        <v>234.91535888218925</v>
      </c>
      <c r="AB63" s="201">
        <f>'CCC-car.4'!AA32</f>
        <v>60.578799366969015</v>
      </c>
      <c r="AC63" s="333"/>
      <c r="AD63" s="333"/>
      <c r="AE63" s="333"/>
      <c r="AF63" s="15"/>
      <c r="AG63" s="15"/>
      <c r="AH63" s="15"/>
      <c r="AI63" s="5"/>
      <c r="AJ63" s="15"/>
      <c r="AK63" s="15"/>
      <c r="AL63" s="15"/>
      <c r="AM63" s="5"/>
      <c r="AN63" s="15"/>
      <c r="AO63" s="15"/>
      <c r="AP63" s="15"/>
      <c r="AQ63" s="4"/>
      <c r="AR63" s="4"/>
      <c r="AS63" s="4"/>
      <c r="AT63" s="4"/>
      <c r="AU63" s="4"/>
      <c r="AV63" s="4"/>
      <c r="AW63" s="4"/>
      <c r="AX63" s="4"/>
    </row>
    <row r="64" spans="21:50" x14ac:dyDescent="0.2">
      <c r="U64" s="333"/>
      <c r="V64" s="333"/>
      <c r="X64" s="42" t="s">
        <v>53</v>
      </c>
      <c r="Y64" s="201">
        <f>'CCC-car.5'!X32</f>
        <v>60.578799366969008</v>
      </c>
      <c r="Z64" s="201">
        <f>'CCC-car.5'!Y32</f>
        <v>234.91535888218925</v>
      </c>
      <c r="AA64" s="201">
        <f>'CCC-car.5'!Z32</f>
        <v>204.42444979128013</v>
      </c>
      <c r="AB64" s="201">
        <f>'CCC-car.5'!AA32</f>
        <v>41.531391959561596</v>
      </c>
      <c r="AC64" s="333"/>
      <c r="AD64" s="333"/>
      <c r="AE64" s="333"/>
      <c r="AF64" s="15"/>
      <c r="AG64" s="15"/>
      <c r="AH64" s="15"/>
      <c r="AI64" s="5"/>
      <c r="AJ64" s="15"/>
      <c r="AK64" s="15"/>
      <c r="AL64" s="15"/>
      <c r="AM64" s="5"/>
      <c r="AN64" s="15"/>
      <c r="AO64" s="15"/>
      <c r="AP64" s="15"/>
      <c r="AQ64" s="4"/>
      <c r="AR64" s="4"/>
      <c r="AS64" s="4"/>
      <c r="AT64" s="4"/>
      <c r="AU64" s="4"/>
      <c r="AV64" s="4"/>
      <c r="AW64" s="4"/>
      <c r="AX64" s="4"/>
    </row>
    <row r="65" spans="1:50" x14ac:dyDescent="0.2">
      <c r="AE65" s="333"/>
      <c r="AF65" s="15"/>
      <c r="AG65" s="15"/>
      <c r="AH65" s="15"/>
      <c r="AI65" s="5"/>
      <c r="AJ65" s="15"/>
      <c r="AK65" s="15"/>
      <c r="AL65" s="15"/>
      <c r="AM65" s="5"/>
      <c r="AN65" s="15"/>
      <c r="AO65" s="15"/>
      <c r="AP65" s="15"/>
      <c r="AQ65" s="4"/>
      <c r="AR65" s="4"/>
      <c r="AS65" s="4"/>
      <c r="AT65" s="4"/>
      <c r="AU65" s="4"/>
      <c r="AV65" s="4"/>
      <c r="AW65" s="4"/>
      <c r="AX65" s="4"/>
    </row>
    <row r="66" spans="1:50" x14ac:dyDescent="0.2">
      <c r="AE66" s="333"/>
      <c r="AF66" s="15"/>
      <c r="AG66" s="15"/>
      <c r="AH66" s="15"/>
      <c r="AI66" s="5"/>
      <c r="AJ66" s="15"/>
      <c r="AK66" s="15"/>
      <c r="AL66" s="15"/>
      <c r="AM66" s="5"/>
      <c r="AN66" s="15"/>
      <c r="AO66" s="15"/>
      <c r="AP66" s="15"/>
      <c r="AQ66" s="4"/>
      <c r="AR66" s="4"/>
      <c r="AS66" s="4"/>
      <c r="AT66" s="4"/>
      <c r="AU66" s="4"/>
      <c r="AV66" s="4"/>
      <c r="AW66" s="4"/>
      <c r="AX66" s="4"/>
    </row>
    <row r="67" spans="1:50" x14ac:dyDescent="0.2">
      <c r="AE67" s="333"/>
      <c r="AF67" s="5"/>
      <c r="AG67" s="5"/>
      <c r="AH67" s="5"/>
      <c r="AI67" s="5"/>
      <c r="AJ67" s="5"/>
      <c r="AK67" s="5"/>
      <c r="AL67" s="5"/>
      <c r="AM67" s="5"/>
      <c r="AN67" s="15"/>
      <c r="AO67" s="15"/>
      <c r="AP67" s="15"/>
      <c r="AQ67" s="4"/>
      <c r="AR67" s="4"/>
      <c r="AS67" s="4"/>
      <c r="AT67" s="4"/>
      <c r="AU67" s="4"/>
      <c r="AV67" s="4"/>
      <c r="AW67" s="4"/>
      <c r="AX67" s="4"/>
    </row>
    <row r="68" spans="1:50" x14ac:dyDescent="0.2">
      <c r="AF68" s="4"/>
      <c r="AG68" s="4"/>
      <c r="AH68" s="4"/>
      <c r="AI68" s="4"/>
      <c r="AJ68" s="4"/>
      <c r="AK68" s="4"/>
      <c r="AL68" s="4"/>
      <c r="AM68" s="4"/>
      <c r="AN68" s="15"/>
      <c r="AO68" s="15"/>
      <c r="AP68" s="15"/>
      <c r="AQ68" s="4"/>
      <c r="AR68" s="4"/>
      <c r="AS68" s="4"/>
      <c r="AT68" s="4"/>
      <c r="AU68" s="4"/>
      <c r="AV68" s="4"/>
      <c r="AW68" s="4"/>
      <c r="AX68" s="4"/>
    </row>
    <row r="69" spans="1:50" hidden="1" x14ac:dyDescent="0.2">
      <c r="A69" s="123" t="s">
        <v>462</v>
      </c>
      <c r="B69" s="333"/>
      <c r="C69" s="123" t="s">
        <v>463</v>
      </c>
      <c r="D69" s="333"/>
      <c r="E69" s="132" t="s">
        <v>464</v>
      </c>
      <c r="G69" s="123" t="s">
        <v>448</v>
      </c>
      <c r="I69" s="251" t="s">
        <v>452</v>
      </c>
      <c r="AF69" s="4"/>
      <c r="AG69" s="4"/>
      <c r="AH69" s="4"/>
      <c r="AI69" s="4"/>
      <c r="AJ69" s="4"/>
      <c r="AK69" s="4"/>
      <c r="AL69" s="4"/>
      <c r="AM69" s="4"/>
      <c r="AN69" s="15"/>
      <c r="AO69" s="15"/>
      <c r="AP69" s="15"/>
      <c r="AQ69" s="4"/>
      <c r="AR69" s="4"/>
      <c r="AS69" s="4"/>
      <c r="AT69" s="4"/>
      <c r="AU69" s="4"/>
      <c r="AV69" s="4"/>
      <c r="AW69" s="4"/>
      <c r="AX69" s="4"/>
    </row>
    <row r="70" spans="1:50" hidden="1" x14ac:dyDescent="0.2">
      <c r="A70" s="123" t="s">
        <v>463</v>
      </c>
      <c r="B70" s="333"/>
      <c r="C70" s="123" t="str">
        <f>D6</f>
        <v>ca</v>
      </c>
      <c r="D70" s="333"/>
      <c r="E70" s="132" t="s">
        <v>448</v>
      </c>
      <c r="G70" s="123"/>
      <c r="I70" s="256" t="s">
        <v>124</v>
      </c>
      <c r="AF70" s="5"/>
      <c r="AG70" s="5"/>
      <c r="AH70" s="5"/>
      <c r="AI70" s="4"/>
      <c r="AJ70" s="5"/>
      <c r="AK70" s="5"/>
      <c r="AL70" s="5"/>
      <c r="AM70" s="4"/>
      <c r="AN70" s="15"/>
      <c r="AO70" s="15"/>
      <c r="AP70" s="15"/>
      <c r="AQ70" s="4"/>
      <c r="AR70" s="4"/>
      <c r="AS70" s="4"/>
      <c r="AT70" s="4"/>
      <c r="AU70" s="4"/>
      <c r="AV70" s="4"/>
      <c r="AW70" s="4"/>
      <c r="AX70" s="4"/>
    </row>
    <row r="71" spans="1:50" hidden="1" x14ac:dyDescent="0.2">
      <c r="A71" s="123" t="s">
        <v>464</v>
      </c>
      <c r="B71" s="333"/>
      <c r="C71" s="333"/>
      <c r="D71" s="333"/>
      <c r="E71" s="333"/>
      <c r="F71" s="333"/>
      <c r="I71" s="251" t="s">
        <v>448</v>
      </c>
      <c r="AF71" s="5"/>
      <c r="AG71" s="15"/>
      <c r="AH71" s="15"/>
      <c r="AI71" s="4"/>
      <c r="AJ71" s="15"/>
      <c r="AK71" s="15"/>
      <c r="AL71" s="15"/>
      <c r="AM71" s="4"/>
      <c r="AN71" s="15"/>
      <c r="AO71" s="15"/>
      <c r="AP71" s="15"/>
      <c r="AQ71" s="4"/>
      <c r="AR71" s="4"/>
      <c r="AS71" s="4"/>
      <c r="AT71" s="4"/>
      <c r="AU71" s="4"/>
      <c r="AV71" s="4"/>
      <c r="AW71" s="4"/>
      <c r="AX71" s="4"/>
    </row>
    <row r="72" spans="1:50" hidden="1" x14ac:dyDescent="0.2">
      <c r="AF72" s="5"/>
      <c r="AG72" s="15"/>
      <c r="AH72" s="15"/>
      <c r="AI72" s="4"/>
      <c r="AJ72" s="15"/>
      <c r="AK72" s="15"/>
      <c r="AL72" s="15"/>
      <c r="AM72" s="4"/>
      <c r="AN72" s="15"/>
      <c r="AO72" s="15"/>
      <c r="AP72" s="15"/>
      <c r="AQ72" s="4"/>
      <c r="AR72" s="4"/>
      <c r="AS72" s="4"/>
      <c r="AT72" s="4"/>
      <c r="AU72" s="4"/>
      <c r="AV72" s="4"/>
      <c r="AW72" s="4"/>
      <c r="AX72" s="4"/>
    </row>
    <row r="73" spans="1:50" hidden="1" x14ac:dyDescent="0.2">
      <c r="AF73" s="5"/>
      <c r="AG73" s="15"/>
      <c r="AH73" s="15"/>
      <c r="AI73" s="4"/>
      <c r="AJ73" s="15"/>
      <c r="AK73" s="15"/>
      <c r="AL73" s="15"/>
      <c r="AM73" s="4"/>
      <c r="AN73" s="15"/>
      <c r="AO73" s="15"/>
      <c r="AP73" s="15"/>
      <c r="AQ73" s="4"/>
      <c r="AR73" s="4"/>
      <c r="AS73" s="4"/>
      <c r="AT73" s="4"/>
      <c r="AU73" s="4"/>
      <c r="AV73" s="4"/>
      <c r="AW73" s="4"/>
      <c r="AX73" s="4"/>
    </row>
    <row r="74" spans="1:50" hidden="1" x14ac:dyDescent="0.2">
      <c r="A74" s="335" t="s">
        <v>31</v>
      </c>
      <c r="B74" s="336"/>
      <c r="C74" s="336"/>
      <c r="D74" s="336"/>
      <c r="E74" s="336"/>
      <c r="F74" s="336"/>
      <c r="G74" s="336"/>
      <c r="H74" s="336"/>
      <c r="I74" s="336"/>
      <c r="J74" s="337"/>
      <c r="AF74" s="5"/>
      <c r="AG74" s="15"/>
      <c r="AH74" s="15"/>
      <c r="AI74" s="4"/>
      <c r="AJ74" s="15"/>
      <c r="AK74" s="15"/>
      <c r="AL74" s="15"/>
      <c r="AM74" s="4"/>
      <c r="AN74" s="15"/>
      <c r="AO74" s="15"/>
      <c r="AP74" s="15"/>
      <c r="AQ74" s="4"/>
      <c r="AR74" s="4"/>
      <c r="AS74" s="4"/>
      <c r="AT74" s="4"/>
      <c r="AU74" s="4"/>
      <c r="AV74" s="4"/>
      <c r="AW74" s="4"/>
      <c r="AX74" s="4"/>
    </row>
    <row r="75" spans="1:50" hidden="1" x14ac:dyDescent="0.2">
      <c r="A75" s="261"/>
      <c r="B75" s="2"/>
      <c r="C75" s="2"/>
      <c r="D75" s="2"/>
      <c r="E75" s="2"/>
      <c r="F75" s="2"/>
      <c r="G75" s="2"/>
      <c r="H75" s="2"/>
      <c r="I75" s="2"/>
      <c r="J75" s="262"/>
      <c r="AF75" s="5"/>
      <c r="AG75" s="15"/>
      <c r="AH75" s="15"/>
      <c r="AI75" s="4"/>
      <c r="AJ75" s="5"/>
      <c r="AK75" s="5"/>
      <c r="AL75" s="5"/>
      <c r="AM75" s="4"/>
      <c r="AN75" s="15"/>
      <c r="AO75" s="15"/>
      <c r="AP75" s="15"/>
      <c r="AQ75" s="4"/>
      <c r="AR75" s="4"/>
      <c r="AS75" s="4"/>
      <c r="AT75" s="4"/>
      <c r="AU75" s="4"/>
      <c r="AV75" s="4"/>
      <c r="AW75" s="4"/>
      <c r="AX75" s="4"/>
    </row>
    <row r="76" spans="1:50" ht="13.5" hidden="1" x14ac:dyDescent="0.25">
      <c r="A76" s="263" t="s">
        <v>30</v>
      </c>
      <c r="B76" s="332" t="s">
        <v>38</v>
      </c>
      <c r="C76" s="332" t="s">
        <v>39</v>
      </c>
      <c r="D76" s="332" t="s">
        <v>40</v>
      </c>
      <c r="E76" s="3"/>
      <c r="F76" s="45" t="s">
        <v>72</v>
      </c>
      <c r="G76" s="332" t="s">
        <v>73</v>
      </c>
      <c r="H76" s="332" t="s">
        <v>74</v>
      </c>
      <c r="I76" s="332" t="s">
        <v>75</v>
      </c>
      <c r="J76" s="266"/>
      <c r="AF76" s="5"/>
      <c r="AG76" s="15"/>
      <c r="AH76" s="15"/>
      <c r="AI76" s="4"/>
      <c r="AJ76" s="5"/>
      <c r="AK76" s="5"/>
      <c r="AL76" s="5"/>
      <c r="AM76" s="4"/>
      <c r="AN76" s="15"/>
      <c r="AO76" s="15"/>
      <c r="AP76" s="15"/>
      <c r="AQ76" s="4"/>
      <c r="AR76" s="4"/>
      <c r="AS76" s="4"/>
      <c r="AT76" s="4"/>
      <c r="AU76" s="4"/>
      <c r="AV76" s="4"/>
      <c r="AW76" s="4"/>
      <c r="AX76" s="4"/>
    </row>
    <row r="77" spans="1:50" hidden="1" x14ac:dyDescent="0.2">
      <c r="A77" s="225"/>
      <c r="B77" s="332">
        <v>1</v>
      </c>
      <c r="C77" s="281">
        <f>E19/10^8</f>
        <v>1.3333333333333334E-4</v>
      </c>
      <c r="D77" s="331">
        <f>B77*C77</f>
        <v>1.3333333333333334E-4</v>
      </c>
      <c r="E77" s="3"/>
      <c r="F77" s="3"/>
      <c r="G77" s="332">
        <v>1</v>
      </c>
      <c r="H77" s="281">
        <f>F19/10^8</f>
        <v>1.3333333333333334E-4</v>
      </c>
      <c r="I77" s="331">
        <f>G77*H77</f>
        <v>1.3333333333333334E-4</v>
      </c>
      <c r="J77" s="266"/>
      <c r="AF77" s="5"/>
      <c r="AG77" s="15"/>
      <c r="AH77" s="15"/>
      <c r="AI77" s="4"/>
      <c r="AJ77" s="5"/>
      <c r="AK77" s="5"/>
      <c r="AL77" s="5"/>
      <c r="AM77" s="4"/>
      <c r="AN77" s="15"/>
      <c r="AO77" s="15"/>
      <c r="AP77" s="15"/>
      <c r="AQ77" s="4"/>
      <c r="AR77" s="4"/>
      <c r="AS77" s="4"/>
      <c r="AT77" s="4"/>
      <c r="AU77" s="4"/>
      <c r="AV77" s="4"/>
      <c r="AW77" s="4"/>
      <c r="AX77" s="4"/>
    </row>
    <row r="78" spans="1:50" hidden="1" x14ac:dyDescent="0.2">
      <c r="A78" s="225"/>
      <c r="B78" s="3"/>
      <c r="C78" s="3"/>
      <c r="D78" s="3"/>
      <c r="E78" s="3"/>
      <c r="F78" s="3"/>
      <c r="G78" s="3"/>
      <c r="H78" s="3"/>
      <c r="I78" s="3"/>
      <c r="J78" s="266"/>
      <c r="AF78" s="5"/>
      <c r="AG78" s="15"/>
      <c r="AH78" s="15"/>
      <c r="AI78" s="4"/>
      <c r="AJ78" s="5"/>
      <c r="AK78" s="5"/>
      <c r="AL78" s="5"/>
      <c r="AM78" s="4"/>
      <c r="AN78" s="15"/>
      <c r="AO78" s="15"/>
      <c r="AP78" s="15"/>
      <c r="AQ78" s="4"/>
      <c r="AR78" s="4"/>
      <c r="AS78" s="4"/>
      <c r="AT78" s="4"/>
      <c r="AU78" s="4"/>
      <c r="AV78" s="4"/>
      <c r="AW78" s="4"/>
      <c r="AX78" s="4"/>
    </row>
    <row r="79" spans="1:50" ht="13.5" hidden="1" x14ac:dyDescent="0.25">
      <c r="A79" s="263" t="s">
        <v>88</v>
      </c>
      <c r="B79" s="332" t="s">
        <v>89</v>
      </c>
      <c r="C79" s="332" t="s">
        <v>90</v>
      </c>
      <c r="D79" s="332" t="s">
        <v>91</v>
      </c>
      <c r="E79" s="3"/>
      <c r="F79" s="45"/>
      <c r="G79" s="3"/>
      <c r="H79" s="3"/>
      <c r="I79" s="3"/>
      <c r="J79" s="266"/>
      <c r="AF79" s="5"/>
      <c r="AG79" s="15"/>
      <c r="AH79" s="15"/>
      <c r="AI79" s="4"/>
      <c r="AJ79" s="5"/>
      <c r="AK79" s="5"/>
      <c r="AL79" s="5"/>
      <c r="AM79" s="4"/>
      <c r="AN79" s="15"/>
      <c r="AO79" s="15"/>
      <c r="AP79" s="15"/>
      <c r="AQ79" s="4"/>
      <c r="AR79" s="4"/>
      <c r="AS79" s="4"/>
      <c r="AT79" s="4"/>
      <c r="AU79" s="4"/>
      <c r="AV79" s="4"/>
      <c r="AW79" s="4"/>
      <c r="AX79" s="4"/>
    </row>
    <row r="80" spans="1:50" hidden="1" x14ac:dyDescent="0.2">
      <c r="A80" s="267"/>
      <c r="B80" s="268">
        <v>1</v>
      </c>
      <c r="C80" s="282">
        <f>G19/10^8</f>
        <v>1.3333333333333334E-4</v>
      </c>
      <c r="D80" s="269">
        <f>B80*C80</f>
        <v>1.3333333333333334E-4</v>
      </c>
      <c r="E80" s="328"/>
      <c r="F80" s="328"/>
      <c r="G80" s="328"/>
      <c r="H80" s="328"/>
      <c r="I80" s="328"/>
      <c r="J80" s="283"/>
      <c r="AF80" s="4"/>
      <c r="AG80" s="4"/>
      <c r="AH80" s="4"/>
      <c r="AI80" s="4"/>
      <c r="AJ80" s="4"/>
      <c r="AK80" s="4"/>
      <c r="AL80" s="4"/>
      <c r="AM80" s="4"/>
      <c r="AN80" s="15"/>
      <c r="AO80" s="15"/>
      <c r="AP80" s="15"/>
      <c r="AQ80" s="4"/>
      <c r="AR80" s="4"/>
      <c r="AS80" s="4"/>
      <c r="AT80" s="4"/>
      <c r="AU80" s="4"/>
      <c r="AV80" s="4"/>
      <c r="AW80" s="4"/>
      <c r="AX80" s="4"/>
    </row>
    <row r="81" spans="15:50" x14ac:dyDescent="0.2">
      <c r="AF81" s="4"/>
      <c r="AG81" s="4"/>
      <c r="AH81" s="4"/>
      <c r="AI81" s="4"/>
      <c r="AJ81" s="4"/>
      <c r="AK81" s="4"/>
      <c r="AL81" s="4"/>
      <c r="AM81" s="4"/>
      <c r="AN81" s="15"/>
      <c r="AO81" s="15"/>
      <c r="AP81" s="15"/>
      <c r="AQ81" s="4"/>
      <c r="AR81" s="4"/>
      <c r="AS81" s="4"/>
      <c r="AT81" s="4"/>
      <c r="AU81" s="4"/>
      <c r="AV81" s="4"/>
      <c r="AW81" s="4"/>
      <c r="AX81" s="4"/>
    </row>
    <row r="82" spans="15:50" x14ac:dyDescent="0.2">
      <c r="AF82" s="4"/>
      <c r="AG82" s="4"/>
      <c r="AH82" s="4"/>
      <c r="AI82" s="4"/>
      <c r="AJ82" s="4"/>
      <c r="AK82" s="4"/>
      <c r="AL82" s="4"/>
      <c r="AM82" s="4"/>
      <c r="AN82" s="15"/>
      <c r="AO82" s="15"/>
      <c r="AP82" s="15"/>
      <c r="AQ82" s="4"/>
      <c r="AR82" s="4"/>
      <c r="AS82" s="4"/>
      <c r="AT82" s="4"/>
      <c r="AU82" s="4"/>
      <c r="AV82" s="4"/>
      <c r="AW82" s="4"/>
      <c r="AX82" s="4"/>
    </row>
    <row r="83" spans="15:50" x14ac:dyDescent="0.2">
      <c r="AF83" s="4"/>
      <c r="AG83" s="4"/>
      <c r="AH83" s="4"/>
      <c r="AI83" s="4"/>
      <c r="AJ83" s="4"/>
      <c r="AK83" s="4"/>
      <c r="AL83" s="4"/>
      <c r="AM83" s="4"/>
      <c r="AN83" s="15"/>
      <c r="AO83" s="15"/>
      <c r="AP83" s="15"/>
      <c r="AQ83" s="4"/>
      <c r="AR83" s="4"/>
      <c r="AS83" s="4"/>
      <c r="AT83" s="4"/>
      <c r="AU83" s="4"/>
      <c r="AV83" s="4"/>
      <c r="AW83" s="4"/>
      <c r="AX83" s="4"/>
    </row>
    <row r="84" spans="15:50" x14ac:dyDescent="0.2">
      <c r="AF84" s="4"/>
      <c r="AG84" s="4"/>
      <c r="AH84" s="4"/>
      <c r="AI84" s="4"/>
      <c r="AJ84" s="4"/>
      <c r="AK84" s="4"/>
      <c r="AL84" s="4"/>
      <c r="AM84" s="4"/>
      <c r="AN84" s="15"/>
      <c r="AO84" s="15"/>
      <c r="AP84" s="15"/>
      <c r="AQ84" s="4"/>
      <c r="AR84" s="4"/>
      <c r="AS84" s="4"/>
      <c r="AT84" s="4"/>
      <c r="AU84" s="4"/>
      <c r="AV84" s="4"/>
      <c r="AW84" s="4"/>
      <c r="AX84" s="4"/>
    </row>
    <row r="85" spans="15:50" x14ac:dyDescent="0.2">
      <c r="AF85" s="4"/>
      <c r="AG85" s="4"/>
      <c r="AH85" s="4"/>
      <c r="AI85" s="4"/>
      <c r="AJ85" s="4"/>
      <c r="AK85" s="4"/>
      <c r="AL85" s="4"/>
      <c r="AM85" s="4"/>
      <c r="AN85" s="15"/>
      <c r="AO85" s="15"/>
      <c r="AP85" s="15"/>
      <c r="AQ85" s="4"/>
      <c r="AR85" s="4"/>
      <c r="AS85" s="4"/>
      <c r="AT85" s="4"/>
      <c r="AU85" s="4"/>
      <c r="AV85" s="4"/>
      <c r="AW85" s="4"/>
      <c r="AX85" s="4"/>
    </row>
    <row r="86" spans="15:50" x14ac:dyDescent="0.2">
      <c r="AF86" s="4"/>
      <c r="AG86" s="4"/>
      <c r="AH86" s="4"/>
      <c r="AI86" s="4"/>
      <c r="AJ86" s="4"/>
      <c r="AK86" s="4"/>
      <c r="AL86" s="4"/>
      <c r="AM86" s="4"/>
      <c r="AN86" s="15"/>
      <c r="AO86" s="15"/>
      <c r="AP86" s="15"/>
      <c r="AQ86" s="4"/>
      <c r="AR86" s="4"/>
      <c r="AS86" s="4"/>
      <c r="AT86" s="4"/>
      <c r="AU86" s="4"/>
      <c r="AV86" s="4"/>
      <c r="AW86" s="4"/>
      <c r="AX86" s="4"/>
    </row>
    <row r="87" spans="15:50" x14ac:dyDescent="0.2">
      <c r="AF87" s="4"/>
      <c r="AG87" s="4"/>
      <c r="AH87" s="4"/>
      <c r="AI87" s="4"/>
      <c r="AJ87" s="4"/>
      <c r="AK87" s="4"/>
      <c r="AL87" s="4"/>
      <c r="AM87" s="4"/>
      <c r="AN87" s="15"/>
      <c r="AO87" s="15"/>
      <c r="AP87" s="15"/>
      <c r="AQ87" s="4"/>
      <c r="AR87" s="4"/>
      <c r="AS87" s="4"/>
      <c r="AT87" s="4"/>
      <c r="AU87" s="4"/>
      <c r="AV87" s="4"/>
      <c r="AW87" s="4"/>
      <c r="AX87" s="4"/>
    </row>
    <row r="88" spans="15:50" x14ac:dyDescent="0.2">
      <c r="W88" s="2"/>
      <c r="X88" s="2"/>
      <c r="AF88" s="4"/>
      <c r="AG88" s="4"/>
      <c r="AH88" s="4"/>
      <c r="AI88" s="4"/>
      <c r="AJ88" s="4"/>
      <c r="AK88" s="4"/>
      <c r="AL88" s="4"/>
      <c r="AM88" s="4"/>
      <c r="AN88" s="15"/>
      <c r="AO88" s="15"/>
      <c r="AP88" s="15"/>
      <c r="AQ88" s="4"/>
      <c r="AR88" s="4"/>
      <c r="AS88" s="4"/>
      <c r="AT88" s="4"/>
      <c r="AU88" s="4"/>
      <c r="AV88" s="4"/>
      <c r="AW88" s="4"/>
      <c r="AX88" s="4"/>
    </row>
    <row r="89" spans="15:50" x14ac:dyDescent="0.2">
      <c r="W89" s="11"/>
      <c r="X89" s="11"/>
      <c r="AF89" s="4"/>
      <c r="AG89" s="4"/>
      <c r="AH89" s="4"/>
      <c r="AI89" s="4"/>
      <c r="AJ89" s="4"/>
      <c r="AK89" s="4"/>
      <c r="AL89" s="4"/>
      <c r="AM89" s="4"/>
      <c r="AN89" s="15"/>
      <c r="AO89" s="15"/>
      <c r="AP89" s="15"/>
      <c r="AQ89" s="4"/>
      <c r="AR89" s="4"/>
      <c r="AS89" s="4"/>
      <c r="AT89" s="4"/>
      <c r="AU89" s="4"/>
      <c r="AV89" s="4"/>
      <c r="AW89" s="4"/>
      <c r="AX89" s="4"/>
    </row>
    <row r="90" spans="15:50" x14ac:dyDescent="0.2">
      <c r="W90" s="11"/>
      <c r="X90" s="11"/>
    </row>
    <row r="91" spans="15:50" x14ac:dyDescent="0.2">
      <c r="O91" s="3"/>
      <c r="P91" s="3"/>
      <c r="Q91" s="3"/>
      <c r="W91" s="11"/>
      <c r="X91" s="11"/>
    </row>
    <row r="92" spans="15:50" x14ac:dyDescent="0.2">
      <c r="O92" s="3"/>
      <c r="P92" s="3"/>
      <c r="Q92" s="3"/>
      <c r="W92" s="11"/>
      <c r="X92" s="11"/>
    </row>
    <row r="93" spans="15:50" x14ac:dyDescent="0.2">
      <c r="O93" s="3"/>
      <c r="P93" s="3"/>
      <c r="Q93" s="3"/>
      <c r="W93" s="11"/>
      <c r="X93" s="11"/>
    </row>
    <row r="94" spans="15:50" x14ac:dyDescent="0.2">
      <c r="O94" s="3"/>
      <c r="P94" s="3"/>
      <c r="Q94" s="3"/>
    </row>
    <row r="95" spans="15:50" x14ac:dyDescent="0.2">
      <c r="O95" s="3"/>
      <c r="P95" s="3"/>
      <c r="Q95" s="3"/>
    </row>
    <row r="96" spans="15:50" x14ac:dyDescent="0.2">
      <c r="O96" s="3"/>
      <c r="P96" s="3"/>
      <c r="Q96" s="3"/>
    </row>
    <row r="97" spans="15:17" x14ac:dyDescent="0.2">
      <c r="O97" s="3"/>
      <c r="P97" s="3"/>
      <c r="Q97" s="3"/>
    </row>
    <row r="98" spans="15:17" x14ac:dyDescent="0.2">
      <c r="O98" s="2"/>
      <c r="P98" s="2"/>
      <c r="Q98" s="2"/>
    </row>
    <row r="99" spans="15:17" x14ac:dyDescent="0.2">
      <c r="O99" s="2"/>
      <c r="P99" s="2"/>
      <c r="Q99" s="2"/>
    </row>
  </sheetData>
  <sheetProtection selectLockedCells="1"/>
  <mergeCells count="36">
    <mergeCell ref="V38:AC38"/>
    <mergeCell ref="V40:AC40"/>
    <mergeCell ref="Y57:AB57"/>
    <mergeCell ref="Y59:AB59"/>
    <mergeCell ref="A74:J74"/>
    <mergeCell ref="AE26:AE34"/>
    <mergeCell ref="AJ26:AJ34"/>
    <mergeCell ref="AO26:AO34"/>
    <mergeCell ref="AT26:AT34"/>
    <mergeCell ref="AY26:AY34"/>
    <mergeCell ref="AE35:AE38"/>
    <mergeCell ref="AJ35:AJ38"/>
    <mergeCell ref="AO35:AO38"/>
    <mergeCell ref="AT35:AT38"/>
    <mergeCell ref="AY35:AY38"/>
    <mergeCell ref="D24:H24"/>
    <mergeCell ref="AY4:AY7"/>
    <mergeCell ref="D6:H6"/>
    <mergeCell ref="AE8:AE16"/>
    <mergeCell ref="AJ8:AJ16"/>
    <mergeCell ref="AO8:AO16"/>
    <mergeCell ref="AT8:AT16"/>
    <mergeCell ref="AY8:AY16"/>
    <mergeCell ref="D10:H10"/>
    <mergeCell ref="E16:G16"/>
    <mergeCell ref="AT4:AT7"/>
    <mergeCell ref="AE17:AE25"/>
    <mergeCell ref="AJ17:AJ25"/>
    <mergeCell ref="AO17:AO25"/>
    <mergeCell ref="AT17:AT25"/>
    <mergeCell ref="AY17:AY25"/>
    <mergeCell ref="A1:J1"/>
    <mergeCell ref="D4:H4"/>
    <mergeCell ref="AE4:AE7"/>
    <mergeCell ref="AJ4:AJ7"/>
    <mergeCell ref="AO4:AO7"/>
  </mergeCells>
  <dataValidations count="10">
    <dataValidation type="custom" allowBlank="1" showInputMessage="1" showErrorMessage="1" sqref="E15:G15" xr:uid="{EE981E12-0809-4661-84EE-75F3A727DAEB}">
      <formula1>E15&gt;0</formula1>
    </dataValidation>
    <dataValidation type="list" allowBlank="1" showInputMessage="1" showErrorMessage="1" sqref="E17:G17" xr:uid="{14AA4D56-B684-47F6-ADA3-D43B2B4B297D}">
      <formula1>INDIRECT($D$6)</formula1>
    </dataValidation>
    <dataValidation type="list" allowBlank="1" showInputMessage="1" showErrorMessage="1" sqref="D17" xr:uid="{4FDA5FEC-0AF5-433A-9208-75A4D432A373}">
      <formula1>INDIRECT($D$16)</formula1>
    </dataValidation>
    <dataValidation type="list" allowBlank="1" showInputMessage="1" showErrorMessage="1" sqref="D16" xr:uid="{061E18E1-05C1-4971-992B-2E4BA9B601EB}">
      <formula1>INDIRECT($D$14)</formula1>
    </dataValidation>
    <dataValidation type="list" allowBlank="1" showInputMessage="1" showErrorMessage="1" sqref="H14 D14" xr:uid="{258789F1-82A4-4E50-AFF5-8C47DB2AEA90}">
      <formula1>$A$70:$A$71</formula1>
    </dataValidation>
    <dataValidation type="list" allowBlank="1" showInputMessage="1" showErrorMessage="1" sqref="H16" xr:uid="{C457719F-E5E4-416B-8885-09276E28E34F}">
      <formula1>INDIRECT($H$14)</formula1>
    </dataValidation>
    <dataValidation type="list" allowBlank="1" showInputMessage="1" showErrorMessage="1" sqref="H17" xr:uid="{239793A8-8BE1-4266-A732-DC4CEDD09F60}">
      <formula1>INDIRECT($H$16)</formula1>
    </dataValidation>
    <dataValidation type="list" allowBlank="1" showInputMessage="1" showErrorMessage="1" sqref="D6" xr:uid="{DD406128-6DAA-4F07-A96D-EC1E2F6E5604}">
      <formula1>$I$69:$I$70</formula1>
    </dataValidation>
    <dataValidation type="custom" allowBlank="1" showInputMessage="1" showErrorMessage="1" sqref="H15" xr:uid="{5D971D01-93F0-4CEB-923E-AA2175364102}">
      <formula1>IF(H14=A71,H15=0,H15&gt;0)</formula1>
    </dataValidation>
    <dataValidation type="custom" allowBlank="1" showInputMessage="1" showErrorMessage="1" sqref="D15" xr:uid="{85FF9500-10CC-4793-9018-90B8E1558EDB}">
      <formula1>IF(D14=A71,D15=0,D15&gt;0)</formula1>
    </dataValidation>
  </dataValidations>
  <pageMargins left="0.52" right="0.4" top="0.24" bottom="0.41" header="0.22" footer="0.31496062992125984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Macro22">
                <anchor moveWithCells="1" sizeWithCells="1">
                  <from>
                    <xdr:col>8</xdr:col>
                    <xdr:colOff>28575</xdr:colOff>
                    <xdr:row>25</xdr:row>
                    <xdr:rowOff>9525</xdr:rowOff>
                  </from>
                  <to>
                    <xdr:col>8</xdr:col>
                    <xdr:colOff>571500</xdr:colOff>
                    <xdr:row>25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Macro23">
                <anchor moveWithCells="1" sizeWithCells="1">
                  <from>
                    <xdr:col>8</xdr:col>
                    <xdr:colOff>28575</xdr:colOff>
                    <xdr:row>26</xdr:row>
                    <xdr:rowOff>9525</xdr:rowOff>
                  </from>
                  <to>
                    <xdr:col>8</xdr:col>
                    <xdr:colOff>571500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Macro24">
                <anchor moveWithCells="1" sizeWithCells="1">
                  <from>
                    <xdr:col>8</xdr:col>
                    <xdr:colOff>28575</xdr:colOff>
                    <xdr:row>27</xdr:row>
                    <xdr:rowOff>9525</xdr:rowOff>
                  </from>
                  <to>
                    <xdr:col>8</xdr:col>
                    <xdr:colOff>571500</xdr:colOff>
                    <xdr:row>27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Macro25">
                <anchor moveWithCells="1" sizeWithCells="1">
                  <from>
                    <xdr:col>8</xdr:col>
                    <xdr:colOff>28575</xdr:colOff>
                    <xdr:row>28</xdr:row>
                    <xdr:rowOff>9525</xdr:rowOff>
                  </from>
                  <to>
                    <xdr:col>8</xdr:col>
                    <xdr:colOff>571500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Macro26">
                <anchor moveWithCells="1" sizeWithCells="1">
                  <from>
                    <xdr:col>8</xdr:col>
                    <xdr:colOff>28575</xdr:colOff>
                    <xdr:row>29</xdr:row>
                    <xdr:rowOff>19050</xdr:rowOff>
                  </from>
                  <to>
                    <xdr:col>8</xdr:col>
                    <xdr:colOff>571500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Macro27">
                <anchor moveWithCells="1" sizeWithCells="1">
                  <from>
                    <xdr:col>9</xdr:col>
                    <xdr:colOff>28575</xdr:colOff>
                    <xdr:row>25</xdr:row>
                    <xdr:rowOff>19050</xdr:rowOff>
                  </from>
                  <to>
                    <xdr:col>9</xdr:col>
                    <xdr:colOff>571500</xdr:colOff>
                    <xdr:row>29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Macro12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10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Macro43">
                <anchor moveWithCells="1" sizeWithCells="1">
                  <from>
                    <xdr:col>7</xdr:col>
                    <xdr:colOff>0</xdr:colOff>
                    <xdr:row>11</xdr:row>
                    <xdr:rowOff>19050</xdr:rowOff>
                  </from>
                  <to>
                    <xdr:col>8</xdr:col>
                    <xdr:colOff>19050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Macro1">
                <anchor moveWithCells="1" sizeWithCells="1">
                  <from>
                    <xdr:col>3</xdr:col>
                    <xdr:colOff>19050</xdr:colOff>
                    <xdr:row>11</xdr:row>
                    <xdr:rowOff>19050</xdr:rowOff>
                  </from>
                  <to>
                    <xdr:col>4</xdr:col>
                    <xdr:colOff>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Macro44">
                <anchor moveWithCells="1" sizeWithCells="1">
                  <from>
                    <xdr:col>3</xdr:col>
                    <xdr:colOff>19050</xdr:colOff>
                    <xdr:row>19</xdr:row>
                    <xdr:rowOff>19050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Macro45">
                <anchor moveWithCells="1" sizeWithCells="1">
                  <from>
                    <xdr:col>7</xdr:col>
                    <xdr:colOff>9525</xdr:colOff>
                    <xdr:row>19</xdr:row>
                    <xdr:rowOff>28575</xdr:rowOff>
                  </from>
                  <to>
                    <xdr:col>8</xdr:col>
                    <xdr:colOff>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Sezionecadatre">
                <anchor moveWithCells="1" sizeWithCells="1">
                  <from>
                    <xdr:col>8</xdr:col>
                    <xdr:colOff>76200</xdr:colOff>
                    <xdr:row>13</xdr:row>
                    <xdr:rowOff>0</xdr:rowOff>
                  </from>
                  <to>
                    <xdr:col>9</xdr:col>
                    <xdr:colOff>514350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Sezioneacciaiodatre">
                <anchor moveWithCells="1" sizeWithCells="1">
                  <from>
                    <xdr:col>8</xdr:col>
                    <xdr:colOff>76200</xdr:colOff>
                    <xdr:row>16</xdr:row>
                    <xdr:rowOff>28575</xdr:rowOff>
                  </from>
                  <to>
                    <xdr:col>9</xdr:col>
                    <xdr:colOff>514350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3"/>
  <dimension ref="A1:BD99"/>
  <sheetViews>
    <sheetView showGridLines="0" zoomScale="85" zoomScaleNormal="85" workbookViewId="0">
      <selection activeCell="J3" sqref="J3"/>
    </sheetView>
  </sheetViews>
  <sheetFormatPr defaultColWidth="9.140625" defaultRowHeight="12" x14ac:dyDescent="0.2"/>
  <cols>
    <col min="1" max="11" width="9.140625" style="1"/>
    <col min="12" max="12" width="9.5703125" style="1" bestFit="1" customWidth="1"/>
    <col min="13" max="31" width="9.140625" style="1"/>
    <col min="32" max="50" width="9.140625" style="1" customWidth="1"/>
    <col min="51" max="16384" width="9.140625" style="1"/>
  </cols>
  <sheetData>
    <row r="1" spans="1:56" ht="12.75" thickBot="1" x14ac:dyDescent="0.25">
      <c r="A1" s="334" t="s">
        <v>459</v>
      </c>
      <c r="B1" s="334"/>
      <c r="C1" s="334"/>
      <c r="D1" s="334"/>
      <c r="E1" s="334"/>
      <c r="F1" s="334"/>
      <c r="G1" s="334"/>
      <c r="H1" s="334"/>
      <c r="I1" s="334"/>
      <c r="J1" s="334"/>
      <c r="U1" s="2"/>
      <c r="AF1" s="2" t="s">
        <v>58</v>
      </c>
      <c r="AK1" s="2" t="s">
        <v>62</v>
      </c>
      <c r="AP1" s="2" t="s">
        <v>63</v>
      </c>
      <c r="AU1" s="2" t="s">
        <v>64</v>
      </c>
      <c r="AZ1" s="2" t="s">
        <v>65</v>
      </c>
    </row>
    <row r="2" spans="1:56" ht="14.25" customHeight="1" thickTop="1" x14ac:dyDescent="0.25">
      <c r="O2" s="12"/>
      <c r="AE2" s="120"/>
      <c r="AF2" s="122" t="s">
        <v>54</v>
      </c>
      <c r="AG2" s="39" t="s">
        <v>55</v>
      </c>
      <c r="AH2" s="39" t="s">
        <v>3</v>
      </c>
      <c r="AI2" s="39" t="s">
        <v>4</v>
      </c>
      <c r="AJ2" s="120"/>
      <c r="AK2" s="122" t="s">
        <v>54</v>
      </c>
      <c r="AL2" s="39" t="s">
        <v>55</v>
      </c>
      <c r="AM2" s="39" t="s">
        <v>3</v>
      </c>
      <c r="AN2" s="39" t="s">
        <v>4</v>
      </c>
      <c r="AP2" s="122" t="s">
        <v>54</v>
      </c>
      <c r="AQ2" s="39" t="s">
        <v>55</v>
      </c>
      <c r="AR2" s="39" t="s">
        <v>3</v>
      </c>
      <c r="AS2" s="39" t="s">
        <v>4</v>
      </c>
      <c r="AU2" s="122" t="s">
        <v>54</v>
      </c>
      <c r="AV2" s="39" t="s">
        <v>55</v>
      </c>
      <c r="AW2" s="39" t="s">
        <v>3</v>
      </c>
      <c r="AX2" s="39" t="s">
        <v>4</v>
      </c>
      <c r="AZ2" s="122" t="s">
        <v>54</v>
      </c>
      <c r="BA2" s="39" t="s">
        <v>55</v>
      </c>
      <c r="BB2" s="39" t="s">
        <v>3</v>
      </c>
      <c r="BC2" s="39" t="s">
        <v>4</v>
      </c>
    </row>
    <row r="3" spans="1:56" ht="13.5" customHeight="1" x14ac:dyDescent="0.2">
      <c r="AF3" s="121" t="s">
        <v>59</v>
      </c>
      <c r="AG3" s="121" t="s">
        <v>59</v>
      </c>
      <c r="AH3" s="121" t="s">
        <v>60</v>
      </c>
      <c r="AI3" s="121" t="s">
        <v>61</v>
      </c>
      <c r="AJ3" s="119"/>
      <c r="AK3" s="121" t="s">
        <v>59</v>
      </c>
      <c r="AL3" s="121" t="s">
        <v>59</v>
      </c>
      <c r="AM3" s="121" t="s">
        <v>60</v>
      </c>
      <c r="AN3" s="121" t="s">
        <v>61</v>
      </c>
      <c r="AP3" s="121" t="s">
        <v>59</v>
      </c>
      <c r="AQ3" s="121" t="s">
        <v>59</v>
      </c>
      <c r="AR3" s="121" t="s">
        <v>60</v>
      </c>
      <c r="AS3" s="121" t="s">
        <v>61</v>
      </c>
      <c r="AU3" s="121" t="s">
        <v>59</v>
      </c>
      <c r="AV3" s="121" t="s">
        <v>59</v>
      </c>
      <c r="AW3" s="121" t="s">
        <v>60</v>
      </c>
      <c r="AX3" s="121" t="s">
        <v>61</v>
      </c>
      <c r="AZ3" s="121" t="s">
        <v>59</v>
      </c>
      <c r="BA3" s="121" t="s">
        <v>59</v>
      </c>
      <c r="BB3" s="121" t="s">
        <v>60</v>
      </c>
      <c r="BC3" s="121" t="s">
        <v>61</v>
      </c>
    </row>
    <row r="4" spans="1:56" x14ac:dyDescent="0.2">
      <c r="D4" s="343" t="s">
        <v>465</v>
      </c>
      <c r="E4" s="343"/>
      <c r="F4" s="343"/>
      <c r="G4" s="343"/>
      <c r="H4" s="343"/>
      <c r="I4" s="253"/>
      <c r="AE4" s="339" t="s">
        <v>56</v>
      </c>
      <c r="AF4" s="203">
        <f>AG4</f>
        <v>0</v>
      </c>
      <c r="AG4" s="203">
        <f>'CCCC-car.1'!AD47</f>
        <v>0</v>
      </c>
      <c r="AH4" s="203">
        <f>'CCCC-car.1'!AE47</f>
        <v>0</v>
      </c>
      <c r="AI4" s="203">
        <f>'CCCC-car.1'!AF47</f>
        <v>0</v>
      </c>
      <c r="AJ4" s="339" t="s">
        <v>56</v>
      </c>
      <c r="AK4" s="203">
        <f>AF4</f>
        <v>0</v>
      </c>
      <c r="AL4" s="203">
        <f>'CCCC-car.2'!AD47</f>
        <v>0</v>
      </c>
      <c r="AM4" s="203">
        <f>'CCCC-car.2'!AE47</f>
        <v>0</v>
      </c>
      <c r="AN4" s="203">
        <f>'CCCC-car.2'!AF47</f>
        <v>0</v>
      </c>
      <c r="AO4" s="339" t="s">
        <v>56</v>
      </c>
      <c r="AP4" s="203">
        <f>AK4</f>
        <v>0</v>
      </c>
      <c r="AQ4" s="203">
        <f>'CCCC-car.3'!AD47</f>
        <v>0</v>
      </c>
      <c r="AR4" s="203">
        <f>'CCCC-car.3'!AE47</f>
        <v>0</v>
      </c>
      <c r="AS4" s="203">
        <f>'CCCC-car.3'!AF47</f>
        <v>0</v>
      </c>
      <c r="AT4" s="339" t="s">
        <v>56</v>
      </c>
      <c r="AU4" s="203">
        <f>AP4</f>
        <v>0</v>
      </c>
      <c r="AV4" s="203">
        <f>'CCCC-car.4'!AD47</f>
        <v>0</v>
      </c>
      <c r="AW4" s="203">
        <f>'CCCC-car.4'!AE47</f>
        <v>0</v>
      </c>
      <c r="AX4" s="203">
        <f>'CCCC-car.4'!AF47</f>
        <v>0</v>
      </c>
      <c r="AY4" s="339" t="s">
        <v>56</v>
      </c>
      <c r="AZ4" s="203">
        <f>AU4</f>
        <v>0</v>
      </c>
      <c r="BA4" s="203">
        <f>'CCCC-car.5'!AD47</f>
        <v>0</v>
      </c>
      <c r="BB4" s="203">
        <f>'CCCC-car.5'!AE47</f>
        <v>0</v>
      </c>
      <c r="BC4" s="203">
        <f>'CCCC-car.5'!AF47</f>
        <v>0</v>
      </c>
    </row>
    <row r="5" spans="1:56" x14ac:dyDescent="0.2">
      <c r="D5" s="3"/>
      <c r="G5" s="3"/>
      <c r="AE5" s="339"/>
      <c r="AF5" s="201">
        <f t="shared" ref="AF5:AF7" si="0">AG5</f>
        <v>0</v>
      </c>
      <c r="AG5" s="201">
        <f>'CCCC-car.1'!AD48</f>
        <v>0</v>
      </c>
      <c r="AH5" s="201">
        <f>'CCCC-car.1'!AE48</f>
        <v>0</v>
      </c>
      <c r="AI5" s="201">
        <f>'CCCC-car.1'!AF48</f>
        <v>0</v>
      </c>
      <c r="AJ5" s="339"/>
      <c r="AK5" s="201">
        <f t="shared" ref="AK5:AK47" si="1">AF5</f>
        <v>0</v>
      </c>
      <c r="AL5" s="201">
        <f>'CCCC-car.2'!AD48</f>
        <v>0</v>
      </c>
      <c r="AM5" s="201">
        <f>'CCCC-car.2'!AE48</f>
        <v>0</v>
      </c>
      <c r="AN5" s="201">
        <f>'CCCC-car.2'!AF48</f>
        <v>0</v>
      </c>
      <c r="AO5" s="339"/>
      <c r="AP5" s="201">
        <f t="shared" ref="AP5:AP47" si="2">AK5</f>
        <v>0</v>
      </c>
      <c r="AQ5" s="201">
        <f>'CCCC-car.3'!AD48</f>
        <v>0</v>
      </c>
      <c r="AR5" s="201">
        <f>'CCCC-car.3'!AE48</f>
        <v>0</v>
      </c>
      <c r="AS5" s="201">
        <f>'CCCC-car.3'!AF48</f>
        <v>0</v>
      </c>
      <c r="AT5" s="339"/>
      <c r="AU5" s="201">
        <f t="shared" ref="AU5:AU47" si="3">AP5</f>
        <v>0</v>
      </c>
      <c r="AV5" s="201">
        <f>'CCCC-car.4'!AD48</f>
        <v>0</v>
      </c>
      <c r="AW5" s="201">
        <f>'CCCC-car.4'!AE48</f>
        <v>0</v>
      </c>
      <c r="AX5" s="201">
        <f>'CCCC-car.4'!AF48</f>
        <v>0</v>
      </c>
      <c r="AY5" s="339"/>
      <c r="AZ5" s="201">
        <f t="shared" ref="AZ5:AZ47" si="4">AU5</f>
        <v>0</v>
      </c>
      <c r="BA5" s="201">
        <f>'CCCC-car.5'!AD48</f>
        <v>0</v>
      </c>
      <c r="BB5" s="201">
        <f>'CCCC-car.5'!AE48</f>
        <v>0</v>
      </c>
      <c r="BC5" s="201">
        <f>'CCCC-car.5'!AF48</f>
        <v>0</v>
      </c>
    </row>
    <row r="6" spans="1:56" x14ac:dyDescent="0.2">
      <c r="D6" s="340" t="s">
        <v>452</v>
      </c>
      <c r="E6" s="340"/>
      <c r="F6" s="340"/>
      <c r="G6" s="340"/>
      <c r="H6" s="340"/>
      <c r="AE6" s="339"/>
      <c r="AF6" s="201">
        <f t="shared" si="0"/>
        <v>0</v>
      </c>
      <c r="AG6" s="201">
        <f>'CCCC-car.1'!AD49</f>
        <v>0</v>
      </c>
      <c r="AH6" s="201">
        <f>'CCCC-car.1'!AE49</f>
        <v>0</v>
      </c>
      <c r="AI6" s="201">
        <f>'CCCC-car.1'!AF49</f>
        <v>0</v>
      </c>
      <c r="AJ6" s="339"/>
      <c r="AK6" s="201">
        <f t="shared" si="1"/>
        <v>0</v>
      </c>
      <c r="AL6" s="201">
        <f>'CCCC-car.2'!AD49</f>
        <v>0</v>
      </c>
      <c r="AM6" s="201">
        <f>'CCCC-car.2'!AE49</f>
        <v>0</v>
      </c>
      <c r="AN6" s="201">
        <f>'CCCC-car.2'!AF49</f>
        <v>0</v>
      </c>
      <c r="AO6" s="339"/>
      <c r="AP6" s="201">
        <f t="shared" si="2"/>
        <v>0</v>
      </c>
      <c r="AQ6" s="201">
        <f>'CCCC-car.3'!AD49</f>
        <v>0</v>
      </c>
      <c r="AR6" s="201">
        <f>'CCCC-car.3'!AE49</f>
        <v>0</v>
      </c>
      <c r="AS6" s="201">
        <f>'CCCC-car.3'!AF49</f>
        <v>0</v>
      </c>
      <c r="AT6" s="339"/>
      <c r="AU6" s="201">
        <f t="shared" si="3"/>
        <v>0</v>
      </c>
      <c r="AV6" s="201">
        <f>'CCCC-car.4'!AD49</f>
        <v>0</v>
      </c>
      <c r="AW6" s="201">
        <f>'CCCC-car.4'!AE49</f>
        <v>0</v>
      </c>
      <c r="AX6" s="201">
        <f>'CCCC-car.4'!AF49</f>
        <v>0</v>
      </c>
      <c r="AY6" s="339"/>
      <c r="AZ6" s="201">
        <f t="shared" si="4"/>
        <v>0</v>
      </c>
      <c r="BA6" s="201">
        <f>'CCCC-car.5'!AD49</f>
        <v>0</v>
      </c>
      <c r="BB6" s="201">
        <f>'CCCC-car.5'!AE49</f>
        <v>0</v>
      </c>
      <c r="BC6" s="201">
        <f>'CCCC-car.5'!AF49</f>
        <v>0</v>
      </c>
    </row>
    <row r="7" spans="1:56" ht="12" customHeight="1" x14ac:dyDescent="0.2">
      <c r="AE7" s="339"/>
      <c r="AF7" s="204">
        <f t="shared" si="0"/>
        <v>0</v>
      </c>
      <c r="AG7" s="204">
        <f>'CCCC-car.1'!AD50</f>
        <v>0</v>
      </c>
      <c r="AH7" s="204">
        <f>'CCCC-car.1'!AE50</f>
        <v>0</v>
      </c>
      <c r="AI7" s="204">
        <f>'CCCC-car.1'!AF50</f>
        <v>0</v>
      </c>
      <c r="AJ7" s="339"/>
      <c r="AK7" s="204">
        <f t="shared" si="1"/>
        <v>0</v>
      </c>
      <c r="AL7" s="204">
        <f>'CCCC-car.2'!AD50</f>
        <v>0</v>
      </c>
      <c r="AM7" s="204">
        <f>'CCCC-car.2'!AE50</f>
        <v>0</v>
      </c>
      <c r="AN7" s="204">
        <f>'CCCC-car.2'!AF50</f>
        <v>0</v>
      </c>
      <c r="AO7" s="339"/>
      <c r="AP7" s="204">
        <f t="shared" si="2"/>
        <v>0</v>
      </c>
      <c r="AQ7" s="204">
        <f>'CCCC-car.3'!AD50</f>
        <v>0</v>
      </c>
      <c r="AR7" s="204">
        <f>'CCCC-car.3'!AE50</f>
        <v>0</v>
      </c>
      <c r="AS7" s="204">
        <f>'CCCC-car.3'!AF50</f>
        <v>0</v>
      </c>
      <c r="AT7" s="339"/>
      <c r="AU7" s="204">
        <f t="shared" si="3"/>
        <v>0</v>
      </c>
      <c r="AV7" s="204">
        <f>'CCCC-car.4'!AD50</f>
        <v>0</v>
      </c>
      <c r="AW7" s="204">
        <f>'CCCC-car.4'!AE50</f>
        <v>0</v>
      </c>
      <c r="AX7" s="204">
        <f>'CCCC-car.4'!AF50</f>
        <v>0</v>
      </c>
      <c r="AY7" s="339"/>
      <c r="AZ7" s="204">
        <f t="shared" si="4"/>
        <v>0</v>
      </c>
      <c r="BA7" s="204">
        <f>'CCCC-car.5'!AD50</f>
        <v>0</v>
      </c>
      <c r="BB7" s="204">
        <f>'CCCC-car.5'!AE50</f>
        <v>0</v>
      </c>
      <c r="BC7" s="204">
        <f>'CCCC-car.5'!AF50</f>
        <v>0</v>
      </c>
    </row>
    <row r="8" spans="1:56" x14ac:dyDescent="0.2">
      <c r="AE8" s="338" t="s">
        <v>30</v>
      </c>
      <c r="AF8" s="203">
        <f t="shared" ref="AF8:AF16" si="5">AG8-$AG$7</f>
        <v>0</v>
      </c>
      <c r="AG8" s="203">
        <f>'CCCC-car.1'!AD51</f>
        <v>0</v>
      </c>
      <c r="AH8" s="203">
        <f>'CCCC-car.1'!AE51</f>
        <v>0</v>
      </c>
      <c r="AI8" s="203">
        <f>'CCCC-car.1'!AF51</f>
        <v>10.625</v>
      </c>
      <c r="AJ8" s="338" t="s">
        <v>30</v>
      </c>
      <c r="AK8" s="203">
        <f t="shared" si="1"/>
        <v>0</v>
      </c>
      <c r="AL8" s="203">
        <f>'CCCC-car.2'!AD51</f>
        <v>0</v>
      </c>
      <c r="AM8" s="203">
        <f>'CCCC-car.2'!AE51</f>
        <v>0</v>
      </c>
      <c r="AN8" s="203">
        <f>'CCCC-car.2'!AF51</f>
        <v>3.125</v>
      </c>
      <c r="AO8" s="338" t="s">
        <v>30</v>
      </c>
      <c r="AP8" s="203">
        <f t="shared" si="2"/>
        <v>0</v>
      </c>
      <c r="AQ8" s="203">
        <f>'CCCC-car.3'!AD51</f>
        <v>0</v>
      </c>
      <c r="AR8" s="203">
        <f>'CCCC-car.3'!AE51</f>
        <v>0</v>
      </c>
      <c r="AS8" s="203">
        <f>'CCCC-car.3'!AF51</f>
        <v>9.6875</v>
      </c>
      <c r="AT8" s="338" t="s">
        <v>30</v>
      </c>
      <c r="AU8" s="203">
        <f t="shared" si="3"/>
        <v>0</v>
      </c>
      <c r="AV8" s="203">
        <f>'CCCC-car.4'!AD51</f>
        <v>0</v>
      </c>
      <c r="AW8" s="203">
        <f>'CCCC-car.4'!AE51</f>
        <v>0</v>
      </c>
      <c r="AX8" s="203">
        <f>'CCCC-car.4'!AF51</f>
        <v>3.3928571428571432</v>
      </c>
      <c r="AY8" s="338" t="s">
        <v>30</v>
      </c>
      <c r="AZ8" s="203">
        <f t="shared" si="4"/>
        <v>0</v>
      </c>
      <c r="BA8" s="203">
        <f>'CCCC-car.5'!AD51</f>
        <v>0</v>
      </c>
      <c r="BB8" s="203">
        <f>'CCCC-car.5'!AE51</f>
        <v>0</v>
      </c>
      <c r="BC8" s="203">
        <f>'CCCC-car.5'!AF51</f>
        <v>4.0625</v>
      </c>
    </row>
    <row r="9" spans="1:56" x14ac:dyDescent="0.2">
      <c r="AE9" s="338"/>
      <c r="AF9" s="201">
        <f t="shared" si="5"/>
        <v>0.625</v>
      </c>
      <c r="AG9" s="201">
        <f>'CCCC-car.1'!AD52</f>
        <v>0.625</v>
      </c>
      <c r="AH9" s="201">
        <f>'CCCC-car.1'!AE52</f>
        <v>5.6640625</v>
      </c>
      <c r="AI9" s="201">
        <f>'CCCC-car.1'!AF52</f>
        <v>7.5</v>
      </c>
      <c r="AJ9" s="338"/>
      <c r="AK9" s="201">
        <f t="shared" si="1"/>
        <v>0.625</v>
      </c>
      <c r="AL9" s="201">
        <f>'CCCC-car.2'!AD52</f>
        <v>0.625</v>
      </c>
      <c r="AM9" s="201">
        <f>'CCCC-car.2'!AE52</f>
        <v>1.5625</v>
      </c>
      <c r="AN9" s="201">
        <f>'CCCC-car.2'!AF52</f>
        <v>1.875</v>
      </c>
      <c r="AO9" s="338"/>
      <c r="AP9" s="201">
        <f t="shared" si="2"/>
        <v>0.625</v>
      </c>
      <c r="AQ9" s="201">
        <f>'CCCC-car.3'!AD52</f>
        <v>0.625</v>
      </c>
      <c r="AR9" s="201">
        <f>'CCCC-car.3'!AE52</f>
        <v>5.078125</v>
      </c>
      <c r="AS9" s="201">
        <f>'CCCC-car.3'!AF52</f>
        <v>6.5625</v>
      </c>
      <c r="AT9" s="338"/>
      <c r="AU9" s="201">
        <f t="shared" si="3"/>
        <v>0.625</v>
      </c>
      <c r="AV9" s="201">
        <f>'CCCC-car.4'!AD52</f>
        <v>0.625</v>
      </c>
      <c r="AW9" s="201">
        <f>'CCCC-car.4'!AE52</f>
        <v>1.7299107142857144</v>
      </c>
      <c r="AX9" s="201">
        <f>'CCCC-car.4'!AF52</f>
        <v>2.1428571428571432</v>
      </c>
      <c r="AY9" s="338"/>
      <c r="AZ9" s="201">
        <f t="shared" si="4"/>
        <v>0.625</v>
      </c>
      <c r="BA9" s="201">
        <f>'CCCC-car.5'!AD52</f>
        <v>0.625</v>
      </c>
      <c r="BB9" s="201">
        <f>'CCCC-car.5'!AE52</f>
        <v>2.1484375</v>
      </c>
      <c r="BC9" s="201">
        <f>'CCCC-car.5'!AF52</f>
        <v>2.8125</v>
      </c>
    </row>
    <row r="10" spans="1:56" x14ac:dyDescent="0.2">
      <c r="A10" s="286"/>
      <c r="B10" s="286"/>
      <c r="C10" s="343" t="s">
        <v>466</v>
      </c>
      <c r="D10" s="343"/>
      <c r="E10" s="343"/>
      <c r="F10" s="343"/>
      <c r="G10" s="343"/>
      <c r="H10" s="343"/>
      <c r="AE10" s="338"/>
      <c r="AF10" s="201">
        <f t="shared" si="5"/>
        <v>1.25</v>
      </c>
      <c r="AG10" s="201">
        <f>'CCCC-car.1'!AD53</f>
        <v>1.25</v>
      </c>
      <c r="AH10" s="201">
        <f>'CCCC-car.1'!AE53</f>
        <v>9.375</v>
      </c>
      <c r="AI10" s="201">
        <f>'CCCC-car.1'!AF53</f>
        <v>4.375</v>
      </c>
      <c r="AJ10" s="338"/>
      <c r="AK10" s="201">
        <f t="shared" si="1"/>
        <v>1.25</v>
      </c>
      <c r="AL10" s="201">
        <f>'CCCC-car.2'!AD53</f>
        <v>1.25</v>
      </c>
      <c r="AM10" s="201">
        <f>'CCCC-car.2'!AE53</f>
        <v>2.34375</v>
      </c>
      <c r="AN10" s="201">
        <f>'CCCC-car.2'!AF53</f>
        <v>0.625</v>
      </c>
      <c r="AO10" s="338"/>
      <c r="AP10" s="201">
        <f t="shared" si="2"/>
        <v>1.25</v>
      </c>
      <c r="AQ10" s="201">
        <f>'CCCC-car.3'!AD53</f>
        <v>1.25</v>
      </c>
      <c r="AR10" s="201">
        <f>'CCCC-car.3'!AE53</f>
        <v>8.203125</v>
      </c>
      <c r="AS10" s="201">
        <f>'CCCC-car.3'!AF53</f>
        <v>3.4375</v>
      </c>
      <c r="AT10" s="338"/>
      <c r="AU10" s="201">
        <f t="shared" si="3"/>
        <v>1.25</v>
      </c>
      <c r="AV10" s="201">
        <f>'CCCC-car.4'!AD53</f>
        <v>1.25</v>
      </c>
      <c r="AW10" s="201">
        <f>'CCCC-car.4'!AE53</f>
        <v>2.6785714285714288</v>
      </c>
      <c r="AX10" s="201">
        <f>'CCCC-car.4'!AF53</f>
        <v>0.89285714285714324</v>
      </c>
      <c r="AY10" s="338"/>
      <c r="AZ10" s="201">
        <f t="shared" si="4"/>
        <v>1.25</v>
      </c>
      <c r="BA10" s="201">
        <f>'CCCC-car.5'!AD53</f>
        <v>1.25</v>
      </c>
      <c r="BB10" s="201">
        <f>'CCCC-car.5'!AE53</f>
        <v>3.515625</v>
      </c>
      <c r="BC10" s="201">
        <f>'CCCC-car.5'!AF53</f>
        <v>1.5625</v>
      </c>
    </row>
    <row r="11" spans="1:56" x14ac:dyDescent="0.2">
      <c r="A11" s="46"/>
      <c r="B11" s="46"/>
      <c r="C11" s="46"/>
      <c r="D11" s="46"/>
      <c r="E11" s="46"/>
      <c r="F11" s="46"/>
      <c r="G11" s="46"/>
      <c r="H11" s="46"/>
      <c r="AE11" s="338"/>
      <c r="AF11" s="201">
        <f t="shared" si="5"/>
        <v>1.875</v>
      </c>
      <c r="AG11" s="201">
        <f>'CCCC-car.1'!AD54</f>
        <v>1.875</v>
      </c>
      <c r="AH11" s="201">
        <f>'CCCC-car.1'!AE54</f>
        <v>11.1328125</v>
      </c>
      <c r="AI11" s="201">
        <f>'CCCC-car.1'!AF54</f>
        <v>1.25</v>
      </c>
      <c r="AJ11" s="338"/>
      <c r="AK11" s="201">
        <f t="shared" si="1"/>
        <v>1.875</v>
      </c>
      <c r="AL11" s="201">
        <f>'CCCC-car.2'!AD54</f>
        <v>1.875</v>
      </c>
      <c r="AM11" s="201">
        <f>'CCCC-car.2'!AE54</f>
        <v>2.34375</v>
      </c>
      <c r="AN11" s="201">
        <f>'CCCC-car.2'!AF54</f>
        <v>-0.625</v>
      </c>
      <c r="AO11" s="338"/>
      <c r="AP11" s="201">
        <f t="shared" si="2"/>
        <v>1.875</v>
      </c>
      <c r="AQ11" s="201">
        <f>'CCCC-car.3'!AD54</f>
        <v>1.875</v>
      </c>
      <c r="AR11" s="201">
        <f>'CCCC-car.3'!AE54</f>
        <v>9.375</v>
      </c>
      <c r="AS11" s="201">
        <f>'CCCC-car.3'!AF54</f>
        <v>0.3125</v>
      </c>
      <c r="AT11" s="338"/>
      <c r="AU11" s="201">
        <f t="shared" si="3"/>
        <v>1.875</v>
      </c>
      <c r="AV11" s="201">
        <f>'CCCC-car.4'!AD54</f>
        <v>1.875</v>
      </c>
      <c r="AW11" s="201">
        <f>'CCCC-car.4'!AE54</f>
        <v>2.8459821428571432</v>
      </c>
      <c r="AX11" s="201">
        <f>'CCCC-car.4'!AF54</f>
        <v>-0.35714285714285676</v>
      </c>
      <c r="AY11" s="338"/>
      <c r="AZ11" s="201">
        <f t="shared" si="4"/>
        <v>1.875</v>
      </c>
      <c r="BA11" s="201">
        <f>'CCCC-car.5'!AD54</f>
        <v>1.875</v>
      </c>
      <c r="BB11" s="201">
        <f>'CCCC-car.5'!AE54</f>
        <v>4.1015625</v>
      </c>
      <c r="BC11" s="201">
        <f>'CCCC-car.5'!AF54</f>
        <v>0.3125</v>
      </c>
    </row>
    <row r="12" spans="1:56" x14ac:dyDescent="0.2">
      <c r="AE12" s="338"/>
      <c r="AF12" s="201">
        <f t="shared" si="5"/>
        <v>2.5</v>
      </c>
      <c r="AG12" s="201">
        <f>'CCCC-car.1'!AD55</f>
        <v>2.5</v>
      </c>
      <c r="AH12" s="201">
        <f>'CCCC-car.1'!AE55</f>
        <v>10.9375</v>
      </c>
      <c r="AI12" s="201">
        <f>'CCCC-car.1'!AF55</f>
        <v>-1.875</v>
      </c>
      <c r="AJ12" s="338"/>
      <c r="AK12" s="201">
        <f t="shared" si="1"/>
        <v>2.5</v>
      </c>
      <c r="AL12" s="201">
        <f>'CCCC-car.2'!AD55</f>
        <v>2.5</v>
      </c>
      <c r="AM12" s="201">
        <f>'CCCC-car.2'!AE55</f>
        <v>1.5625</v>
      </c>
      <c r="AN12" s="201">
        <f>'CCCC-car.2'!AF55</f>
        <v>-1.875</v>
      </c>
      <c r="AO12" s="338"/>
      <c r="AP12" s="201">
        <f t="shared" si="2"/>
        <v>2.5</v>
      </c>
      <c r="AQ12" s="201">
        <f>'CCCC-car.3'!AD55</f>
        <v>2.5</v>
      </c>
      <c r="AR12" s="201">
        <f>'CCCC-car.3'!AE55</f>
        <v>8.59375</v>
      </c>
      <c r="AS12" s="201">
        <f>'CCCC-car.3'!AF55</f>
        <v>-2.8125</v>
      </c>
      <c r="AT12" s="338"/>
      <c r="AU12" s="201">
        <f t="shared" si="3"/>
        <v>2.5</v>
      </c>
      <c r="AV12" s="201">
        <f>'CCCC-car.4'!AD55</f>
        <v>2.5</v>
      </c>
      <c r="AW12" s="201">
        <f>'CCCC-car.4'!AE55</f>
        <v>2.2321428571428577</v>
      </c>
      <c r="AX12" s="201">
        <f>'CCCC-car.4'!AF55</f>
        <v>-1.6071428571428568</v>
      </c>
      <c r="AY12" s="338"/>
      <c r="AZ12" s="201">
        <f t="shared" si="4"/>
        <v>2.5</v>
      </c>
      <c r="BA12" s="201">
        <f>'CCCC-car.5'!AD55</f>
        <v>2.5</v>
      </c>
      <c r="BB12" s="201">
        <f>'CCCC-car.5'!AE55</f>
        <v>3.90625</v>
      </c>
      <c r="BC12" s="201">
        <f>'CCCC-car.5'!AF55</f>
        <v>-0.9375</v>
      </c>
    </row>
    <row r="13" spans="1:56" x14ac:dyDescent="0.2">
      <c r="A13" s="252" t="s">
        <v>451</v>
      </c>
      <c r="B13" s="254"/>
      <c r="C13" s="257" t="s">
        <v>453</v>
      </c>
      <c r="D13" s="254" t="s">
        <v>454</v>
      </c>
      <c r="E13" s="254" t="s">
        <v>455</v>
      </c>
      <c r="F13" s="254" t="s">
        <v>456</v>
      </c>
      <c r="G13" s="254" t="s">
        <v>457</v>
      </c>
      <c r="H13" s="257" t="s">
        <v>458</v>
      </c>
      <c r="AE13" s="338"/>
      <c r="AF13" s="201">
        <f t="shared" si="5"/>
        <v>3.125</v>
      </c>
      <c r="AG13" s="201">
        <f>'CCCC-car.1'!AD56</f>
        <v>3.125</v>
      </c>
      <c r="AH13" s="201">
        <f>'CCCC-car.1'!AE56</f>
        <v>8.7890625</v>
      </c>
      <c r="AI13" s="201">
        <f>'CCCC-car.1'!AF56</f>
        <v>-5</v>
      </c>
      <c r="AJ13" s="338"/>
      <c r="AK13" s="201">
        <f t="shared" si="1"/>
        <v>3.125</v>
      </c>
      <c r="AL13" s="201">
        <f>'CCCC-car.2'!AD56</f>
        <v>3.125</v>
      </c>
      <c r="AM13" s="201">
        <f>'CCCC-car.2'!AE56</f>
        <v>0</v>
      </c>
      <c r="AN13" s="201">
        <f>'CCCC-car.2'!AF56</f>
        <v>-3.125</v>
      </c>
      <c r="AO13" s="338"/>
      <c r="AP13" s="201">
        <f t="shared" si="2"/>
        <v>3.125</v>
      </c>
      <c r="AQ13" s="201">
        <f>'CCCC-car.3'!AD56</f>
        <v>3.125</v>
      </c>
      <c r="AR13" s="201">
        <f>'CCCC-car.3'!AE56</f>
        <v>5.859375</v>
      </c>
      <c r="AS13" s="201">
        <f>'CCCC-car.3'!AF56</f>
        <v>-5.9375</v>
      </c>
      <c r="AT13" s="338"/>
      <c r="AU13" s="201">
        <f t="shared" si="3"/>
        <v>3.125</v>
      </c>
      <c r="AV13" s="201">
        <f>'CCCC-car.4'!AD56</f>
        <v>3.125</v>
      </c>
      <c r="AW13" s="201">
        <f>'CCCC-car.4'!AE56</f>
        <v>0.83705357142857295</v>
      </c>
      <c r="AX13" s="201">
        <f>'CCCC-car.4'!AF56</f>
        <v>-2.8571428571428568</v>
      </c>
      <c r="AY13" s="338"/>
      <c r="AZ13" s="201">
        <f t="shared" si="4"/>
        <v>3.125</v>
      </c>
      <c r="BA13" s="201">
        <f>'CCCC-car.5'!AD56</f>
        <v>3.125</v>
      </c>
      <c r="BB13" s="201">
        <f>'CCCC-car.5'!AE56</f>
        <v>2.9296875</v>
      </c>
      <c r="BC13" s="201">
        <f>'CCCC-car.5'!AF56</f>
        <v>-2.1875</v>
      </c>
    </row>
    <row r="14" spans="1:56" x14ac:dyDescent="0.2">
      <c r="C14" s="324" t="s">
        <v>464</v>
      </c>
      <c r="D14" s="1" t="s">
        <v>464</v>
      </c>
      <c r="H14" s="310" t="s">
        <v>464</v>
      </c>
      <c r="AE14" s="338"/>
      <c r="AF14" s="201">
        <f t="shared" si="5"/>
        <v>3.75</v>
      </c>
      <c r="AG14" s="201">
        <f>'CCCC-car.1'!AD57</f>
        <v>3.75</v>
      </c>
      <c r="AH14" s="201">
        <f>'CCCC-car.1'!AE57</f>
        <v>4.6875</v>
      </c>
      <c r="AI14" s="201">
        <f>'CCCC-car.1'!AF57</f>
        <v>-8.125</v>
      </c>
      <c r="AJ14" s="338"/>
      <c r="AK14" s="201">
        <f t="shared" si="1"/>
        <v>3.75</v>
      </c>
      <c r="AL14" s="201">
        <f>'CCCC-car.2'!AD57</f>
        <v>3.75</v>
      </c>
      <c r="AM14" s="201">
        <f>'CCCC-car.2'!AE57</f>
        <v>-2.34375</v>
      </c>
      <c r="AN14" s="201">
        <f>'CCCC-car.2'!AF57</f>
        <v>-4.375</v>
      </c>
      <c r="AO14" s="338"/>
      <c r="AP14" s="201">
        <f t="shared" si="2"/>
        <v>3.75</v>
      </c>
      <c r="AQ14" s="201">
        <f>'CCCC-car.3'!AD57</f>
        <v>3.75</v>
      </c>
      <c r="AR14" s="201">
        <f>'CCCC-car.3'!AE57</f>
        <v>1.171875</v>
      </c>
      <c r="AS14" s="201">
        <f>'CCCC-car.3'!AF57</f>
        <v>-9.0625</v>
      </c>
      <c r="AT14" s="338"/>
      <c r="AU14" s="201">
        <f t="shared" si="3"/>
        <v>3.75</v>
      </c>
      <c r="AV14" s="201">
        <f>'CCCC-car.4'!AD57</f>
        <v>3.75</v>
      </c>
      <c r="AW14" s="201">
        <f>'CCCC-car.4'!AE57</f>
        <v>-1.3392857142857135</v>
      </c>
      <c r="AX14" s="201">
        <f>'CCCC-car.4'!AF57</f>
        <v>-4.1071428571428568</v>
      </c>
      <c r="AY14" s="338"/>
      <c r="AZ14" s="201">
        <f t="shared" si="4"/>
        <v>3.75</v>
      </c>
      <c r="BA14" s="201">
        <f>'CCCC-car.5'!AD57</f>
        <v>3.75</v>
      </c>
      <c r="BB14" s="201">
        <f>'CCCC-car.5'!AE57</f>
        <v>1.171875</v>
      </c>
      <c r="BC14" s="201">
        <f>'CCCC-car.5'!AF57</f>
        <v>-3.4375</v>
      </c>
    </row>
    <row r="15" spans="1:56" x14ac:dyDescent="0.2">
      <c r="A15" s="252" t="s">
        <v>447</v>
      </c>
      <c r="B15" s="16" t="s">
        <v>449</v>
      </c>
      <c r="C15" s="277">
        <v>0</v>
      </c>
      <c r="D15" s="278">
        <v>5</v>
      </c>
      <c r="E15" s="278">
        <v>5</v>
      </c>
      <c r="F15" s="278">
        <v>5</v>
      </c>
      <c r="G15" s="278">
        <v>5</v>
      </c>
      <c r="H15" s="277">
        <v>0</v>
      </c>
      <c r="AE15" s="338"/>
      <c r="AF15" s="201">
        <f t="shared" si="5"/>
        <v>4.375</v>
      </c>
      <c r="AG15" s="201">
        <f>'CCCC-car.1'!AD58</f>
        <v>4.375</v>
      </c>
      <c r="AH15" s="201">
        <f>'CCCC-car.1'!AE58</f>
        <v>-1.3671875</v>
      </c>
      <c r="AI15" s="201">
        <f>'CCCC-car.1'!AF58</f>
        <v>-11.25</v>
      </c>
      <c r="AJ15" s="338"/>
      <c r="AK15" s="201">
        <f t="shared" si="1"/>
        <v>4.375</v>
      </c>
      <c r="AL15" s="201">
        <f>'CCCC-car.2'!AD58</f>
        <v>4.375</v>
      </c>
      <c r="AM15" s="201">
        <f>'CCCC-car.2'!AE58</f>
        <v>-5.46875</v>
      </c>
      <c r="AN15" s="201">
        <f>'CCCC-car.2'!AF58</f>
        <v>-5.625</v>
      </c>
      <c r="AO15" s="338"/>
      <c r="AP15" s="201">
        <f t="shared" si="2"/>
        <v>4.375</v>
      </c>
      <c r="AQ15" s="201">
        <f>'CCCC-car.3'!AD58</f>
        <v>4.375</v>
      </c>
      <c r="AR15" s="201">
        <f>'CCCC-car.3'!AE58</f>
        <v>-5.46875</v>
      </c>
      <c r="AS15" s="201">
        <f>'CCCC-car.3'!AF58</f>
        <v>-12.1875</v>
      </c>
      <c r="AT15" s="338"/>
      <c r="AU15" s="201">
        <f t="shared" si="3"/>
        <v>4.375</v>
      </c>
      <c r="AV15" s="201">
        <f>'CCCC-car.4'!AD58</f>
        <v>4.375</v>
      </c>
      <c r="AW15" s="201">
        <f>'CCCC-car.4'!AE58</f>
        <v>-4.2968749999999982</v>
      </c>
      <c r="AX15" s="201">
        <f>'CCCC-car.4'!AF58</f>
        <v>-5.3571428571428568</v>
      </c>
      <c r="AY15" s="338"/>
      <c r="AZ15" s="201">
        <f t="shared" si="4"/>
        <v>4.375</v>
      </c>
      <c r="BA15" s="201">
        <f>'CCCC-car.5'!AD58</f>
        <v>4.375</v>
      </c>
      <c r="BB15" s="201">
        <f>'CCCC-car.5'!AE58</f>
        <v>-1.3671875</v>
      </c>
      <c r="BC15" s="201">
        <f>'CCCC-car.5'!AF58</f>
        <v>-4.6875</v>
      </c>
    </row>
    <row r="16" spans="1:56" s="46" customFormat="1" ht="13.5" customHeight="1" x14ac:dyDescent="0.2">
      <c r="A16" s="252" t="s">
        <v>450</v>
      </c>
      <c r="B16" s="42"/>
      <c r="C16" s="279" t="s">
        <v>448</v>
      </c>
      <c r="D16" s="348" t="str">
        <f>D6</f>
        <v>ca</v>
      </c>
      <c r="E16" s="348"/>
      <c r="F16" s="348"/>
      <c r="G16" s="348"/>
      <c r="H16" s="279" t="s">
        <v>448</v>
      </c>
      <c r="U16" s="18"/>
      <c r="AE16" s="338"/>
      <c r="AF16" s="204">
        <f t="shared" si="5"/>
        <v>5</v>
      </c>
      <c r="AG16" s="204">
        <f>'CCCC-car.1'!AD59</f>
        <v>5</v>
      </c>
      <c r="AH16" s="204">
        <f>'CCCC-car.1'!AE59</f>
        <v>-9.375</v>
      </c>
      <c r="AI16" s="204">
        <f>'CCCC-car.1'!AF59</f>
        <v>-14.375</v>
      </c>
      <c r="AJ16" s="338"/>
      <c r="AK16" s="204">
        <f t="shared" si="1"/>
        <v>5</v>
      </c>
      <c r="AL16" s="204">
        <f>'CCCC-car.2'!AD59</f>
        <v>5</v>
      </c>
      <c r="AM16" s="204">
        <f>'CCCC-car.2'!AE59</f>
        <v>-9.375</v>
      </c>
      <c r="AN16" s="204">
        <f>'CCCC-car.2'!AF59</f>
        <v>-6.875</v>
      </c>
      <c r="AO16" s="338"/>
      <c r="AP16" s="204">
        <f t="shared" si="2"/>
        <v>5</v>
      </c>
      <c r="AQ16" s="204">
        <f>'CCCC-car.3'!AD59</f>
        <v>5</v>
      </c>
      <c r="AR16" s="204">
        <f>'CCCC-car.3'!AE59</f>
        <v>-14.0625</v>
      </c>
      <c r="AS16" s="204">
        <f>'CCCC-car.3'!AF59</f>
        <v>-15.3125</v>
      </c>
      <c r="AT16" s="338"/>
      <c r="AU16" s="204">
        <f t="shared" si="3"/>
        <v>5</v>
      </c>
      <c r="AV16" s="204">
        <f>'CCCC-car.4'!AD59</f>
        <v>5</v>
      </c>
      <c r="AW16" s="204">
        <f>'CCCC-car.4'!AE59</f>
        <v>-8.0357142857142847</v>
      </c>
      <c r="AX16" s="204">
        <f>'CCCC-car.4'!AF59</f>
        <v>-6.6071428571428568</v>
      </c>
      <c r="AY16" s="338"/>
      <c r="AZ16" s="204">
        <f t="shared" si="4"/>
        <v>5</v>
      </c>
      <c r="BA16" s="204">
        <f>'CCCC-car.5'!AD59</f>
        <v>5</v>
      </c>
      <c r="BB16" s="204">
        <f>'CCCC-car.5'!AE59</f>
        <v>-4.6875</v>
      </c>
      <c r="BC16" s="204">
        <f>'CCCC-car.5'!AF59</f>
        <v>-5.9375</v>
      </c>
      <c r="BD16" s="1"/>
    </row>
    <row r="17" spans="1:56" s="46" customFormat="1" x14ac:dyDescent="0.2">
      <c r="A17" s="252" t="s">
        <v>127</v>
      </c>
      <c r="B17" s="42"/>
      <c r="C17" s="276"/>
      <c r="D17" s="276" t="s">
        <v>475</v>
      </c>
      <c r="E17" s="276" t="s">
        <v>475</v>
      </c>
      <c r="F17" s="276" t="s">
        <v>475</v>
      </c>
      <c r="G17" s="276" t="s">
        <v>475</v>
      </c>
      <c r="H17" s="276"/>
      <c r="AE17" s="339" t="s">
        <v>72</v>
      </c>
      <c r="AF17" s="205">
        <f t="shared" ref="AF17:AF25" si="6">AG17-$AG$16</f>
        <v>0</v>
      </c>
      <c r="AG17" s="203">
        <f>'CCCC-car.1'!AD60</f>
        <v>5</v>
      </c>
      <c r="AH17" s="203">
        <f>'CCCC-car.1'!AE60</f>
        <v>-9.375</v>
      </c>
      <c r="AI17" s="203">
        <f>'CCCC-car.1'!AF60</f>
        <v>5.625</v>
      </c>
      <c r="AJ17" s="339" t="s">
        <v>72</v>
      </c>
      <c r="AK17" s="205">
        <f t="shared" si="1"/>
        <v>0</v>
      </c>
      <c r="AL17" s="203">
        <f>'CCCC-car.2'!AD60</f>
        <v>5</v>
      </c>
      <c r="AM17" s="203">
        <f>'CCCC-car.2'!AE60</f>
        <v>-9.375</v>
      </c>
      <c r="AN17" s="203">
        <f>'CCCC-car.2'!AF60</f>
        <v>13.125</v>
      </c>
      <c r="AO17" s="339" t="s">
        <v>72</v>
      </c>
      <c r="AP17" s="205">
        <f t="shared" si="2"/>
        <v>0</v>
      </c>
      <c r="AQ17" s="203">
        <f>'CCCC-car.3'!AD60</f>
        <v>5</v>
      </c>
      <c r="AR17" s="203">
        <f>'CCCC-car.3'!AE60</f>
        <v>-14.062499999999998</v>
      </c>
      <c r="AS17" s="203">
        <f>'CCCC-car.3'!AF60</f>
        <v>14.0625</v>
      </c>
      <c r="AT17" s="339" t="s">
        <v>72</v>
      </c>
      <c r="AU17" s="205">
        <f t="shared" si="3"/>
        <v>0</v>
      </c>
      <c r="AV17" s="203">
        <f>'CCCC-car.4'!AD60</f>
        <v>5</v>
      </c>
      <c r="AW17" s="203">
        <f>'CCCC-car.4'!AE60</f>
        <v>-8.0357142857142865</v>
      </c>
      <c r="AX17" s="203">
        <f>'CCCC-car.4'!AF60</f>
        <v>11.785714285714286</v>
      </c>
      <c r="AY17" s="339" t="s">
        <v>72</v>
      </c>
      <c r="AZ17" s="205">
        <f t="shared" si="4"/>
        <v>0</v>
      </c>
      <c r="BA17" s="203">
        <f>'CCCC-car.5'!AD60</f>
        <v>5</v>
      </c>
      <c r="BB17" s="203">
        <f>'CCCC-car.5'!AE60</f>
        <v>-4.6875</v>
      </c>
      <c r="BC17" s="203">
        <f>'CCCC-car.5'!AF60</f>
        <v>4.6875</v>
      </c>
      <c r="BD17" s="1"/>
    </row>
    <row r="18" spans="1:56" s="46" customFormat="1" x14ac:dyDescent="0.2">
      <c r="A18" s="252" t="s">
        <v>460</v>
      </c>
      <c r="B18" s="16" t="s">
        <v>446</v>
      </c>
      <c r="C18" s="201" t="str">
        <f>IF($C16=$I$69,VLOOKUP($C17,matca,2,0),IF($C16=$I$70,VLOOKUP($C17,matacciaio,3,0),""))</f>
        <v/>
      </c>
      <c r="D18" s="201">
        <f>IF($D6=$I$69,VLOOKUP($D17,matca,2,0),IF($D6=$I$70,VLOOKUP($D17,matacciaio,3,0),""))</f>
        <v>1</v>
      </c>
      <c r="E18" s="201">
        <f>IF($D6=$I$69,VLOOKUP($E17,matca,2,0),IF($D6=$I$70,VLOOKUP($E17,matacciaio,3,0),""))</f>
        <v>1</v>
      </c>
      <c r="F18" s="201">
        <f>IF($D6=$I$69,VLOOKUP($F17,matca,2,0),IF($D6=$I$70,VLOOKUP($F17,matacciaio,3,0),""))</f>
        <v>1</v>
      </c>
      <c r="G18" s="201">
        <f>IF($D6=$I$69,VLOOKUP($G17,matca,2,0),IF($D6=$I$70,VLOOKUP($G17,matacciaio,3,0),""))</f>
        <v>1</v>
      </c>
      <c r="H18" s="201" t="str">
        <f>IF($H16=$I$69,VLOOKUP($H17,matca,2,0),IF($H16=$I$70,VLOOKUP($H17,matacciaio,3,0),""))</f>
        <v/>
      </c>
      <c r="AE18" s="339"/>
      <c r="AF18" s="206">
        <f t="shared" si="6"/>
        <v>0.625</v>
      </c>
      <c r="AG18" s="201">
        <f>'CCCC-car.1'!AD61</f>
        <v>5.625</v>
      </c>
      <c r="AH18" s="201">
        <f>'CCCC-car.1'!AE61</f>
        <v>-6.25</v>
      </c>
      <c r="AI18" s="201">
        <f>'CCCC-car.1'!AF61</f>
        <v>4.375</v>
      </c>
      <c r="AJ18" s="339"/>
      <c r="AK18" s="206">
        <f t="shared" si="1"/>
        <v>0.625</v>
      </c>
      <c r="AL18" s="201">
        <f>'CCCC-car.2'!AD61</f>
        <v>5.625</v>
      </c>
      <c r="AM18" s="201">
        <f>'CCCC-car.2'!AE61</f>
        <v>-2.1484375</v>
      </c>
      <c r="AN18" s="201">
        <f>'CCCC-car.2'!AF61</f>
        <v>10</v>
      </c>
      <c r="AO18" s="339"/>
      <c r="AP18" s="206">
        <f t="shared" si="2"/>
        <v>0.625</v>
      </c>
      <c r="AQ18" s="201">
        <f>'CCCC-car.3'!AD61</f>
        <v>5.625</v>
      </c>
      <c r="AR18" s="201">
        <f>'CCCC-car.3'!AE61</f>
        <v>-6.2499999999999982</v>
      </c>
      <c r="AS18" s="201">
        <f>'CCCC-car.3'!AF61</f>
        <v>10.9375</v>
      </c>
      <c r="AT18" s="339"/>
      <c r="AU18" s="206">
        <f t="shared" si="3"/>
        <v>0.625</v>
      </c>
      <c r="AV18" s="201">
        <f>'CCCC-car.4'!AD61</f>
        <v>5.625</v>
      </c>
      <c r="AW18" s="201">
        <f>'CCCC-car.4'!AE61</f>
        <v>-1.6462053571428577</v>
      </c>
      <c r="AX18" s="201">
        <f>'CCCC-car.4'!AF61</f>
        <v>8.6607142857142865</v>
      </c>
      <c r="AY18" s="339"/>
      <c r="AZ18" s="206">
        <f t="shared" si="4"/>
        <v>0.625</v>
      </c>
      <c r="BA18" s="201">
        <f>'CCCC-car.5'!AD61</f>
        <v>5.625</v>
      </c>
      <c r="BB18" s="201">
        <f>'CCCC-car.5'!AE61</f>
        <v>-2.1484375</v>
      </c>
      <c r="BC18" s="201">
        <f>'CCCC-car.5'!AF61</f>
        <v>3.4375</v>
      </c>
      <c r="BD18" s="1"/>
    </row>
    <row r="19" spans="1:56" s="46" customFormat="1" x14ac:dyDescent="0.2">
      <c r="A19" s="252" t="s">
        <v>461</v>
      </c>
      <c r="B19" s="16" t="s">
        <v>140</v>
      </c>
      <c r="C19" s="306" t="str">
        <f>IF($C16=$I$69,VLOOKUP($C17,matca,4,0),IF($C16=$I$70,VLOOKUP($C17,matacciaio,5,0),""))</f>
        <v/>
      </c>
      <c r="D19" s="306">
        <f>IF($D6=$I$69,VLOOKUP($D17,matca,4,0),IF($D6=$I$70,VLOOKUP($D17,matacciaio,5,0),""))</f>
        <v>13333.333333333334</v>
      </c>
      <c r="E19" s="306">
        <f>IF($D6=$I$69,VLOOKUP($E17,matca,4,0),IF($D6=$I$70,VLOOKUP($E17,matacciaio,5,0),""))</f>
        <v>13333.333333333334</v>
      </c>
      <c r="F19" s="306">
        <f>IF($D6=$I$69,VLOOKUP($F17,matca,4,0),IF($D6=$I$70,VLOOKUP($F17,matacciaio,5,0),""))</f>
        <v>13333.333333333334</v>
      </c>
      <c r="G19" s="306">
        <f>IF($D6=$I$69,VLOOKUP($G17,matca,4,0),IF($D6=$I$70,VLOOKUP($G17,matacciaio,5,0),""))</f>
        <v>13333.333333333334</v>
      </c>
      <c r="H19" s="306" t="str">
        <f>IF($H16=$I$69,VLOOKUP($H17,matca,4,0),IF($H16=$I$70,VLOOKUP($H17,matacciaio,5,0),""))</f>
        <v/>
      </c>
      <c r="AE19" s="339"/>
      <c r="AF19" s="206">
        <f t="shared" si="6"/>
        <v>1.25</v>
      </c>
      <c r="AG19" s="201">
        <f>'CCCC-car.1'!AD62</f>
        <v>6.25</v>
      </c>
      <c r="AH19" s="201">
        <f>'CCCC-car.1'!AE62</f>
        <v>-3.90625</v>
      </c>
      <c r="AI19" s="201">
        <f>'CCCC-car.1'!AF62</f>
        <v>3.125</v>
      </c>
      <c r="AJ19" s="339"/>
      <c r="AK19" s="206">
        <f t="shared" si="1"/>
        <v>1.25</v>
      </c>
      <c r="AL19" s="201">
        <f>'CCCC-car.2'!AD62</f>
        <v>6.25</v>
      </c>
      <c r="AM19" s="201">
        <f>'CCCC-car.2'!AE62</f>
        <v>3.125</v>
      </c>
      <c r="AN19" s="201">
        <f>'CCCC-car.2'!AF62</f>
        <v>6.875</v>
      </c>
      <c r="AO19" s="339"/>
      <c r="AP19" s="206">
        <f t="shared" si="2"/>
        <v>1.25</v>
      </c>
      <c r="AQ19" s="201">
        <f>'CCCC-car.3'!AD62</f>
        <v>6.25</v>
      </c>
      <c r="AR19" s="201">
        <f>'CCCC-car.3'!AE62</f>
        <v>-0.390625</v>
      </c>
      <c r="AS19" s="201">
        <f>'CCCC-car.3'!AF62</f>
        <v>7.8125</v>
      </c>
      <c r="AT19" s="339"/>
      <c r="AU19" s="206">
        <f t="shared" si="3"/>
        <v>1.25</v>
      </c>
      <c r="AV19" s="201">
        <f>'CCCC-car.4'!AD62</f>
        <v>6.25</v>
      </c>
      <c r="AW19" s="201">
        <f>'CCCC-car.4'!AE62</f>
        <v>2.7901785714285712</v>
      </c>
      <c r="AX19" s="201">
        <f>'CCCC-car.4'!AF62</f>
        <v>5.5357142857142865</v>
      </c>
      <c r="AY19" s="339"/>
      <c r="AZ19" s="206">
        <f t="shared" si="4"/>
        <v>1.25</v>
      </c>
      <c r="BA19" s="201">
        <f>'CCCC-car.5'!AD62</f>
        <v>6.25</v>
      </c>
      <c r="BB19" s="201">
        <f>'CCCC-car.5'!AE62</f>
        <v>-0.390625</v>
      </c>
      <c r="BC19" s="201">
        <f>'CCCC-car.5'!AF62</f>
        <v>2.1875</v>
      </c>
    </row>
    <row r="20" spans="1:56" s="46" customFormat="1" x14ac:dyDescent="0.2">
      <c r="I20" s="1"/>
      <c r="AE20" s="339"/>
      <c r="AF20" s="206">
        <f t="shared" si="6"/>
        <v>1.875</v>
      </c>
      <c r="AG20" s="201">
        <f>'CCCC-car.1'!AD63</f>
        <v>6.875</v>
      </c>
      <c r="AH20" s="201">
        <f>'CCCC-car.1'!AE63</f>
        <v>-2.34375</v>
      </c>
      <c r="AI20" s="201">
        <f>'CCCC-car.1'!AF63</f>
        <v>1.875</v>
      </c>
      <c r="AJ20" s="339"/>
      <c r="AK20" s="206">
        <f t="shared" si="1"/>
        <v>1.875</v>
      </c>
      <c r="AL20" s="201">
        <f>'CCCC-car.2'!AD63</f>
        <v>6.875</v>
      </c>
      <c r="AM20" s="201">
        <f>'CCCC-car.2'!AE63</f>
        <v>6.4453125</v>
      </c>
      <c r="AN20" s="201">
        <f>'CCCC-car.2'!AF63</f>
        <v>3.75</v>
      </c>
      <c r="AO20" s="339"/>
      <c r="AP20" s="206">
        <f t="shared" si="2"/>
        <v>1.875</v>
      </c>
      <c r="AQ20" s="201">
        <f>'CCCC-car.3'!AD63</f>
        <v>6.875</v>
      </c>
      <c r="AR20" s="201">
        <f>'CCCC-car.3'!AE63</f>
        <v>3.515625</v>
      </c>
      <c r="AS20" s="201">
        <f>'CCCC-car.3'!AF63</f>
        <v>4.6875</v>
      </c>
      <c r="AT20" s="339"/>
      <c r="AU20" s="206">
        <f t="shared" si="3"/>
        <v>1.875</v>
      </c>
      <c r="AV20" s="201">
        <f>'CCCC-car.4'!AD63</f>
        <v>6.875</v>
      </c>
      <c r="AW20" s="201">
        <f>'CCCC-car.4'!AE63</f>
        <v>5.2734375000000036</v>
      </c>
      <c r="AX20" s="201">
        <f>'CCCC-car.4'!AF63</f>
        <v>2.4107142857142865</v>
      </c>
      <c r="AY20" s="339"/>
      <c r="AZ20" s="206">
        <f t="shared" si="4"/>
        <v>1.875</v>
      </c>
      <c r="BA20" s="201">
        <f>'CCCC-car.5'!AD63</f>
        <v>6.875</v>
      </c>
      <c r="BB20" s="201">
        <f>'CCCC-car.5'!AE63</f>
        <v>0.5859375</v>
      </c>
      <c r="BC20" s="201">
        <f>'CCCC-car.5'!AF63</f>
        <v>0.9375</v>
      </c>
    </row>
    <row r="21" spans="1:56" x14ac:dyDescent="0.2">
      <c r="AE21" s="339"/>
      <c r="AF21" s="206">
        <f t="shared" si="6"/>
        <v>2.5</v>
      </c>
      <c r="AG21" s="201">
        <f>'CCCC-car.1'!AD64</f>
        <v>7.5</v>
      </c>
      <c r="AH21" s="201">
        <f>'CCCC-car.1'!AE64</f>
        <v>-1.5625</v>
      </c>
      <c r="AI21" s="201">
        <f>'CCCC-car.1'!AF64</f>
        <v>0.625</v>
      </c>
      <c r="AJ21" s="339"/>
      <c r="AK21" s="206">
        <f t="shared" si="1"/>
        <v>2.5</v>
      </c>
      <c r="AL21" s="201">
        <f>'CCCC-car.2'!AD64</f>
        <v>7.5</v>
      </c>
      <c r="AM21" s="201">
        <f>'CCCC-car.2'!AE64</f>
        <v>7.8125</v>
      </c>
      <c r="AN21" s="201">
        <f>'CCCC-car.2'!AF64</f>
        <v>0.625</v>
      </c>
      <c r="AO21" s="339"/>
      <c r="AP21" s="206">
        <f t="shared" si="2"/>
        <v>2.5</v>
      </c>
      <c r="AQ21" s="201">
        <f>'CCCC-car.3'!AD64</f>
        <v>7.5</v>
      </c>
      <c r="AR21" s="201">
        <f>'CCCC-car.3'!AE64</f>
        <v>5.46875</v>
      </c>
      <c r="AS21" s="201">
        <f>'CCCC-car.3'!AF64</f>
        <v>1.5625</v>
      </c>
      <c r="AT21" s="339"/>
      <c r="AU21" s="206">
        <f t="shared" si="3"/>
        <v>2.5</v>
      </c>
      <c r="AV21" s="201">
        <f>'CCCC-car.4'!AD64</f>
        <v>7.5</v>
      </c>
      <c r="AW21" s="201">
        <f>'CCCC-car.4'!AE64</f>
        <v>5.8035714285714306</v>
      </c>
      <c r="AX21" s="201">
        <f>'CCCC-car.4'!AF64</f>
        <v>-0.71428571428571352</v>
      </c>
      <c r="AY21" s="339"/>
      <c r="AZ21" s="206">
        <f t="shared" si="4"/>
        <v>2.5</v>
      </c>
      <c r="BA21" s="201">
        <f>'CCCC-car.5'!AD64</f>
        <v>7.5</v>
      </c>
      <c r="BB21" s="201">
        <f>'CCCC-car.5'!AE64</f>
        <v>0.78125</v>
      </c>
      <c r="BC21" s="201">
        <f>'CCCC-car.5'!AF64</f>
        <v>-0.3125</v>
      </c>
    </row>
    <row r="22" spans="1:56" x14ac:dyDescent="0.2">
      <c r="AE22" s="339"/>
      <c r="AF22" s="206">
        <f t="shared" si="6"/>
        <v>3.125</v>
      </c>
      <c r="AG22" s="201">
        <f>'CCCC-car.1'!AD65</f>
        <v>8.125</v>
      </c>
      <c r="AH22" s="201">
        <f>'CCCC-car.1'!AE65</f>
        <v>-1.5625</v>
      </c>
      <c r="AI22" s="201">
        <f>'CCCC-car.1'!AF65</f>
        <v>-0.625</v>
      </c>
      <c r="AJ22" s="339"/>
      <c r="AK22" s="206">
        <f t="shared" si="1"/>
        <v>3.125</v>
      </c>
      <c r="AL22" s="201">
        <f>'CCCC-car.2'!AD65</f>
        <v>8.125</v>
      </c>
      <c r="AM22" s="201">
        <f>'CCCC-car.2'!AE65</f>
        <v>7.2265625</v>
      </c>
      <c r="AN22" s="201">
        <f>'CCCC-car.2'!AF65</f>
        <v>-2.5</v>
      </c>
      <c r="AO22" s="339"/>
      <c r="AP22" s="206">
        <f t="shared" si="2"/>
        <v>3.125</v>
      </c>
      <c r="AQ22" s="201">
        <f>'CCCC-car.3'!AD65</f>
        <v>8.125</v>
      </c>
      <c r="AR22" s="201">
        <f>'CCCC-car.3'!AE65</f>
        <v>5.46875</v>
      </c>
      <c r="AS22" s="201">
        <f>'CCCC-car.3'!AF65</f>
        <v>-1.5625</v>
      </c>
      <c r="AT22" s="339"/>
      <c r="AU22" s="206">
        <f t="shared" si="3"/>
        <v>3.125</v>
      </c>
      <c r="AV22" s="201">
        <f>'CCCC-car.4'!AD65</f>
        <v>8.125</v>
      </c>
      <c r="AW22" s="201">
        <f>'CCCC-car.4'!AE65</f>
        <v>4.3805803571428612</v>
      </c>
      <c r="AX22" s="201">
        <f>'CCCC-car.4'!AF65</f>
        <v>-3.8392857142857135</v>
      </c>
      <c r="AY22" s="339"/>
      <c r="AZ22" s="206">
        <f t="shared" si="4"/>
        <v>3.125</v>
      </c>
      <c r="BA22" s="201">
        <f>'CCCC-car.5'!AD65</f>
        <v>8.125</v>
      </c>
      <c r="BB22" s="201">
        <f>'CCCC-car.5'!AE65</f>
        <v>0.1953125</v>
      </c>
      <c r="BC22" s="201">
        <f>'CCCC-car.5'!AF65</f>
        <v>-1.5625</v>
      </c>
    </row>
    <row r="23" spans="1:56" x14ac:dyDescent="0.2">
      <c r="AE23" s="339"/>
      <c r="AF23" s="206">
        <f t="shared" si="6"/>
        <v>3.75</v>
      </c>
      <c r="AG23" s="201">
        <f>'CCCC-car.1'!AD66</f>
        <v>8.75</v>
      </c>
      <c r="AH23" s="201">
        <f>'CCCC-car.1'!AE66</f>
        <v>-2.34375</v>
      </c>
      <c r="AI23" s="201">
        <f>'CCCC-car.1'!AF66</f>
        <v>-1.875</v>
      </c>
      <c r="AJ23" s="339"/>
      <c r="AK23" s="206">
        <f t="shared" si="1"/>
        <v>3.75</v>
      </c>
      <c r="AL23" s="201">
        <f>'CCCC-car.2'!AD66</f>
        <v>8.75</v>
      </c>
      <c r="AM23" s="201">
        <f>'CCCC-car.2'!AE66</f>
        <v>4.6875</v>
      </c>
      <c r="AN23" s="201">
        <f>'CCCC-car.2'!AF66</f>
        <v>-5.625</v>
      </c>
      <c r="AO23" s="339"/>
      <c r="AP23" s="206">
        <f t="shared" si="2"/>
        <v>3.75</v>
      </c>
      <c r="AQ23" s="201">
        <f>'CCCC-car.3'!AD66</f>
        <v>8.75</v>
      </c>
      <c r="AR23" s="201">
        <f>'CCCC-car.3'!AE66</f>
        <v>3.515625</v>
      </c>
      <c r="AS23" s="201">
        <f>'CCCC-car.3'!AF66</f>
        <v>-4.6875</v>
      </c>
      <c r="AT23" s="339"/>
      <c r="AU23" s="206">
        <f t="shared" si="3"/>
        <v>3.75</v>
      </c>
      <c r="AV23" s="201">
        <f>'CCCC-car.4'!AD66</f>
        <v>8.75</v>
      </c>
      <c r="AW23" s="201">
        <f>'CCCC-car.4'!AE66</f>
        <v>1.0044642857142918</v>
      </c>
      <c r="AX23" s="201">
        <f>'CCCC-car.4'!AF66</f>
        <v>-6.9642857142857135</v>
      </c>
      <c r="AY23" s="339"/>
      <c r="AZ23" s="206">
        <f t="shared" si="4"/>
        <v>3.75</v>
      </c>
      <c r="BA23" s="201">
        <f>'CCCC-car.5'!AD66</f>
        <v>8.75</v>
      </c>
      <c r="BB23" s="201">
        <f>'CCCC-car.5'!AE66</f>
        <v>-1.171875</v>
      </c>
      <c r="BC23" s="201">
        <f>'CCCC-car.5'!AF66</f>
        <v>-2.8125</v>
      </c>
    </row>
    <row r="24" spans="1:56" x14ac:dyDescent="0.2">
      <c r="A24" s="299"/>
      <c r="B24" s="299"/>
      <c r="C24" s="343" t="s">
        <v>473</v>
      </c>
      <c r="D24" s="343"/>
      <c r="E24" s="343"/>
      <c r="F24" s="343"/>
      <c r="G24" s="343"/>
      <c r="H24" s="343"/>
      <c r="I24" s="46"/>
      <c r="J24" s="46"/>
      <c r="AE24" s="339"/>
      <c r="AF24" s="206">
        <f t="shared" si="6"/>
        <v>4.375</v>
      </c>
      <c r="AG24" s="201">
        <f>'CCCC-car.1'!AD67</f>
        <v>9.375</v>
      </c>
      <c r="AH24" s="201">
        <f>'CCCC-car.1'!AE67</f>
        <v>-3.90625</v>
      </c>
      <c r="AI24" s="201">
        <f>'CCCC-car.1'!AF67</f>
        <v>-3.125</v>
      </c>
      <c r="AJ24" s="339"/>
      <c r="AK24" s="206">
        <f t="shared" si="1"/>
        <v>4.375</v>
      </c>
      <c r="AL24" s="201">
        <f>'CCCC-car.2'!AD67</f>
        <v>9.375</v>
      </c>
      <c r="AM24" s="201">
        <f>'CCCC-car.2'!AE67</f>
        <v>0.1953125</v>
      </c>
      <c r="AN24" s="201">
        <f>'CCCC-car.2'!AF67</f>
        <v>-8.75</v>
      </c>
      <c r="AO24" s="339"/>
      <c r="AP24" s="206">
        <f t="shared" si="2"/>
        <v>4.375</v>
      </c>
      <c r="AQ24" s="201">
        <f>'CCCC-car.3'!AD67</f>
        <v>9.375</v>
      </c>
      <c r="AR24" s="201">
        <f>'CCCC-car.3'!AE67</f>
        <v>-0.390625</v>
      </c>
      <c r="AS24" s="201">
        <f>'CCCC-car.3'!AF67</f>
        <v>-7.8125</v>
      </c>
      <c r="AT24" s="339"/>
      <c r="AU24" s="206">
        <f t="shared" si="3"/>
        <v>4.375</v>
      </c>
      <c r="AV24" s="201">
        <f>'CCCC-car.4'!AD67</f>
        <v>9.375</v>
      </c>
      <c r="AW24" s="201">
        <f>'CCCC-car.4'!AE67</f>
        <v>-4.3247767857142847</v>
      </c>
      <c r="AX24" s="201">
        <f>'CCCC-car.4'!AF67</f>
        <v>-10.089285714285714</v>
      </c>
      <c r="AY24" s="339"/>
      <c r="AZ24" s="206">
        <f t="shared" si="4"/>
        <v>4.375</v>
      </c>
      <c r="BA24" s="201">
        <f>'CCCC-car.5'!AD67</f>
        <v>9.375</v>
      </c>
      <c r="BB24" s="201">
        <f>'CCCC-car.5'!AE67</f>
        <v>-3.3203125</v>
      </c>
      <c r="BC24" s="201">
        <f>'CCCC-car.5'!AF67</f>
        <v>-4.0625</v>
      </c>
    </row>
    <row r="25" spans="1:56" ht="12" customHeight="1" x14ac:dyDescent="0.2">
      <c r="B25" s="46"/>
      <c r="C25" s="300"/>
      <c r="D25" s="300"/>
      <c r="E25" s="304"/>
      <c r="F25" s="300"/>
      <c r="G25" s="300"/>
      <c r="H25" s="300"/>
      <c r="I25" s="46"/>
      <c r="J25" s="46"/>
      <c r="AE25" s="339"/>
      <c r="AF25" s="207">
        <f t="shared" si="6"/>
        <v>5</v>
      </c>
      <c r="AG25" s="204">
        <f>'CCCC-car.1'!AD68</f>
        <v>10</v>
      </c>
      <c r="AH25" s="204">
        <f>'CCCC-car.1'!AE68</f>
        <v>-6.25</v>
      </c>
      <c r="AI25" s="204">
        <f>'CCCC-car.1'!AF68</f>
        <v>-4.375</v>
      </c>
      <c r="AJ25" s="339"/>
      <c r="AK25" s="207">
        <f t="shared" si="1"/>
        <v>5</v>
      </c>
      <c r="AL25" s="204">
        <f>'CCCC-car.2'!AD68</f>
        <v>10</v>
      </c>
      <c r="AM25" s="204">
        <f>'CCCC-car.2'!AE68</f>
        <v>-6.25</v>
      </c>
      <c r="AN25" s="204">
        <f>'CCCC-car.2'!AF68</f>
        <v>-11.875</v>
      </c>
      <c r="AO25" s="339"/>
      <c r="AP25" s="207">
        <f t="shared" si="2"/>
        <v>5</v>
      </c>
      <c r="AQ25" s="204">
        <f>'CCCC-car.3'!AD68</f>
        <v>10</v>
      </c>
      <c r="AR25" s="204">
        <f>'CCCC-car.3'!AE68</f>
        <v>-6.25</v>
      </c>
      <c r="AS25" s="204">
        <f>'CCCC-car.3'!AF68</f>
        <v>-10.9375</v>
      </c>
      <c r="AT25" s="339"/>
      <c r="AU25" s="207">
        <f t="shared" si="3"/>
        <v>5</v>
      </c>
      <c r="AV25" s="204">
        <f>'CCCC-car.4'!AD68</f>
        <v>10</v>
      </c>
      <c r="AW25" s="204">
        <f>'CCCC-car.4'!AE68</f>
        <v>-11.607142857142861</v>
      </c>
      <c r="AX25" s="204">
        <f>'CCCC-car.4'!AF68</f>
        <v>-13.214285714285714</v>
      </c>
      <c r="AY25" s="339"/>
      <c r="AZ25" s="207">
        <f t="shared" si="4"/>
        <v>5</v>
      </c>
      <c r="BA25" s="204">
        <f>'CCCC-car.5'!AD68</f>
        <v>10</v>
      </c>
      <c r="BB25" s="204">
        <f>'CCCC-car.5'!AE68</f>
        <v>-6.25</v>
      </c>
      <c r="BC25" s="204">
        <f>'CCCC-car.5'!AF68</f>
        <v>-5.3125</v>
      </c>
    </row>
    <row r="26" spans="1:56" x14ac:dyDescent="0.2">
      <c r="A26" s="12" t="s">
        <v>49</v>
      </c>
      <c r="B26" s="301" t="s">
        <v>446</v>
      </c>
      <c r="C26" s="278">
        <v>0</v>
      </c>
      <c r="D26" s="278">
        <v>5</v>
      </c>
      <c r="E26" s="278">
        <v>2</v>
      </c>
      <c r="F26" s="278">
        <v>5</v>
      </c>
      <c r="G26" s="278">
        <v>2</v>
      </c>
      <c r="H26" s="278">
        <v>0</v>
      </c>
      <c r="AE26" s="338" t="s">
        <v>88</v>
      </c>
      <c r="AF26" s="205">
        <f t="shared" ref="AF26:AF34" si="7">AG26-$AG$25</f>
        <v>0</v>
      </c>
      <c r="AG26" s="203">
        <f>'CCCC-car.1'!AD69</f>
        <v>10</v>
      </c>
      <c r="AH26" s="203">
        <f>'CCCC-car.1'!AE69</f>
        <v>-6.25</v>
      </c>
      <c r="AI26" s="203">
        <f>'CCCC-car.1'!AF69</f>
        <v>11.875</v>
      </c>
      <c r="AJ26" s="338" t="s">
        <v>88</v>
      </c>
      <c r="AK26" s="205">
        <f t="shared" si="1"/>
        <v>0</v>
      </c>
      <c r="AL26" s="203">
        <f>'CCCC-car.2'!AD69</f>
        <v>10</v>
      </c>
      <c r="AM26" s="203">
        <f>'CCCC-car.2'!AE69</f>
        <v>-6.25</v>
      </c>
      <c r="AN26" s="203">
        <f>'CCCC-car.2'!AF69</f>
        <v>4.375</v>
      </c>
      <c r="AO26" s="338" t="s">
        <v>88</v>
      </c>
      <c r="AP26" s="205">
        <f t="shared" si="2"/>
        <v>0</v>
      </c>
      <c r="AQ26" s="203">
        <f>'CCCC-car.3'!AD69</f>
        <v>10</v>
      </c>
      <c r="AR26" s="203">
        <f>'CCCC-car.3'!AE69</f>
        <v>-6.2499999999999991</v>
      </c>
      <c r="AS26" s="203">
        <f>'CCCC-car.3'!AF69</f>
        <v>5.3125</v>
      </c>
      <c r="AT26" s="338" t="s">
        <v>88</v>
      </c>
      <c r="AU26" s="205">
        <f t="shared" si="3"/>
        <v>0</v>
      </c>
      <c r="AV26" s="203">
        <f>'CCCC-car.4'!AD69</f>
        <v>10</v>
      </c>
      <c r="AW26" s="203">
        <f>'CCCC-car.4'!AE69</f>
        <v>-11.607142857142858</v>
      </c>
      <c r="AX26" s="203">
        <f>'CCCC-car.4'!AF69</f>
        <v>13.214285714285714</v>
      </c>
      <c r="AY26" s="338" t="s">
        <v>88</v>
      </c>
      <c r="AZ26" s="205">
        <f t="shared" si="4"/>
        <v>0</v>
      </c>
      <c r="BA26" s="203">
        <f>'CCCC-car.5'!AD69</f>
        <v>10</v>
      </c>
      <c r="BB26" s="203">
        <f>'CCCC-car.5'!AE69</f>
        <v>-6.2499999999999991</v>
      </c>
      <c r="BC26" s="203">
        <f>'CCCC-car.5'!AF69</f>
        <v>10.9375</v>
      </c>
    </row>
    <row r="27" spans="1:56" x14ac:dyDescent="0.2">
      <c r="A27" s="12" t="s">
        <v>50</v>
      </c>
      <c r="B27" s="301" t="s">
        <v>446</v>
      </c>
      <c r="C27" s="278">
        <v>0</v>
      </c>
      <c r="D27" s="278">
        <v>2</v>
      </c>
      <c r="E27" s="278">
        <v>5</v>
      </c>
      <c r="F27" s="278">
        <v>2</v>
      </c>
      <c r="G27" s="278">
        <v>5</v>
      </c>
      <c r="H27" s="278">
        <v>0</v>
      </c>
      <c r="AE27" s="338"/>
      <c r="AF27" s="206">
        <f t="shared" si="7"/>
        <v>0.625</v>
      </c>
      <c r="AG27" s="201">
        <f>'CCCC-car.1'!AD70</f>
        <v>10.625</v>
      </c>
      <c r="AH27" s="201">
        <f>'CCCC-car.1'!AE70</f>
        <v>0.1953125</v>
      </c>
      <c r="AI27" s="201">
        <f>'CCCC-car.1'!AF70</f>
        <v>8.75</v>
      </c>
      <c r="AJ27" s="338"/>
      <c r="AK27" s="206">
        <f t="shared" si="1"/>
        <v>0.625</v>
      </c>
      <c r="AL27" s="201">
        <f>'CCCC-car.2'!AD70</f>
        <v>10.625</v>
      </c>
      <c r="AM27" s="201">
        <f>'CCCC-car.2'!AE70</f>
        <v>-3.90625</v>
      </c>
      <c r="AN27" s="201">
        <f>'CCCC-car.2'!AF70</f>
        <v>3.125</v>
      </c>
      <c r="AO27" s="338"/>
      <c r="AP27" s="206">
        <f t="shared" si="2"/>
        <v>0.625</v>
      </c>
      <c r="AQ27" s="201">
        <f>'CCCC-car.3'!AD70</f>
        <v>10.625</v>
      </c>
      <c r="AR27" s="201">
        <f>'CCCC-car.3'!AE70</f>
        <v>-3.3203124999999991</v>
      </c>
      <c r="AS27" s="201">
        <f>'CCCC-car.3'!AF70</f>
        <v>4.0625</v>
      </c>
      <c r="AT27" s="338"/>
      <c r="AU27" s="206">
        <f t="shared" si="3"/>
        <v>0.625</v>
      </c>
      <c r="AV27" s="201">
        <f>'CCCC-car.4'!AD70</f>
        <v>10.625</v>
      </c>
      <c r="AW27" s="201">
        <f>'CCCC-car.4'!AE70</f>
        <v>-4.3247767857142865</v>
      </c>
      <c r="AX27" s="201">
        <f>'CCCC-car.4'!AF70</f>
        <v>10.089285714285714</v>
      </c>
      <c r="AY27" s="338"/>
      <c r="AZ27" s="206">
        <f t="shared" si="4"/>
        <v>0.625</v>
      </c>
      <c r="BA27" s="201">
        <f>'CCCC-car.5'!AD70</f>
        <v>10.625</v>
      </c>
      <c r="BB27" s="201">
        <f>'CCCC-car.5'!AE70</f>
        <v>-0.39062499999999911</v>
      </c>
      <c r="BC27" s="201">
        <f>'CCCC-car.5'!AF70</f>
        <v>7.8125</v>
      </c>
    </row>
    <row r="28" spans="1:56" s="46" customFormat="1" x14ac:dyDescent="0.2">
      <c r="A28" s="12" t="s">
        <v>51</v>
      </c>
      <c r="B28" s="301" t="s">
        <v>446</v>
      </c>
      <c r="C28" s="278">
        <v>0</v>
      </c>
      <c r="D28" s="278">
        <v>5</v>
      </c>
      <c r="E28" s="278">
        <v>5</v>
      </c>
      <c r="F28" s="278">
        <v>2</v>
      </c>
      <c r="G28" s="278">
        <v>2</v>
      </c>
      <c r="H28" s="278">
        <v>0</v>
      </c>
      <c r="I28" s="1"/>
      <c r="J28" s="1"/>
      <c r="AE28" s="338"/>
      <c r="AF28" s="206">
        <f t="shared" si="7"/>
        <v>1.25</v>
      </c>
      <c r="AG28" s="201">
        <f>'CCCC-car.1'!AD71</f>
        <v>11.25</v>
      </c>
      <c r="AH28" s="201">
        <f>'CCCC-car.1'!AE71</f>
        <v>4.6875</v>
      </c>
      <c r="AI28" s="201">
        <f>'CCCC-car.1'!AF71</f>
        <v>5.625</v>
      </c>
      <c r="AJ28" s="338"/>
      <c r="AK28" s="206">
        <f t="shared" si="1"/>
        <v>1.25</v>
      </c>
      <c r="AL28" s="201">
        <f>'CCCC-car.2'!AD71</f>
        <v>11.25</v>
      </c>
      <c r="AM28" s="201">
        <f>'CCCC-car.2'!AE71</f>
        <v>-2.34375</v>
      </c>
      <c r="AN28" s="201">
        <f>'CCCC-car.2'!AF71</f>
        <v>1.875</v>
      </c>
      <c r="AO28" s="338"/>
      <c r="AP28" s="206">
        <f t="shared" si="2"/>
        <v>1.25</v>
      </c>
      <c r="AQ28" s="201">
        <f>'CCCC-car.3'!AD71</f>
        <v>11.25</v>
      </c>
      <c r="AR28" s="201">
        <f>'CCCC-car.3'!AE71</f>
        <v>-1.1718749999999991</v>
      </c>
      <c r="AS28" s="201">
        <f>'CCCC-car.3'!AF71</f>
        <v>2.8125</v>
      </c>
      <c r="AT28" s="338"/>
      <c r="AU28" s="206">
        <f t="shared" si="3"/>
        <v>1.25</v>
      </c>
      <c r="AV28" s="201">
        <f>'CCCC-car.4'!AD71</f>
        <v>11.25</v>
      </c>
      <c r="AW28" s="201">
        <f>'CCCC-car.4'!AE71</f>
        <v>1.0044642857142847</v>
      </c>
      <c r="AX28" s="201">
        <f>'CCCC-car.4'!AF71</f>
        <v>6.9642857142857135</v>
      </c>
      <c r="AY28" s="338"/>
      <c r="AZ28" s="206">
        <f t="shared" si="4"/>
        <v>1.25</v>
      </c>
      <c r="BA28" s="201">
        <f>'CCCC-car.5'!AD71</f>
        <v>11.25</v>
      </c>
      <c r="BB28" s="201">
        <f>'CCCC-car.5'!AE71</f>
        <v>3.515625</v>
      </c>
      <c r="BC28" s="201">
        <f>'CCCC-car.5'!AF71</f>
        <v>4.6875</v>
      </c>
    </row>
    <row r="29" spans="1:56" s="46" customFormat="1" x14ac:dyDescent="0.2">
      <c r="A29" s="12" t="s">
        <v>52</v>
      </c>
      <c r="B29" s="301" t="s">
        <v>446</v>
      </c>
      <c r="C29" s="278">
        <v>0</v>
      </c>
      <c r="D29" s="278">
        <v>2</v>
      </c>
      <c r="E29" s="278">
        <v>5</v>
      </c>
      <c r="F29" s="278">
        <v>5</v>
      </c>
      <c r="G29" s="278">
        <v>2</v>
      </c>
      <c r="H29" s="278">
        <v>0</v>
      </c>
      <c r="I29" s="1"/>
      <c r="J29" s="1"/>
      <c r="AE29" s="338"/>
      <c r="AF29" s="206">
        <f t="shared" si="7"/>
        <v>1.875</v>
      </c>
      <c r="AG29" s="201">
        <f>'CCCC-car.1'!AD72</f>
        <v>11.875</v>
      </c>
      <c r="AH29" s="201">
        <f>'CCCC-car.1'!AE72</f>
        <v>7.2265625</v>
      </c>
      <c r="AI29" s="201">
        <f>'CCCC-car.1'!AF72</f>
        <v>2.5</v>
      </c>
      <c r="AJ29" s="338"/>
      <c r="AK29" s="206">
        <f t="shared" si="1"/>
        <v>1.875</v>
      </c>
      <c r="AL29" s="201">
        <f>'CCCC-car.2'!AD72</f>
        <v>11.875</v>
      </c>
      <c r="AM29" s="201">
        <f>'CCCC-car.2'!AE72</f>
        <v>-1.5625</v>
      </c>
      <c r="AN29" s="201">
        <f>'CCCC-car.2'!AF72</f>
        <v>0.625</v>
      </c>
      <c r="AO29" s="338"/>
      <c r="AP29" s="206">
        <f t="shared" si="2"/>
        <v>1.875</v>
      </c>
      <c r="AQ29" s="201">
        <f>'CCCC-car.3'!AD72</f>
        <v>11.875</v>
      </c>
      <c r="AR29" s="201">
        <f>'CCCC-car.3'!AE72</f>
        <v>0.1953125</v>
      </c>
      <c r="AS29" s="201">
        <f>'CCCC-car.3'!AF72</f>
        <v>1.5625</v>
      </c>
      <c r="AT29" s="338"/>
      <c r="AU29" s="206">
        <f t="shared" si="3"/>
        <v>1.875</v>
      </c>
      <c r="AV29" s="201">
        <f>'CCCC-car.4'!AD72</f>
        <v>11.875</v>
      </c>
      <c r="AW29" s="201">
        <f>'CCCC-car.4'!AE72</f>
        <v>4.3805803571428541</v>
      </c>
      <c r="AX29" s="201">
        <f>'CCCC-car.4'!AF72</f>
        <v>3.8392857142857135</v>
      </c>
      <c r="AY29" s="338"/>
      <c r="AZ29" s="206">
        <f t="shared" si="4"/>
        <v>1.875</v>
      </c>
      <c r="BA29" s="201">
        <f>'CCCC-car.5'!AD72</f>
        <v>11.875</v>
      </c>
      <c r="BB29" s="201">
        <f>'CCCC-car.5'!AE72</f>
        <v>5.46875</v>
      </c>
      <c r="BC29" s="201">
        <f>'CCCC-car.5'!AF72</f>
        <v>1.5625</v>
      </c>
    </row>
    <row r="30" spans="1:56" x14ac:dyDescent="0.2">
      <c r="A30" s="12" t="s">
        <v>53</v>
      </c>
      <c r="B30" s="301" t="s">
        <v>446</v>
      </c>
      <c r="C30" s="278">
        <v>0</v>
      </c>
      <c r="D30" s="278">
        <v>2</v>
      </c>
      <c r="E30" s="278">
        <v>2</v>
      </c>
      <c r="F30" s="278">
        <v>5</v>
      </c>
      <c r="G30" s="278">
        <v>5</v>
      </c>
      <c r="H30" s="278">
        <v>0</v>
      </c>
      <c r="AE30" s="338"/>
      <c r="AF30" s="206">
        <f t="shared" si="7"/>
        <v>2.5</v>
      </c>
      <c r="AG30" s="201">
        <f>'CCCC-car.1'!AD73</f>
        <v>12.5</v>
      </c>
      <c r="AH30" s="201">
        <f>'CCCC-car.1'!AE73</f>
        <v>7.8125</v>
      </c>
      <c r="AI30" s="201">
        <f>'CCCC-car.1'!AF73</f>
        <v>-0.625</v>
      </c>
      <c r="AJ30" s="338"/>
      <c r="AK30" s="206">
        <f t="shared" si="1"/>
        <v>2.5</v>
      </c>
      <c r="AL30" s="201">
        <f>'CCCC-car.2'!AD73</f>
        <v>12.5</v>
      </c>
      <c r="AM30" s="201">
        <f>'CCCC-car.2'!AE73</f>
        <v>-1.5625</v>
      </c>
      <c r="AN30" s="201">
        <f>'CCCC-car.2'!AF73</f>
        <v>-0.625</v>
      </c>
      <c r="AO30" s="338"/>
      <c r="AP30" s="206">
        <f t="shared" si="2"/>
        <v>2.5</v>
      </c>
      <c r="AQ30" s="201">
        <f>'CCCC-car.3'!AD73</f>
        <v>12.5</v>
      </c>
      <c r="AR30" s="201">
        <f>'CCCC-car.3'!AE73</f>
        <v>0.78125</v>
      </c>
      <c r="AS30" s="201">
        <f>'CCCC-car.3'!AF73</f>
        <v>0.3125</v>
      </c>
      <c r="AT30" s="338"/>
      <c r="AU30" s="206">
        <f t="shared" si="3"/>
        <v>2.5</v>
      </c>
      <c r="AV30" s="201">
        <f>'CCCC-car.4'!AD73</f>
        <v>12.5</v>
      </c>
      <c r="AW30" s="201">
        <f>'CCCC-car.4'!AE73</f>
        <v>5.803571428571427</v>
      </c>
      <c r="AX30" s="201">
        <f>'CCCC-car.4'!AF73</f>
        <v>0.71428571428571352</v>
      </c>
      <c r="AY30" s="338"/>
      <c r="AZ30" s="206">
        <f t="shared" si="4"/>
        <v>2.5</v>
      </c>
      <c r="BA30" s="201">
        <f>'CCCC-car.5'!AD73</f>
        <v>12.5</v>
      </c>
      <c r="BB30" s="201">
        <f>'CCCC-car.5'!AE73</f>
        <v>5.46875</v>
      </c>
      <c r="BC30" s="201">
        <f>'CCCC-car.5'!AF73</f>
        <v>-1.5625</v>
      </c>
    </row>
    <row r="31" spans="1:56" x14ac:dyDescent="0.2">
      <c r="AE31" s="338"/>
      <c r="AF31" s="206">
        <f t="shared" si="7"/>
        <v>3.125</v>
      </c>
      <c r="AG31" s="201">
        <f>'CCCC-car.1'!AD74</f>
        <v>13.125</v>
      </c>
      <c r="AH31" s="201">
        <f>'CCCC-car.1'!AE74</f>
        <v>6.4453125</v>
      </c>
      <c r="AI31" s="201">
        <f>'CCCC-car.1'!AF74</f>
        <v>-3.75</v>
      </c>
      <c r="AJ31" s="338"/>
      <c r="AK31" s="206">
        <f t="shared" si="1"/>
        <v>3.125</v>
      </c>
      <c r="AL31" s="201">
        <f>'CCCC-car.2'!AD74</f>
        <v>13.125</v>
      </c>
      <c r="AM31" s="201">
        <f>'CCCC-car.2'!AE74</f>
        <v>-2.34375</v>
      </c>
      <c r="AN31" s="201">
        <f>'CCCC-car.2'!AF74</f>
        <v>-1.875</v>
      </c>
      <c r="AO31" s="338"/>
      <c r="AP31" s="206">
        <f t="shared" si="2"/>
        <v>3.125</v>
      </c>
      <c r="AQ31" s="201">
        <f>'CCCC-car.3'!AD74</f>
        <v>13.125</v>
      </c>
      <c r="AR31" s="201">
        <f>'CCCC-car.3'!AE74</f>
        <v>0.5859375</v>
      </c>
      <c r="AS31" s="201">
        <f>'CCCC-car.3'!AF74</f>
        <v>-0.9375</v>
      </c>
      <c r="AT31" s="338"/>
      <c r="AU31" s="206">
        <f t="shared" si="3"/>
        <v>3.125</v>
      </c>
      <c r="AV31" s="201">
        <f>'CCCC-car.4'!AD74</f>
        <v>13.125</v>
      </c>
      <c r="AW31" s="201">
        <f>'CCCC-car.4'!AE74</f>
        <v>5.2734374999999929</v>
      </c>
      <c r="AX31" s="201">
        <f>'CCCC-car.4'!AF74</f>
        <v>-2.4107142857142865</v>
      </c>
      <c r="AY31" s="338"/>
      <c r="AZ31" s="206">
        <f t="shared" si="4"/>
        <v>3.125</v>
      </c>
      <c r="BA31" s="201">
        <f>'CCCC-car.5'!AD74</f>
        <v>13.125</v>
      </c>
      <c r="BB31" s="201">
        <f>'CCCC-car.5'!AE74</f>
        <v>3.515625</v>
      </c>
      <c r="BC31" s="201">
        <f>'CCCC-car.5'!AF74</f>
        <v>-4.6875</v>
      </c>
    </row>
    <row r="32" spans="1:56" x14ac:dyDescent="0.2">
      <c r="AE32" s="338"/>
      <c r="AF32" s="206">
        <f t="shared" si="7"/>
        <v>3.75</v>
      </c>
      <c r="AG32" s="201">
        <f>'CCCC-car.1'!AD75</f>
        <v>13.75</v>
      </c>
      <c r="AH32" s="201">
        <f>'CCCC-car.1'!AE75</f>
        <v>3.125</v>
      </c>
      <c r="AI32" s="201">
        <f>'CCCC-car.1'!AF75</f>
        <v>-6.875</v>
      </c>
      <c r="AJ32" s="338"/>
      <c r="AK32" s="206">
        <f t="shared" si="1"/>
        <v>3.75</v>
      </c>
      <c r="AL32" s="201">
        <f>'CCCC-car.2'!AD75</f>
        <v>13.75</v>
      </c>
      <c r="AM32" s="201">
        <f>'CCCC-car.2'!AE75</f>
        <v>-3.90625</v>
      </c>
      <c r="AN32" s="201">
        <f>'CCCC-car.2'!AF75</f>
        <v>-3.125</v>
      </c>
      <c r="AO32" s="338"/>
      <c r="AP32" s="206">
        <f t="shared" si="2"/>
        <v>3.75</v>
      </c>
      <c r="AQ32" s="201">
        <f>'CCCC-car.3'!AD75</f>
        <v>13.75</v>
      </c>
      <c r="AR32" s="201">
        <f>'CCCC-car.3'!AE75</f>
        <v>-0.390625</v>
      </c>
      <c r="AS32" s="201">
        <f>'CCCC-car.3'!AF75</f>
        <v>-2.1875</v>
      </c>
      <c r="AT32" s="338"/>
      <c r="AU32" s="206">
        <f t="shared" si="3"/>
        <v>3.75</v>
      </c>
      <c r="AV32" s="201">
        <f>'CCCC-car.4'!AD75</f>
        <v>13.75</v>
      </c>
      <c r="AW32" s="201">
        <f>'CCCC-car.4'!AE75</f>
        <v>2.7901785714285623</v>
      </c>
      <c r="AX32" s="201">
        <f>'CCCC-car.4'!AF75</f>
        <v>-5.5357142857142865</v>
      </c>
      <c r="AY32" s="338"/>
      <c r="AZ32" s="206">
        <f t="shared" si="4"/>
        <v>3.75</v>
      </c>
      <c r="BA32" s="201">
        <f>'CCCC-car.5'!AD75</f>
        <v>13.75</v>
      </c>
      <c r="BB32" s="201">
        <f>'CCCC-car.5'!AE75</f>
        <v>-0.390625</v>
      </c>
      <c r="BC32" s="201">
        <f>'CCCC-car.5'!AF75</f>
        <v>-7.8125</v>
      </c>
    </row>
    <row r="33" spans="21:55" x14ac:dyDescent="0.2">
      <c r="AE33" s="338"/>
      <c r="AF33" s="206">
        <f t="shared" si="7"/>
        <v>4.375</v>
      </c>
      <c r="AG33" s="201">
        <f>'CCCC-car.1'!AD76</f>
        <v>14.375</v>
      </c>
      <c r="AH33" s="201">
        <f>'CCCC-car.1'!AE76</f>
        <v>-2.1484375</v>
      </c>
      <c r="AI33" s="201">
        <f>'CCCC-car.1'!AF76</f>
        <v>-10</v>
      </c>
      <c r="AJ33" s="338"/>
      <c r="AK33" s="206">
        <f t="shared" si="1"/>
        <v>4.375</v>
      </c>
      <c r="AL33" s="201">
        <f>'CCCC-car.2'!AD76</f>
        <v>14.375</v>
      </c>
      <c r="AM33" s="201">
        <f>'CCCC-car.2'!AE76</f>
        <v>-6.25</v>
      </c>
      <c r="AN33" s="201">
        <f>'CCCC-car.2'!AF76</f>
        <v>-4.375</v>
      </c>
      <c r="AO33" s="338"/>
      <c r="AP33" s="206">
        <f t="shared" si="2"/>
        <v>4.375</v>
      </c>
      <c r="AQ33" s="201">
        <f>'CCCC-car.3'!AD76</f>
        <v>14.375</v>
      </c>
      <c r="AR33" s="201">
        <f>'CCCC-car.3'!AE76</f>
        <v>-2.1484375</v>
      </c>
      <c r="AS33" s="201">
        <f>'CCCC-car.3'!AF76</f>
        <v>-3.4375</v>
      </c>
      <c r="AT33" s="338"/>
      <c r="AU33" s="206">
        <f t="shared" si="3"/>
        <v>4.375</v>
      </c>
      <c r="AV33" s="201">
        <f>'CCCC-car.4'!AD76</f>
        <v>14.375</v>
      </c>
      <c r="AW33" s="201">
        <f>'CCCC-car.4'!AE76</f>
        <v>-1.6462053571428612</v>
      </c>
      <c r="AX33" s="201">
        <f>'CCCC-car.4'!AF76</f>
        <v>-8.6607142857142865</v>
      </c>
      <c r="AY33" s="338"/>
      <c r="AZ33" s="206">
        <f t="shared" si="4"/>
        <v>4.375</v>
      </c>
      <c r="BA33" s="201">
        <f>'CCCC-car.5'!AD76</f>
        <v>14.375</v>
      </c>
      <c r="BB33" s="201">
        <f>'CCCC-car.5'!AE76</f>
        <v>-6.25</v>
      </c>
      <c r="BC33" s="201">
        <f>'CCCC-car.5'!AF76</f>
        <v>-10.9375</v>
      </c>
    </row>
    <row r="34" spans="21:55" ht="12" customHeight="1" x14ac:dyDescent="0.2">
      <c r="AE34" s="338"/>
      <c r="AF34" s="207">
        <f t="shared" si="7"/>
        <v>5</v>
      </c>
      <c r="AG34" s="204">
        <f>'CCCC-car.1'!AD77</f>
        <v>15</v>
      </c>
      <c r="AH34" s="204">
        <f>'CCCC-car.1'!AE77</f>
        <v>-9.375</v>
      </c>
      <c r="AI34" s="204">
        <f>'CCCC-car.1'!AF77</f>
        <v>-13.125</v>
      </c>
      <c r="AJ34" s="338"/>
      <c r="AK34" s="207">
        <f t="shared" si="1"/>
        <v>5</v>
      </c>
      <c r="AL34" s="204">
        <f>'CCCC-car.2'!AD77</f>
        <v>15</v>
      </c>
      <c r="AM34" s="204">
        <f>'CCCC-car.2'!AE77</f>
        <v>-9.375</v>
      </c>
      <c r="AN34" s="204">
        <f>'CCCC-car.2'!AF77</f>
        <v>-5.625</v>
      </c>
      <c r="AO34" s="338"/>
      <c r="AP34" s="207">
        <f t="shared" si="2"/>
        <v>5</v>
      </c>
      <c r="AQ34" s="204">
        <f>'CCCC-car.3'!AD77</f>
        <v>15</v>
      </c>
      <c r="AR34" s="204">
        <f>'CCCC-car.3'!AE77</f>
        <v>-4.6875</v>
      </c>
      <c r="AS34" s="204">
        <f>'CCCC-car.3'!AF77</f>
        <v>-4.6875</v>
      </c>
      <c r="AT34" s="338"/>
      <c r="AU34" s="207">
        <f t="shared" si="3"/>
        <v>5</v>
      </c>
      <c r="AV34" s="204">
        <f>'CCCC-car.4'!AD77</f>
        <v>15</v>
      </c>
      <c r="AW34" s="204">
        <f>'CCCC-car.4'!AE77</f>
        <v>-8.0357142857142918</v>
      </c>
      <c r="AX34" s="204">
        <f>'CCCC-car.4'!AF77</f>
        <v>-11.785714285714286</v>
      </c>
      <c r="AY34" s="338"/>
      <c r="AZ34" s="207">
        <f t="shared" si="4"/>
        <v>5</v>
      </c>
      <c r="BA34" s="204">
        <f>'CCCC-car.5'!AD77</f>
        <v>15</v>
      </c>
      <c r="BB34" s="204">
        <f>'CCCC-car.5'!AE77</f>
        <v>-14.0625</v>
      </c>
      <c r="BC34" s="204">
        <f>'CCCC-car.5'!AF77</f>
        <v>-14.0625</v>
      </c>
    </row>
    <row r="35" spans="21:55" x14ac:dyDescent="0.2">
      <c r="AE35" s="339" t="s">
        <v>108</v>
      </c>
      <c r="AF35" s="205">
        <f t="shared" ref="AF35:AF43" si="8">AG35-$AG$34</f>
        <v>0</v>
      </c>
      <c r="AG35" s="203">
        <f>'CCCC-car.1'!AD78</f>
        <v>15</v>
      </c>
      <c r="AH35" s="203">
        <f>'CCCC-car.1'!AE78</f>
        <v>-9.375</v>
      </c>
      <c r="AI35" s="203">
        <f>'CCCC-car.1'!AF78</f>
        <v>6.875</v>
      </c>
      <c r="AJ35" s="339" t="s">
        <v>108</v>
      </c>
      <c r="AK35" s="205">
        <f t="shared" si="1"/>
        <v>0</v>
      </c>
      <c r="AL35" s="203">
        <f>'CCCC-car.2'!AD78</f>
        <v>15</v>
      </c>
      <c r="AM35" s="203">
        <f>'CCCC-car.2'!AE78</f>
        <v>-9.375</v>
      </c>
      <c r="AN35" s="203">
        <f>'CCCC-car.2'!AF78</f>
        <v>14.375</v>
      </c>
      <c r="AO35" s="339" t="s">
        <v>108</v>
      </c>
      <c r="AP35" s="205">
        <f t="shared" si="2"/>
        <v>0</v>
      </c>
      <c r="AQ35" s="203">
        <f>'CCCC-car.3'!AD78</f>
        <v>15</v>
      </c>
      <c r="AR35" s="203">
        <f>'CCCC-car.3'!AE78</f>
        <v>-4.6875</v>
      </c>
      <c r="AS35" s="203">
        <f>'CCCC-car.3'!AF78</f>
        <v>5.9375</v>
      </c>
      <c r="AT35" s="339" t="s">
        <v>108</v>
      </c>
      <c r="AU35" s="205">
        <f t="shared" si="3"/>
        <v>0</v>
      </c>
      <c r="AV35" s="203">
        <f>'CCCC-car.4'!AD78</f>
        <v>15</v>
      </c>
      <c r="AW35" s="203">
        <f>'CCCC-car.4'!AE78</f>
        <v>-8.0357142857142847</v>
      </c>
      <c r="AX35" s="203">
        <f>'CCCC-car.4'!AF78</f>
        <v>6.6071428571428568</v>
      </c>
      <c r="AY35" s="339" t="s">
        <v>108</v>
      </c>
      <c r="AZ35" s="205">
        <f t="shared" si="4"/>
        <v>0</v>
      </c>
      <c r="BA35" s="203">
        <f>'CCCC-car.5'!AD78</f>
        <v>15</v>
      </c>
      <c r="BB35" s="203">
        <f>'CCCC-car.5'!AE78</f>
        <v>-14.062499999999998</v>
      </c>
      <c r="BC35" s="203">
        <f>'CCCC-car.5'!AF78</f>
        <v>15.3125</v>
      </c>
    </row>
    <row r="36" spans="21:55" x14ac:dyDescent="0.2">
      <c r="AE36" s="339"/>
      <c r="AF36" s="206">
        <f t="shared" si="8"/>
        <v>0.625</v>
      </c>
      <c r="AG36" s="201">
        <f>'CCCC-car.1'!AD79</f>
        <v>15.625</v>
      </c>
      <c r="AH36" s="201">
        <f>'CCCC-car.1'!AE79</f>
        <v>-5.46875</v>
      </c>
      <c r="AI36" s="201">
        <f>'CCCC-car.1'!AF79</f>
        <v>5.625</v>
      </c>
      <c r="AJ36" s="339"/>
      <c r="AK36" s="206">
        <f t="shared" si="1"/>
        <v>0.625</v>
      </c>
      <c r="AL36" s="201">
        <f>'CCCC-car.2'!AD79</f>
        <v>15.625</v>
      </c>
      <c r="AM36" s="201">
        <f>'CCCC-car.2'!AE79</f>
        <v>-1.3671875</v>
      </c>
      <c r="AN36" s="201">
        <f>'CCCC-car.2'!AF79</f>
        <v>11.25</v>
      </c>
      <c r="AO36" s="339"/>
      <c r="AP36" s="206">
        <f t="shared" si="2"/>
        <v>0.625</v>
      </c>
      <c r="AQ36" s="201">
        <f>'CCCC-car.3'!AD79</f>
        <v>15.625</v>
      </c>
      <c r="AR36" s="201">
        <f>'CCCC-car.3'!AE79</f>
        <v>-1.3671875</v>
      </c>
      <c r="AS36" s="201">
        <f>'CCCC-car.3'!AF79</f>
        <v>4.6875</v>
      </c>
      <c r="AT36" s="339"/>
      <c r="AU36" s="206">
        <f t="shared" si="3"/>
        <v>0.625</v>
      </c>
      <c r="AV36" s="201">
        <f>'CCCC-car.4'!AD79</f>
        <v>15.625</v>
      </c>
      <c r="AW36" s="201">
        <f>'CCCC-car.4'!AE79</f>
        <v>-4.2968749999999991</v>
      </c>
      <c r="AX36" s="201">
        <f>'CCCC-car.4'!AF79</f>
        <v>5.3571428571428568</v>
      </c>
      <c r="AY36" s="339"/>
      <c r="AZ36" s="206">
        <f t="shared" si="4"/>
        <v>0.625</v>
      </c>
      <c r="BA36" s="201">
        <f>'CCCC-car.5'!AD79</f>
        <v>15.625</v>
      </c>
      <c r="BB36" s="201">
        <f>'CCCC-car.5'!AE79</f>
        <v>-5.4687499999999982</v>
      </c>
      <c r="BC36" s="201">
        <f>'CCCC-car.5'!AF79</f>
        <v>12.1875</v>
      </c>
    </row>
    <row r="37" spans="21:55" x14ac:dyDescent="0.2">
      <c r="AE37" s="339"/>
      <c r="AF37" s="206">
        <f t="shared" si="8"/>
        <v>1.25</v>
      </c>
      <c r="AG37" s="201">
        <f>'CCCC-car.1'!AD80</f>
        <v>16.25</v>
      </c>
      <c r="AH37" s="201">
        <f>'CCCC-car.1'!AE80</f>
        <v>-2.34375</v>
      </c>
      <c r="AI37" s="201">
        <f>'CCCC-car.1'!AF80</f>
        <v>4.375</v>
      </c>
      <c r="AJ37" s="339"/>
      <c r="AK37" s="206">
        <f t="shared" si="1"/>
        <v>1.25</v>
      </c>
      <c r="AL37" s="201">
        <f>'CCCC-car.2'!AD80</f>
        <v>16.25</v>
      </c>
      <c r="AM37" s="201">
        <f>'CCCC-car.2'!AE80</f>
        <v>4.6875</v>
      </c>
      <c r="AN37" s="201">
        <f>'CCCC-car.2'!AF80</f>
        <v>8.125</v>
      </c>
      <c r="AO37" s="339"/>
      <c r="AP37" s="206">
        <f t="shared" si="2"/>
        <v>1.25</v>
      </c>
      <c r="AQ37" s="201">
        <f>'CCCC-car.3'!AD80</f>
        <v>16.25</v>
      </c>
      <c r="AR37" s="201">
        <f>'CCCC-car.3'!AE80</f>
        <v>1.171875</v>
      </c>
      <c r="AS37" s="201">
        <f>'CCCC-car.3'!AF80</f>
        <v>3.4375</v>
      </c>
      <c r="AT37" s="339"/>
      <c r="AU37" s="206">
        <f t="shared" si="3"/>
        <v>1.25</v>
      </c>
      <c r="AV37" s="201">
        <f>'CCCC-car.4'!AD80</f>
        <v>16.25</v>
      </c>
      <c r="AW37" s="201">
        <f>'CCCC-car.4'!AE80</f>
        <v>-1.3392857142857135</v>
      </c>
      <c r="AX37" s="201">
        <f>'CCCC-car.4'!AF80</f>
        <v>4.1071428571428568</v>
      </c>
      <c r="AY37" s="339"/>
      <c r="AZ37" s="206">
        <f t="shared" si="4"/>
        <v>1.25</v>
      </c>
      <c r="BA37" s="201">
        <f>'CCCC-car.5'!AD80</f>
        <v>16.25</v>
      </c>
      <c r="BB37" s="201">
        <f>'CCCC-car.5'!AE80</f>
        <v>1.171875</v>
      </c>
      <c r="BC37" s="201">
        <f>'CCCC-car.5'!AF80</f>
        <v>9.0625</v>
      </c>
    </row>
    <row r="38" spans="21:55" ht="15" customHeight="1" x14ac:dyDescent="0.2">
      <c r="U38" s="341" t="s">
        <v>66</v>
      </c>
      <c r="V38" s="341"/>
      <c r="W38" s="341"/>
      <c r="X38" s="341"/>
      <c r="Y38" s="341"/>
      <c r="Z38" s="341"/>
      <c r="AA38" s="341"/>
      <c r="AB38" s="341"/>
      <c r="AC38" s="341"/>
      <c r="AD38" s="341"/>
      <c r="AE38" s="339"/>
      <c r="AF38" s="206">
        <f t="shared" si="8"/>
        <v>1.875</v>
      </c>
      <c r="AG38" s="201">
        <f>'CCCC-car.1'!AD81</f>
        <v>16.875</v>
      </c>
      <c r="AH38" s="201">
        <f>'CCCC-car.1'!AE81</f>
        <v>0</v>
      </c>
      <c r="AI38" s="201">
        <f>'CCCC-car.1'!AF81</f>
        <v>3.125</v>
      </c>
      <c r="AJ38" s="339"/>
      <c r="AK38" s="206">
        <f t="shared" si="1"/>
        <v>1.875</v>
      </c>
      <c r="AL38" s="201">
        <f>'CCCC-car.2'!AD81</f>
        <v>16.875</v>
      </c>
      <c r="AM38" s="201">
        <f>'CCCC-car.2'!AE81</f>
        <v>8.7890625</v>
      </c>
      <c r="AN38" s="201">
        <f>'CCCC-car.2'!AF81</f>
        <v>5</v>
      </c>
      <c r="AO38" s="339"/>
      <c r="AP38" s="206">
        <f t="shared" si="2"/>
        <v>1.875</v>
      </c>
      <c r="AQ38" s="201">
        <f>'CCCC-car.3'!AD81</f>
        <v>16.875</v>
      </c>
      <c r="AR38" s="201">
        <f>'CCCC-car.3'!AE81</f>
        <v>2.9296875</v>
      </c>
      <c r="AS38" s="201">
        <f>'CCCC-car.3'!AF81</f>
        <v>2.1875</v>
      </c>
      <c r="AT38" s="339"/>
      <c r="AU38" s="206">
        <f t="shared" si="3"/>
        <v>1.875</v>
      </c>
      <c r="AV38" s="201">
        <f>'CCCC-car.4'!AD81</f>
        <v>16.875</v>
      </c>
      <c r="AW38" s="201">
        <f>'CCCC-car.4'!AE81</f>
        <v>0.83705357142857117</v>
      </c>
      <c r="AX38" s="201">
        <f>'CCCC-car.4'!AF81</f>
        <v>2.8571428571428568</v>
      </c>
      <c r="AY38" s="339"/>
      <c r="AZ38" s="206">
        <f t="shared" si="4"/>
        <v>1.875</v>
      </c>
      <c r="BA38" s="201">
        <f>'CCCC-car.5'!AD81</f>
        <v>16.875</v>
      </c>
      <c r="BB38" s="201">
        <f>'CCCC-car.5'!AE81</f>
        <v>5.859375</v>
      </c>
      <c r="BC38" s="201">
        <f>'CCCC-car.5'!AF81</f>
        <v>5.9375</v>
      </c>
    </row>
    <row r="39" spans="21:55" x14ac:dyDescent="0.2">
      <c r="U39" s="43" t="s">
        <v>8</v>
      </c>
      <c r="V39" s="43" t="s">
        <v>9</v>
      </c>
      <c r="W39" s="43" t="s">
        <v>10</v>
      </c>
      <c r="X39" s="43" t="s">
        <v>11</v>
      </c>
      <c r="Y39" s="43" t="s">
        <v>76</v>
      </c>
      <c r="Z39" s="43" t="s">
        <v>77</v>
      </c>
      <c r="AA39" s="43" t="s">
        <v>92</v>
      </c>
      <c r="AB39" s="43" t="s">
        <v>93</v>
      </c>
      <c r="AC39" s="43" t="s">
        <v>112</v>
      </c>
      <c r="AD39" s="43" t="s">
        <v>113</v>
      </c>
      <c r="AE39" s="339"/>
      <c r="AF39" s="206">
        <f t="shared" si="8"/>
        <v>2.5</v>
      </c>
      <c r="AG39" s="201">
        <f>'CCCC-car.1'!AD82</f>
        <v>17.5</v>
      </c>
      <c r="AH39" s="201">
        <f>'CCCC-car.1'!AE82</f>
        <v>1.5625</v>
      </c>
      <c r="AI39" s="201">
        <f>'CCCC-car.1'!AF82</f>
        <v>1.875</v>
      </c>
      <c r="AJ39" s="339"/>
      <c r="AK39" s="206">
        <f t="shared" si="1"/>
        <v>2.5</v>
      </c>
      <c r="AL39" s="201">
        <f>'CCCC-car.2'!AD82</f>
        <v>17.5</v>
      </c>
      <c r="AM39" s="201">
        <f>'CCCC-car.2'!AE82</f>
        <v>10.9375</v>
      </c>
      <c r="AN39" s="201">
        <f>'CCCC-car.2'!AF82</f>
        <v>1.875</v>
      </c>
      <c r="AO39" s="339"/>
      <c r="AP39" s="206">
        <f t="shared" si="2"/>
        <v>2.5</v>
      </c>
      <c r="AQ39" s="201">
        <f>'CCCC-car.3'!AD82</f>
        <v>17.5</v>
      </c>
      <c r="AR39" s="201">
        <f>'CCCC-car.3'!AE82</f>
        <v>3.90625</v>
      </c>
      <c r="AS39" s="201">
        <f>'CCCC-car.3'!AF82</f>
        <v>0.9375</v>
      </c>
      <c r="AT39" s="339"/>
      <c r="AU39" s="206">
        <f t="shared" si="3"/>
        <v>2.5</v>
      </c>
      <c r="AV39" s="201">
        <f>'CCCC-car.4'!AD82</f>
        <v>17.5</v>
      </c>
      <c r="AW39" s="201">
        <f>'CCCC-car.4'!AE82</f>
        <v>2.2321428571428577</v>
      </c>
      <c r="AX39" s="201">
        <f>'CCCC-car.4'!AF82</f>
        <v>1.6071428571428568</v>
      </c>
      <c r="AY39" s="339"/>
      <c r="AZ39" s="206">
        <f t="shared" si="4"/>
        <v>2.5</v>
      </c>
      <c r="BA39" s="201">
        <f>'CCCC-car.5'!AD82</f>
        <v>17.5</v>
      </c>
      <c r="BB39" s="201">
        <f>'CCCC-car.5'!AE82</f>
        <v>8.59375</v>
      </c>
      <c r="BC39" s="201">
        <f>'CCCC-car.5'!AF82</f>
        <v>2.8125</v>
      </c>
    </row>
    <row r="40" spans="21:55" x14ac:dyDescent="0.2">
      <c r="U40" s="344" t="s">
        <v>67</v>
      </c>
      <c r="V40" s="344"/>
      <c r="W40" s="344"/>
      <c r="X40" s="344"/>
      <c r="Y40" s="344"/>
      <c r="Z40" s="344"/>
      <c r="AA40" s="344"/>
      <c r="AB40" s="344"/>
      <c r="AC40" s="344"/>
      <c r="AD40" s="344"/>
      <c r="AE40" s="339"/>
      <c r="AF40" s="206">
        <f t="shared" si="8"/>
        <v>3.125</v>
      </c>
      <c r="AG40" s="201">
        <f>'CCCC-car.1'!AD83</f>
        <v>18.125</v>
      </c>
      <c r="AH40" s="201">
        <f>'CCCC-car.1'!AE83</f>
        <v>2.34375</v>
      </c>
      <c r="AI40" s="201">
        <f>'CCCC-car.1'!AF83</f>
        <v>0.625</v>
      </c>
      <c r="AJ40" s="339"/>
      <c r="AK40" s="206">
        <f t="shared" si="1"/>
        <v>3.125</v>
      </c>
      <c r="AL40" s="201">
        <f>'CCCC-car.2'!AD83</f>
        <v>18.125</v>
      </c>
      <c r="AM40" s="201">
        <f>'CCCC-car.2'!AE83</f>
        <v>11.1328125</v>
      </c>
      <c r="AN40" s="201">
        <f>'CCCC-car.2'!AF83</f>
        <v>-1.25</v>
      </c>
      <c r="AO40" s="339"/>
      <c r="AP40" s="206">
        <f t="shared" si="2"/>
        <v>3.125</v>
      </c>
      <c r="AQ40" s="201">
        <f>'CCCC-car.3'!AD83</f>
        <v>18.125</v>
      </c>
      <c r="AR40" s="201">
        <f>'CCCC-car.3'!AE83</f>
        <v>4.1015625</v>
      </c>
      <c r="AS40" s="201">
        <f>'CCCC-car.3'!AF83</f>
        <v>-0.3125</v>
      </c>
      <c r="AT40" s="339"/>
      <c r="AU40" s="206">
        <f t="shared" si="3"/>
        <v>3.125</v>
      </c>
      <c r="AV40" s="201">
        <f>'CCCC-car.4'!AD83</f>
        <v>18.125</v>
      </c>
      <c r="AW40" s="201">
        <f>'CCCC-car.4'!AE83</f>
        <v>2.8459821428571423</v>
      </c>
      <c r="AX40" s="201">
        <f>'CCCC-car.4'!AF83</f>
        <v>0.35714285714285676</v>
      </c>
      <c r="AY40" s="339"/>
      <c r="AZ40" s="206">
        <f t="shared" si="4"/>
        <v>3.125</v>
      </c>
      <c r="BA40" s="201">
        <f>'CCCC-car.5'!AD83</f>
        <v>18.125</v>
      </c>
      <c r="BB40" s="201">
        <f>'CCCC-car.5'!AE83</f>
        <v>9.375</v>
      </c>
      <c r="BC40" s="201">
        <f>'CCCC-car.5'!AF83</f>
        <v>-0.3125</v>
      </c>
    </row>
    <row r="41" spans="21:55" x14ac:dyDescent="0.2">
      <c r="U41" s="2" t="s">
        <v>49</v>
      </c>
      <c r="AE41" s="339"/>
      <c r="AF41" s="206">
        <f t="shared" si="8"/>
        <v>3.75</v>
      </c>
      <c r="AG41" s="201">
        <f>'CCCC-car.1'!AD84</f>
        <v>18.75</v>
      </c>
      <c r="AH41" s="201">
        <f>'CCCC-car.1'!AE84</f>
        <v>2.34375</v>
      </c>
      <c r="AI41" s="201">
        <f>'CCCC-car.1'!AF84</f>
        <v>-0.625</v>
      </c>
      <c r="AJ41" s="339"/>
      <c r="AK41" s="206">
        <f t="shared" si="1"/>
        <v>3.75</v>
      </c>
      <c r="AL41" s="201">
        <f>'CCCC-car.2'!AD84</f>
        <v>18.75</v>
      </c>
      <c r="AM41" s="201">
        <f>'CCCC-car.2'!AE84</f>
        <v>9.375</v>
      </c>
      <c r="AN41" s="201">
        <f>'CCCC-car.2'!AF84</f>
        <v>-4.375</v>
      </c>
      <c r="AO41" s="339"/>
      <c r="AP41" s="206">
        <f t="shared" si="2"/>
        <v>3.75</v>
      </c>
      <c r="AQ41" s="201">
        <f>'CCCC-car.3'!AD84</f>
        <v>18.75</v>
      </c>
      <c r="AR41" s="201">
        <f>'CCCC-car.3'!AE84</f>
        <v>3.515625</v>
      </c>
      <c r="AS41" s="201">
        <f>'CCCC-car.3'!AF84</f>
        <v>-1.5625</v>
      </c>
      <c r="AT41" s="339"/>
      <c r="AU41" s="206">
        <f t="shared" si="3"/>
        <v>3.75</v>
      </c>
      <c r="AV41" s="201">
        <f>'CCCC-car.4'!AD84</f>
        <v>18.75</v>
      </c>
      <c r="AW41" s="201">
        <f>'CCCC-car.4'!AE84</f>
        <v>2.678571428571427</v>
      </c>
      <c r="AX41" s="201">
        <f>'CCCC-car.4'!AF84</f>
        <v>-0.89285714285714324</v>
      </c>
      <c r="AY41" s="339"/>
      <c r="AZ41" s="206">
        <f t="shared" si="4"/>
        <v>3.75</v>
      </c>
      <c r="BA41" s="201">
        <f>'CCCC-car.5'!AD84</f>
        <v>18.75</v>
      </c>
      <c r="BB41" s="201">
        <f>'CCCC-car.5'!AE84</f>
        <v>8.203125</v>
      </c>
      <c r="BC41" s="201">
        <f>'CCCC-car.5'!AF84</f>
        <v>-3.4375</v>
      </c>
    </row>
    <row r="42" spans="21:55" x14ac:dyDescent="0.2">
      <c r="U42" s="201">
        <f>AI7</f>
        <v>0</v>
      </c>
      <c r="V42" s="201">
        <f>AI8</f>
        <v>10.625</v>
      </c>
      <c r="W42" s="201">
        <f>AI16</f>
        <v>-14.375</v>
      </c>
      <c r="X42" s="201">
        <f>AI17</f>
        <v>5.625</v>
      </c>
      <c r="Y42" s="201">
        <f>AI25</f>
        <v>-4.375</v>
      </c>
      <c r="Z42" s="201">
        <f>AI26</f>
        <v>11.875</v>
      </c>
      <c r="AA42" s="201">
        <f>AI34</f>
        <v>-13.125</v>
      </c>
      <c r="AB42" s="201">
        <f>AI35</f>
        <v>6.875</v>
      </c>
      <c r="AC42" s="201">
        <f>AI43</f>
        <v>-3.125</v>
      </c>
      <c r="AD42" s="201">
        <f>AI44</f>
        <v>0</v>
      </c>
      <c r="AE42" s="339"/>
      <c r="AF42" s="206">
        <f t="shared" si="8"/>
        <v>4.375</v>
      </c>
      <c r="AG42" s="201">
        <f>'CCCC-car.1'!AD85</f>
        <v>19.375</v>
      </c>
      <c r="AH42" s="201">
        <f>'CCCC-car.1'!AE85</f>
        <v>1.5625</v>
      </c>
      <c r="AI42" s="201">
        <f>'CCCC-car.1'!AF85</f>
        <v>-1.875</v>
      </c>
      <c r="AJ42" s="339"/>
      <c r="AK42" s="206">
        <f t="shared" si="1"/>
        <v>4.375</v>
      </c>
      <c r="AL42" s="201">
        <f>'CCCC-car.2'!AD85</f>
        <v>19.375</v>
      </c>
      <c r="AM42" s="201">
        <f>'CCCC-car.2'!AE85</f>
        <v>5.6640625</v>
      </c>
      <c r="AN42" s="201">
        <f>'CCCC-car.2'!AF85</f>
        <v>-7.5</v>
      </c>
      <c r="AO42" s="339"/>
      <c r="AP42" s="206">
        <f t="shared" si="2"/>
        <v>4.375</v>
      </c>
      <c r="AQ42" s="201">
        <f>'CCCC-car.3'!AD85</f>
        <v>19.375</v>
      </c>
      <c r="AR42" s="201">
        <f>'CCCC-car.3'!AE85</f>
        <v>2.1484375</v>
      </c>
      <c r="AS42" s="201">
        <f>'CCCC-car.3'!AF85</f>
        <v>-2.8125</v>
      </c>
      <c r="AT42" s="339"/>
      <c r="AU42" s="206">
        <f t="shared" si="3"/>
        <v>4.375</v>
      </c>
      <c r="AV42" s="201">
        <f>'CCCC-car.4'!AD85</f>
        <v>19.375</v>
      </c>
      <c r="AW42" s="201">
        <f>'CCCC-car.4'!AE85</f>
        <v>1.7299107142857153</v>
      </c>
      <c r="AX42" s="201">
        <f>'CCCC-car.4'!AF85</f>
        <v>-2.1428571428571432</v>
      </c>
      <c r="AY42" s="339"/>
      <c r="AZ42" s="206">
        <f t="shared" si="4"/>
        <v>4.375</v>
      </c>
      <c r="BA42" s="201">
        <f>'CCCC-car.5'!AD85</f>
        <v>19.375</v>
      </c>
      <c r="BB42" s="201">
        <f>'CCCC-car.5'!AE85</f>
        <v>5.078125</v>
      </c>
      <c r="BC42" s="201">
        <f>'CCCC-car.5'!AF85</f>
        <v>-6.5625</v>
      </c>
    </row>
    <row r="43" spans="21:55" ht="12" customHeight="1" x14ac:dyDescent="0.2"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339"/>
      <c r="AF43" s="207">
        <f t="shared" si="8"/>
        <v>5</v>
      </c>
      <c r="AG43" s="204">
        <f>'CCCC-car.1'!AD86</f>
        <v>20</v>
      </c>
      <c r="AH43" s="204">
        <f>'CCCC-car.1'!AE86</f>
        <v>0</v>
      </c>
      <c r="AI43" s="204">
        <f>'CCCC-car.1'!AF86</f>
        <v>-3.125</v>
      </c>
      <c r="AJ43" s="339"/>
      <c r="AK43" s="207">
        <f t="shared" si="1"/>
        <v>5</v>
      </c>
      <c r="AL43" s="204">
        <f>'CCCC-car.2'!AD86</f>
        <v>20</v>
      </c>
      <c r="AM43" s="204">
        <f>'CCCC-car.2'!AE86</f>
        <v>0</v>
      </c>
      <c r="AN43" s="204">
        <f>'CCCC-car.2'!AF86</f>
        <v>-10.625</v>
      </c>
      <c r="AO43" s="339"/>
      <c r="AP43" s="207">
        <f t="shared" si="2"/>
        <v>5</v>
      </c>
      <c r="AQ43" s="204">
        <f>'CCCC-car.3'!AD86</f>
        <v>20</v>
      </c>
      <c r="AR43" s="204">
        <f>'CCCC-car.3'!AE86</f>
        <v>0</v>
      </c>
      <c r="AS43" s="204">
        <f>'CCCC-car.3'!AF86</f>
        <v>-4.0625</v>
      </c>
      <c r="AT43" s="339"/>
      <c r="AU43" s="207">
        <f t="shared" si="3"/>
        <v>5</v>
      </c>
      <c r="AV43" s="204">
        <f>'CCCC-car.4'!AD86</f>
        <v>20</v>
      </c>
      <c r="AW43" s="204">
        <f>'CCCC-car.4'!AE86</f>
        <v>0</v>
      </c>
      <c r="AX43" s="204">
        <f>'CCCC-car.4'!AF86</f>
        <v>-3.3928571428571432</v>
      </c>
      <c r="AY43" s="339"/>
      <c r="AZ43" s="207">
        <f t="shared" si="4"/>
        <v>5</v>
      </c>
      <c r="BA43" s="204">
        <f>'CCCC-car.5'!AD86</f>
        <v>20</v>
      </c>
      <c r="BB43" s="204">
        <f>'CCCC-car.5'!AE86</f>
        <v>0</v>
      </c>
      <c r="BC43" s="204">
        <f>'CCCC-car.5'!AF86</f>
        <v>-9.6875</v>
      </c>
    </row>
    <row r="44" spans="21:55" x14ac:dyDescent="0.2">
      <c r="U44" s="2" t="s">
        <v>50</v>
      </c>
      <c r="V44" s="46"/>
      <c r="W44" s="46"/>
      <c r="X44" s="46"/>
      <c r="Y44" s="46"/>
      <c r="Z44" s="46"/>
      <c r="AA44" s="46"/>
      <c r="AB44" s="46"/>
      <c r="AC44" s="46"/>
      <c r="AD44" s="46"/>
      <c r="AE44" s="339" t="s">
        <v>57</v>
      </c>
      <c r="AF44" s="205">
        <f>AG44-$AG$43</f>
        <v>0</v>
      </c>
      <c r="AG44" s="203">
        <f>'CCCC-car.1'!AD87</f>
        <v>20</v>
      </c>
      <c r="AH44" s="203">
        <f>'CCCC-car.1'!AE87</f>
        <v>0</v>
      </c>
      <c r="AI44" s="203">
        <f>'CCCC-car.1'!AF87</f>
        <v>0</v>
      </c>
      <c r="AJ44" s="339" t="s">
        <v>57</v>
      </c>
      <c r="AK44" s="205">
        <f t="shared" si="1"/>
        <v>0</v>
      </c>
      <c r="AL44" s="203">
        <f>'CCCC-car.2'!AD87</f>
        <v>20</v>
      </c>
      <c r="AM44" s="203">
        <f>'CCCC-car.2'!AE87</f>
        <v>0</v>
      </c>
      <c r="AN44" s="203">
        <f>'CCCC-car.2'!AF87</f>
        <v>0</v>
      </c>
      <c r="AO44" s="339" t="s">
        <v>57</v>
      </c>
      <c r="AP44" s="205">
        <f t="shared" si="2"/>
        <v>0</v>
      </c>
      <c r="AQ44" s="203">
        <f>'CCCC-car.3'!AD87</f>
        <v>20</v>
      </c>
      <c r="AR44" s="203">
        <f>'CCCC-car.3'!AE87</f>
        <v>0</v>
      </c>
      <c r="AS44" s="203">
        <f>'CCCC-car.3'!AF87</f>
        <v>0</v>
      </c>
      <c r="AT44" s="339" t="s">
        <v>57</v>
      </c>
      <c r="AU44" s="205">
        <f t="shared" si="3"/>
        <v>0</v>
      </c>
      <c r="AV44" s="203">
        <f>'CCCC-car.4'!AD87</f>
        <v>20</v>
      </c>
      <c r="AW44" s="203">
        <f>'CCCC-car.4'!AE87</f>
        <v>0</v>
      </c>
      <c r="AX44" s="203">
        <f>'CCCC-car.4'!AF87</f>
        <v>0</v>
      </c>
      <c r="AY44" s="339" t="s">
        <v>57</v>
      </c>
      <c r="AZ44" s="205">
        <f t="shared" si="4"/>
        <v>0</v>
      </c>
      <c r="BA44" s="203">
        <f>'CCCC-car.5'!AD87</f>
        <v>20</v>
      </c>
      <c r="BB44" s="203">
        <f>'CCCC-car.5'!AE87</f>
        <v>0</v>
      </c>
      <c r="BC44" s="203">
        <f>'CCCC-car.5'!AF87</f>
        <v>0</v>
      </c>
    </row>
    <row r="45" spans="21:55" x14ac:dyDescent="0.2">
      <c r="U45" s="201">
        <f>AN7</f>
        <v>0</v>
      </c>
      <c r="V45" s="201">
        <f>AN8</f>
        <v>3.125</v>
      </c>
      <c r="W45" s="201">
        <f>AN16</f>
        <v>-6.875</v>
      </c>
      <c r="X45" s="201">
        <f>AN17</f>
        <v>13.125</v>
      </c>
      <c r="Y45" s="201">
        <f>AN25</f>
        <v>-11.875</v>
      </c>
      <c r="Z45" s="201">
        <f>AN26</f>
        <v>4.375</v>
      </c>
      <c r="AA45" s="201">
        <f>AN34</f>
        <v>-5.625</v>
      </c>
      <c r="AB45" s="201">
        <f>AN35</f>
        <v>14.375</v>
      </c>
      <c r="AC45" s="201">
        <f>AN43</f>
        <v>-10.625</v>
      </c>
      <c r="AD45" s="201">
        <f>AN44</f>
        <v>0</v>
      </c>
      <c r="AE45" s="339"/>
      <c r="AF45" s="206">
        <f>AG45-$AG$43</f>
        <v>0</v>
      </c>
      <c r="AG45" s="201">
        <f>'CCCC-car.1'!AD88</f>
        <v>20</v>
      </c>
      <c r="AH45" s="201">
        <f>'CCCC-car.1'!AE88</f>
        <v>0</v>
      </c>
      <c r="AI45" s="201">
        <f>'CCCC-car.1'!AF88</f>
        <v>0</v>
      </c>
      <c r="AJ45" s="339"/>
      <c r="AK45" s="206">
        <f t="shared" si="1"/>
        <v>0</v>
      </c>
      <c r="AL45" s="201">
        <f>'CCCC-car.2'!AD88</f>
        <v>20</v>
      </c>
      <c r="AM45" s="201">
        <f>'CCCC-car.2'!AE88</f>
        <v>0</v>
      </c>
      <c r="AN45" s="201">
        <f>'CCCC-car.2'!AF88</f>
        <v>0</v>
      </c>
      <c r="AO45" s="339"/>
      <c r="AP45" s="206">
        <f t="shared" si="2"/>
        <v>0</v>
      </c>
      <c r="AQ45" s="201">
        <f>'CCCC-car.3'!AD88</f>
        <v>20</v>
      </c>
      <c r="AR45" s="201">
        <f>'CCCC-car.3'!AE88</f>
        <v>0</v>
      </c>
      <c r="AS45" s="201">
        <f>'CCCC-car.3'!AF88</f>
        <v>0</v>
      </c>
      <c r="AT45" s="339"/>
      <c r="AU45" s="206">
        <f t="shared" si="3"/>
        <v>0</v>
      </c>
      <c r="AV45" s="201">
        <f>'CCCC-car.4'!AD88</f>
        <v>20</v>
      </c>
      <c r="AW45" s="201">
        <f>'CCCC-car.4'!AE88</f>
        <v>0</v>
      </c>
      <c r="AX45" s="201">
        <f>'CCCC-car.4'!AF88</f>
        <v>0</v>
      </c>
      <c r="AY45" s="339"/>
      <c r="AZ45" s="206">
        <f t="shared" si="4"/>
        <v>0</v>
      </c>
      <c r="BA45" s="201">
        <f>'CCCC-car.5'!AD88</f>
        <v>20</v>
      </c>
      <c r="BB45" s="201">
        <f>'CCCC-car.5'!AE88</f>
        <v>0</v>
      </c>
      <c r="BC45" s="201">
        <f>'CCCC-car.5'!AF88</f>
        <v>0</v>
      </c>
    </row>
    <row r="46" spans="21:55" x14ac:dyDescent="0.2"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339"/>
      <c r="AF46" s="206">
        <f>AG46-$AG$43</f>
        <v>0</v>
      </c>
      <c r="AG46" s="201">
        <f>'CCCC-car.1'!AD89</f>
        <v>20</v>
      </c>
      <c r="AH46" s="201">
        <f>'CCCC-car.1'!AE89</f>
        <v>0</v>
      </c>
      <c r="AI46" s="201">
        <f>'CCCC-car.1'!AF89</f>
        <v>0</v>
      </c>
      <c r="AJ46" s="339"/>
      <c r="AK46" s="206">
        <f t="shared" si="1"/>
        <v>0</v>
      </c>
      <c r="AL46" s="201">
        <f>'CCCC-car.2'!AD89</f>
        <v>20</v>
      </c>
      <c r="AM46" s="201">
        <f>'CCCC-car.2'!AE89</f>
        <v>0</v>
      </c>
      <c r="AN46" s="201">
        <f>'CCCC-car.2'!AF89</f>
        <v>0</v>
      </c>
      <c r="AO46" s="339"/>
      <c r="AP46" s="206">
        <f t="shared" si="2"/>
        <v>0</v>
      </c>
      <c r="AQ46" s="201">
        <f>'CCCC-car.3'!AD89</f>
        <v>20</v>
      </c>
      <c r="AR46" s="201">
        <f>'CCCC-car.3'!AE89</f>
        <v>0</v>
      </c>
      <c r="AS46" s="201">
        <f>'CCCC-car.3'!AF89</f>
        <v>0</v>
      </c>
      <c r="AT46" s="339"/>
      <c r="AU46" s="206">
        <f t="shared" si="3"/>
        <v>0</v>
      </c>
      <c r="AV46" s="201">
        <f>'CCCC-car.4'!AD89</f>
        <v>20</v>
      </c>
      <c r="AW46" s="201">
        <f>'CCCC-car.4'!AE89</f>
        <v>0</v>
      </c>
      <c r="AX46" s="201">
        <f>'CCCC-car.4'!AF89</f>
        <v>0</v>
      </c>
      <c r="AY46" s="339"/>
      <c r="AZ46" s="206">
        <f t="shared" si="4"/>
        <v>0</v>
      </c>
      <c r="BA46" s="201">
        <f>'CCCC-car.5'!AD89</f>
        <v>20</v>
      </c>
      <c r="BB46" s="201">
        <f>'CCCC-car.5'!AE89</f>
        <v>0</v>
      </c>
      <c r="BC46" s="201">
        <f>'CCCC-car.5'!AF89</f>
        <v>0</v>
      </c>
    </row>
    <row r="47" spans="21:55" x14ac:dyDescent="0.2">
      <c r="U47" s="2" t="s">
        <v>51</v>
      </c>
      <c r="V47" s="46"/>
      <c r="W47" s="46"/>
      <c r="X47" s="46"/>
      <c r="Y47" s="46"/>
      <c r="Z47" s="46"/>
      <c r="AA47" s="46"/>
      <c r="AB47" s="46"/>
      <c r="AC47" s="46"/>
      <c r="AD47" s="46"/>
      <c r="AE47" s="339"/>
      <c r="AF47" s="207">
        <f>AG47-$AG$43</f>
        <v>0</v>
      </c>
      <c r="AG47" s="204">
        <f>'CCCC-car.1'!AD90</f>
        <v>20</v>
      </c>
      <c r="AH47" s="204">
        <f>'CCCC-car.1'!AE90</f>
        <v>0</v>
      </c>
      <c r="AI47" s="204">
        <f>'CCCC-car.1'!AF90</f>
        <v>0</v>
      </c>
      <c r="AJ47" s="339"/>
      <c r="AK47" s="207">
        <f t="shared" si="1"/>
        <v>0</v>
      </c>
      <c r="AL47" s="204">
        <f>'CCCC-car.2'!AD90</f>
        <v>20</v>
      </c>
      <c r="AM47" s="204">
        <f>'CCCC-car.2'!AE90</f>
        <v>0</v>
      </c>
      <c r="AN47" s="204">
        <f>'CCCC-car.2'!AF90</f>
        <v>0</v>
      </c>
      <c r="AO47" s="339"/>
      <c r="AP47" s="207">
        <f t="shared" si="2"/>
        <v>0</v>
      </c>
      <c r="AQ47" s="204">
        <f>'CCCC-car.3'!AD90</f>
        <v>20</v>
      </c>
      <c r="AR47" s="204">
        <f>'CCCC-car.3'!AE90</f>
        <v>0</v>
      </c>
      <c r="AS47" s="204">
        <f>'CCCC-car.3'!AF90</f>
        <v>0</v>
      </c>
      <c r="AT47" s="339"/>
      <c r="AU47" s="207">
        <f t="shared" si="3"/>
        <v>0</v>
      </c>
      <c r="AV47" s="204">
        <f>'CCCC-car.4'!AD90</f>
        <v>20</v>
      </c>
      <c r="AW47" s="204">
        <f>'CCCC-car.4'!AE90</f>
        <v>0</v>
      </c>
      <c r="AX47" s="204">
        <f>'CCCC-car.4'!AF90</f>
        <v>0</v>
      </c>
      <c r="AY47" s="339"/>
      <c r="AZ47" s="207">
        <f t="shared" si="4"/>
        <v>0</v>
      </c>
      <c r="BA47" s="204">
        <f>'CCCC-car.5'!AD90</f>
        <v>20</v>
      </c>
      <c r="BB47" s="204">
        <f>'CCCC-car.5'!AE90</f>
        <v>0</v>
      </c>
      <c r="BC47" s="204">
        <f>'CCCC-car.5'!AF90</f>
        <v>0</v>
      </c>
    </row>
    <row r="48" spans="21:55" x14ac:dyDescent="0.2">
      <c r="U48" s="201">
        <f>AS7</f>
        <v>0</v>
      </c>
      <c r="V48" s="201">
        <f>AS8</f>
        <v>9.6875</v>
      </c>
      <c r="W48" s="201">
        <f>AS16</f>
        <v>-15.3125</v>
      </c>
      <c r="X48" s="201">
        <f>AS17</f>
        <v>14.0625</v>
      </c>
      <c r="Y48" s="201">
        <f>AS25</f>
        <v>-10.9375</v>
      </c>
      <c r="Z48" s="201">
        <f>AS26</f>
        <v>5.3125</v>
      </c>
      <c r="AA48" s="201">
        <f>AS34</f>
        <v>-4.6875</v>
      </c>
      <c r="AB48" s="201">
        <f>AS35</f>
        <v>5.9375</v>
      </c>
      <c r="AC48" s="201">
        <f>AS43</f>
        <v>-4.0625</v>
      </c>
      <c r="AD48" s="201">
        <f>AS44</f>
        <v>0</v>
      </c>
      <c r="AE48" s="46"/>
      <c r="AF48" s="15"/>
      <c r="AG48" s="15"/>
      <c r="AH48" s="15"/>
      <c r="AI48" s="5"/>
      <c r="AJ48" s="15"/>
      <c r="AK48" s="15"/>
      <c r="AL48" s="15"/>
      <c r="AM48" s="5"/>
      <c r="AN48" s="15"/>
      <c r="AT48" s="4"/>
      <c r="AU48" s="4"/>
      <c r="AV48" s="4"/>
      <c r="AW48" s="4"/>
      <c r="AX48" s="4"/>
    </row>
    <row r="49" spans="21:50" x14ac:dyDescent="0.2"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15"/>
      <c r="AG49" s="15"/>
      <c r="AH49" s="15"/>
      <c r="AI49" s="5"/>
      <c r="AJ49" s="15"/>
      <c r="AK49" s="15"/>
      <c r="AL49" s="15"/>
      <c r="AM49" s="5"/>
      <c r="AN49" s="15"/>
      <c r="AO49" s="15"/>
      <c r="AP49" s="15"/>
      <c r="AQ49" s="4"/>
      <c r="AR49" s="4"/>
      <c r="AS49" s="4"/>
      <c r="AT49" s="4"/>
      <c r="AU49" s="4"/>
      <c r="AV49" s="4"/>
      <c r="AW49" s="4"/>
      <c r="AX49" s="4"/>
    </row>
    <row r="50" spans="21:50" x14ac:dyDescent="0.2">
      <c r="U50" s="2" t="s">
        <v>52</v>
      </c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5"/>
      <c r="AG50" s="5"/>
      <c r="AH50" s="5"/>
      <c r="AI50" s="5"/>
      <c r="AJ50" s="15"/>
      <c r="AK50" s="15"/>
      <c r="AL50" s="15"/>
      <c r="AM50" s="5"/>
      <c r="AN50" s="15"/>
      <c r="AO50" s="15"/>
      <c r="AP50" s="15"/>
      <c r="AQ50" s="4"/>
      <c r="AR50" s="5"/>
      <c r="AS50" s="5"/>
      <c r="AT50" s="4"/>
      <c r="AU50" s="4"/>
      <c r="AV50" s="4"/>
      <c r="AW50" s="4"/>
      <c r="AX50" s="4"/>
    </row>
    <row r="51" spans="21:50" x14ac:dyDescent="0.2">
      <c r="U51" s="201">
        <f>AX7</f>
        <v>0</v>
      </c>
      <c r="V51" s="201">
        <f>AX8</f>
        <v>3.3928571428571432</v>
      </c>
      <c r="W51" s="201">
        <f>AX16</f>
        <v>-6.6071428571428568</v>
      </c>
      <c r="X51" s="201">
        <f>AX17</f>
        <v>11.785714285714286</v>
      </c>
      <c r="Y51" s="201">
        <f>AX25</f>
        <v>-13.214285714285714</v>
      </c>
      <c r="Z51" s="201">
        <f>AX26</f>
        <v>13.214285714285714</v>
      </c>
      <c r="AA51" s="201">
        <f>AX34</f>
        <v>-11.785714285714286</v>
      </c>
      <c r="AB51" s="201">
        <f>AX35</f>
        <v>6.6071428571428568</v>
      </c>
      <c r="AC51" s="201">
        <f>AX43</f>
        <v>-3.3928571428571432</v>
      </c>
      <c r="AD51" s="201">
        <f>AX44</f>
        <v>0</v>
      </c>
      <c r="AE51" s="46"/>
      <c r="AF51" s="5"/>
      <c r="AG51" s="5"/>
      <c r="AH51" s="5"/>
      <c r="AI51" s="5"/>
      <c r="AJ51" s="15"/>
      <c r="AK51" s="15"/>
      <c r="AL51" s="15"/>
      <c r="AM51" s="5"/>
      <c r="AN51" s="15"/>
      <c r="AO51" s="15"/>
      <c r="AP51" s="15"/>
      <c r="AQ51" s="4"/>
      <c r="AR51" s="15"/>
      <c r="AS51" s="5"/>
      <c r="AT51" s="4"/>
      <c r="AU51" s="4"/>
      <c r="AV51" s="4"/>
      <c r="AW51" s="4"/>
      <c r="AX51" s="4"/>
    </row>
    <row r="52" spans="21:50" x14ac:dyDescent="0.2">
      <c r="U52" s="46"/>
      <c r="V52" s="46"/>
      <c r="W52" s="3"/>
      <c r="X52" s="3"/>
      <c r="Y52" s="46"/>
      <c r="Z52" s="46"/>
      <c r="AA52" s="46"/>
      <c r="AB52" s="46"/>
      <c r="AC52" s="46"/>
      <c r="AD52" s="46"/>
      <c r="AE52" s="46"/>
      <c r="AF52" s="5"/>
      <c r="AG52" s="5"/>
      <c r="AH52" s="5"/>
      <c r="AI52" s="5"/>
      <c r="AJ52" s="15"/>
      <c r="AK52" s="15"/>
      <c r="AL52" s="15"/>
      <c r="AM52" s="5"/>
      <c r="AN52" s="15"/>
      <c r="AO52" s="15"/>
      <c r="AP52" s="15"/>
      <c r="AQ52" s="4"/>
      <c r="AR52" s="15"/>
      <c r="AS52" s="5"/>
      <c r="AT52" s="4"/>
      <c r="AU52" s="5"/>
      <c r="AV52" s="5"/>
      <c r="AW52" s="4"/>
      <c r="AX52" s="4"/>
    </row>
    <row r="53" spans="21:50" x14ac:dyDescent="0.2">
      <c r="U53" s="2" t="s">
        <v>53</v>
      </c>
      <c r="V53" s="46"/>
      <c r="W53" s="3"/>
      <c r="X53" s="3"/>
      <c r="Y53" s="46"/>
      <c r="Z53" s="46"/>
      <c r="AA53" s="46"/>
      <c r="AB53" s="46"/>
      <c r="AC53" s="46"/>
      <c r="AD53" s="46"/>
      <c r="AE53" s="46"/>
      <c r="AF53" s="5"/>
      <c r="AG53" s="5"/>
      <c r="AH53" s="5"/>
      <c r="AI53" s="5"/>
      <c r="AJ53" s="15"/>
      <c r="AK53" s="15"/>
      <c r="AL53" s="15"/>
      <c r="AM53" s="5"/>
      <c r="AN53" s="15"/>
      <c r="AO53" s="15"/>
      <c r="AP53" s="15"/>
      <c r="AQ53" s="4"/>
      <c r="AR53" s="15"/>
      <c r="AS53" s="5"/>
      <c r="AT53" s="4"/>
      <c r="AU53" s="15"/>
      <c r="AV53" s="5"/>
      <c r="AW53" s="4"/>
      <c r="AX53" s="4"/>
    </row>
    <row r="54" spans="21:50" x14ac:dyDescent="0.2">
      <c r="U54" s="201">
        <f>BC7</f>
        <v>0</v>
      </c>
      <c r="V54" s="201">
        <f>BC8</f>
        <v>4.0625</v>
      </c>
      <c r="W54" s="201">
        <f>BC16</f>
        <v>-5.9375</v>
      </c>
      <c r="X54" s="201">
        <f>BC17</f>
        <v>4.6875</v>
      </c>
      <c r="Y54" s="201">
        <f>BC25</f>
        <v>-5.3125</v>
      </c>
      <c r="Z54" s="201">
        <f>BC26</f>
        <v>10.9375</v>
      </c>
      <c r="AA54" s="201">
        <f>BC34</f>
        <v>-14.0625</v>
      </c>
      <c r="AB54" s="201">
        <f>BC35</f>
        <v>15.3125</v>
      </c>
      <c r="AC54" s="201">
        <f>BC43</f>
        <v>-9.6875</v>
      </c>
      <c r="AD54" s="201">
        <f>BC44</f>
        <v>0</v>
      </c>
      <c r="AE54" s="46"/>
      <c r="AF54" s="5"/>
      <c r="AG54" s="5"/>
      <c r="AH54" s="5"/>
      <c r="AI54" s="5"/>
      <c r="AJ54" s="15"/>
      <c r="AK54" s="15"/>
      <c r="AL54" s="15"/>
      <c r="AM54" s="5"/>
      <c r="AN54" s="15"/>
      <c r="AO54" s="15"/>
      <c r="AP54" s="15"/>
      <c r="AQ54" s="4"/>
      <c r="AR54" s="15"/>
      <c r="AS54" s="5"/>
      <c r="AT54" s="4"/>
      <c r="AU54" s="15"/>
      <c r="AV54" s="5"/>
      <c r="AW54" s="4"/>
      <c r="AX54" s="4"/>
    </row>
    <row r="55" spans="21:50" x14ac:dyDescent="0.2">
      <c r="U55" s="46"/>
      <c r="V55" s="46"/>
      <c r="W55" s="3"/>
      <c r="X55" s="3"/>
      <c r="Y55" s="46"/>
      <c r="Z55" s="46"/>
      <c r="AA55" s="46"/>
      <c r="AB55" s="46"/>
      <c r="AC55" s="46"/>
      <c r="AD55" s="46"/>
      <c r="AE55" s="46"/>
      <c r="AF55" s="5"/>
      <c r="AG55" s="5"/>
      <c r="AH55" s="5"/>
      <c r="AI55" s="5"/>
      <c r="AJ55" s="5"/>
      <c r="AK55" s="5"/>
      <c r="AL55" s="5"/>
      <c r="AM55" s="5"/>
      <c r="AN55" s="15"/>
      <c r="AO55" s="15"/>
      <c r="AP55" s="15"/>
      <c r="AQ55" s="4"/>
      <c r="AR55" s="15"/>
      <c r="AS55" s="5"/>
      <c r="AT55" s="4"/>
      <c r="AU55" s="15"/>
      <c r="AV55" s="5"/>
      <c r="AW55" s="4"/>
      <c r="AX55" s="4"/>
    </row>
    <row r="56" spans="21:50" x14ac:dyDescent="0.2"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5"/>
      <c r="AG56" s="5"/>
      <c r="AH56" s="5"/>
      <c r="AI56" s="5"/>
      <c r="AJ56" s="5"/>
      <c r="AK56" s="5"/>
      <c r="AL56" s="5"/>
      <c r="AM56" s="5"/>
      <c r="AN56" s="15"/>
      <c r="AO56" s="15"/>
      <c r="AP56" s="15"/>
      <c r="AQ56" s="4"/>
      <c r="AR56" s="4"/>
      <c r="AS56" s="4"/>
      <c r="AT56" s="4"/>
      <c r="AU56" s="15"/>
      <c r="AV56" s="5"/>
      <c r="AW56" s="4"/>
      <c r="AX56" s="4"/>
    </row>
    <row r="57" spans="21:50" x14ac:dyDescent="0.2">
      <c r="U57" s="46"/>
      <c r="W57" s="347" t="s">
        <v>68</v>
      </c>
      <c r="X57" s="347"/>
      <c r="Y57" s="347"/>
      <c r="Z57" s="347"/>
      <c r="AA57" s="347"/>
      <c r="AB57" s="347"/>
      <c r="AC57" s="46"/>
      <c r="AD57" s="46"/>
      <c r="AE57" s="46"/>
      <c r="AF57" s="5"/>
      <c r="AG57" s="5"/>
      <c r="AH57" s="5"/>
      <c r="AI57" s="5"/>
      <c r="AJ57" s="5"/>
      <c r="AK57" s="5"/>
      <c r="AL57" s="5"/>
      <c r="AM57" s="5"/>
      <c r="AN57" s="15"/>
      <c r="AO57" s="15"/>
      <c r="AP57" s="15"/>
      <c r="AQ57" s="4"/>
      <c r="AR57" s="4"/>
      <c r="AS57" s="4"/>
      <c r="AT57" s="4"/>
      <c r="AU57" s="15"/>
      <c r="AV57" s="5"/>
      <c r="AW57" s="4"/>
      <c r="AX57" s="4"/>
    </row>
    <row r="58" spans="21:50" x14ac:dyDescent="0.2">
      <c r="U58" s="46"/>
      <c r="W58" s="46"/>
      <c r="X58" s="43" t="s">
        <v>0</v>
      </c>
      <c r="Y58" s="43" t="s">
        <v>1</v>
      </c>
      <c r="Z58" s="43" t="s">
        <v>78</v>
      </c>
      <c r="AA58" s="43" t="s">
        <v>94</v>
      </c>
      <c r="AB58" s="43" t="s">
        <v>114</v>
      </c>
      <c r="AC58" s="46"/>
      <c r="AD58" s="46"/>
      <c r="AE58" s="46"/>
      <c r="AF58" s="15"/>
      <c r="AG58" s="15"/>
      <c r="AH58" s="15"/>
      <c r="AI58" s="5"/>
      <c r="AJ58" s="15"/>
      <c r="AK58" s="15"/>
      <c r="AL58" s="15"/>
      <c r="AM58" s="5"/>
      <c r="AN58" s="15"/>
      <c r="AO58" s="15"/>
      <c r="AP58" s="15"/>
      <c r="AQ58" s="4"/>
      <c r="AR58" s="4"/>
      <c r="AS58" s="4"/>
      <c r="AT58" s="4"/>
      <c r="AU58" s="15"/>
      <c r="AV58" s="5"/>
      <c r="AW58" s="4"/>
      <c r="AX58" s="4"/>
    </row>
    <row r="59" spans="21:50" x14ac:dyDescent="0.2">
      <c r="U59" s="46"/>
      <c r="X59" s="344" t="s">
        <v>67</v>
      </c>
      <c r="Y59" s="344"/>
      <c r="Z59" s="344"/>
      <c r="AA59" s="344"/>
      <c r="AB59" s="344"/>
      <c r="AC59" s="46"/>
      <c r="AD59" s="46"/>
      <c r="AE59" s="46"/>
      <c r="AF59" s="15"/>
      <c r="AG59" s="15"/>
      <c r="AH59" s="15"/>
      <c r="AI59" s="5"/>
      <c r="AJ59" s="15"/>
      <c r="AK59" s="15"/>
      <c r="AL59" s="15"/>
      <c r="AM59" s="5"/>
      <c r="AN59" s="15"/>
      <c r="AO59" s="15"/>
      <c r="AP59" s="15"/>
      <c r="AQ59" s="4"/>
      <c r="AR59" s="4"/>
      <c r="AS59" s="4"/>
      <c r="AT59" s="4"/>
      <c r="AU59" s="15"/>
      <c r="AV59" s="5"/>
      <c r="AW59" s="4"/>
      <c r="AX59" s="4"/>
    </row>
    <row r="60" spans="21:50" x14ac:dyDescent="0.2">
      <c r="U60" s="46"/>
      <c r="W60" s="42" t="s">
        <v>49</v>
      </c>
      <c r="X60" s="201">
        <f>'CCCC-car.1'!X32</f>
        <v>10.625</v>
      </c>
      <c r="Y60" s="201">
        <f>'CCCC-car.1'!Y32</f>
        <v>20</v>
      </c>
      <c r="Z60" s="201">
        <f>'CCCC-car.1'!Z32</f>
        <v>16.25</v>
      </c>
      <c r="AA60" s="201">
        <f>'CCCC-car.1'!AA32</f>
        <v>20</v>
      </c>
      <c r="AB60" s="201">
        <f>'CCCC-car.1'!AB32</f>
        <v>3.125</v>
      </c>
      <c r="AC60" s="46"/>
      <c r="AD60" s="46"/>
      <c r="AE60" s="46"/>
      <c r="AF60" s="15"/>
      <c r="AG60" s="15"/>
      <c r="AH60" s="15"/>
      <c r="AI60" s="5"/>
      <c r="AJ60" s="15"/>
      <c r="AK60" s="15"/>
      <c r="AL60" s="15"/>
      <c r="AM60" s="5"/>
      <c r="AN60" s="15"/>
      <c r="AO60" s="15"/>
      <c r="AP60" s="15"/>
      <c r="AQ60" s="4"/>
      <c r="AR60" s="4"/>
      <c r="AS60" s="4"/>
      <c r="AT60" s="4"/>
      <c r="AU60" s="4"/>
      <c r="AV60" s="4"/>
      <c r="AW60" s="4"/>
      <c r="AX60" s="4"/>
    </row>
    <row r="61" spans="21:50" x14ac:dyDescent="0.2">
      <c r="U61" s="46"/>
      <c r="W61" s="42" t="s">
        <v>50</v>
      </c>
      <c r="X61" s="201">
        <f>'CCCC-car.2'!X32</f>
        <v>3.125</v>
      </c>
      <c r="Y61" s="201">
        <f>'CCCC-car.2'!Y32</f>
        <v>20</v>
      </c>
      <c r="Z61" s="201">
        <f>'CCCC-car.2'!Z32</f>
        <v>16.25</v>
      </c>
      <c r="AA61" s="201">
        <f>'CCCC-car.2'!AA32</f>
        <v>20</v>
      </c>
      <c r="AB61" s="201">
        <f>'CCCC-car.2'!AB32</f>
        <v>10.625</v>
      </c>
      <c r="AC61" s="46"/>
      <c r="AD61" s="46"/>
      <c r="AE61" s="46"/>
      <c r="AF61" s="15"/>
      <c r="AG61" s="15"/>
      <c r="AH61" s="15"/>
      <c r="AI61" s="5"/>
      <c r="AJ61" s="15"/>
      <c r="AK61" s="15"/>
      <c r="AL61" s="15"/>
      <c r="AM61" s="5"/>
      <c r="AN61" s="15"/>
      <c r="AO61" s="15"/>
      <c r="AP61" s="15"/>
      <c r="AQ61" s="4"/>
      <c r="AR61" s="4"/>
      <c r="AS61" s="4"/>
      <c r="AT61" s="4"/>
      <c r="AU61" s="4"/>
      <c r="AV61" s="4"/>
      <c r="AW61" s="4"/>
      <c r="AX61" s="4"/>
    </row>
    <row r="62" spans="21:50" x14ac:dyDescent="0.2">
      <c r="U62" s="46"/>
      <c r="W62" s="42" t="s">
        <v>51</v>
      </c>
      <c r="X62" s="201">
        <f>'CCCC-car.3'!X32</f>
        <v>9.6875</v>
      </c>
      <c r="Y62" s="201">
        <f>'CCCC-car.3'!Y32</f>
        <v>29.375</v>
      </c>
      <c r="Z62" s="201">
        <f>'CCCC-car.3'!Z32</f>
        <v>16.25</v>
      </c>
      <c r="AA62" s="201">
        <f>'CCCC-car.3'!AA32</f>
        <v>10.625</v>
      </c>
      <c r="AB62" s="201">
        <f>'CCCC-car.3'!AB32</f>
        <v>4.0625</v>
      </c>
      <c r="AC62" s="46"/>
      <c r="AD62" s="46"/>
      <c r="AE62" s="46"/>
      <c r="AF62" s="15"/>
      <c r="AG62" s="15"/>
      <c r="AH62" s="15"/>
      <c r="AI62" s="5"/>
      <c r="AJ62" s="15"/>
      <c r="AK62" s="15"/>
      <c r="AL62" s="15"/>
      <c r="AM62" s="5"/>
      <c r="AN62" s="15"/>
      <c r="AO62" s="15"/>
      <c r="AP62" s="15"/>
      <c r="AQ62" s="4"/>
      <c r="AR62" s="4"/>
      <c r="AS62" s="4"/>
      <c r="AT62" s="4"/>
      <c r="AU62" s="4"/>
      <c r="AV62" s="4"/>
      <c r="AW62" s="4"/>
      <c r="AX62" s="4"/>
    </row>
    <row r="63" spans="21:50" x14ac:dyDescent="0.2">
      <c r="U63" s="46"/>
      <c r="V63" s="46"/>
      <c r="W63" s="42" t="s">
        <v>52</v>
      </c>
      <c r="X63" s="201">
        <f>'CCCC-car.4'!X32</f>
        <v>3.3928571428571432</v>
      </c>
      <c r="Y63" s="201">
        <f>'CCCC-car.4'!Y32</f>
        <v>18.392857142857142</v>
      </c>
      <c r="Z63" s="201">
        <f>'CCCC-car.4'!Z32</f>
        <v>26.428571428571427</v>
      </c>
      <c r="AA63" s="201">
        <f>'CCCC-car.4'!AA32</f>
        <v>18.392857142857142</v>
      </c>
      <c r="AB63" s="201">
        <f>'CCCC-car.4'!AB32</f>
        <v>3.3928571428571432</v>
      </c>
      <c r="AC63" s="46"/>
      <c r="AD63" s="46"/>
      <c r="AE63" s="46"/>
      <c r="AF63" s="15"/>
      <c r="AG63" s="15"/>
      <c r="AH63" s="15"/>
      <c r="AI63" s="5"/>
      <c r="AJ63" s="15"/>
      <c r="AK63" s="15"/>
      <c r="AL63" s="15"/>
      <c r="AM63" s="5"/>
      <c r="AN63" s="15"/>
      <c r="AO63" s="15"/>
      <c r="AP63" s="15"/>
      <c r="AQ63" s="4"/>
      <c r="AR63" s="4"/>
      <c r="AS63" s="4"/>
      <c r="AT63" s="4"/>
      <c r="AU63" s="4"/>
      <c r="AV63" s="4"/>
      <c r="AW63" s="4"/>
      <c r="AX63" s="4"/>
    </row>
    <row r="64" spans="21:50" x14ac:dyDescent="0.2">
      <c r="U64" s="46"/>
      <c r="V64" s="46"/>
      <c r="W64" s="42" t="s">
        <v>53</v>
      </c>
      <c r="X64" s="201">
        <f>'CCCC-car.5'!X32</f>
        <v>4.0625</v>
      </c>
      <c r="Y64" s="201">
        <f>'CCCC-car.5'!Y32</f>
        <v>10.625</v>
      </c>
      <c r="Z64" s="201">
        <f>'CCCC-car.5'!Z32</f>
        <v>16.25</v>
      </c>
      <c r="AA64" s="201">
        <f>'CCCC-car.5'!AA32</f>
        <v>29.375</v>
      </c>
      <c r="AB64" s="201">
        <f>'CCCC-car.5'!AB32</f>
        <v>9.6875</v>
      </c>
      <c r="AC64" s="46"/>
      <c r="AD64" s="46"/>
      <c r="AE64" s="46"/>
      <c r="AF64" s="15"/>
      <c r="AG64" s="15"/>
      <c r="AH64" s="15"/>
      <c r="AI64" s="5"/>
      <c r="AJ64" s="15"/>
      <c r="AK64" s="15"/>
      <c r="AL64" s="15"/>
      <c r="AM64" s="5"/>
      <c r="AN64" s="15"/>
      <c r="AO64" s="15"/>
      <c r="AP64" s="15"/>
      <c r="AQ64" s="4"/>
      <c r="AR64" s="4"/>
      <c r="AS64" s="4"/>
      <c r="AT64" s="4"/>
      <c r="AU64" s="4"/>
      <c r="AV64" s="4"/>
      <c r="AW64" s="4"/>
      <c r="AX64" s="4"/>
    </row>
    <row r="65" spans="1:50" x14ac:dyDescent="0.2">
      <c r="AE65" s="46"/>
      <c r="AF65" s="15"/>
      <c r="AG65" s="15"/>
      <c r="AH65" s="15"/>
      <c r="AI65" s="5"/>
      <c r="AJ65" s="15"/>
      <c r="AK65" s="15"/>
      <c r="AL65" s="15"/>
      <c r="AM65" s="5"/>
      <c r="AN65" s="15"/>
      <c r="AO65" s="15"/>
      <c r="AP65" s="15"/>
      <c r="AQ65" s="4"/>
      <c r="AR65" s="4"/>
      <c r="AS65" s="4"/>
      <c r="AT65" s="4"/>
      <c r="AU65" s="4"/>
      <c r="AV65" s="4"/>
      <c r="AW65" s="4"/>
      <c r="AX65" s="4"/>
    </row>
    <row r="66" spans="1:50" x14ac:dyDescent="0.2">
      <c r="AE66" s="46"/>
      <c r="AF66" s="15"/>
      <c r="AG66" s="15"/>
      <c r="AH66" s="15"/>
      <c r="AI66" s="5"/>
      <c r="AJ66" s="15"/>
      <c r="AK66" s="15"/>
      <c r="AL66" s="15"/>
      <c r="AM66" s="5"/>
      <c r="AN66" s="15"/>
      <c r="AO66" s="15"/>
      <c r="AP66" s="15"/>
      <c r="AQ66" s="4"/>
      <c r="AR66" s="4"/>
      <c r="AS66" s="4"/>
      <c r="AT66" s="4"/>
      <c r="AU66" s="4"/>
      <c r="AV66" s="4"/>
      <c r="AW66" s="4"/>
      <c r="AX66" s="4"/>
    </row>
    <row r="67" spans="1:50" x14ac:dyDescent="0.2">
      <c r="AE67" s="46"/>
      <c r="AF67" s="5"/>
      <c r="AG67" s="5"/>
      <c r="AH67" s="5"/>
      <c r="AI67" s="5"/>
      <c r="AJ67" s="5"/>
      <c r="AK67" s="5"/>
      <c r="AL67" s="5"/>
      <c r="AM67" s="5"/>
      <c r="AN67" s="15"/>
      <c r="AO67" s="15"/>
      <c r="AP67" s="15"/>
      <c r="AQ67" s="4"/>
      <c r="AR67" s="4"/>
      <c r="AS67" s="4"/>
      <c r="AT67" s="4"/>
      <c r="AU67" s="4"/>
      <c r="AV67" s="4"/>
      <c r="AW67" s="4"/>
      <c r="AX67" s="4"/>
    </row>
    <row r="68" spans="1:50" x14ac:dyDescent="0.2">
      <c r="AF68" s="4"/>
      <c r="AG68" s="4"/>
      <c r="AH68" s="4"/>
      <c r="AI68" s="4"/>
      <c r="AJ68" s="4"/>
      <c r="AK68" s="4"/>
      <c r="AL68" s="4"/>
      <c r="AM68" s="4"/>
      <c r="AN68" s="15"/>
      <c r="AO68" s="15"/>
      <c r="AP68" s="15"/>
      <c r="AQ68" s="4"/>
      <c r="AR68" s="4"/>
      <c r="AS68" s="4"/>
      <c r="AT68" s="4"/>
      <c r="AU68" s="4"/>
      <c r="AV68" s="4"/>
      <c r="AW68" s="4"/>
      <c r="AX68" s="4"/>
    </row>
    <row r="69" spans="1:50" hidden="1" x14ac:dyDescent="0.2">
      <c r="A69" s="123" t="s">
        <v>462</v>
      </c>
      <c r="B69" s="46"/>
      <c r="C69" s="123" t="s">
        <v>463</v>
      </c>
      <c r="D69" s="46"/>
      <c r="E69" s="132" t="s">
        <v>464</v>
      </c>
      <c r="G69" s="123" t="s">
        <v>448</v>
      </c>
      <c r="I69" s="251" t="s">
        <v>452</v>
      </c>
      <c r="AF69" s="4"/>
      <c r="AG69" s="4"/>
      <c r="AH69" s="4"/>
      <c r="AI69" s="4"/>
      <c r="AJ69" s="4"/>
      <c r="AK69" s="4"/>
      <c r="AL69" s="4"/>
      <c r="AM69" s="4"/>
      <c r="AN69" s="15"/>
      <c r="AO69" s="15"/>
      <c r="AP69" s="15"/>
      <c r="AQ69" s="4"/>
      <c r="AR69" s="4"/>
      <c r="AS69" s="4"/>
      <c r="AT69" s="4"/>
      <c r="AU69" s="4"/>
      <c r="AV69" s="4"/>
      <c r="AW69" s="4"/>
      <c r="AX69" s="4"/>
    </row>
    <row r="70" spans="1:50" hidden="1" x14ac:dyDescent="0.2">
      <c r="A70" s="123" t="s">
        <v>463</v>
      </c>
      <c r="B70" s="46"/>
      <c r="C70" s="123" t="str">
        <f>D6</f>
        <v>ca</v>
      </c>
      <c r="D70" s="46"/>
      <c r="E70" s="132" t="s">
        <v>448</v>
      </c>
      <c r="G70" s="123"/>
      <c r="I70" s="256" t="s">
        <v>124</v>
      </c>
      <c r="AF70" s="5"/>
      <c r="AG70" s="5"/>
      <c r="AH70" s="5"/>
      <c r="AI70" s="4"/>
      <c r="AJ70" s="5"/>
      <c r="AK70" s="5"/>
      <c r="AL70" s="5"/>
      <c r="AM70" s="4"/>
      <c r="AN70" s="15"/>
      <c r="AO70" s="15"/>
      <c r="AP70" s="15"/>
      <c r="AQ70" s="4"/>
      <c r="AR70" s="4"/>
      <c r="AS70" s="4"/>
      <c r="AT70" s="4"/>
      <c r="AU70" s="4"/>
      <c r="AV70" s="4"/>
      <c r="AW70" s="4"/>
      <c r="AX70" s="4"/>
    </row>
    <row r="71" spans="1:50" hidden="1" x14ac:dyDescent="0.2">
      <c r="A71" s="123" t="s">
        <v>464</v>
      </c>
      <c r="B71" s="46"/>
      <c r="C71" s="46"/>
      <c r="D71" s="46"/>
      <c r="E71" s="46"/>
      <c r="F71" s="46"/>
      <c r="I71" s="251" t="s">
        <v>448</v>
      </c>
      <c r="AF71" s="5"/>
      <c r="AG71" s="15"/>
      <c r="AH71" s="15"/>
      <c r="AI71" s="4"/>
      <c r="AJ71" s="15"/>
      <c r="AK71" s="15"/>
      <c r="AL71" s="15"/>
      <c r="AM71" s="4"/>
      <c r="AN71" s="15"/>
      <c r="AO71" s="15"/>
      <c r="AP71" s="15"/>
      <c r="AQ71" s="4"/>
      <c r="AR71" s="4"/>
      <c r="AS71" s="4"/>
      <c r="AT71" s="4"/>
      <c r="AU71" s="4"/>
      <c r="AV71" s="4"/>
      <c r="AW71" s="4"/>
      <c r="AX71" s="4"/>
    </row>
    <row r="72" spans="1:50" hidden="1" x14ac:dyDescent="0.2">
      <c r="AF72" s="5"/>
      <c r="AG72" s="15"/>
      <c r="AH72" s="15"/>
      <c r="AI72" s="4"/>
      <c r="AJ72" s="15"/>
      <c r="AK72" s="15"/>
      <c r="AL72" s="15"/>
      <c r="AM72" s="4"/>
      <c r="AN72" s="15"/>
      <c r="AO72" s="15"/>
      <c r="AP72" s="15"/>
      <c r="AQ72" s="4"/>
      <c r="AR72" s="4"/>
      <c r="AS72" s="4"/>
      <c r="AT72" s="4"/>
      <c r="AU72" s="4"/>
      <c r="AV72" s="4"/>
      <c r="AW72" s="4"/>
      <c r="AX72" s="4"/>
    </row>
    <row r="73" spans="1:50" hidden="1" x14ac:dyDescent="0.2">
      <c r="AF73" s="5"/>
      <c r="AG73" s="15"/>
      <c r="AH73" s="15"/>
      <c r="AI73" s="4"/>
      <c r="AJ73" s="15"/>
      <c r="AK73" s="15"/>
      <c r="AL73" s="15"/>
      <c r="AM73" s="4"/>
      <c r="AN73" s="15"/>
      <c r="AO73" s="15"/>
      <c r="AP73" s="15"/>
      <c r="AQ73" s="4"/>
      <c r="AR73" s="4"/>
      <c r="AS73" s="4"/>
      <c r="AT73" s="4"/>
      <c r="AU73" s="4"/>
      <c r="AV73" s="4"/>
      <c r="AW73" s="4"/>
      <c r="AX73" s="4"/>
    </row>
    <row r="74" spans="1:50" hidden="1" x14ac:dyDescent="0.2">
      <c r="A74" s="258" t="s">
        <v>31</v>
      </c>
      <c r="B74" s="259"/>
      <c r="C74" s="259"/>
      <c r="D74" s="259"/>
      <c r="E74" s="259"/>
      <c r="F74" s="259"/>
      <c r="G74" s="259"/>
      <c r="H74" s="259"/>
      <c r="I74" s="260"/>
      <c r="AF74" s="5"/>
      <c r="AG74" s="15"/>
      <c r="AH74" s="15"/>
      <c r="AI74" s="4"/>
      <c r="AJ74" s="15"/>
      <c r="AK74" s="15"/>
      <c r="AL74" s="15"/>
      <c r="AM74" s="4"/>
      <c r="AN74" s="15"/>
      <c r="AO74" s="15"/>
      <c r="AP74" s="15"/>
      <c r="AQ74" s="4"/>
      <c r="AR74" s="4"/>
      <c r="AS74" s="4"/>
      <c r="AT74" s="4"/>
      <c r="AU74" s="4"/>
      <c r="AV74" s="4"/>
      <c r="AW74" s="4"/>
      <c r="AX74" s="4"/>
    </row>
    <row r="75" spans="1:50" hidden="1" x14ac:dyDescent="0.2">
      <c r="A75" s="261"/>
      <c r="B75" s="2"/>
      <c r="C75" s="2"/>
      <c r="D75" s="2"/>
      <c r="E75" s="2"/>
      <c r="F75" s="2"/>
      <c r="G75" s="2"/>
      <c r="H75" s="2"/>
      <c r="I75" s="262"/>
      <c r="AF75" s="5"/>
      <c r="AG75" s="15"/>
      <c r="AH75" s="15"/>
      <c r="AI75" s="4"/>
      <c r="AJ75" s="5"/>
      <c r="AK75" s="5"/>
      <c r="AL75" s="5"/>
      <c r="AM75" s="4"/>
      <c r="AN75" s="15"/>
      <c r="AO75" s="15"/>
      <c r="AP75" s="15"/>
      <c r="AQ75" s="4"/>
      <c r="AR75" s="4"/>
      <c r="AS75" s="4"/>
      <c r="AT75" s="4"/>
      <c r="AU75" s="4"/>
      <c r="AV75" s="4"/>
      <c r="AW75" s="4"/>
      <c r="AX75" s="4"/>
    </row>
    <row r="76" spans="1:50" ht="13.5" hidden="1" x14ac:dyDescent="0.25">
      <c r="A76" s="263" t="s">
        <v>30</v>
      </c>
      <c r="B76" s="16" t="s">
        <v>38</v>
      </c>
      <c r="C76" s="16" t="s">
        <v>39</v>
      </c>
      <c r="D76" s="16" t="s">
        <v>40</v>
      </c>
      <c r="E76" s="3"/>
      <c r="F76" s="45" t="s">
        <v>72</v>
      </c>
      <c r="G76" s="16" t="s">
        <v>73</v>
      </c>
      <c r="H76" s="16" t="s">
        <v>74</v>
      </c>
      <c r="I76" s="264" t="s">
        <v>75</v>
      </c>
      <c r="AF76" s="5"/>
      <c r="AG76" s="15"/>
      <c r="AH76" s="15"/>
      <c r="AI76" s="4"/>
      <c r="AJ76" s="5"/>
      <c r="AK76" s="5"/>
      <c r="AL76" s="5"/>
      <c r="AM76" s="4"/>
      <c r="AN76" s="15"/>
      <c r="AO76" s="15"/>
      <c r="AP76" s="15"/>
      <c r="AQ76" s="4"/>
      <c r="AR76" s="4"/>
      <c r="AS76" s="4"/>
      <c r="AT76" s="4"/>
      <c r="AU76" s="4"/>
      <c r="AV76" s="4"/>
      <c r="AW76" s="4"/>
      <c r="AX76" s="4"/>
    </row>
    <row r="77" spans="1:50" hidden="1" x14ac:dyDescent="0.2">
      <c r="A77" s="225"/>
      <c r="B77" s="16">
        <v>1</v>
      </c>
      <c r="C77" s="281">
        <f>D19/10^8</f>
        <v>1.3333333333333334E-4</v>
      </c>
      <c r="D77" s="202">
        <f>B77*C77</f>
        <v>1.3333333333333334E-4</v>
      </c>
      <c r="E77" s="3"/>
      <c r="F77" s="3"/>
      <c r="G77" s="16">
        <v>1</v>
      </c>
      <c r="H77" s="281">
        <f>E19/10^8</f>
        <v>1.3333333333333334E-4</v>
      </c>
      <c r="I77" s="265">
        <f>G77*H77</f>
        <v>1.3333333333333334E-4</v>
      </c>
      <c r="AF77" s="5"/>
      <c r="AG77" s="15"/>
      <c r="AH77" s="15"/>
      <c r="AI77" s="4"/>
      <c r="AJ77" s="5"/>
      <c r="AK77" s="5"/>
      <c r="AL77" s="5"/>
      <c r="AM77" s="4"/>
      <c r="AN77" s="15"/>
      <c r="AO77" s="15"/>
      <c r="AP77" s="15"/>
      <c r="AQ77" s="4"/>
      <c r="AR77" s="4"/>
      <c r="AS77" s="4"/>
      <c r="AT77" s="4"/>
      <c r="AU77" s="4"/>
      <c r="AV77" s="4"/>
      <c r="AW77" s="4"/>
      <c r="AX77" s="4"/>
    </row>
    <row r="78" spans="1:50" hidden="1" x14ac:dyDescent="0.2">
      <c r="A78" s="225"/>
      <c r="B78" s="3"/>
      <c r="C78" s="3"/>
      <c r="D78" s="3"/>
      <c r="E78" s="3"/>
      <c r="F78" s="3"/>
      <c r="G78" s="3"/>
      <c r="H78" s="3"/>
      <c r="I78" s="266"/>
      <c r="AF78" s="5"/>
      <c r="AG78" s="15"/>
      <c r="AH78" s="15"/>
      <c r="AI78" s="4"/>
      <c r="AJ78" s="5"/>
      <c r="AK78" s="5"/>
      <c r="AL78" s="5"/>
      <c r="AM78" s="4"/>
      <c r="AN78" s="15"/>
      <c r="AO78" s="15"/>
      <c r="AP78" s="15"/>
      <c r="AQ78" s="4"/>
      <c r="AR78" s="4"/>
      <c r="AS78" s="4"/>
      <c r="AT78" s="4"/>
      <c r="AU78" s="4"/>
      <c r="AV78" s="4"/>
      <c r="AW78" s="4"/>
      <c r="AX78" s="4"/>
    </row>
    <row r="79" spans="1:50" ht="13.5" hidden="1" x14ac:dyDescent="0.25">
      <c r="A79" s="263" t="s">
        <v>88</v>
      </c>
      <c r="B79" s="16" t="s">
        <v>89</v>
      </c>
      <c r="C79" s="16" t="s">
        <v>90</v>
      </c>
      <c r="D79" s="16" t="s">
        <v>91</v>
      </c>
      <c r="E79" s="3"/>
      <c r="F79" s="45" t="s">
        <v>108</v>
      </c>
      <c r="G79" s="16" t="s">
        <v>109</v>
      </c>
      <c r="H79" s="16" t="s">
        <v>110</v>
      </c>
      <c r="I79" s="264" t="s">
        <v>111</v>
      </c>
      <c r="AF79" s="5"/>
      <c r="AG79" s="15"/>
      <c r="AH79" s="15"/>
      <c r="AI79" s="4"/>
      <c r="AJ79" s="5"/>
      <c r="AK79" s="5"/>
      <c r="AL79" s="5"/>
      <c r="AM79" s="4"/>
      <c r="AN79" s="15"/>
      <c r="AO79" s="15"/>
      <c r="AP79" s="15"/>
      <c r="AQ79" s="4"/>
      <c r="AR79" s="4"/>
      <c r="AS79" s="4"/>
      <c r="AT79" s="4"/>
      <c r="AU79" s="4"/>
      <c r="AV79" s="4"/>
      <c r="AW79" s="4"/>
      <c r="AX79" s="4"/>
    </row>
    <row r="80" spans="1:50" hidden="1" x14ac:dyDescent="0.2">
      <c r="A80" s="267"/>
      <c r="B80" s="268">
        <v>1</v>
      </c>
      <c r="C80" s="282">
        <f>F19/10^8</f>
        <v>1.3333333333333334E-4</v>
      </c>
      <c r="D80" s="269">
        <f>B80*C80</f>
        <v>1.3333333333333334E-4</v>
      </c>
      <c r="E80" s="255"/>
      <c r="F80" s="255"/>
      <c r="G80" s="268">
        <v>1</v>
      </c>
      <c r="H80" s="282">
        <f>G19/10^8</f>
        <v>1.3333333333333334E-4</v>
      </c>
      <c r="I80" s="270">
        <f>G80*H80</f>
        <v>1.3333333333333334E-4</v>
      </c>
      <c r="AF80" s="4"/>
      <c r="AG80" s="4"/>
      <c r="AH80" s="4"/>
      <c r="AI80" s="4"/>
      <c r="AJ80" s="4"/>
      <c r="AK80" s="4"/>
      <c r="AL80" s="4"/>
      <c r="AM80" s="4"/>
      <c r="AN80" s="15"/>
      <c r="AO80" s="15"/>
      <c r="AP80" s="15"/>
      <c r="AQ80" s="4"/>
      <c r="AR80" s="4"/>
      <c r="AS80" s="4"/>
      <c r="AT80" s="4"/>
      <c r="AU80" s="4"/>
      <c r="AV80" s="4"/>
      <c r="AW80" s="4"/>
      <c r="AX80" s="4"/>
    </row>
    <row r="81" spans="15:50" x14ac:dyDescent="0.2">
      <c r="AF81" s="4"/>
      <c r="AG81" s="4"/>
      <c r="AH81" s="4"/>
      <c r="AI81" s="4"/>
      <c r="AJ81" s="4"/>
      <c r="AK81" s="4"/>
      <c r="AL81" s="4"/>
      <c r="AM81" s="4"/>
      <c r="AN81" s="15"/>
      <c r="AO81" s="15"/>
      <c r="AP81" s="15"/>
      <c r="AQ81" s="4"/>
      <c r="AR81" s="4"/>
      <c r="AS81" s="4"/>
      <c r="AT81" s="4"/>
      <c r="AU81" s="4"/>
      <c r="AV81" s="4"/>
      <c r="AW81" s="4"/>
      <c r="AX81" s="4"/>
    </row>
    <row r="82" spans="15:50" x14ac:dyDescent="0.2">
      <c r="AF82" s="4"/>
      <c r="AG82" s="4"/>
      <c r="AH82" s="4"/>
      <c r="AI82" s="4"/>
      <c r="AJ82" s="4"/>
      <c r="AK82" s="4"/>
      <c r="AL82" s="4"/>
      <c r="AM82" s="4"/>
      <c r="AN82" s="15"/>
      <c r="AO82" s="15"/>
      <c r="AP82" s="15"/>
      <c r="AQ82" s="4"/>
      <c r="AR82" s="4"/>
      <c r="AS82" s="4"/>
      <c r="AT82" s="4"/>
      <c r="AU82" s="4"/>
      <c r="AV82" s="4"/>
      <c r="AW82" s="4"/>
      <c r="AX82" s="4"/>
    </row>
    <row r="83" spans="15:50" x14ac:dyDescent="0.2">
      <c r="AF83" s="4"/>
      <c r="AG83" s="4"/>
      <c r="AH83" s="4"/>
      <c r="AI83" s="4"/>
      <c r="AJ83" s="4"/>
      <c r="AK83" s="4"/>
      <c r="AL83" s="4"/>
      <c r="AM83" s="4"/>
      <c r="AN83" s="15"/>
      <c r="AO83" s="15"/>
      <c r="AP83" s="15"/>
      <c r="AQ83" s="4"/>
      <c r="AR83" s="4"/>
      <c r="AS83" s="4"/>
      <c r="AT83" s="4"/>
      <c r="AU83" s="4"/>
      <c r="AV83" s="4"/>
      <c r="AW83" s="4"/>
      <c r="AX83" s="4"/>
    </row>
    <row r="84" spans="15:50" x14ac:dyDescent="0.2">
      <c r="AF84" s="4"/>
      <c r="AG84" s="4"/>
      <c r="AH84" s="4"/>
      <c r="AI84" s="4"/>
      <c r="AJ84" s="4"/>
      <c r="AK84" s="4"/>
      <c r="AL84" s="4"/>
      <c r="AM84" s="4"/>
      <c r="AN84" s="15"/>
      <c r="AO84" s="15"/>
      <c r="AP84" s="15"/>
      <c r="AQ84" s="4"/>
      <c r="AR84" s="4"/>
      <c r="AS84" s="4"/>
      <c r="AT84" s="4"/>
      <c r="AU84" s="4"/>
      <c r="AV84" s="4"/>
      <c r="AW84" s="4"/>
      <c r="AX84" s="4"/>
    </row>
    <row r="85" spans="15:50" x14ac:dyDescent="0.2">
      <c r="AF85" s="4"/>
      <c r="AG85" s="4"/>
      <c r="AH85" s="4"/>
      <c r="AI85" s="4"/>
      <c r="AJ85" s="4"/>
      <c r="AK85" s="4"/>
      <c r="AL85" s="4"/>
      <c r="AM85" s="4"/>
      <c r="AN85" s="15"/>
      <c r="AO85" s="15"/>
      <c r="AP85" s="15"/>
      <c r="AQ85" s="4"/>
      <c r="AR85" s="4"/>
      <c r="AS85" s="4"/>
      <c r="AT85" s="4"/>
      <c r="AU85" s="4"/>
      <c r="AV85" s="4"/>
      <c r="AW85" s="4"/>
      <c r="AX85" s="4"/>
    </row>
    <row r="86" spans="15:50" x14ac:dyDescent="0.2">
      <c r="AF86" s="4"/>
      <c r="AG86" s="4"/>
      <c r="AH86" s="4"/>
      <c r="AI86" s="4"/>
      <c r="AJ86" s="4"/>
      <c r="AK86" s="4"/>
      <c r="AL86" s="4"/>
      <c r="AM86" s="4"/>
      <c r="AN86" s="15"/>
      <c r="AO86" s="15"/>
      <c r="AP86" s="15"/>
      <c r="AQ86" s="4"/>
      <c r="AR86" s="4"/>
      <c r="AS86" s="4"/>
      <c r="AT86" s="4"/>
      <c r="AU86" s="4"/>
      <c r="AV86" s="4"/>
      <c r="AW86" s="4"/>
      <c r="AX86" s="4"/>
    </row>
    <row r="87" spans="15:50" x14ac:dyDescent="0.2">
      <c r="AF87" s="4"/>
      <c r="AG87" s="4"/>
      <c r="AH87" s="4"/>
      <c r="AI87" s="4"/>
      <c r="AJ87" s="4"/>
      <c r="AK87" s="4"/>
      <c r="AL87" s="4"/>
      <c r="AM87" s="4"/>
      <c r="AN87" s="15"/>
      <c r="AO87" s="15"/>
      <c r="AP87" s="15"/>
      <c r="AQ87" s="4"/>
      <c r="AR87" s="4"/>
      <c r="AS87" s="4"/>
      <c r="AT87" s="4"/>
      <c r="AU87" s="4"/>
      <c r="AV87" s="4"/>
      <c r="AW87" s="4"/>
      <c r="AX87" s="4"/>
    </row>
    <row r="88" spans="15:50" x14ac:dyDescent="0.2">
      <c r="W88" s="2"/>
      <c r="X88" s="2"/>
      <c r="AF88" s="4"/>
      <c r="AG88" s="4"/>
      <c r="AH88" s="4"/>
      <c r="AI88" s="4"/>
      <c r="AJ88" s="4"/>
      <c r="AK88" s="4"/>
      <c r="AL88" s="4"/>
      <c r="AM88" s="4"/>
      <c r="AN88" s="15"/>
      <c r="AO88" s="15"/>
      <c r="AP88" s="15"/>
      <c r="AQ88" s="4"/>
      <c r="AR88" s="4"/>
      <c r="AS88" s="4"/>
      <c r="AT88" s="4"/>
      <c r="AU88" s="4"/>
      <c r="AV88" s="4"/>
      <c r="AW88" s="4"/>
      <c r="AX88" s="4"/>
    </row>
    <row r="89" spans="15:50" x14ac:dyDescent="0.2">
      <c r="W89" s="11"/>
      <c r="X89" s="11"/>
      <c r="AF89" s="4"/>
      <c r="AG89" s="4"/>
      <c r="AH89" s="4"/>
      <c r="AI89" s="4"/>
      <c r="AJ89" s="4"/>
      <c r="AK89" s="4"/>
      <c r="AL89" s="4"/>
      <c r="AM89" s="4"/>
      <c r="AN89" s="15"/>
      <c r="AO89" s="15"/>
      <c r="AP89" s="15"/>
      <c r="AQ89" s="4"/>
      <c r="AR89" s="4"/>
      <c r="AS89" s="4"/>
      <c r="AT89" s="4"/>
      <c r="AU89" s="4"/>
      <c r="AV89" s="4"/>
      <c r="AW89" s="4"/>
      <c r="AX89" s="4"/>
    </row>
    <row r="90" spans="15:50" x14ac:dyDescent="0.2">
      <c r="W90" s="11"/>
      <c r="X90" s="11"/>
    </row>
    <row r="91" spans="15:50" x14ac:dyDescent="0.2">
      <c r="O91" s="3"/>
      <c r="P91" s="3"/>
      <c r="Q91" s="3"/>
      <c r="W91" s="11"/>
      <c r="X91" s="11"/>
    </row>
    <row r="92" spans="15:50" x14ac:dyDescent="0.2">
      <c r="O92" s="3"/>
      <c r="P92" s="3"/>
      <c r="Q92" s="3"/>
      <c r="W92" s="11"/>
      <c r="X92" s="11"/>
    </row>
    <row r="93" spans="15:50" x14ac:dyDescent="0.2">
      <c r="O93" s="3"/>
      <c r="P93" s="3"/>
      <c r="Q93" s="3"/>
      <c r="W93" s="11"/>
      <c r="X93" s="11"/>
    </row>
    <row r="94" spans="15:50" x14ac:dyDescent="0.2">
      <c r="O94" s="3"/>
      <c r="P94" s="3"/>
      <c r="Q94" s="3"/>
    </row>
    <row r="95" spans="15:50" x14ac:dyDescent="0.2">
      <c r="O95" s="3"/>
      <c r="P95" s="3"/>
      <c r="Q95" s="3"/>
    </row>
    <row r="96" spans="15:50" x14ac:dyDescent="0.2">
      <c r="O96" s="3"/>
      <c r="P96" s="3"/>
      <c r="Q96" s="3"/>
    </row>
    <row r="97" spans="15:17" x14ac:dyDescent="0.2">
      <c r="O97" s="3"/>
      <c r="P97" s="3"/>
      <c r="Q97" s="3"/>
    </row>
    <row r="98" spans="15:17" x14ac:dyDescent="0.2">
      <c r="O98" s="2"/>
      <c r="P98" s="2"/>
      <c r="Q98" s="2"/>
    </row>
    <row r="99" spans="15:17" x14ac:dyDescent="0.2">
      <c r="O99" s="2"/>
      <c r="P99" s="2"/>
      <c r="Q99" s="2"/>
    </row>
  </sheetData>
  <sheetProtection selectLockedCells="1"/>
  <mergeCells count="40">
    <mergeCell ref="AO17:AO25"/>
    <mergeCell ref="AO26:AO34"/>
    <mergeCell ref="D16:G16"/>
    <mergeCell ref="C24:H24"/>
    <mergeCell ref="C10:H10"/>
    <mergeCell ref="AE8:AE16"/>
    <mergeCell ref="AJ8:AJ16"/>
    <mergeCell ref="AO8:AO16"/>
    <mergeCell ref="D6:H6"/>
    <mergeCell ref="A1:J1"/>
    <mergeCell ref="AE4:AE7"/>
    <mergeCell ref="AJ4:AJ7"/>
    <mergeCell ref="AO4:AO7"/>
    <mergeCell ref="D4:H4"/>
    <mergeCell ref="AT26:AT34"/>
    <mergeCell ref="AY26:AY34"/>
    <mergeCell ref="AT4:AT7"/>
    <mergeCell ref="AY4:AY7"/>
    <mergeCell ref="AT8:AT16"/>
    <mergeCell ref="AY8:AY16"/>
    <mergeCell ref="AT17:AT25"/>
    <mergeCell ref="AY17:AY25"/>
    <mergeCell ref="AO44:AO47"/>
    <mergeCell ref="AT44:AT47"/>
    <mergeCell ref="AY44:AY47"/>
    <mergeCell ref="W57:AB57"/>
    <mergeCell ref="AE35:AE43"/>
    <mergeCell ref="AJ35:AJ43"/>
    <mergeCell ref="AO35:AO43"/>
    <mergeCell ref="AT35:AT43"/>
    <mergeCell ref="AY35:AY43"/>
    <mergeCell ref="U38:AD38"/>
    <mergeCell ref="U40:AD40"/>
    <mergeCell ref="X59:AB59"/>
    <mergeCell ref="AE44:AE47"/>
    <mergeCell ref="AJ44:AJ47"/>
    <mergeCell ref="AE17:AE25"/>
    <mergeCell ref="AJ17:AJ25"/>
    <mergeCell ref="AE26:AE34"/>
    <mergeCell ref="AJ26:AJ34"/>
  </mergeCells>
  <dataValidations count="10">
    <dataValidation type="list" allowBlank="1" showInputMessage="1" showErrorMessage="1" sqref="H17" xr:uid="{00000000-0002-0000-0A00-000000000000}">
      <formula1>INDIRECT($H$16)</formula1>
    </dataValidation>
    <dataValidation type="list" allowBlank="1" showInputMessage="1" showErrorMessage="1" sqref="D17:G17" xr:uid="{00000000-0002-0000-0A00-000001000000}">
      <formula1>INDIRECT($D$6)</formula1>
    </dataValidation>
    <dataValidation type="list" allowBlank="1" showInputMessage="1" showErrorMessage="1" sqref="C17" xr:uid="{00000000-0002-0000-0A00-000002000000}">
      <formula1>INDIRECT($C$16)</formula1>
    </dataValidation>
    <dataValidation type="custom" allowBlank="1" showInputMessage="1" showErrorMessage="1" sqref="D15:G15" xr:uid="{00000000-0002-0000-0A00-000003000000}">
      <formula1>D15&gt;0</formula1>
    </dataValidation>
    <dataValidation type="list" allowBlank="1" showInputMessage="1" showErrorMessage="1" sqref="C16" xr:uid="{00000000-0002-0000-0A00-000004000000}">
      <formula1>INDIRECT($C$14)</formula1>
    </dataValidation>
    <dataValidation type="list" allowBlank="1" showInputMessage="1" showErrorMessage="1" sqref="H16" xr:uid="{00000000-0002-0000-0A00-000005000000}">
      <formula1>INDIRECT($H$14)</formula1>
    </dataValidation>
    <dataValidation type="list" allowBlank="1" showInputMessage="1" showErrorMessage="1" sqref="H14 C14" xr:uid="{00000000-0002-0000-0A00-000006000000}">
      <formula1>$A$70:$A$71</formula1>
    </dataValidation>
    <dataValidation type="custom" showInputMessage="1" showErrorMessage="1" sqref="C15" xr:uid="{00000000-0002-0000-0A00-000007000000}">
      <formula1>IF(C14=A71,C15=0,C15&gt;0)</formula1>
    </dataValidation>
    <dataValidation type="custom" showInputMessage="1" showErrorMessage="1" sqref="H15" xr:uid="{00000000-0002-0000-0A00-000008000000}">
      <formula1>IF(H14=A71,H15=0,H15&gt;0)</formula1>
    </dataValidation>
    <dataValidation type="list" allowBlank="1" showInputMessage="1" showErrorMessage="1" sqref="D6" xr:uid="{00000000-0002-0000-0A00-000009000000}">
      <formula1>$I$69:$I$70</formula1>
    </dataValidation>
  </dataValidations>
  <pageMargins left="0.52" right="0.4" top="0.24" bottom="0.41" header="0.22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cro28">
                <anchor moveWithCells="1" sizeWithCells="1">
                  <from>
                    <xdr:col>8</xdr:col>
                    <xdr:colOff>28575</xdr:colOff>
                    <xdr:row>25</xdr:row>
                    <xdr:rowOff>9525</xdr:rowOff>
                  </from>
                  <to>
                    <xdr:col>8</xdr:col>
                    <xdr:colOff>571500</xdr:colOff>
                    <xdr:row>25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acro29">
                <anchor moveWithCells="1" sizeWithCells="1">
                  <from>
                    <xdr:col>8</xdr:col>
                    <xdr:colOff>28575</xdr:colOff>
                    <xdr:row>26</xdr:row>
                    <xdr:rowOff>9525</xdr:rowOff>
                  </from>
                  <to>
                    <xdr:col>8</xdr:col>
                    <xdr:colOff>571500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Macro30">
                <anchor moveWithCells="1" sizeWithCells="1">
                  <from>
                    <xdr:col>8</xdr:col>
                    <xdr:colOff>28575</xdr:colOff>
                    <xdr:row>27</xdr:row>
                    <xdr:rowOff>9525</xdr:rowOff>
                  </from>
                  <to>
                    <xdr:col>8</xdr:col>
                    <xdr:colOff>571500</xdr:colOff>
                    <xdr:row>27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Macro31">
                <anchor moveWithCells="1" sizeWithCells="1">
                  <from>
                    <xdr:col>8</xdr:col>
                    <xdr:colOff>28575</xdr:colOff>
                    <xdr:row>28</xdr:row>
                    <xdr:rowOff>9525</xdr:rowOff>
                  </from>
                  <to>
                    <xdr:col>8</xdr:col>
                    <xdr:colOff>571500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Macro32">
                <anchor moveWithCells="1" sizeWithCells="1">
                  <from>
                    <xdr:col>8</xdr:col>
                    <xdr:colOff>28575</xdr:colOff>
                    <xdr:row>29</xdr:row>
                    <xdr:rowOff>19050</xdr:rowOff>
                  </from>
                  <to>
                    <xdr:col>8</xdr:col>
                    <xdr:colOff>571500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Macro33">
                <anchor moveWithCells="1" sizeWithCells="1">
                  <from>
                    <xdr:col>9</xdr:col>
                    <xdr:colOff>28575</xdr:colOff>
                    <xdr:row>25</xdr:row>
                    <xdr:rowOff>19050</xdr:rowOff>
                  </from>
                  <to>
                    <xdr:col>9</xdr:col>
                    <xdr:colOff>571500</xdr:colOff>
                    <xdr:row>29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Macro14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9</xdr:col>
                    <xdr:colOff>590550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Macro42">
                <anchor moveWithCells="1" sizeWithCells="1">
                  <from>
                    <xdr:col>2</xdr:col>
                    <xdr:colOff>0</xdr:colOff>
                    <xdr:row>11</xdr:row>
                    <xdr:rowOff>9525</xdr:rowOff>
                  </from>
                  <to>
                    <xdr:col>2</xdr:col>
                    <xdr:colOff>600075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2" name="Button 10">
              <controlPr defaultSize="0" print="0" autoFill="0" autoPict="0" macro="[0]!Macro46">
                <anchor moveWithCells="1" sizeWithCells="1">
                  <from>
                    <xdr:col>7</xdr:col>
                    <xdr:colOff>0</xdr:colOff>
                    <xdr:row>11</xdr:row>
                    <xdr:rowOff>19050</xdr:rowOff>
                  </from>
                  <to>
                    <xdr:col>7</xdr:col>
                    <xdr:colOff>600075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3" name="Button 11">
              <controlPr defaultSize="0" print="0" autoFill="0" autoPict="0" macro="[0]!Macro47">
                <anchor moveWithCells="1" siz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3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4" name="Button 13">
              <controlPr defaultSize="0" print="0" autoFill="0" autoPict="0" macro="[0]!Macro48">
                <anchor moveWithCells="1" siz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5" name="Button 14">
              <controlPr defaultSize="0" print="0" autoFill="0" autoPict="0" macro="[0]!Sezionecadaquattro">
                <anchor moveWithCells="1" sizeWithCells="1">
                  <from>
                    <xdr:col>8</xdr:col>
                    <xdr:colOff>66675</xdr:colOff>
                    <xdr:row>13</xdr:row>
                    <xdr:rowOff>9525</xdr:rowOff>
                  </from>
                  <to>
                    <xdr:col>9</xdr:col>
                    <xdr:colOff>533400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6" name="Button 15">
              <controlPr defaultSize="0" print="0" autoFill="0" autoPict="0" macro="[0]!Sezioneacciaiodaquattro">
                <anchor moveWithCells="1" sizeWithCells="1">
                  <from>
                    <xdr:col>8</xdr:col>
                    <xdr:colOff>85725</xdr:colOff>
                    <xdr:row>16</xdr:row>
                    <xdr:rowOff>9525</xdr:rowOff>
                  </from>
                  <to>
                    <xdr:col>9</xdr:col>
                    <xdr:colOff>523875</xdr:colOff>
                    <xdr:row>18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24"/>
  <dimension ref="A1:AT100"/>
  <sheetViews>
    <sheetView zoomScale="70" zoomScaleNormal="70" workbookViewId="0">
      <selection activeCell="I21" sqref="I21"/>
    </sheetView>
  </sheetViews>
  <sheetFormatPr defaultColWidth="9.140625" defaultRowHeight="12" x14ac:dyDescent="0.2"/>
  <cols>
    <col min="1" max="16384" width="9.140625" style="1"/>
  </cols>
  <sheetData>
    <row r="1" spans="1:40" ht="15.75" customHeight="1" thickBot="1" x14ac:dyDescent="0.25">
      <c r="A1" s="334" t="s">
        <v>28</v>
      </c>
      <c r="B1" s="334"/>
      <c r="C1" s="334"/>
      <c r="D1" s="334"/>
      <c r="E1" s="334"/>
      <c r="F1" s="334"/>
      <c r="G1" s="334"/>
      <c r="H1" s="334"/>
      <c r="I1" s="334"/>
      <c r="J1" s="334"/>
      <c r="K1" s="2"/>
    </row>
    <row r="2" spans="1:40" ht="12.75" thickTop="1" x14ac:dyDescent="0.2">
      <c r="E2" s="12"/>
    </row>
    <row r="3" spans="1:40" ht="13.5" x14ac:dyDescent="0.2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106</v>
      </c>
      <c r="H3" s="13" t="s">
        <v>34</v>
      </c>
    </row>
    <row r="4" spans="1:40" x14ac:dyDescent="0.2">
      <c r="C4" s="14">
        <f>'CCCC-Trave'!C15</f>
        <v>0</v>
      </c>
      <c r="D4" s="14">
        <f>'CCCC-Trave'!D15</f>
        <v>5</v>
      </c>
      <c r="E4" s="14">
        <f>'CCCC-Trave'!E15</f>
        <v>5</v>
      </c>
      <c r="F4" s="14">
        <f>'CCCC-Trave'!F15</f>
        <v>5</v>
      </c>
      <c r="G4" s="14">
        <f>'CCCC-Trave'!G15</f>
        <v>5</v>
      </c>
      <c r="H4" s="14">
        <f>'CCCC-Trave'!H15</f>
        <v>0</v>
      </c>
    </row>
    <row r="6" spans="1:40" ht="13.5" x14ac:dyDescent="0.2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107</v>
      </c>
      <c r="H6" s="13" t="s">
        <v>37</v>
      </c>
    </row>
    <row r="7" spans="1:40" x14ac:dyDescent="0.2">
      <c r="B7" s="1" t="s">
        <v>42</v>
      </c>
      <c r="C7" s="14">
        <f>'CCCC-Trave'!C26</f>
        <v>0</v>
      </c>
      <c r="D7" s="14">
        <f>'CCCC-Trave'!D26</f>
        <v>5</v>
      </c>
      <c r="E7" s="14">
        <f>'CCCC-Trave'!E26</f>
        <v>2</v>
      </c>
      <c r="F7" s="14">
        <f>'CCCC-Trave'!F26</f>
        <v>5</v>
      </c>
      <c r="G7" s="14">
        <f>'CCCC-Trave'!G26</f>
        <v>2</v>
      </c>
      <c r="H7" s="14">
        <f>'CCCC-Trave'!H26</f>
        <v>0</v>
      </c>
    </row>
    <row r="8" spans="1:40" x14ac:dyDescent="0.2">
      <c r="C8" s="14"/>
      <c r="D8" s="14"/>
      <c r="E8" s="14"/>
      <c r="F8" s="14"/>
      <c r="G8" s="14"/>
      <c r="H8" s="14"/>
    </row>
    <row r="9" spans="1:40" x14ac:dyDescent="0.2">
      <c r="C9" s="14"/>
      <c r="D9" s="14"/>
      <c r="E9" s="14"/>
      <c r="F9" s="14"/>
      <c r="G9" s="14"/>
      <c r="H9" s="14"/>
    </row>
    <row r="10" spans="1:40" x14ac:dyDescent="0.2">
      <c r="C10" s="14"/>
      <c r="D10" s="14"/>
      <c r="E10" s="14"/>
      <c r="F10" s="14"/>
      <c r="G10" s="14"/>
      <c r="H10" s="14"/>
    </row>
    <row r="11" spans="1:40" x14ac:dyDescent="0.2">
      <c r="C11" s="14"/>
      <c r="D11" s="14"/>
      <c r="E11" s="14"/>
      <c r="F11" s="14"/>
      <c r="G11" s="14"/>
      <c r="H11" s="14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45" t="s">
        <v>31</v>
      </c>
      <c r="B15" s="345"/>
      <c r="C15" s="345"/>
      <c r="D15" s="345"/>
      <c r="E15" s="345"/>
      <c r="F15" s="345"/>
      <c r="G15" s="345"/>
      <c r="H15" s="345"/>
      <c r="I15" s="345"/>
      <c r="J15" s="345"/>
    </row>
    <row r="16" spans="1:40" ht="12.75" thickTop="1" x14ac:dyDescent="0.2">
      <c r="V16" s="144">
        <f>-(D4/D18+E4/I18)/3</f>
        <v>-25000</v>
      </c>
      <c r="W16" s="192">
        <f>-E4/(6*I18)</f>
        <v>-6250</v>
      </c>
      <c r="X16" s="192">
        <v>0</v>
      </c>
      <c r="Y16" s="19"/>
      <c r="Z16" s="193">
        <f t="array" ref="Z16:AB18">MINVERSE(V16:X18)</f>
        <v>-4.2857142857142856E-5</v>
      </c>
      <c r="AA16" s="193">
        <v>1.1428571428571427E-5</v>
      </c>
      <c r="AB16" s="193">
        <v>-2.8571428571428568E-6</v>
      </c>
      <c r="AC16" s="19"/>
      <c r="AD16" s="19"/>
      <c r="AE16" s="194">
        <f>AB22</f>
        <v>-273437.5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3.5" x14ac:dyDescent="0.2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38">
        <f>-E4/(6*I18)</f>
        <v>-6250</v>
      </c>
      <c r="W17" s="136">
        <f>-(E4/I18+F4/D21)/3</f>
        <v>-25000</v>
      </c>
      <c r="X17" s="136">
        <f>-F4/(6*D21)</f>
        <v>-6250</v>
      </c>
      <c r="Y17" s="2"/>
      <c r="Z17" s="123">
        <v>1.1428571428571429E-5</v>
      </c>
      <c r="AA17" s="123">
        <v>-4.5714285714285716E-5</v>
      </c>
      <c r="AB17" s="123">
        <v>1.1428571428571429E-5</v>
      </c>
      <c r="AC17" s="2"/>
      <c r="AD17" s="2"/>
      <c r="AE17" s="124">
        <f>AC22</f>
        <v>-273437.5</v>
      </c>
      <c r="AF17" s="2"/>
      <c r="AG17" s="2"/>
      <c r="AH17" s="123">
        <v>0</v>
      </c>
      <c r="AI17" s="123">
        <v>10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'CCCC-Trave'!B77</f>
        <v>1</v>
      </c>
      <c r="C18" s="16">
        <f>'CCCC-Trave'!C77</f>
        <v>1.3333333333333334E-4</v>
      </c>
      <c r="D18" s="16">
        <f>B18*C18</f>
        <v>1.3333333333333334E-4</v>
      </c>
      <c r="G18" s="16">
        <f>'CCCC-Trave'!G77</f>
        <v>1</v>
      </c>
      <c r="H18" s="16">
        <f>'CCCC-Trave'!H77</f>
        <v>1.3333333333333334E-4</v>
      </c>
      <c r="I18" s="16">
        <f>G18*H18</f>
        <v>1.3333333333333334E-4</v>
      </c>
      <c r="V18" s="138">
        <v>0</v>
      </c>
      <c r="W18" s="136">
        <f>-F4/(6*D21)</f>
        <v>-6250</v>
      </c>
      <c r="X18" s="136">
        <f>-(F4/D21+G4/I21)/3</f>
        <v>-25000</v>
      </c>
      <c r="Y18" s="2"/>
      <c r="Z18" s="123">
        <v>-2.8571428571428573E-6</v>
      </c>
      <c r="AA18" s="123">
        <v>1.1428571428571429E-5</v>
      </c>
      <c r="AB18" s="123">
        <v>-4.2857142857142856E-5</v>
      </c>
      <c r="AC18" s="2"/>
      <c r="AD18" s="2"/>
      <c r="AE18" s="124">
        <f>AD22</f>
        <v>-273437.5</v>
      </c>
      <c r="AF18" s="2"/>
      <c r="AG18" s="2"/>
      <c r="AH18" s="123">
        <f>C4</f>
        <v>0</v>
      </c>
      <c r="AI18" s="123">
        <f>AI17</f>
        <v>10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 t="s">
        <v>95</v>
      </c>
      <c r="X19" s="3"/>
      <c r="Y19" s="3"/>
      <c r="Z19" s="3"/>
      <c r="AA19" s="3" t="s">
        <v>96</v>
      </c>
      <c r="AB19" s="3"/>
      <c r="AC19" s="3"/>
      <c r="AD19" s="3"/>
      <c r="AE19" s="3" t="s">
        <v>97</v>
      </c>
      <c r="AF19" s="2"/>
      <c r="AG19" s="2"/>
      <c r="AH19" s="123">
        <f>AH18</f>
        <v>0</v>
      </c>
      <c r="AI19" s="123">
        <f>AI18+C7</f>
        <v>10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3.5" x14ac:dyDescent="0.25">
      <c r="A20" s="17" t="s">
        <v>88</v>
      </c>
      <c r="B20" s="16" t="s">
        <v>89</v>
      </c>
      <c r="C20" s="16" t="s">
        <v>90</v>
      </c>
      <c r="D20" s="16" t="s">
        <v>91</v>
      </c>
      <c r="F20" s="17" t="s">
        <v>108</v>
      </c>
      <c r="G20" s="16" t="s">
        <v>109</v>
      </c>
      <c r="H20" s="16" t="s">
        <v>110</v>
      </c>
      <c r="I20" s="16" t="s">
        <v>111</v>
      </c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10</v>
      </c>
      <c r="AJ20" s="2"/>
      <c r="AK20" s="8">
        <f>AK19</f>
        <v>5</v>
      </c>
      <c r="AL20" s="8">
        <f>AE59</f>
        <v>-9.375</v>
      </c>
      <c r="AM20" s="2"/>
      <c r="AN20" s="22"/>
    </row>
    <row r="21" spans="1:46" s="46" customFormat="1" x14ac:dyDescent="0.2">
      <c r="A21" s="1"/>
      <c r="B21" s="16">
        <f>'CCCC-Trave'!B80</f>
        <v>1</v>
      </c>
      <c r="C21" s="16">
        <f>'CCCC-Trave'!C80</f>
        <v>1.3333333333333334E-4</v>
      </c>
      <c r="D21" s="16">
        <f>B21*C21</f>
        <v>1.3333333333333334E-4</v>
      </c>
      <c r="G21" s="16">
        <f>'CCCC-Trave'!G80</f>
        <v>1</v>
      </c>
      <c r="H21" s="16">
        <f>'CCCC-Trave'!H80</f>
        <v>1.3333333333333334E-4</v>
      </c>
      <c r="I21" s="16">
        <f>G21*H21</f>
        <v>1.3333333333333334E-4</v>
      </c>
      <c r="V21" s="24" t="s">
        <v>7</v>
      </c>
      <c r="W21" s="8">
        <f t="array" ref="W21:W23">MMULT(matCinv,matN)</f>
        <v>9.375</v>
      </c>
      <c r="X21" s="2"/>
      <c r="Y21" s="123" t="s">
        <v>12</v>
      </c>
      <c r="Z21" s="123">
        <f>C7*C4^2/2</f>
        <v>0</v>
      </c>
      <c r="AA21" s="2"/>
      <c r="AB21" s="123" t="s">
        <v>79</v>
      </c>
      <c r="AC21" s="123" t="s">
        <v>98</v>
      </c>
      <c r="AD21" s="123" t="s">
        <v>115</v>
      </c>
      <c r="AE21" s="2"/>
      <c r="AF21" s="2"/>
      <c r="AG21" s="2"/>
      <c r="AH21" s="123">
        <v>0</v>
      </c>
      <c r="AI21" s="123">
        <f>AI17</f>
        <v>10</v>
      </c>
      <c r="AJ21" s="2"/>
      <c r="AK21" s="8">
        <f>AK57</f>
        <v>10</v>
      </c>
      <c r="AL21" s="8">
        <v>0</v>
      </c>
      <c r="AM21" s="2"/>
      <c r="AN21" s="22"/>
    </row>
    <row r="22" spans="1:46" x14ac:dyDescent="0.2">
      <c r="V22" s="24" t="s">
        <v>80</v>
      </c>
      <c r="W22" s="8">
        <v>6.25</v>
      </c>
      <c r="X22" s="2"/>
      <c r="Y22" s="123" t="s">
        <v>116</v>
      </c>
      <c r="Z22" s="123">
        <f>H7*H4^2/2</f>
        <v>0</v>
      </c>
      <c r="AA22" s="2"/>
      <c r="AB22" s="124">
        <f>(C7*C4^2/2)*D4/(6*D18)-D7*D4^3/(24*D18)-E7*E4^3/(24*I18)</f>
        <v>-273437.5</v>
      </c>
      <c r="AC22" s="124">
        <f>-E7*E4^3/(24*I18)-F7*F4^3/(24*D21)</f>
        <v>-273437.5</v>
      </c>
      <c r="AD22" s="124">
        <f>-F7*F4^3/(24*D21)-G7*G4^3/(24*I21)+(H7*H4^2/2)*G4/(6*I21)</f>
        <v>-273437.5</v>
      </c>
      <c r="AE22" s="2"/>
      <c r="AF22" s="2"/>
      <c r="AG22" s="2"/>
      <c r="AH22" s="2"/>
      <c r="AI22" s="2"/>
      <c r="AJ22" s="2"/>
      <c r="AK22" s="8">
        <f>AK21</f>
        <v>10</v>
      </c>
      <c r="AL22" s="8">
        <f>AE68</f>
        <v>-6.25</v>
      </c>
      <c r="AM22" s="2"/>
      <c r="AN22" s="22"/>
    </row>
    <row r="23" spans="1:46" x14ac:dyDescent="0.2">
      <c r="V23" s="24" t="s">
        <v>99</v>
      </c>
      <c r="W23" s="8">
        <v>9.375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8">
        <f>AK58</f>
        <v>15</v>
      </c>
      <c r="AL23" s="8">
        <v>0</v>
      </c>
      <c r="AM23" s="2"/>
      <c r="AN23" s="22"/>
    </row>
    <row r="24" spans="1:46" x14ac:dyDescent="0.2">
      <c r="V24" s="24"/>
      <c r="W24" s="3" t="s">
        <v>100</v>
      </c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C4</f>
        <v>0</v>
      </c>
      <c r="AI24" s="123">
        <f>AI17</f>
        <v>10</v>
      </c>
      <c r="AJ24" s="2"/>
      <c r="AK24" s="8">
        <f>AK23</f>
        <v>15</v>
      </c>
      <c r="AL24" s="8">
        <f>AE77</f>
        <v>-9.375</v>
      </c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10</v>
      </c>
      <c r="AJ25" s="2"/>
      <c r="AK25" s="8">
        <f>AK59</f>
        <v>20</v>
      </c>
      <c r="AL25" s="8">
        <v>0</v>
      </c>
      <c r="AM25" s="2"/>
      <c r="AN25" s="22"/>
    </row>
    <row r="26" spans="1:46" x14ac:dyDescent="0.2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AI25+D7</f>
        <v>15</v>
      </c>
      <c r="AJ26" s="3"/>
      <c r="AK26" s="8">
        <f>AK25</f>
        <v>20</v>
      </c>
      <c r="AL26" s="8">
        <f>AE86</f>
        <v>0</v>
      </c>
      <c r="AM26" s="2"/>
      <c r="AN26" s="22"/>
    </row>
    <row r="27" spans="1:46" x14ac:dyDescent="0.2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123" t="s">
        <v>92</v>
      </c>
      <c r="AC27" s="123" t="s">
        <v>93</v>
      </c>
      <c r="AD27" s="123" t="s">
        <v>112</v>
      </c>
      <c r="AE27" s="123" t="s">
        <v>113</v>
      </c>
      <c r="AF27" s="3"/>
      <c r="AG27" s="3"/>
      <c r="AH27" s="123">
        <f>AH24</f>
        <v>0</v>
      </c>
      <c r="AI27" s="123">
        <f>AI26</f>
        <v>15</v>
      </c>
      <c r="AJ27" s="3"/>
      <c r="AK27" s="8">
        <f>AK60</f>
        <v>20</v>
      </c>
      <c r="AL27" s="8">
        <v>0</v>
      </c>
      <c r="AM27" s="2"/>
      <c r="AN27" s="22"/>
    </row>
    <row r="28" spans="1:46" x14ac:dyDescent="0.2">
      <c r="V28" s="126">
        <f>C7*C4</f>
        <v>0</v>
      </c>
      <c r="W28" s="8">
        <f>D7*D4-X28</f>
        <v>10.625</v>
      </c>
      <c r="X28" s="8">
        <f>(W21-Z21+D7*D4^2/2)/D4</f>
        <v>14.375</v>
      </c>
      <c r="Y28" s="8">
        <f>E7*E4-Z28</f>
        <v>5.625</v>
      </c>
      <c r="Z28" s="8">
        <f>(W22-W21+E7*E4^2/2)/E4</f>
        <v>4.375</v>
      </c>
      <c r="AA28" s="8">
        <f>F7*F4-AB28</f>
        <v>11.875</v>
      </c>
      <c r="AB28" s="8">
        <f>(W23-W22+F7*F4^2/2)/F4</f>
        <v>13.125</v>
      </c>
      <c r="AC28" s="8">
        <f>G7*G4-AD28</f>
        <v>6.875</v>
      </c>
      <c r="AD28" s="8">
        <f>(Z22-W23+G7*G4^2/2)/G4</f>
        <v>3.125</v>
      </c>
      <c r="AE28" s="8">
        <f>H7*H4</f>
        <v>0</v>
      </c>
      <c r="AF28" s="3"/>
      <c r="AG28" s="3"/>
      <c r="AH28" s="123">
        <f>AH24</f>
        <v>0</v>
      </c>
      <c r="AI28" s="123">
        <f>AI24</f>
        <v>10</v>
      </c>
      <c r="AJ28" s="3"/>
      <c r="AK28" s="8">
        <f>AK27</f>
        <v>20</v>
      </c>
      <c r="AL28" s="8">
        <f>AE90</f>
        <v>0</v>
      </c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">
      <c r="V31" s="23"/>
      <c r="W31" s="2"/>
      <c r="X31" s="123" t="s">
        <v>0</v>
      </c>
      <c r="Y31" s="123" t="s">
        <v>1</v>
      </c>
      <c r="Z31" s="123" t="s">
        <v>78</v>
      </c>
      <c r="AA31" s="123" t="s">
        <v>94</v>
      </c>
      <c r="AB31" s="123" t="s">
        <v>114</v>
      </c>
      <c r="AC31" s="2"/>
      <c r="AD31" s="2"/>
      <c r="AE31" s="2"/>
      <c r="AF31" s="2"/>
      <c r="AG31" s="2"/>
      <c r="AH31" s="8">
        <f>AK56</f>
        <v>5</v>
      </c>
      <c r="AI31" s="123">
        <f>AI17</f>
        <v>10</v>
      </c>
      <c r="AJ31" s="2"/>
      <c r="AK31" s="2" t="s">
        <v>21</v>
      </c>
      <c r="AL31" s="2"/>
      <c r="AM31" s="2"/>
      <c r="AN31" s="22"/>
    </row>
    <row r="32" spans="1:46" x14ac:dyDescent="0.2">
      <c r="V32" s="23"/>
      <c r="W32" s="2"/>
      <c r="X32" s="8">
        <f>V28+W28</f>
        <v>10.625</v>
      </c>
      <c r="Y32" s="8">
        <f>X28+Y28</f>
        <v>20</v>
      </c>
      <c r="Z32" s="8">
        <f>Z28+AA28</f>
        <v>16.25</v>
      </c>
      <c r="AA32" s="8">
        <f>AB28+AC28</f>
        <v>20</v>
      </c>
      <c r="AB32" s="8">
        <f>AD28+AE28</f>
        <v>3.125</v>
      </c>
      <c r="AC32" s="2"/>
      <c r="AD32" s="2"/>
      <c r="AE32" s="2"/>
      <c r="AF32" s="2"/>
      <c r="AG32" s="2"/>
      <c r="AH32" s="8">
        <f>AK57</f>
        <v>10</v>
      </c>
      <c r="AI32" s="123">
        <f>AI31</f>
        <v>10</v>
      </c>
      <c r="AJ32" s="2"/>
      <c r="AK32" s="195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10</v>
      </c>
      <c r="AI33" s="123">
        <f>AI32+E7</f>
        <v>12</v>
      </c>
      <c r="AJ33" s="2"/>
      <c r="AK33" s="196" t="s">
        <v>23</v>
      </c>
      <c r="AL33" s="8">
        <f>W28/D7</f>
        <v>2.125</v>
      </c>
      <c r="AM33" s="8">
        <f>C4+AL33</f>
        <v>2.125</v>
      </c>
      <c r="AN33" s="129">
        <f>W28*AL33-D7*AL33^2/2+AE50</f>
        <v>11.2890625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12</v>
      </c>
      <c r="AJ34" s="2"/>
      <c r="AK34" s="197" t="s">
        <v>82</v>
      </c>
      <c r="AL34" s="8">
        <f>Y28/E7</f>
        <v>2.8125</v>
      </c>
      <c r="AM34" s="8">
        <f>C4+D4+AL34</f>
        <v>7.8125</v>
      </c>
      <c r="AN34" s="129">
        <f>Y28*AL34-E7*AL34^2/2+AE59</f>
        <v>-1.46484375</v>
      </c>
    </row>
    <row r="35" spans="22:40" x14ac:dyDescent="0.2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10</v>
      </c>
      <c r="AJ35" s="2"/>
      <c r="AK35" s="197" t="s">
        <v>101</v>
      </c>
      <c r="AL35" s="8">
        <f>AA28/F7</f>
        <v>2.375</v>
      </c>
      <c r="AM35" s="8">
        <f>C4+D4+E4+AL35</f>
        <v>12.375</v>
      </c>
      <c r="AN35" s="129">
        <f>AA28*AL35-F7*AL35^2/2+AE68</f>
        <v>7.8515625</v>
      </c>
    </row>
    <row r="36" spans="22:40" x14ac:dyDescent="0.2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10</v>
      </c>
      <c r="AC36" s="132">
        <v>0</v>
      </c>
      <c r="AD36" s="2"/>
      <c r="AE36" s="2"/>
      <c r="AF36" s="2"/>
      <c r="AG36" s="2"/>
      <c r="AH36" s="2"/>
      <c r="AI36" s="2"/>
      <c r="AJ36" s="2"/>
      <c r="AK36" s="130" t="s">
        <v>117</v>
      </c>
      <c r="AL36" s="8">
        <f>AC28/G7</f>
        <v>3.4375</v>
      </c>
      <c r="AM36" s="8">
        <f>C4+D4+E4+F4+AL36</f>
        <v>18.4375</v>
      </c>
      <c r="AN36" s="129">
        <f>AC28*AL36-G7*AL36^2/2+AE77</f>
        <v>2.44140625</v>
      </c>
    </row>
    <row r="37" spans="22:40" x14ac:dyDescent="0.2">
      <c r="V37" s="131">
        <f>V36</f>
        <v>0</v>
      </c>
      <c r="W37" s="133">
        <f>-X32</f>
        <v>-10.625</v>
      </c>
      <c r="X37" s="2"/>
      <c r="Y37" s="133">
        <f>Y36</f>
        <v>5</v>
      </c>
      <c r="Z37" s="133">
        <f>-Y32</f>
        <v>-20</v>
      </c>
      <c r="AA37" s="2"/>
      <c r="AB37" s="133">
        <f>AB36</f>
        <v>10</v>
      </c>
      <c r="AC37" s="133">
        <f>-Z32</f>
        <v>-16.25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10</v>
      </c>
      <c r="AI38" s="123">
        <f>AI17</f>
        <v>10</v>
      </c>
      <c r="AJ38" s="3"/>
      <c r="AK38" s="3"/>
      <c r="AL38" s="3"/>
      <c r="AM38" s="3"/>
      <c r="AN38" s="25"/>
    </row>
    <row r="39" spans="22:40" x14ac:dyDescent="0.2">
      <c r="V39" s="23" t="s">
        <v>103</v>
      </c>
      <c r="W39" s="2"/>
      <c r="X39" s="3"/>
      <c r="Y39" s="2" t="s">
        <v>118</v>
      </c>
      <c r="Z39" s="2"/>
      <c r="AA39" s="3"/>
      <c r="AB39" s="3"/>
      <c r="AC39" s="3"/>
      <c r="AD39" s="3"/>
      <c r="AE39" s="3"/>
      <c r="AF39" s="3"/>
      <c r="AG39" s="3"/>
      <c r="AH39" s="8">
        <f>AK58</f>
        <v>15</v>
      </c>
      <c r="AI39" s="123">
        <f>AI38</f>
        <v>10</v>
      </c>
      <c r="AJ39" s="3"/>
      <c r="AK39" s="2" t="s">
        <v>27</v>
      </c>
      <c r="AL39" s="2"/>
      <c r="AM39" s="3"/>
      <c r="AN39" s="25"/>
    </row>
    <row r="40" spans="22:40" x14ac:dyDescent="0.2">
      <c r="V40" s="131">
        <f>AK58</f>
        <v>15</v>
      </c>
      <c r="W40" s="132">
        <v>0</v>
      </c>
      <c r="X40" s="2"/>
      <c r="Y40" s="133">
        <f>AK59</f>
        <v>20</v>
      </c>
      <c r="Z40" s="132">
        <v>0</v>
      </c>
      <c r="AA40" s="2"/>
      <c r="AB40" s="2"/>
      <c r="AC40" s="2"/>
      <c r="AD40" s="2"/>
      <c r="AE40" s="2"/>
      <c r="AF40" s="2"/>
      <c r="AG40" s="2"/>
      <c r="AH40" s="8">
        <f>AH39</f>
        <v>15</v>
      </c>
      <c r="AI40" s="123">
        <f>AI39+F7</f>
        <v>15</v>
      </c>
      <c r="AJ40" s="2"/>
      <c r="AK40" s="8">
        <f>AM33</f>
        <v>2.125</v>
      </c>
      <c r="AL40" s="123">
        <v>0</v>
      </c>
      <c r="AM40" s="2"/>
      <c r="AN40" s="22"/>
    </row>
    <row r="41" spans="22:40" x14ac:dyDescent="0.2">
      <c r="V41" s="131">
        <f>V40</f>
        <v>15</v>
      </c>
      <c r="W41" s="133">
        <f>-AA32</f>
        <v>-20</v>
      </c>
      <c r="X41" s="2"/>
      <c r="Y41" s="133">
        <f>Y40</f>
        <v>20</v>
      </c>
      <c r="Z41" s="133">
        <f>-AB32</f>
        <v>-3.125</v>
      </c>
      <c r="AA41" s="2"/>
      <c r="AB41" s="2"/>
      <c r="AC41" s="2"/>
      <c r="AD41" s="2"/>
      <c r="AE41" s="2"/>
      <c r="AF41" s="2"/>
      <c r="AG41" s="2"/>
      <c r="AH41" s="8">
        <f>AH38</f>
        <v>10</v>
      </c>
      <c r="AI41" s="123">
        <f>AI40</f>
        <v>15</v>
      </c>
      <c r="AJ41" s="2"/>
      <c r="AK41" s="8">
        <f>AK40</f>
        <v>2.125</v>
      </c>
      <c r="AL41" s="8">
        <f>AN33</f>
        <v>11.2890625</v>
      </c>
      <c r="AM41" s="2"/>
      <c r="AN41" s="22"/>
    </row>
    <row r="42" spans="22:40" x14ac:dyDescent="0.2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10</v>
      </c>
      <c r="AI42" s="123">
        <f>AI38</f>
        <v>10</v>
      </c>
      <c r="AJ42" s="2"/>
      <c r="AK42" s="8">
        <f>AM34</f>
        <v>7.8125</v>
      </c>
      <c r="AL42" s="123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7.8125</v>
      </c>
      <c r="AL43" s="8">
        <f>AN34</f>
        <v>-1.46484375</v>
      </c>
      <c r="AM43" s="2"/>
      <c r="AN43" s="22"/>
    </row>
    <row r="44" spans="22:40" x14ac:dyDescent="0.2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119</v>
      </c>
      <c r="AI44" s="3"/>
      <c r="AJ44" s="2"/>
      <c r="AK44" s="8">
        <f>AM35</f>
        <v>12.375</v>
      </c>
      <c r="AL44" s="123">
        <v>0</v>
      </c>
      <c r="AM44" s="2"/>
      <c r="AN44" s="22"/>
    </row>
    <row r="45" spans="22:40" x14ac:dyDescent="0.2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8">
        <f>AK58</f>
        <v>15</v>
      </c>
      <c r="AI45" s="123">
        <f>AI17</f>
        <v>10</v>
      </c>
      <c r="AJ45" s="2"/>
      <c r="AK45" s="8">
        <f>AK44</f>
        <v>12.375</v>
      </c>
      <c r="AL45" s="8">
        <f>AN35</f>
        <v>7.8515625</v>
      </c>
      <c r="AM45" s="2"/>
      <c r="AN45" s="22"/>
    </row>
    <row r="46" spans="22:40" x14ac:dyDescent="0.2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6" t="s">
        <v>2</v>
      </c>
      <c r="AE46" s="136" t="s">
        <v>3</v>
      </c>
      <c r="AF46" s="136" t="s">
        <v>4</v>
      </c>
      <c r="AG46" s="2"/>
      <c r="AH46" s="8">
        <f>AK59</f>
        <v>20</v>
      </c>
      <c r="AI46" s="123">
        <f>AI45</f>
        <v>10</v>
      </c>
      <c r="AJ46" s="2"/>
      <c r="AK46" s="8">
        <f>AM36</f>
        <v>18.4375</v>
      </c>
      <c r="AL46" s="123">
        <v>0</v>
      </c>
      <c r="AM46" s="2"/>
      <c r="AN46" s="22"/>
    </row>
    <row r="47" spans="22:40" x14ac:dyDescent="0.2">
      <c r="V47" s="26">
        <v>0</v>
      </c>
      <c r="W47" s="7">
        <f>-$C$7*V47^2/2</f>
        <v>0</v>
      </c>
      <c r="X47" s="7">
        <f>-$C$7*V47</f>
        <v>0</v>
      </c>
      <c r="Y47" s="2"/>
      <c r="Z47" s="10">
        <v>0</v>
      </c>
      <c r="AA47" s="10">
        <f t="shared" ref="AA47:AA55" si="0">-$Z$21-$D$7*Z47^2/2+$W$28*Z47</f>
        <v>0</v>
      </c>
      <c r="AB47" s="10">
        <f t="shared" ref="AB47:AB55" si="1">-$D$7*Z47+$W$28</f>
        <v>10.625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8">
        <f>AH46</f>
        <v>20</v>
      </c>
      <c r="AI47" s="123">
        <f>AI46+G7</f>
        <v>12</v>
      </c>
      <c r="AJ47" s="2"/>
      <c r="AK47" s="8">
        <f>AK46</f>
        <v>18.4375</v>
      </c>
      <c r="AL47" s="8">
        <f>AN36</f>
        <v>2.44140625</v>
      </c>
      <c r="AM47" s="2"/>
      <c r="AN47" s="22"/>
    </row>
    <row r="48" spans="22:40" x14ac:dyDescent="0.2">
      <c r="V48" s="26">
        <f>$C$4/3</f>
        <v>0</v>
      </c>
      <c r="W48" s="7">
        <f>-$C$7*V48^2/2</f>
        <v>0</v>
      </c>
      <c r="X48" s="7">
        <f>-$C$7*V48</f>
        <v>0</v>
      </c>
      <c r="Y48" s="2"/>
      <c r="Z48" s="10">
        <f>$D$4/8</f>
        <v>0.625</v>
      </c>
      <c r="AA48" s="10">
        <f t="shared" si="0"/>
        <v>5.6640625</v>
      </c>
      <c r="AB48" s="10">
        <f t="shared" si="1"/>
        <v>7.5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8">
        <f>AH45</f>
        <v>15</v>
      </c>
      <c r="AI48" s="123">
        <f>AI47</f>
        <v>12</v>
      </c>
      <c r="AJ48" s="2"/>
      <c r="AK48" s="2"/>
      <c r="AL48" s="2"/>
      <c r="AM48" s="2"/>
      <c r="AN48" s="22"/>
    </row>
    <row r="49" spans="13:40" x14ac:dyDescent="0.2">
      <c r="V49" s="26">
        <f>2*$C$4/3</f>
        <v>0</v>
      </c>
      <c r="W49" s="7">
        <f>-$C$7*V49^2/2</f>
        <v>0</v>
      </c>
      <c r="X49" s="7">
        <f>-$C$7*V49</f>
        <v>0</v>
      </c>
      <c r="Y49" s="2"/>
      <c r="Z49" s="10">
        <f>2*$D$4/8</f>
        <v>1.25</v>
      </c>
      <c r="AA49" s="10">
        <f t="shared" si="0"/>
        <v>9.375</v>
      </c>
      <c r="AB49" s="10">
        <f t="shared" si="1"/>
        <v>4.375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8">
        <f>AH45</f>
        <v>15</v>
      </c>
      <c r="AI49" s="123">
        <f>AI45</f>
        <v>10</v>
      </c>
      <c r="AJ49" s="2"/>
      <c r="AK49" s="2"/>
      <c r="AL49" s="2"/>
      <c r="AM49" s="2"/>
      <c r="AN49" s="22"/>
    </row>
    <row r="50" spans="13:40" x14ac:dyDescent="0.2">
      <c r="V50" s="26">
        <f>3*$C$4/3</f>
        <v>0</v>
      </c>
      <c r="W50" s="7">
        <f>-$C$7*V50^2/2</f>
        <v>0</v>
      </c>
      <c r="X50" s="7">
        <f>-$C$7*V50</f>
        <v>0</v>
      </c>
      <c r="Y50" s="2"/>
      <c r="Z50" s="10">
        <f>3*$D$4/8</f>
        <v>1.875</v>
      </c>
      <c r="AA50" s="10">
        <f t="shared" si="0"/>
        <v>11.1328125</v>
      </c>
      <c r="AB50" s="10">
        <f t="shared" si="1"/>
        <v>1.25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198"/>
      <c r="W51" s="122"/>
      <c r="X51" s="122"/>
      <c r="Y51" s="2"/>
      <c r="Z51" s="10">
        <f>4*$D$4/8</f>
        <v>2.5</v>
      </c>
      <c r="AA51" s="10">
        <f t="shared" si="0"/>
        <v>10.9375</v>
      </c>
      <c r="AB51" s="10">
        <f t="shared" si="1"/>
        <v>-1.875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10.625</v>
      </c>
      <c r="AG51" s="2"/>
      <c r="AH51" s="3" t="s">
        <v>18</v>
      </c>
      <c r="AI51" s="3"/>
      <c r="AJ51" s="2"/>
      <c r="AK51" s="2"/>
      <c r="AL51" s="2"/>
      <c r="AM51" s="2"/>
      <c r="AN51" s="22"/>
    </row>
    <row r="52" spans="13:40" x14ac:dyDescent="0.2">
      <c r="V52" s="24"/>
      <c r="W52" s="3"/>
      <c r="X52" s="3"/>
      <c r="Y52" s="2"/>
      <c r="Z52" s="10">
        <f>5*$D$4/8</f>
        <v>3.125</v>
      </c>
      <c r="AA52" s="10">
        <f t="shared" si="0"/>
        <v>8.7890625</v>
      </c>
      <c r="AB52" s="10">
        <f t="shared" si="1"/>
        <v>-5</v>
      </c>
      <c r="AC52" s="3"/>
      <c r="AD52" s="10">
        <f t="shared" si="3"/>
        <v>0.625</v>
      </c>
      <c r="AE52" s="10">
        <f t="shared" si="4"/>
        <v>5.6640625</v>
      </c>
      <c r="AF52" s="10">
        <f t="shared" si="4"/>
        <v>7.5</v>
      </c>
      <c r="AG52" s="2"/>
      <c r="AH52" s="8">
        <f>AK59</f>
        <v>20</v>
      </c>
      <c r="AI52" s="123">
        <f>AI17</f>
        <v>10</v>
      </c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10">
        <f>6*$D$4/8</f>
        <v>3.75</v>
      </c>
      <c r="AA53" s="10">
        <f t="shared" si="0"/>
        <v>4.6875</v>
      </c>
      <c r="AB53" s="10">
        <f t="shared" si="1"/>
        <v>-8.125</v>
      </c>
      <c r="AC53" s="3"/>
      <c r="AD53" s="10">
        <f t="shared" si="3"/>
        <v>1.25</v>
      </c>
      <c r="AE53" s="10">
        <f t="shared" si="4"/>
        <v>9.375</v>
      </c>
      <c r="AF53" s="10">
        <f t="shared" si="4"/>
        <v>4.375</v>
      </c>
      <c r="AG53" s="2"/>
      <c r="AH53" s="8">
        <f>AK60</f>
        <v>20</v>
      </c>
      <c r="AI53" s="123">
        <f>AI52</f>
        <v>10</v>
      </c>
      <c r="AJ53" s="2"/>
      <c r="AK53" s="123" t="s">
        <v>2</v>
      </c>
      <c r="AL53" s="123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10">
        <f>7*$D$4/8</f>
        <v>4.375</v>
      </c>
      <c r="AA54" s="10">
        <f t="shared" si="0"/>
        <v>-1.3671875</v>
      </c>
      <c r="AB54" s="10">
        <f t="shared" si="1"/>
        <v>-11.25</v>
      </c>
      <c r="AC54" s="2"/>
      <c r="AD54" s="10">
        <f t="shared" si="3"/>
        <v>1.875</v>
      </c>
      <c r="AE54" s="10">
        <f t="shared" si="4"/>
        <v>11.1328125</v>
      </c>
      <c r="AF54" s="10">
        <f t="shared" si="4"/>
        <v>1.25</v>
      </c>
      <c r="AG54" s="2"/>
      <c r="AH54" s="8">
        <f>AH53</f>
        <v>20</v>
      </c>
      <c r="AI54" s="123">
        <f>AI53+H7</f>
        <v>10</v>
      </c>
      <c r="AJ54" s="2"/>
      <c r="AK54" s="8">
        <v>0</v>
      </c>
      <c r="AL54" s="123">
        <v>0</v>
      </c>
      <c r="AM54" s="2"/>
      <c r="AN54" s="22"/>
    </row>
    <row r="55" spans="13:40" x14ac:dyDescent="0.2">
      <c r="M55" s="2"/>
      <c r="N55" s="2"/>
      <c r="V55" s="24"/>
      <c r="W55" s="3"/>
      <c r="X55" s="3"/>
      <c r="Y55" s="2"/>
      <c r="Z55" s="10">
        <f>8*$D$4/8</f>
        <v>5</v>
      </c>
      <c r="AA55" s="10">
        <f t="shared" si="0"/>
        <v>-9.375</v>
      </c>
      <c r="AB55" s="10">
        <f t="shared" si="1"/>
        <v>-14.375</v>
      </c>
      <c r="AC55" s="2"/>
      <c r="AD55" s="10">
        <f t="shared" si="3"/>
        <v>2.5</v>
      </c>
      <c r="AE55" s="10">
        <f t="shared" si="4"/>
        <v>10.9375</v>
      </c>
      <c r="AF55" s="10">
        <f t="shared" si="4"/>
        <v>-1.875</v>
      </c>
      <c r="AG55" s="2"/>
      <c r="AH55" s="8">
        <f>AH52</f>
        <v>20</v>
      </c>
      <c r="AI55" s="123">
        <f>AI54</f>
        <v>10</v>
      </c>
      <c r="AJ55" s="2"/>
      <c r="AK55" s="8">
        <f>C4</f>
        <v>0</v>
      </c>
      <c r="AL55" s="123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8.7890625</v>
      </c>
      <c r="AF56" s="10">
        <f t="shared" si="4"/>
        <v>-5</v>
      </c>
      <c r="AG56" s="2"/>
      <c r="AH56" s="8">
        <f>AH52</f>
        <v>20</v>
      </c>
      <c r="AI56" s="123">
        <f>AI52</f>
        <v>10</v>
      </c>
      <c r="AJ56" s="2"/>
      <c r="AK56" s="8">
        <f>AK55+D4</f>
        <v>5</v>
      </c>
      <c r="AL56" s="123">
        <v>0</v>
      </c>
      <c r="AM56" s="2"/>
      <c r="AN56" s="22"/>
    </row>
    <row r="57" spans="13:40" x14ac:dyDescent="0.2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10">
        <f t="shared" si="3"/>
        <v>3.75</v>
      </c>
      <c r="AE57" s="10">
        <f t="shared" si="4"/>
        <v>4.6875</v>
      </c>
      <c r="AF57" s="10">
        <f t="shared" si="4"/>
        <v>-8.125</v>
      </c>
      <c r="AG57" s="2"/>
      <c r="AH57" s="2"/>
      <c r="AI57" s="2"/>
      <c r="AJ57" s="2"/>
      <c r="AK57" s="8">
        <f>AK56+E4</f>
        <v>10</v>
      </c>
      <c r="AL57" s="123">
        <v>0</v>
      </c>
      <c r="AM57" s="2"/>
      <c r="AN57" s="22"/>
    </row>
    <row r="58" spans="13:40" x14ac:dyDescent="0.2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-1.3671875</v>
      </c>
      <c r="AF58" s="10">
        <f t="shared" si="4"/>
        <v>-11.25</v>
      </c>
      <c r="AG58" s="2"/>
      <c r="AH58" s="2"/>
      <c r="AI58" s="2"/>
      <c r="AJ58" s="2"/>
      <c r="AK58" s="8">
        <f>AK57+F4</f>
        <v>15</v>
      </c>
      <c r="AL58" s="123">
        <v>0</v>
      </c>
      <c r="AM58" s="2"/>
      <c r="AN58" s="22"/>
    </row>
    <row r="59" spans="13:40" x14ac:dyDescent="0.2">
      <c r="V59" s="139">
        <v>0</v>
      </c>
      <c r="W59" s="140">
        <f t="shared" ref="W59:W67" si="5">-$W$21-$E$7*V59^2/2+$Y$28*V59</f>
        <v>-9.375</v>
      </c>
      <c r="X59" s="140">
        <f t="shared" ref="X59:X67" si="6">-$E$7*V59+$Y$28</f>
        <v>5.625</v>
      </c>
      <c r="Y59" s="2"/>
      <c r="Z59" s="172">
        <v>0</v>
      </c>
      <c r="AA59" s="172">
        <f t="shared" ref="AA59:AA67" si="7">-$W$22-$F$7*Z59^2/2+$AA$28*Z59</f>
        <v>-6.25</v>
      </c>
      <c r="AB59" s="172">
        <f t="shared" ref="AB59:AB67" si="8">-$F$7*Z59+$AA$28</f>
        <v>11.875</v>
      </c>
      <c r="AC59" s="2"/>
      <c r="AD59" s="10">
        <f t="shared" si="3"/>
        <v>5</v>
      </c>
      <c r="AE59" s="10">
        <f t="shared" si="4"/>
        <v>-9.375</v>
      </c>
      <c r="AF59" s="10">
        <f t="shared" si="4"/>
        <v>-14.375</v>
      </c>
      <c r="AG59" s="2"/>
      <c r="AH59" s="2"/>
      <c r="AI59" s="2"/>
      <c r="AJ59" s="2"/>
      <c r="AK59" s="8">
        <f>AK58+G4</f>
        <v>20</v>
      </c>
      <c r="AL59" s="123">
        <v>0</v>
      </c>
      <c r="AM59" s="2"/>
      <c r="AN59" s="22"/>
    </row>
    <row r="60" spans="13:40" x14ac:dyDescent="0.2">
      <c r="V60" s="139">
        <f>$E$4/8</f>
        <v>0.625</v>
      </c>
      <c r="W60" s="140">
        <f t="shared" si="5"/>
        <v>-6.25</v>
      </c>
      <c r="X60" s="140">
        <f t="shared" si="6"/>
        <v>4.375</v>
      </c>
      <c r="Y60" s="2"/>
      <c r="Z60" s="172">
        <f>$F$4/8</f>
        <v>0.625</v>
      </c>
      <c r="AA60" s="172">
        <f t="shared" si="7"/>
        <v>0.1953125</v>
      </c>
      <c r="AB60" s="172">
        <f t="shared" si="8"/>
        <v>8.75</v>
      </c>
      <c r="AC60" s="2"/>
      <c r="AD60" s="140">
        <f t="shared" ref="AD60:AD68" si="9">$AD$59+V59</f>
        <v>5</v>
      </c>
      <c r="AE60" s="140">
        <f t="shared" ref="AE60:AF68" si="10">W59</f>
        <v>-9.375</v>
      </c>
      <c r="AF60" s="140">
        <f t="shared" si="10"/>
        <v>5.625</v>
      </c>
      <c r="AG60" s="2"/>
      <c r="AH60" s="2"/>
      <c r="AI60" s="2"/>
      <c r="AJ60" s="2"/>
      <c r="AK60" s="8">
        <f>AK59+H4</f>
        <v>20</v>
      </c>
      <c r="AL60" s="123">
        <v>0</v>
      </c>
      <c r="AM60" s="2"/>
      <c r="AN60" s="22"/>
    </row>
    <row r="61" spans="13:40" x14ac:dyDescent="0.2">
      <c r="V61" s="139">
        <f>2*$E$4/8</f>
        <v>1.25</v>
      </c>
      <c r="W61" s="140">
        <f t="shared" si="5"/>
        <v>-3.90625</v>
      </c>
      <c r="X61" s="140">
        <f t="shared" si="6"/>
        <v>3.125</v>
      </c>
      <c r="Y61" s="2"/>
      <c r="Z61" s="172">
        <f>2*$F$4/8</f>
        <v>1.25</v>
      </c>
      <c r="AA61" s="172">
        <f t="shared" si="7"/>
        <v>4.6875</v>
      </c>
      <c r="AB61" s="172">
        <f t="shared" si="8"/>
        <v>5.625</v>
      </c>
      <c r="AC61" s="2"/>
      <c r="AD61" s="140">
        <f t="shared" si="9"/>
        <v>5.625</v>
      </c>
      <c r="AE61" s="140">
        <f t="shared" si="10"/>
        <v>-6.25</v>
      </c>
      <c r="AF61" s="140">
        <f t="shared" si="10"/>
        <v>4.375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3*$E$4/8</f>
        <v>1.875</v>
      </c>
      <c r="W62" s="140">
        <f t="shared" si="5"/>
        <v>-2.34375</v>
      </c>
      <c r="X62" s="140">
        <f t="shared" si="6"/>
        <v>1.875</v>
      </c>
      <c r="Y62" s="2"/>
      <c r="Z62" s="172">
        <f>3*$F$4/8</f>
        <v>1.875</v>
      </c>
      <c r="AA62" s="172">
        <f t="shared" si="7"/>
        <v>7.2265625</v>
      </c>
      <c r="AB62" s="172">
        <f t="shared" si="8"/>
        <v>2.5</v>
      </c>
      <c r="AC62" s="2"/>
      <c r="AD62" s="140">
        <f t="shared" si="9"/>
        <v>6.25</v>
      </c>
      <c r="AE62" s="140">
        <f t="shared" si="10"/>
        <v>-3.90625</v>
      </c>
      <c r="AF62" s="140">
        <f t="shared" si="10"/>
        <v>3.125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4*$E$4/8</f>
        <v>2.5</v>
      </c>
      <c r="W63" s="140">
        <f t="shared" si="5"/>
        <v>-1.5625</v>
      </c>
      <c r="X63" s="140">
        <f t="shared" si="6"/>
        <v>0.625</v>
      </c>
      <c r="Y63" s="2"/>
      <c r="Z63" s="172">
        <f>4*$F$4/8</f>
        <v>2.5</v>
      </c>
      <c r="AA63" s="172">
        <f t="shared" si="7"/>
        <v>7.8125</v>
      </c>
      <c r="AB63" s="172">
        <f t="shared" si="8"/>
        <v>-0.625</v>
      </c>
      <c r="AC63" s="2"/>
      <c r="AD63" s="140">
        <f t="shared" si="9"/>
        <v>6.875</v>
      </c>
      <c r="AE63" s="140">
        <f t="shared" si="10"/>
        <v>-2.34375</v>
      </c>
      <c r="AF63" s="140">
        <f t="shared" si="10"/>
        <v>1.875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5*$E$4/8</f>
        <v>3.125</v>
      </c>
      <c r="W64" s="140">
        <f t="shared" si="5"/>
        <v>-1.5625</v>
      </c>
      <c r="X64" s="140">
        <f t="shared" si="6"/>
        <v>-0.625</v>
      </c>
      <c r="Y64" s="2"/>
      <c r="Z64" s="172">
        <f>5*$F$4/8</f>
        <v>3.125</v>
      </c>
      <c r="AA64" s="172">
        <f t="shared" si="7"/>
        <v>6.4453125</v>
      </c>
      <c r="AB64" s="172">
        <f t="shared" si="8"/>
        <v>-3.75</v>
      </c>
      <c r="AC64" s="2"/>
      <c r="AD64" s="140">
        <f t="shared" si="9"/>
        <v>7.5</v>
      </c>
      <c r="AE64" s="140">
        <f t="shared" si="10"/>
        <v>-1.5625</v>
      </c>
      <c r="AF64" s="140">
        <f t="shared" si="10"/>
        <v>0.625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6*$E$4/8</f>
        <v>3.75</v>
      </c>
      <c r="W65" s="140">
        <f t="shared" si="5"/>
        <v>-2.34375</v>
      </c>
      <c r="X65" s="140">
        <f t="shared" si="6"/>
        <v>-1.875</v>
      </c>
      <c r="Y65" s="2"/>
      <c r="Z65" s="172">
        <f>6*$F$4/8</f>
        <v>3.75</v>
      </c>
      <c r="AA65" s="172">
        <f t="shared" si="7"/>
        <v>3.125</v>
      </c>
      <c r="AB65" s="172">
        <f t="shared" si="8"/>
        <v>-6.875</v>
      </c>
      <c r="AC65" s="2"/>
      <c r="AD65" s="140">
        <f t="shared" si="9"/>
        <v>8.125</v>
      </c>
      <c r="AE65" s="140">
        <f t="shared" si="10"/>
        <v>-1.5625</v>
      </c>
      <c r="AF65" s="140">
        <f t="shared" si="10"/>
        <v>-0.625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7*$E$4/8</f>
        <v>4.375</v>
      </c>
      <c r="W66" s="140">
        <f t="shared" si="5"/>
        <v>-3.90625</v>
      </c>
      <c r="X66" s="140">
        <f t="shared" si="6"/>
        <v>-3.125</v>
      </c>
      <c r="Y66" s="2"/>
      <c r="Z66" s="172">
        <f>7*$F$4/8</f>
        <v>4.375</v>
      </c>
      <c r="AA66" s="172">
        <f t="shared" si="7"/>
        <v>-2.1484375</v>
      </c>
      <c r="AB66" s="172">
        <f t="shared" si="8"/>
        <v>-10</v>
      </c>
      <c r="AC66" s="2"/>
      <c r="AD66" s="140">
        <f t="shared" si="9"/>
        <v>8.75</v>
      </c>
      <c r="AE66" s="140">
        <f t="shared" si="10"/>
        <v>-2.34375</v>
      </c>
      <c r="AF66" s="140">
        <f t="shared" si="10"/>
        <v>-1.875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">
      <c r="V67" s="139">
        <f>8*$E$4/8</f>
        <v>5</v>
      </c>
      <c r="W67" s="140">
        <f t="shared" si="5"/>
        <v>-6.25</v>
      </c>
      <c r="X67" s="140">
        <f t="shared" si="6"/>
        <v>-4.375</v>
      </c>
      <c r="Y67" s="2"/>
      <c r="Z67" s="172">
        <f>8*$F$4/8</f>
        <v>5</v>
      </c>
      <c r="AA67" s="172">
        <f t="shared" si="7"/>
        <v>-9.375</v>
      </c>
      <c r="AB67" s="172">
        <f t="shared" si="8"/>
        <v>-13.125</v>
      </c>
      <c r="AC67" s="2"/>
      <c r="AD67" s="140">
        <f t="shared" si="9"/>
        <v>9.375</v>
      </c>
      <c r="AE67" s="140">
        <f t="shared" si="10"/>
        <v>-3.90625</v>
      </c>
      <c r="AF67" s="140">
        <f t="shared" si="10"/>
        <v>-3.125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">
      <c r="V68" s="23"/>
      <c r="W68" s="2"/>
      <c r="X68" s="2"/>
      <c r="Y68" s="2"/>
      <c r="Z68" s="2"/>
      <c r="AA68" s="2"/>
      <c r="AB68" s="2"/>
      <c r="AC68" s="2"/>
      <c r="AD68" s="140">
        <f t="shared" si="9"/>
        <v>10</v>
      </c>
      <c r="AE68" s="140">
        <f t="shared" si="10"/>
        <v>-6.25</v>
      </c>
      <c r="AF68" s="140">
        <f t="shared" si="10"/>
        <v>-4.375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172">
        <f t="shared" ref="AD69:AD77" si="11">$AD$68+Z59</f>
        <v>10</v>
      </c>
      <c r="AE69" s="172">
        <f t="shared" ref="AE69:AF77" si="12">AA59</f>
        <v>-6.25</v>
      </c>
      <c r="AF69" s="172">
        <f t="shared" si="12"/>
        <v>11.875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">
      <c r="V70" s="23" t="s">
        <v>120</v>
      </c>
      <c r="W70" s="2"/>
      <c r="X70" s="2"/>
      <c r="Y70" s="2"/>
      <c r="Z70" s="2" t="s">
        <v>121</v>
      </c>
      <c r="AA70" s="2"/>
      <c r="AB70" s="2"/>
      <c r="AC70" s="2"/>
      <c r="AD70" s="172">
        <f t="shared" si="11"/>
        <v>10.625</v>
      </c>
      <c r="AE70" s="172">
        <f t="shared" si="12"/>
        <v>0.1953125</v>
      </c>
      <c r="AF70" s="172">
        <f t="shared" si="12"/>
        <v>8.75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138" t="s">
        <v>2</v>
      </c>
      <c r="W71" s="136" t="s">
        <v>3</v>
      </c>
      <c r="X71" s="123" t="s">
        <v>4</v>
      </c>
      <c r="Y71" s="2"/>
      <c r="Z71" s="136" t="s">
        <v>2</v>
      </c>
      <c r="AA71" s="136" t="s">
        <v>3</v>
      </c>
      <c r="AB71" s="123" t="s">
        <v>4</v>
      </c>
      <c r="AC71" s="2"/>
      <c r="AD71" s="172">
        <f t="shared" si="11"/>
        <v>11.25</v>
      </c>
      <c r="AE71" s="172">
        <f t="shared" si="12"/>
        <v>4.6875</v>
      </c>
      <c r="AF71" s="172">
        <f t="shared" si="12"/>
        <v>5.625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">
      <c r="V72" s="199">
        <v>0</v>
      </c>
      <c r="W72" s="200">
        <f t="shared" ref="W72:W80" si="13">-$W$23-$G$7*V72^2/2+$AC$28*V72</f>
        <v>-9.375</v>
      </c>
      <c r="X72" s="200">
        <f t="shared" ref="X72:X80" si="14">-$G$7*V72+$AC$28</f>
        <v>6.875</v>
      </c>
      <c r="Y72" s="2"/>
      <c r="Z72" s="8">
        <v>0</v>
      </c>
      <c r="AA72" s="8">
        <f>-$Z$22-$H$7*Z72^2/2+$AE$28*Z72</f>
        <v>0</v>
      </c>
      <c r="AB72" s="8">
        <f>-$H$7*Z72+$AE$28</f>
        <v>0</v>
      </c>
      <c r="AC72" s="2"/>
      <c r="AD72" s="172">
        <f t="shared" si="11"/>
        <v>11.875</v>
      </c>
      <c r="AE72" s="172">
        <f t="shared" si="12"/>
        <v>7.2265625</v>
      </c>
      <c r="AF72" s="172">
        <f t="shared" si="12"/>
        <v>2.5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">
      <c r="V73" s="199">
        <f>$G$4/8</f>
        <v>0.625</v>
      </c>
      <c r="W73" s="200">
        <f t="shared" si="13"/>
        <v>-5.46875</v>
      </c>
      <c r="X73" s="200">
        <f t="shared" si="14"/>
        <v>5.625</v>
      </c>
      <c r="Y73" s="2"/>
      <c r="Z73" s="8">
        <f>$H$4/3</f>
        <v>0</v>
      </c>
      <c r="AA73" s="8">
        <f>-$Z$22-$H$7*Z73^2/2+$AE$28*Z73</f>
        <v>0</v>
      </c>
      <c r="AB73" s="8">
        <f>-$H$7*Z73+$AE$28</f>
        <v>0</v>
      </c>
      <c r="AC73" s="2"/>
      <c r="AD73" s="172">
        <f t="shared" si="11"/>
        <v>12.5</v>
      </c>
      <c r="AE73" s="172">
        <f t="shared" si="12"/>
        <v>7.8125</v>
      </c>
      <c r="AF73" s="172">
        <f t="shared" si="12"/>
        <v>-0.625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">
      <c r="V74" s="199">
        <f>2*$G$4/8</f>
        <v>1.25</v>
      </c>
      <c r="W74" s="200">
        <f t="shared" si="13"/>
        <v>-2.34375</v>
      </c>
      <c r="X74" s="200">
        <f t="shared" si="14"/>
        <v>4.375</v>
      </c>
      <c r="Y74" s="2"/>
      <c r="Z74" s="8">
        <f>2*$H$4/3</f>
        <v>0</v>
      </c>
      <c r="AA74" s="8">
        <f>-$Z$22-$H$7*Z74^2/2+$AE$28*Z74</f>
        <v>0</v>
      </c>
      <c r="AB74" s="8">
        <f>-$H$7*Z74+$AE$28</f>
        <v>0</v>
      </c>
      <c r="AC74" s="2"/>
      <c r="AD74" s="172">
        <f t="shared" si="11"/>
        <v>13.125</v>
      </c>
      <c r="AE74" s="172">
        <f t="shared" si="12"/>
        <v>6.4453125</v>
      </c>
      <c r="AF74" s="172">
        <f t="shared" si="12"/>
        <v>-3.75</v>
      </c>
      <c r="AG74" s="2"/>
      <c r="AH74" s="2"/>
      <c r="AI74" s="2"/>
      <c r="AJ74" s="2"/>
      <c r="AK74" s="2"/>
      <c r="AL74" s="2"/>
      <c r="AM74" s="2"/>
      <c r="AN74" s="22"/>
    </row>
    <row r="75" spans="22:40" x14ac:dyDescent="0.2">
      <c r="V75" s="199">
        <f>3*$G$4/8</f>
        <v>1.875</v>
      </c>
      <c r="W75" s="200">
        <f t="shared" si="13"/>
        <v>0</v>
      </c>
      <c r="X75" s="200">
        <f t="shared" si="14"/>
        <v>3.125</v>
      </c>
      <c r="Y75" s="2"/>
      <c r="Z75" s="8">
        <f>3*$H$4/3</f>
        <v>0</v>
      </c>
      <c r="AA75" s="8">
        <f>-$Z$22-$H$7*Z75^2/2+$AE$28*Z75</f>
        <v>0</v>
      </c>
      <c r="AB75" s="8">
        <f>-$H$7*Z75+$AE$28</f>
        <v>0</v>
      </c>
      <c r="AC75" s="2"/>
      <c r="AD75" s="172">
        <f t="shared" si="11"/>
        <v>13.75</v>
      </c>
      <c r="AE75" s="172">
        <f t="shared" si="12"/>
        <v>3.125</v>
      </c>
      <c r="AF75" s="172">
        <f t="shared" si="12"/>
        <v>-6.875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">
      <c r="V76" s="199">
        <f>4*$G$4/8</f>
        <v>2.5</v>
      </c>
      <c r="W76" s="200">
        <f t="shared" si="13"/>
        <v>1.5625</v>
      </c>
      <c r="X76" s="200">
        <f t="shared" si="14"/>
        <v>1.875</v>
      </c>
      <c r="Y76" s="2"/>
      <c r="Z76" s="122"/>
      <c r="AA76" s="122"/>
      <c r="AB76" s="122"/>
      <c r="AC76" s="2"/>
      <c r="AD76" s="172">
        <f t="shared" si="11"/>
        <v>14.375</v>
      </c>
      <c r="AE76" s="172">
        <f t="shared" si="12"/>
        <v>-2.1484375</v>
      </c>
      <c r="AF76" s="172">
        <f t="shared" si="12"/>
        <v>-10</v>
      </c>
      <c r="AG76" s="2"/>
      <c r="AH76" s="2"/>
      <c r="AI76" s="2"/>
      <c r="AJ76" s="2"/>
      <c r="AK76" s="2"/>
      <c r="AL76" s="2"/>
      <c r="AM76" s="2"/>
      <c r="AN76" s="22"/>
    </row>
    <row r="77" spans="22:40" x14ac:dyDescent="0.2">
      <c r="V77" s="199">
        <f>5*$G$4/8</f>
        <v>3.125</v>
      </c>
      <c r="W77" s="200">
        <f t="shared" si="13"/>
        <v>2.34375</v>
      </c>
      <c r="X77" s="200">
        <f t="shared" si="14"/>
        <v>0.625</v>
      </c>
      <c r="Y77" s="2"/>
      <c r="Z77" s="3"/>
      <c r="AA77" s="3"/>
      <c r="AB77" s="3"/>
      <c r="AC77" s="2"/>
      <c r="AD77" s="172">
        <f t="shared" si="11"/>
        <v>15</v>
      </c>
      <c r="AE77" s="172">
        <f t="shared" si="12"/>
        <v>-9.375</v>
      </c>
      <c r="AF77" s="172">
        <f t="shared" si="12"/>
        <v>-13.125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">
      <c r="V78" s="199">
        <f>6*$G$4/8</f>
        <v>3.75</v>
      </c>
      <c r="W78" s="200">
        <f t="shared" si="13"/>
        <v>2.34375</v>
      </c>
      <c r="X78" s="200">
        <f t="shared" si="14"/>
        <v>-0.625</v>
      </c>
      <c r="Y78" s="2"/>
      <c r="Z78" s="3"/>
      <c r="AA78" s="3"/>
      <c r="AB78" s="3"/>
      <c r="AC78" s="2"/>
      <c r="AD78" s="200">
        <f t="shared" ref="AD78:AD86" si="15">$AD$77+V72</f>
        <v>15</v>
      </c>
      <c r="AE78" s="200">
        <f t="shared" ref="AE78:AF86" si="16">W72</f>
        <v>-9.375</v>
      </c>
      <c r="AF78" s="200">
        <f t="shared" si="16"/>
        <v>6.875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">
      <c r="V79" s="199">
        <f>7*$G$4/8</f>
        <v>4.375</v>
      </c>
      <c r="W79" s="200">
        <f t="shared" si="13"/>
        <v>1.5625</v>
      </c>
      <c r="X79" s="200">
        <f t="shared" si="14"/>
        <v>-1.875</v>
      </c>
      <c r="Y79" s="2"/>
      <c r="Z79" s="3"/>
      <c r="AA79" s="3"/>
      <c r="AB79" s="3"/>
      <c r="AC79" s="2"/>
      <c r="AD79" s="200">
        <f t="shared" si="15"/>
        <v>15.625</v>
      </c>
      <c r="AE79" s="200">
        <f t="shared" si="16"/>
        <v>-5.46875</v>
      </c>
      <c r="AF79" s="200">
        <f t="shared" si="16"/>
        <v>5.625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">
      <c r="V80" s="199">
        <f>8*$G$4/8</f>
        <v>5</v>
      </c>
      <c r="W80" s="200">
        <f t="shared" si="13"/>
        <v>0</v>
      </c>
      <c r="X80" s="200">
        <f t="shared" si="14"/>
        <v>-3.125</v>
      </c>
      <c r="Y80" s="2"/>
      <c r="Z80" s="3"/>
      <c r="AA80" s="3"/>
      <c r="AB80" s="3"/>
      <c r="AC80" s="2"/>
      <c r="AD80" s="200">
        <f t="shared" si="15"/>
        <v>16.25</v>
      </c>
      <c r="AE80" s="200">
        <f t="shared" si="16"/>
        <v>-2.34375</v>
      </c>
      <c r="AF80" s="200">
        <f t="shared" si="16"/>
        <v>4.375</v>
      </c>
      <c r="AG80" s="2"/>
      <c r="AH80" s="2"/>
      <c r="AI80" s="2"/>
      <c r="AJ80" s="2"/>
      <c r="AK80" s="2"/>
      <c r="AL80" s="2"/>
      <c r="AM80" s="2"/>
      <c r="AN80" s="22"/>
    </row>
    <row r="81" spans="5:40" x14ac:dyDescent="0.2">
      <c r="V81" s="23"/>
      <c r="W81" s="2"/>
      <c r="X81" s="2"/>
      <c r="Y81" s="2"/>
      <c r="Z81" s="2"/>
      <c r="AA81" s="2"/>
      <c r="AB81" s="2"/>
      <c r="AC81" s="2"/>
      <c r="AD81" s="200">
        <f t="shared" si="15"/>
        <v>16.875</v>
      </c>
      <c r="AE81" s="200">
        <f t="shared" si="16"/>
        <v>0</v>
      </c>
      <c r="AF81" s="200">
        <f t="shared" si="16"/>
        <v>3.125</v>
      </c>
      <c r="AG81" s="2"/>
      <c r="AH81" s="2"/>
      <c r="AI81" s="2"/>
      <c r="AJ81" s="2"/>
      <c r="AK81" s="2"/>
      <c r="AL81" s="2"/>
      <c r="AM81" s="2"/>
      <c r="AN81" s="22"/>
    </row>
    <row r="82" spans="5:40" x14ac:dyDescent="0.2">
      <c r="V82" s="23"/>
      <c r="W82" s="2"/>
      <c r="X82" s="2"/>
      <c r="Y82" s="2"/>
      <c r="Z82" s="2"/>
      <c r="AA82" s="2"/>
      <c r="AB82" s="2"/>
      <c r="AC82" s="2"/>
      <c r="AD82" s="200">
        <f t="shared" si="15"/>
        <v>17.5</v>
      </c>
      <c r="AE82" s="200">
        <f t="shared" si="16"/>
        <v>1.5625</v>
      </c>
      <c r="AF82" s="200">
        <f t="shared" si="16"/>
        <v>1.875</v>
      </c>
      <c r="AG82" s="2"/>
      <c r="AH82" s="2"/>
      <c r="AI82" s="2"/>
      <c r="AJ82" s="2"/>
      <c r="AK82" s="2"/>
      <c r="AL82" s="2"/>
      <c r="AM82" s="2"/>
      <c r="AN82" s="22"/>
    </row>
    <row r="83" spans="5:40" x14ac:dyDescent="0.2">
      <c r="V83" s="23"/>
      <c r="W83" s="2"/>
      <c r="X83" s="2"/>
      <c r="Y83" s="2"/>
      <c r="Z83" s="2"/>
      <c r="AA83" s="2"/>
      <c r="AB83" s="2"/>
      <c r="AC83" s="2"/>
      <c r="AD83" s="200">
        <f t="shared" si="15"/>
        <v>18.125</v>
      </c>
      <c r="AE83" s="200">
        <f t="shared" si="16"/>
        <v>2.34375</v>
      </c>
      <c r="AF83" s="200">
        <f t="shared" si="16"/>
        <v>0.625</v>
      </c>
      <c r="AG83" s="2"/>
      <c r="AH83" s="2"/>
      <c r="AI83" s="2"/>
      <c r="AJ83" s="2"/>
      <c r="AK83" s="2"/>
      <c r="AL83" s="2"/>
      <c r="AM83" s="2"/>
      <c r="AN83" s="22"/>
    </row>
    <row r="84" spans="5:40" x14ac:dyDescent="0.2">
      <c r="V84" s="23"/>
      <c r="W84" s="2"/>
      <c r="X84" s="2"/>
      <c r="Y84" s="2"/>
      <c r="Z84" s="2"/>
      <c r="AA84" s="2"/>
      <c r="AB84" s="2"/>
      <c r="AC84" s="2"/>
      <c r="AD84" s="200">
        <f t="shared" si="15"/>
        <v>18.75</v>
      </c>
      <c r="AE84" s="200">
        <f t="shared" si="16"/>
        <v>2.34375</v>
      </c>
      <c r="AF84" s="200">
        <f t="shared" si="16"/>
        <v>-0.625</v>
      </c>
      <c r="AG84" s="2"/>
      <c r="AH84" s="2"/>
      <c r="AI84" s="2"/>
      <c r="AJ84" s="2"/>
      <c r="AK84" s="2"/>
      <c r="AL84" s="2"/>
      <c r="AM84" s="2"/>
      <c r="AN84" s="22"/>
    </row>
    <row r="85" spans="5:40" x14ac:dyDescent="0.2">
      <c r="V85" s="23"/>
      <c r="W85" s="2"/>
      <c r="X85" s="2"/>
      <c r="Y85" s="2"/>
      <c r="Z85" s="2"/>
      <c r="AA85" s="2"/>
      <c r="AB85" s="2"/>
      <c r="AC85" s="2"/>
      <c r="AD85" s="200">
        <f t="shared" si="15"/>
        <v>19.375</v>
      </c>
      <c r="AE85" s="200">
        <f t="shared" si="16"/>
        <v>1.5625</v>
      </c>
      <c r="AF85" s="200">
        <f t="shared" si="16"/>
        <v>-1.875</v>
      </c>
      <c r="AG85" s="2"/>
      <c r="AH85" s="2"/>
      <c r="AI85" s="2"/>
      <c r="AJ85" s="2"/>
      <c r="AK85" s="2"/>
      <c r="AL85" s="2"/>
      <c r="AM85" s="2"/>
      <c r="AN85" s="22"/>
    </row>
    <row r="86" spans="5:40" x14ac:dyDescent="0.2">
      <c r="V86" s="23"/>
      <c r="W86" s="2"/>
      <c r="X86" s="2"/>
      <c r="Y86" s="2"/>
      <c r="Z86" s="2"/>
      <c r="AA86" s="2"/>
      <c r="AB86" s="2"/>
      <c r="AC86" s="2"/>
      <c r="AD86" s="200">
        <f t="shared" si="15"/>
        <v>20</v>
      </c>
      <c r="AE86" s="200">
        <f t="shared" si="16"/>
        <v>0</v>
      </c>
      <c r="AF86" s="200">
        <f t="shared" si="16"/>
        <v>-3.125</v>
      </c>
      <c r="AG86" s="2"/>
      <c r="AH86" s="2"/>
      <c r="AI86" s="2"/>
      <c r="AJ86" s="2"/>
      <c r="AK86" s="2"/>
      <c r="AL86" s="2"/>
      <c r="AM86" s="2"/>
      <c r="AN86" s="22"/>
    </row>
    <row r="87" spans="5:40" x14ac:dyDescent="0.2">
      <c r="V87" s="23"/>
      <c r="W87" s="2"/>
      <c r="X87" s="2"/>
      <c r="Y87" s="2"/>
      <c r="Z87" s="2"/>
      <c r="AA87" s="2"/>
      <c r="AB87" s="2"/>
      <c r="AC87" s="2"/>
      <c r="AD87" s="8">
        <f>$AD$86+Z72</f>
        <v>20</v>
      </c>
      <c r="AE87" s="8">
        <f t="shared" ref="AE87:AF90" si="17">AA72</f>
        <v>0</v>
      </c>
      <c r="AF87" s="8">
        <f t="shared" si="17"/>
        <v>0</v>
      </c>
      <c r="AG87" s="2"/>
      <c r="AH87" s="2"/>
      <c r="AI87" s="2"/>
      <c r="AJ87" s="2"/>
      <c r="AK87" s="2"/>
      <c r="AL87" s="2"/>
      <c r="AM87" s="2"/>
      <c r="AN87" s="22"/>
    </row>
    <row r="88" spans="5:40" x14ac:dyDescent="0.2">
      <c r="V88" s="23"/>
      <c r="W88" s="2"/>
      <c r="X88" s="2"/>
      <c r="Y88" s="2"/>
      <c r="Z88" s="2"/>
      <c r="AA88" s="2"/>
      <c r="AB88" s="2"/>
      <c r="AC88" s="2"/>
      <c r="AD88" s="8">
        <f>$AD$86+Z73</f>
        <v>20</v>
      </c>
      <c r="AE88" s="8">
        <f t="shared" si="17"/>
        <v>0</v>
      </c>
      <c r="AF88" s="8">
        <f t="shared" si="17"/>
        <v>0</v>
      </c>
      <c r="AG88" s="2"/>
      <c r="AH88" s="2"/>
      <c r="AI88" s="2"/>
      <c r="AJ88" s="2"/>
      <c r="AK88" s="2"/>
      <c r="AL88" s="2"/>
      <c r="AM88" s="2"/>
      <c r="AN88" s="22"/>
    </row>
    <row r="89" spans="5:40" x14ac:dyDescent="0.2">
      <c r="M89" s="2"/>
      <c r="N89" s="2"/>
      <c r="V89" s="23"/>
      <c r="W89" s="2"/>
      <c r="X89" s="2"/>
      <c r="Y89" s="2"/>
      <c r="Z89" s="2"/>
      <c r="AA89" s="2"/>
      <c r="AB89" s="2"/>
      <c r="AC89" s="2"/>
      <c r="AD89" s="8">
        <f>$AD$86+Z74</f>
        <v>20</v>
      </c>
      <c r="AE89" s="8">
        <f t="shared" si="17"/>
        <v>0</v>
      </c>
      <c r="AF89" s="8">
        <f t="shared" si="17"/>
        <v>0</v>
      </c>
      <c r="AG89" s="2"/>
      <c r="AH89" s="2"/>
      <c r="AI89" s="2"/>
      <c r="AJ89" s="2"/>
      <c r="AK89" s="2"/>
      <c r="AL89" s="2"/>
      <c r="AM89" s="2"/>
      <c r="AN89" s="22"/>
    </row>
    <row r="90" spans="5:40" ht="12.75" thickBot="1" x14ac:dyDescent="0.25">
      <c r="M90" s="11"/>
      <c r="N90" s="11"/>
      <c r="V90" s="189"/>
      <c r="W90" s="27"/>
      <c r="X90" s="27"/>
      <c r="Y90" s="27"/>
      <c r="Z90" s="27"/>
      <c r="AA90" s="27"/>
      <c r="AB90" s="27"/>
      <c r="AC90" s="27"/>
      <c r="AD90" s="143">
        <f>$AD$86+Z75</f>
        <v>20</v>
      </c>
      <c r="AE90" s="143">
        <f t="shared" si="17"/>
        <v>0</v>
      </c>
      <c r="AF90" s="143">
        <f t="shared" si="17"/>
        <v>0</v>
      </c>
      <c r="AG90" s="27"/>
      <c r="AH90" s="27"/>
      <c r="AI90" s="27"/>
      <c r="AJ90" s="27"/>
      <c r="AK90" s="27"/>
      <c r="AL90" s="27"/>
      <c r="AM90" s="27"/>
      <c r="AN90" s="28"/>
    </row>
    <row r="91" spans="5:40" ht="12.75" thickTop="1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25"/>
  <dimension ref="A1:AT100"/>
  <sheetViews>
    <sheetView zoomScale="85" zoomScaleNormal="85" workbookViewId="0">
      <selection activeCell="G21" sqref="G21"/>
    </sheetView>
  </sheetViews>
  <sheetFormatPr defaultColWidth="9.140625" defaultRowHeight="12" x14ac:dyDescent="0.2"/>
  <cols>
    <col min="1" max="16384" width="9.140625" style="1"/>
  </cols>
  <sheetData>
    <row r="1" spans="1:40" ht="15.75" customHeight="1" thickBot="1" x14ac:dyDescent="0.25">
      <c r="A1" s="334" t="s">
        <v>28</v>
      </c>
      <c r="B1" s="334"/>
      <c r="C1" s="334"/>
      <c r="D1" s="334"/>
      <c r="E1" s="334"/>
      <c r="F1" s="334"/>
      <c r="G1" s="334"/>
      <c r="H1" s="334"/>
      <c r="I1" s="334"/>
      <c r="J1" s="334"/>
      <c r="K1" s="2"/>
    </row>
    <row r="2" spans="1:40" ht="12.75" thickTop="1" x14ac:dyDescent="0.2">
      <c r="E2" s="12"/>
    </row>
    <row r="3" spans="1:40" ht="13.5" x14ac:dyDescent="0.2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106</v>
      </c>
      <c r="H3" s="13" t="s">
        <v>34</v>
      </c>
    </row>
    <row r="4" spans="1:40" x14ac:dyDescent="0.2">
      <c r="C4" s="14">
        <f>'CCCC-Trave'!C15</f>
        <v>0</v>
      </c>
      <c r="D4" s="14">
        <f>'CCCC-Trave'!D15</f>
        <v>5</v>
      </c>
      <c r="E4" s="14">
        <f>'CCCC-Trave'!E15</f>
        <v>5</v>
      </c>
      <c r="F4" s="14">
        <f>'CCCC-Trave'!F15</f>
        <v>5</v>
      </c>
      <c r="G4" s="14">
        <f>'CCCC-Trave'!G15</f>
        <v>5</v>
      </c>
      <c r="H4" s="14">
        <f>'CCCC-Trave'!H15</f>
        <v>0</v>
      </c>
    </row>
    <row r="6" spans="1:40" ht="13.5" x14ac:dyDescent="0.2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107</v>
      </c>
      <c r="H6" s="13" t="s">
        <v>37</v>
      </c>
    </row>
    <row r="7" spans="1:40" x14ac:dyDescent="0.2">
      <c r="B7" s="1" t="s">
        <v>43</v>
      </c>
      <c r="C7" s="14">
        <f>'CCCC-Trave'!C27</f>
        <v>0</v>
      </c>
      <c r="D7" s="14">
        <f>'CCCC-Trave'!D27</f>
        <v>2</v>
      </c>
      <c r="E7" s="14">
        <f>'CCCC-Trave'!E27</f>
        <v>5</v>
      </c>
      <c r="F7" s="14">
        <f>'CCCC-Trave'!F27</f>
        <v>2</v>
      </c>
      <c r="G7" s="14">
        <f>'CCCC-Trave'!G27</f>
        <v>5</v>
      </c>
      <c r="H7" s="14">
        <f>'CCCC-Trave'!H27</f>
        <v>0</v>
      </c>
    </row>
    <row r="8" spans="1:40" x14ac:dyDescent="0.2">
      <c r="C8" s="14"/>
      <c r="D8" s="14"/>
      <c r="E8" s="14"/>
      <c r="F8" s="14"/>
      <c r="G8" s="14"/>
      <c r="H8" s="14"/>
    </row>
    <row r="9" spans="1:40" x14ac:dyDescent="0.2">
      <c r="C9" s="14"/>
      <c r="D9" s="14"/>
      <c r="E9" s="14"/>
      <c r="F9" s="14"/>
      <c r="G9" s="14"/>
      <c r="H9" s="14"/>
    </row>
    <row r="10" spans="1:40" x14ac:dyDescent="0.2">
      <c r="C10" s="14"/>
      <c r="D10" s="14"/>
      <c r="E10" s="14"/>
      <c r="F10" s="14"/>
      <c r="G10" s="14"/>
      <c r="H10" s="14"/>
    </row>
    <row r="11" spans="1:40" x14ac:dyDescent="0.2">
      <c r="C11" s="14"/>
      <c r="D11" s="14"/>
      <c r="E11" s="14"/>
      <c r="F11" s="14"/>
      <c r="G11" s="14"/>
      <c r="H11" s="14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45" t="s">
        <v>31</v>
      </c>
      <c r="B15" s="345"/>
      <c r="C15" s="345"/>
      <c r="D15" s="345"/>
      <c r="E15" s="345"/>
      <c r="F15" s="345"/>
      <c r="G15" s="345"/>
      <c r="H15" s="345"/>
      <c r="I15" s="345"/>
      <c r="J15" s="345"/>
    </row>
    <row r="16" spans="1:40" ht="12.75" thickTop="1" x14ac:dyDescent="0.2">
      <c r="V16" s="144">
        <f>-(D4/D18+E4/I18)/3</f>
        <v>-25000</v>
      </c>
      <c r="W16" s="192">
        <f>-E4/(6*I18)</f>
        <v>-6250</v>
      </c>
      <c r="X16" s="192">
        <v>0</v>
      </c>
      <c r="Y16" s="19"/>
      <c r="Z16" s="193">
        <f t="array" ref="Z16:AB18">MINVERSE(V16:X18)</f>
        <v>-4.2857142857142856E-5</v>
      </c>
      <c r="AA16" s="193">
        <v>1.1428571428571427E-5</v>
      </c>
      <c r="AB16" s="193">
        <v>-2.8571428571428568E-6</v>
      </c>
      <c r="AC16" s="19"/>
      <c r="AD16" s="19"/>
      <c r="AE16" s="194">
        <f>AB22</f>
        <v>-273437.5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3.5" x14ac:dyDescent="0.2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38">
        <f>-E4/(6*I18)</f>
        <v>-6250</v>
      </c>
      <c r="W17" s="136">
        <f>-(E4/I18+F4/D21)/3</f>
        <v>-25000</v>
      </c>
      <c r="X17" s="136">
        <f>-F4/(6*D21)</f>
        <v>-6250</v>
      </c>
      <c r="Y17" s="2"/>
      <c r="Z17" s="123">
        <v>1.1428571428571429E-5</v>
      </c>
      <c r="AA17" s="123">
        <v>-4.5714285714285716E-5</v>
      </c>
      <c r="AB17" s="123">
        <v>1.1428571428571429E-5</v>
      </c>
      <c r="AC17" s="2"/>
      <c r="AD17" s="2"/>
      <c r="AE17" s="124">
        <f>AC22</f>
        <v>-273437.5</v>
      </c>
      <c r="AF17" s="2"/>
      <c r="AG17" s="2"/>
      <c r="AH17" s="123">
        <v>0</v>
      </c>
      <c r="AI17" s="123">
        <f>5+MAX('CCCC-car.1'!AI17:AI56)</f>
        <v>20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'CCCC-Trave'!B77</f>
        <v>1</v>
      </c>
      <c r="C18" s="16">
        <f>'CCCC-Trave'!C77</f>
        <v>1.3333333333333334E-4</v>
      </c>
      <c r="D18" s="16">
        <f>B18*C18</f>
        <v>1.3333333333333334E-4</v>
      </c>
      <c r="G18" s="16">
        <f>'CCCC-Trave'!G77</f>
        <v>1</v>
      </c>
      <c r="H18" s="16">
        <f>'CCCC-Trave'!H77</f>
        <v>1.3333333333333334E-4</v>
      </c>
      <c r="I18" s="16">
        <f>G18*H18</f>
        <v>1.3333333333333334E-4</v>
      </c>
      <c r="V18" s="138">
        <v>0</v>
      </c>
      <c r="W18" s="136">
        <f>-F4/(6*D21)</f>
        <v>-6250</v>
      </c>
      <c r="X18" s="136">
        <f>-(F4/D21+G4/I21)/3</f>
        <v>-25000</v>
      </c>
      <c r="Y18" s="2"/>
      <c r="Z18" s="123">
        <v>-2.8571428571428573E-6</v>
      </c>
      <c r="AA18" s="123">
        <v>1.1428571428571429E-5</v>
      </c>
      <c r="AB18" s="123">
        <v>-4.2857142857142856E-5</v>
      </c>
      <c r="AC18" s="2"/>
      <c r="AD18" s="2"/>
      <c r="AE18" s="124">
        <f>AD22</f>
        <v>-273437.5</v>
      </c>
      <c r="AF18" s="2"/>
      <c r="AG18" s="2"/>
      <c r="AH18" s="123">
        <f>C4</f>
        <v>0</v>
      </c>
      <c r="AI18" s="123">
        <f>AI17</f>
        <v>20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 t="s">
        <v>95</v>
      </c>
      <c r="X19" s="3"/>
      <c r="Y19" s="3"/>
      <c r="Z19" s="3"/>
      <c r="AA19" s="3" t="s">
        <v>96</v>
      </c>
      <c r="AB19" s="3"/>
      <c r="AC19" s="3"/>
      <c r="AD19" s="3"/>
      <c r="AE19" s="3" t="s">
        <v>97</v>
      </c>
      <c r="AF19" s="2"/>
      <c r="AG19" s="2"/>
      <c r="AH19" s="123">
        <f>AH18</f>
        <v>0</v>
      </c>
      <c r="AI19" s="123">
        <f>AI18+C7</f>
        <v>20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3.5" x14ac:dyDescent="0.25">
      <c r="A20" s="17" t="s">
        <v>88</v>
      </c>
      <c r="B20" s="16" t="s">
        <v>89</v>
      </c>
      <c r="C20" s="16" t="s">
        <v>90</v>
      </c>
      <c r="D20" s="16" t="s">
        <v>91</v>
      </c>
      <c r="F20" s="17" t="s">
        <v>108</v>
      </c>
      <c r="G20" s="16" t="s">
        <v>109</v>
      </c>
      <c r="H20" s="16" t="s">
        <v>110</v>
      </c>
      <c r="I20" s="16" t="s">
        <v>111</v>
      </c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20</v>
      </c>
      <c r="AJ20" s="2"/>
      <c r="AK20" s="8">
        <f>AK19</f>
        <v>5</v>
      </c>
      <c r="AL20" s="8">
        <f>AE59</f>
        <v>-9.375</v>
      </c>
      <c r="AM20" s="2"/>
      <c r="AN20" s="22"/>
    </row>
    <row r="21" spans="1:46" s="46" customFormat="1" x14ac:dyDescent="0.2">
      <c r="A21" s="1"/>
      <c r="B21" s="16">
        <f>'CCCC-Trave'!B80</f>
        <v>1</v>
      </c>
      <c r="C21" s="16">
        <f>'CCCC-Trave'!C80</f>
        <v>1.3333333333333334E-4</v>
      </c>
      <c r="D21" s="16">
        <f>B21*C21</f>
        <v>1.3333333333333334E-4</v>
      </c>
      <c r="G21" s="16">
        <f>'CCCC-Trave'!G80</f>
        <v>1</v>
      </c>
      <c r="H21" s="16">
        <f>'CCCC-Trave'!H80</f>
        <v>1.3333333333333334E-4</v>
      </c>
      <c r="I21" s="16">
        <f>G21*H21</f>
        <v>1.3333333333333334E-4</v>
      </c>
      <c r="V21" s="24" t="s">
        <v>7</v>
      </c>
      <c r="W21" s="8">
        <f t="array" ref="W21:W23">MMULT(matCinv,matN)</f>
        <v>9.375</v>
      </c>
      <c r="X21" s="2"/>
      <c r="Y21" s="123" t="s">
        <v>12</v>
      </c>
      <c r="Z21" s="123">
        <f>C7*C4^2/2</f>
        <v>0</v>
      </c>
      <c r="AA21" s="2"/>
      <c r="AB21" s="123" t="s">
        <v>79</v>
      </c>
      <c r="AC21" s="123" t="s">
        <v>98</v>
      </c>
      <c r="AD21" s="123" t="s">
        <v>115</v>
      </c>
      <c r="AE21" s="2"/>
      <c r="AF21" s="2"/>
      <c r="AG21" s="2"/>
      <c r="AH21" s="123">
        <v>0</v>
      </c>
      <c r="AI21" s="123">
        <f>AI17</f>
        <v>20</v>
      </c>
      <c r="AJ21" s="2"/>
      <c r="AK21" s="8">
        <f>AK57</f>
        <v>10</v>
      </c>
      <c r="AL21" s="8">
        <v>0</v>
      </c>
      <c r="AM21" s="2"/>
      <c r="AN21" s="22"/>
    </row>
    <row r="22" spans="1:46" x14ac:dyDescent="0.2">
      <c r="V22" s="24" t="s">
        <v>80</v>
      </c>
      <c r="W22" s="8">
        <v>6.25</v>
      </c>
      <c r="X22" s="2"/>
      <c r="Y22" s="123" t="s">
        <v>116</v>
      </c>
      <c r="Z22" s="123">
        <f>H7*H4^2/2</f>
        <v>0</v>
      </c>
      <c r="AA22" s="2"/>
      <c r="AB22" s="124">
        <f>(C7*C4^2/2)*D4/(6*D18)-D7*D4^3/(24*D18)-E7*E4^3/(24*I18)</f>
        <v>-273437.5</v>
      </c>
      <c r="AC22" s="124">
        <f>-E7*E4^3/(24*I18)-F7*F4^3/(24*D21)</f>
        <v>-273437.5</v>
      </c>
      <c r="AD22" s="124">
        <f>-F7*F4^3/(24*D21)-G7*G4^3/(24*I21)+(H7*H4^2/2)*G4/(6*I21)</f>
        <v>-273437.5</v>
      </c>
      <c r="AE22" s="2"/>
      <c r="AF22" s="2"/>
      <c r="AG22" s="2"/>
      <c r="AH22" s="2"/>
      <c r="AI22" s="2"/>
      <c r="AJ22" s="2"/>
      <c r="AK22" s="8">
        <f>AK21</f>
        <v>10</v>
      </c>
      <c r="AL22" s="8">
        <f>AE68</f>
        <v>-6.25</v>
      </c>
      <c r="AM22" s="2"/>
      <c r="AN22" s="22"/>
    </row>
    <row r="23" spans="1:46" x14ac:dyDescent="0.2">
      <c r="V23" s="24" t="s">
        <v>99</v>
      </c>
      <c r="W23" s="8">
        <v>9.375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8">
        <f>AK58</f>
        <v>15</v>
      </c>
      <c r="AL23" s="8">
        <v>0</v>
      </c>
      <c r="AM23" s="2"/>
      <c r="AN23" s="22"/>
    </row>
    <row r="24" spans="1:46" x14ac:dyDescent="0.2">
      <c r="V24" s="24"/>
      <c r="W24" s="3" t="s">
        <v>100</v>
      </c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C4</f>
        <v>0</v>
      </c>
      <c r="AI24" s="123">
        <f>AI17</f>
        <v>20</v>
      </c>
      <c r="AJ24" s="2"/>
      <c r="AK24" s="8">
        <f>AK23</f>
        <v>15</v>
      </c>
      <c r="AL24" s="8">
        <f>AE77</f>
        <v>-9.375</v>
      </c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20</v>
      </c>
      <c r="AJ25" s="2"/>
      <c r="AK25" s="8">
        <f>AK59</f>
        <v>20</v>
      </c>
      <c r="AL25" s="8">
        <v>0</v>
      </c>
      <c r="AM25" s="2"/>
      <c r="AN25" s="22"/>
    </row>
    <row r="26" spans="1:46" x14ac:dyDescent="0.2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AI25+D7</f>
        <v>22</v>
      </c>
      <c r="AJ26" s="3"/>
      <c r="AK26" s="8">
        <f>AK25</f>
        <v>20</v>
      </c>
      <c r="AL26" s="8">
        <f>AE86</f>
        <v>0</v>
      </c>
      <c r="AM26" s="2"/>
      <c r="AN26" s="22"/>
    </row>
    <row r="27" spans="1:46" x14ac:dyDescent="0.2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123" t="s">
        <v>92</v>
      </c>
      <c r="AC27" s="123" t="s">
        <v>93</v>
      </c>
      <c r="AD27" s="123" t="s">
        <v>112</v>
      </c>
      <c r="AE27" s="123" t="s">
        <v>113</v>
      </c>
      <c r="AF27" s="3"/>
      <c r="AG27" s="3"/>
      <c r="AH27" s="123">
        <f>AH24</f>
        <v>0</v>
      </c>
      <c r="AI27" s="123">
        <f>AI26</f>
        <v>22</v>
      </c>
      <c r="AJ27" s="3"/>
      <c r="AK27" s="8">
        <f>AK60</f>
        <v>20</v>
      </c>
      <c r="AL27" s="8">
        <v>0</v>
      </c>
      <c r="AM27" s="2"/>
      <c r="AN27" s="22"/>
    </row>
    <row r="28" spans="1:46" x14ac:dyDescent="0.2">
      <c r="V28" s="126">
        <f>C7*C4</f>
        <v>0</v>
      </c>
      <c r="W28" s="8">
        <f>D7*D4-X28</f>
        <v>3.125</v>
      </c>
      <c r="X28" s="8">
        <f>(W21-Z21+D7*D4^2/2)/D4</f>
        <v>6.875</v>
      </c>
      <c r="Y28" s="8">
        <f>E7*E4-Z28</f>
        <v>13.125</v>
      </c>
      <c r="Z28" s="8">
        <f>(W22-W21+E7*E4^2/2)/E4</f>
        <v>11.875</v>
      </c>
      <c r="AA28" s="8">
        <f>F7*F4-AB28</f>
        <v>4.375</v>
      </c>
      <c r="AB28" s="8">
        <f>(W23-W22+F7*F4^2/2)/F4</f>
        <v>5.625</v>
      </c>
      <c r="AC28" s="8">
        <f>G7*G4-AD28</f>
        <v>14.375</v>
      </c>
      <c r="AD28" s="8">
        <f>(Z22-W23+G7*G4^2/2)/G4</f>
        <v>10.625</v>
      </c>
      <c r="AE28" s="8">
        <f>H7*H4</f>
        <v>0</v>
      </c>
      <c r="AF28" s="3"/>
      <c r="AG28" s="3"/>
      <c r="AH28" s="123">
        <f>AH24</f>
        <v>0</v>
      </c>
      <c r="AI28" s="123">
        <f>AI24</f>
        <v>20</v>
      </c>
      <c r="AJ28" s="3"/>
      <c r="AK28" s="8">
        <f>AK27</f>
        <v>20</v>
      </c>
      <c r="AL28" s="8">
        <f>AE90</f>
        <v>0</v>
      </c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">
      <c r="V31" s="23"/>
      <c r="W31" s="2"/>
      <c r="X31" s="123" t="s">
        <v>0</v>
      </c>
      <c r="Y31" s="123" t="s">
        <v>1</v>
      </c>
      <c r="Z31" s="123" t="s">
        <v>78</v>
      </c>
      <c r="AA31" s="123" t="s">
        <v>94</v>
      </c>
      <c r="AB31" s="123" t="s">
        <v>114</v>
      </c>
      <c r="AC31" s="2"/>
      <c r="AD31" s="2"/>
      <c r="AE31" s="2"/>
      <c r="AF31" s="2"/>
      <c r="AG31" s="2"/>
      <c r="AH31" s="8">
        <f>AK56</f>
        <v>5</v>
      </c>
      <c r="AI31" s="123">
        <f>AI17</f>
        <v>20</v>
      </c>
      <c r="AJ31" s="2"/>
      <c r="AK31" s="2" t="s">
        <v>21</v>
      </c>
      <c r="AL31" s="2"/>
      <c r="AM31" s="2"/>
      <c r="AN31" s="22"/>
    </row>
    <row r="32" spans="1:46" x14ac:dyDescent="0.2">
      <c r="V32" s="23"/>
      <c r="W32" s="2"/>
      <c r="X32" s="8">
        <f>V28+W28</f>
        <v>3.125</v>
      </c>
      <c r="Y32" s="8">
        <f>X28+Y28</f>
        <v>20</v>
      </c>
      <c r="Z32" s="8">
        <f>Z28+AA28</f>
        <v>16.25</v>
      </c>
      <c r="AA32" s="8">
        <f>AB28+AC28</f>
        <v>20</v>
      </c>
      <c r="AB32" s="8">
        <f>AD28+AE28</f>
        <v>10.625</v>
      </c>
      <c r="AC32" s="2"/>
      <c r="AD32" s="2"/>
      <c r="AE32" s="2"/>
      <c r="AF32" s="2"/>
      <c r="AG32" s="2"/>
      <c r="AH32" s="8">
        <f>AK57</f>
        <v>10</v>
      </c>
      <c r="AI32" s="123">
        <f>AI31</f>
        <v>20</v>
      </c>
      <c r="AJ32" s="2"/>
      <c r="AK32" s="195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10</v>
      </c>
      <c r="AI33" s="123">
        <f>AI32+E7</f>
        <v>25</v>
      </c>
      <c r="AJ33" s="2"/>
      <c r="AK33" s="196" t="s">
        <v>23</v>
      </c>
      <c r="AL33" s="8">
        <f>W28/D7</f>
        <v>1.5625</v>
      </c>
      <c r="AM33" s="8">
        <f>C4+AL33</f>
        <v>1.5625</v>
      </c>
      <c r="AN33" s="129">
        <f>W28*AL33-D7*AL33^2/2+AE50</f>
        <v>2.44140625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25</v>
      </c>
      <c r="AJ34" s="2"/>
      <c r="AK34" s="197" t="s">
        <v>82</v>
      </c>
      <c r="AL34" s="8">
        <f>Y28/E7</f>
        <v>2.625</v>
      </c>
      <c r="AM34" s="8">
        <f>C4+D4+AL34</f>
        <v>7.625</v>
      </c>
      <c r="AN34" s="129">
        <f>Y28*AL34-E7*AL34^2/2+AE59</f>
        <v>7.8515625</v>
      </c>
    </row>
    <row r="35" spans="22:40" x14ac:dyDescent="0.2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20</v>
      </c>
      <c r="AJ35" s="2"/>
      <c r="AK35" s="197" t="s">
        <v>101</v>
      </c>
      <c r="AL35" s="8">
        <f>AA28/F7</f>
        <v>2.1875</v>
      </c>
      <c r="AM35" s="8">
        <f>C4+D4+E4+AL35</f>
        <v>12.1875</v>
      </c>
      <c r="AN35" s="129">
        <f>AA28*AL35-F7*AL35^2/2+AE68</f>
        <v>-1.46484375</v>
      </c>
    </row>
    <row r="36" spans="22:40" x14ac:dyDescent="0.2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10</v>
      </c>
      <c r="AC36" s="132">
        <v>0</v>
      </c>
      <c r="AD36" s="2"/>
      <c r="AE36" s="2"/>
      <c r="AF36" s="2"/>
      <c r="AG36" s="2"/>
      <c r="AH36" s="2"/>
      <c r="AI36" s="2"/>
      <c r="AJ36" s="2"/>
      <c r="AK36" s="130" t="s">
        <v>117</v>
      </c>
      <c r="AL36" s="8">
        <f>AC28/G7</f>
        <v>2.875</v>
      </c>
      <c r="AM36" s="8">
        <f>C4+D4+E4+F4+AL36</f>
        <v>17.875</v>
      </c>
      <c r="AN36" s="129">
        <f>AC28*AL36-G7*AL36^2/2+AE77</f>
        <v>11.2890625</v>
      </c>
    </row>
    <row r="37" spans="22:40" x14ac:dyDescent="0.2">
      <c r="V37" s="131">
        <f>V36</f>
        <v>0</v>
      </c>
      <c r="W37" s="133">
        <f>-X32</f>
        <v>-3.125</v>
      </c>
      <c r="X37" s="2"/>
      <c r="Y37" s="133">
        <f>Y36</f>
        <v>5</v>
      </c>
      <c r="Z37" s="133">
        <f>-Y32</f>
        <v>-20</v>
      </c>
      <c r="AA37" s="2"/>
      <c r="AB37" s="133">
        <f>AB36</f>
        <v>10</v>
      </c>
      <c r="AC37" s="133">
        <f>-Z32</f>
        <v>-16.25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10</v>
      </c>
      <c r="AI38" s="123">
        <f>AI17</f>
        <v>20</v>
      </c>
      <c r="AJ38" s="3"/>
      <c r="AK38" s="3"/>
      <c r="AL38" s="3"/>
      <c r="AM38" s="3"/>
      <c r="AN38" s="25"/>
    </row>
    <row r="39" spans="22:40" x14ac:dyDescent="0.2">
      <c r="V39" s="23" t="s">
        <v>103</v>
      </c>
      <c r="W39" s="2"/>
      <c r="X39" s="3"/>
      <c r="Y39" s="2" t="s">
        <v>118</v>
      </c>
      <c r="Z39" s="2"/>
      <c r="AA39" s="3"/>
      <c r="AB39" s="3"/>
      <c r="AC39" s="3"/>
      <c r="AD39" s="3"/>
      <c r="AE39" s="3"/>
      <c r="AF39" s="3"/>
      <c r="AG39" s="3"/>
      <c r="AH39" s="8">
        <f>AK58</f>
        <v>15</v>
      </c>
      <c r="AI39" s="123">
        <f>AI38</f>
        <v>20</v>
      </c>
      <c r="AJ39" s="3"/>
      <c r="AK39" s="2" t="s">
        <v>27</v>
      </c>
      <c r="AL39" s="2"/>
      <c r="AM39" s="3"/>
      <c r="AN39" s="25"/>
    </row>
    <row r="40" spans="22:40" x14ac:dyDescent="0.2">
      <c r="V40" s="131">
        <f>AK58</f>
        <v>15</v>
      </c>
      <c r="W40" s="132">
        <v>0</v>
      </c>
      <c r="X40" s="2"/>
      <c r="Y40" s="133">
        <f>AK59</f>
        <v>20</v>
      </c>
      <c r="Z40" s="132">
        <v>0</v>
      </c>
      <c r="AA40" s="2"/>
      <c r="AB40" s="2"/>
      <c r="AC40" s="2"/>
      <c r="AD40" s="2"/>
      <c r="AE40" s="2"/>
      <c r="AF40" s="2"/>
      <c r="AG40" s="2"/>
      <c r="AH40" s="8">
        <f>AH39</f>
        <v>15</v>
      </c>
      <c r="AI40" s="123">
        <f>AI39+F7</f>
        <v>22</v>
      </c>
      <c r="AJ40" s="2"/>
      <c r="AK40" s="8">
        <f>AM33</f>
        <v>1.5625</v>
      </c>
      <c r="AL40" s="123">
        <v>0</v>
      </c>
      <c r="AM40" s="2"/>
      <c r="AN40" s="22"/>
    </row>
    <row r="41" spans="22:40" x14ac:dyDescent="0.2">
      <c r="V41" s="131">
        <f>V40</f>
        <v>15</v>
      </c>
      <c r="W41" s="133">
        <f>-AA32</f>
        <v>-20</v>
      </c>
      <c r="X41" s="2"/>
      <c r="Y41" s="133">
        <f>Y40</f>
        <v>20</v>
      </c>
      <c r="Z41" s="133">
        <f>-AB32</f>
        <v>-10.625</v>
      </c>
      <c r="AA41" s="2"/>
      <c r="AB41" s="2"/>
      <c r="AC41" s="2"/>
      <c r="AD41" s="2"/>
      <c r="AE41" s="2"/>
      <c r="AF41" s="2"/>
      <c r="AG41" s="2"/>
      <c r="AH41" s="8">
        <f>AH38</f>
        <v>10</v>
      </c>
      <c r="AI41" s="123">
        <f>AI40</f>
        <v>22</v>
      </c>
      <c r="AJ41" s="2"/>
      <c r="AK41" s="8">
        <f>AK40</f>
        <v>1.5625</v>
      </c>
      <c r="AL41" s="8">
        <f>AN33</f>
        <v>2.44140625</v>
      </c>
      <c r="AM41" s="2"/>
      <c r="AN41" s="22"/>
    </row>
    <row r="42" spans="22:40" x14ac:dyDescent="0.2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10</v>
      </c>
      <c r="AI42" s="123">
        <f>AI38</f>
        <v>20</v>
      </c>
      <c r="AJ42" s="2"/>
      <c r="AK42" s="8">
        <f>AM34</f>
        <v>7.625</v>
      </c>
      <c r="AL42" s="123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7.625</v>
      </c>
      <c r="AL43" s="8">
        <f>AN34</f>
        <v>7.8515625</v>
      </c>
      <c r="AM43" s="2"/>
      <c r="AN43" s="22"/>
    </row>
    <row r="44" spans="22:40" x14ac:dyDescent="0.2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119</v>
      </c>
      <c r="AI44" s="3"/>
      <c r="AJ44" s="2"/>
      <c r="AK44" s="8">
        <f>AM35</f>
        <v>12.1875</v>
      </c>
      <c r="AL44" s="123">
        <v>0</v>
      </c>
      <c r="AM44" s="2"/>
      <c r="AN44" s="22"/>
    </row>
    <row r="45" spans="22:40" x14ac:dyDescent="0.2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8">
        <f>AK58</f>
        <v>15</v>
      </c>
      <c r="AI45" s="123">
        <f>AI17</f>
        <v>20</v>
      </c>
      <c r="AJ45" s="2"/>
      <c r="AK45" s="8">
        <f>AK44</f>
        <v>12.1875</v>
      </c>
      <c r="AL45" s="8">
        <f>AN35</f>
        <v>-1.46484375</v>
      </c>
      <c r="AM45" s="2"/>
      <c r="AN45" s="22"/>
    </row>
    <row r="46" spans="22:40" x14ac:dyDescent="0.2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6" t="s">
        <v>2</v>
      </c>
      <c r="AE46" s="136" t="s">
        <v>3</v>
      </c>
      <c r="AF46" s="136" t="s">
        <v>4</v>
      </c>
      <c r="AG46" s="2"/>
      <c r="AH46" s="8">
        <f>AK59</f>
        <v>20</v>
      </c>
      <c r="AI46" s="123">
        <f>AI45</f>
        <v>20</v>
      </c>
      <c r="AJ46" s="2"/>
      <c r="AK46" s="8">
        <f>AM36</f>
        <v>17.875</v>
      </c>
      <c r="AL46" s="123">
        <v>0</v>
      </c>
      <c r="AM46" s="2"/>
      <c r="AN46" s="22"/>
    </row>
    <row r="47" spans="22:40" x14ac:dyDescent="0.2">
      <c r="V47" s="26">
        <v>0</v>
      </c>
      <c r="W47" s="7">
        <f>-$C$7*V47^2/2</f>
        <v>0</v>
      </c>
      <c r="X47" s="7">
        <f>-$C$7*V47</f>
        <v>0</v>
      </c>
      <c r="Y47" s="2"/>
      <c r="Z47" s="10">
        <v>0</v>
      </c>
      <c r="AA47" s="10">
        <f t="shared" ref="AA47:AA55" si="0">-$Z$21-$D$7*Z47^2/2+$W$28*Z47</f>
        <v>0</v>
      </c>
      <c r="AB47" s="10">
        <f t="shared" ref="AB47:AB55" si="1">-$D$7*Z47+$W$28</f>
        <v>3.125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8">
        <f>AH46</f>
        <v>20</v>
      </c>
      <c r="AI47" s="123">
        <f>AI46+G7</f>
        <v>25</v>
      </c>
      <c r="AJ47" s="2"/>
      <c r="AK47" s="8">
        <f>AK46</f>
        <v>17.875</v>
      </c>
      <c r="AL47" s="8">
        <f>AN36</f>
        <v>11.2890625</v>
      </c>
      <c r="AM47" s="2"/>
      <c r="AN47" s="22"/>
    </row>
    <row r="48" spans="22:40" x14ac:dyDescent="0.2">
      <c r="V48" s="26">
        <f>$C$4/3</f>
        <v>0</v>
      </c>
      <c r="W48" s="7">
        <f>-$C$7*V48^2/2</f>
        <v>0</v>
      </c>
      <c r="X48" s="7">
        <f>-$C$7*V48</f>
        <v>0</v>
      </c>
      <c r="Y48" s="2"/>
      <c r="Z48" s="10">
        <f>$D$4/8</f>
        <v>0.625</v>
      </c>
      <c r="AA48" s="10">
        <f t="shared" si="0"/>
        <v>1.5625</v>
      </c>
      <c r="AB48" s="10">
        <f t="shared" si="1"/>
        <v>1.875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8">
        <f>AH45</f>
        <v>15</v>
      </c>
      <c r="AI48" s="123">
        <f>AI47</f>
        <v>25</v>
      </c>
      <c r="AJ48" s="2"/>
      <c r="AK48" s="2"/>
      <c r="AL48" s="2"/>
      <c r="AM48" s="2"/>
      <c r="AN48" s="22"/>
    </row>
    <row r="49" spans="13:40" x14ac:dyDescent="0.2">
      <c r="V49" s="26">
        <f>2*$C$4/3</f>
        <v>0</v>
      </c>
      <c r="W49" s="7">
        <f>-$C$7*V49^2/2</f>
        <v>0</v>
      </c>
      <c r="X49" s="7">
        <f>-$C$7*V49</f>
        <v>0</v>
      </c>
      <c r="Y49" s="2"/>
      <c r="Z49" s="10">
        <f>2*$D$4/8</f>
        <v>1.25</v>
      </c>
      <c r="AA49" s="10">
        <f t="shared" si="0"/>
        <v>2.34375</v>
      </c>
      <c r="AB49" s="10">
        <f t="shared" si="1"/>
        <v>0.625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8">
        <f>AH45</f>
        <v>15</v>
      </c>
      <c r="AI49" s="123">
        <f>AI45</f>
        <v>20</v>
      </c>
      <c r="AJ49" s="2"/>
      <c r="AK49" s="2"/>
      <c r="AL49" s="2"/>
      <c r="AM49" s="2"/>
      <c r="AN49" s="22"/>
    </row>
    <row r="50" spans="13:40" x14ac:dyDescent="0.2">
      <c r="V50" s="26">
        <f>3*$C$4/3</f>
        <v>0</v>
      </c>
      <c r="W50" s="7">
        <f>-$C$7*V50^2/2</f>
        <v>0</v>
      </c>
      <c r="X50" s="7">
        <f>-$C$7*V50</f>
        <v>0</v>
      </c>
      <c r="Y50" s="2"/>
      <c r="Z50" s="10">
        <f>3*$D$4/8</f>
        <v>1.875</v>
      </c>
      <c r="AA50" s="10">
        <f t="shared" si="0"/>
        <v>2.34375</v>
      </c>
      <c r="AB50" s="10">
        <f t="shared" si="1"/>
        <v>-0.625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198"/>
      <c r="W51" s="122"/>
      <c r="X51" s="122"/>
      <c r="Y51" s="2"/>
      <c r="Z51" s="10">
        <f>4*$D$4/8</f>
        <v>2.5</v>
      </c>
      <c r="AA51" s="10">
        <f t="shared" si="0"/>
        <v>1.5625</v>
      </c>
      <c r="AB51" s="10">
        <f t="shared" si="1"/>
        <v>-1.875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3.125</v>
      </c>
      <c r="AG51" s="2"/>
      <c r="AH51" s="3" t="s">
        <v>18</v>
      </c>
      <c r="AI51" s="3"/>
      <c r="AJ51" s="2"/>
      <c r="AK51" s="2"/>
      <c r="AL51" s="2"/>
      <c r="AM51" s="2"/>
      <c r="AN51" s="22"/>
    </row>
    <row r="52" spans="13:40" x14ac:dyDescent="0.2">
      <c r="V52" s="24"/>
      <c r="W52" s="3"/>
      <c r="X52" s="3"/>
      <c r="Y52" s="2"/>
      <c r="Z52" s="10">
        <f>5*$D$4/8</f>
        <v>3.125</v>
      </c>
      <c r="AA52" s="10">
        <f t="shared" si="0"/>
        <v>0</v>
      </c>
      <c r="AB52" s="10">
        <f t="shared" si="1"/>
        <v>-3.125</v>
      </c>
      <c r="AC52" s="3"/>
      <c r="AD52" s="10">
        <f t="shared" si="3"/>
        <v>0.625</v>
      </c>
      <c r="AE52" s="10">
        <f t="shared" si="4"/>
        <v>1.5625</v>
      </c>
      <c r="AF52" s="10">
        <f t="shared" si="4"/>
        <v>1.875</v>
      </c>
      <c r="AG52" s="2"/>
      <c r="AH52" s="8">
        <f>AK59</f>
        <v>20</v>
      </c>
      <c r="AI52" s="123">
        <f>AI17</f>
        <v>20</v>
      </c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10">
        <f>6*$D$4/8</f>
        <v>3.75</v>
      </c>
      <c r="AA53" s="10">
        <f t="shared" si="0"/>
        <v>-2.34375</v>
      </c>
      <c r="AB53" s="10">
        <f t="shared" si="1"/>
        <v>-4.375</v>
      </c>
      <c r="AC53" s="3"/>
      <c r="AD53" s="10">
        <f t="shared" si="3"/>
        <v>1.25</v>
      </c>
      <c r="AE53" s="10">
        <f t="shared" si="4"/>
        <v>2.34375</v>
      </c>
      <c r="AF53" s="10">
        <f t="shared" si="4"/>
        <v>0.625</v>
      </c>
      <c r="AG53" s="2"/>
      <c r="AH53" s="8">
        <f>AK60</f>
        <v>20</v>
      </c>
      <c r="AI53" s="123">
        <f>AI52</f>
        <v>20</v>
      </c>
      <c r="AJ53" s="2"/>
      <c r="AK53" s="123" t="s">
        <v>2</v>
      </c>
      <c r="AL53" s="123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10">
        <f>7*$D$4/8</f>
        <v>4.375</v>
      </c>
      <c r="AA54" s="10">
        <f t="shared" si="0"/>
        <v>-5.46875</v>
      </c>
      <c r="AB54" s="10">
        <f t="shared" si="1"/>
        <v>-5.625</v>
      </c>
      <c r="AC54" s="2"/>
      <c r="AD54" s="10">
        <f t="shared" si="3"/>
        <v>1.875</v>
      </c>
      <c r="AE54" s="10">
        <f t="shared" si="4"/>
        <v>2.34375</v>
      </c>
      <c r="AF54" s="10">
        <f t="shared" si="4"/>
        <v>-0.625</v>
      </c>
      <c r="AG54" s="2"/>
      <c r="AH54" s="8">
        <f>AH53</f>
        <v>20</v>
      </c>
      <c r="AI54" s="123">
        <f>AI53+H7</f>
        <v>20</v>
      </c>
      <c r="AJ54" s="2"/>
      <c r="AK54" s="8">
        <v>0</v>
      </c>
      <c r="AL54" s="123">
        <v>0</v>
      </c>
      <c r="AM54" s="2"/>
      <c r="AN54" s="22"/>
    </row>
    <row r="55" spans="13:40" x14ac:dyDescent="0.2">
      <c r="M55" s="2"/>
      <c r="N55" s="2"/>
      <c r="V55" s="24"/>
      <c r="W55" s="3"/>
      <c r="X55" s="3"/>
      <c r="Y55" s="2"/>
      <c r="Z55" s="10">
        <f>8*$D$4/8</f>
        <v>5</v>
      </c>
      <c r="AA55" s="10">
        <f t="shared" si="0"/>
        <v>-9.375</v>
      </c>
      <c r="AB55" s="10">
        <f t="shared" si="1"/>
        <v>-6.875</v>
      </c>
      <c r="AC55" s="2"/>
      <c r="AD55" s="10">
        <f t="shared" si="3"/>
        <v>2.5</v>
      </c>
      <c r="AE55" s="10">
        <f t="shared" si="4"/>
        <v>1.5625</v>
      </c>
      <c r="AF55" s="10">
        <f t="shared" si="4"/>
        <v>-1.875</v>
      </c>
      <c r="AG55" s="2"/>
      <c r="AH55" s="8">
        <f>AH52</f>
        <v>20</v>
      </c>
      <c r="AI55" s="123">
        <f>AI54</f>
        <v>20</v>
      </c>
      <c r="AJ55" s="2"/>
      <c r="AK55" s="8">
        <f>C4</f>
        <v>0</v>
      </c>
      <c r="AL55" s="123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0</v>
      </c>
      <c r="AF56" s="10">
        <f t="shared" si="4"/>
        <v>-3.125</v>
      </c>
      <c r="AG56" s="2"/>
      <c r="AH56" s="8">
        <f>AH52</f>
        <v>20</v>
      </c>
      <c r="AI56" s="123">
        <f>AI52</f>
        <v>20</v>
      </c>
      <c r="AJ56" s="2"/>
      <c r="AK56" s="8">
        <f>AK55+D4</f>
        <v>5</v>
      </c>
      <c r="AL56" s="123">
        <v>0</v>
      </c>
      <c r="AM56" s="2"/>
      <c r="AN56" s="22"/>
    </row>
    <row r="57" spans="13:40" x14ac:dyDescent="0.2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10">
        <f t="shared" si="3"/>
        <v>3.75</v>
      </c>
      <c r="AE57" s="10">
        <f t="shared" si="4"/>
        <v>-2.34375</v>
      </c>
      <c r="AF57" s="10">
        <f t="shared" si="4"/>
        <v>-4.375</v>
      </c>
      <c r="AG57" s="2"/>
      <c r="AH57" s="2"/>
      <c r="AI57" s="2"/>
      <c r="AJ57" s="2"/>
      <c r="AK57" s="8">
        <f>AK56+E4</f>
        <v>10</v>
      </c>
      <c r="AL57" s="123">
        <v>0</v>
      </c>
      <c r="AM57" s="2"/>
      <c r="AN57" s="22"/>
    </row>
    <row r="58" spans="13:40" x14ac:dyDescent="0.2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-5.46875</v>
      </c>
      <c r="AF58" s="10">
        <f t="shared" si="4"/>
        <v>-5.625</v>
      </c>
      <c r="AG58" s="2"/>
      <c r="AH58" s="2"/>
      <c r="AI58" s="2"/>
      <c r="AJ58" s="2"/>
      <c r="AK58" s="8">
        <f>AK57+F4</f>
        <v>15</v>
      </c>
      <c r="AL58" s="123">
        <v>0</v>
      </c>
      <c r="AM58" s="2"/>
      <c r="AN58" s="22"/>
    </row>
    <row r="59" spans="13:40" x14ac:dyDescent="0.2">
      <c r="V59" s="139">
        <v>0</v>
      </c>
      <c r="W59" s="140">
        <f t="shared" ref="W59:W67" si="5">-$W$21-$E$7*V59^2/2+$Y$28*V59</f>
        <v>-9.375</v>
      </c>
      <c r="X59" s="140">
        <f t="shared" ref="X59:X67" si="6">-$E$7*V59+$Y$28</f>
        <v>13.125</v>
      </c>
      <c r="Y59" s="2"/>
      <c r="Z59" s="172">
        <v>0</v>
      </c>
      <c r="AA59" s="172">
        <f t="shared" ref="AA59:AA67" si="7">-$W$22-$F$7*Z59^2/2+$AA$28*Z59</f>
        <v>-6.25</v>
      </c>
      <c r="AB59" s="172">
        <f t="shared" ref="AB59:AB67" si="8">-$F$7*Z59+$AA$28</f>
        <v>4.375</v>
      </c>
      <c r="AC59" s="2"/>
      <c r="AD59" s="10">
        <f t="shared" si="3"/>
        <v>5</v>
      </c>
      <c r="AE59" s="10">
        <f t="shared" si="4"/>
        <v>-9.375</v>
      </c>
      <c r="AF59" s="10">
        <f t="shared" si="4"/>
        <v>-6.875</v>
      </c>
      <c r="AG59" s="2"/>
      <c r="AH59" s="2"/>
      <c r="AI59" s="2"/>
      <c r="AJ59" s="2"/>
      <c r="AK59" s="8">
        <f>AK58+G4</f>
        <v>20</v>
      </c>
      <c r="AL59" s="123">
        <v>0</v>
      </c>
      <c r="AM59" s="2"/>
      <c r="AN59" s="22"/>
    </row>
    <row r="60" spans="13:40" x14ac:dyDescent="0.2">
      <c r="V60" s="139">
        <f>$E$4/8</f>
        <v>0.625</v>
      </c>
      <c r="W60" s="140">
        <f t="shared" si="5"/>
        <v>-2.1484375</v>
      </c>
      <c r="X60" s="140">
        <f t="shared" si="6"/>
        <v>10</v>
      </c>
      <c r="Y60" s="2"/>
      <c r="Z60" s="172">
        <f>$F$4/8</f>
        <v>0.625</v>
      </c>
      <c r="AA60" s="172">
        <f t="shared" si="7"/>
        <v>-3.90625</v>
      </c>
      <c r="AB60" s="172">
        <f t="shared" si="8"/>
        <v>3.125</v>
      </c>
      <c r="AC60" s="2"/>
      <c r="AD60" s="140">
        <f t="shared" ref="AD60:AD68" si="9">$AD$59+V59</f>
        <v>5</v>
      </c>
      <c r="AE60" s="140">
        <f t="shared" ref="AE60:AF68" si="10">W59</f>
        <v>-9.375</v>
      </c>
      <c r="AF60" s="140">
        <f t="shared" si="10"/>
        <v>13.125</v>
      </c>
      <c r="AG60" s="2"/>
      <c r="AH60" s="2"/>
      <c r="AI60" s="2"/>
      <c r="AJ60" s="2"/>
      <c r="AK60" s="8">
        <f>AK59+H4</f>
        <v>20</v>
      </c>
      <c r="AL60" s="123">
        <v>0</v>
      </c>
      <c r="AM60" s="2"/>
      <c r="AN60" s="22"/>
    </row>
    <row r="61" spans="13:40" x14ac:dyDescent="0.2">
      <c r="V61" s="139">
        <f>2*$E$4/8</f>
        <v>1.25</v>
      </c>
      <c r="W61" s="140">
        <f t="shared" si="5"/>
        <v>3.125</v>
      </c>
      <c r="X61" s="140">
        <f t="shared" si="6"/>
        <v>6.875</v>
      </c>
      <c r="Y61" s="2"/>
      <c r="Z61" s="172">
        <f>2*$F$4/8</f>
        <v>1.25</v>
      </c>
      <c r="AA61" s="172">
        <f t="shared" si="7"/>
        <v>-2.34375</v>
      </c>
      <c r="AB61" s="172">
        <f t="shared" si="8"/>
        <v>1.875</v>
      </c>
      <c r="AC61" s="2"/>
      <c r="AD61" s="140">
        <f t="shared" si="9"/>
        <v>5.625</v>
      </c>
      <c r="AE61" s="140">
        <f t="shared" si="10"/>
        <v>-2.1484375</v>
      </c>
      <c r="AF61" s="140">
        <f t="shared" si="10"/>
        <v>10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3*$E$4/8</f>
        <v>1.875</v>
      </c>
      <c r="W62" s="140">
        <f t="shared" si="5"/>
        <v>6.4453125</v>
      </c>
      <c r="X62" s="140">
        <f t="shared" si="6"/>
        <v>3.75</v>
      </c>
      <c r="Y62" s="2"/>
      <c r="Z62" s="172">
        <f>3*$F$4/8</f>
        <v>1.875</v>
      </c>
      <c r="AA62" s="172">
        <f t="shared" si="7"/>
        <v>-1.5625</v>
      </c>
      <c r="AB62" s="172">
        <f t="shared" si="8"/>
        <v>0.625</v>
      </c>
      <c r="AC62" s="2"/>
      <c r="AD62" s="140">
        <f t="shared" si="9"/>
        <v>6.25</v>
      </c>
      <c r="AE62" s="140">
        <f t="shared" si="10"/>
        <v>3.125</v>
      </c>
      <c r="AF62" s="140">
        <f t="shared" si="10"/>
        <v>6.875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4*$E$4/8</f>
        <v>2.5</v>
      </c>
      <c r="W63" s="140">
        <f t="shared" si="5"/>
        <v>7.8125</v>
      </c>
      <c r="X63" s="140">
        <f t="shared" si="6"/>
        <v>0.625</v>
      </c>
      <c r="Y63" s="2"/>
      <c r="Z63" s="172">
        <f>4*$F$4/8</f>
        <v>2.5</v>
      </c>
      <c r="AA63" s="172">
        <f t="shared" si="7"/>
        <v>-1.5625</v>
      </c>
      <c r="AB63" s="172">
        <f t="shared" si="8"/>
        <v>-0.625</v>
      </c>
      <c r="AC63" s="2"/>
      <c r="AD63" s="140">
        <f t="shared" si="9"/>
        <v>6.875</v>
      </c>
      <c r="AE63" s="140">
        <f t="shared" si="10"/>
        <v>6.4453125</v>
      </c>
      <c r="AF63" s="140">
        <f t="shared" si="10"/>
        <v>3.75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5*$E$4/8</f>
        <v>3.125</v>
      </c>
      <c r="W64" s="140">
        <f t="shared" si="5"/>
        <v>7.2265625</v>
      </c>
      <c r="X64" s="140">
        <f t="shared" si="6"/>
        <v>-2.5</v>
      </c>
      <c r="Y64" s="2"/>
      <c r="Z64" s="172">
        <f>5*$F$4/8</f>
        <v>3.125</v>
      </c>
      <c r="AA64" s="172">
        <f t="shared" si="7"/>
        <v>-2.34375</v>
      </c>
      <c r="AB64" s="172">
        <f t="shared" si="8"/>
        <v>-1.875</v>
      </c>
      <c r="AC64" s="2"/>
      <c r="AD64" s="140">
        <f t="shared" si="9"/>
        <v>7.5</v>
      </c>
      <c r="AE64" s="140">
        <f t="shared" si="10"/>
        <v>7.8125</v>
      </c>
      <c r="AF64" s="140">
        <f t="shared" si="10"/>
        <v>0.625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6*$E$4/8</f>
        <v>3.75</v>
      </c>
      <c r="W65" s="140">
        <f t="shared" si="5"/>
        <v>4.6875</v>
      </c>
      <c r="X65" s="140">
        <f t="shared" si="6"/>
        <v>-5.625</v>
      </c>
      <c r="Y65" s="2"/>
      <c r="Z65" s="172">
        <f>6*$F$4/8</f>
        <v>3.75</v>
      </c>
      <c r="AA65" s="172">
        <f t="shared" si="7"/>
        <v>-3.90625</v>
      </c>
      <c r="AB65" s="172">
        <f t="shared" si="8"/>
        <v>-3.125</v>
      </c>
      <c r="AC65" s="2"/>
      <c r="AD65" s="140">
        <f t="shared" si="9"/>
        <v>8.125</v>
      </c>
      <c r="AE65" s="140">
        <f t="shared" si="10"/>
        <v>7.2265625</v>
      </c>
      <c r="AF65" s="140">
        <f t="shared" si="10"/>
        <v>-2.5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7*$E$4/8</f>
        <v>4.375</v>
      </c>
      <c r="W66" s="140">
        <f t="shared" si="5"/>
        <v>0.1953125</v>
      </c>
      <c r="X66" s="140">
        <f t="shared" si="6"/>
        <v>-8.75</v>
      </c>
      <c r="Y66" s="2"/>
      <c r="Z66" s="172">
        <f>7*$F$4/8</f>
        <v>4.375</v>
      </c>
      <c r="AA66" s="172">
        <f t="shared" si="7"/>
        <v>-6.25</v>
      </c>
      <c r="AB66" s="172">
        <f t="shared" si="8"/>
        <v>-4.375</v>
      </c>
      <c r="AC66" s="2"/>
      <c r="AD66" s="140">
        <f t="shared" si="9"/>
        <v>8.75</v>
      </c>
      <c r="AE66" s="140">
        <f t="shared" si="10"/>
        <v>4.6875</v>
      </c>
      <c r="AF66" s="140">
        <f t="shared" si="10"/>
        <v>-5.625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">
      <c r="V67" s="139">
        <f>8*$E$4/8</f>
        <v>5</v>
      </c>
      <c r="W67" s="140">
        <f t="shared" si="5"/>
        <v>-6.25</v>
      </c>
      <c r="X67" s="140">
        <f t="shared" si="6"/>
        <v>-11.875</v>
      </c>
      <c r="Y67" s="2"/>
      <c r="Z67" s="172">
        <f>8*$F$4/8</f>
        <v>5</v>
      </c>
      <c r="AA67" s="172">
        <f t="shared" si="7"/>
        <v>-9.375</v>
      </c>
      <c r="AB67" s="172">
        <f t="shared" si="8"/>
        <v>-5.625</v>
      </c>
      <c r="AC67" s="2"/>
      <c r="AD67" s="140">
        <f t="shared" si="9"/>
        <v>9.375</v>
      </c>
      <c r="AE67" s="140">
        <f t="shared" si="10"/>
        <v>0.1953125</v>
      </c>
      <c r="AF67" s="140">
        <f t="shared" si="10"/>
        <v>-8.75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">
      <c r="V68" s="23"/>
      <c r="W68" s="2"/>
      <c r="X68" s="2"/>
      <c r="Y68" s="2"/>
      <c r="Z68" s="2"/>
      <c r="AA68" s="2"/>
      <c r="AB68" s="2"/>
      <c r="AC68" s="2"/>
      <c r="AD68" s="140">
        <f t="shared" si="9"/>
        <v>10</v>
      </c>
      <c r="AE68" s="140">
        <f t="shared" si="10"/>
        <v>-6.25</v>
      </c>
      <c r="AF68" s="140">
        <f t="shared" si="10"/>
        <v>-11.875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172">
        <f t="shared" ref="AD69:AD77" si="11">$AD$68+Z59</f>
        <v>10</v>
      </c>
      <c r="AE69" s="172">
        <f t="shared" ref="AE69:AF77" si="12">AA59</f>
        <v>-6.25</v>
      </c>
      <c r="AF69" s="172">
        <f t="shared" si="12"/>
        <v>4.375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">
      <c r="V70" s="23" t="s">
        <v>120</v>
      </c>
      <c r="W70" s="2"/>
      <c r="X70" s="2"/>
      <c r="Y70" s="2"/>
      <c r="Z70" s="2" t="s">
        <v>121</v>
      </c>
      <c r="AA70" s="2"/>
      <c r="AB70" s="2"/>
      <c r="AC70" s="2"/>
      <c r="AD70" s="172">
        <f t="shared" si="11"/>
        <v>10.625</v>
      </c>
      <c r="AE70" s="172">
        <f t="shared" si="12"/>
        <v>-3.90625</v>
      </c>
      <c r="AF70" s="172">
        <f t="shared" si="12"/>
        <v>3.125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138" t="s">
        <v>2</v>
      </c>
      <c r="W71" s="136" t="s">
        <v>3</v>
      </c>
      <c r="X71" s="123" t="s">
        <v>4</v>
      </c>
      <c r="Y71" s="2"/>
      <c r="Z71" s="136" t="s">
        <v>2</v>
      </c>
      <c r="AA71" s="136" t="s">
        <v>3</v>
      </c>
      <c r="AB71" s="123" t="s">
        <v>4</v>
      </c>
      <c r="AC71" s="2"/>
      <c r="AD71" s="172">
        <f t="shared" si="11"/>
        <v>11.25</v>
      </c>
      <c r="AE71" s="172">
        <f t="shared" si="12"/>
        <v>-2.34375</v>
      </c>
      <c r="AF71" s="172">
        <f t="shared" si="12"/>
        <v>1.875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">
      <c r="V72" s="199">
        <v>0</v>
      </c>
      <c r="W72" s="200">
        <f t="shared" ref="W72:W80" si="13">-$W$23-$G$7*V72^2/2+$AC$28*V72</f>
        <v>-9.375</v>
      </c>
      <c r="X72" s="200">
        <f t="shared" ref="X72:X80" si="14">-$G$7*V72+$AC$28</f>
        <v>14.375</v>
      </c>
      <c r="Y72" s="2"/>
      <c r="Z72" s="8">
        <v>0</v>
      </c>
      <c r="AA72" s="8">
        <f>-$Z$22-$H$7*Z72^2/2+$AE$28*Z72</f>
        <v>0</v>
      </c>
      <c r="AB72" s="8">
        <f>-$H$7*Z72+$AE$28</f>
        <v>0</v>
      </c>
      <c r="AC72" s="2"/>
      <c r="AD72" s="172">
        <f t="shared" si="11"/>
        <v>11.875</v>
      </c>
      <c r="AE72" s="172">
        <f t="shared" si="12"/>
        <v>-1.5625</v>
      </c>
      <c r="AF72" s="172">
        <f t="shared" si="12"/>
        <v>0.625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">
      <c r="V73" s="199">
        <f>$G$4/8</f>
        <v>0.625</v>
      </c>
      <c r="W73" s="200">
        <f t="shared" si="13"/>
        <v>-1.3671875</v>
      </c>
      <c r="X73" s="200">
        <f t="shared" si="14"/>
        <v>11.25</v>
      </c>
      <c r="Y73" s="2"/>
      <c r="Z73" s="8">
        <f>$H$4/3</f>
        <v>0</v>
      </c>
      <c r="AA73" s="8">
        <f>-$Z$22-$H$7*Z73^2/2+$AE$28*Z73</f>
        <v>0</v>
      </c>
      <c r="AB73" s="8">
        <f>-$H$7*Z73+$AE$28</f>
        <v>0</v>
      </c>
      <c r="AC73" s="2"/>
      <c r="AD73" s="172">
        <f t="shared" si="11"/>
        <v>12.5</v>
      </c>
      <c r="AE73" s="172">
        <f t="shared" si="12"/>
        <v>-1.5625</v>
      </c>
      <c r="AF73" s="172">
        <f t="shared" si="12"/>
        <v>-0.625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">
      <c r="V74" s="199">
        <f>2*$G$4/8</f>
        <v>1.25</v>
      </c>
      <c r="W74" s="200">
        <f t="shared" si="13"/>
        <v>4.6875</v>
      </c>
      <c r="X74" s="200">
        <f t="shared" si="14"/>
        <v>8.125</v>
      </c>
      <c r="Y74" s="2"/>
      <c r="Z74" s="8">
        <f>2*$H$4/3</f>
        <v>0</v>
      </c>
      <c r="AA74" s="8">
        <f>-$Z$22-$H$7*Z74^2/2+$AE$28*Z74</f>
        <v>0</v>
      </c>
      <c r="AB74" s="8">
        <f>-$H$7*Z74+$AE$28</f>
        <v>0</v>
      </c>
      <c r="AC74" s="2"/>
      <c r="AD74" s="172">
        <f t="shared" si="11"/>
        <v>13.125</v>
      </c>
      <c r="AE74" s="172">
        <f t="shared" si="12"/>
        <v>-2.34375</v>
      </c>
      <c r="AF74" s="172">
        <f t="shared" si="12"/>
        <v>-1.875</v>
      </c>
      <c r="AG74" s="2"/>
      <c r="AH74" s="2"/>
      <c r="AI74" s="2"/>
      <c r="AJ74" s="2"/>
      <c r="AK74" s="2"/>
      <c r="AL74" s="2"/>
      <c r="AM74" s="2"/>
      <c r="AN74" s="22"/>
    </row>
    <row r="75" spans="22:40" x14ac:dyDescent="0.2">
      <c r="V75" s="199">
        <f>3*$G$4/8</f>
        <v>1.875</v>
      </c>
      <c r="W75" s="200">
        <f t="shared" si="13"/>
        <v>8.7890625</v>
      </c>
      <c r="X75" s="200">
        <f t="shared" si="14"/>
        <v>5</v>
      </c>
      <c r="Y75" s="2"/>
      <c r="Z75" s="8">
        <f>3*$H$4/3</f>
        <v>0</v>
      </c>
      <c r="AA75" s="8">
        <f>-$Z$22-$H$7*Z75^2/2+$AE$28*Z75</f>
        <v>0</v>
      </c>
      <c r="AB75" s="8">
        <f>-$H$7*Z75+$AE$28</f>
        <v>0</v>
      </c>
      <c r="AC75" s="2"/>
      <c r="AD75" s="172">
        <f t="shared" si="11"/>
        <v>13.75</v>
      </c>
      <c r="AE75" s="172">
        <f t="shared" si="12"/>
        <v>-3.90625</v>
      </c>
      <c r="AF75" s="172">
        <f t="shared" si="12"/>
        <v>-3.125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">
      <c r="V76" s="199">
        <f>4*$G$4/8</f>
        <v>2.5</v>
      </c>
      <c r="W76" s="200">
        <f t="shared" si="13"/>
        <v>10.9375</v>
      </c>
      <c r="X76" s="200">
        <f t="shared" si="14"/>
        <v>1.875</v>
      </c>
      <c r="Y76" s="2"/>
      <c r="Z76" s="122"/>
      <c r="AA76" s="122"/>
      <c r="AB76" s="122"/>
      <c r="AC76" s="2"/>
      <c r="AD76" s="172">
        <f t="shared" si="11"/>
        <v>14.375</v>
      </c>
      <c r="AE76" s="172">
        <f t="shared" si="12"/>
        <v>-6.25</v>
      </c>
      <c r="AF76" s="172">
        <f t="shared" si="12"/>
        <v>-4.375</v>
      </c>
      <c r="AG76" s="2"/>
      <c r="AH76" s="2"/>
      <c r="AI76" s="2"/>
      <c r="AJ76" s="2"/>
      <c r="AK76" s="2"/>
      <c r="AL76" s="2"/>
      <c r="AM76" s="2"/>
      <c r="AN76" s="22"/>
    </row>
    <row r="77" spans="22:40" x14ac:dyDescent="0.2">
      <c r="V77" s="199">
        <f>5*$G$4/8</f>
        <v>3.125</v>
      </c>
      <c r="W77" s="200">
        <f t="shared" si="13"/>
        <v>11.1328125</v>
      </c>
      <c r="X77" s="200">
        <f t="shared" si="14"/>
        <v>-1.25</v>
      </c>
      <c r="Y77" s="2"/>
      <c r="Z77" s="3"/>
      <c r="AA77" s="3"/>
      <c r="AB77" s="3"/>
      <c r="AC77" s="2"/>
      <c r="AD77" s="172">
        <f t="shared" si="11"/>
        <v>15</v>
      </c>
      <c r="AE77" s="172">
        <f t="shared" si="12"/>
        <v>-9.375</v>
      </c>
      <c r="AF77" s="172">
        <f t="shared" si="12"/>
        <v>-5.625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">
      <c r="V78" s="199">
        <f>6*$G$4/8</f>
        <v>3.75</v>
      </c>
      <c r="W78" s="200">
        <f t="shared" si="13"/>
        <v>9.375</v>
      </c>
      <c r="X78" s="200">
        <f t="shared" si="14"/>
        <v>-4.375</v>
      </c>
      <c r="Y78" s="2"/>
      <c r="Z78" s="3"/>
      <c r="AA78" s="3"/>
      <c r="AB78" s="3"/>
      <c r="AC78" s="2"/>
      <c r="AD78" s="200">
        <f t="shared" ref="AD78:AD86" si="15">$AD$77+V72</f>
        <v>15</v>
      </c>
      <c r="AE78" s="200">
        <f t="shared" ref="AE78:AF86" si="16">W72</f>
        <v>-9.375</v>
      </c>
      <c r="AF78" s="200">
        <f t="shared" si="16"/>
        <v>14.375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">
      <c r="V79" s="199">
        <f>7*$G$4/8</f>
        <v>4.375</v>
      </c>
      <c r="W79" s="200">
        <f t="shared" si="13"/>
        <v>5.6640625</v>
      </c>
      <c r="X79" s="200">
        <f t="shared" si="14"/>
        <v>-7.5</v>
      </c>
      <c r="Y79" s="2"/>
      <c r="Z79" s="3"/>
      <c r="AA79" s="3"/>
      <c r="AB79" s="3"/>
      <c r="AC79" s="2"/>
      <c r="AD79" s="200">
        <f t="shared" si="15"/>
        <v>15.625</v>
      </c>
      <c r="AE79" s="200">
        <f t="shared" si="16"/>
        <v>-1.3671875</v>
      </c>
      <c r="AF79" s="200">
        <f t="shared" si="16"/>
        <v>11.25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">
      <c r="V80" s="199">
        <f>8*$G$4/8</f>
        <v>5</v>
      </c>
      <c r="W80" s="200">
        <f t="shared" si="13"/>
        <v>0</v>
      </c>
      <c r="X80" s="200">
        <f t="shared" si="14"/>
        <v>-10.625</v>
      </c>
      <c r="Y80" s="2"/>
      <c r="Z80" s="3"/>
      <c r="AA80" s="3"/>
      <c r="AB80" s="3"/>
      <c r="AC80" s="2"/>
      <c r="AD80" s="200">
        <f t="shared" si="15"/>
        <v>16.25</v>
      </c>
      <c r="AE80" s="200">
        <f t="shared" si="16"/>
        <v>4.6875</v>
      </c>
      <c r="AF80" s="200">
        <f t="shared" si="16"/>
        <v>8.125</v>
      </c>
      <c r="AG80" s="2"/>
      <c r="AH80" s="2"/>
      <c r="AI80" s="2"/>
      <c r="AJ80" s="2"/>
      <c r="AK80" s="2"/>
      <c r="AL80" s="2"/>
      <c r="AM80" s="2"/>
      <c r="AN80" s="22"/>
    </row>
    <row r="81" spans="5:40" x14ac:dyDescent="0.2">
      <c r="V81" s="23"/>
      <c r="W81" s="2"/>
      <c r="X81" s="2"/>
      <c r="Y81" s="2"/>
      <c r="Z81" s="2"/>
      <c r="AA81" s="2"/>
      <c r="AB81" s="2"/>
      <c r="AC81" s="2"/>
      <c r="AD81" s="200">
        <f t="shared" si="15"/>
        <v>16.875</v>
      </c>
      <c r="AE81" s="200">
        <f t="shared" si="16"/>
        <v>8.7890625</v>
      </c>
      <c r="AF81" s="200">
        <f t="shared" si="16"/>
        <v>5</v>
      </c>
      <c r="AG81" s="2"/>
      <c r="AH81" s="2"/>
      <c r="AI81" s="2"/>
      <c r="AJ81" s="2"/>
      <c r="AK81" s="2"/>
      <c r="AL81" s="2"/>
      <c r="AM81" s="2"/>
      <c r="AN81" s="22"/>
    </row>
    <row r="82" spans="5:40" x14ac:dyDescent="0.2">
      <c r="V82" s="23"/>
      <c r="W82" s="2"/>
      <c r="X82" s="2"/>
      <c r="Y82" s="2"/>
      <c r="Z82" s="2"/>
      <c r="AA82" s="2"/>
      <c r="AB82" s="2"/>
      <c r="AC82" s="2"/>
      <c r="AD82" s="200">
        <f t="shared" si="15"/>
        <v>17.5</v>
      </c>
      <c r="AE82" s="200">
        <f t="shared" si="16"/>
        <v>10.9375</v>
      </c>
      <c r="AF82" s="200">
        <f t="shared" si="16"/>
        <v>1.875</v>
      </c>
      <c r="AG82" s="2"/>
      <c r="AH82" s="2"/>
      <c r="AI82" s="2"/>
      <c r="AJ82" s="2"/>
      <c r="AK82" s="2"/>
      <c r="AL82" s="2"/>
      <c r="AM82" s="2"/>
      <c r="AN82" s="22"/>
    </row>
    <row r="83" spans="5:40" x14ac:dyDescent="0.2">
      <c r="V83" s="23"/>
      <c r="W83" s="2"/>
      <c r="X83" s="2"/>
      <c r="Y83" s="2"/>
      <c r="Z83" s="2"/>
      <c r="AA83" s="2"/>
      <c r="AB83" s="2"/>
      <c r="AC83" s="2"/>
      <c r="AD83" s="200">
        <f t="shared" si="15"/>
        <v>18.125</v>
      </c>
      <c r="AE83" s="200">
        <f t="shared" si="16"/>
        <v>11.1328125</v>
      </c>
      <c r="AF83" s="200">
        <f t="shared" si="16"/>
        <v>-1.25</v>
      </c>
      <c r="AG83" s="2"/>
      <c r="AH83" s="2"/>
      <c r="AI83" s="2"/>
      <c r="AJ83" s="2"/>
      <c r="AK83" s="2"/>
      <c r="AL83" s="2"/>
      <c r="AM83" s="2"/>
      <c r="AN83" s="22"/>
    </row>
    <row r="84" spans="5:40" x14ac:dyDescent="0.2">
      <c r="V84" s="23"/>
      <c r="W84" s="2"/>
      <c r="X84" s="2"/>
      <c r="Y84" s="2"/>
      <c r="Z84" s="2"/>
      <c r="AA84" s="2"/>
      <c r="AB84" s="2"/>
      <c r="AC84" s="2"/>
      <c r="AD84" s="200">
        <f t="shared" si="15"/>
        <v>18.75</v>
      </c>
      <c r="AE84" s="200">
        <f t="shared" si="16"/>
        <v>9.375</v>
      </c>
      <c r="AF84" s="200">
        <f t="shared" si="16"/>
        <v>-4.375</v>
      </c>
      <c r="AG84" s="2"/>
      <c r="AH84" s="2"/>
      <c r="AI84" s="2"/>
      <c r="AJ84" s="2"/>
      <c r="AK84" s="2"/>
      <c r="AL84" s="2"/>
      <c r="AM84" s="2"/>
      <c r="AN84" s="22"/>
    </row>
    <row r="85" spans="5:40" x14ac:dyDescent="0.2">
      <c r="V85" s="23"/>
      <c r="W85" s="2"/>
      <c r="X85" s="2"/>
      <c r="Y85" s="2"/>
      <c r="Z85" s="2"/>
      <c r="AA85" s="2"/>
      <c r="AB85" s="2"/>
      <c r="AC85" s="2"/>
      <c r="AD85" s="200">
        <f t="shared" si="15"/>
        <v>19.375</v>
      </c>
      <c r="AE85" s="200">
        <f t="shared" si="16"/>
        <v>5.6640625</v>
      </c>
      <c r="AF85" s="200">
        <f t="shared" si="16"/>
        <v>-7.5</v>
      </c>
      <c r="AG85" s="2"/>
      <c r="AH85" s="2"/>
      <c r="AI85" s="2"/>
      <c r="AJ85" s="2"/>
      <c r="AK85" s="2"/>
      <c r="AL85" s="2"/>
      <c r="AM85" s="2"/>
      <c r="AN85" s="22"/>
    </row>
    <row r="86" spans="5:40" x14ac:dyDescent="0.2">
      <c r="V86" s="23"/>
      <c r="W86" s="2"/>
      <c r="X86" s="2"/>
      <c r="Y86" s="2"/>
      <c r="Z86" s="2"/>
      <c r="AA86" s="2"/>
      <c r="AB86" s="2"/>
      <c r="AC86" s="2"/>
      <c r="AD86" s="200">
        <f t="shared" si="15"/>
        <v>20</v>
      </c>
      <c r="AE86" s="200">
        <f t="shared" si="16"/>
        <v>0</v>
      </c>
      <c r="AF86" s="200">
        <f t="shared" si="16"/>
        <v>-10.625</v>
      </c>
      <c r="AG86" s="2"/>
      <c r="AH86" s="2"/>
      <c r="AI86" s="2"/>
      <c r="AJ86" s="2"/>
      <c r="AK86" s="2"/>
      <c r="AL86" s="2"/>
      <c r="AM86" s="2"/>
      <c r="AN86" s="22"/>
    </row>
    <row r="87" spans="5:40" x14ac:dyDescent="0.2">
      <c r="V87" s="23"/>
      <c r="W87" s="2"/>
      <c r="X87" s="2"/>
      <c r="Y87" s="2"/>
      <c r="Z87" s="2"/>
      <c r="AA87" s="2"/>
      <c r="AB87" s="2"/>
      <c r="AC87" s="2"/>
      <c r="AD87" s="8">
        <f>$AD$86+Z72</f>
        <v>20</v>
      </c>
      <c r="AE87" s="8">
        <f t="shared" ref="AE87:AF90" si="17">AA72</f>
        <v>0</v>
      </c>
      <c r="AF87" s="8">
        <f t="shared" si="17"/>
        <v>0</v>
      </c>
      <c r="AG87" s="2"/>
      <c r="AH87" s="2"/>
      <c r="AI87" s="2"/>
      <c r="AJ87" s="2"/>
      <c r="AK87" s="2"/>
      <c r="AL87" s="2"/>
      <c r="AM87" s="2"/>
      <c r="AN87" s="22"/>
    </row>
    <row r="88" spans="5:40" x14ac:dyDescent="0.2">
      <c r="V88" s="23"/>
      <c r="W88" s="2"/>
      <c r="X88" s="2"/>
      <c r="Y88" s="2"/>
      <c r="Z88" s="2"/>
      <c r="AA88" s="2"/>
      <c r="AB88" s="2"/>
      <c r="AC88" s="2"/>
      <c r="AD88" s="8">
        <f>$AD$86+Z73</f>
        <v>20</v>
      </c>
      <c r="AE88" s="8">
        <f t="shared" si="17"/>
        <v>0</v>
      </c>
      <c r="AF88" s="8">
        <f t="shared" si="17"/>
        <v>0</v>
      </c>
      <c r="AG88" s="2"/>
      <c r="AH88" s="2"/>
      <c r="AI88" s="2"/>
      <c r="AJ88" s="2"/>
      <c r="AK88" s="2"/>
      <c r="AL88" s="2"/>
      <c r="AM88" s="2"/>
      <c r="AN88" s="22"/>
    </row>
    <row r="89" spans="5:40" x14ac:dyDescent="0.2">
      <c r="M89" s="2"/>
      <c r="N89" s="2"/>
      <c r="V89" s="23"/>
      <c r="W89" s="2"/>
      <c r="X89" s="2"/>
      <c r="Y89" s="2"/>
      <c r="Z89" s="2"/>
      <c r="AA89" s="2"/>
      <c r="AB89" s="2"/>
      <c r="AC89" s="2"/>
      <c r="AD89" s="8">
        <f>$AD$86+Z74</f>
        <v>20</v>
      </c>
      <c r="AE89" s="8">
        <f t="shared" si="17"/>
        <v>0</v>
      </c>
      <c r="AF89" s="8">
        <f t="shared" si="17"/>
        <v>0</v>
      </c>
      <c r="AG89" s="2"/>
      <c r="AH89" s="2"/>
      <c r="AI89" s="2"/>
      <c r="AJ89" s="2"/>
      <c r="AK89" s="2"/>
      <c r="AL89" s="2"/>
      <c r="AM89" s="2"/>
      <c r="AN89" s="22"/>
    </row>
    <row r="90" spans="5:40" ht="12.75" thickBot="1" x14ac:dyDescent="0.25">
      <c r="M90" s="11"/>
      <c r="N90" s="11"/>
      <c r="V90" s="189"/>
      <c r="W90" s="27"/>
      <c r="X90" s="27"/>
      <c r="Y90" s="27"/>
      <c r="Z90" s="27"/>
      <c r="AA90" s="27"/>
      <c r="AB90" s="27"/>
      <c r="AC90" s="27"/>
      <c r="AD90" s="143">
        <f>$AD$86+Z75</f>
        <v>20</v>
      </c>
      <c r="AE90" s="143">
        <f t="shared" si="17"/>
        <v>0</v>
      </c>
      <c r="AF90" s="143">
        <f t="shared" si="17"/>
        <v>0</v>
      </c>
      <c r="AG90" s="27"/>
      <c r="AH90" s="27"/>
      <c r="AI90" s="27"/>
      <c r="AJ90" s="27"/>
      <c r="AK90" s="27"/>
      <c r="AL90" s="27"/>
      <c r="AM90" s="27"/>
      <c r="AN90" s="28"/>
    </row>
    <row r="91" spans="5:40" ht="12.75" thickTop="1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26"/>
  <dimension ref="A1:AT100"/>
  <sheetViews>
    <sheetView zoomScale="85" zoomScaleNormal="85" workbookViewId="0">
      <selection activeCell="I21" sqref="I21"/>
    </sheetView>
  </sheetViews>
  <sheetFormatPr defaultColWidth="9.140625" defaultRowHeight="12" x14ac:dyDescent="0.2"/>
  <cols>
    <col min="1" max="16384" width="9.140625" style="1"/>
  </cols>
  <sheetData>
    <row r="1" spans="1:40" ht="15.75" customHeight="1" thickBot="1" x14ac:dyDescent="0.25">
      <c r="A1" s="334" t="s">
        <v>28</v>
      </c>
      <c r="B1" s="334"/>
      <c r="C1" s="334"/>
      <c r="D1" s="334"/>
      <c r="E1" s="334"/>
      <c r="F1" s="334"/>
      <c r="G1" s="334"/>
      <c r="H1" s="334"/>
      <c r="I1" s="334"/>
      <c r="J1" s="334"/>
      <c r="K1" s="2"/>
    </row>
    <row r="2" spans="1:40" ht="12.75" thickTop="1" x14ac:dyDescent="0.2">
      <c r="E2" s="12"/>
    </row>
    <row r="3" spans="1:40" ht="13.5" x14ac:dyDescent="0.2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106</v>
      </c>
      <c r="H3" s="13" t="s">
        <v>34</v>
      </c>
    </row>
    <row r="4" spans="1:40" x14ac:dyDescent="0.2">
      <c r="C4" s="14">
        <f>'CCCC-Trave'!C15</f>
        <v>0</v>
      </c>
      <c r="D4" s="14">
        <f>'CCCC-Trave'!D15</f>
        <v>5</v>
      </c>
      <c r="E4" s="14">
        <f>'CCCC-Trave'!E15</f>
        <v>5</v>
      </c>
      <c r="F4" s="14">
        <f>'CCCC-Trave'!F15</f>
        <v>5</v>
      </c>
      <c r="G4" s="14">
        <f>'CCCC-Trave'!G15</f>
        <v>5</v>
      </c>
      <c r="H4" s="14">
        <f>'CCCC-Trave'!H15</f>
        <v>0</v>
      </c>
    </row>
    <row r="6" spans="1:40" ht="13.5" x14ac:dyDescent="0.2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107</v>
      </c>
      <c r="H6" s="13" t="s">
        <v>37</v>
      </c>
    </row>
    <row r="7" spans="1:40" x14ac:dyDescent="0.2">
      <c r="B7" s="1" t="s">
        <v>44</v>
      </c>
      <c r="C7" s="14">
        <f>'CCCC-Trave'!C28</f>
        <v>0</v>
      </c>
      <c r="D7" s="14">
        <f>'CCCC-Trave'!D28</f>
        <v>5</v>
      </c>
      <c r="E7" s="14">
        <f>'CCCC-Trave'!E28</f>
        <v>5</v>
      </c>
      <c r="F7" s="14">
        <f>'CCCC-Trave'!F28</f>
        <v>2</v>
      </c>
      <c r="G7" s="14">
        <f>'CCCC-Trave'!G28</f>
        <v>2</v>
      </c>
      <c r="H7" s="14">
        <f>'CCCC-Trave'!H28</f>
        <v>0</v>
      </c>
    </row>
    <row r="8" spans="1:40" x14ac:dyDescent="0.2">
      <c r="C8" s="14"/>
      <c r="D8" s="14"/>
      <c r="E8" s="14"/>
      <c r="F8" s="14"/>
      <c r="G8" s="14"/>
      <c r="H8" s="14"/>
    </row>
    <row r="9" spans="1:40" x14ac:dyDescent="0.2">
      <c r="C9" s="14"/>
      <c r="D9" s="14"/>
      <c r="E9" s="14"/>
      <c r="F9" s="14"/>
      <c r="G9" s="14"/>
      <c r="H9" s="14"/>
    </row>
    <row r="10" spans="1:40" x14ac:dyDescent="0.2">
      <c r="C10" s="14"/>
      <c r="D10" s="14"/>
      <c r="E10" s="14"/>
      <c r="F10" s="14"/>
      <c r="G10" s="14"/>
      <c r="H10" s="14"/>
    </row>
    <row r="11" spans="1:40" x14ac:dyDescent="0.2">
      <c r="C11" s="14"/>
      <c r="D11" s="14"/>
      <c r="E11" s="14"/>
      <c r="F11" s="14"/>
      <c r="G11" s="14"/>
      <c r="H11" s="14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45" t="s">
        <v>31</v>
      </c>
      <c r="B15" s="345"/>
      <c r="C15" s="345"/>
      <c r="D15" s="345"/>
      <c r="E15" s="345"/>
      <c r="F15" s="345"/>
      <c r="G15" s="345"/>
      <c r="H15" s="345"/>
      <c r="I15" s="345"/>
      <c r="J15" s="345"/>
    </row>
    <row r="16" spans="1:40" ht="12.75" thickTop="1" x14ac:dyDescent="0.2">
      <c r="V16" s="144">
        <f>-(D4/D18+E4/I18)/3</f>
        <v>-25000</v>
      </c>
      <c r="W16" s="192">
        <f>-E4/(6*I18)</f>
        <v>-6250</v>
      </c>
      <c r="X16" s="192">
        <v>0</v>
      </c>
      <c r="Y16" s="19"/>
      <c r="Z16" s="193">
        <f t="array" ref="Z16:AB18">MINVERSE(V16:X18)</f>
        <v>-4.2857142857142856E-5</v>
      </c>
      <c r="AA16" s="193">
        <v>1.1428571428571427E-5</v>
      </c>
      <c r="AB16" s="193">
        <v>-2.8571428571428568E-6</v>
      </c>
      <c r="AC16" s="19"/>
      <c r="AD16" s="19"/>
      <c r="AE16" s="194">
        <f>AB22</f>
        <v>-390625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3.5" x14ac:dyDescent="0.2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38">
        <f>-E4/(6*I18)</f>
        <v>-6250</v>
      </c>
      <c r="W17" s="136">
        <f>-(E4/I18+F4/D21)/3</f>
        <v>-25000</v>
      </c>
      <c r="X17" s="136">
        <f>-F4/(6*D21)</f>
        <v>-6250</v>
      </c>
      <c r="Y17" s="2"/>
      <c r="Z17" s="123">
        <v>1.1428571428571429E-5</v>
      </c>
      <c r="AA17" s="123">
        <v>-4.5714285714285716E-5</v>
      </c>
      <c r="AB17" s="123">
        <v>1.1428571428571429E-5</v>
      </c>
      <c r="AC17" s="2"/>
      <c r="AD17" s="2"/>
      <c r="AE17" s="124">
        <f>AC22</f>
        <v>-273437.5</v>
      </c>
      <c r="AF17" s="2"/>
      <c r="AG17" s="2"/>
      <c r="AH17" s="123">
        <v>0</v>
      </c>
      <c r="AI17" s="123">
        <f>5+MAX('CCCC-car.2'!AI17:AI56)</f>
        <v>30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'CCCC-Trave'!B77</f>
        <v>1</v>
      </c>
      <c r="C18" s="16">
        <f>'CCCC-Trave'!C77</f>
        <v>1.3333333333333334E-4</v>
      </c>
      <c r="D18" s="16">
        <f>B18*C18</f>
        <v>1.3333333333333334E-4</v>
      </c>
      <c r="G18" s="16">
        <f>'CCCC-Trave'!G77</f>
        <v>1</v>
      </c>
      <c r="H18" s="16">
        <f>'CCCC-Trave'!H77</f>
        <v>1.3333333333333334E-4</v>
      </c>
      <c r="I18" s="16">
        <f>G18*H18</f>
        <v>1.3333333333333334E-4</v>
      </c>
      <c r="V18" s="138">
        <v>0</v>
      </c>
      <c r="W18" s="136">
        <f>-F4/(6*D21)</f>
        <v>-6250</v>
      </c>
      <c r="X18" s="136">
        <f>-(F4/D21+G4/I21)/3</f>
        <v>-25000</v>
      </c>
      <c r="Y18" s="2"/>
      <c r="Z18" s="123">
        <v>-2.8571428571428573E-6</v>
      </c>
      <c r="AA18" s="123">
        <v>1.1428571428571429E-5</v>
      </c>
      <c r="AB18" s="123">
        <v>-4.2857142857142856E-5</v>
      </c>
      <c r="AC18" s="2"/>
      <c r="AD18" s="2"/>
      <c r="AE18" s="124">
        <f>AD22</f>
        <v>-156250</v>
      </c>
      <c r="AF18" s="2"/>
      <c r="AG18" s="2"/>
      <c r="AH18" s="123">
        <f>C4</f>
        <v>0</v>
      </c>
      <c r="AI18" s="123">
        <f>AI17</f>
        <v>30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 t="s">
        <v>95</v>
      </c>
      <c r="X19" s="3"/>
      <c r="Y19" s="3"/>
      <c r="Z19" s="3"/>
      <c r="AA19" s="3" t="s">
        <v>96</v>
      </c>
      <c r="AB19" s="3"/>
      <c r="AC19" s="3"/>
      <c r="AD19" s="3"/>
      <c r="AE19" s="3" t="s">
        <v>97</v>
      </c>
      <c r="AF19" s="2"/>
      <c r="AG19" s="2"/>
      <c r="AH19" s="123">
        <f>AH18</f>
        <v>0</v>
      </c>
      <c r="AI19" s="123">
        <f>AI18+C7</f>
        <v>30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3.5" x14ac:dyDescent="0.25">
      <c r="A20" s="17" t="s">
        <v>88</v>
      </c>
      <c r="B20" s="16" t="s">
        <v>89</v>
      </c>
      <c r="C20" s="16" t="s">
        <v>90</v>
      </c>
      <c r="D20" s="16" t="s">
        <v>91</v>
      </c>
      <c r="F20" s="17" t="s">
        <v>108</v>
      </c>
      <c r="G20" s="16" t="s">
        <v>109</v>
      </c>
      <c r="H20" s="16" t="s">
        <v>110</v>
      </c>
      <c r="I20" s="16" t="s">
        <v>111</v>
      </c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30</v>
      </c>
      <c r="AJ20" s="2"/>
      <c r="AK20" s="8">
        <f>AK19</f>
        <v>5</v>
      </c>
      <c r="AL20" s="8">
        <f>AE59</f>
        <v>-14.0625</v>
      </c>
      <c r="AM20" s="2"/>
      <c r="AN20" s="22"/>
    </row>
    <row r="21" spans="1:46" s="46" customFormat="1" x14ac:dyDescent="0.2">
      <c r="A21" s="1"/>
      <c r="B21" s="16">
        <f>'CCCC-Trave'!B80</f>
        <v>1</v>
      </c>
      <c r="C21" s="16">
        <f>'CCCC-Trave'!C80</f>
        <v>1.3333333333333334E-4</v>
      </c>
      <c r="D21" s="16">
        <f>B21*C21</f>
        <v>1.3333333333333334E-4</v>
      </c>
      <c r="G21" s="16">
        <f>'CCCC-Trave'!G80</f>
        <v>1</v>
      </c>
      <c r="H21" s="16">
        <f>'CCCC-Trave'!H80</f>
        <v>1.3333333333333334E-4</v>
      </c>
      <c r="I21" s="16">
        <f>G21*H21</f>
        <v>1.3333333333333334E-4</v>
      </c>
      <c r="V21" s="24" t="s">
        <v>7</v>
      </c>
      <c r="W21" s="8">
        <f t="array" ref="W21:W23">MMULT(matCinv,matN)</f>
        <v>14.062499999999998</v>
      </c>
      <c r="X21" s="2"/>
      <c r="Y21" s="123" t="s">
        <v>12</v>
      </c>
      <c r="Z21" s="123">
        <f>C7*C4^2/2</f>
        <v>0</v>
      </c>
      <c r="AA21" s="2"/>
      <c r="AB21" s="123" t="s">
        <v>79</v>
      </c>
      <c r="AC21" s="123" t="s">
        <v>98</v>
      </c>
      <c r="AD21" s="123" t="s">
        <v>115</v>
      </c>
      <c r="AE21" s="2"/>
      <c r="AF21" s="2"/>
      <c r="AG21" s="2"/>
      <c r="AH21" s="123">
        <v>0</v>
      </c>
      <c r="AI21" s="123">
        <f>AI17</f>
        <v>30</v>
      </c>
      <c r="AJ21" s="2"/>
      <c r="AK21" s="8">
        <f>AK57</f>
        <v>10</v>
      </c>
      <c r="AL21" s="8">
        <v>0</v>
      </c>
      <c r="AM21" s="2"/>
      <c r="AN21" s="22"/>
    </row>
    <row r="22" spans="1:46" x14ac:dyDescent="0.2">
      <c r="V22" s="24" t="s">
        <v>80</v>
      </c>
      <c r="W22" s="8">
        <v>6.2499999999999991</v>
      </c>
      <c r="X22" s="2"/>
      <c r="Y22" s="123" t="s">
        <v>116</v>
      </c>
      <c r="Z22" s="123">
        <f>H7*H4^2/2</f>
        <v>0</v>
      </c>
      <c r="AA22" s="2"/>
      <c r="AB22" s="124">
        <f>(C7*C4^2/2)*D4/(6*D18)-D7*D4^3/(24*D18)-E7*E4^3/(24*I18)</f>
        <v>-390625</v>
      </c>
      <c r="AC22" s="124">
        <f>-E7*E4^3/(24*I18)-F7*F4^3/(24*D21)</f>
        <v>-273437.5</v>
      </c>
      <c r="AD22" s="124">
        <f>-F7*F4^3/(24*D21)-G7*G4^3/(24*I21)+(H7*H4^2/2)*G4/(6*I21)</f>
        <v>-156250</v>
      </c>
      <c r="AE22" s="2"/>
      <c r="AF22" s="2"/>
      <c r="AG22" s="2"/>
      <c r="AH22" s="2"/>
      <c r="AI22" s="2"/>
      <c r="AJ22" s="2"/>
      <c r="AK22" s="8">
        <f>AK21</f>
        <v>10</v>
      </c>
      <c r="AL22" s="8">
        <f>AE68</f>
        <v>-6.25</v>
      </c>
      <c r="AM22" s="2"/>
      <c r="AN22" s="22"/>
    </row>
    <row r="23" spans="1:46" x14ac:dyDescent="0.2">
      <c r="V23" s="24" t="s">
        <v>99</v>
      </c>
      <c r="W23" s="8">
        <v>4.6875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8">
        <f>AK58</f>
        <v>15</v>
      </c>
      <c r="AL23" s="8">
        <v>0</v>
      </c>
      <c r="AM23" s="2"/>
      <c r="AN23" s="22"/>
    </row>
    <row r="24" spans="1:46" x14ac:dyDescent="0.2">
      <c r="V24" s="24"/>
      <c r="W24" s="3" t="s">
        <v>100</v>
      </c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C4</f>
        <v>0</v>
      </c>
      <c r="AI24" s="123">
        <f>AI17</f>
        <v>30</v>
      </c>
      <c r="AJ24" s="2"/>
      <c r="AK24" s="8">
        <f>AK23</f>
        <v>15</v>
      </c>
      <c r="AL24" s="8">
        <f>AE77</f>
        <v>-4.6875</v>
      </c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30</v>
      </c>
      <c r="AJ25" s="2"/>
      <c r="AK25" s="8">
        <f>AK59</f>
        <v>20</v>
      </c>
      <c r="AL25" s="8">
        <v>0</v>
      </c>
      <c r="AM25" s="2"/>
      <c r="AN25" s="22"/>
    </row>
    <row r="26" spans="1:46" x14ac:dyDescent="0.2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AI25+D7</f>
        <v>35</v>
      </c>
      <c r="AJ26" s="3"/>
      <c r="AK26" s="8">
        <f>AK25</f>
        <v>20</v>
      </c>
      <c r="AL26" s="8">
        <f>AE86</f>
        <v>0</v>
      </c>
      <c r="AM26" s="2"/>
      <c r="AN26" s="22"/>
    </row>
    <row r="27" spans="1:46" x14ac:dyDescent="0.2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123" t="s">
        <v>92</v>
      </c>
      <c r="AC27" s="123" t="s">
        <v>93</v>
      </c>
      <c r="AD27" s="123" t="s">
        <v>112</v>
      </c>
      <c r="AE27" s="123" t="s">
        <v>113</v>
      </c>
      <c r="AF27" s="3"/>
      <c r="AG27" s="3"/>
      <c r="AH27" s="123">
        <f>AH24</f>
        <v>0</v>
      </c>
      <c r="AI27" s="123">
        <f>AI26</f>
        <v>35</v>
      </c>
      <c r="AJ27" s="3"/>
      <c r="AK27" s="8">
        <f>AK60</f>
        <v>20</v>
      </c>
      <c r="AL27" s="8">
        <v>0</v>
      </c>
      <c r="AM27" s="2"/>
      <c r="AN27" s="22"/>
    </row>
    <row r="28" spans="1:46" x14ac:dyDescent="0.2">
      <c r="V28" s="126">
        <f>C7*C4</f>
        <v>0</v>
      </c>
      <c r="W28" s="8">
        <f>D7*D4-X28</f>
        <v>9.6875</v>
      </c>
      <c r="X28" s="8">
        <f>(W21-Z21+D7*D4^2/2)/D4</f>
        <v>15.3125</v>
      </c>
      <c r="Y28" s="8">
        <f>E7*E4-Z28</f>
        <v>14.0625</v>
      </c>
      <c r="Z28" s="8">
        <f>(W22-W21+E7*E4^2/2)/E4</f>
        <v>10.9375</v>
      </c>
      <c r="AA28" s="8">
        <f>F7*F4-AB28</f>
        <v>5.3125</v>
      </c>
      <c r="AB28" s="8">
        <f>(W23-W22+F7*F4^2/2)/F4</f>
        <v>4.6875</v>
      </c>
      <c r="AC28" s="8">
        <f>G7*G4-AD28</f>
        <v>5.9375</v>
      </c>
      <c r="AD28" s="8">
        <f>(Z22-W23+G7*G4^2/2)/G4</f>
        <v>4.0625</v>
      </c>
      <c r="AE28" s="8">
        <f>H7*H4</f>
        <v>0</v>
      </c>
      <c r="AF28" s="3"/>
      <c r="AG28" s="3"/>
      <c r="AH28" s="123">
        <f>AH24</f>
        <v>0</v>
      </c>
      <c r="AI28" s="123">
        <f>AI24</f>
        <v>30</v>
      </c>
      <c r="AJ28" s="3"/>
      <c r="AK28" s="8">
        <f>AK27</f>
        <v>20</v>
      </c>
      <c r="AL28" s="8">
        <f>AE90</f>
        <v>0</v>
      </c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">
      <c r="V31" s="23"/>
      <c r="W31" s="2"/>
      <c r="X31" s="123" t="s">
        <v>0</v>
      </c>
      <c r="Y31" s="123" t="s">
        <v>1</v>
      </c>
      <c r="Z31" s="123" t="s">
        <v>78</v>
      </c>
      <c r="AA31" s="123" t="s">
        <v>94</v>
      </c>
      <c r="AB31" s="123" t="s">
        <v>114</v>
      </c>
      <c r="AC31" s="2"/>
      <c r="AD31" s="2"/>
      <c r="AE31" s="2"/>
      <c r="AF31" s="2"/>
      <c r="AG31" s="2"/>
      <c r="AH31" s="8">
        <f>AK56</f>
        <v>5</v>
      </c>
      <c r="AI31" s="123">
        <f>AI17</f>
        <v>30</v>
      </c>
      <c r="AJ31" s="2"/>
      <c r="AK31" s="2" t="s">
        <v>21</v>
      </c>
      <c r="AL31" s="2"/>
      <c r="AM31" s="2"/>
      <c r="AN31" s="22"/>
    </row>
    <row r="32" spans="1:46" x14ac:dyDescent="0.2">
      <c r="V32" s="23"/>
      <c r="W32" s="2"/>
      <c r="X32" s="8">
        <f>V28+W28</f>
        <v>9.6875</v>
      </c>
      <c r="Y32" s="8">
        <f>X28+Y28</f>
        <v>29.375</v>
      </c>
      <c r="Z32" s="8">
        <f>Z28+AA28</f>
        <v>16.25</v>
      </c>
      <c r="AA32" s="8">
        <f>AB28+AC28</f>
        <v>10.625</v>
      </c>
      <c r="AB32" s="8">
        <f>AD28+AE28</f>
        <v>4.0625</v>
      </c>
      <c r="AC32" s="2"/>
      <c r="AD32" s="2"/>
      <c r="AE32" s="2"/>
      <c r="AF32" s="2"/>
      <c r="AG32" s="2"/>
      <c r="AH32" s="8">
        <f>AK57</f>
        <v>10</v>
      </c>
      <c r="AI32" s="123">
        <f>AI31</f>
        <v>30</v>
      </c>
      <c r="AJ32" s="2"/>
      <c r="AK32" s="195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10</v>
      </c>
      <c r="AI33" s="123">
        <f>AI32+E7</f>
        <v>35</v>
      </c>
      <c r="AJ33" s="2"/>
      <c r="AK33" s="196" t="s">
        <v>23</v>
      </c>
      <c r="AL33" s="8">
        <f>W28/D7</f>
        <v>1.9375</v>
      </c>
      <c r="AM33" s="8">
        <f>C4+AL33</f>
        <v>1.9375</v>
      </c>
      <c r="AN33" s="129">
        <f>W28*AL33-D7*AL33^2/2+AE50</f>
        <v>9.384765625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35</v>
      </c>
      <c r="AJ34" s="2"/>
      <c r="AK34" s="197" t="s">
        <v>82</v>
      </c>
      <c r="AL34" s="8">
        <f>Y28/E7</f>
        <v>2.8125</v>
      </c>
      <c r="AM34" s="8">
        <f>C4+D4+AL34</f>
        <v>7.8125</v>
      </c>
      <c r="AN34" s="129">
        <f>Y28*AL34-E7*AL34^2/2+AE59</f>
        <v>5.712890625</v>
      </c>
    </row>
    <row r="35" spans="22:40" x14ac:dyDescent="0.2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30</v>
      </c>
      <c r="AJ35" s="2"/>
      <c r="AK35" s="197" t="s">
        <v>101</v>
      </c>
      <c r="AL35" s="8">
        <f>AA28/F7</f>
        <v>2.65625</v>
      </c>
      <c r="AM35" s="8">
        <f>C4+D4+E4+AL35</f>
        <v>12.65625</v>
      </c>
      <c r="AN35" s="129">
        <f>AA28*AL35-F7*AL35^2/2+AE68</f>
        <v>0.8056640625</v>
      </c>
    </row>
    <row r="36" spans="22:40" x14ac:dyDescent="0.2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10</v>
      </c>
      <c r="AC36" s="132">
        <v>0</v>
      </c>
      <c r="AD36" s="2"/>
      <c r="AE36" s="2"/>
      <c r="AF36" s="2"/>
      <c r="AG36" s="2"/>
      <c r="AH36" s="2"/>
      <c r="AI36" s="2"/>
      <c r="AJ36" s="2"/>
      <c r="AK36" s="130" t="s">
        <v>117</v>
      </c>
      <c r="AL36" s="8">
        <f>AC28/G7</f>
        <v>2.96875</v>
      </c>
      <c r="AM36" s="8">
        <f>C4+D4+E4+F4+AL36</f>
        <v>17.96875</v>
      </c>
      <c r="AN36" s="129">
        <f>AC28*AL36-G7*AL36^2/2+AE77</f>
        <v>4.1259765625</v>
      </c>
    </row>
    <row r="37" spans="22:40" x14ac:dyDescent="0.2">
      <c r="V37" s="131">
        <f>V36</f>
        <v>0</v>
      </c>
      <c r="W37" s="133">
        <f>-X32</f>
        <v>-9.6875</v>
      </c>
      <c r="X37" s="2"/>
      <c r="Y37" s="133">
        <f>Y36</f>
        <v>5</v>
      </c>
      <c r="Z37" s="133">
        <f>-Y32</f>
        <v>-29.375</v>
      </c>
      <c r="AA37" s="2"/>
      <c r="AB37" s="133">
        <f>AB36</f>
        <v>10</v>
      </c>
      <c r="AC37" s="133">
        <f>-Z32</f>
        <v>-16.25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10</v>
      </c>
      <c r="AI38" s="123">
        <f>AI17</f>
        <v>30</v>
      </c>
      <c r="AJ38" s="3"/>
      <c r="AK38" s="3"/>
      <c r="AL38" s="3"/>
      <c r="AM38" s="3"/>
      <c r="AN38" s="25"/>
    </row>
    <row r="39" spans="22:40" x14ac:dyDescent="0.2">
      <c r="V39" s="23" t="s">
        <v>103</v>
      </c>
      <c r="W39" s="2"/>
      <c r="X39" s="3"/>
      <c r="Y39" s="2" t="s">
        <v>118</v>
      </c>
      <c r="Z39" s="2"/>
      <c r="AA39" s="3"/>
      <c r="AB39" s="3"/>
      <c r="AC39" s="3"/>
      <c r="AD39" s="3"/>
      <c r="AE39" s="3"/>
      <c r="AF39" s="3"/>
      <c r="AG39" s="3"/>
      <c r="AH39" s="8">
        <f>AK58</f>
        <v>15</v>
      </c>
      <c r="AI39" s="123">
        <f>AI38</f>
        <v>30</v>
      </c>
      <c r="AJ39" s="3"/>
      <c r="AK39" s="2" t="s">
        <v>27</v>
      </c>
      <c r="AL39" s="2"/>
      <c r="AM39" s="3"/>
      <c r="AN39" s="25"/>
    </row>
    <row r="40" spans="22:40" x14ac:dyDescent="0.2">
      <c r="V40" s="131">
        <f>AK58</f>
        <v>15</v>
      </c>
      <c r="W40" s="132">
        <v>0</v>
      </c>
      <c r="X40" s="2"/>
      <c r="Y40" s="133">
        <f>AK59</f>
        <v>20</v>
      </c>
      <c r="Z40" s="132">
        <v>0</v>
      </c>
      <c r="AA40" s="2"/>
      <c r="AB40" s="2"/>
      <c r="AC40" s="2"/>
      <c r="AD40" s="2"/>
      <c r="AE40" s="2"/>
      <c r="AF40" s="2"/>
      <c r="AG40" s="2"/>
      <c r="AH40" s="8">
        <f>AH39</f>
        <v>15</v>
      </c>
      <c r="AI40" s="123">
        <f>AI39+F7</f>
        <v>32</v>
      </c>
      <c r="AJ40" s="2"/>
      <c r="AK40" s="8">
        <f>AM33</f>
        <v>1.9375</v>
      </c>
      <c r="AL40" s="123">
        <v>0</v>
      </c>
      <c r="AM40" s="2"/>
      <c r="AN40" s="22"/>
    </row>
    <row r="41" spans="22:40" x14ac:dyDescent="0.2">
      <c r="V41" s="131">
        <f>V40</f>
        <v>15</v>
      </c>
      <c r="W41" s="133">
        <f>-AA32</f>
        <v>-10.625</v>
      </c>
      <c r="X41" s="2"/>
      <c r="Y41" s="133">
        <f>Y40</f>
        <v>20</v>
      </c>
      <c r="Z41" s="133">
        <f>-AB32</f>
        <v>-4.0625</v>
      </c>
      <c r="AA41" s="2"/>
      <c r="AB41" s="2"/>
      <c r="AC41" s="2"/>
      <c r="AD41" s="2"/>
      <c r="AE41" s="2"/>
      <c r="AF41" s="2"/>
      <c r="AG41" s="2"/>
      <c r="AH41" s="8">
        <f>AH38</f>
        <v>10</v>
      </c>
      <c r="AI41" s="123">
        <f>AI40</f>
        <v>32</v>
      </c>
      <c r="AJ41" s="2"/>
      <c r="AK41" s="8">
        <f>AK40</f>
        <v>1.9375</v>
      </c>
      <c r="AL41" s="8">
        <f>AN33</f>
        <v>9.384765625</v>
      </c>
      <c r="AM41" s="2"/>
      <c r="AN41" s="22"/>
    </row>
    <row r="42" spans="22:40" x14ac:dyDescent="0.2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10</v>
      </c>
      <c r="AI42" s="123">
        <f>AI38</f>
        <v>30</v>
      </c>
      <c r="AJ42" s="2"/>
      <c r="AK42" s="8">
        <f>AM34</f>
        <v>7.8125</v>
      </c>
      <c r="AL42" s="123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7.8125</v>
      </c>
      <c r="AL43" s="8">
        <f>AN34</f>
        <v>5.712890625</v>
      </c>
      <c r="AM43" s="2"/>
      <c r="AN43" s="22"/>
    </row>
    <row r="44" spans="22:40" x14ac:dyDescent="0.2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119</v>
      </c>
      <c r="AI44" s="3"/>
      <c r="AJ44" s="2"/>
      <c r="AK44" s="8">
        <f>AM35</f>
        <v>12.65625</v>
      </c>
      <c r="AL44" s="123">
        <v>0</v>
      </c>
      <c r="AM44" s="2"/>
      <c r="AN44" s="22"/>
    </row>
    <row r="45" spans="22:40" x14ac:dyDescent="0.2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8">
        <f>AK58</f>
        <v>15</v>
      </c>
      <c r="AI45" s="123">
        <f>AI17</f>
        <v>30</v>
      </c>
      <c r="AJ45" s="2"/>
      <c r="AK45" s="8">
        <f>AK44</f>
        <v>12.65625</v>
      </c>
      <c r="AL45" s="8">
        <f>AN35</f>
        <v>0.8056640625</v>
      </c>
      <c r="AM45" s="2"/>
      <c r="AN45" s="22"/>
    </row>
    <row r="46" spans="22:40" x14ac:dyDescent="0.2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6" t="s">
        <v>2</v>
      </c>
      <c r="AE46" s="136" t="s">
        <v>3</v>
      </c>
      <c r="AF46" s="136" t="s">
        <v>4</v>
      </c>
      <c r="AG46" s="2"/>
      <c r="AH46" s="8">
        <f>AK59</f>
        <v>20</v>
      </c>
      <c r="AI46" s="123">
        <f>AI45</f>
        <v>30</v>
      </c>
      <c r="AJ46" s="2"/>
      <c r="AK46" s="8">
        <f>AM36</f>
        <v>17.96875</v>
      </c>
      <c r="AL46" s="123">
        <v>0</v>
      </c>
      <c r="AM46" s="2"/>
      <c r="AN46" s="22"/>
    </row>
    <row r="47" spans="22:40" x14ac:dyDescent="0.2">
      <c r="V47" s="26">
        <v>0</v>
      </c>
      <c r="W47" s="7">
        <f>-$C$7*V47^2/2</f>
        <v>0</v>
      </c>
      <c r="X47" s="7">
        <f>-$C$7*V47</f>
        <v>0</v>
      </c>
      <c r="Y47" s="2"/>
      <c r="Z47" s="10">
        <v>0</v>
      </c>
      <c r="AA47" s="10">
        <f t="shared" ref="AA47:AA55" si="0">-$Z$21-$D$7*Z47^2/2+$W$28*Z47</f>
        <v>0</v>
      </c>
      <c r="AB47" s="10">
        <f t="shared" ref="AB47:AB55" si="1">-$D$7*Z47+$W$28</f>
        <v>9.6875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8">
        <f>AH46</f>
        <v>20</v>
      </c>
      <c r="AI47" s="123">
        <f>AI46+G7</f>
        <v>32</v>
      </c>
      <c r="AJ47" s="2"/>
      <c r="AK47" s="8">
        <f>AK46</f>
        <v>17.96875</v>
      </c>
      <c r="AL47" s="8">
        <f>AN36</f>
        <v>4.1259765625</v>
      </c>
      <c r="AM47" s="2"/>
      <c r="AN47" s="22"/>
    </row>
    <row r="48" spans="22:40" x14ac:dyDescent="0.2">
      <c r="V48" s="26">
        <f>$C$4/3</f>
        <v>0</v>
      </c>
      <c r="W48" s="7">
        <f>-$C$7*V48^2/2</f>
        <v>0</v>
      </c>
      <c r="X48" s="7">
        <f>-$C$7*V48</f>
        <v>0</v>
      </c>
      <c r="Y48" s="2"/>
      <c r="Z48" s="10">
        <f>$D$4/8</f>
        <v>0.625</v>
      </c>
      <c r="AA48" s="10">
        <f t="shared" si="0"/>
        <v>5.078125</v>
      </c>
      <c r="AB48" s="10">
        <f t="shared" si="1"/>
        <v>6.5625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8">
        <f>AH45</f>
        <v>15</v>
      </c>
      <c r="AI48" s="123">
        <f>AI47</f>
        <v>32</v>
      </c>
      <c r="AJ48" s="2"/>
      <c r="AK48" s="2"/>
      <c r="AL48" s="2"/>
      <c r="AM48" s="2"/>
      <c r="AN48" s="22"/>
    </row>
    <row r="49" spans="13:40" x14ac:dyDescent="0.2">
      <c r="V49" s="26">
        <f>2*$C$4/3</f>
        <v>0</v>
      </c>
      <c r="W49" s="7">
        <f>-$C$7*V49^2/2</f>
        <v>0</v>
      </c>
      <c r="X49" s="7">
        <f>-$C$7*V49</f>
        <v>0</v>
      </c>
      <c r="Y49" s="2"/>
      <c r="Z49" s="10">
        <f>2*$D$4/8</f>
        <v>1.25</v>
      </c>
      <c r="AA49" s="10">
        <f t="shared" si="0"/>
        <v>8.203125</v>
      </c>
      <c r="AB49" s="10">
        <f t="shared" si="1"/>
        <v>3.4375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8">
        <f>AH45</f>
        <v>15</v>
      </c>
      <c r="AI49" s="123">
        <f>AI45</f>
        <v>30</v>
      </c>
      <c r="AJ49" s="2"/>
      <c r="AK49" s="2"/>
      <c r="AL49" s="2"/>
      <c r="AM49" s="2"/>
      <c r="AN49" s="22"/>
    </row>
    <row r="50" spans="13:40" x14ac:dyDescent="0.2">
      <c r="V50" s="26">
        <f>3*$C$4/3</f>
        <v>0</v>
      </c>
      <c r="W50" s="7">
        <f>-$C$7*V50^2/2</f>
        <v>0</v>
      </c>
      <c r="X50" s="7">
        <f>-$C$7*V50</f>
        <v>0</v>
      </c>
      <c r="Y50" s="2"/>
      <c r="Z50" s="10">
        <f>3*$D$4/8</f>
        <v>1.875</v>
      </c>
      <c r="AA50" s="10">
        <f t="shared" si="0"/>
        <v>9.375</v>
      </c>
      <c r="AB50" s="10">
        <f t="shared" si="1"/>
        <v>0.3125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198"/>
      <c r="W51" s="122"/>
      <c r="X51" s="122"/>
      <c r="Y51" s="2"/>
      <c r="Z51" s="10">
        <f>4*$D$4/8</f>
        <v>2.5</v>
      </c>
      <c r="AA51" s="10">
        <f t="shared" si="0"/>
        <v>8.59375</v>
      </c>
      <c r="AB51" s="10">
        <f t="shared" si="1"/>
        <v>-2.8125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9.6875</v>
      </c>
      <c r="AG51" s="2"/>
      <c r="AH51" s="3" t="s">
        <v>18</v>
      </c>
      <c r="AI51" s="3"/>
      <c r="AJ51" s="2"/>
      <c r="AK51" s="2"/>
      <c r="AL51" s="2"/>
      <c r="AM51" s="2"/>
      <c r="AN51" s="22"/>
    </row>
    <row r="52" spans="13:40" x14ac:dyDescent="0.2">
      <c r="V52" s="24"/>
      <c r="W52" s="3"/>
      <c r="X52" s="3"/>
      <c r="Y52" s="2"/>
      <c r="Z52" s="10">
        <f>5*$D$4/8</f>
        <v>3.125</v>
      </c>
      <c r="AA52" s="10">
        <f t="shared" si="0"/>
        <v>5.859375</v>
      </c>
      <c r="AB52" s="10">
        <f t="shared" si="1"/>
        <v>-5.9375</v>
      </c>
      <c r="AC52" s="3"/>
      <c r="AD52" s="10">
        <f t="shared" si="3"/>
        <v>0.625</v>
      </c>
      <c r="AE52" s="10">
        <f t="shared" si="4"/>
        <v>5.078125</v>
      </c>
      <c r="AF52" s="10">
        <f t="shared" si="4"/>
        <v>6.5625</v>
      </c>
      <c r="AG52" s="2"/>
      <c r="AH52" s="8">
        <f>AK59</f>
        <v>20</v>
      </c>
      <c r="AI52" s="123">
        <f>AI17</f>
        <v>30</v>
      </c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10">
        <f>6*$D$4/8</f>
        <v>3.75</v>
      </c>
      <c r="AA53" s="10">
        <f t="shared" si="0"/>
        <v>1.171875</v>
      </c>
      <c r="AB53" s="10">
        <f t="shared" si="1"/>
        <v>-9.0625</v>
      </c>
      <c r="AC53" s="3"/>
      <c r="AD53" s="10">
        <f t="shared" si="3"/>
        <v>1.25</v>
      </c>
      <c r="AE53" s="10">
        <f t="shared" si="4"/>
        <v>8.203125</v>
      </c>
      <c r="AF53" s="10">
        <f t="shared" si="4"/>
        <v>3.4375</v>
      </c>
      <c r="AG53" s="2"/>
      <c r="AH53" s="8">
        <f>AK60</f>
        <v>20</v>
      </c>
      <c r="AI53" s="123">
        <f>AI52</f>
        <v>30</v>
      </c>
      <c r="AJ53" s="2"/>
      <c r="AK53" s="123" t="s">
        <v>2</v>
      </c>
      <c r="AL53" s="123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10">
        <f>7*$D$4/8</f>
        <v>4.375</v>
      </c>
      <c r="AA54" s="10">
        <f t="shared" si="0"/>
        <v>-5.46875</v>
      </c>
      <c r="AB54" s="10">
        <f t="shared" si="1"/>
        <v>-12.1875</v>
      </c>
      <c r="AC54" s="2"/>
      <c r="AD54" s="10">
        <f t="shared" si="3"/>
        <v>1.875</v>
      </c>
      <c r="AE54" s="10">
        <f t="shared" si="4"/>
        <v>9.375</v>
      </c>
      <c r="AF54" s="10">
        <f t="shared" si="4"/>
        <v>0.3125</v>
      </c>
      <c r="AG54" s="2"/>
      <c r="AH54" s="8">
        <f>AH53</f>
        <v>20</v>
      </c>
      <c r="AI54" s="123">
        <f>AI53+H7</f>
        <v>30</v>
      </c>
      <c r="AJ54" s="2"/>
      <c r="AK54" s="8">
        <v>0</v>
      </c>
      <c r="AL54" s="123">
        <v>0</v>
      </c>
      <c r="AM54" s="2"/>
      <c r="AN54" s="22"/>
    </row>
    <row r="55" spans="13:40" x14ac:dyDescent="0.2">
      <c r="M55" s="2"/>
      <c r="N55" s="2"/>
      <c r="V55" s="24"/>
      <c r="W55" s="3"/>
      <c r="X55" s="3"/>
      <c r="Y55" s="2"/>
      <c r="Z55" s="10">
        <f>8*$D$4/8</f>
        <v>5</v>
      </c>
      <c r="AA55" s="10">
        <f t="shared" si="0"/>
        <v>-14.0625</v>
      </c>
      <c r="AB55" s="10">
        <f t="shared" si="1"/>
        <v>-15.3125</v>
      </c>
      <c r="AC55" s="2"/>
      <c r="AD55" s="10">
        <f t="shared" si="3"/>
        <v>2.5</v>
      </c>
      <c r="AE55" s="10">
        <f t="shared" si="4"/>
        <v>8.59375</v>
      </c>
      <c r="AF55" s="10">
        <f t="shared" si="4"/>
        <v>-2.8125</v>
      </c>
      <c r="AG55" s="2"/>
      <c r="AH55" s="8">
        <f>AH52</f>
        <v>20</v>
      </c>
      <c r="AI55" s="123">
        <f>AI54</f>
        <v>30</v>
      </c>
      <c r="AJ55" s="2"/>
      <c r="AK55" s="8">
        <f>C4</f>
        <v>0</v>
      </c>
      <c r="AL55" s="123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5.859375</v>
      </c>
      <c r="AF56" s="10">
        <f t="shared" si="4"/>
        <v>-5.9375</v>
      </c>
      <c r="AG56" s="2"/>
      <c r="AH56" s="8">
        <f>AH52</f>
        <v>20</v>
      </c>
      <c r="AI56" s="123">
        <f>AI52</f>
        <v>30</v>
      </c>
      <c r="AJ56" s="2"/>
      <c r="AK56" s="8">
        <f>AK55+D4</f>
        <v>5</v>
      </c>
      <c r="AL56" s="123">
        <v>0</v>
      </c>
      <c r="AM56" s="2"/>
      <c r="AN56" s="22"/>
    </row>
    <row r="57" spans="13:40" x14ac:dyDescent="0.2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10">
        <f t="shared" si="3"/>
        <v>3.75</v>
      </c>
      <c r="AE57" s="10">
        <f t="shared" si="4"/>
        <v>1.171875</v>
      </c>
      <c r="AF57" s="10">
        <f t="shared" si="4"/>
        <v>-9.0625</v>
      </c>
      <c r="AG57" s="2"/>
      <c r="AH57" s="2"/>
      <c r="AI57" s="2"/>
      <c r="AJ57" s="2"/>
      <c r="AK57" s="8">
        <f>AK56+E4</f>
        <v>10</v>
      </c>
      <c r="AL57" s="123">
        <v>0</v>
      </c>
      <c r="AM57" s="2"/>
      <c r="AN57" s="22"/>
    </row>
    <row r="58" spans="13:40" x14ac:dyDescent="0.2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-5.46875</v>
      </c>
      <c r="AF58" s="10">
        <f t="shared" si="4"/>
        <v>-12.1875</v>
      </c>
      <c r="AG58" s="2"/>
      <c r="AH58" s="2"/>
      <c r="AI58" s="2"/>
      <c r="AJ58" s="2"/>
      <c r="AK58" s="8">
        <f>AK57+F4</f>
        <v>15</v>
      </c>
      <c r="AL58" s="123">
        <v>0</v>
      </c>
      <c r="AM58" s="2"/>
      <c r="AN58" s="22"/>
    </row>
    <row r="59" spans="13:40" x14ac:dyDescent="0.2">
      <c r="V59" s="139">
        <v>0</v>
      </c>
      <c r="W59" s="140">
        <f t="shared" ref="W59:W67" si="5">-$W$21-$E$7*V59^2/2+$Y$28*V59</f>
        <v>-14.062499999999998</v>
      </c>
      <c r="X59" s="140">
        <f t="shared" ref="X59:X67" si="6">-$E$7*V59+$Y$28</f>
        <v>14.0625</v>
      </c>
      <c r="Y59" s="2"/>
      <c r="Z59" s="172">
        <v>0</v>
      </c>
      <c r="AA59" s="172">
        <f t="shared" ref="AA59:AA67" si="7">-$W$22-$F$7*Z59^2/2+$AA$28*Z59</f>
        <v>-6.2499999999999991</v>
      </c>
      <c r="AB59" s="172">
        <f t="shared" ref="AB59:AB67" si="8">-$F$7*Z59+$AA$28</f>
        <v>5.3125</v>
      </c>
      <c r="AC59" s="2"/>
      <c r="AD59" s="10">
        <f t="shared" si="3"/>
        <v>5</v>
      </c>
      <c r="AE59" s="10">
        <f t="shared" si="4"/>
        <v>-14.0625</v>
      </c>
      <c r="AF59" s="10">
        <f t="shared" si="4"/>
        <v>-15.3125</v>
      </c>
      <c r="AG59" s="2"/>
      <c r="AH59" s="2"/>
      <c r="AI59" s="2"/>
      <c r="AJ59" s="2"/>
      <c r="AK59" s="8">
        <f>AK58+G4</f>
        <v>20</v>
      </c>
      <c r="AL59" s="123">
        <v>0</v>
      </c>
      <c r="AM59" s="2"/>
      <c r="AN59" s="22"/>
    </row>
    <row r="60" spans="13:40" x14ac:dyDescent="0.2">
      <c r="V60" s="139">
        <f>$E$4/8</f>
        <v>0.625</v>
      </c>
      <c r="W60" s="140">
        <f t="shared" si="5"/>
        <v>-6.2499999999999982</v>
      </c>
      <c r="X60" s="140">
        <f t="shared" si="6"/>
        <v>10.9375</v>
      </c>
      <c r="Y60" s="2"/>
      <c r="Z60" s="172">
        <f>$F$4/8</f>
        <v>0.625</v>
      </c>
      <c r="AA60" s="172">
        <f t="shared" si="7"/>
        <v>-3.3203124999999991</v>
      </c>
      <c r="AB60" s="172">
        <f t="shared" si="8"/>
        <v>4.0625</v>
      </c>
      <c r="AC60" s="2"/>
      <c r="AD60" s="140">
        <f t="shared" ref="AD60:AD68" si="9">$AD$59+V59</f>
        <v>5</v>
      </c>
      <c r="AE60" s="140">
        <f t="shared" ref="AE60:AF68" si="10">W59</f>
        <v>-14.062499999999998</v>
      </c>
      <c r="AF60" s="140">
        <f t="shared" si="10"/>
        <v>14.0625</v>
      </c>
      <c r="AG60" s="2"/>
      <c r="AH60" s="2"/>
      <c r="AI60" s="2"/>
      <c r="AJ60" s="2"/>
      <c r="AK60" s="8">
        <f>AK59+H4</f>
        <v>20</v>
      </c>
      <c r="AL60" s="123">
        <v>0</v>
      </c>
      <c r="AM60" s="2"/>
      <c r="AN60" s="22"/>
    </row>
    <row r="61" spans="13:40" x14ac:dyDescent="0.2">
      <c r="V61" s="139">
        <f>2*$E$4/8</f>
        <v>1.25</v>
      </c>
      <c r="W61" s="140">
        <f t="shared" si="5"/>
        <v>-0.390625</v>
      </c>
      <c r="X61" s="140">
        <f t="shared" si="6"/>
        <v>7.8125</v>
      </c>
      <c r="Y61" s="2"/>
      <c r="Z61" s="172">
        <f>2*$F$4/8</f>
        <v>1.25</v>
      </c>
      <c r="AA61" s="172">
        <f t="shared" si="7"/>
        <v>-1.1718749999999991</v>
      </c>
      <c r="AB61" s="172">
        <f t="shared" si="8"/>
        <v>2.8125</v>
      </c>
      <c r="AC61" s="2"/>
      <c r="AD61" s="140">
        <f t="shared" si="9"/>
        <v>5.625</v>
      </c>
      <c r="AE61" s="140">
        <f t="shared" si="10"/>
        <v>-6.2499999999999982</v>
      </c>
      <c r="AF61" s="140">
        <f t="shared" si="10"/>
        <v>10.9375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3*$E$4/8</f>
        <v>1.875</v>
      </c>
      <c r="W62" s="140">
        <f t="shared" si="5"/>
        <v>3.515625</v>
      </c>
      <c r="X62" s="140">
        <f t="shared" si="6"/>
        <v>4.6875</v>
      </c>
      <c r="Y62" s="2"/>
      <c r="Z62" s="172">
        <f>3*$F$4/8</f>
        <v>1.875</v>
      </c>
      <c r="AA62" s="172">
        <f t="shared" si="7"/>
        <v>0.1953125</v>
      </c>
      <c r="AB62" s="172">
        <f t="shared" si="8"/>
        <v>1.5625</v>
      </c>
      <c r="AC62" s="2"/>
      <c r="AD62" s="140">
        <f t="shared" si="9"/>
        <v>6.25</v>
      </c>
      <c r="AE62" s="140">
        <f t="shared" si="10"/>
        <v>-0.390625</v>
      </c>
      <c r="AF62" s="140">
        <f t="shared" si="10"/>
        <v>7.8125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4*$E$4/8</f>
        <v>2.5</v>
      </c>
      <c r="W63" s="140">
        <f t="shared" si="5"/>
        <v>5.46875</v>
      </c>
      <c r="X63" s="140">
        <f t="shared" si="6"/>
        <v>1.5625</v>
      </c>
      <c r="Y63" s="2"/>
      <c r="Z63" s="172">
        <f>4*$F$4/8</f>
        <v>2.5</v>
      </c>
      <c r="AA63" s="172">
        <f t="shared" si="7"/>
        <v>0.78125</v>
      </c>
      <c r="AB63" s="172">
        <f t="shared" si="8"/>
        <v>0.3125</v>
      </c>
      <c r="AC63" s="2"/>
      <c r="AD63" s="140">
        <f t="shared" si="9"/>
        <v>6.875</v>
      </c>
      <c r="AE63" s="140">
        <f t="shared" si="10"/>
        <v>3.515625</v>
      </c>
      <c r="AF63" s="140">
        <f t="shared" si="10"/>
        <v>4.6875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5*$E$4/8</f>
        <v>3.125</v>
      </c>
      <c r="W64" s="140">
        <f t="shared" si="5"/>
        <v>5.46875</v>
      </c>
      <c r="X64" s="140">
        <f t="shared" si="6"/>
        <v>-1.5625</v>
      </c>
      <c r="Y64" s="2"/>
      <c r="Z64" s="172">
        <f>5*$F$4/8</f>
        <v>3.125</v>
      </c>
      <c r="AA64" s="172">
        <f t="shared" si="7"/>
        <v>0.5859375</v>
      </c>
      <c r="AB64" s="172">
        <f t="shared" si="8"/>
        <v>-0.9375</v>
      </c>
      <c r="AC64" s="2"/>
      <c r="AD64" s="140">
        <f t="shared" si="9"/>
        <v>7.5</v>
      </c>
      <c r="AE64" s="140">
        <f t="shared" si="10"/>
        <v>5.46875</v>
      </c>
      <c r="AF64" s="140">
        <f t="shared" si="10"/>
        <v>1.5625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6*$E$4/8</f>
        <v>3.75</v>
      </c>
      <c r="W65" s="140">
        <f t="shared" si="5"/>
        <v>3.515625</v>
      </c>
      <c r="X65" s="140">
        <f t="shared" si="6"/>
        <v>-4.6875</v>
      </c>
      <c r="Y65" s="2"/>
      <c r="Z65" s="172">
        <f>6*$F$4/8</f>
        <v>3.75</v>
      </c>
      <c r="AA65" s="172">
        <f t="shared" si="7"/>
        <v>-0.390625</v>
      </c>
      <c r="AB65" s="172">
        <f t="shared" si="8"/>
        <v>-2.1875</v>
      </c>
      <c r="AC65" s="2"/>
      <c r="AD65" s="140">
        <f t="shared" si="9"/>
        <v>8.125</v>
      </c>
      <c r="AE65" s="140">
        <f t="shared" si="10"/>
        <v>5.46875</v>
      </c>
      <c r="AF65" s="140">
        <f t="shared" si="10"/>
        <v>-1.5625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7*$E$4/8</f>
        <v>4.375</v>
      </c>
      <c r="W66" s="140">
        <f t="shared" si="5"/>
        <v>-0.390625</v>
      </c>
      <c r="X66" s="140">
        <f t="shared" si="6"/>
        <v>-7.8125</v>
      </c>
      <c r="Y66" s="2"/>
      <c r="Z66" s="172">
        <f>7*$F$4/8</f>
        <v>4.375</v>
      </c>
      <c r="AA66" s="172">
        <f t="shared" si="7"/>
        <v>-2.1484375</v>
      </c>
      <c r="AB66" s="172">
        <f t="shared" si="8"/>
        <v>-3.4375</v>
      </c>
      <c r="AC66" s="2"/>
      <c r="AD66" s="140">
        <f t="shared" si="9"/>
        <v>8.75</v>
      </c>
      <c r="AE66" s="140">
        <f t="shared" si="10"/>
        <v>3.515625</v>
      </c>
      <c r="AF66" s="140">
        <f t="shared" si="10"/>
        <v>-4.6875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">
      <c r="V67" s="139">
        <f>8*$E$4/8</f>
        <v>5</v>
      </c>
      <c r="W67" s="140">
        <f t="shared" si="5"/>
        <v>-6.25</v>
      </c>
      <c r="X67" s="140">
        <f t="shared" si="6"/>
        <v>-10.9375</v>
      </c>
      <c r="Y67" s="2"/>
      <c r="Z67" s="172">
        <f>8*$F$4/8</f>
        <v>5</v>
      </c>
      <c r="AA67" s="172">
        <f t="shared" si="7"/>
        <v>-4.6875</v>
      </c>
      <c r="AB67" s="172">
        <f t="shared" si="8"/>
        <v>-4.6875</v>
      </c>
      <c r="AC67" s="2"/>
      <c r="AD67" s="140">
        <f t="shared" si="9"/>
        <v>9.375</v>
      </c>
      <c r="AE67" s="140">
        <f t="shared" si="10"/>
        <v>-0.390625</v>
      </c>
      <c r="AF67" s="140">
        <f t="shared" si="10"/>
        <v>-7.8125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">
      <c r="V68" s="23"/>
      <c r="W68" s="2"/>
      <c r="X68" s="2"/>
      <c r="Y68" s="2"/>
      <c r="Z68" s="2"/>
      <c r="AA68" s="2"/>
      <c r="AB68" s="2"/>
      <c r="AC68" s="2"/>
      <c r="AD68" s="140">
        <f t="shared" si="9"/>
        <v>10</v>
      </c>
      <c r="AE68" s="140">
        <f t="shared" si="10"/>
        <v>-6.25</v>
      </c>
      <c r="AF68" s="140">
        <f t="shared" si="10"/>
        <v>-10.9375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172">
        <f t="shared" ref="AD69:AD77" si="11">$AD$68+Z59</f>
        <v>10</v>
      </c>
      <c r="AE69" s="172">
        <f t="shared" ref="AE69:AF77" si="12">AA59</f>
        <v>-6.2499999999999991</v>
      </c>
      <c r="AF69" s="172">
        <f t="shared" si="12"/>
        <v>5.3125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">
      <c r="V70" s="23" t="s">
        <v>120</v>
      </c>
      <c r="W70" s="2"/>
      <c r="X70" s="2"/>
      <c r="Y70" s="2"/>
      <c r="Z70" s="2" t="s">
        <v>121</v>
      </c>
      <c r="AA70" s="2"/>
      <c r="AB70" s="2"/>
      <c r="AC70" s="2"/>
      <c r="AD70" s="172">
        <f t="shared" si="11"/>
        <v>10.625</v>
      </c>
      <c r="AE70" s="172">
        <f t="shared" si="12"/>
        <v>-3.3203124999999991</v>
      </c>
      <c r="AF70" s="172">
        <f t="shared" si="12"/>
        <v>4.0625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138" t="s">
        <v>2</v>
      </c>
      <c r="W71" s="136" t="s">
        <v>3</v>
      </c>
      <c r="X71" s="123" t="s">
        <v>4</v>
      </c>
      <c r="Y71" s="2"/>
      <c r="Z71" s="136" t="s">
        <v>2</v>
      </c>
      <c r="AA71" s="136" t="s">
        <v>3</v>
      </c>
      <c r="AB71" s="123" t="s">
        <v>4</v>
      </c>
      <c r="AC71" s="2"/>
      <c r="AD71" s="172">
        <f t="shared" si="11"/>
        <v>11.25</v>
      </c>
      <c r="AE71" s="172">
        <f t="shared" si="12"/>
        <v>-1.1718749999999991</v>
      </c>
      <c r="AF71" s="172">
        <f t="shared" si="12"/>
        <v>2.8125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">
      <c r="V72" s="199">
        <v>0</v>
      </c>
      <c r="W72" s="200">
        <f t="shared" ref="W72:W80" si="13">-$W$23-$G$7*V72^2/2+$AC$28*V72</f>
        <v>-4.6875</v>
      </c>
      <c r="X72" s="200">
        <f t="shared" ref="X72:X80" si="14">-$G$7*V72+$AC$28</f>
        <v>5.9375</v>
      </c>
      <c r="Y72" s="2"/>
      <c r="Z72" s="8">
        <v>0</v>
      </c>
      <c r="AA72" s="8">
        <f>-$Z$22-$H$7*Z72^2/2+$AE$28*Z72</f>
        <v>0</v>
      </c>
      <c r="AB72" s="8">
        <f>-$H$7*Z72+$AE$28</f>
        <v>0</v>
      </c>
      <c r="AC72" s="2"/>
      <c r="AD72" s="172">
        <f t="shared" si="11"/>
        <v>11.875</v>
      </c>
      <c r="AE72" s="172">
        <f t="shared" si="12"/>
        <v>0.1953125</v>
      </c>
      <c r="AF72" s="172">
        <f t="shared" si="12"/>
        <v>1.5625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">
      <c r="V73" s="199">
        <f>$G$4/8</f>
        <v>0.625</v>
      </c>
      <c r="W73" s="200">
        <f t="shared" si="13"/>
        <v>-1.3671875</v>
      </c>
      <c r="X73" s="200">
        <f t="shared" si="14"/>
        <v>4.6875</v>
      </c>
      <c r="Y73" s="2"/>
      <c r="Z73" s="8">
        <f>$H$4/3</f>
        <v>0</v>
      </c>
      <c r="AA73" s="8">
        <f>-$Z$22-$H$7*Z73^2/2+$AE$28*Z73</f>
        <v>0</v>
      </c>
      <c r="AB73" s="8">
        <f>-$H$7*Z73+$AE$28</f>
        <v>0</v>
      </c>
      <c r="AC73" s="2"/>
      <c r="AD73" s="172">
        <f t="shared" si="11"/>
        <v>12.5</v>
      </c>
      <c r="AE73" s="172">
        <f t="shared" si="12"/>
        <v>0.78125</v>
      </c>
      <c r="AF73" s="172">
        <f t="shared" si="12"/>
        <v>0.3125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">
      <c r="V74" s="199">
        <f>2*$G$4/8</f>
        <v>1.25</v>
      </c>
      <c r="W74" s="200">
        <f t="shared" si="13"/>
        <v>1.171875</v>
      </c>
      <c r="X74" s="200">
        <f t="shared" si="14"/>
        <v>3.4375</v>
      </c>
      <c r="Y74" s="2"/>
      <c r="Z74" s="8">
        <f>2*$H$4/3</f>
        <v>0</v>
      </c>
      <c r="AA74" s="8">
        <f>-$Z$22-$H$7*Z74^2/2+$AE$28*Z74</f>
        <v>0</v>
      </c>
      <c r="AB74" s="8">
        <f>-$H$7*Z74+$AE$28</f>
        <v>0</v>
      </c>
      <c r="AC74" s="2"/>
      <c r="AD74" s="172">
        <f t="shared" si="11"/>
        <v>13.125</v>
      </c>
      <c r="AE74" s="172">
        <f t="shared" si="12"/>
        <v>0.5859375</v>
      </c>
      <c r="AF74" s="172">
        <f t="shared" si="12"/>
        <v>-0.9375</v>
      </c>
      <c r="AG74" s="2"/>
      <c r="AH74" s="2"/>
      <c r="AI74" s="2"/>
      <c r="AJ74" s="2"/>
      <c r="AK74" s="2"/>
      <c r="AL74" s="2"/>
      <c r="AM74" s="2"/>
      <c r="AN74" s="22"/>
    </row>
    <row r="75" spans="22:40" x14ac:dyDescent="0.2">
      <c r="V75" s="199">
        <f>3*$G$4/8</f>
        <v>1.875</v>
      </c>
      <c r="W75" s="200">
        <f t="shared" si="13"/>
        <v>2.9296875</v>
      </c>
      <c r="X75" s="200">
        <f t="shared" si="14"/>
        <v>2.1875</v>
      </c>
      <c r="Y75" s="2"/>
      <c r="Z75" s="8">
        <f>3*$H$4/3</f>
        <v>0</v>
      </c>
      <c r="AA75" s="8">
        <f>-$Z$22-$H$7*Z75^2/2+$AE$28*Z75</f>
        <v>0</v>
      </c>
      <c r="AB75" s="8">
        <f>-$H$7*Z75+$AE$28</f>
        <v>0</v>
      </c>
      <c r="AC75" s="2"/>
      <c r="AD75" s="172">
        <f t="shared" si="11"/>
        <v>13.75</v>
      </c>
      <c r="AE75" s="172">
        <f t="shared" si="12"/>
        <v>-0.390625</v>
      </c>
      <c r="AF75" s="172">
        <f t="shared" si="12"/>
        <v>-2.1875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">
      <c r="V76" s="199">
        <f>4*$G$4/8</f>
        <v>2.5</v>
      </c>
      <c r="W76" s="200">
        <f t="shared" si="13"/>
        <v>3.90625</v>
      </c>
      <c r="X76" s="200">
        <f t="shared" si="14"/>
        <v>0.9375</v>
      </c>
      <c r="Y76" s="2"/>
      <c r="Z76" s="122"/>
      <c r="AA76" s="122"/>
      <c r="AB76" s="122"/>
      <c r="AC76" s="2"/>
      <c r="AD76" s="172">
        <f t="shared" si="11"/>
        <v>14.375</v>
      </c>
      <c r="AE76" s="172">
        <f t="shared" si="12"/>
        <v>-2.1484375</v>
      </c>
      <c r="AF76" s="172">
        <f t="shared" si="12"/>
        <v>-3.4375</v>
      </c>
      <c r="AG76" s="2"/>
      <c r="AH76" s="2"/>
      <c r="AI76" s="2"/>
      <c r="AJ76" s="2"/>
      <c r="AK76" s="2"/>
      <c r="AL76" s="2"/>
      <c r="AM76" s="2"/>
      <c r="AN76" s="22"/>
    </row>
    <row r="77" spans="22:40" x14ac:dyDescent="0.2">
      <c r="V77" s="199">
        <f>5*$G$4/8</f>
        <v>3.125</v>
      </c>
      <c r="W77" s="200">
        <f t="shared" si="13"/>
        <v>4.1015625</v>
      </c>
      <c r="X77" s="200">
        <f t="shared" si="14"/>
        <v>-0.3125</v>
      </c>
      <c r="Y77" s="2"/>
      <c r="Z77" s="3"/>
      <c r="AA77" s="3"/>
      <c r="AB77" s="3"/>
      <c r="AC77" s="2"/>
      <c r="AD77" s="172">
        <f t="shared" si="11"/>
        <v>15</v>
      </c>
      <c r="AE77" s="172">
        <f t="shared" si="12"/>
        <v>-4.6875</v>
      </c>
      <c r="AF77" s="172">
        <f t="shared" si="12"/>
        <v>-4.6875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">
      <c r="V78" s="199">
        <f>6*$G$4/8</f>
        <v>3.75</v>
      </c>
      <c r="W78" s="200">
        <f t="shared" si="13"/>
        <v>3.515625</v>
      </c>
      <c r="X78" s="200">
        <f t="shared" si="14"/>
        <v>-1.5625</v>
      </c>
      <c r="Y78" s="2"/>
      <c r="Z78" s="3"/>
      <c r="AA78" s="3"/>
      <c r="AB78" s="3"/>
      <c r="AC78" s="2"/>
      <c r="AD78" s="200">
        <f t="shared" ref="AD78:AD86" si="15">$AD$77+V72</f>
        <v>15</v>
      </c>
      <c r="AE78" s="200">
        <f t="shared" ref="AE78:AF86" si="16">W72</f>
        <v>-4.6875</v>
      </c>
      <c r="AF78" s="200">
        <f t="shared" si="16"/>
        <v>5.9375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">
      <c r="V79" s="199">
        <f>7*$G$4/8</f>
        <v>4.375</v>
      </c>
      <c r="W79" s="200">
        <f t="shared" si="13"/>
        <v>2.1484375</v>
      </c>
      <c r="X79" s="200">
        <f t="shared" si="14"/>
        <v>-2.8125</v>
      </c>
      <c r="Y79" s="2"/>
      <c r="Z79" s="3"/>
      <c r="AA79" s="3"/>
      <c r="AB79" s="3"/>
      <c r="AC79" s="2"/>
      <c r="AD79" s="200">
        <f t="shared" si="15"/>
        <v>15.625</v>
      </c>
      <c r="AE79" s="200">
        <f t="shared" si="16"/>
        <v>-1.3671875</v>
      </c>
      <c r="AF79" s="200">
        <f t="shared" si="16"/>
        <v>4.6875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">
      <c r="V80" s="199">
        <f>8*$G$4/8</f>
        <v>5</v>
      </c>
      <c r="W80" s="200">
        <f t="shared" si="13"/>
        <v>0</v>
      </c>
      <c r="X80" s="200">
        <f t="shared" si="14"/>
        <v>-4.0625</v>
      </c>
      <c r="Y80" s="2"/>
      <c r="Z80" s="3"/>
      <c r="AA80" s="3"/>
      <c r="AB80" s="3"/>
      <c r="AC80" s="2"/>
      <c r="AD80" s="200">
        <f t="shared" si="15"/>
        <v>16.25</v>
      </c>
      <c r="AE80" s="200">
        <f t="shared" si="16"/>
        <v>1.171875</v>
      </c>
      <c r="AF80" s="200">
        <f t="shared" si="16"/>
        <v>3.4375</v>
      </c>
      <c r="AG80" s="2"/>
      <c r="AH80" s="2"/>
      <c r="AI80" s="2"/>
      <c r="AJ80" s="2"/>
      <c r="AK80" s="2"/>
      <c r="AL80" s="2"/>
      <c r="AM80" s="2"/>
      <c r="AN80" s="22"/>
    </row>
    <row r="81" spans="5:40" x14ac:dyDescent="0.2">
      <c r="V81" s="23"/>
      <c r="W81" s="2"/>
      <c r="X81" s="2"/>
      <c r="Y81" s="2"/>
      <c r="Z81" s="2"/>
      <c r="AA81" s="2"/>
      <c r="AB81" s="2"/>
      <c r="AC81" s="2"/>
      <c r="AD81" s="200">
        <f t="shared" si="15"/>
        <v>16.875</v>
      </c>
      <c r="AE81" s="200">
        <f t="shared" si="16"/>
        <v>2.9296875</v>
      </c>
      <c r="AF81" s="200">
        <f t="shared" si="16"/>
        <v>2.1875</v>
      </c>
      <c r="AG81" s="2"/>
      <c r="AH81" s="2"/>
      <c r="AI81" s="2"/>
      <c r="AJ81" s="2"/>
      <c r="AK81" s="2"/>
      <c r="AL81" s="2"/>
      <c r="AM81" s="2"/>
      <c r="AN81" s="22"/>
    </row>
    <row r="82" spans="5:40" x14ac:dyDescent="0.2">
      <c r="V82" s="23"/>
      <c r="W82" s="2"/>
      <c r="X82" s="2"/>
      <c r="Y82" s="2"/>
      <c r="Z82" s="2"/>
      <c r="AA82" s="2"/>
      <c r="AB82" s="2"/>
      <c r="AC82" s="2"/>
      <c r="AD82" s="200">
        <f t="shared" si="15"/>
        <v>17.5</v>
      </c>
      <c r="AE82" s="200">
        <f t="shared" si="16"/>
        <v>3.90625</v>
      </c>
      <c r="AF82" s="200">
        <f t="shared" si="16"/>
        <v>0.9375</v>
      </c>
      <c r="AG82" s="2"/>
      <c r="AH82" s="2"/>
      <c r="AI82" s="2"/>
      <c r="AJ82" s="2"/>
      <c r="AK82" s="2"/>
      <c r="AL82" s="2"/>
      <c r="AM82" s="2"/>
      <c r="AN82" s="22"/>
    </row>
    <row r="83" spans="5:40" x14ac:dyDescent="0.2">
      <c r="V83" s="23"/>
      <c r="W83" s="2"/>
      <c r="X83" s="2"/>
      <c r="Y83" s="2"/>
      <c r="Z83" s="2"/>
      <c r="AA83" s="2"/>
      <c r="AB83" s="2"/>
      <c r="AC83" s="2"/>
      <c r="AD83" s="200">
        <f t="shared" si="15"/>
        <v>18.125</v>
      </c>
      <c r="AE83" s="200">
        <f t="shared" si="16"/>
        <v>4.1015625</v>
      </c>
      <c r="AF83" s="200">
        <f t="shared" si="16"/>
        <v>-0.3125</v>
      </c>
      <c r="AG83" s="2"/>
      <c r="AH83" s="2"/>
      <c r="AI83" s="2"/>
      <c r="AJ83" s="2"/>
      <c r="AK83" s="2"/>
      <c r="AL83" s="2"/>
      <c r="AM83" s="2"/>
      <c r="AN83" s="22"/>
    </row>
    <row r="84" spans="5:40" x14ac:dyDescent="0.2">
      <c r="V84" s="23"/>
      <c r="W84" s="2"/>
      <c r="X84" s="2"/>
      <c r="Y84" s="2"/>
      <c r="Z84" s="2"/>
      <c r="AA84" s="2"/>
      <c r="AB84" s="2"/>
      <c r="AC84" s="2"/>
      <c r="AD84" s="200">
        <f t="shared" si="15"/>
        <v>18.75</v>
      </c>
      <c r="AE84" s="200">
        <f t="shared" si="16"/>
        <v>3.515625</v>
      </c>
      <c r="AF84" s="200">
        <f t="shared" si="16"/>
        <v>-1.5625</v>
      </c>
      <c r="AG84" s="2"/>
      <c r="AH84" s="2"/>
      <c r="AI84" s="2"/>
      <c r="AJ84" s="2"/>
      <c r="AK84" s="2"/>
      <c r="AL84" s="2"/>
      <c r="AM84" s="2"/>
      <c r="AN84" s="22"/>
    </row>
    <row r="85" spans="5:40" x14ac:dyDescent="0.2">
      <c r="V85" s="23"/>
      <c r="W85" s="2"/>
      <c r="X85" s="2"/>
      <c r="Y85" s="2"/>
      <c r="Z85" s="2"/>
      <c r="AA85" s="2"/>
      <c r="AB85" s="2"/>
      <c r="AC85" s="2"/>
      <c r="AD85" s="200">
        <f t="shared" si="15"/>
        <v>19.375</v>
      </c>
      <c r="AE85" s="200">
        <f t="shared" si="16"/>
        <v>2.1484375</v>
      </c>
      <c r="AF85" s="200">
        <f t="shared" si="16"/>
        <v>-2.8125</v>
      </c>
      <c r="AG85" s="2"/>
      <c r="AH85" s="2"/>
      <c r="AI85" s="2"/>
      <c r="AJ85" s="2"/>
      <c r="AK85" s="2"/>
      <c r="AL85" s="2"/>
      <c r="AM85" s="2"/>
      <c r="AN85" s="22"/>
    </row>
    <row r="86" spans="5:40" x14ac:dyDescent="0.2">
      <c r="V86" s="23"/>
      <c r="W86" s="2"/>
      <c r="X86" s="2"/>
      <c r="Y86" s="2"/>
      <c r="Z86" s="2"/>
      <c r="AA86" s="2"/>
      <c r="AB86" s="2"/>
      <c r="AC86" s="2"/>
      <c r="AD86" s="200">
        <f t="shared" si="15"/>
        <v>20</v>
      </c>
      <c r="AE86" s="200">
        <f t="shared" si="16"/>
        <v>0</v>
      </c>
      <c r="AF86" s="200">
        <f t="shared" si="16"/>
        <v>-4.0625</v>
      </c>
      <c r="AG86" s="2"/>
      <c r="AH86" s="2"/>
      <c r="AI86" s="2"/>
      <c r="AJ86" s="2"/>
      <c r="AK86" s="2"/>
      <c r="AL86" s="2"/>
      <c r="AM86" s="2"/>
      <c r="AN86" s="22"/>
    </row>
    <row r="87" spans="5:40" x14ac:dyDescent="0.2">
      <c r="V87" s="23"/>
      <c r="W87" s="2"/>
      <c r="X87" s="2"/>
      <c r="Y87" s="2"/>
      <c r="Z87" s="2"/>
      <c r="AA87" s="2"/>
      <c r="AB87" s="2"/>
      <c r="AC87" s="2"/>
      <c r="AD87" s="8">
        <f>$AD$86+Z72</f>
        <v>20</v>
      </c>
      <c r="AE87" s="8">
        <f t="shared" ref="AE87:AF90" si="17">AA72</f>
        <v>0</v>
      </c>
      <c r="AF87" s="8">
        <f t="shared" si="17"/>
        <v>0</v>
      </c>
      <c r="AG87" s="2"/>
      <c r="AH87" s="2"/>
      <c r="AI87" s="2"/>
      <c r="AJ87" s="2"/>
      <c r="AK87" s="2"/>
      <c r="AL87" s="2"/>
      <c r="AM87" s="2"/>
      <c r="AN87" s="22"/>
    </row>
    <row r="88" spans="5:40" x14ac:dyDescent="0.2">
      <c r="V88" s="23"/>
      <c r="W88" s="2"/>
      <c r="X88" s="2"/>
      <c r="Y88" s="2"/>
      <c r="Z88" s="2"/>
      <c r="AA88" s="2"/>
      <c r="AB88" s="2"/>
      <c r="AC88" s="2"/>
      <c r="AD88" s="8">
        <f>$AD$86+Z73</f>
        <v>20</v>
      </c>
      <c r="AE88" s="8">
        <f t="shared" si="17"/>
        <v>0</v>
      </c>
      <c r="AF88" s="8">
        <f t="shared" si="17"/>
        <v>0</v>
      </c>
      <c r="AG88" s="2"/>
      <c r="AH88" s="2"/>
      <c r="AI88" s="2"/>
      <c r="AJ88" s="2"/>
      <c r="AK88" s="2"/>
      <c r="AL88" s="2"/>
      <c r="AM88" s="2"/>
      <c r="AN88" s="22"/>
    </row>
    <row r="89" spans="5:40" x14ac:dyDescent="0.2">
      <c r="M89" s="2"/>
      <c r="N89" s="2"/>
      <c r="V89" s="23"/>
      <c r="W89" s="2"/>
      <c r="X89" s="2"/>
      <c r="Y89" s="2"/>
      <c r="Z89" s="2"/>
      <c r="AA89" s="2"/>
      <c r="AB89" s="2"/>
      <c r="AC89" s="2"/>
      <c r="AD89" s="8">
        <f>$AD$86+Z74</f>
        <v>20</v>
      </c>
      <c r="AE89" s="8">
        <f t="shared" si="17"/>
        <v>0</v>
      </c>
      <c r="AF89" s="8">
        <f t="shared" si="17"/>
        <v>0</v>
      </c>
      <c r="AG89" s="2"/>
      <c r="AH89" s="2"/>
      <c r="AI89" s="2"/>
      <c r="AJ89" s="2"/>
      <c r="AK89" s="2"/>
      <c r="AL89" s="2"/>
      <c r="AM89" s="2"/>
      <c r="AN89" s="22"/>
    </row>
    <row r="90" spans="5:40" ht="12.75" thickBot="1" x14ac:dyDescent="0.25">
      <c r="M90" s="11"/>
      <c r="N90" s="11"/>
      <c r="V90" s="189"/>
      <c r="W90" s="27"/>
      <c r="X90" s="27"/>
      <c r="Y90" s="27"/>
      <c r="Z90" s="27"/>
      <c r="AA90" s="27"/>
      <c r="AB90" s="27"/>
      <c r="AC90" s="27"/>
      <c r="AD90" s="143">
        <f>$AD$86+Z75</f>
        <v>20</v>
      </c>
      <c r="AE90" s="143">
        <f t="shared" si="17"/>
        <v>0</v>
      </c>
      <c r="AF90" s="143">
        <f t="shared" si="17"/>
        <v>0</v>
      </c>
      <c r="AG90" s="27"/>
      <c r="AH90" s="27"/>
      <c r="AI90" s="27"/>
      <c r="AJ90" s="27"/>
      <c r="AK90" s="27"/>
      <c r="AL90" s="27"/>
      <c r="AM90" s="27"/>
      <c r="AN90" s="28"/>
    </row>
    <row r="91" spans="5:40" ht="12.75" thickTop="1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27"/>
  <dimension ref="A1:AT100"/>
  <sheetViews>
    <sheetView topLeftCell="A6" zoomScale="85" zoomScaleNormal="85" workbookViewId="0">
      <selection activeCell="K27" sqref="K27"/>
    </sheetView>
  </sheetViews>
  <sheetFormatPr defaultColWidth="9.140625" defaultRowHeight="12" x14ac:dyDescent="0.2"/>
  <cols>
    <col min="1" max="16384" width="9.140625" style="1"/>
  </cols>
  <sheetData>
    <row r="1" spans="1:40" ht="15.75" customHeight="1" thickBot="1" x14ac:dyDescent="0.25">
      <c r="A1" s="334" t="s">
        <v>28</v>
      </c>
      <c r="B1" s="334"/>
      <c r="C1" s="334"/>
      <c r="D1" s="334"/>
      <c r="E1" s="334"/>
      <c r="F1" s="334"/>
      <c r="G1" s="334"/>
      <c r="H1" s="334"/>
      <c r="I1" s="334"/>
      <c r="J1" s="334"/>
      <c r="K1" s="2"/>
    </row>
    <row r="2" spans="1:40" ht="12.75" thickTop="1" x14ac:dyDescent="0.2">
      <c r="E2" s="12"/>
    </row>
    <row r="3" spans="1:40" ht="13.5" x14ac:dyDescent="0.2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106</v>
      </c>
      <c r="H3" s="13" t="s">
        <v>34</v>
      </c>
    </row>
    <row r="4" spans="1:40" x14ac:dyDescent="0.2">
      <c r="C4" s="14">
        <f>'CCCC-Trave'!C15</f>
        <v>0</v>
      </c>
      <c r="D4" s="14">
        <f>'CCCC-Trave'!D15</f>
        <v>5</v>
      </c>
      <c r="E4" s="14">
        <f>'CCCC-Trave'!E15</f>
        <v>5</v>
      </c>
      <c r="F4" s="14">
        <f>'CCCC-Trave'!F15</f>
        <v>5</v>
      </c>
      <c r="G4" s="14">
        <f>'CCCC-Trave'!G15</f>
        <v>5</v>
      </c>
      <c r="H4" s="14">
        <f>'CCCC-Trave'!H15</f>
        <v>0</v>
      </c>
    </row>
    <row r="6" spans="1:40" ht="13.5" x14ac:dyDescent="0.2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107</v>
      </c>
      <c r="H6" s="13" t="s">
        <v>37</v>
      </c>
    </row>
    <row r="7" spans="1:40" x14ac:dyDescent="0.2">
      <c r="B7" s="1" t="s">
        <v>45</v>
      </c>
      <c r="C7" s="14">
        <f>'CCCC-Trave'!C29</f>
        <v>0</v>
      </c>
      <c r="D7" s="14">
        <f>'CCCC-Trave'!D29</f>
        <v>2</v>
      </c>
      <c r="E7" s="14">
        <f>'CCCC-Trave'!E29</f>
        <v>5</v>
      </c>
      <c r="F7" s="14">
        <f>'CCCC-Trave'!F29</f>
        <v>5</v>
      </c>
      <c r="G7" s="14">
        <f>'CCCC-Trave'!G29</f>
        <v>2</v>
      </c>
      <c r="H7" s="14">
        <f>'CCCC-Trave'!H29</f>
        <v>0</v>
      </c>
    </row>
    <row r="8" spans="1:40" x14ac:dyDescent="0.2">
      <c r="C8" s="14"/>
      <c r="D8" s="14"/>
      <c r="E8" s="14"/>
      <c r="F8" s="14"/>
      <c r="G8" s="14"/>
      <c r="H8" s="14"/>
    </row>
    <row r="9" spans="1:40" x14ac:dyDescent="0.2">
      <c r="C9" s="14"/>
      <c r="D9" s="14"/>
      <c r="E9" s="14"/>
      <c r="F9" s="14"/>
      <c r="G9" s="14"/>
      <c r="H9" s="14"/>
    </row>
    <row r="10" spans="1:40" x14ac:dyDescent="0.2">
      <c r="C10" s="14"/>
      <c r="D10" s="14"/>
      <c r="E10" s="14"/>
      <c r="F10" s="14"/>
      <c r="G10" s="14"/>
      <c r="H10" s="14"/>
    </row>
    <row r="11" spans="1:40" x14ac:dyDescent="0.2">
      <c r="C11" s="14"/>
      <c r="D11" s="14"/>
      <c r="E11" s="14"/>
      <c r="F11" s="14"/>
      <c r="G11" s="14"/>
      <c r="H11" s="14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45" t="s">
        <v>31</v>
      </c>
      <c r="B15" s="345"/>
      <c r="C15" s="345"/>
      <c r="D15" s="345"/>
      <c r="E15" s="345"/>
      <c r="F15" s="345"/>
      <c r="G15" s="345"/>
      <c r="H15" s="345"/>
      <c r="I15" s="345"/>
      <c r="J15" s="345"/>
    </row>
    <row r="16" spans="1:40" ht="12.75" thickTop="1" x14ac:dyDescent="0.2">
      <c r="V16" s="144">
        <f>-(D4/D18+E4/I18)/3</f>
        <v>-25000</v>
      </c>
      <c r="W16" s="192">
        <f>-E4/(6*I18)</f>
        <v>-6250</v>
      </c>
      <c r="X16" s="192">
        <v>0</v>
      </c>
      <c r="Y16" s="19"/>
      <c r="Z16" s="193">
        <f t="array" ref="Z16:AB18">MINVERSE(V16:X18)</f>
        <v>-4.2857142857142856E-5</v>
      </c>
      <c r="AA16" s="193">
        <v>1.1428571428571427E-5</v>
      </c>
      <c r="AB16" s="193">
        <v>-2.8571428571428568E-6</v>
      </c>
      <c r="AC16" s="19"/>
      <c r="AD16" s="19"/>
      <c r="AE16" s="194">
        <f>AB22</f>
        <v>-273437.5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3.5" x14ac:dyDescent="0.2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38">
        <f>-E4/(6*I18)</f>
        <v>-6250</v>
      </c>
      <c r="W17" s="136">
        <f>-(E4/I18+F4/D21)/3</f>
        <v>-25000</v>
      </c>
      <c r="X17" s="136">
        <f>-F4/(6*D21)</f>
        <v>-6250</v>
      </c>
      <c r="Y17" s="2"/>
      <c r="Z17" s="123">
        <v>1.1428571428571429E-5</v>
      </c>
      <c r="AA17" s="123">
        <v>-4.5714285714285716E-5</v>
      </c>
      <c r="AB17" s="123">
        <v>1.1428571428571429E-5</v>
      </c>
      <c r="AC17" s="2"/>
      <c r="AD17" s="2"/>
      <c r="AE17" s="124">
        <f>AC22</f>
        <v>-390625</v>
      </c>
      <c r="AF17" s="2"/>
      <c r="AG17" s="2"/>
      <c r="AH17" s="123">
        <v>0</v>
      </c>
      <c r="AI17" s="123">
        <f>5+MAX('CCCC-car.3'!AI17:AI56)</f>
        <v>40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'CCCC-Trave'!B77</f>
        <v>1</v>
      </c>
      <c r="C18" s="16">
        <f>'CCCC-Trave'!C77</f>
        <v>1.3333333333333334E-4</v>
      </c>
      <c r="D18" s="16">
        <f>B18*C18</f>
        <v>1.3333333333333334E-4</v>
      </c>
      <c r="G18" s="16">
        <f>'CCCC-Trave'!G77</f>
        <v>1</v>
      </c>
      <c r="H18" s="16">
        <f>'CCCC-Trave'!H77</f>
        <v>1.3333333333333334E-4</v>
      </c>
      <c r="I18" s="16">
        <f>G18*H18</f>
        <v>1.3333333333333334E-4</v>
      </c>
      <c r="V18" s="138">
        <v>0</v>
      </c>
      <c r="W18" s="136">
        <f>-F4/(6*D21)</f>
        <v>-6250</v>
      </c>
      <c r="X18" s="136">
        <f>-(F4/D21+G4/I21)/3</f>
        <v>-25000</v>
      </c>
      <c r="Y18" s="2"/>
      <c r="Z18" s="123">
        <v>-2.8571428571428573E-6</v>
      </c>
      <c r="AA18" s="123">
        <v>1.1428571428571429E-5</v>
      </c>
      <c r="AB18" s="123">
        <v>-4.2857142857142856E-5</v>
      </c>
      <c r="AC18" s="2"/>
      <c r="AD18" s="2"/>
      <c r="AE18" s="124">
        <f>AD22</f>
        <v>-273437.5</v>
      </c>
      <c r="AF18" s="2"/>
      <c r="AG18" s="2"/>
      <c r="AH18" s="123">
        <f>C4</f>
        <v>0</v>
      </c>
      <c r="AI18" s="123">
        <f>AI17</f>
        <v>40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 t="s">
        <v>95</v>
      </c>
      <c r="X19" s="3"/>
      <c r="Y19" s="3"/>
      <c r="Z19" s="3"/>
      <c r="AA19" s="3" t="s">
        <v>96</v>
      </c>
      <c r="AB19" s="3"/>
      <c r="AC19" s="3"/>
      <c r="AD19" s="3"/>
      <c r="AE19" s="3" t="s">
        <v>97</v>
      </c>
      <c r="AF19" s="2"/>
      <c r="AG19" s="2"/>
      <c r="AH19" s="123">
        <f>AH18</f>
        <v>0</v>
      </c>
      <c r="AI19" s="123">
        <f>AI18+C7</f>
        <v>40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3.5" x14ac:dyDescent="0.25">
      <c r="A20" s="17" t="s">
        <v>88</v>
      </c>
      <c r="B20" s="16" t="s">
        <v>89</v>
      </c>
      <c r="C20" s="16" t="s">
        <v>90</v>
      </c>
      <c r="D20" s="16" t="s">
        <v>91</v>
      </c>
      <c r="F20" s="17" t="s">
        <v>108</v>
      </c>
      <c r="G20" s="16" t="s">
        <v>109</v>
      </c>
      <c r="H20" s="16" t="s">
        <v>110</v>
      </c>
      <c r="I20" s="16" t="s">
        <v>111</v>
      </c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40</v>
      </c>
      <c r="AJ20" s="2"/>
      <c r="AK20" s="8">
        <f>AK19</f>
        <v>5</v>
      </c>
      <c r="AL20" s="8">
        <f>AE59</f>
        <v>-8.0357142857142847</v>
      </c>
      <c r="AM20" s="2"/>
      <c r="AN20" s="22"/>
    </row>
    <row r="21" spans="1:46" s="46" customFormat="1" x14ac:dyDescent="0.2">
      <c r="A21" s="1"/>
      <c r="B21" s="16">
        <f>'CCCC-Trave'!B80</f>
        <v>1</v>
      </c>
      <c r="C21" s="16">
        <f>'CCCC-Trave'!C80</f>
        <v>1.3333333333333334E-4</v>
      </c>
      <c r="D21" s="16">
        <f>B21*C21</f>
        <v>1.3333333333333334E-4</v>
      </c>
      <c r="G21" s="16">
        <f>'CCCC-Trave'!G80</f>
        <v>1</v>
      </c>
      <c r="H21" s="16">
        <f>'CCCC-Trave'!H80</f>
        <v>1.3333333333333334E-4</v>
      </c>
      <c r="I21" s="16">
        <f>G21*H21</f>
        <v>1.3333333333333334E-4</v>
      </c>
      <c r="V21" s="24" t="s">
        <v>7</v>
      </c>
      <c r="W21" s="8">
        <f t="array" ref="W21:W23">MMULT(matCinv,matN)</f>
        <v>8.0357142857142865</v>
      </c>
      <c r="X21" s="2"/>
      <c r="Y21" s="123" t="s">
        <v>12</v>
      </c>
      <c r="Z21" s="123">
        <f>C7*C4^2/2</f>
        <v>0</v>
      </c>
      <c r="AA21" s="2"/>
      <c r="AB21" s="123" t="s">
        <v>79</v>
      </c>
      <c r="AC21" s="123" t="s">
        <v>98</v>
      </c>
      <c r="AD21" s="123" t="s">
        <v>115</v>
      </c>
      <c r="AE21" s="2"/>
      <c r="AF21" s="2"/>
      <c r="AG21" s="2"/>
      <c r="AH21" s="123">
        <v>0</v>
      </c>
      <c r="AI21" s="123">
        <f>AI17</f>
        <v>40</v>
      </c>
      <c r="AJ21" s="2"/>
      <c r="AK21" s="8">
        <f>AK57</f>
        <v>10</v>
      </c>
      <c r="AL21" s="8">
        <v>0</v>
      </c>
      <c r="AM21" s="2"/>
      <c r="AN21" s="22"/>
    </row>
    <row r="22" spans="1:46" x14ac:dyDescent="0.2">
      <c r="V22" s="24" t="s">
        <v>80</v>
      </c>
      <c r="W22" s="8">
        <v>11.607142857142858</v>
      </c>
      <c r="X22" s="2"/>
      <c r="Y22" s="123" t="s">
        <v>116</v>
      </c>
      <c r="Z22" s="123">
        <f>H7*H4^2/2</f>
        <v>0</v>
      </c>
      <c r="AA22" s="2"/>
      <c r="AB22" s="124">
        <f>(C7*C4^2/2)*D4/(6*D18)-D7*D4^3/(24*D18)-E7*E4^3/(24*I18)</f>
        <v>-273437.5</v>
      </c>
      <c r="AC22" s="124">
        <f>-E7*E4^3/(24*I18)-F7*F4^3/(24*D21)</f>
        <v>-390625</v>
      </c>
      <c r="AD22" s="124">
        <f>-F7*F4^3/(24*D21)-G7*G4^3/(24*I21)+(H7*H4^2/2)*G4/(6*I21)</f>
        <v>-273437.5</v>
      </c>
      <c r="AE22" s="2"/>
      <c r="AF22" s="2"/>
      <c r="AG22" s="2"/>
      <c r="AH22" s="2"/>
      <c r="AI22" s="2"/>
      <c r="AJ22" s="2"/>
      <c r="AK22" s="8">
        <f>AK21</f>
        <v>10</v>
      </c>
      <c r="AL22" s="8">
        <f>AE68</f>
        <v>-11.607142857142861</v>
      </c>
      <c r="AM22" s="2"/>
      <c r="AN22" s="22"/>
    </row>
    <row r="23" spans="1:46" x14ac:dyDescent="0.2">
      <c r="V23" s="24" t="s">
        <v>99</v>
      </c>
      <c r="W23" s="8">
        <v>8.0357142857142847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8">
        <f>AK58</f>
        <v>15</v>
      </c>
      <c r="AL23" s="8">
        <v>0</v>
      </c>
      <c r="AM23" s="2"/>
      <c r="AN23" s="22"/>
    </row>
    <row r="24" spans="1:46" x14ac:dyDescent="0.2">
      <c r="V24" s="24"/>
      <c r="W24" s="3" t="s">
        <v>100</v>
      </c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C4</f>
        <v>0</v>
      </c>
      <c r="AI24" s="123">
        <f>AI17</f>
        <v>40</v>
      </c>
      <c r="AJ24" s="2"/>
      <c r="AK24" s="8">
        <f>AK23</f>
        <v>15</v>
      </c>
      <c r="AL24" s="8">
        <f>AE77</f>
        <v>-8.0357142857142918</v>
      </c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40</v>
      </c>
      <c r="AJ25" s="2"/>
      <c r="AK25" s="8">
        <f>AK59</f>
        <v>20</v>
      </c>
      <c r="AL25" s="8">
        <v>0</v>
      </c>
      <c r="AM25" s="2"/>
      <c r="AN25" s="22"/>
    </row>
    <row r="26" spans="1:46" x14ac:dyDescent="0.2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AI25+D7</f>
        <v>42</v>
      </c>
      <c r="AJ26" s="3"/>
      <c r="AK26" s="8">
        <f>AK25</f>
        <v>20</v>
      </c>
      <c r="AL26" s="8">
        <f>AE86</f>
        <v>0</v>
      </c>
      <c r="AM26" s="2"/>
      <c r="AN26" s="22"/>
    </row>
    <row r="27" spans="1:46" x14ac:dyDescent="0.2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123" t="s">
        <v>92</v>
      </c>
      <c r="AC27" s="123" t="s">
        <v>93</v>
      </c>
      <c r="AD27" s="123" t="s">
        <v>112</v>
      </c>
      <c r="AE27" s="123" t="s">
        <v>113</v>
      </c>
      <c r="AF27" s="3"/>
      <c r="AG27" s="3"/>
      <c r="AH27" s="123">
        <f>AH24</f>
        <v>0</v>
      </c>
      <c r="AI27" s="123">
        <f>AI26</f>
        <v>42</v>
      </c>
      <c r="AJ27" s="3"/>
      <c r="AK27" s="8">
        <f>AK60</f>
        <v>20</v>
      </c>
      <c r="AL27" s="8">
        <v>0</v>
      </c>
      <c r="AM27" s="2"/>
      <c r="AN27" s="22"/>
    </row>
    <row r="28" spans="1:46" x14ac:dyDescent="0.2">
      <c r="V28" s="126">
        <f>C7*C4</f>
        <v>0</v>
      </c>
      <c r="W28" s="8">
        <f>D7*D4-X28</f>
        <v>3.3928571428571432</v>
      </c>
      <c r="X28" s="8">
        <f>(W21-Z21+D7*D4^2/2)/D4</f>
        <v>6.6071428571428568</v>
      </c>
      <c r="Y28" s="8">
        <f>E7*E4-Z28</f>
        <v>11.785714285714286</v>
      </c>
      <c r="Z28" s="8">
        <f>(W22-W21+E7*E4^2/2)/E4</f>
        <v>13.214285714285714</v>
      </c>
      <c r="AA28" s="8">
        <f>F7*F4-AB28</f>
        <v>13.214285714285714</v>
      </c>
      <c r="AB28" s="8">
        <f>(W23-W22+F7*F4^2/2)/F4</f>
        <v>11.785714285714286</v>
      </c>
      <c r="AC28" s="8">
        <f>G7*G4-AD28</f>
        <v>6.6071428571428568</v>
      </c>
      <c r="AD28" s="8">
        <f>(Z22-W23+G7*G4^2/2)/G4</f>
        <v>3.3928571428571432</v>
      </c>
      <c r="AE28" s="8">
        <f>H7*H4</f>
        <v>0</v>
      </c>
      <c r="AF28" s="3"/>
      <c r="AG28" s="3"/>
      <c r="AH28" s="123">
        <f>AH24</f>
        <v>0</v>
      </c>
      <c r="AI28" s="123">
        <f>AI24</f>
        <v>40</v>
      </c>
      <c r="AJ28" s="3"/>
      <c r="AK28" s="8">
        <f>AK27</f>
        <v>20</v>
      </c>
      <c r="AL28" s="8">
        <f>AE90</f>
        <v>0</v>
      </c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">
      <c r="V31" s="23"/>
      <c r="W31" s="2"/>
      <c r="X31" s="123" t="s">
        <v>0</v>
      </c>
      <c r="Y31" s="123" t="s">
        <v>1</v>
      </c>
      <c r="Z31" s="123" t="s">
        <v>78</v>
      </c>
      <c r="AA31" s="123" t="s">
        <v>94</v>
      </c>
      <c r="AB31" s="123" t="s">
        <v>114</v>
      </c>
      <c r="AC31" s="2"/>
      <c r="AD31" s="2"/>
      <c r="AE31" s="2"/>
      <c r="AF31" s="2"/>
      <c r="AG31" s="2"/>
      <c r="AH31" s="8">
        <f>AK56</f>
        <v>5</v>
      </c>
      <c r="AI31" s="123">
        <f>AI17</f>
        <v>40</v>
      </c>
      <c r="AJ31" s="2"/>
      <c r="AK31" s="2" t="s">
        <v>21</v>
      </c>
      <c r="AL31" s="2"/>
      <c r="AM31" s="2"/>
      <c r="AN31" s="22"/>
    </row>
    <row r="32" spans="1:46" x14ac:dyDescent="0.2">
      <c r="V32" s="23"/>
      <c r="W32" s="2"/>
      <c r="X32" s="8">
        <f>V28+W28</f>
        <v>3.3928571428571432</v>
      </c>
      <c r="Y32" s="8">
        <f>X28+Y28</f>
        <v>18.392857142857142</v>
      </c>
      <c r="Z32" s="8">
        <f>Z28+AA28</f>
        <v>26.428571428571427</v>
      </c>
      <c r="AA32" s="8">
        <f>AB28+AC28</f>
        <v>18.392857142857142</v>
      </c>
      <c r="AB32" s="8">
        <f>AD28+AE28</f>
        <v>3.3928571428571432</v>
      </c>
      <c r="AC32" s="2"/>
      <c r="AD32" s="2"/>
      <c r="AE32" s="2"/>
      <c r="AF32" s="2"/>
      <c r="AG32" s="2"/>
      <c r="AH32" s="8">
        <f>AK57</f>
        <v>10</v>
      </c>
      <c r="AI32" s="123">
        <f>AI31</f>
        <v>40</v>
      </c>
      <c r="AJ32" s="2"/>
      <c r="AK32" s="195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10</v>
      </c>
      <c r="AI33" s="123">
        <f>AI32+E7</f>
        <v>45</v>
      </c>
      <c r="AJ33" s="2"/>
      <c r="AK33" s="196" t="s">
        <v>23</v>
      </c>
      <c r="AL33" s="8">
        <f>W28/D7</f>
        <v>1.6964285714285716</v>
      </c>
      <c r="AM33" s="8">
        <f>C4+AL33</f>
        <v>1.6964285714285716</v>
      </c>
      <c r="AN33" s="129">
        <f>W28*AL33-D7*AL33^2/2+AE50</f>
        <v>2.8778698979591844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45</v>
      </c>
      <c r="AJ34" s="2"/>
      <c r="AK34" s="197" t="s">
        <v>82</v>
      </c>
      <c r="AL34" s="8">
        <f>Y28/E7</f>
        <v>2.3571428571428572</v>
      </c>
      <c r="AM34" s="8">
        <f>C4+D4+AL34</f>
        <v>7.3571428571428577</v>
      </c>
      <c r="AN34" s="129">
        <f>Y28*AL34-E7*AL34^2/2+AE59</f>
        <v>5.8545918367346967</v>
      </c>
    </row>
    <row r="35" spans="22:40" x14ac:dyDescent="0.2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40</v>
      </c>
      <c r="AJ35" s="2"/>
      <c r="AK35" s="197" t="s">
        <v>101</v>
      </c>
      <c r="AL35" s="8">
        <f>AA28/F7</f>
        <v>2.6428571428571428</v>
      </c>
      <c r="AM35" s="8">
        <f>C4+D4+E4+AL35</f>
        <v>12.642857142857142</v>
      </c>
      <c r="AN35" s="129">
        <f>AA28*AL35-F7*AL35^2/2+AE68</f>
        <v>5.8545918367346843</v>
      </c>
    </row>
    <row r="36" spans="22:40" x14ac:dyDescent="0.2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10</v>
      </c>
      <c r="AC36" s="132">
        <v>0</v>
      </c>
      <c r="AD36" s="2"/>
      <c r="AE36" s="2"/>
      <c r="AF36" s="2"/>
      <c r="AG36" s="2"/>
      <c r="AH36" s="2"/>
      <c r="AI36" s="2"/>
      <c r="AJ36" s="2"/>
      <c r="AK36" s="130" t="s">
        <v>117</v>
      </c>
      <c r="AL36" s="8">
        <f>AC28/G7</f>
        <v>3.3035714285714284</v>
      </c>
      <c r="AM36" s="8">
        <f>C4+D4+E4+F4+AL36</f>
        <v>18.303571428571427</v>
      </c>
      <c r="AN36" s="129">
        <f>AC28*AL36-G7*AL36^2/2+AE77</f>
        <v>2.8778698979591759</v>
      </c>
    </row>
    <row r="37" spans="22:40" x14ac:dyDescent="0.2">
      <c r="V37" s="131">
        <f>V36</f>
        <v>0</v>
      </c>
      <c r="W37" s="133">
        <f>-X32</f>
        <v>-3.3928571428571432</v>
      </c>
      <c r="X37" s="2"/>
      <c r="Y37" s="133">
        <f>Y36</f>
        <v>5</v>
      </c>
      <c r="Z37" s="133">
        <f>-Y32</f>
        <v>-18.392857142857142</v>
      </c>
      <c r="AA37" s="2"/>
      <c r="AB37" s="133">
        <f>AB36</f>
        <v>10</v>
      </c>
      <c r="AC37" s="133">
        <f>-Z32</f>
        <v>-26.428571428571427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10</v>
      </c>
      <c r="AI38" s="123">
        <f>AI17</f>
        <v>40</v>
      </c>
      <c r="AJ38" s="3"/>
      <c r="AK38" s="3"/>
      <c r="AL38" s="3"/>
      <c r="AM38" s="3"/>
      <c r="AN38" s="25"/>
    </row>
    <row r="39" spans="22:40" x14ac:dyDescent="0.2">
      <c r="V39" s="23" t="s">
        <v>103</v>
      </c>
      <c r="W39" s="2"/>
      <c r="X39" s="3"/>
      <c r="Y39" s="2" t="s">
        <v>118</v>
      </c>
      <c r="Z39" s="2"/>
      <c r="AA39" s="3"/>
      <c r="AB39" s="3"/>
      <c r="AC39" s="3"/>
      <c r="AD39" s="3"/>
      <c r="AE39" s="3"/>
      <c r="AF39" s="3"/>
      <c r="AG39" s="3"/>
      <c r="AH39" s="8">
        <f>AK58</f>
        <v>15</v>
      </c>
      <c r="AI39" s="123">
        <f>AI38</f>
        <v>40</v>
      </c>
      <c r="AJ39" s="3"/>
      <c r="AK39" s="2" t="s">
        <v>27</v>
      </c>
      <c r="AL39" s="2"/>
      <c r="AM39" s="3"/>
      <c r="AN39" s="25"/>
    </row>
    <row r="40" spans="22:40" x14ac:dyDescent="0.2">
      <c r="V40" s="131">
        <f>AK58</f>
        <v>15</v>
      </c>
      <c r="W40" s="132">
        <v>0</v>
      </c>
      <c r="X40" s="2"/>
      <c r="Y40" s="133">
        <f>AK59</f>
        <v>20</v>
      </c>
      <c r="Z40" s="132">
        <v>0</v>
      </c>
      <c r="AA40" s="2"/>
      <c r="AB40" s="2"/>
      <c r="AC40" s="2"/>
      <c r="AD40" s="2"/>
      <c r="AE40" s="2"/>
      <c r="AF40" s="2"/>
      <c r="AG40" s="2"/>
      <c r="AH40" s="8">
        <f>AH39</f>
        <v>15</v>
      </c>
      <c r="AI40" s="123">
        <f>AI39+F7</f>
        <v>45</v>
      </c>
      <c r="AJ40" s="2"/>
      <c r="AK40" s="8">
        <f>AM33</f>
        <v>1.6964285714285716</v>
      </c>
      <c r="AL40" s="123">
        <v>0</v>
      </c>
      <c r="AM40" s="2"/>
      <c r="AN40" s="22"/>
    </row>
    <row r="41" spans="22:40" x14ac:dyDescent="0.2">
      <c r="V41" s="131">
        <f>V40</f>
        <v>15</v>
      </c>
      <c r="W41" s="133">
        <f>-AA32</f>
        <v>-18.392857142857142</v>
      </c>
      <c r="X41" s="2"/>
      <c r="Y41" s="133">
        <f>Y40</f>
        <v>20</v>
      </c>
      <c r="Z41" s="133">
        <f>-AB32</f>
        <v>-3.3928571428571432</v>
      </c>
      <c r="AA41" s="2"/>
      <c r="AB41" s="2"/>
      <c r="AC41" s="2"/>
      <c r="AD41" s="2"/>
      <c r="AE41" s="2"/>
      <c r="AF41" s="2"/>
      <c r="AG41" s="2"/>
      <c r="AH41" s="8">
        <f>AH38</f>
        <v>10</v>
      </c>
      <c r="AI41" s="123">
        <f>AI40</f>
        <v>45</v>
      </c>
      <c r="AJ41" s="2"/>
      <c r="AK41" s="8">
        <f>AK40</f>
        <v>1.6964285714285716</v>
      </c>
      <c r="AL41" s="8">
        <f>AN33</f>
        <v>2.8778698979591844</v>
      </c>
      <c r="AM41" s="2"/>
      <c r="AN41" s="22"/>
    </row>
    <row r="42" spans="22:40" x14ac:dyDescent="0.2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10</v>
      </c>
      <c r="AI42" s="123">
        <f>AI38</f>
        <v>40</v>
      </c>
      <c r="AJ42" s="2"/>
      <c r="AK42" s="8">
        <f>AM34</f>
        <v>7.3571428571428577</v>
      </c>
      <c r="AL42" s="123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7.3571428571428577</v>
      </c>
      <c r="AL43" s="8">
        <f>AN34</f>
        <v>5.8545918367346967</v>
      </c>
      <c r="AM43" s="2"/>
      <c r="AN43" s="22"/>
    </row>
    <row r="44" spans="22:40" x14ac:dyDescent="0.2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119</v>
      </c>
      <c r="AI44" s="3"/>
      <c r="AJ44" s="2"/>
      <c r="AK44" s="8">
        <f>AM35</f>
        <v>12.642857142857142</v>
      </c>
      <c r="AL44" s="123">
        <v>0</v>
      </c>
      <c r="AM44" s="2"/>
      <c r="AN44" s="22"/>
    </row>
    <row r="45" spans="22:40" x14ac:dyDescent="0.2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8">
        <f>AK58</f>
        <v>15</v>
      </c>
      <c r="AI45" s="123">
        <f>AI17</f>
        <v>40</v>
      </c>
      <c r="AJ45" s="2"/>
      <c r="AK45" s="8">
        <f>AK44</f>
        <v>12.642857142857142</v>
      </c>
      <c r="AL45" s="8">
        <f>AN35</f>
        <v>5.8545918367346843</v>
      </c>
      <c r="AM45" s="2"/>
      <c r="AN45" s="22"/>
    </row>
    <row r="46" spans="22:40" x14ac:dyDescent="0.2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6" t="s">
        <v>2</v>
      </c>
      <c r="AE46" s="136" t="s">
        <v>3</v>
      </c>
      <c r="AF46" s="136" t="s">
        <v>4</v>
      </c>
      <c r="AG46" s="2"/>
      <c r="AH46" s="8">
        <f>AK59</f>
        <v>20</v>
      </c>
      <c r="AI46" s="123">
        <f>AI45</f>
        <v>40</v>
      </c>
      <c r="AJ46" s="2"/>
      <c r="AK46" s="8">
        <f>AM36</f>
        <v>18.303571428571427</v>
      </c>
      <c r="AL46" s="123">
        <v>0</v>
      </c>
      <c r="AM46" s="2"/>
      <c r="AN46" s="22"/>
    </row>
    <row r="47" spans="22:40" x14ac:dyDescent="0.2">
      <c r="V47" s="26">
        <v>0</v>
      </c>
      <c r="W47" s="7">
        <f>-$C$7*V47^2/2</f>
        <v>0</v>
      </c>
      <c r="X47" s="7">
        <f>-$C$7*V47</f>
        <v>0</v>
      </c>
      <c r="Y47" s="2"/>
      <c r="Z47" s="10">
        <v>0</v>
      </c>
      <c r="AA47" s="10">
        <f t="shared" ref="AA47:AA55" si="0">-$Z$21-$D$7*Z47^2/2+$W$28*Z47</f>
        <v>0</v>
      </c>
      <c r="AB47" s="10">
        <f t="shared" ref="AB47:AB55" si="1">-$D$7*Z47+$W$28</f>
        <v>3.3928571428571432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8">
        <f>AH46</f>
        <v>20</v>
      </c>
      <c r="AI47" s="123">
        <f>AI46+G7</f>
        <v>42</v>
      </c>
      <c r="AJ47" s="2"/>
      <c r="AK47" s="8">
        <f>AK46</f>
        <v>18.303571428571427</v>
      </c>
      <c r="AL47" s="8">
        <f>AN36</f>
        <v>2.8778698979591759</v>
      </c>
      <c r="AM47" s="2"/>
      <c r="AN47" s="22"/>
    </row>
    <row r="48" spans="22:40" x14ac:dyDescent="0.2">
      <c r="V48" s="26">
        <f>$C$4/3</f>
        <v>0</v>
      </c>
      <c r="W48" s="7">
        <f>-$C$7*V48^2/2</f>
        <v>0</v>
      </c>
      <c r="X48" s="7">
        <f>-$C$7*V48</f>
        <v>0</v>
      </c>
      <c r="Y48" s="2"/>
      <c r="Z48" s="10">
        <f>$D$4/8</f>
        <v>0.625</v>
      </c>
      <c r="AA48" s="10">
        <f t="shared" si="0"/>
        <v>1.7299107142857144</v>
      </c>
      <c r="AB48" s="10">
        <f t="shared" si="1"/>
        <v>2.1428571428571432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8">
        <f>AH45</f>
        <v>15</v>
      </c>
      <c r="AI48" s="123">
        <f>AI47</f>
        <v>42</v>
      </c>
      <c r="AJ48" s="2"/>
      <c r="AK48" s="2"/>
      <c r="AL48" s="2"/>
      <c r="AM48" s="2"/>
      <c r="AN48" s="22"/>
    </row>
    <row r="49" spans="13:40" x14ac:dyDescent="0.2">
      <c r="V49" s="26">
        <f>2*$C$4/3</f>
        <v>0</v>
      </c>
      <c r="W49" s="7">
        <f>-$C$7*V49^2/2</f>
        <v>0</v>
      </c>
      <c r="X49" s="7">
        <f>-$C$7*V49</f>
        <v>0</v>
      </c>
      <c r="Y49" s="2"/>
      <c r="Z49" s="10">
        <f>2*$D$4/8</f>
        <v>1.25</v>
      </c>
      <c r="AA49" s="10">
        <f t="shared" si="0"/>
        <v>2.6785714285714288</v>
      </c>
      <c r="AB49" s="10">
        <f t="shared" si="1"/>
        <v>0.89285714285714324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8">
        <f>AH45</f>
        <v>15</v>
      </c>
      <c r="AI49" s="123">
        <f>AI45</f>
        <v>40</v>
      </c>
      <c r="AJ49" s="2"/>
      <c r="AK49" s="2"/>
      <c r="AL49" s="2"/>
      <c r="AM49" s="2"/>
      <c r="AN49" s="22"/>
    </row>
    <row r="50" spans="13:40" x14ac:dyDescent="0.2">
      <c r="V50" s="26">
        <f>3*$C$4/3</f>
        <v>0</v>
      </c>
      <c r="W50" s="7">
        <f>-$C$7*V50^2/2</f>
        <v>0</v>
      </c>
      <c r="X50" s="7">
        <f>-$C$7*V50</f>
        <v>0</v>
      </c>
      <c r="Y50" s="2"/>
      <c r="Z50" s="10">
        <f>3*$D$4/8</f>
        <v>1.875</v>
      </c>
      <c r="AA50" s="10">
        <f t="shared" si="0"/>
        <v>2.8459821428571432</v>
      </c>
      <c r="AB50" s="10">
        <f t="shared" si="1"/>
        <v>-0.35714285714285676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198"/>
      <c r="W51" s="122"/>
      <c r="X51" s="122"/>
      <c r="Y51" s="2"/>
      <c r="Z51" s="10">
        <f>4*$D$4/8</f>
        <v>2.5</v>
      </c>
      <c r="AA51" s="10">
        <f t="shared" si="0"/>
        <v>2.2321428571428577</v>
      </c>
      <c r="AB51" s="10">
        <f t="shared" si="1"/>
        <v>-1.6071428571428568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3.3928571428571432</v>
      </c>
      <c r="AG51" s="2"/>
      <c r="AH51" s="3" t="s">
        <v>18</v>
      </c>
      <c r="AI51" s="3"/>
      <c r="AJ51" s="2"/>
      <c r="AK51" s="2"/>
      <c r="AL51" s="2"/>
      <c r="AM51" s="2"/>
      <c r="AN51" s="22"/>
    </row>
    <row r="52" spans="13:40" x14ac:dyDescent="0.2">
      <c r="V52" s="24"/>
      <c r="W52" s="3"/>
      <c r="X52" s="3"/>
      <c r="Y52" s="2"/>
      <c r="Z52" s="10">
        <f>5*$D$4/8</f>
        <v>3.125</v>
      </c>
      <c r="AA52" s="10">
        <f t="shared" si="0"/>
        <v>0.83705357142857295</v>
      </c>
      <c r="AB52" s="10">
        <f t="shared" si="1"/>
        <v>-2.8571428571428568</v>
      </c>
      <c r="AC52" s="3"/>
      <c r="AD52" s="10">
        <f t="shared" si="3"/>
        <v>0.625</v>
      </c>
      <c r="AE52" s="10">
        <f t="shared" si="4"/>
        <v>1.7299107142857144</v>
      </c>
      <c r="AF52" s="10">
        <f t="shared" si="4"/>
        <v>2.1428571428571432</v>
      </c>
      <c r="AG52" s="2"/>
      <c r="AH52" s="8">
        <f>AK59</f>
        <v>20</v>
      </c>
      <c r="AI52" s="123">
        <f>AI17</f>
        <v>40</v>
      </c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10">
        <f>6*$D$4/8</f>
        <v>3.75</v>
      </c>
      <c r="AA53" s="10">
        <f t="shared" si="0"/>
        <v>-1.3392857142857135</v>
      </c>
      <c r="AB53" s="10">
        <f t="shared" si="1"/>
        <v>-4.1071428571428568</v>
      </c>
      <c r="AC53" s="3"/>
      <c r="AD53" s="10">
        <f t="shared" si="3"/>
        <v>1.25</v>
      </c>
      <c r="AE53" s="10">
        <f t="shared" si="4"/>
        <v>2.6785714285714288</v>
      </c>
      <c r="AF53" s="10">
        <f t="shared" si="4"/>
        <v>0.89285714285714324</v>
      </c>
      <c r="AG53" s="2"/>
      <c r="AH53" s="8">
        <f>AK60</f>
        <v>20</v>
      </c>
      <c r="AI53" s="123">
        <f>AI52</f>
        <v>40</v>
      </c>
      <c r="AJ53" s="2"/>
      <c r="AK53" s="123" t="s">
        <v>2</v>
      </c>
      <c r="AL53" s="123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10">
        <f>7*$D$4/8</f>
        <v>4.375</v>
      </c>
      <c r="AA54" s="10">
        <f t="shared" si="0"/>
        <v>-4.2968749999999982</v>
      </c>
      <c r="AB54" s="10">
        <f t="shared" si="1"/>
        <v>-5.3571428571428568</v>
      </c>
      <c r="AC54" s="2"/>
      <c r="AD54" s="10">
        <f t="shared" si="3"/>
        <v>1.875</v>
      </c>
      <c r="AE54" s="10">
        <f t="shared" si="4"/>
        <v>2.8459821428571432</v>
      </c>
      <c r="AF54" s="10">
        <f t="shared" si="4"/>
        <v>-0.35714285714285676</v>
      </c>
      <c r="AG54" s="2"/>
      <c r="AH54" s="8">
        <f>AH53</f>
        <v>20</v>
      </c>
      <c r="AI54" s="123">
        <f>AI53+H7</f>
        <v>40</v>
      </c>
      <c r="AJ54" s="2"/>
      <c r="AK54" s="8">
        <v>0</v>
      </c>
      <c r="AL54" s="123">
        <v>0</v>
      </c>
      <c r="AM54" s="2"/>
      <c r="AN54" s="22"/>
    </row>
    <row r="55" spans="13:40" x14ac:dyDescent="0.2">
      <c r="M55" s="2"/>
      <c r="N55" s="2"/>
      <c r="V55" s="24"/>
      <c r="W55" s="3"/>
      <c r="X55" s="3"/>
      <c r="Y55" s="2"/>
      <c r="Z55" s="10">
        <f>8*$D$4/8</f>
        <v>5</v>
      </c>
      <c r="AA55" s="10">
        <f t="shared" si="0"/>
        <v>-8.0357142857142847</v>
      </c>
      <c r="AB55" s="10">
        <f t="shared" si="1"/>
        <v>-6.6071428571428568</v>
      </c>
      <c r="AC55" s="2"/>
      <c r="AD55" s="10">
        <f t="shared" si="3"/>
        <v>2.5</v>
      </c>
      <c r="AE55" s="10">
        <f t="shared" si="4"/>
        <v>2.2321428571428577</v>
      </c>
      <c r="AF55" s="10">
        <f t="shared" si="4"/>
        <v>-1.6071428571428568</v>
      </c>
      <c r="AG55" s="2"/>
      <c r="AH55" s="8">
        <f>AH52</f>
        <v>20</v>
      </c>
      <c r="AI55" s="123">
        <f>AI54</f>
        <v>40</v>
      </c>
      <c r="AJ55" s="2"/>
      <c r="AK55" s="8">
        <f>C4</f>
        <v>0</v>
      </c>
      <c r="AL55" s="123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0.83705357142857295</v>
      </c>
      <c r="AF56" s="10">
        <f t="shared" si="4"/>
        <v>-2.8571428571428568</v>
      </c>
      <c r="AG56" s="2"/>
      <c r="AH56" s="8">
        <f>AH52</f>
        <v>20</v>
      </c>
      <c r="AI56" s="123">
        <f>AI52</f>
        <v>40</v>
      </c>
      <c r="AJ56" s="2"/>
      <c r="AK56" s="8">
        <f>AK55+D4</f>
        <v>5</v>
      </c>
      <c r="AL56" s="123">
        <v>0</v>
      </c>
      <c r="AM56" s="2"/>
      <c r="AN56" s="22"/>
    </row>
    <row r="57" spans="13:40" x14ac:dyDescent="0.2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10">
        <f t="shared" si="3"/>
        <v>3.75</v>
      </c>
      <c r="AE57" s="10">
        <f t="shared" si="4"/>
        <v>-1.3392857142857135</v>
      </c>
      <c r="AF57" s="10">
        <f t="shared" si="4"/>
        <v>-4.1071428571428568</v>
      </c>
      <c r="AG57" s="2"/>
      <c r="AH57" s="2"/>
      <c r="AI57" s="2"/>
      <c r="AJ57" s="2"/>
      <c r="AK57" s="8">
        <f>AK56+E4</f>
        <v>10</v>
      </c>
      <c r="AL57" s="123">
        <v>0</v>
      </c>
      <c r="AM57" s="2"/>
      <c r="AN57" s="22"/>
    </row>
    <row r="58" spans="13:40" x14ac:dyDescent="0.2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-4.2968749999999982</v>
      </c>
      <c r="AF58" s="10">
        <f t="shared" si="4"/>
        <v>-5.3571428571428568</v>
      </c>
      <c r="AG58" s="2"/>
      <c r="AH58" s="2"/>
      <c r="AI58" s="2"/>
      <c r="AJ58" s="2"/>
      <c r="AK58" s="8">
        <f>AK57+F4</f>
        <v>15</v>
      </c>
      <c r="AL58" s="123">
        <v>0</v>
      </c>
      <c r="AM58" s="2"/>
      <c r="AN58" s="22"/>
    </row>
    <row r="59" spans="13:40" x14ac:dyDescent="0.2">
      <c r="V59" s="139">
        <v>0</v>
      </c>
      <c r="W59" s="140">
        <f t="shared" ref="W59:W67" si="5">-$W$21-$E$7*V59^2/2+$Y$28*V59</f>
        <v>-8.0357142857142865</v>
      </c>
      <c r="X59" s="140">
        <f t="shared" ref="X59:X67" si="6">-$E$7*V59+$Y$28</f>
        <v>11.785714285714286</v>
      </c>
      <c r="Y59" s="2"/>
      <c r="Z59" s="172">
        <v>0</v>
      </c>
      <c r="AA59" s="172">
        <f t="shared" ref="AA59:AA67" si="7">-$W$22-$F$7*Z59^2/2+$AA$28*Z59</f>
        <v>-11.607142857142858</v>
      </c>
      <c r="AB59" s="172">
        <f t="shared" ref="AB59:AB67" si="8">-$F$7*Z59+$AA$28</f>
        <v>13.214285714285714</v>
      </c>
      <c r="AC59" s="2"/>
      <c r="AD59" s="10">
        <f t="shared" si="3"/>
        <v>5</v>
      </c>
      <c r="AE59" s="10">
        <f t="shared" si="4"/>
        <v>-8.0357142857142847</v>
      </c>
      <c r="AF59" s="10">
        <f t="shared" si="4"/>
        <v>-6.6071428571428568</v>
      </c>
      <c r="AG59" s="2"/>
      <c r="AH59" s="2"/>
      <c r="AI59" s="2"/>
      <c r="AJ59" s="2"/>
      <c r="AK59" s="8">
        <f>AK58+G4</f>
        <v>20</v>
      </c>
      <c r="AL59" s="123">
        <v>0</v>
      </c>
      <c r="AM59" s="2"/>
      <c r="AN59" s="22"/>
    </row>
    <row r="60" spans="13:40" x14ac:dyDescent="0.2">
      <c r="V60" s="139">
        <f>$E$4/8</f>
        <v>0.625</v>
      </c>
      <c r="W60" s="140">
        <f t="shared" si="5"/>
        <v>-1.6462053571428577</v>
      </c>
      <c r="X60" s="140">
        <f t="shared" si="6"/>
        <v>8.6607142857142865</v>
      </c>
      <c r="Y60" s="2"/>
      <c r="Z60" s="172">
        <f>$F$4/8</f>
        <v>0.625</v>
      </c>
      <c r="AA60" s="172">
        <f t="shared" si="7"/>
        <v>-4.3247767857142865</v>
      </c>
      <c r="AB60" s="172">
        <f t="shared" si="8"/>
        <v>10.089285714285714</v>
      </c>
      <c r="AC60" s="2"/>
      <c r="AD60" s="140">
        <f t="shared" ref="AD60:AD68" si="9">$AD$59+V59</f>
        <v>5</v>
      </c>
      <c r="AE60" s="140">
        <f t="shared" ref="AE60:AF68" si="10">W59</f>
        <v>-8.0357142857142865</v>
      </c>
      <c r="AF60" s="140">
        <f t="shared" si="10"/>
        <v>11.785714285714286</v>
      </c>
      <c r="AG60" s="2"/>
      <c r="AH60" s="2"/>
      <c r="AI60" s="2"/>
      <c r="AJ60" s="2"/>
      <c r="AK60" s="8">
        <f>AK59+H4</f>
        <v>20</v>
      </c>
      <c r="AL60" s="123">
        <v>0</v>
      </c>
      <c r="AM60" s="2"/>
      <c r="AN60" s="22"/>
    </row>
    <row r="61" spans="13:40" x14ac:dyDescent="0.2">
      <c r="V61" s="139">
        <f>2*$E$4/8</f>
        <v>1.25</v>
      </c>
      <c r="W61" s="140">
        <f t="shared" si="5"/>
        <v>2.7901785714285712</v>
      </c>
      <c r="X61" s="140">
        <f t="shared" si="6"/>
        <v>5.5357142857142865</v>
      </c>
      <c r="Y61" s="2"/>
      <c r="Z61" s="172">
        <f>2*$F$4/8</f>
        <v>1.25</v>
      </c>
      <c r="AA61" s="172">
        <f t="shared" si="7"/>
        <v>1.0044642857142847</v>
      </c>
      <c r="AB61" s="172">
        <f t="shared" si="8"/>
        <v>6.9642857142857135</v>
      </c>
      <c r="AC61" s="2"/>
      <c r="AD61" s="140">
        <f t="shared" si="9"/>
        <v>5.625</v>
      </c>
      <c r="AE61" s="140">
        <f t="shared" si="10"/>
        <v>-1.6462053571428577</v>
      </c>
      <c r="AF61" s="140">
        <f t="shared" si="10"/>
        <v>8.6607142857142865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3*$E$4/8</f>
        <v>1.875</v>
      </c>
      <c r="W62" s="140">
        <f t="shared" si="5"/>
        <v>5.2734375000000036</v>
      </c>
      <c r="X62" s="140">
        <f t="shared" si="6"/>
        <v>2.4107142857142865</v>
      </c>
      <c r="Y62" s="2"/>
      <c r="Z62" s="172">
        <f>3*$F$4/8</f>
        <v>1.875</v>
      </c>
      <c r="AA62" s="172">
        <f t="shared" si="7"/>
        <v>4.3805803571428541</v>
      </c>
      <c r="AB62" s="172">
        <f t="shared" si="8"/>
        <v>3.8392857142857135</v>
      </c>
      <c r="AC62" s="2"/>
      <c r="AD62" s="140">
        <f t="shared" si="9"/>
        <v>6.25</v>
      </c>
      <c r="AE62" s="140">
        <f t="shared" si="10"/>
        <v>2.7901785714285712</v>
      </c>
      <c r="AF62" s="140">
        <f t="shared" si="10"/>
        <v>5.5357142857142865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4*$E$4/8</f>
        <v>2.5</v>
      </c>
      <c r="W63" s="140">
        <f t="shared" si="5"/>
        <v>5.8035714285714306</v>
      </c>
      <c r="X63" s="140">
        <f t="shared" si="6"/>
        <v>-0.71428571428571352</v>
      </c>
      <c r="Y63" s="2"/>
      <c r="Z63" s="172">
        <f>4*$F$4/8</f>
        <v>2.5</v>
      </c>
      <c r="AA63" s="172">
        <f t="shared" si="7"/>
        <v>5.803571428571427</v>
      </c>
      <c r="AB63" s="172">
        <f t="shared" si="8"/>
        <v>0.71428571428571352</v>
      </c>
      <c r="AC63" s="2"/>
      <c r="AD63" s="140">
        <f t="shared" si="9"/>
        <v>6.875</v>
      </c>
      <c r="AE63" s="140">
        <f t="shared" si="10"/>
        <v>5.2734375000000036</v>
      </c>
      <c r="AF63" s="140">
        <f t="shared" si="10"/>
        <v>2.4107142857142865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5*$E$4/8</f>
        <v>3.125</v>
      </c>
      <c r="W64" s="140">
        <f t="shared" si="5"/>
        <v>4.3805803571428612</v>
      </c>
      <c r="X64" s="140">
        <f t="shared" si="6"/>
        <v>-3.8392857142857135</v>
      </c>
      <c r="Y64" s="2"/>
      <c r="Z64" s="172">
        <f>5*$F$4/8</f>
        <v>3.125</v>
      </c>
      <c r="AA64" s="172">
        <f t="shared" si="7"/>
        <v>5.2734374999999929</v>
      </c>
      <c r="AB64" s="172">
        <f t="shared" si="8"/>
        <v>-2.4107142857142865</v>
      </c>
      <c r="AC64" s="2"/>
      <c r="AD64" s="140">
        <f t="shared" si="9"/>
        <v>7.5</v>
      </c>
      <c r="AE64" s="140">
        <f t="shared" si="10"/>
        <v>5.8035714285714306</v>
      </c>
      <c r="AF64" s="140">
        <f t="shared" si="10"/>
        <v>-0.71428571428571352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6*$E$4/8</f>
        <v>3.75</v>
      </c>
      <c r="W65" s="140">
        <f t="shared" si="5"/>
        <v>1.0044642857142918</v>
      </c>
      <c r="X65" s="140">
        <f t="shared" si="6"/>
        <v>-6.9642857142857135</v>
      </c>
      <c r="Y65" s="2"/>
      <c r="Z65" s="172">
        <f>6*$F$4/8</f>
        <v>3.75</v>
      </c>
      <c r="AA65" s="172">
        <f t="shared" si="7"/>
        <v>2.7901785714285623</v>
      </c>
      <c r="AB65" s="172">
        <f t="shared" si="8"/>
        <v>-5.5357142857142865</v>
      </c>
      <c r="AC65" s="2"/>
      <c r="AD65" s="140">
        <f t="shared" si="9"/>
        <v>8.125</v>
      </c>
      <c r="AE65" s="140">
        <f t="shared" si="10"/>
        <v>4.3805803571428612</v>
      </c>
      <c r="AF65" s="140">
        <f t="shared" si="10"/>
        <v>-3.8392857142857135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7*$E$4/8</f>
        <v>4.375</v>
      </c>
      <c r="W66" s="140">
        <f t="shared" si="5"/>
        <v>-4.3247767857142847</v>
      </c>
      <c r="X66" s="140">
        <f t="shared" si="6"/>
        <v>-10.089285714285714</v>
      </c>
      <c r="Y66" s="2"/>
      <c r="Z66" s="172">
        <f>7*$F$4/8</f>
        <v>4.375</v>
      </c>
      <c r="AA66" s="172">
        <f t="shared" si="7"/>
        <v>-1.6462053571428612</v>
      </c>
      <c r="AB66" s="172">
        <f t="shared" si="8"/>
        <v>-8.6607142857142865</v>
      </c>
      <c r="AC66" s="2"/>
      <c r="AD66" s="140">
        <f t="shared" si="9"/>
        <v>8.75</v>
      </c>
      <c r="AE66" s="140">
        <f t="shared" si="10"/>
        <v>1.0044642857142918</v>
      </c>
      <c r="AF66" s="140">
        <f t="shared" si="10"/>
        <v>-6.9642857142857135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">
      <c r="V67" s="139">
        <f>8*$E$4/8</f>
        <v>5</v>
      </c>
      <c r="W67" s="140">
        <f t="shared" si="5"/>
        <v>-11.607142857142861</v>
      </c>
      <c r="X67" s="140">
        <f t="shared" si="6"/>
        <v>-13.214285714285714</v>
      </c>
      <c r="Y67" s="2"/>
      <c r="Z67" s="172">
        <f>8*$F$4/8</f>
        <v>5</v>
      </c>
      <c r="AA67" s="172">
        <f t="shared" si="7"/>
        <v>-8.0357142857142918</v>
      </c>
      <c r="AB67" s="172">
        <f t="shared" si="8"/>
        <v>-11.785714285714286</v>
      </c>
      <c r="AC67" s="2"/>
      <c r="AD67" s="140">
        <f t="shared" si="9"/>
        <v>9.375</v>
      </c>
      <c r="AE67" s="140">
        <f t="shared" si="10"/>
        <v>-4.3247767857142847</v>
      </c>
      <c r="AF67" s="140">
        <f t="shared" si="10"/>
        <v>-10.089285714285714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">
      <c r="V68" s="23"/>
      <c r="W68" s="2"/>
      <c r="X68" s="2"/>
      <c r="Y68" s="2"/>
      <c r="Z68" s="2"/>
      <c r="AA68" s="2"/>
      <c r="AB68" s="2"/>
      <c r="AC68" s="2"/>
      <c r="AD68" s="140">
        <f t="shared" si="9"/>
        <v>10</v>
      </c>
      <c r="AE68" s="140">
        <f t="shared" si="10"/>
        <v>-11.607142857142861</v>
      </c>
      <c r="AF68" s="140">
        <f t="shared" si="10"/>
        <v>-13.214285714285714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172">
        <f t="shared" ref="AD69:AD77" si="11">$AD$68+Z59</f>
        <v>10</v>
      </c>
      <c r="AE69" s="172">
        <f t="shared" ref="AE69:AF77" si="12">AA59</f>
        <v>-11.607142857142858</v>
      </c>
      <c r="AF69" s="172">
        <f t="shared" si="12"/>
        <v>13.214285714285714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">
      <c r="V70" s="23" t="s">
        <v>120</v>
      </c>
      <c r="W70" s="2"/>
      <c r="X70" s="2"/>
      <c r="Y70" s="2"/>
      <c r="Z70" s="2" t="s">
        <v>121</v>
      </c>
      <c r="AA70" s="2"/>
      <c r="AB70" s="2"/>
      <c r="AC70" s="2"/>
      <c r="AD70" s="172">
        <f t="shared" si="11"/>
        <v>10.625</v>
      </c>
      <c r="AE70" s="172">
        <f t="shared" si="12"/>
        <v>-4.3247767857142865</v>
      </c>
      <c r="AF70" s="172">
        <f t="shared" si="12"/>
        <v>10.089285714285714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138" t="s">
        <v>2</v>
      </c>
      <c r="W71" s="136" t="s">
        <v>3</v>
      </c>
      <c r="X71" s="123" t="s">
        <v>4</v>
      </c>
      <c r="Y71" s="2"/>
      <c r="Z71" s="136" t="s">
        <v>2</v>
      </c>
      <c r="AA71" s="136" t="s">
        <v>3</v>
      </c>
      <c r="AB71" s="123" t="s">
        <v>4</v>
      </c>
      <c r="AC71" s="2"/>
      <c r="AD71" s="172">
        <f t="shared" si="11"/>
        <v>11.25</v>
      </c>
      <c r="AE71" s="172">
        <f t="shared" si="12"/>
        <v>1.0044642857142847</v>
      </c>
      <c r="AF71" s="172">
        <f t="shared" si="12"/>
        <v>6.9642857142857135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">
      <c r="V72" s="199">
        <v>0</v>
      </c>
      <c r="W72" s="200">
        <f t="shared" ref="W72:W80" si="13">-$W$23-$G$7*V72^2/2+$AC$28*V72</f>
        <v>-8.0357142857142847</v>
      </c>
      <c r="X72" s="200">
        <f t="shared" ref="X72:X80" si="14">-$G$7*V72+$AC$28</f>
        <v>6.6071428571428568</v>
      </c>
      <c r="Y72" s="2"/>
      <c r="Z72" s="8">
        <v>0</v>
      </c>
      <c r="AA72" s="8">
        <f>-$Z$22-$H$7*Z72^2/2+$AE$28*Z72</f>
        <v>0</v>
      </c>
      <c r="AB72" s="8">
        <f>-$H$7*Z72+$AE$28</f>
        <v>0</v>
      </c>
      <c r="AC72" s="2"/>
      <c r="AD72" s="172">
        <f t="shared" si="11"/>
        <v>11.875</v>
      </c>
      <c r="AE72" s="172">
        <f t="shared" si="12"/>
        <v>4.3805803571428541</v>
      </c>
      <c r="AF72" s="172">
        <f t="shared" si="12"/>
        <v>3.8392857142857135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">
      <c r="V73" s="199">
        <f>$G$4/8</f>
        <v>0.625</v>
      </c>
      <c r="W73" s="200">
        <f t="shared" si="13"/>
        <v>-4.2968749999999991</v>
      </c>
      <c r="X73" s="200">
        <f t="shared" si="14"/>
        <v>5.3571428571428568</v>
      </c>
      <c r="Y73" s="2"/>
      <c r="Z73" s="8">
        <f>$H$4/3</f>
        <v>0</v>
      </c>
      <c r="AA73" s="8">
        <f>-$Z$22-$H$7*Z73^2/2+$AE$28*Z73</f>
        <v>0</v>
      </c>
      <c r="AB73" s="8">
        <f>-$H$7*Z73+$AE$28</f>
        <v>0</v>
      </c>
      <c r="AC73" s="2"/>
      <c r="AD73" s="172">
        <f t="shared" si="11"/>
        <v>12.5</v>
      </c>
      <c r="AE73" s="172">
        <f t="shared" si="12"/>
        <v>5.803571428571427</v>
      </c>
      <c r="AF73" s="172">
        <f t="shared" si="12"/>
        <v>0.71428571428571352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">
      <c r="V74" s="199">
        <f>2*$G$4/8</f>
        <v>1.25</v>
      </c>
      <c r="W74" s="200">
        <f t="shared" si="13"/>
        <v>-1.3392857142857135</v>
      </c>
      <c r="X74" s="200">
        <f t="shared" si="14"/>
        <v>4.1071428571428568</v>
      </c>
      <c r="Y74" s="2"/>
      <c r="Z74" s="8">
        <f>2*$H$4/3</f>
        <v>0</v>
      </c>
      <c r="AA74" s="8">
        <f>-$Z$22-$H$7*Z74^2/2+$AE$28*Z74</f>
        <v>0</v>
      </c>
      <c r="AB74" s="8">
        <f>-$H$7*Z74+$AE$28</f>
        <v>0</v>
      </c>
      <c r="AC74" s="2"/>
      <c r="AD74" s="172">
        <f t="shared" si="11"/>
        <v>13.125</v>
      </c>
      <c r="AE74" s="172">
        <f t="shared" si="12"/>
        <v>5.2734374999999929</v>
      </c>
      <c r="AF74" s="172">
        <f t="shared" si="12"/>
        <v>-2.4107142857142865</v>
      </c>
      <c r="AG74" s="2"/>
      <c r="AH74" s="2"/>
      <c r="AI74" s="2"/>
      <c r="AJ74" s="2"/>
      <c r="AK74" s="2"/>
      <c r="AL74" s="2"/>
      <c r="AM74" s="2"/>
      <c r="AN74" s="22"/>
    </row>
    <row r="75" spans="22:40" x14ac:dyDescent="0.2">
      <c r="V75" s="199">
        <f>3*$G$4/8</f>
        <v>1.875</v>
      </c>
      <c r="W75" s="200">
        <f t="shared" si="13"/>
        <v>0.83705357142857117</v>
      </c>
      <c r="X75" s="200">
        <f t="shared" si="14"/>
        <v>2.8571428571428568</v>
      </c>
      <c r="Y75" s="2"/>
      <c r="Z75" s="8">
        <f>3*$H$4/3</f>
        <v>0</v>
      </c>
      <c r="AA75" s="8">
        <f>-$Z$22-$H$7*Z75^2/2+$AE$28*Z75</f>
        <v>0</v>
      </c>
      <c r="AB75" s="8">
        <f>-$H$7*Z75+$AE$28</f>
        <v>0</v>
      </c>
      <c r="AC75" s="2"/>
      <c r="AD75" s="172">
        <f t="shared" si="11"/>
        <v>13.75</v>
      </c>
      <c r="AE75" s="172">
        <f t="shared" si="12"/>
        <v>2.7901785714285623</v>
      </c>
      <c r="AF75" s="172">
        <f t="shared" si="12"/>
        <v>-5.5357142857142865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">
      <c r="V76" s="199">
        <f>4*$G$4/8</f>
        <v>2.5</v>
      </c>
      <c r="W76" s="200">
        <f t="shared" si="13"/>
        <v>2.2321428571428577</v>
      </c>
      <c r="X76" s="200">
        <f t="shared" si="14"/>
        <v>1.6071428571428568</v>
      </c>
      <c r="Y76" s="2"/>
      <c r="Z76" s="122"/>
      <c r="AA76" s="122"/>
      <c r="AB76" s="122"/>
      <c r="AC76" s="2"/>
      <c r="AD76" s="172">
        <f t="shared" si="11"/>
        <v>14.375</v>
      </c>
      <c r="AE76" s="172">
        <f t="shared" si="12"/>
        <v>-1.6462053571428612</v>
      </c>
      <c r="AF76" s="172">
        <f t="shared" si="12"/>
        <v>-8.6607142857142865</v>
      </c>
      <c r="AG76" s="2"/>
      <c r="AH76" s="2"/>
      <c r="AI76" s="2"/>
      <c r="AJ76" s="2"/>
      <c r="AK76" s="2"/>
      <c r="AL76" s="2"/>
      <c r="AM76" s="2"/>
      <c r="AN76" s="22"/>
    </row>
    <row r="77" spans="22:40" x14ac:dyDescent="0.2">
      <c r="V77" s="199">
        <f>5*$G$4/8</f>
        <v>3.125</v>
      </c>
      <c r="W77" s="200">
        <f t="shared" si="13"/>
        <v>2.8459821428571423</v>
      </c>
      <c r="X77" s="200">
        <f t="shared" si="14"/>
        <v>0.35714285714285676</v>
      </c>
      <c r="Y77" s="2"/>
      <c r="Z77" s="3"/>
      <c r="AA77" s="3"/>
      <c r="AB77" s="3"/>
      <c r="AC77" s="2"/>
      <c r="AD77" s="172">
        <f t="shared" si="11"/>
        <v>15</v>
      </c>
      <c r="AE77" s="172">
        <f t="shared" si="12"/>
        <v>-8.0357142857142918</v>
      </c>
      <c r="AF77" s="172">
        <f t="shared" si="12"/>
        <v>-11.785714285714286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">
      <c r="V78" s="199">
        <f>6*$G$4/8</f>
        <v>3.75</v>
      </c>
      <c r="W78" s="200">
        <f t="shared" si="13"/>
        <v>2.678571428571427</v>
      </c>
      <c r="X78" s="200">
        <f t="shared" si="14"/>
        <v>-0.89285714285714324</v>
      </c>
      <c r="Y78" s="2"/>
      <c r="Z78" s="3"/>
      <c r="AA78" s="3"/>
      <c r="AB78" s="3"/>
      <c r="AC78" s="2"/>
      <c r="AD78" s="200">
        <f t="shared" ref="AD78:AD86" si="15">$AD$77+V72</f>
        <v>15</v>
      </c>
      <c r="AE78" s="200">
        <f t="shared" ref="AE78:AF86" si="16">W72</f>
        <v>-8.0357142857142847</v>
      </c>
      <c r="AF78" s="200">
        <f t="shared" si="16"/>
        <v>6.6071428571428568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">
      <c r="V79" s="199">
        <f>7*$G$4/8</f>
        <v>4.375</v>
      </c>
      <c r="W79" s="200">
        <f t="shared" si="13"/>
        <v>1.7299107142857153</v>
      </c>
      <c r="X79" s="200">
        <f t="shared" si="14"/>
        <v>-2.1428571428571432</v>
      </c>
      <c r="Y79" s="2"/>
      <c r="Z79" s="3"/>
      <c r="AA79" s="3"/>
      <c r="AB79" s="3"/>
      <c r="AC79" s="2"/>
      <c r="AD79" s="200">
        <f t="shared" si="15"/>
        <v>15.625</v>
      </c>
      <c r="AE79" s="200">
        <f t="shared" si="16"/>
        <v>-4.2968749999999991</v>
      </c>
      <c r="AF79" s="200">
        <f t="shared" si="16"/>
        <v>5.3571428571428568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">
      <c r="V80" s="199">
        <f>8*$G$4/8</f>
        <v>5</v>
      </c>
      <c r="W80" s="200">
        <f t="shared" si="13"/>
        <v>0</v>
      </c>
      <c r="X80" s="200">
        <f t="shared" si="14"/>
        <v>-3.3928571428571432</v>
      </c>
      <c r="Y80" s="2"/>
      <c r="Z80" s="3"/>
      <c r="AA80" s="3"/>
      <c r="AB80" s="3"/>
      <c r="AC80" s="2"/>
      <c r="AD80" s="200">
        <f t="shared" si="15"/>
        <v>16.25</v>
      </c>
      <c r="AE80" s="200">
        <f t="shared" si="16"/>
        <v>-1.3392857142857135</v>
      </c>
      <c r="AF80" s="200">
        <f t="shared" si="16"/>
        <v>4.1071428571428568</v>
      </c>
      <c r="AG80" s="2"/>
      <c r="AH80" s="2"/>
      <c r="AI80" s="2"/>
      <c r="AJ80" s="2"/>
      <c r="AK80" s="2"/>
      <c r="AL80" s="2"/>
      <c r="AM80" s="2"/>
      <c r="AN80" s="22"/>
    </row>
    <row r="81" spans="5:40" x14ac:dyDescent="0.2">
      <c r="V81" s="23"/>
      <c r="W81" s="2"/>
      <c r="X81" s="2"/>
      <c r="Y81" s="2"/>
      <c r="Z81" s="2"/>
      <c r="AA81" s="2"/>
      <c r="AB81" s="2"/>
      <c r="AC81" s="2"/>
      <c r="AD81" s="200">
        <f t="shared" si="15"/>
        <v>16.875</v>
      </c>
      <c r="AE81" s="200">
        <f t="shared" si="16"/>
        <v>0.83705357142857117</v>
      </c>
      <c r="AF81" s="200">
        <f t="shared" si="16"/>
        <v>2.8571428571428568</v>
      </c>
      <c r="AG81" s="2"/>
      <c r="AH81" s="2"/>
      <c r="AI81" s="2"/>
      <c r="AJ81" s="2"/>
      <c r="AK81" s="2"/>
      <c r="AL81" s="2"/>
      <c r="AM81" s="2"/>
      <c r="AN81" s="22"/>
    </row>
    <row r="82" spans="5:40" x14ac:dyDescent="0.2">
      <c r="V82" s="23"/>
      <c r="W82" s="2"/>
      <c r="X82" s="2"/>
      <c r="Y82" s="2"/>
      <c r="Z82" s="2"/>
      <c r="AA82" s="2"/>
      <c r="AB82" s="2"/>
      <c r="AC82" s="2"/>
      <c r="AD82" s="200">
        <f t="shared" si="15"/>
        <v>17.5</v>
      </c>
      <c r="AE82" s="200">
        <f t="shared" si="16"/>
        <v>2.2321428571428577</v>
      </c>
      <c r="AF82" s="200">
        <f t="shared" si="16"/>
        <v>1.6071428571428568</v>
      </c>
      <c r="AG82" s="2"/>
      <c r="AH82" s="2"/>
      <c r="AI82" s="2"/>
      <c r="AJ82" s="2"/>
      <c r="AK82" s="2"/>
      <c r="AL82" s="2"/>
      <c r="AM82" s="2"/>
      <c r="AN82" s="22"/>
    </row>
    <row r="83" spans="5:40" x14ac:dyDescent="0.2">
      <c r="V83" s="23"/>
      <c r="W83" s="2"/>
      <c r="X83" s="2"/>
      <c r="Y83" s="2"/>
      <c r="Z83" s="2"/>
      <c r="AA83" s="2"/>
      <c r="AB83" s="2"/>
      <c r="AC83" s="2"/>
      <c r="AD83" s="200">
        <f t="shared" si="15"/>
        <v>18.125</v>
      </c>
      <c r="AE83" s="200">
        <f t="shared" si="16"/>
        <v>2.8459821428571423</v>
      </c>
      <c r="AF83" s="200">
        <f t="shared" si="16"/>
        <v>0.35714285714285676</v>
      </c>
      <c r="AG83" s="2"/>
      <c r="AH83" s="2"/>
      <c r="AI83" s="2"/>
      <c r="AJ83" s="2"/>
      <c r="AK83" s="2"/>
      <c r="AL83" s="2"/>
      <c r="AM83" s="2"/>
      <c r="AN83" s="22"/>
    </row>
    <row r="84" spans="5:40" x14ac:dyDescent="0.2">
      <c r="V84" s="23"/>
      <c r="W84" s="2"/>
      <c r="X84" s="2"/>
      <c r="Y84" s="2"/>
      <c r="Z84" s="2"/>
      <c r="AA84" s="2"/>
      <c r="AB84" s="2"/>
      <c r="AC84" s="2"/>
      <c r="AD84" s="200">
        <f t="shared" si="15"/>
        <v>18.75</v>
      </c>
      <c r="AE84" s="200">
        <f t="shared" si="16"/>
        <v>2.678571428571427</v>
      </c>
      <c r="AF84" s="200">
        <f t="shared" si="16"/>
        <v>-0.89285714285714324</v>
      </c>
      <c r="AG84" s="2"/>
      <c r="AH84" s="2"/>
      <c r="AI84" s="2"/>
      <c r="AJ84" s="2"/>
      <c r="AK84" s="2"/>
      <c r="AL84" s="2"/>
      <c r="AM84" s="2"/>
      <c r="AN84" s="22"/>
    </row>
    <row r="85" spans="5:40" x14ac:dyDescent="0.2">
      <c r="V85" s="23"/>
      <c r="W85" s="2"/>
      <c r="X85" s="2"/>
      <c r="Y85" s="2"/>
      <c r="Z85" s="2"/>
      <c r="AA85" s="2"/>
      <c r="AB85" s="2"/>
      <c r="AC85" s="2"/>
      <c r="AD85" s="200">
        <f t="shared" si="15"/>
        <v>19.375</v>
      </c>
      <c r="AE85" s="200">
        <f t="shared" si="16"/>
        <v>1.7299107142857153</v>
      </c>
      <c r="AF85" s="200">
        <f t="shared" si="16"/>
        <v>-2.1428571428571432</v>
      </c>
      <c r="AG85" s="2"/>
      <c r="AH85" s="2"/>
      <c r="AI85" s="2"/>
      <c r="AJ85" s="2"/>
      <c r="AK85" s="2"/>
      <c r="AL85" s="2"/>
      <c r="AM85" s="2"/>
      <c r="AN85" s="22"/>
    </row>
    <row r="86" spans="5:40" x14ac:dyDescent="0.2">
      <c r="V86" s="23"/>
      <c r="W86" s="2"/>
      <c r="X86" s="2"/>
      <c r="Y86" s="2"/>
      <c r="Z86" s="2"/>
      <c r="AA86" s="2"/>
      <c r="AB86" s="2"/>
      <c r="AC86" s="2"/>
      <c r="AD86" s="200">
        <f t="shared" si="15"/>
        <v>20</v>
      </c>
      <c r="AE86" s="200">
        <f t="shared" si="16"/>
        <v>0</v>
      </c>
      <c r="AF86" s="200">
        <f t="shared" si="16"/>
        <v>-3.3928571428571432</v>
      </c>
      <c r="AG86" s="2"/>
      <c r="AH86" s="2"/>
      <c r="AI86" s="2"/>
      <c r="AJ86" s="2"/>
      <c r="AK86" s="2"/>
      <c r="AL86" s="2"/>
      <c r="AM86" s="2"/>
      <c r="AN86" s="22"/>
    </row>
    <row r="87" spans="5:40" x14ac:dyDescent="0.2">
      <c r="V87" s="23"/>
      <c r="W87" s="2"/>
      <c r="X87" s="2"/>
      <c r="Y87" s="2"/>
      <c r="Z87" s="2"/>
      <c r="AA87" s="2"/>
      <c r="AB87" s="2"/>
      <c r="AC87" s="2"/>
      <c r="AD87" s="8">
        <f>$AD$86+Z72</f>
        <v>20</v>
      </c>
      <c r="AE87" s="8">
        <f t="shared" ref="AE87:AF90" si="17">AA72</f>
        <v>0</v>
      </c>
      <c r="AF87" s="8">
        <f t="shared" si="17"/>
        <v>0</v>
      </c>
      <c r="AG87" s="2"/>
      <c r="AH87" s="2"/>
      <c r="AI87" s="2"/>
      <c r="AJ87" s="2"/>
      <c r="AK87" s="2"/>
      <c r="AL87" s="2"/>
      <c r="AM87" s="2"/>
      <c r="AN87" s="22"/>
    </row>
    <row r="88" spans="5:40" x14ac:dyDescent="0.2">
      <c r="V88" s="23"/>
      <c r="W88" s="2"/>
      <c r="X88" s="2"/>
      <c r="Y88" s="2"/>
      <c r="Z88" s="2"/>
      <c r="AA88" s="2"/>
      <c r="AB88" s="2"/>
      <c r="AC88" s="2"/>
      <c r="AD88" s="8">
        <f>$AD$86+Z73</f>
        <v>20</v>
      </c>
      <c r="AE88" s="8">
        <f t="shared" si="17"/>
        <v>0</v>
      </c>
      <c r="AF88" s="8">
        <f t="shared" si="17"/>
        <v>0</v>
      </c>
      <c r="AG88" s="2"/>
      <c r="AH88" s="2"/>
      <c r="AI88" s="2"/>
      <c r="AJ88" s="2"/>
      <c r="AK88" s="2"/>
      <c r="AL88" s="2"/>
      <c r="AM88" s="2"/>
      <c r="AN88" s="22"/>
    </row>
    <row r="89" spans="5:40" x14ac:dyDescent="0.2">
      <c r="M89" s="2"/>
      <c r="N89" s="2"/>
      <c r="V89" s="23"/>
      <c r="W89" s="2"/>
      <c r="X89" s="2"/>
      <c r="Y89" s="2"/>
      <c r="Z89" s="2"/>
      <c r="AA89" s="2"/>
      <c r="AB89" s="2"/>
      <c r="AC89" s="2"/>
      <c r="AD89" s="8">
        <f>$AD$86+Z74</f>
        <v>20</v>
      </c>
      <c r="AE89" s="8">
        <f t="shared" si="17"/>
        <v>0</v>
      </c>
      <c r="AF89" s="8">
        <f t="shared" si="17"/>
        <v>0</v>
      </c>
      <c r="AG89" s="2"/>
      <c r="AH89" s="2"/>
      <c r="AI89" s="2"/>
      <c r="AJ89" s="2"/>
      <c r="AK89" s="2"/>
      <c r="AL89" s="2"/>
      <c r="AM89" s="2"/>
      <c r="AN89" s="22"/>
    </row>
    <row r="90" spans="5:40" ht="12.75" thickBot="1" x14ac:dyDescent="0.25">
      <c r="M90" s="11"/>
      <c r="N90" s="11"/>
      <c r="V90" s="189"/>
      <c r="W90" s="27"/>
      <c r="X90" s="27"/>
      <c r="Y90" s="27"/>
      <c r="Z90" s="27"/>
      <c r="AA90" s="27"/>
      <c r="AB90" s="27"/>
      <c r="AC90" s="27"/>
      <c r="AD90" s="143">
        <f>$AD$86+Z75</f>
        <v>20</v>
      </c>
      <c r="AE90" s="143">
        <f t="shared" si="17"/>
        <v>0</v>
      </c>
      <c r="AF90" s="143">
        <f t="shared" si="17"/>
        <v>0</v>
      </c>
      <c r="AG90" s="27"/>
      <c r="AH90" s="27"/>
      <c r="AI90" s="27"/>
      <c r="AJ90" s="27"/>
      <c r="AK90" s="27"/>
      <c r="AL90" s="27"/>
      <c r="AM90" s="27"/>
      <c r="AN90" s="28"/>
    </row>
    <row r="91" spans="5:40" ht="12.75" thickTop="1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28"/>
  <dimension ref="A1:AT100"/>
  <sheetViews>
    <sheetView zoomScaleNormal="100" workbookViewId="0">
      <selection activeCell="K23" sqref="K23"/>
    </sheetView>
  </sheetViews>
  <sheetFormatPr defaultColWidth="9.140625" defaultRowHeight="12" x14ac:dyDescent="0.2"/>
  <cols>
    <col min="1" max="16384" width="9.140625" style="1"/>
  </cols>
  <sheetData>
    <row r="1" spans="1:40" ht="15.75" customHeight="1" thickBot="1" x14ac:dyDescent="0.25">
      <c r="A1" s="334" t="s">
        <v>28</v>
      </c>
      <c r="B1" s="334"/>
      <c r="C1" s="334"/>
      <c r="D1" s="334"/>
      <c r="E1" s="334"/>
      <c r="F1" s="334"/>
      <c r="G1" s="334"/>
      <c r="H1" s="334"/>
      <c r="I1" s="334"/>
      <c r="J1" s="334"/>
      <c r="K1" s="2"/>
    </row>
    <row r="2" spans="1:40" ht="12.75" thickTop="1" x14ac:dyDescent="0.2">
      <c r="E2" s="12"/>
    </row>
    <row r="3" spans="1:40" ht="13.5" x14ac:dyDescent="0.2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106</v>
      </c>
      <c r="H3" s="13" t="s">
        <v>34</v>
      </c>
    </row>
    <row r="4" spans="1:40" x14ac:dyDescent="0.2">
      <c r="C4" s="14">
        <f>'CCCC-Trave'!C15</f>
        <v>0</v>
      </c>
      <c r="D4" s="14">
        <f>'CCCC-Trave'!D15</f>
        <v>5</v>
      </c>
      <c r="E4" s="14">
        <f>'CCCC-Trave'!E15</f>
        <v>5</v>
      </c>
      <c r="F4" s="14">
        <f>'CCCC-Trave'!F15</f>
        <v>5</v>
      </c>
      <c r="G4" s="14">
        <f>'CCCC-Trave'!G15</f>
        <v>5</v>
      </c>
      <c r="H4" s="14">
        <f>'CCCC-Trave'!H15</f>
        <v>0</v>
      </c>
    </row>
    <row r="6" spans="1:40" ht="13.5" x14ac:dyDescent="0.2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107</v>
      </c>
      <c r="H6" s="13" t="s">
        <v>37</v>
      </c>
    </row>
    <row r="7" spans="1:40" x14ac:dyDescent="0.2">
      <c r="B7" s="1" t="s">
        <v>46</v>
      </c>
      <c r="C7" s="14">
        <f>'CCCC-Trave'!C30</f>
        <v>0</v>
      </c>
      <c r="D7" s="14">
        <f>'CCCC-Trave'!D30</f>
        <v>2</v>
      </c>
      <c r="E7" s="14">
        <f>'CCCC-Trave'!E30</f>
        <v>2</v>
      </c>
      <c r="F7" s="14">
        <f>'CCCC-Trave'!F30</f>
        <v>5</v>
      </c>
      <c r="G7" s="14">
        <f>'CCCC-Trave'!G30</f>
        <v>5</v>
      </c>
      <c r="H7" s="14">
        <f>'CCCC-Trave'!H30</f>
        <v>0</v>
      </c>
    </row>
    <row r="8" spans="1:40" x14ac:dyDescent="0.2">
      <c r="C8" s="14"/>
      <c r="D8" s="14"/>
      <c r="E8" s="14"/>
      <c r="F8" s="14"/>
      <c r="G8" s="14"/>
      <c r="H8" s="14"/>
    </row>
    <row r="9" spans="1:40" x14ac:dyDescent="0.2">
      <c r="C9" s="14"/>
      <c r="D9" s="14"/>
      <c r="E9" s="14"/>
      <c r="F9" s="14"/>
      <c r="G9" s="14"/>
      <c r="H9" s="14"/>
    </row>
    <row r="10" spans="1:40" x14ac:dyDescent="0.2">
      <c r="C10" s="14"/>
      <c r="D10" s="14"/>
      <c r="E10" s="14"/>
      <c r="F10" s="14"/>
      <c r="G10" s="14"/>
      <c r="H10" s="14"/>
    </row>
    <row r="11" spans="1:40" x14ac:dyDescent="0.2">
      <c r="C11" s="14"/>
      <c r="D11" s="14"/>
      <c r="E11" s="14"/>
      <c r="F11" s="14"/>
      <c r="G11" s="14"/>
      <c r="H11" s="14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45" t="s">
        <v>31</v>
      </c>
      <c r="B15" s="345"/>
      <c r="C15" s="345"/>
      <c r="D15" s="345"/>
      <c r="E15" s="345"/>
      <c r="F15" s="345"/>
      <c r="G15" s="345"/>
      <c r="H15" s="345"/>
      <c r="I15" s="345"/>
      <c r="J15" s="345"/>
    </row>
    <row r="16" spans="1:40" ht="12.75" thickTop="1" x14ac:dyDescent="0.2">
      <c r="V16" s="144">
        <f>-(D4/D18+E4/I18)/3</f>
        <v>-25000</v>
      </c>
      <c r="W16" s="192">
        <f>-E4/(6*I18)</f>
        <v>-6250</v>
      </c>
      <c r="X16" s="192">
        <v>0</v>
      </c>
      <c r="Y16" s="19"/>
      <c r="Z16" s="193">
        <f t="array" ref="Z16:AB18">MINVERSE(V16:X18)</f>
        <v>-4.2857142857142856E-5</v>
      </c>
      <c r="AA16" s="193">
        <v>1.1428571428571427E-5</v>
      </c>
      <c r="AB16" s="193">
        <v>-2.8571428571428568E-6</v>
      </c>
      <c r="AC16" s="19"/>
      <c r="AD16" s="19"/>
      <c r="AE16" s="194">
        <f>AB22</f>
        <v>-156250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3.5" x14ac:dyDescent="0.2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38">
        <f>-E4/(6*I18)</f>
        <v>-6250</v>
      </c>
      <c r="W17" s="136">
        <f>-(E4/I18+F4/D21)/3</f>
        <v>-25000</v>
      </c>
      <c r="X17" s="136">
        <f>-F4/(6*D21)</f>
        <v>-6250</v>
      </c>
      <c r="Y17" s="2"/>
      <c r="Z17" s="123">
        <v>1.1428571428571429E-5</v>
      </c>
      <c r="AA17" s="123">
        <v>-4.5714285714285716E-5</v>
      </c>
      <c r="AB17" s="123">
        <v>1.1428571428571429E-5</v>
      </c>
      <c r="AC17" s="2"/>
      <c r="AD17" s="2"/>
      <c r="AE17" s="124">
        <f>AC22</f>
        <v>-273437.5</v>
      </c>
      <c r="AF17" s="2"/>
      <c r="AG17" s="2"/>
      <c r="AH17" s="123">
        <v>0</v>
      </c>
      <c r="AI17" s="123">
        <f>5+MAX('CCCC-car.4'!AI17:AI56)</f>
        <v>50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'CCCC-Trave'!B77</f>
        <v>1</v>
      </c>
      <c r="C18" s="16">
        <f>'CCCC-Trave'!C77</f>
        <v>1.3333333333333334E-4</v>
      </c>
      <c r="D18" s="16">
        <f>B18*C18</f>
        <v>1.3333333333333334E-4</v>
      </c>
      <c r="G18" s="16">
        <f>'CCCC-Trave'!G77</f>
        <v>1</v>
      </c>
      <c r="H18" s="16">
        <f>'CCCC-Trave'!H77</f>
        <v>1.3333333333333334E-4</v>
      </c>
      <c r="I18" s="16">
        <f>G18*H18</f>
        <v>1.3333333333333334E-4</v>
      </c>
      <c r="V18" s="138">
        <v>0</v>
      </c>
      <c r="W18" s="136">
        <f>-F4/(6*D21)</f>
        <v>-6250</v>
      </c>
      <c r="X18" s="136">
        <f>-(F4/D21+G4/I21)/3</f>
        <v>-25000</v>
      </c>
      <c r="Y18" s="2"/>
      <c r="Z18" s="123">
        <v>-2.8571428571428573E-6</v>
      </c>
      <c r="AA18" s="123">
        <v>1.1428571428571429E-5</v>
      </c>
      <c r="AB18" s="123">
        <v>-4.2857142857142856E-5</v>
      </c>
      <c r="AC18" s="2"/>
      <c r="AD18" s="2"/>
      <c r="AE18" s="124">
        <f>AD22</f>
        <v>-390625</v>
      </c>
      <c r="AF18" s="2"/>
      <c r="AG18" s="2"/>
      <c r="AH18" s="123">
        <f>C4</f>
        <v>0</v>
      </c>
      <c r="AI18" s="123">
        <f>AI17</f>
        <v>50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 t="s">
        <v>95</v>
      </c>
      <c r="X19" s="3"/>
      <c r="Y19" s="3"/>
      <c r="Z19" s="3"/>
      <c r="AA19" s="3" t="s">
        <v>96</v>
      </c>
      <c r="AB19" s="3"/>
      <c r="AC19" s="3"/>
      <c r="AD19" s="3"/>
      <c r="AE19" s="3" t="s">
        <v>97</v>
      </c>
      <c r="AF19" s="2"/>
      <c r="AG19" s="2"/>
      <c r="AH19" s="123">
        <f>AH18</f>
        <v>0</v>
      </c>
      <c r="AI19" s="123">
        <f>AI18+C7</f>
        <v>50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3.5" x14ac:dyDescent="0.25">
      <c r="A20" s="17" t="s">
        <v>88</v>
      </c>
      <c r="B20" s="16" t="s">
        <v>89</v>
      </c>
      <c r="C20" s="16" t="s">
        <v>90</v>
      </c>
      <c r="D20" s="16" t="s">
        <v>91</v>
      </c>
      <c r="F20" s="17" t="s">
        <v>108</v>
      </c>
      <c r="G20" s="16" t="s">
        <v>109</v>
      </c>
      <c r="H20" s="16" t="s">
        <v>110</v>
      </c>
      <c r="I20" s="16" t="s">
        <v>111</v>
      </c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50</v>
      </c>
      <c r="AJ20" s="2"/>
      <c r="AK20" s="8">
        <f>AK19</f>
        <v>5</v>
      </c>
      <c r="AL20" s="8">
        <f>AE59</f>
        <v>-4.6875</v>
      </c>
      <c r="AM20" s="2"/>
      <c r="AN20" s="22"/>
    </row>
    <row r="21" spans="1:46" s="46" customFormat="1" x14ac:dyDescent="0.2">
      <c r="A21" s="1"/>
      <c r="B21" s="16">
        <f>'CCCC-Trave'!B80</f>
        <v>1</v>
      </c>
      <c r="C21" s="16">
        <f>'CCCC-Trave'!C80</f>
        <v>1.3333333333333334E-4</v>
      </c>
      <c r="D21" s="16">
        <f>B21*C21</f>
        <v>1.3333333333333334E-4</v>
      </c>
      <c r="G21" s="16">
        <f>'CCCC-Trave'!G80</f>
        <v>1</v>
      </c>
      <c r="H21" s="16">
        <f>'CCCC-Trave'!H80</f>
        <v>1.3333333333333334E-4</v>
      </c>
      <c r="I21" s="16">
        <f>G21*H21</f>
        <v>1.3333333333333334E-4</v>
      </c>
      <c r="V21" s="24" t="s">
        <v>7</v>
      </c>
      <c r="W21" s="8">
        <f t="array" ref="W21:W23">MMULT(matCinv,matN)</f>
        <v>4.6875</v>
      </c>
      <c r="X21" s="2"/>
      <c r="Y21" s="123" t="s">
        <v>12</v>
      </c>
      <c r="Z21" s="123">
        <f>C7*C4^2/2</f>
        <v>0</v>
      </c>
      <c r="AA21" s="2"/>
      <c r="AB21" s="123" t="s">
        <v>79</v>
      </c>
      <c r="AC21" s="123" t="s">
        <v>98</v>
      </c>
      <c r="AD21" s="123" t="s">
        <v>115</v>
      </c>
      <c r="AE21" s="2"/>
      <c r="AF21" s="2"/>
      <c r="AG21" s="2"/>
      <c r="AH21" s="123">
        <v>0</v>
      </c>
      <c r="AI21" s="123">
        <f>AI17</f>
        <v>50</v>
      </c>
      <c r="AJ21" s="2"/>
      <c r="AK21" s="8">
        <f>AK57</f>
        <v>10</v>
      </c>
      <c r="AL21" s="8">
        <v>0</v>
      </c>
      <c r="AM21" s="2"/>
      <c r="AN21" s="22"/>
    </row>
    <row r="22" spans="1:46" x14ac:dyDescent="0.2">
      <c r="V22" s="24" t="s">
        <v>80</v>
      </c>
      <c r="W22" s="8">
        <v>6.2499999999999991</v>
      </c>
      <c r="X22" s="2"/>
      <c r="Y22" s="123" t="s">
        <v>116</v>
      </c>
      <c r="Z22" s="123">
        <f>H7*H4^2/2</f>
        <v>0</v>
      </c>
      <c r="AA22" s="2"/>
      <c r="AB22" s="124">
        <f>(C7*C4^2/2)*D4/(6*D18)-D7*D4^3/(24*D18)-E7*E4^3/(24*I18)</f>
        <v>-156250</v>
      </c>
      <c r="AC22" s="124">
        <f>-E7*E4^3/(24*I18)-F7*F4^3/(24*D21)</f>
        <v>-273437.5</v>
      </c>
      <c r="AD22" s="124">
        <f>-F7*F4^3/(24*D21)-G7*G4^3/(24*I21)+(H7*H4^2/2)*G4/(6*I21)</f>
        <v>-390625</v>
      </c>
      <c r="AE22" s="2"/>
      <c r="AF22" s="2"/>
      <c r="AG22" s="2"/>
      <c r="AH22" s="2"/>
      <c r="AI22" s="2"/>
      <c r="AJ22" s="2"/>
      <c r="AK22" s="8">
        <f>AK21</f>
        <v>10</v>
      </c>
      <c r="AL22" s="8">
        <f>AE68</f>
        <v>-6.25</v>
      </c>
      <c r="AM22" s="2"/>
      <c r="AN22" s="22"/>
    </row>
    <row r="23" spans="1:46" x14ac:dyDescent="0.2">
      <c r="V23" s="24" t="s">
        <v>99</v>
      </c>
      <c r="W23" s="8">
        <v>14.062499999999998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8">
        <f>AK58</f>
        <v>15</v>
      </c>
      <c r="AL23" s="8">
        <v>0</v>
      </c>
      <c r="AM23" s="2"/>
      <c r="AN23" s="22"/>
    </row>
    <row r="24" spans="1:46" x14ac:dyDescent="0.2">
      <c r="V24" s="24"/>
      <c r="W24" s="3" t="s">
        <v>100</v>
      </c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C4</f>
        <v>0</v>
      </c>
      <c r="AI24" s="123">
        <f>AI17</f>
        <v>50</v>
      </c>
      <c r="AJ24" s="2"/>
      <c r="AK24" s="8">
        <f>AK23</f>
        <v>15</v>
      </c>
      <c r="AL24" s="8">
        <f>AE77</f>
        <v>-14.0625</v>
      </c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50</v>
      </c>
      <c r="AJ25" s="2"/>
      <c r="AK25" s="8">
        <f>AK59</f>
        <v>20</v>
      </c>
      <c r="AL25" s="8">
        <v>0</v>
      </c>
      <c r="AM25" s="2"/>
      <c r="AN25" s="22"/>
    </row>
    <row r="26" spans="1:46" x14ac:dyDescent="0.2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AI25+D7</f>
        <v>52</v>
      </c>
      <c r="AJ26" s="3"/>
      <c r="AK26" s="8">
        <f>AK25</f>
        <v>20</v>
      </c>
      <c r="AL26" s="8">
        <f>AE86</f>
        <v>0</v>
      </c>
      <c r="AM26" s="2"/>
      <c r="AN26" s="22"/>
    </row>
    <row r="27" spans="1:46" x14ac:dyDescent="0.2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123" t="s">
        <v>92</v>
      </c>
      <c r="AC27" s="123" t="s">
        <v>93</v>
      </c>
      <c r="AD27" s="123" t="s">
        <v>112</v>
      </c>
      <c r="AE27" s="123" t="s">
        <v>113</v>
      </c>
      <c r="AF27" s="3"/>
      <c r="AG27" s="3"/>
      <c r="AH27" s="123">
        <f>AH24</f>
        <v>0</v>
      </c>
      <c r="AI27" s="123">
        <f>AI26</f>
        <v>52</v>
      </c>
      <c r="AJ27" s="3"/>
      <c r="AK27" s="8">
        <f>AK60</f>
        <v>20</v>
      </c>
      <c r="AL27" s="8">
        <v>0</v>
      </c>
      <c r="AM27" s="2"/>
      <c r="AN27" s="22"/>
    </row>
    <row r="28" spans="1:46" x14ac:dyDescent="0.2">
      <c r="V28" s="126">
        <f>C7*C4</f>
        <v>0</v>
      </c>
      <c r="W28" s="8">
        <f>D7*D4-X28</f>
        <v>4.0625</v>
      </c>
      <c r="X28" s="8">
        <f>(W21-Z21+D7*D4^2/2)/D4</f>
        <v>5.9375</v>
      </c>
      <c r="Y28" s="8">
        <f>E7*E4-Z28</f>
        <v>4.6875</v>
      </c>
      <c r="Z28" s="8">
        <f>(W22-W21+E7*E4^2/2)/E4</f>
        <v>5.3125</v>
      </c>
      <c r="AA28" s="8">
        <f>F7*F4-AB28</f>
        <v>10.9375</v>
      </c>
      <c r="AB28" s="8">
        <f>(W23-W22+F7*F4^2/2)/F4</f>
        <v>14.0625</v>
      </c>
      <c r="AC28" s="8">
        <f>G7*G4-AD28</f>
        <v>15.3125</v>
      </c>
      <c r="AD28" s="8">
        <f>(Z22-W23+G7*G4^2/2)/G4</f>
        <v>9.6875</v>
      </c>
      <c r="AE28" s="8">
        <f>H7*H4</f>
        <v>0</v>
      </c>
      <c r="AF28" s="3"/>
      <c r="AG28" s="3"/>
      <c r="AH28" s="123">
        <f>AH24</f>
        <v>0</v>
      </c>
      <c r="AI28" s="123">
        <f>AI24</f>
        <v>50</v>
      </c>
      <c r="AJ28" s="3"/>
      <c r="AK28" s="8">
        <f>AK27</f>
        <v>20</v>
      </c>
      <c r="AL28" s="8">
        <f>AE90</f>
        <v>0</v>
      </c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">
      <c r="V31" s="23"/>
      <c r="W31" s="2"/>
      <c r="X31" s="123" t="s">
        <v>0</v>
      </c>
      <c r="Y31" s="123" t="s">
        <v>1</v>
      </c>
      <c r="Z31" s="123" t="s">
        <v>78</v>
      </c>
      <c r="AA31" s="123" t="s">
        <v>94</v>
      </c>
      <c r="AB31" s="123" t="s">
        <v>114</v>
      </c>
      <c r="AC31" s="2"/>
      <c r="AD31" s="2"/>
      <c r="AE31" s="2"/>
      <c r="AF31" s="2"/>
      <c r="AG31" s="2"/>
      <c r="AH31" s="8">
        <f>AK56</f>
        <v>5</v>
      </c>
      <c r="AI31" s="123">
        <f>AI17</f>
        <v>50</v>
      </c>
      <c r="AJ31" s="2"/>
      <c r="AK31" s="2" t="s">
        <v>21</v>
      </c>
      <c r="AL31" s="2"/>
      <c r="AM31" s="2"/>
      <c r="AN31" s="22"/>
    </row>
    <row r="32" spans="1:46" x14ac:dyDescent="0.2">
      <c r="V32" s="23"/>
      <c r="W32" s="2"/>
      <c r="X32" s="8">
        <f>V28+W28</f>
        <v>4.0625</v>
      </c>
      <c r="Y32" s="8">
        <f>X28+Y28</f>
        <v>10.625</v>
      </c>
      <c r="Z32" s="8">
        <f>Z28+AA28</f>
        <v>16.25</v>
      </c>
      <c r="AA32" s="8">
        <f>AB28+AC28</f>
        <v>29.375</v>
      </c>
      <c r="AB32" s="8">
        <f>AD28+AE28</f>
        <v>9.6875</v>
      </c>
      <c r="AC32" s="2"/>
      <c r="AD32" s="2"/>
      <c r="AE32" s="2"/>
      <c r="AF32" s="2"/>
      <c r="AG32" s="2"/>
      <c r="AH32" s="8">
        <f>AK57</f>
        <v>10</v>
      </c>
      <c r="AI32" s="123">
        <f>AI31</f>
        <v>50</v>
      </c>
      <c r="AJ32" s="2"/>
      <c r="AK32" s="195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10</v>
      </c>
      <c r="AI33" s="123">
        <f>AI32+E7</f>
        <v>52</v>
      </c>
      <c r="AJ33" s="2"/>
      <c r="AK33" s="196" t="s">
        <v>23</v>
      </c>
      <c r="AL33" s="8">
        <f>W28/D7</f>
        <v>2.03125</v>
      </c>
      <c r="AM33" s="8">
        <f>C4+AL33</f>
        <v>2.03125</v>
      </c>
      <c r="AN33" s="129">
        <f>W28*AL33-D7*AL33^2/2+AE50</f>
        <v>4.1259765625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52</v>
      </c>
      <c r="AJ34" s="2"/>
      <c r="AK34" s="197" t="s">
        <v>82</v>
      </c>
      <c r="AL34" s="8">
        <f>Y28/E7</f>
        <v>2.34375</v>
      </c>
      <c r="AM34" s="8">
        <f>C4+D4+AL34</f>
        <v>7.34375</v>
      </c>
      <c r="AN34" s="129">
        <f>Y28*AL34-E7*AL34^2/2+AE59</f>
        <v>0.8056640625</v>
      </c>
    </row>
    <row r="35" spans="22:40" x14ac:dyDescent="0.2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50</v>
      </c>
      <c r="AJ35" s="2"/>
      <c r="AK35" s="197" t="s">
        <v>101</v>
      </c>
      <c r="AL35" s="8">
        <f>AA28/F7</f>
        <v>2.1875</v>
      </c>
      <c r="AM35" s="8">
        <f>C4+D4+E4+AL35</f>
        <v>12.1875</v>
      </c>
      <c r="AN35" s="129">
        <f>AA28*AL35-F7*AL35^2/2+AE68</f>
        <v>5.712890625</v>
      </c>
    </row>
    <row r="36" spans="22:40" x14ac:dyDescent="0.2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10</v>
      </c>
      <c r="AC36" s="132">
        <v>0</v>
      </c>
      <c r="AD36" s="2"/>
      <c r="AE36" s="2"/>
      <c r="AF36" s="2"/>
      <c r="AG36" s="2"/>
      <c r="AH36" s="2"/>
      <c r="AI36" s="2"/>
      <c r="AJ36" s="2"/>
      <c r="AK36" s="130" t="s">
        <v>117</v>
      </c>
      <c r="AL36" s="8">
        <f>AC28/G7</f>
        <v>3.0625</v>
      </c>
      <c r="AM36" s="8">
        <f>C4+D4+E4+F4+AL36</f>
        <v>18.0625</v>
      </c>
      <c r="AN36" s="129">
        <f>AC28*AL36-G7*AL36^2/2+AE77</f>
        <v>9.384765625</v>
      </c>
    </row>
    <row r="37" spans="22:40" x14ac:dyDescent="0.2">
      <c r="V37" s="131">
        <f>V36</f>
        <v>0</v>
      </c>
      <c r="W37" s="133">
        <f>-X32</f>
        <v>-4.0625</v>
      </c>
      <c r="X37" s="2"/>
      <c r="Y37" s="133">
        <f>Y36</f>
        <v>5</v>
      </c>
      <c r="Z37" s="133">
        <f>-Y32</f>
        <v>-10.625</v>
      </c>
      <c r="AA37" s="2"/>
      <c r="AB37" s="133">
        <f>AB36</f>
        <v>10</v>
      </c>
      <c r="AC37" s="133">
        <f>-Z32</f>
        <v>-16.25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10</v>
      </c>
      <c r="AI38" s="123">
        <f>AI17</f>
        <v>50</v>
      </c>
      <c r="AJ38" s="3"/>
      <c r="AK38" s="3"/>
      <c r="AL38" s="3"/>
      <c r="AM38" s="3"/>
      <c r="AN38" s="25"/>
    </row>
    <row r="39" spans="22:40" x14ac:dyDescent="0.2">
      <c r="V39" s="23" t="s">
        <v>103</v>
      </c>
      <c r="W39" s="2"/>
      <c r="X39" s="3"/>
      <c r="Y39" s="2" t="s">
        <v>118</v>
      </c>
      <c r="Z39" s="2"/>
      <c r="AA39" s="3"/>
      <c r="AB39" s="3"/>
      <c r="AC39" s="3"/>
      <c r="AD39" s="3"/>
      <c r="AE39" s="3"/>
      <c r="AF39" s="3"/>
      <c r="AG39" s="3"/>
      <c r="AH39" s="8">
        <f>AK58</f>
        <v>15</v>
      </c>
      <c r="AI39" s="123">
        <f>AI38</f>
        <v>50</v>
      </c>
      <c r="AJ39" s="3"/>
      <c r="AK39" s="2" t="s">
        <v>27</v>
      </c>
      <c r="AL39" s="2"/>
      <c r="AM39" s="3"/>
      <c r="AN39" s="25"/>
    </row>
    <row r="40" spans="22:40" x14ac:dyDescent="0.2">
      <c r="V40" s="131">
        <f>AK58</f>
        <v>15</v>
      </c>
      <c r="W40" s="132">
        <v>0</v>
      </c>
      <c r="X40" s="2"/>
      <c r="Y40" s="133">
        <f>AK59</f>
        <v>20</v>
      </c>
      <c r="Z40" s="132">
        <v>0</v>
      </c>
      <c r="AA40" s="2"/>
      <c r="AB40" s="2"/>
      <c r="AC40" s="2"/>
      <c r="AD40" s="2"/>
      <c r="AE40" s="2"/>
      <c r="AF40" s="2"/>
      <c r="AG40" s="2"/>
      <c r="AH40" s="8">
        <f>AH39</f>
        <v>15</v>
      </c>
      <c r="AI40" s="123">
        <f>AI39+F7</f>
        <v>55</v>
      </c>
      <c r="AJ40" s="2"/>
      <c r="AK40" s="8">
        <f>AM33</f>
        <v>2.03125</v>
      </c>
      <c r="AL40" s="123">
        <v>0</v>
      </c>
      <c r="AM40" s="2"/>
      <c r="AN40" s="22"/>
    </row>
    <row r="41" spans="22:40" x14ac:dyDescent="0.2">
      <c r="V41" s="131">
        <f>V40</f>
        <v>15</v>
      </c>
      <c r="W41" s="133">
        <f>-AA32</f>
        <v>-29.375</v>
      </c>
      <c r="X41" s="2"/>
      <c r="Y41" s="133">
        <f>Y40</f>
        <v>20</v>
      </c>
      <c r="Z41" s="133">
        <f>-AB32</f>
        <v>-9.6875</v>
      </c>
      <c r="AA41" s="2"/>
      <c r="AB41" s="2"/>
      <c r="AC41" s="2"/>
      <c r="AD41" s="2"/>
      <c r="AE41" s="2"/>
      <c r="AF41" s="2"/>
      <c r="AG41" s="2"/>
      <c r="AH41" s="8">
        <f>AH38</f>
        <v>10</v>
      </c>
      <c r="AI41" s="123">
        <f>AI40</f>
        <v>55</v>
      </c>
      <c r="AJ41" s="2"/>
      <c r="AK41" s="8">
        <f>AK40</f>
        <v>2.03125</v>
      </c>
      <c r="AL41" s="8">
        <f>AN33</f>
        <v>4.1259765625</v>
      </c>
      <c r="AM41" s="2"/>
      <c r="AN41" s="22"/>
    </row>
    <row r="42" spans="22:40" x14ac:dyDescent="0.2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10</v>
      </c>
      <c r="AI42" s="123">
        <f>AI38</f>
        <v>50</v>
      </c>
      <c r="AJ42" s="2"/>
      <c r="AK42" s="8">
        <f>AM34</f>
        <v>7.34375</v>
      </c>
      <c r="AL42" s="123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7.34375</v>
      </c>
      <c r="AL43" s="8">
        <f>AN34</f>
        <v>0.8056640625</v>
      </c>
      <c r="AM43" s="2"/>
      <c r="AN43" s="22"/>
    </row>
    <row r="44" spans="22:40" x14ac:dyDescent="0.2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119</v>
      </c>
      <c r="AI44" s="3"/>
      <c r="AJ44" s="2"/>
      <c r="AK44" s="8">
        <f>AM35</f>
        <v>12.1875</v>
      </c>
      <c r="AL44" s="123">
        <v>0</v>
      </c>
      <c r="AM44" s="2"/>
      <c r="AN44" s="22"/>
    </row>
    <row r="45" spans="22:40" x14ac:dyDescent="0.2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8">
        <f>AK58</f>
        <v>15</v>
      </c>
      <c r="AI45" s="123">
        <f>AI17</f>
        <v>50</v>
      </c>
      <c r="AJ45" s="2"/>
      <c r="AK45" s="8">
        <f>AK44</f>
        <v>12.1875</v>
      </c>
      <c r="AL45" s="8">
        <f>AN35</f>
        <v>5.712890625</v>
      </c>
      <c r="AM45" s="2"/>
      <c r="AN45" s="22"/>
    </row>
    <row r="46" spans="22:40" x14ac:dyDescent="0.2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6" t="s">
        <v>2</v>
      </c>
      <c r="AE46" s="136" t="s">
        <v>3</v>
      </c>
      <c r="AF46" s="136" t="s">
        <v>4</v>
      </c>
      <c r="AG46" s="2"/>
      <c r="AH46" s="8">
        <f>AK59</f>
        <v>20</v>
      </c>
      <c r="AI46" s="123">
        <f>AI45</f>
        <v>50</v>
      </c>
      <c r="AJ46" s="2"/>
      <c r="AK46" s="8">
        <f>AM36</f>
        <v>18.0625</v>
      </c>
      <c r="AL46" s="123">
        <v>0</v>
      </c>
      <c r="AM46" s="2"/>
      <c r="AN46" s="22"/>
    </row>
    <row r="47" spans="22:40" x14ac:dyDescent="0.2">
      <c r="V47" s="26">
        <v>0</v>
      </c>
      <c r="W47" s="7">
        <f>-$C$7*V47^2/2</f>
        <v>0</v>
      </c>
      <c r="X47" s="7">
        <f>-$C$7*V47</f>
        <v>0</v>
      </c>
      <c r="Y47" s="2"/>
      <c r="Z47" s="10">
        <v>0</v>
      </c>
      <c r="AA47" s="10">
        <f t="shared" ref="AA47:AA55" si="0">-$Z$21-$D$7*Z47^2/2+$W$28*Z47</f>
        <v>0</v>
      </c>
      <c r="AB47" s="10">
        <f t="shared" ref="AB47:AB55" si="1">-$D$7*Z47+$W$28</f>
        <v>4.0625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8">
        <f>AH46</f>
        <v>20</v>
      </c>
      <c r="AI47" s="123">
        <f>AI46+G7</f>
        <v>55</v>
      </c>
      <c r="AJ47" s="2"/>
      <c r="AK47" s="8">
        <f>AK46</f>
        <v>18.0625</v>
      </c>
      <c r="AL47" s="8">
        <f>AN36</f>
        <v>9.384765625</v>
      </c>
      <c r="AM47" s="2"/>
      <c r="AN47" s="22"/>
    </row>
    <row r="48" spans="22:40" x14ac:dyDescent="0.2">
      <c r="V48" s="26">
        <f>$C$4/3</f>
        <v>0</v>
      </c>
      <c r="W48" s="7">
        <f>-$C$7*V48^2/2</f>
        <v>0</v>
      </c>
      <c r="X48" s="7">
        <f>-$C$7*V48</f>
        <v>0</v>
      </c>
      <c r="Y48" s="2"/>
      <c r="Z48" s="10">
        <f>$D$4/8</f>
        <v>0.625</v>
      </c>
      <c r="AA48" s="10">
        <f t="shared" si="0"/>
        <v>2.1484375</v>
      </c>
      <c r="AB48" s="10">
        <f t="shared" si="1"/>
        <v>2.8125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8">
        <f>AH45</f>
        <v>15</v>
      </c>
      <c r="AI48" s="123">
        <f>AI47</f>
        <v>55</v>
      </c>
      <c r="AJ48" s="2"/>
      <c r="AK48" s="2"/>
      <c r="AL48" s="2"/>
      <c r="AM48" s="2"/>
      <c r="AN48" s="22"/>
    </row>
    <row r="49" spans="13:40" x14ac:dyDescent="0.2">
      <c r="V49" s="26">
        <f>2*$C$4/3</f>
        <v>0</v>
      </c>
      <c r="W49" s="7">
        <f>-$C$7*V49^2/2</f>
        <v>0</v>
      </c>
      <c r="X49" s="7">
        <f>-$C$7*V49</f>
        <v>0</v>
      </c>
      <c r="Y49" s="2"/>
      <c r="Z49" s="10">
        <f>2*$D$4/8</f>
        <v>1.25</v>
      </c>
      <c r="AA49" s="10">
        <f t="shared" si="0"/>
        <v>3.515625</v>
      </c>
      <c r="AB49" s="10">
        <f t="shared" si="1"/>
        <v>1.5625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8">
        <f>AH45</f>
        <v>15</v>
      </c>
      <c r="AI49" s="123">
        <f>AI45</f>
        <v>50</v>
      </c>
      <c r="AJ49" s="2"/>
      <c r="AK49" s="2"/>
      <c r="AL49" s="2"/>
      <c r="AM49" s="2"/>
      <c r="AN49" s="22"/>
    </row>
    <row r="50" spans="13:40" x14ac:dyDescent="0.2">
      <c r="V50" s="26">
        <f>3*$C$4/3</f>
        <v>0</v>
      </c>
      <c r="W50" s="7">
        <f>-$C$7*V50^2/2</f>
        <v>0</v>
      </c>
      <c r="X50" s="7">
        <f>-$C$7*V50</f>
        <v>0</v>
      </c>
      <c r="Y50" s="2"/>
      <c r="Z50" s="10">
        <f>3*$D$4/8</f>
        <v>1.875</v>
      </c>
      <c r="AA50" s="10">
        <f t="shared" si="0"/>
        <v>4.1015625</v>
      </c>
      <c r="AB50" s="10">
        <f t="shared" si="1"/>
        <v>0.3125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198"/>
      <c r="W51" s="122"/>
      <c r="X51" s="122"/>
      <c r="Y51" s="2"/>
      <c r="Z51" s="10">
        <f>4*$D$4/8</f>
        <v>2.5</v>
      </c>
      <c r="AA51" s="10">
        <f t="shared" si="0"/>
        <v>3.90625</v>
      </c>
      <c r="AB51" s="10">
        <f t="shared" si="1"/>
        <v>-0.9375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4.0625</v>
      </c>
      <c r="AG51" s="2"/>
      <c r="AH51" s="3" t="s">
        <v>18</v>
      </c>
      <c r="AI51" s="3"/>
      <c r="AJ51" s="2"/>
      <c r="AK51" s="2"/>
      <c r="AL51" s="2"/>
      <c r="AM51" s="2"/>
      <c r="AN51" s="22"/>
    </row>
    <row r="52" spans="13:40" x14ac:dyDescent="0.2">
      <c r="V52" s="24"/>
      <c r="W52" s="3"/>
      <c r="X52" s="3"/>
      <c r="Y52" s="2"/>
      <c r="Z52" s="10">
        <f>5*$D$4/8</f>
        <v>3.125</v>
      </c>
      <c r="AA52" s="10">
        <f t="shared" si="0"/>
        <v>2.9296875</v>
      </c>
      <c r="AB52" s="10">
        <f t="shared" si="1"/>
        <v>-2.1875</v>
      </c>
      <c r="AC52" s="3"/>
      <c r="AD52" s="10">
        <f t="shared" si="3"/>
        <v>0.625</v>
      </c>
      <c r="AE52" s="10">
        <f t="shared" si="4"/>
        <v>2.1484375</v>
      </c>
      <c r="AF52" s="10">
        <f t="shared" si="4"/>
        <v>2.8125</v>
      </c>
      <c r="AG52" s="2"/>
      <c r="AH52" s="8">
        <f>AK59</f>
        <v>20</v>
      </c>
      <c r="AI52" s="123">
        <f>AI17</f>
        <v>50</v>
      </c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10">
        <f>6*$D$4/8</f>
        <v>3.75</v>
      </c>
      <c r="AA53" s="10">
        <f t="shared" si="0"/>
        <v>1.171875</v>
      </c>
      <c r="AB53" s="10">
        <f t="shared" si="1"/>
        <v>-3.4375</v>
      </c>
      <c r="AC53" s="3"/>
      <c r="AD53" s="10">
        <f t="shared" si="3"/>
        <v>1.25</v>
      </c>
      <c r="AE53" s="10">
        <f t="shared" si="4"/>
        <v>3.515625</v>
      </c>
      <c r="AF53" s="10">
        <f t="shared" si="4"/>
        <v>1.5625</v>
      </c>
      <c r="AG53" s="2"/>
      <c r="AH53" s="8">
        <f>AK60</f>
        <v>20</v>
      </c>
      <c r="AI53" s="123">
        <f>AI52</f>
        <v>50</v>
      </c>
      <c r="AJ53" s="2"/>
      <c r="AK53" s="123" t="s">
        <v>2</v>
      </c>
      <c r="AL53" s="123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10">
        <f>7*$D$4/8</f>
        <v>4.375</v>
      </c>
      <c r="AA54" s="10">
        <f t="shared" si="0"/>
        <v>-1.3671875</v>
      </c>
      <c r="AB54" s="10">
        <f t="shared" si="1"/>
        <v>-4.6875</v>
      </c>
      <c r="AC54" s="2"/>
      <c r="AD54" s="10">
        <f t="shared" si="3"/>
        <v>1.875</v>
      </c>
      <c r="AE54" s="10">
        <f t="shared" si="4"/>
        <v>4.1015625</v>
      </c>
      <c r="AF54" s="10">
        <f t="shared" si="4"/>
        <v>0.3125</v>
      </c>
      <c r="AG54" s="2"/>
      <c r="AH54" s="8">
        <f>AH53</f>
        <v>20</v>
      </c>
      <c r="AI54" s="123">
        <f>AI53+H7</f>
        <v>50</v>
      </c>
      <c r="AJ54" s="2"/>
      <c r="AK54" s="8">
        <v>0</v>
      </c>
      <c r="AL54" s="123">
        <v>0</v>
      </c>
      <c r="AM54" s="2"/>
      <c r="AN54" s="22"/>
    </row>
    <row r="55" spans="13:40" x14ac:dyDescent="0.2">
      <c r="M55" s="2"/>
      <c r="N55" s="2"/>
      <c r="V55" s="24"/>
      <c r="W55" s="3"/>
      <c r="X55" s="3"/>
      <c r="Y55" s="2"/>
      <c r="Z55" s="10">
        <f>8*$D$4/8</f>
        <v>5</v>
      </c>
      <c r="AA55" s="10">
        <f t="shared" si="0"/>
        <v>-4.6875</v>
      </c>
      <c r="AB55" s="10">
        <f t="shared" si="1"/>
        <v>-5.9375</v>
      </c>
      <c r="AC55" s="2"/>
      <c r="AD55" s="10">
        <f t="shared" si="3"/>
        <v>2.5</v>
      </c>
      <c r="AE55" s="10">
        <f t="shared" si="4"/>
        <v>3.90625</v>
      </c>
      <c r="AF55" s="10">
        <f t="shared" si="4"/>
        <v>-0.9375</v>
      </c>
      <c r="AG55" s="2"/>
      <c r="AH55" s="8">
        <f>AH52</f>
        <v>20</v>
      </c>
      <c r="AI55" s="123">
        <f>AI54</f>
        <v>50</v>
      </c>
      <c r="AJ55" s="2"/>
      <c r="AK55" s="8">
        <f>C4</f>
        <v>0</v>
      </c>
      <c r="AL55" s="123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2.9296875</v>
      </c>
      <c r="AF56" s="10">
        <f t="shared" si="4"/>
        <v>-2.1875</v>
      </c>
      <c r="AG56" s="2"/>
      <c r="AH56" s="8">
        <f>AH52</f>
        <v>20</v>
      </c>
      <c r="AI56" s="123">
        <f>AI52</f>
        <v>50</v>
      </c>
      <c r="AJ56" s="2"/>
      <c r="AK56" s="8">
        <f>AK55+D4</f>
        <v>5</v>
      </c>
      <c r="AL56" s="123">
        <v>0</v>
      </c>
      <c r="AM56" s="2"/>
      <c r="AN56" s="22"/>
    </row>
    <row r="57" spans="13:40" x14ac:dyDescent="0.2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10">
        <f t="shared" si="3"/>
        <v>3.75</v>
      </c>
      <c r="AE57" s="10">
        <f t="shared" si="4"/>
        <v>1.171875</v>
      </c>
      <c r="AF57" s="10">
        <f t="shared" si="4"/>
        <v>-3.4375</v>
      </c>
      <c r="AG57" s="2"/>
      <c r="AH57" s="2"/>
      <c r="AI57" s="2"/>
      <c r="AJ57" s="2"/>
      <c r="AK57" s="8">
        <f>AK56+E4</f>
        <v>10</v>
      </c>
      <c r="AL57" s="123">
        <v>0</v>
      </c>
      <c r="AM57" s="2"/>
      <c r="AN57" s="22"/>
    </row>
    <row r="58" spans="13:40" x14ac:dyDescent="0.2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-1.3671875</v>
      </c>
      <c r="AF58" s="10">
        <f t="shared" si="4"/>
        <v>-4.6875</v>
      </c>
      <c r="AG58" s="2"/>
      <c r="AH58" s="2"/>
      <c r="AI58" s="2"/>
      <c r="AJ58" s="2"/>
      <c r="AK58" s="8">
        <f>AK57+F4</f>
        <v>15</v>
      </c>
      <c r="AL58" s="123">
        <v>0</v>
      </c>
      <c r="AM58" s="2"/>
      <c r="AN58" s="22"/>
    </row>
    <row r="59" spans="13:40" x14ac:dyDescent="0.2">
      <c r="V59" s="139">
        <v>0</v>
      </c>
      <c r="W59" s="140">
        <f t="shared" ref="W59:W67" si="5">-$W$21-$E$7*V59^2/2+$Y$28*V59</f>
        <v>-4.6875</v>
      </c>
      <c r="X59" s="140">
        <f t="shared" ref="X59:X67" si="6">-$E$7*V59+$Y$28</f>
        <v>4.6875</v>
      </c>
      <c r="Y59" s="2"/>
      <c r="Z59" s="172">
        <v>0</v>
      </c>
      <c r="AA59" s="172">
        <f t="shared" ref="AA59:AA67" si="7">-$W$22-$F$7*Z59^2/2+$AA$28*Z59</f>
        <v>-6.2499999999999991</v>
      </c>
      <c r="AB59" s="172">
        <f t="shared" ref="AB59:AB67" si="8">-$F$7*Z59+$AA$28</f>
        <v>10.9375</v>
      </c>
      <c r="AC59" s="2"/>
      <c r="AD59" s="10">
        <f t="shared" si="3"/>
        <v>5</v>
      </c>
      <c r="AE59" s="10">
        <f t="shared" si="4"/>
        <v>-4.6875</v>
      </c>
      <c r="AF59" s="10">
        <f t="shared" si="4"/>
        <v>-5.9375</v>
      </c>
      <c r="AG59" s="2"/>
      <c r="AH59" s="2"/>
      <c r="AI59" s="2"/>
      <c r="AJ59" s="2"/>
      <c r="AK59" s="8">
        <f>AK58+G4</f>
        <v>20</v>
      </c>
      <c r="AL59" s="123">
        <v>0</v>
      </c>
      <c r="AM59" s="2"/>
      <c r="AN59" s="22"/>
    </row>
    <row r="60" spans="13:40" x14ac:dyDescent="0.2">
      <c r="V60" s="139">
        <f>$E$4/8</f>
        <v>0.625</v>
      </c>
      <c r="W60" s="140">
        <f t="shared" si="5"/>
        <v>-2.1484375</v>
      </c>
      <c r="X60" s="140">
        <f t="shared" si="6"/>
        <v>3.4375</v>
      </c>
      <c r="Y60" s="2"/>
      <c r="Z60" s="172">
        <f>$F$4/8</f>
        <v>0.625</v>
      </c>
      <c r="AA60" s="172">
        <f t="shared" si="7"/>
        <v>-0.39062499999999911</v>
      </c>
      <c r="AB60" s="172">
        <f t="shared" si="8"/>
        <v>7.8125</v>
      </c>
      <c r="AC60" s="2"/>
      <c r="AD60" s="140">
        <f t="shared" ref="AD60:AD68" si="9">$AD$59+V59</f>
        <v>5</v>
      </c>
      <c r="AE60" s="140">
        <f t="shared" ref="AE60:AF68" si="10">W59</f>
        <v>-4.6875</v>
      </c>
      <c r="AF60" s="140">
        <f t="shared" si="10"/>
        <v>4.6875</v>
      </c>
      <c r="AG60" s="2"/>
      <c r="AH60" s="2"/>
      <c r="AI60" s="2"/>
      <c r="AJ60" s="2"/>
      <c r="AK60" s="8">
        <f>AK59+H4</f>
        <v>20</v>
      </c>
      <c r="AL60" s="123">
        <v>0</v>
      </c>
      <c r="AM60" s="2"/>
      <c r="AN60" s="22"/>
    </row>
    <row r="61" spans="13:40" x14ac:dyDescent="0.2">
      <c r="V61" s="139">
        <f>2*$E$4/8</f>
        <v>1.25</v>
      </c>
      <c r="W61" s="140">
        <f t="shared" si="5"/>
        <v>-0.390625</v>
      </c>
      <c r="X61" s="140">
        <f t="shared" si="6"/>
        <v>2.1875</v>
      </c>
      <c r="Y61" s="2"/>
      <c r="Z61" s="172">
        <f>2*$F$4/8</f>
        <v>1.25</v>
      </c>
      <c r="AA61" s="172">
        <f t="shared" si="7"/>
        <v>3.515625</v>
      </c>
      <c r="AB61" s="172">
        <f t="shared" si="8"/>
        <v>4.6875</v>
      </c>
      <c r="AC61" s="2"/>
      <c r="AD61" s="140">
        <f t="shared" si="9"/>
        <v>5.625</v>
      </c>
      <c r="AE61" s="140">
        <f t="shared" si="10"/>
        <v>-2.1484375</v>
      </c>
      <c r="AF61" s="140">
        <f t="shared" si="10"/>
        <v>3.4375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3*$E$4/8</f>
        <v>1.875</v>
      </c>
      <c r="W62" s="140">
        <f t="shared" si="5"/>
        <v>0.5859375</v>
      </c>
      <c r="X62" s="140">
        <f t="shared" si="6"/>
        <v>0.9375</v>
      </c>
      <c r="Y62" s="2"/>
      <c r="Z62" s="172">
        <f>3*$F$4/8</f>
        <v>1.875</v>
      </c>
      <c r="AA62" s="172">
        <f t="shared" si="7"/>
        <v>5.46875</v>
      </c>
      <c r="AB62" s="172">
        <f t="shared" si="8"/>
        <v>1.5625</v>
      </c>
      <c r="AC62" s="2"/>
      <c r="AD62" s="140">
        <f t="shared" si="9"/>
        <v>6.25</v>
      </c>
      <c r="AE62" s="140">
        <f t="shared" si="10"/>
        <v>-0.390625</v>
      </c>
      <c r="AF62" s="140">
        <f t="shared" si="10"/>
        <v>2.1875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4*$E$4/8</f>
        <v>2.5</v>
      </c>
      <c r="W63" s="140">
        <f t="shared" si="5"/>
        <v>0.78125</v>
      </c>
      <c r="X63" s="140">
        <f t="shared" si="6"/>
        <v>-0.3125</v>
      </c>
      <c r="Y63" s="2"/>
      <c r="Z63" s="172">
        <f>4*$F$4/8</f>
        <v>2.5</v>
      </c>
      <c r="AA63" s="172">
        <f t="shared" si="7"/>
        <v>5.46875</v>
      </c>
      <c r="AB63" s="172">
        <f t="shared" si="8"/>
        <v>-1.5625</v>
      </c>
      <c r="AC63" s="2"/>
      <c r="AD63" s="140">
        <f t="shared" si="9"/>
        <v>6.875</v>
      </c>
      <c r="AE63" s="140">
        <f t="shared" si="10"/>
        <v>0.5859375</v>
      </c>
      <c r="AF63" s="140">
        <f t="shared" si="10"/>
        <v>0.9375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5*$E$4/8</f>
        <v>3.125</v>
      </c>
      <c r="W64" s="140">
        <f t="shared" si="5"/>
        <v>0.1953125</v>
      </c>
      <c r="X64" s="140">
        <f t="shared" si="6"/>
        <v>-1.5625</v>
      </c>
      <c r="Y64" s="2"/>
      <c r="Z64" s="172">
        <f>5*$F$4/8</f>
        <v>3.125</v>
      </c>
      <c r="AA64" s="172">
        <f t="shared" si="7"/>
        <v>3.515625</v>
      </c>
      <c r="AB64" s="172">
        <f t="shared" si="8"/>
        <v>-4.6875</v>
      </c>
      <c r="AC64" s="2"/>
      <c r="AD64" s="140">
        <f t="shared" si="9"/>
        <v>7.5</v>
      </c>
      <c r="AE64" s="140">
        <f t="shared" si="10"/>
        <v>0.78125</v>
      </c>
      <c r="AF64" s="140">
        <f t="shared" si="10"/>
        <v>-0.3125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6*$E$4/8</f>
        <v>3.75</v>
      </c>
      <c r="W65" s="140">
        <f t="shared" si="5"/>
        <v>-1.171875</v>
      </c>
      <c r="X65" s="140">
        <f t="shared" si="6"/>
        <v>-2.8125</v>
      </c>
      <c r="Y65" s="2"/>
      <c r="Z65" s="172">
        <f>6*$F$4/8</f>
        <v>3.75</v>
      </c>
      <c r="AA65" s="172">
        <f t="shared" si="7"/>
        <v>-0.390625</v>
      </c>
      <c r="AB65" s="172">
        <f t="shared" si="8"/>
        <v>-7.8125</v>
      </c>
      <c r="AC65" s="2"/>
      <c r="AD65" s="140">
        <f t="shared" si="9"/>
        <v>8.125</v>
      </c>
      <c r="AE65" s="140">
        <f t="shared" si="10"/>
        <v>0.1953125</v>
      </c>
      <c r="AF65" s="140">
        <f t="shared" si="10"/>
        <v>-1.5625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7*$E$4/8</f>
        <v>4.375</v>
      </c>
      <c r="W66" s="140">
        <f t="shared" si="5"/>
        <v>-3.3203125</v>
      </c>
      <c r="X66" s="140">
        <f t="shared" si="6"/>
        <v>-4.0625</v>
      </c>
      <c r="Y66" s="2"/>
      <c r="Z66" s="172">
        <f>7*$F$4/8</f>
        <v>4.375</v>
      </c>
      <c r="AA66" s="172">
        <f t="shared" si="7"/>
        <v>-6.25</v>
      </c>
      <c r="AB66" s="172">
        <f t="shared" si="8"/>
        <v>-10.9375</v>
      </c>
      <c r="AC66" s="2"/>
      <c r="AD66" s="140">
        <f t="shared" si="9"/>
        <v>8.75</v>
      </c>
      <c r="AE66" s="140">
        <f t="shared" si="10"/>
        <v>-1.171875</v>
      </c>
      <c r="AF66" s="140">
        <f t="shared" si="10"/>
        <v>-2.8125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">
      <c r="V67" s="139">
        <f>8*$E$4/8</f>
        <v>5</v>
      </c>
      <c r="W67" s="140">
        <f t="shared" si="5"/>
        <v>-6.25</v>
      </c>
      <c r="X67" s="140">
        <f t="shared" si="6"/>
        <v>-5.3125</v>
      </c>
      <c r="Y67" s="2"/>
      <c r="Z67" s="172">
        <f>8*$F$4/8</f>
        <v>5</v>
      </c>
      <c r="AA67" s="172">
        <f t="shared" si="7"/>
        <v>-14.0625</v>
      </c>
      <c r="AB67" s="172">
        <f t="shared" si="8"/>
        <v>-14.0625</v>
      </c>
      <c r="AC67" s="2"/>
      <c r="AD67" s="140">
        <f t="shared" si="9"/>
        <v>9.375</v>
      </c>
      <c r="AE67" s="140">
        <f t="shared" si="10"/>
        <v>-3.3203125</v>
      </c>
      <c r="AF67" s="140">
        <f t="shared" si="10"/>
        <v>-4.0625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">
      <c r="V68" s="23"/>
      <c r="W68" s="2"/>
      <c r="X68" s="2"/>
      <c r="Y68" s="2"/>
      <c r="Z68" s="2"/>
      <c r="AA68" s="2"/>
      <c r="AB68" s="2"/>
      <c r="AC68" s="2"/>
      <c r="AD68" s="140">
        <f t="shared" si="9"/>
        <v>10</v>
      </c>
      <c r="AE68" s="140">
        <f t="shared" si="10"/>
        <v>-6.25</v>
      </c>
      <c r="AF68" s="140">
        <f t="shared" si="10"/>
        <v>-5.3125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172">
        <f t="shared" ref="AD69:AD77" si="11">$AD$68+Z59</f>
        <v>10</v>
      </c>
      <c r="AE69" s="172">
        <f t="shared" ref="AE69:AF77" si="12">AA59</f>
        <v>-6.2499999999999991</v>
      </c>
      <c r="AF69" s="172">
        <f t="shared" si="12"/>
        <v>10.9375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">
      <c r="V70" s="23" t="s">
        <v>120</v>
      </c>
      <c r="W70" s="2"/>
      <c r="X70" s="2"/>
      <c r="Y70" s="2"/>
      <c r="Z70" s="2" t="s">
        <v>121</v>
      </c>
      <c r="AA70" s="2"/>
      <c r="AB70" s="2"/>
      <c r="AC70" s="2"/>
      <c r="AD70" s="172">
        <f t="shared" si="11"/>
        <v>10.625</v>
      </c>
      <c r="AE70" s="172">
        <f t="shared" si="12"/>
        <v>-0.39062499999999911</v>
      </c>
      <c r="AF70" s="172">
        <f t="shared" si="12"/>
        <v>7.8125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138" t="s">
        <v>2</v>
      </c>
      <c r="W71" s="136" t="s">
        <v>3</v>
      </c>
      <c r="X71" s="123" t="s">
        <v>4</v>
      </c>
      <c r="Y71" s="2"/>
      <c r="Z71" s="136" t="s">
        <v>2</v>
      </c>
      <c r="AA71" s="136" t="s">
        <v>3</v>
      </c>
      <c r="AB71" s="123" t="s">
        <v>4</v>
      </c>
      <c r="AC71" s="2"/>
      <c r="AD71" s="172">
        <f t="shared" si="11"/>
        <v>11.25</v>
      </c>
      <c r="AE71" s="172">
        <f t="shared" si="12"/>
        <v>3.515625</v>
      </c>
      <c r="AF71" s="172">
        <f t="shared" si="12"/>
        <v>4.6875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">
      <c r="V72" s="199">
        <v>0</v>
      </c>
      <c r="W72" s="200">
        <f t="shared" ref="W72:W80" si="13">-$W$23-$G$7*V72^2/2+$AC$28*V72</f>
        <v>-14.062499999999998</v>
      </c>
      <c r="X72" s="200">
        <f t="shared" ref="X72:X80" si="14">-$G$7*V72+$AC$28</f>
        <v>15.3125</v>
      </c>
      <c r="Y72" s="2"/>
      <c r="Z72" s="8">
        <v>0</v>
      </c>
      <c r="AA72" s="8">
        <f>-$Z$22-$H$7*Z72^2/2+$AE$28*Z72</f>
        <v>0</v>
      </c>
      <c r="AB72" s="8">
        <f>-$H$7*Z72+$AE$28</f>
        <v>0</v>
      </c>
      <c r="AC72" s="2"/>
      <c r="AD72" s="172">
        <f t="shared" si="11"/>
        <v>11.875</v>
      </c>
      <c r="AE72" s="172">
        <f t="shared" si="12"/>
        <v>5.46875</v>
      </c>
      <c r="AF72" s="172">
        <f t="shared" si="12"/>
        <v>1.5625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">
      <c r="V73" s="199">
        <f>$G$4/8</f>
        <v>0.625</v>
      </c>
      <c r="W73" s="200">
        <f t="shared" si="13"/>
        <v>-5.4687499999999982</v>
      </c>
      <c r="X73" s="200">
        <f t="shared" si="14"/>
        <v>12.1875</v>
      </c>
      <c r="Y73" s="2"/>
      <c r="Z73" s="8">
        <f>$H$4/3</f>
        <v>0</v>
      </c>
      <c r="AA73" s="8">
        <f>-$Z$22-$H$7*Z73^2/2+$AE$28*Z73</f>
        <v>0</v>
      </c>
      <c r="AB73" s="8">
        <f>-$H$7*Z73+$AE$28</f>
        <v>0</v>
      </c>
      <c r="AC73" s="2"/>
      <c r="AD73" s="172">
        <f t="shared" si="11"/>
        <v>12.5</v>
      </c>
      <c r="AE73" s="172">
        <f t="shared" si="12"/>
        <v>5.46875</v>
      </c>
      <c r="AF73" s="172">
        <f t="shared" si="12"/>
        <v>-1.5625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">
      <c r="V74" s="199">
        <f>2*$G$4/8</f>
        <v>1.25</v>
      </c>
      <c r="W74" s="200">
        <f t="shared" si="13"/>
        <v>1.171875</v>
      </c>
      <c r="X74" s="200">
        <f t="shared" si="14"/>
        <v>9.0625</v>
      </c>
      <c r="Y74" s="2"/>
      <c r="Z74" s="8">
        <f>2*$H$4/3</f>
        <v>0</v>
      </c>
      <c r="AA74" s="8">
        <f>-$Z$22-$H$7*Z74^2/2+$AE$28*Z74</f>
        <v>0</v>
      </c>
      <c r="AB74" s="8">
        <f>-$H$7*Z74+$AE$28</f>
        <v>0</v>
      </c>
      <c r="AC74" s="2"/>
      <c r="AD74" s="172">
        <f t="shared" si="11"/>
        <v>13.125</v>
      </c>
      <c r="AE74" s="172">
        <f t="shared" si="12"/>
        <v>3.515625</v>
      </c>
      <c r="AF74" s="172">
        <f t="shared" si="12"/>
        <v>-4.6875</v>
      </c>
      <c r="AG74" s="2"/>
      <c r="AH74" s="2"/>
      <c r="AI74" s="2"/>
      <c r="AJ74" s="2"/>
      <c r="AK74" s="2"/>
      <c r="AL74" s="2"/>
      <c r="AM74" s="2"/>
      <c r="AN74" s="22"/>
    </row>
    <row r="75" spans="22:40" x14ac:dyDescent="0.2">
      <c r="V75" s="199">
        <f>3*$G$4/8</f>
        <v>1.875</v>
      </c>
      <c r="W75" s="200">
        <f t="shared" si="13"/>
        <v>5.859375</v>
      </c>
      <c r="X75" s="200">
        <f t="shared" si="14"/>
        <v>5.9375</v>
      </c>
      <c r="Y75" s="2"/>
      <c r="Z75" s="8">
        <f>3*$H$4/3</f>
        <v>0</v>
      </c>
      <c r="AA75" s="8">
        <f>-$Z$22-$H$7*Z75^2/2+$AE$28*Z75</f>
        <v>0</v>
      </c>
      <c r="AB75" s="8">
        <f>-$H$7*Z75+$AE$28</f>
        <v>0</v>
      </c>
      <c r="AC75" s="2"/>
      <c r="AD75" s="172">
        <f t="shared" si="11"/>
        <v>13.75</v>
      </c>
      <c r="AE75" s="172">
        <f t="shared" si="12"/>
        <v>-0.390625</v>
      </c>
      <c r="AF75" s="172">
        <f t="shared" si="12"/>
        <v>-7.8125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">
      <c r="V76" s="199">
        <f>4*$G$4/8</f>
        <v>2.5</v>
      </c>
      <c r="W76" s="200">
        <f t="shared" si="13"/>
        <v>8.59375</v>
      </c>
      <c r="X76" s="200">
        <f t="shared" si="14"/>
        <v>2.8125</v>
      </c>
      <c r="Y76" s="2"/>
      <c r="Z76" s="122"/>
      <c r="AA76" s="122"/>
      <c r="AB76" s="122"/>
      <c r="AC76" s="2"/>
      <c r="AD76" s="172">
        <f t="shared" si="11"/>
        <v>14.375</v>
      </c>
      <c r="AE76" s="172">
        <f t="shared" si="12"/>
        <v>-6.25</v>
      </c>
      <c r="AF76" s="172">
        <f t="shared" si="12"/>
        <v>-10.9375</v>
      </c>
      <c r="AG76" s="2"/>
      <c r="AH76" s="2"/>
      <c r="AI76" s="2"/>
      <c r="AJ76" s="2"/>
      <c r="AK76" s="2"/>
      <c r="AL76" s="2"/>
      <c r="AM76" s="2"/>
      <c r="AN76" s="22"/>
    </row>
    <row r="77" spans="22:40" x14ac:dyDescent="0.2">
      <c r="V77" s="199">
        <f>5*$G$4/8</f>
        <v>3.125</v>
      </c>
      <c r="W77" s="200">
        <f t="shared" si="13"/>
        <v>9.375</v>
      </c>
      <c r="X77" s="200">
        <f t="shared" si="14"/>
        <v>-0.3125</v>
      </c>
      <c r="Y77" s="2"/>
      <c r="Z77" s="3"/>
      <c r="AA77" s="3"/>
      <c r="AB77" s="3"/>
      <c r="AC77" s="2"/>
      <c r="AD77" s="172">
        <f t="shared" si="11"/>
        <v>15</v>
      </c>
      <c r="AE77" s="172">
        <f t="shared" si="12"/>
        <v>-14.0625</v>
      </c>
      <c r="AF77" s="172">
        <f t="shared" si="12"/>
        <v>-14.0625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">
      <c r="V78" s="199">
        <f>6*$G$4/8</f>
        <v>3.75</v>
      </c>
      <c r="W78" s="200">
        <f t="shared" si="13"/>
        <v>8.203125</v>
      </c>
      <c r="X78" s="200">
        <f t="shared" si="14"/>
        <v>-3.4375</v>
      </c>
      <c r="Y78" s="2"/>
      <c r="Z78" s="3"/>
      <c r="AA78" s="3"/>
      <c r="AB78" s="3"/>
      <c r="AC78" s="2"/>
      <c r="AD78" s="200">
        <f t="shared" ref="AD78:AD86" si="15">$AD$77+V72</f>
        <v>15</v>
      </c>
      <c r="AE78" s="200">
        <f t="shared" ref="AE78:AF86" si="16">W72</f>
        <v>-14.062499999999998</v>
      </c>
      <c r="AF78" s="200">
        <f t="shared" si="16"/>
        <v>15.3125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">
      <c r="V79" s="199">
        <f>7*$G$4/8</f>
        <v>4.375</v>
      </c>
      <c r="W79" s="200">
        <f t="shared" si="13"/>
        <v>5.078125</v>
      </c>
      <c r="X79" s="200">
        <f t="shared" si="14"/>
        <v>-6.5625</v>
      </c>
      <c r="Y79" s="2"/>
      <c r="Z79" s="3"/>
      <c r="AA79" s="3"/>
      <c r="AB79" s="3"/>
      <c r="AC79" s="2"/>
      <c r="AD79" s="200">
        <f t="shared" si="15"/>
        <v>15.625</v>
      </c>
      <c r="AE79" s="200">
        <f t="shared" si="16"/>
        <v>-5.4687499999999982</v>
      </c>
      <c r="AF79" s="200">
        <f t="shared" si="16"/>
        <v>12.1875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">
      <c r="V80" s="199">
        <f>8*$G$4/8</f>
        <v>5</v>
      </c>
      <c r="W80" s="200">
        <f t="shared" si="13"/>
        <v>0</v>
      </c>
      <c r="X80" s="200">
        <f t="shared" si="14"/>
        <v>-9.6875</v>
      </c>
      <c r="Y80" s="2"/>
      <c r="Z80" s="3"/>
      <c r="AA80" s="3"/>
      <c r="AB80" s="3"/>
      <c r="AC80" s="2"/>
      <c r="AD80" s="200">
        <f t="shared" si="15"/>
        <v>16.25</v>
      </c>
      <c r="AE80" s="200">
        <f t="shared" si="16"/>
        <v>1.171875</v>
      </c>
      <c r="AF80" s="200">
        <f t="shared" si="16"/>
        <v>9.0625</v>
      </c>
      <c r="AG80" s="2"/>
      <c r="AH80" s="2"/>
      <c r="AI80" s="2"/>
      <c r="AJ80" s="2"/>
      <c r="AK80" s="2"/>
      <c r="AL80" s="2"/>
      <c r="AM80" s="2"/>
      <c r="AN80" s="22"/>
    </row>
    <row r="81" spans="5:40" x14ac:dyDescent="0.2">
      <c r="V81" s="23"/>
      <c r="W81" s="2"/>
      <c r="X81" s="2"/>
      <c r="Y81" s="2"/>
      <c r="Z81" s="2"/>
      <c r="AA81" s="2"/>
      <c r="AB81" s="2"/>
      <c r="AC81" s="2"/>
      <c r="AD81" s="200">
        <f t="shared" si="15"/>
        <v>16.875</v>
      </c>
      <c r="AE81" s="200">
        <f t="shared" si="16"/>
        <v>5.859375</v>
      </c>
      <c r="AF81" s="200">
        <f t="shared" si="16"/>
        <v>5.9375</v>
      </c>
      <c r="AG81" s="2"/>
      <c r="AH81" s="2"/>
      <c r="AI81" s="2"/>
      <c r="AJ81" s="2"/>
      <c r="AK81" s="2"/>
      <c r="AL81" s="2"/>
      <c r="AM81" s="2"/>
      <c r="AN81" s="22"/>
    </row>
    <row r="82" spans="5:40" x14ac:dyDescent="0.2">
      <c r="V82" s="23"/>
      <c r="W82" s="2"/>
      <c r="X82" s="2"/>
      <c r="Y82" s="2"/>
      <c r="Z82" s="2"/>
      <c r="AA82" s="2"/>
      <c r="AB82" s="2"/>
      <c r="AC82" s="2"/>
      <c r="AD82" s="200">
        <f t="shared" si="15"/>
        <v>17.5</v>
      </c>
      <c r="AE82" s="200">
        <f t="shared" si="16"/>
        <v>8.59375</v>
      </c>
      <c r="AF82" s="200">
        <f t="shared" si="16"/>
        <v>2.8125</v>
      </c>
      <c r="AG82" s="2"/>
      <c r="AH82" s="2"/>
      <c r="AI82" s="2"/>
      <c r="AJ82" s="2"/>
      <c r="AK82" s="2"/>
      <c r="AL82" s="2"/>
      <c r="AM82" s="2"/>
      <c r="AN82" s="22"/>
    </row>
    <row r="83" spans="5:40" x14ac:dyDescent="0.2">
      <c r="V83" s="23"/>
      <c r="W83" s="2"/>
      <c r="X83" s="2"/>
      <c r="Y83" s="2"/>
      <c r="Z83" s="2"/>
      <c r="AA83" s="2"/>
      <c r="AB83" s="2"/>
      <c r="AC83" s="2"/>
      <c r="AD83" s="200">
        <f t="shared" si="15"/>
        <v>18.125</v>
      </c>
      <c r="AE83" s="200">
        <f t="shared" si="16"/>
        <v>9.375</v>
      </c>
      <c r="AF83" s="200">
        <f t="shared" si="16"/>
        <v>-0.3125</v>
      </c>
      <c r="AG83" s="2"/>
      <c r="AH83" s="2"/>
      <c r="AI83" s="2"/>
      <c r="AJ83" s="2"/>
      <c r="AK83" s="2"/>
      <c r="AL83" s="2"/>
      <c r="AM83" s="2"/>
      <c r="AN83" s="22"/>
    </row>
    <row r="84" spans="5:40" x14ac:dyDescent="0.2">
      <c r="V84" s="23"/>
      <c r="W84" s="2"/>
      <c r="X84" s="2"/>
      <c r="Y84" s="2"/>
      <c r="Z84" s="2"/>
      <c r="AA84" s="2"/>
      <c r="AB84" s="2"/>
      <c r="AC84" s="2"/>
      <c r="AD84" s="200">
        <f t="shared" si="15"/>
        <v>18.75</v>
      </c>
      <c r="AE84" s="200">
        <f t="shared" si="16"/>
        <v>8.203125</v>
      </c>
      <c r="AF84" s="200">
        <f t="shared" si="16"/>
        <v>-3.4375</v>
      </c>
      <c r="AG84" s="2"/>
      <c r="AH84" s="2"/>
      <c r="AI84" s="2"/>
      <c r="AJ84" s="2"/>
      <c r="AK84" s="2"/>
      <c r="AL84" s="2"/>
      <c r="AM84" s="2"/>
      <c r="AN84" s="22"/>
    </row>
    <row r="85" spans="5:40" x14ac:dyDescent="0.2">
      <c r="V85" s="23"/>
      <c r="W85" s="2"/>
      <c r="X85" s="2"/>
      <c r="Y85" s="2"/>
      <c r="Z85" s="2"/>
      <c r="AA85" s="2"/>
      <c r="AB85" s="2"/>
      <c r="AC85" s="2"/>
      <c r="AD85" s="200">
        <f t="shared" si="15"/>
        <v>19.375</v>
      </c>
      <c r="AE85" s="200">
        <f t="shared" si="16"/>
        <v>5.078125</v>
      </c>
      <c r="AF85" s="200">
        <f t="shared" si="16"/>
        <v>-6.5625</v>
      </c>
      <c r="AG85" s="2"/>
      <c r="AH85" s="2"/>
      <c r="AI85" s="2"/>
      <c r="AJ85" s="2"/>
      <c r="AK85" s="2"/>
      <c r="AL85" s="2"/>
      <c r="AM85" s="2"/>
      <c r="AN85" s="22"/>
    </row>
    <row r="86" spans="5:40" x14ac:dyDescent="0.2">
      <c r="V86" s="23"/>
      <c r="W86" s="2"/>
      <c r="X86" s="2"/>
      <c r="Y86" s="2"/>
      <c r="Z86" s="2"/>
      <c r="AA86" s="2"/>
      <c r="AB86" s="2"/>
      <c r="AC86" s="2"/>
      <c r="AD86" s="200">
        <f t="shared" si="15"/>
        <v>20</v>
      </c>
      <c r="AE86" s="200">
        <f t="shared" si="16"/>
        <v>0</v>
      </c>
      <c r="AF86" s="200">
        <f t="shared" si="16"/>
        <v>-9.6875</v>
      </c>
      <c r="AG86" s="2"/>
      <c r="AH86" s="2"/>
      <c r="AI86" s="2"/>
      <c r="AJ86" s="2"/>
      <c r="AK86" s="2"/>
      <c r="AL86" s="2"/>
      <c r="AM86" s="2"/>
      <c r="AN86" s="22"/>
    </row>
    <row r="87" spans="5:40" x14ac:dyDescent="0.2">
      <c r="V87" s="23"/>
      <c r="W87" s="2"/>
      <c r="X87" s="2"/>
      <c r="Y87" s="2"/>
      <c r="Z87" s="2"/>
      <c r="AA87" s="2"/>
      <c r="AB87" s="2"/>
      <c r="AC87" s="2"/>
      <c r="AD87" s="8">
        <f>$AD$86+Z72</f>
        <v>20</v>
      </c>
      <c r="AE87" s="8">
        <f t="shared" ref="AE87:AF90" si="17">AA72</f>
        <v>0</v>
      </c>
      <c r="AF87" s="8">
        <f t="shared" si="17"/>
        <v>0</v>
      </c>
      <c r="AG87" s="2"/>
      <c r="AH87" s="2"/>
      <c r="AI87" s="2"/>
      <c r="AJ87" s="2"/>
      <c r="AK87" s="2"/>
      <c r="AL87" s="2"/>
      <c r="AM87" s="2"/>
      <c r="AN87" s="22"/>
    </row>
    <row r="88" spans="5:40" x14ac:dyDescent="0.2">
      <c r="V88" s="23"/>
      <c r="W88" s="2"/>
      <c r="X88" s="2"/>
      <c r="Y88" s="2"/>
      <c r="Z88" s="2"/>
      <c r="AA88" s="2"/>
      <c r="AB88" s="2"/>
      <c r="AC88" s="2"/>
      <c r="AD88" s="8">
        <f>$AD$86+Z73</f>
        <v>20</v>
      </c>
      <c r="AE88" s="8">
        <f t="shared" si="17"/>
        <v>0</v>
      </c>
      <c r="AF88" s="8">
        <f t="shared" si="17"/>
        <v>0</v>
      </c>
      <c r="AG88" s="2"/>
      <c r="AH88" s="2"/>
      <c r="AI88" s="2"/>
      <c r="AJ88" s="2"/>
      <c r="AK88" s="2"/>
      <c r="AL88" s="2"/>
      <c r="AM88" s="2"/>
      <c r="AN88" s="22"/>
    </row>
    <row r="89" spans="5:40" x14ac:dyDescent="0.2">
      <c r="M89" s="2"/>
      <c r="N89" s="2"/>
      <c r="V89" s="23"/>
      <c r="W89" s="2"/>
      <c r="X89" s="2"/>
      <c r="Y89" s="2"/>
      <c r="Z89" s="2"/>
      <c r="AA89" s="2"/>
      <c r="AB89" s="2"/>
      <c r="AC89" s="2"/>
      <c r="AD89" s="8">
        <f>$AD$86+Z74</f>
        <v>20</v>
      </c>
      <c r="AE89" s="8">
        <f t="shared" si="17"/>
        <v>0</v>
      </c>
      <c r="AF89" s="8">
        <f t="shared" si="17"/>
        <v>0</v>
      </c>
      <c r="AG89" s="2"/>
      <c r="AH89" s="2"/>
      <c r="AI89" s="2"/>
      <c r="AJ89" s="2"/>
      <c r="AK89" s="2"/>
      <c r="AL89" s="2"/>
      <c r="AM89" s="2"/>
      <c r="AN89" s="22"/>
    </row>
    <row r="90" spans="5:40" ht="12.75" thickBot="1" x14ac:dyDescent="0.25">
      <c r="M90" s="11"/>
      <c r="N90" s="11"/>
      <c r="V90" s="189"/>
      <c r="W90" s="27"/>
      <c r="X90" s="27"/>
      <c r="Y90" s="27"/>
      <c r="Z90" s="27"/>
      <c r="AA90" s="27"/>
      <c r="AB90" s="27"/>
      <c r="AC90" s="27"/>
      <c r="AD90" s="143">
        <f>$AD$86+Z75</f>
        <v>20</v>
      </c>
      <c r="AE90" s="143">
        <f t="shared" si="17"/>
        <v>0</v>
      </c>
      <c r="AF90" s="143">
        <f t="shared" si="17"/>
        <v>0</v>
      </c>
      <c r="AG90" s="27"/>
      <c r="AH90" s="27"/>
      <c r="AI90" s="27"/>
      <c r="AJ90" s="27"/>
      <c r="AK90" s="27"/>
      <c r="AL90" s="27"/>
      <c r="AM90" s="27"/>
      <c r="AN90" s="28"/>
    </row>
    <row r="91" spans="5:40" ht="12.75" thickTop="1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glio29"/>
  <dimension ref="A1:N16"/>
  <sheetViews>
    <sheetView workbookViewId="0">
      <selection activeCell="H7" sqref="H7"/>
    </sheetView>
  </sheetViews>
  <sheetFormatPr defaultRowHeight="15" x14ac:dyDescent="0.25"/>
  <sheetData>
    <row r="1" spans="1:14" x14ac:dyDescent="0.25">
      <c r="A1" t="s">
        <v>47</v>
      </c>
      <c r="D1" t="s">
        <v>48</v>
      </c>
      <c r="G1" t="s">
        <v>85</v>
      </c>
      <c r="J1" t="s">
        <v>105</v>
      </c>
      <c r="M1" t="s">
        <v>122</v>
      </c>
    </row>
    <row r="2" spans="1:14" x14ac:dyDescent="0.25">
      <c r="A2" s="29">
        <f>'CCCC-Trave'!C15</f>
        <v>0</v>
      </c>
      <c r="B2" s="30">
        <v>0</v>
      </c>
      <c r="D2" s="29">
        <f>'CCCC-Trave'!C15+'CCCC-Trave'!D15</f>
        <v>5</v>
      </c>
      <c r="E2" s="30">
        <v>0</v>
      </c>
      <c r="G2" s="29">
        <f>'CCCC-Trave'!C15+'CCCC-Trave'!D15+'CCCC-Trave'!E15</f>
        <v>10</v>
      </c>
      <c r="H2" s="30">
        <v>0</v>
      </c>
      <c r="J2" s="29">
        <f>'CCCC-Trave'!$C$15+'CCCC-Trave'!$D$15+'CCCC-Trave'!$E$15+'CCCC-Trave'!$F$15</f>
        <v>15</v>
      </c>
      <c r="K2" s="30">
        <v>0</v>
      </c>
      <c r="M2" s="29">
        <f>'CCCC-Trave'!$C$15+'CCCC-Trave'!$D$15+'CCCC-Trave'!$E$15+'CCCC-Trave'!$F$15+'CCCC-Trave'!$G$15</f>
        <v>20</v>
      </c>
      <c r="N2" s="30">
        <v>0</v>
      </c>
    </row>
    <row r="3" spans="1:14" x14ac:dyDescent="0.25">
      <c r="A3" s="29">
        <f>A2-0.4</f>
        <v>-0.4</v>
      </c>
      <c r="B3" s="30">
        <v>-6</v>
      </c>
      <c r="D3" s="29">
        <f>D2-0.4</f>
        <v>4.5999999999999996</v>
      </c>
      <c r="E3" s="30">
        <v>-6</v>
      </c>
      <c r="G3" s="29">
        <f>G2-0.4</f>
        <v>9.6</v>
      </c>
      <c r="H3" s="30">
        <v>-6</v>
      </c>
      <c r="J3" s="29">
        <f>J2-0.4</f>
        <v>14.6</v>
      </c>
      <c r="K3" s="30">
        <v>-6</v>
      </c>
      <c r="M3" s="29">
        <f>M2-0.4</f>
        <v>19.600000000000001</v>
      </c>
      <c r="N3" s="30">
        <v>-6</v>
      </c>
    </row>
    <row r="4" spans="1:14" x14ac:dyDescent="0.25">
      <c r="A4" s="29">
        <f>A2+0.4</f>
        <v>0.4</v>
      </c>
      <c r="B4" s="30">
        <f>B3</f>
        <v>-6</v>
      </c>
      <c r="D4" s="29">
        <f>D2+0.4</f>
        <v>5.4</v>
      </c>
      <c r="E4" s="30">
        <f>E3</f>
        <v>-6</v>
      </c>
      <c r="G4" s="29">
        <f>G2+0.4</f>
        <v>10.4</v>
      </c>
      <c r="H4" s="30">
        <f>H3</f>
        <v>-6</v>
      </c>
      <c r="J4" s="29">
        <f>J2+0.4</f>
        <v>15.4</v>
      </c>
      <c r="K4" s="30">
        <f>K3</f>
        <v>-6</v>
      </c>
      <c r="M4" s="29">
        <f>M2+0.4</f>
        <v>20.399999999999999</v>
      </c>
      <c r="N4" s="30">
        <f>N3</f>
        <v>-6</v>
      </c>
    </row>
    <row r="5" spans="1:14" x14ac:dyDescent="0.25">
      <c r="A5" s="31">
        <f>A2</f>
        <v>0</v>
      </c>
      <c r="B5" s="32">
        <f>B2</f>
        <v>0</v>
      </c>
      <c r="D5" s="29">
        <f>D2</f>
        <v>5</v>
      </c>
      <c r="E5" s="30">
        <f>E2</f>
        <v>0</v>
      </c>
      <c r="G5" s="29">
        <f>G2</f>
        <v>10</v>
      </c>
      <c r="H5" s="30">
        <f>H2</f>
        <v>0</v>
      </c>
      <c r="J5" s="29">
        <f>J2</f>
        <v>15</v>
      </c>
      <c r="K5" s="30">
        <f>K2</f>
        <v>0</v>
      </c>
      <c r="M5" s="29">
        <f>M2</f>
        <v>20</v>
      </c>
      <c r="N5" s="30">
        <f>N2</f>
        <v>0</v>
      </c>
    </row>
    <row r="6" spans="1:14" x14ac:dyDescent="0.25">
      <c r="A6" s="34"/>
      <c r="B6" s="34"/>
    </row>
    <row r="7" spans="1:14" x14ac:dyDescent="0.25">
      <c r="A7" s="35"/>
      <c r="B7" s="33"/>
      <c r="C7" s="36"/>
      <c r="D7" s="35"/>
      <c r="E7" s="36"/>
      <c r="F7" s="36"/>
      <c r="G7" s="35"/>
      <c r="H7" s="36"/>
      <c r="I7" s="36"/>
      <c r="J7" s="35"/>
      <c r="K7" s="36"/>
      <c r="L7" s="36"/>
      <c r="M7" s="35"/>
      <c r="N7" s="36"/>
    </row>
    <row r="8" spans="1:14" x14ac:dyDescent="0.25">
      <c r="A8" s="37"/>
      <c r="B8" s="33"/>
      <c r="C8" s="36"/>
      <c r="D8" s="37"/>
      <c r="E8" s="33"/>
      <c r="F8" s="33"/>
      <c r="G8" s="37"/>
      <c r="H8" s="33"/>
      <c r="I8" s="33"/>
      <c r="J8" s="37"/>
      <c r="K8" s="33"/>
      <c r="L8" s="33"/>
      <c r="M8" s="37"/>
      <c r="N8" s="33"/>
    </row>
    <row r="9" spans="1:14" x14ac:dyDescent="0.25">
      <c r="A9" s="33"/>
      <c r="B9" s="33"/>
    </row>
    <row r="10" spans="1:14" x14ac:dyDescent="0.25">
      <c r="A10" s="33"/>
      <c r="B10" s="33"/>
    </row>
    <row r="11" spans="1:14" x14ac:dyDescent="0.25">
      <c r="A11" s="33"/>
      <c r="B11" s="33"/>
    </row>
    <row r="12" spans="1:14" x14ac:dyDescent="0.25">
      <c r="A12" s="33"/>
      <c r="B12" s="33"/>
    </row>
    <row r="13" spans="1:14" x14ac:dyDescent="0.25">
      <c r="A13" s="33"/>
      <c r="B13" s="33"/>
    </row>
    <row r="14" spans="1:14" x14ac:dyDescent="0.25">
      <c r="A14" s="33"/>
      <c r="B14" s="33"/>
    </row>
    <row r="15" spans="1:14" x14ac:dyDescent="0.25">
      <c r="A15" s="33"/>
      <c r="B15" s="33"/>
    </row>
    <row r="16" spans="1:14" x14ac:dyDescent="0.25">
      <c r="A16" s="33"/>
      <c r="B16" s="3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oglio17"/>
  <dimension ref="A1:AT100"/>
  <sheetViews>
    <sheetView topLeftCell="A7" zoomScaleNormal="100" workbookViewId="0">
      <selection activeCell="D21" sqref="D21"/>
    </sheetView>
  </sheetViews>
  <sheetFormatPr defaultColWidth="9.140625" defaultRowHeight="12" x14ac:dyDescent="0.2"/>
  <cols>
    <col min="1" max="3" width="9.140625" style="1"/>
    <col min="4" max="4" width="10.42578125" style="1" bestFit="1" customWidth="1"/>
    <col min="5" max="16384" width="9.140625" style="1"/>
  </cols>
  <sheetData>
    <row r="1" spans="1:40" ht="15.75" customHeight="1" thickBot="1" x14ac:dyDescent="0.25">
      <c r="A1" s="334" t="s">
        <v>28</v>
      </c>
      <c r="B1" s="334"/>
      <c r="C1" s="334"/>
      <c r="D1" s="334"/>
      <c r="E1" s="334"/>
      <c r="F1" s="334"/>
      <c r="G1" s="334"/>
      <c r="H1" s="334"/>
      <c r="I1" s="334"/>
      <c r="J1" s="334"/>
      <c r="K1" s="2"/>
    </row>
    <row r="2" spans="1:40" ht="12.75" thickTop="1" x14ac:dyDescent="0.2">
      <c r="E2" s="12"/>
    </row>
    <row r="3" spans="1:40" ht="13.5" x14ac:dyDescent="0.2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34</v>
      </c>
    </row>
    <row r="4" spans="1:40" x14ac:dyDescent="0.2">
      <c r="C4" s="14">
        <f>'CCC-Trave int1 (P1)'!D15</f>
        <v>0</v>
      </c>
      <c r="D4" s="14">
        <f>'CCC-Trave int1 (P1)'!E15</f>
        <v>4</v>
      </c>
      <c r="E4" s="14">
        <f>'CCC-Trave int1 (P1)'!F15</f>
        <v>5.5</v>
      </c>
      <c r="F4" s="14">
        <f>'CCC-Trave int1 (P1)'!G15</f>
        <v>4</v>
      </c>
      <c r="G4" s="14">
        <f>'CCC-Trave int1 (P1)'!H15</f>
        <v>0</v>
      </c>
    </row>
    <row r="6" spans="1:40" ht="13.5" x14ac:dyDescent="0.2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37</v>
      </c>
    </row>
    <row r="7" spans="1:40" x14ac:dyDescent="0.2">
      <c r="B7" s="1" t="s">
        <v>42</v>
      </c>
      <c r="C7" s="14">
        <f>'CCC-Trave int1 (P1)'!D26</f>
        <v>0</v>
      </c>
      <c r="D7" s="14">
        <f>'CCC-Trave int1 (P1)'!E26</f>
        <v>43.42</v>
      </c>
      <c r="E7" s="14">
        <f>'CCC-Trave int1 (P1)'!F26</f>
        <v>43.42</v>
      </c>
      <c r="F7" s="14">
        <f>'CCC-Trave int1 (P1)'!G26</f>
        <v>43.42</v>
      </c>
      <c r="G7" s="14">
        <f>'CCC-Trave int1 (P1)'!H26</f>
        <v>0</v>
      </c>
    </row>
    <row r="8" spans="1:40" x14ac:dyDescent="0.2">
      <c r="C8" s="14"/>
      <c r="D8" s="14"/>
      <c r="E8" s="14"/>
      <c r="F8" s="14"/>
      <c r="G8" s="14"/>
      <c r="H8" s="15"/>
    </row>
    <row r="9" spans="1:40" x14ac:dyDescent="0.2">
      <c r="C9" s="14"/>
      <c r="D9" s="14"/>
      <c r="E9" s="14"/>
      <c r="F9" s="14"/>
      <c r="G9" s="14"/>
      <c r="H9" s="15"/>
    </row>
    <row r="10" spans="1:40" x14ac:dyDescent="0.2">
      <c r="C10" s="14"/>
      <c r="D10" s="14"/>
      <c r="E10" s="14"/>
      <c r="F10" s="14"/>
      <c r="G10" s="14"/>
      <c r="H10" s="15"/>
    </row>
    <row r="11" spans="1:40" x14ac:dyDescent="0.2">
      <c r="C11" s="14"/>
      <c r="D11" s="14"/>
      <c r="E11" s="14"/>
      <c r="F11" s="14"/>
      <c r="G11" s="14"/>
      <c r="H11" s="15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45" t="s">
        <v>31</v>
      </c>
      <c r="B15" s="345"/>
      <c r="C15" s="345"/>
      <c r="D15" s="345"/>
      <c r="E15" s="345"/>
      <c r="F15" s="345"/>
      <c r="G15" s="345"/>
      <c r="H15" s="345"/>
      <c r="I15" s="345"/>
      <c r="J15" s="345"/>
    </row>
    <row r="16" spans="1:40" ht="13.5" thickTop="1" thickBot="1" x14ac:dyDescent="0.25">
      <c r="V16" s="144">
        <f>-(D4/D18+E4/I18)/3</f>
        <v>-23750</v>
      </c>
      <c r="W16" s="145">
        <f>-E4/(6*I18)</f>
        <v>-6875</v>
      </c>
      <c r="X16" s="55"/>
      <c r="Y16" s="19"/>
      <c r="Z16" s="146">
        <f t="array" ref="Z16:AA17">MINVERSE(V16:W17)</f>
        <v>-4.595616024187453E-5</v>
      </c>
      <c r="AA16" s="147">
        <v>1.3303099017384733E-5</v>
      </c>
      <c r="AB16" s="20"/>
      <c r="AC16" s="19"/>
      <c r="AD16" s="19"/>
      <c r="AE16" s="148">
        <f>AB22</f>
        <v>-3125900.78125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4.25" thickBot="1" x14ac:dyDescent="0.3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49">
        <f>-E4/(6*I18)</f>
        <v>-6875</v>
      </c>
      <c r="W17" s="150">
        <f>-(E4/I18+F4/D21)/3</f>
        <v>-23750</v>
      </c>
      <c r="X17" s="5"/>
      <c r="Y17" s="2"/>
      <c r="Z17" s="66">
        <v>1.3303099017384733E-5</v>
      </c>
      <c r="AA17" s="64">
        <v>-4.595616024187453E-5</v>
      </c>
      <c r="AB17" s="3"/>
      <c r="AC17" s="2"/>
      <c r="AD17" s="2"/>
      <c r="AE17" s="151">
        <f>AC22</f>
        <v>-3125900.78125</v>
      </c>
      <c r="AF17" s="2"/>
      <c r="AG17" s="2"/>
      <c r="AH17" s="59">
        <v>0</v>
      </c>
      <c r="AI17" s="60">
        <v>10</v>
      </c>
      <c r="AJ17" s="2"/>
      <c r="AK17" s="67">
        <f>AK55</f>
        <v>0</v>
      </c>
      <c r="AL17" s="6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'CCC-Trave int1 (P1)'!B77</f>
        <v>1</v>
      </c>
      <c r="C18" s="16">
        <f>'CCC-Trave int1 (P1)'!C77</f>
        <v>1.3333333333333334E-4</v>
      </c>
      <c r="D18" s="16">
        <f>B18*C18</f>
        <v>1.3333333333333334E-4</v>
      </c>
      <c r="G18" s="16">
        <f>'CCC-Trave int1 (P1)'!G77</f>
        <v>1</v>
      </c>
      <c r="H18" s="16">
        <f>'CCC-Trave int1 (P1)'!H77</f>
        <v>1.3333333333333334E-4</v>
      </c>
      <c r="I18" s="16">
        <f>G18*H18</f>
        <v>1.3333333333333334E-4</v>
      </c>
      <c r="V18" s="49"/>
      <c r="W18" s="3" t="s">
        <v>95</v>
      </c>
      <c r="X18" s="5"/>
      <c r="Y18" s="2"/>
      <c r="Z18" s="3"/>
      <c r="AA18" s="3" t="s">
        <v>96</v>
      </c>
      <c r="AB18" s="3"/>
      <c r="AC18" s="2"/>
      <c r="AD18" s="2"/>
      <c r="AE18" s="3" t="s">
        <v>97</v>
      </c>
      <c r="AF18" s="2"/>
      <c r="AG18" s="2"/>
      <c r="AH18" s="65">
        <f>C4</f>
        <v>0</v>
      </c>
      <c r="AI18" s="62">
        <f>AI17</f>
        <v>10</v>
      </c>
      <c r="AJ18" s="2"/>
      <c r="AK18" s="61">
        <f>AK17</f>
        <v>0</v>
      </c>
      <c r="AL18" s="87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65">
        <f>AH18</f>
        <v>0</v>
      </c>
      <c r="AI19" s="62">
        <f>AI18+C7</f>
        <v>10</v>
      </c>
      <c r="AJ19" s="2"/>
      <c r="AK19" s="61">
        <f>AK56</f>
        <v>4</v>
      </c>
      <c r="AL19" s="87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4.25" thickBot="1" x14ac:dyDescent="0.3">
      <c r="A20" s="17" t="s">
        <v>88</v>
      </c>
      <c r="B20" s="16" t="s">
        <v>89</v>
      </c>
      <c r="C20" s="16" t="s">
        <v>90</v>
      </c>
      <c r="D20" s="16" t="s">
        <v>91</v>
      </c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65">
        <v>0</v>
      </c>
      <c r="AI20" s="62">
        <f>AI19</f>
        <v>10</v>
      </c>
      <c r="AJ20" s="2"/>
      <c r="AK20" s="61">
        <f>AK19</f>
        <v>4</v>
      </c>
      <c r="AL20" s="87">
        <f>AE59</f>
        <v>-102.07022959183672</v>
      </c>
      <c r="AM20" s="2"/>
      <c r="AN20" s="22"/>
    </row>
    <row r="21" spans="1:46" s="46" customFormat="1" ht="12.75" thickBot="1" x14ac:dyDescent="0.25">
      <c r="A21" s="1"/>
      <c r="B21" s="16">
        <f>'CCC-Trave int1 (P1)'!B80</f>
        <v>1</v>
      </c>
      <c r="C21" s="16">
        <f>'CCC-Trave int1 (P1)'!C80</f>
        <v>1.3333333333333334E-4</v>
      </c>
      <c r="D21" s="16">
        <f>B21*C21</f>
        <v>1.3333333333333334E-4</v>
      </c>
      <c r="F21" s="3"/>
      <c r="G21" s="3"/>
      <c r="H21" s="3"/>
      <c r="I21" s="3"/>
      <c r="V21" s="24" t="s">
        <v>7</v>
      </c>
      <c r="W21" s="152">
        <f t="array" ref="W21:W22">MMULT(matCinv,matN)</f>
        <v>102.07022959183672</v>
      </c>
      <c r="X21" s="2"/>
      <c r="Y21" s="59" t="s">
        <v>12</v>
      </c>
      <c r="Z21" s="60">
        <f>C7*C4^2/2</f>
        <v>0</v>
      </c>
      <c r="AA21" s="2"/>
      <c r="AB21" s="59" t="s">
        <v>79</v>
      </c>
      <c r="AC21" s="60" t="s">
        <v>98</v>
      </c>
      <c r="AD21" s="3"/>
      <c r="AE21" s="2"/>
      <c r="AF21" s="2"/>
      <c r="AG21" s="2"/>
      <c r="AH21" s="66">
        <v>0</v>
      </c>
      <c r="AI21" s="64">
        <f>AI17</f>
        <v>10</v>
      </c>
      <c r="AJ21" s="2"/>
      <c r="AK21" s="61">
        <f>AK57</f>
        <v>9.5</v>
      </c>
      <c r="AL21" s="87">
        <v>0</v>
      </c>
      <c r="AM21" s="2"/>
      <c r="AN21" s="22"/>
    </row>
    <row r="22" spans="1:46" ht="12.75" thickBot="1" x14ac:dyDescent="0.25">
      <c r="V22" s="24" t="s">
        <v>80</v>
      </c>
      <c r="W22" s="71">
        <v>102.07022959183672</v>
      </c>
      <c r="X22" s="2"/>
      <c r="Y22" s="66" t="s">
        <v>99</v>
      </c>
      <c r="Z22" s="64">
        <f>G7*G4^2/2</f>
        <v>0</v>
      </c>
      <c r="AA22" s="2"/>
      <c r="AB22" s="153">
        <f>(C7*C4^2/2)*D4/(6*D18)-D7*D4^3/(24*D18)-E7*E4^3/(24*I18)</f>
        <v>-3125900.78125</v>
      </c>
      <c r="AC22" s="154">
        <f>-E7*E4^3/(24*I18)-F7*F4^3/(24*D21)+Z22*F4/(6*D21)</f>
        <v>-3125900.78125</v>
      </c>
      <c r="AD22" s="44"/>
      <c r="AE22" s="2"/>
      <c r="AF22" s="2"/>
      <c r="AG22" s="2"/>
      <c r="AH22" s="2"/>
      <c r="AI22" s="2"/>
      <c r="AJ22" s="2"/>
      <c r="AK22" s="61">
        <f>AK21</f>
        <v>9.5</v>
      </c>
      <c r="AL22" s="87">
        <f>AE68</f>
        <v>-102.07022959183678</v>
      </c>
      <c r="AM22" s="2"/>
      <c r="AN22" s="22"/>
    </row>
    <row r="23" spans="1:46" ht="12.75" thickBot="1" x14ac:dyDescent="0.25">
      <c r="V23" s="24"/>
      <c r="W23" s="3" t="s">
        <v>100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61">
        <f>AK58</f>
        <v>13.5</v>
      </c>
      <c r="AL23" s="87">
        <v>0</v>
      </c>
      <c r="AM23" s="2"/>
      <c r="AN23" s="22"/>
    </row>
    <row r="24" spans="1:46" ht="12.75" thickBot="1" x14ac:dyDescent="0.25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59">
        <f>C4</f>
        <v>0</v>
      </c>
      <c r="AI24" s="60">
        <f>AI17</f>
        <v>10</v>
      </c>
      <c r="AJ24" s="2"/>
      <c r="AK24" s="63">
        <f>AK23</f>
        <v>13.5</v>
      </c>
      <c r="AL24" s="69">
        <f>AE77</f>
        <v>0</v>
      </c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61">
        <f>AK56</f>
        <v>4</v>
      </c>
      <c r="AI25" s="62">
        <f>AI24</f>
        <v>10</v>
      </c>
      <c r="AJ25" s="2"/>
      <c r="AK25" s="11"/>
      <c r="AL25" s="11"/>
      <c r="AM25" s="2"/>
      <c r="AN25" s="22"/>
    </row>
    <row r="26" spans="1:46" ht="12.75" thickBot="1" x14ac:dyDescent="0.25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61">
        <f>AH25</f>
        <v>4</v>
      </c>
      <c r="AI26" s="62">
        <f>AI25+D7</f>
        <v>53.42</v>
      </c>
      <c r="AJ26" s="3"/>
      <c r="AK26" s="11"/>
      <c r="AL26" s="11"/>
      <c r="AM26" s="2"/>
      <c r="AN26" s="22"/>
    </row>
    <row r="27" spans="1:46" x14ac:dyDescent="0.2">
      <c r="V27" s="98" t="s">
        <v>8</v>
      </c>
      <c r="W27" s="70" t="s">
        <v>9</v>
      </c>
      <c r="X27" s="70" t="s">
        <v>10</v>
      </c>
      <c r="Y27" s="155" t="s">
        <v>11</v>
      </c>
      <c r="Z27" s="70" t="s">
        <v>76</v>
      </c>
      <c r="AA27" s="70" t="s">
        <v>77</v>
      </c>
      <c r="AB27" s="70" t="s">
        <v>92</v>
      </c>
      <c r="AC27" s="70" t="s">
        <v>93</v>
      </c>
      <c r="AD27" s="3"/>
      <c r="AE27" s="3"/>
      <c r="AF27" s="3"/>
      <c r="AG27" s="3"/>
      <c r="AH27" s="65">
        <f>AH24</f>
        <v>0</v>
      </c>
      <c r="AI27" s="62">
        <f>AI26</f>
        <v>53.42</v>
      </c>
      <c r="AJ27" s="3"/>
      <c r="AK27" s="11"/>
      <c r="AL27" s="11"/>
      <c r="AM27" s="2"/>
      <c r="AN27" s="22"/>
    </row>
    <row r="28" spans="1:46" ht="12.75" thickBot="1" x14ac:dyDescent="0.25">
      <c r="V28" s="99">
        <f>C7*C4</f>
        <v>0</v>
      </c>
      <c r="W28" s="71">
        <f>D7*D4-X28</f>
        <v>61.322442602040823</v>
      </c>
      <c r="X28" s="71">
        <f>(W21-Z21+D7*D4^2/2)/D4</f>
        <v>112.35755739795918</v>
      </c>
      <c r="Y28" s="156">
        <f>E7*E4-Z28</f>
        <v>119.40499999999999</v>
      </c>
      <c r="Z28" s="71">
        <f>(W22-W21+E7*E4^2/2)/E4</f>
        <v>119.40500000000002</v>
      </c>
      <c r="AA28" s="71">
        <f>F7*F4-AB28</f>
        <v>112.35755739795918</v>
      </c>
      <c r="AB28" s="71">
        <f>(Z22-W22+F7*F4^2/2)/F4</f>
        <v>61.322442602040823</v>
      </c>
      <c r="AC28" s="71">
        <f>G7*G4</f>
        <v>0</v>
      </c>
      <c r="AD28" s="11"/>
      <c r="AE28" s="11"/>
      <c r="AF28" s="3"/>
      <c r="AG28" s="3"/>
      <c r="AH28" s="66">
        <f>AH24</f>
        <v>0</v>
      </c>
      <c r="AI28" s="64">
        <f>AI24</f>
        <v>10</v>
      </c>
      <c r="AJ28" s="3"/>
      <c r="AK28" s="11"/>
      <c r="AL28" s="11"/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ht="12.75" thickBot="1" x14ac:dyDescent="0.25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ht="12.75" thickBot="1" x14ac:dyDescent="0.25">
      <c r="V31" s="23"/>
      <c r="W31" s="2"/>
      <c r="X31" s="59" t="s">
        <v>0</v>
      </c>
      <c r="Y31" s="94" t="s">
        <v>1</v>
      </c>
      <c r="Z31" s="94" t="s">
        <v>78</v>
      </c>
      <c r="AA31" s="60" t="s">
        <v>94</v>
      </c>
      <c r="AB31" s="3"/>
      <c r="AC31" s="2"/>
      <c r="AD31" s="2"/>
      <c r="AE31" s="2"/>
      <c r="AF31" s="2"/>
      <c r="AG31" s="2"/>
      <c r="AH31" s="67">
        <f>AK56</f>
        <v>4</v>
      </c>
      <c r="AI31" s="60">
        <f>AI17</f>
        <v>10</v>
      </c>
      <c r="AJ31" s="2"/>
      <c r="AK31" s="2" t="s">
        <v>21</v>
      </c>
      <c r="AL31" s="2"/>
      <c r="AM31" s="2"/>
      <c r="AN31" s="22"/>
    </row>
    <row r="32" spans="1:46" ht="12.75" thickBot="1" x14ac:dyDescent="0.25">
      <c r="V32" s="23"/>
      <c r="W32" s="2"/>
      <c r="X32" s="63">
        <f>V28+W28</f>
        <v>61.322442602040823</v>
      </c>
      <c r="Y32" s="88">
        <f>X28+Y28</f>
        <v>231.76255739795917</v>
      </c>
      <c r="Z32" s="88">
        <f>Z28+AA28</f>
        <v>231.7625573979592</v>
      </c>
      <c r="AA32" s="69">
        <f>AB28+AC28</f>
        <v>61.322442602040823</v>
      </c>
      <c r="AB32" s="11"/>
      <c r="AC32" s="2"/>
      <c r="AD32" s="2"/>
      <c r="AE32" s="2"/>
      <c r="AF32" s="2"/>
      <c r="AG32" s="2"/>
      <c r="AH32" s="61">
        <f>AK57</f>
        <v>9.5</v>
      </c>
      <c r="AI32" s="62">
        <f>AI31</f>
        <v>10</v>
      </c>
      <c r="AJ32" s="2"/>
      <c r="AK32" s="155" t="s">
        <v>22</v>
      </c>
      <c r="AL32" s="94" t="s">
        <v>25</v>
      </c>
      <c r="AM32" s="94" t="s">
        <v>2</v>
      </c>
      <c r="AN32" s="100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61">
        <f>AH32</f>
        <v>9.5</v>
      </c>
      <c r="AI33" s="62">
        <f>AI32+E7</f>
        <v>53.42</v>
      </c>
      <c r="AJ33" s="2"/>
      <c r="AK33" s="157" t="s">
        <v>23</v>
      </c>
      <c r="AL33" s="8">
        <f>W28/D7</f>
        <v>1.4123086734693879</v>
      </c>
      <c r="AM33" s="8">
        <f>C4+AL33</f>
        <v>1.4123086734693879</v>
      </c>
      <c r="AN33" s="129">
        <f>W28*AL33-D7*AL33^2/2+AE50</f>
        <v>43.30310878259548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61">
        <f>AH31</f>
        <v>4</v>
      </c>
      <c r="AI34" s="62">
        <f>AI33</f>
        <v>53.42</v>
      </c>
      <c r="AJ34" s="2"/>
      <c r="AK34" s="158" t="s">
        <v>82</v>
      </c>
      <c r="AL34" s="8">
        <f>Y28/E7</f>
        <v>2.7499999999999996</v>
      </c>
      <c r="AM34" s="8">
        <f>C4+D4+AL34</f>
        <v>6.75</v>
      </c>
      <c r="AN34" s="129">
        <f>Y28*AL34-E7*AL34^2/2+AE59</f>
        <v>62.111645408163241</v>
      </c>
    </row>
    <row r="35" spans="22:40" ht="12.75" thickBot="1" x14ac:dyDescent="0.25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63">
        <f>AH31</f>
        <v>4</v>
      </c>
      <c r="AI35" s="64">
        <f>AI31</f>
        <v>10</v>
      </c>
      <c r="AJ35" s="2"/>
      <c r="AK35" s="159" t="s">
        <v>101</v>
      </c>
      <c r="AL35" s="88">
        <f>AA28/F7</f>
        <v>2.5876913265306123</v>
      </c>
      <c r="AM35" s="88">
        <f>C4+D4+E4+AL35</f>
        <v>12.087691326530612</v>
      </c>
      <c r="AN35" s="101">
        <f>AA28*AL35-F7*AL35^2/2+AE68</f>
        <v>43.303108782595416</v>
      </c>
    </row>
    <row r="36" spans="22:40" x14ac:dyDescent="0.2">
      <c r="V36" s="102">
        <f>AK55</f>
        <v>0</v>
      </c>
      <c r="W36" s="73">
        <v>0</v>
      </c>
      <c r="X36" s="2"/>
      <c r="Y36" s="72">
        <f>AK56</f>
        <v>4</v>
      </c>
      <c r="Z36" s="73">
        <v>0</v>
      </c>
      <c r="AA36" s="2"/>
      <c r="AB36" s="72">
        <f>AK57</f>
        <v>9.5</v>
      </c>
      <c r="AC36" s="73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ht="12.75" thickBot="1" x14ac:dyDescent="0.25">
      <c r="V37" s="103">
        <f>V36</f>
        <v>0</v>
      </c>
      <c r="W37" s="75">
        <f>X32</f>
        <v>61.322442602040823</v>
      </c>
      <c r="X37" s="2"/>
      <c r="Y37" s="74">
        <f>Y36</f>
        <v>4</v>
      </c>
      <c r="Z37" s="75">
        <f>Y32</f>
        <v>231.76255739795917</v>
      </c>
      <c r="AA37" s="2"/>
      <c r="AB37" s="74">
        <f>AB36</f>
        <v>9.5</v>
      </c>
      <c r="AC37" s="75">
        <f>Z32</f>
        <v>231.7625573979592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67">
        <f>AK57</f>
        <v>9.5</v>
      </c>
      <c r="AI38" s="60">
        <f>AI17</f>
        <v>10</v>
      </c>
      <c r="AJ38" s="3"/>
      <c r="AK38" s="3"/>
      <c r="AL38" s="3"/>
      <c r="AM38" s="3"/>
      <c r="AN38" s="25"/>
    </row>
    <row r="39" spans="22:40" ht="12.75" thickBot="1" x14ac:dyDescent="0.25">
      <c r="V39" s="23" t="s">
        <v>103</v>
      </c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61">
        <f>AK58</f>
        <v>13.5</v>
      </c>
      <c r="AI39" s="62">
        <f>AI38</f>
        <v>10</v>
      </c>
      <c r="AJ39" s="3"/>
      <c r="AK39" s="2" t="s">
        <v>27</v>
      </c>
      <c r="AL39" s="2"/>
      <c r="AM39" s="3"/>
      <c r="AN39" s="25"/>
    </row>
    <row r="40" spans="22:40" x14ac:dyDescent="0.2">
      <c r="V40" s="102">
        <f>AK58</f>
        <v>13.5</v>
      </c>
      <c r="W40" s="73">
        <v>0</v>
      </c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61">
        <f>AH39</f>
        <v>13.5</v>
      </c>
      <c r="AI40" s="62">
        <f>AI39+F7</f>
        <v>53.42</v>
      </c>
      <c r="AJ40" s="2"/>
      <c r="AK40" s="67">
        <f>AM33</f>
        <v>1.4123086734693879</v>
      </c>
      <c r="AL40" s="60">
        <v>0</v>
      </c>
      <c r="AM40" s="2"/>
      <c r="AN40" s="22"/>
    </row>
    <row r="41" spans="22:40" ht="12.75" thickBot="1" x14ac:dyDescent="0.25">
      <c r="V41" s="103">
        <f>V40</f>
        <v>13.5</v>
      </c>
      <c r="W41" s="75">
        <f>AA32</f>
        <v>61.322442602040823</v>
      </c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61">
        <f>AH38</f>
        <v>9.5</v>
      </c>
      <c r="AI41" s="62">
        <f>AI40</f>
        <v>53.42</v>
      </c>
      <c r="AJ41" s="2"/>
      <c r="AK41" s="61">
        <f>AK40</f>
        <v>1.4123086734693879</v>
      </c>
      <c r="AL41" s="87">
        <f>AN33</f>
        <v>43.30310878259548</v>
      </c>
      <c r="AM41" s="2"/>
      <c r="AN41" s="22"/>
    </row>
    <row r="42" spans="22:40" ht="12.75" thickBot="1" x14ac:dyDescent="0.25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63">
        <f>AH38</f>
        <v>9.5</v>
      </c>
      <c r="AI42" s="64">
        <f>AI38</f>
        <v>10</v>
      </c>
      <c r="AJ42" s="2"/>
      <c r="AK42" s="61">
        <f>AM34</f>
        <v>6.75</v>
      </c>
      <c r="AL42" s="62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61">
        <f>AK42</f>
        <v>6.75</v>
      </c>
      <c r="AL43" s="87">
        <f>AN34</f>
        <v>62.111645408163241</v>
      </c>
      <c r="AM43" s="2"/>
      <c r="AN43" s="22"/>
    </row>
    <row r="44" spans="22:40" ht="12.75" thickBot="1" x14ac:dyDescent="0.25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18</v>
      </c>
      <c r="AI44" s="3"/>
      <c r="AJ44" s="2"/>
      <c r="AK44" s="61">
        <f>AM35</f>
        <v>12.087691326530612</v>
      </c>
      <c r="AL44" s="62">
        <v>0</v>
      </c>
      <c r="AM44" s="2"/>
      <c r="AN44" s="22"/>
    </row>
    <row r="45" spans="22:40" ht="12.75" thickBot="1" x14ac:dyDescent="0.25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67">
        <f>AK58</f>
        <v>13.5</v>
      </c>
      <c r="AI45" s="60">
        <f>AI17</f>
        <v>10</v>
      </c>
      <c r="AJ45" s="2"/>
      <c r="AK45" s="63">
        <f>AK44</f>
        <v>12.087691326530612</v>
      </c>
      <c r="AL45" s="69">
        <f>AN35</f>
        <v>43.303108782595416</v>
      </c>
      <c r="AM45" s="2"/>
      <c r="AN45" s="22"/>
    </row>
    <row r="46" spans="22:40" ht="12.75" thickBot="1" x14ac:dyDescent="0.25">
      <c r="V46" s="104" t="s">
        <v>2</v>
      </c>
      <c r="W46" s="76" t="s">
        <v>3</v>
      </c>
      <c r="X46" s="77" t="s">
        <v>4</v>
      </c>
      <c r="Y46" s="2"/>
      <c r="Z46" s="83" t="s">
        <v>2</v>
      </c>
      <c r="AA46" s="84" t="s">
        <v>3</v>
      </c>
      <c r="AB46" s="60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61">
        <f>AK59</f>
        <v>13.5</v>
      </c>
      <c r="AI46" s="62">
        <f>AI45</f>
        <v>10</v>
      </c>
      <c r="AJ46" s="2"/>
      <c r="AK46" s="11"/>
      <c r="AL46" s="3"/>
      <c r="AM46" s="2"/>
      <c r="AN46" s="22"/>
    </row>
    <row r="47" spans="22:40" x14ac:dyDescent="0.2">
      <c r="V47" s="26">
        <v>0</v>
      </c>
      <c r="W47" s="7">
        <f>-$C$7*V47^2/2</f>
        <v>0</v>
      </c>
      <c r="X47" s="79">
        <f>-$C$7*V47</f>
        <v>0</v>
      </c>
      <c r="Y47" s="2"/>
      <c r="Z47" s="85">
        <v>0</v>
      </c>
      <c r="AA47" s="10">
        <f t="shared" ref="AA47:AA55" si="0">-$Z$21-$D$7*Z47^2/2+$W$28*Z47</f>
        <v>0</v>
      </c>
      <c r="AB47" s="86">
        <f t="shared" ref="AB47:AB55" si="1">-$D$7*Z47+$W$28</f>
        <v>61.322442602040823</v>
      </c>
      <c r="AC47" s="2"/>
      <c r="AD47" s="160">
        <f t="shared" ref="AD47:AF50" si="2">V47</f>
        <v>0</v>
      </c>
      <c r="AE47" s="161">
        <f t="shared" si="2"/>
        <v>0</v>
      </c>
      <c r="AF47" s="162">
        <f t="shared" si="2"/>
        <v>0</v>
      </c>
      <c r="AG47" s="2"/>
      <c r="AH47" s="61">
        <f>AH46</f>
        <v>13.5</v>
      </c>
      <c r="AI47" s="62">
        <f>AI46+G7</f>
        <v>10</v>
      </c>
      <c r="AJ47" s="2"/>
      <c r="AK47" s="11"/>
      <c r="AL47" s="11"/>
      <c r="AM47" s="2"/>
      <c r="AN47" s="22"/>
    </row>
    <row r="48" spans="22:40" x14ac:dyDescent="0.2">
      <c r="V48" s="26">
        <f>$C$4/3</f>
        <v>0</v>
      </c>
      <c r="W48" s="7">
        <f>-$C$7*V48^2/2</f>
        <v>0</v>
      </c>
      <c r="X48" s="79">
        <f>-$C$7*V48</f>
        <v>0</v>
      </c>
      <c r="Y48" s="2"/>
      <c r="Z48" s="85">
        <f>$D$4/8</f>
        <v>0.5</v>
      </c>
      <c r="AA48" s="10">
        <f t="shared" si="0"/>
        <v>25.23372130102041</v>
      </c>
      <c r="AB48" s="86">
        <f t="shared" si="1"/>
        <v>39.612442602040822</v>
      </c>
      <c r="AC48" s="2"/>
      <c r="AD48" s="78">
        <f t="shared" si="2"/>
        <v>0</v>
      </c>
      <c r="AE48" s="7">
        <f t="shared" si="2"/>
        <v>0</v>
      </c>
      <c r="AF48" s="79">
        <f t="shared" si="2"/>
        <v>0</v>
      </c>
      <c r="AG48" s="2"/>
      <c r="AH48" s="61">
        <f>AH45</f>
        <v>13.5</v>
      </c>
      <c r="AI48" s="62">
        <f>AI47</f>
        <v>10</v>
      </c>
      <c r="AJ48" s="2"/>
      <c r="AK48" s="2"/>
      <c r="AL48" s="2"/>
      <c r="AM48" s="2"/>
      <c r="AN48" s="22"/>
    </row>
    <row r="49" spans="13:40" ht="12.75" thickBot="1" x14ac:dyDescent="0.25">
      <c r="V49" s="26">
        <f>2*$C$4/3</f>
        <v>0</v>
      </c>
      <c r="W49" s="7">
        <f>-$C$7*V49^2/2</f>
        <v>0</v>
      </c>
      <c r="X49" s="79">
        <f>-$C$7*V49</f>
        <v>0</v>
      </c>
      <c r="Y49" s="2"/>
      <c r="Z49" s="85">
        <f>2*$D$4/8</f>
        <v>1</v>
      </c>
      <c r="AA49" s="10">
        <f t="shared" si="0"/>
        <v>39.612442602040822</v>
      </c>
      <c r="AB49" s="86">
        <f t="shared" si="1"/>
        <v>17.902442602040821</v>
      </c>
      <c r="AC49" s="2"/>
      <c r="AD49" s="78">
        <f t="shared" si="2"/>
        <v>0</v>
      </c>
      <c r="AE49" s="7">
        <f t="shared" si="2"/>
        <v>0</v>
      </c>
      <c r="AF49" s="79">
        <f t="shared" si="2"/>
        <v>0</v>
      </c>
      <c r="AG49" s="2"/>
      <c r="AH49" s="63">
        <f>AH45</f>
        <v>13.5</v>
      </c>
      <c r="AI49" s="64">
        <f>AI45</f>
        <v>10</v>
      </c>
      <c r="AJ49" s="2"/>
      <c r="AK49" s="2"/>
      <c r="AL49" s="2"/>
      <c r="AM49" s="2"/>
      <c r="AN49" s="22"/>
    </row>
    <row r="50" spans="13:40" ht="12.75" thickBot="1" x14ac:dyDescent="0.25">
      <c r="V50" s="105">
        <f>3*$C$4/3</f>
        <v>0</v>
      </c>
      <c r="W50" s="80">
        <f>-$C$7*V50^2/2</f>
        <v>0</v>
      </c>
      <c r="X50" s="81">
        <f>-$C$7*V50</f>
        <v>0</v>
      </c>
      <c r="Y50" s="2"/>
      <c r="Z50" s="85">
        <f>3*$D$4/8</f>
        <v>1.5</v>
      </c>
      <c r="AA50" s="10">
        <f t="shared" si="0"/>
        <v>43.136163903061224</v>
      </c>
      <c r="AB50" s="86">
        <f t="shared" si="1"/>
        <v>-3.8075573979591724</v>
      </c>
      <c r="AC50" s="2"/>
      <c r="AD50" s="163">
        <f t="shared" si="2"/>
        <v>0</v>
      </c>
      <c r="AE50" s="80">
        <f t="shared" si="2"/>
        <v>0</v>
      </c>
      <c r="AF50" s="81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24"/>
      <c r="W51" s="3"/>
      <c r="X51" s="3"/>
      <c r="Y51" s="2"/>
      <c r="Z51" s="85">
        <f>4*$D$4/8</f>
        <v>2</v>
      </c>
      <c r="AA51" s="10">
        <f t="shared" si="0"/>
        <v>35.804885204081643</v>
      </c>
      <c r="AB51" s="86">
        <f t="shared" si="1"/>
        <v>-25.51755739795918</v>
      </c>
      <c r="AC51" s="2"/>
      <c r="AD51" s="164">
        <f t="shared" ref="AD51:AD59" si="3">$AD$50+Z47</f>
        <v>0</v>
      </c>
      <c r="AE51" s="165">
        <f t="shared" ref="AE51:AF59" si="4">AA47</f>
        <v>0</v>
      </c>
      <c r="AF51" s="166">
        <f t="shared" si="4"/>
        <v>61.322442602040823</v>
      </c>
      <c r="AG51" s="2"/>
      <c r="AH51" s="2"/>
      <c r="AI51" s="2"/>
      <c r="AJ51" s="2"/>
      <c r="AK51" s="2"/>
      <c r="AL51" s="2"/>
      <c r="AM51" s="2"/>
      <c r="AN51" s="22"/>
    </row>
    <row r="52" spans="13:40" ht="12.75" thickBot="1" x14ac:dyDescent="0.25">
      <c r="V52" s="24"/>
      <c r="W52" s="3"/>
      <c r="X52" s="3"/>
      <c r="Y52" s="2"/>
      <c r="Z52" s="85">
        <f>5*$D$4/8</f>
        <v>2.5</v>
      </c>
      <c r="AA52" s="10">
        <f t="shared" si="0"/>
        <v>17.618606505102065</v>
      </c>
      <c r="AB52" s="86">
        <f t="shared" si="1"/>
        <v>-47.227557397959188</v>
      </c>
      <c r="AC52" s="3"/>
      <c r="AD52" s="85">
        <f t="shared" si="3"/>
        <v>0.5</v>
      </c>
      <c r="AE52" s="10">
        <f t="shared" si="4"/>
        <v>25.23372130102041</v>
      </c>
      <c r="AF52" s="86">
        <f t="shared" si="4"/>
        <v>39.612442602040822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85">
        <f>6*$D$4/8</f>
        <v>3</v>
      </c>
      <c r="AA53" s="10">
        <f t="shared" si="0"/>
        <v>-11.42267219387756</v>
      </c>
      <c r="AB53" s="86">
        <f t="shared" si="1"/>
        <v>-68.937557397959168</v>
      </c>
      <c r="AC53" s="3"/>
      <c r="AD53" s="85">
        <f t="shared" si="3"/>
        <v>1</v>
      </c>
      <c r="AE53" s="10">
        <f t="shared" si="4"/>
        <v>39.612442602040822</v>
      </c>
      <c r="AF53" s="86">
        <f t="shared" si="4"/>
        <v>17.902442602040821</v>
      </c>
      <c r="AG53" s="2"/>
      <c r="AH53" s="2"/>
      <c r="AI53" s="2"/>
      <c r="AJ53" s="2"/>
      <c r="AK53" s="59" t="s">
        <v>2</v>
      </c>
      <c r="AL53" s="60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85">
        <f>7*$D$4/8</f>
        <v>3.5</v>
      </c>
      <c r="AA54" s="10">
        <f t="shared" si="0"/>
        <v>-51.318950892857117</v>
      </c>
      <c r="AB54" s="86">
        <f t="shared" si="1"/>
        <v>-90.647557397959176</v>
      </c>
      <c r="AC54" s="2"/>
      <c r="AD54" s="85">
        <f t="shared" si="3"/>
        <v>1.5</v>
      </c>
      <c r="AE54" s="10">
        <f t="shared" si="4"/>
        <v>43.136163903061224</v>
      </c>
      <c r="AF54" s="86">
        <f t="shared" si="4"/>
        <v>-3.8075573979591724</v>
      </c>
      <c r="AG54" s="2"/>
      <c r="AH54" s="2"/>
      <c r="AI54" s="2"/>
      <c r="AJ54" s="2"/>
      <c r="AK54" s="61">
        <v>0</v>
      </c>
      <c r="AL54" s="62">
        <v>0</v>
      </c>
      <c r="AM54" s="2"/>
      <c r="AN54" s="22"/>
    </row>
    <row r="55" spans="13:40" ht="12.75" thickBot="1" x14ac:dyDescent="0.25">
      <c r="M55" s="2"/>
      <c r="N55" s="2"/>
      <c r="V55" s="24"/>
      <c r="W55" s="3"/>
      <c r="X55" s="3"/>
      <c r="Y55" s="2"/>
      <c r="Z55" s="167">
        <f>8*$D$4/8</f>
        <v>4</v>
      </c>
      <c r="AA55" s="168">
        <f t="shared" si="0"/>
        <v>-102.07022959183672</v>
      </c>
      <c r="AB55" s="169">
        <f t="shared" si="1"/>
        <v>-112.35755739795918</v>
      </c>
      <c r="AC55" s="2"/>
      <c r="AD55" s="85">
        <f t="shared" si="3"/>
        <v>2</v>
      </c>
      <c r="AE55" s="10">
        <f t="shared" si="4"/>
        <v>35.804885204081643</v>
      </c>
      <c r="AF55" s="86">
        <f t="shared" si="4"/>
        <v>-25.51755739795918</v>
      </c>
      <c r="AG55" s="2"/>
      <c r="AH55" s="2"/>
      <c r="AI55" s="2"/>
      <c r="AJ55" s="2"/>
      <c r="AK55" s="61">
        <f>C4</f>
        <v>0</v>
      </c>
      <c r="AL55" s="62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85">
        <f t="shared" si="3"/>
        <v>2.5</v>
      </c>
      <c r="AE56" s="10">
        <f t="shared" si="4"/>
        <v>17.618606505102065</v>
      </c>
      <c r="AF56" s="86">
        <f t="shared" si="4"/>
        <v>-47.227557397959188</v>
      </c>
      <c r="AG56" s="2"/>
      <c r="AH56" s="2"/>
      <c r="AI56" s="2"/>
      <c r="AJ56" s="2"/>
      <c r="AK56" s="61">
        <f>AK55+D4</f>
        <v>4</v>
      </c>
      <c r="AL56" s="62">
        <v>0</v>
      </c>
      <c r="AM56" s="2"/>
      <c r="AN56" s="22"/>
    </row>
    <row r="57" spans="13:40" ht="12.75" thickBot="1" x14ac:dyDescent="0.25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85">
        <f t="shared" si="3"/>
        <v>3</v>
      </c>
      <c r="AE57" s="10">
        <f t="shared" si="4"/>
        <v>-11.42267219387756</v>
      </c>
      <c r="AF57" s="86">
        <f t="shared" si="4"/>
        <v>-68.937557397959168</v>
      </c>
      <c r="AG57" s="2"/>
      <c r="AH57" s="2"/>
      <c r="AI57" s="2"/>
      <c r="AJ57" s="2"/>
      <c r="AK57" s="61">
        <f>AK56+E4</f>
        <v>9.5</v>
      </c>
      <c r="AL57" s="62">
        <v>0</v>
      </c>
      <c r="AM57" s="2"/>
      <c r="AN57" s="22"/>
    </row>
    <row r="58" spans="13:40" x14ac:dyDescent="0.2">
      <c r="V58" s="106" t="s">
        <v>2</v>
      </c>
      <c r="W58" s="84" t="s">
        <v>3</v>
      </c>
      <c r="X58" s="60" t="s">
        <v>4</v>
      </c>
      <c r="Y58" s="2"/>
      <c r="Z58" s="83" t="s">
        <v>2</v>
      </c>
      <c r="AA58" s="84" t="s">
        <v>3</v>
      </c>
      <c r="AB58" s="60" t="s">
        <v>4</v>
      </c>
      <c r="AC58" s="2"/>
      <c r="AD58" s="85">
        <f t="shared" si="3"/>
        <v>3.5</v>
      </c>
      <c r="AE58" s="10">
        <f t="shared" si="4"/>
        <v>-51.318950892857117</v>
      </c>
      <c r="AF58" s="86">
        <f t="shared" si="4"/>
        <v>-90.647557397959176</v>
      </c>
      <c r="AG58" s="2"/>
      <c r="AH58" s="2"/>
      <c r="AI58" s="2"/>
      <c r="AJ58" s="2"/>
      <c r="AK58" s="61">
        <f>AK57+F4</f>
        <v>13.5</v>
      </c>
      <c r="AL58" s="62">
        <v>0</v>
      </c>
      <c r="AM58" s="2"/>
      <c r="AN58" s="22"/>
    </row>
    <row r="59" spans="13:40" ht="12.75" thickBot="1" x14ac:dyDescent="0.25">
      <c r="V59" s="139">
        <v>0</v>
      </c>
      <c r="W59" s="140">
        <f t="shared" ref="W59:W67" si="5">-$W$21-$E$7*V59^2/2+$Y$28*V59</f>
        <v>-102.07022959183672</v>
      </c>
      <c r="X59" s="170">
        <f t="shared" ref="X59:X67" si="6">-$E$7*V59+$Y$28</f>
        <v>119.40499999999999</v>
      </c>
      <c r="Y59" s="2"/>
      <c r="Z59" s="171">
        <v>0</v>
      </c>
      <c r="AA59" s="172">
        <f t="shared" ref="AA59:AA67" si="7">-$W$22-$F$7*Z59^2/2+$AA$28*Z59</f>
        <v>-102.07022959183672</v>
      </c>
      <c r="AB59" s="173">
        <f t="shared" ref="AB59:AB67" si="8">-$F$7*Z59+$AA$28</f>
        <v>112.35755739795918</v>
      </c>
      <c r="AC59" s="2"/>
      <c r="AD59" s="167">
        <f t="shared" si="3"/>
        <v>4</v>
      </c>
      <c r="AE59" s="168">
        <f t="shared" si="4"/>
        <v>-102.07022959183672</v>
      </c>
      <c r="AF59" s="169">
        <f t="shared" si="4"/>
        <v>-112.35755739795918</v>
      </c>
      <c r="AG59" s="2"/>
      <c r="AH59" s="2"/>
      <c r="AI59" s="2"/>
      <c r="AJ59" s="2"/>
      <c r="AK59" s="63">
        <f>AK58+G4</f>
        <v>13.5</v>
      </c>
      <c r="AL59" s="64">
        <v>0</v>
      </c>
      <c r="AM59" s="2"/>
      <c r="AN59" s="22"/>
    </row>
    <row r="60" spans="13:40" x14ac:dyDescent="0.2">
      <c r="V60" s="139">
        <f>$E$4/8</f>
        <v>0.6875</v>
      </c>
      <c r="W60" s="140">
        <f t="shared" si="5"/>
        <v>-30.240659279336725</v>
      </c>
      <c r="X60" s="170">
        <f t="shared" si="6"/>
        <v>89.55374999999998</v>
      </c>
      <c r="Y60" s="2"/>
      <c r="Z60" s="171">
        <f>$F$4/8</f>
        <v>0.5</v>
      </c>
      <c r="AA60" s="172">
        <f t="shared" si="7"/>
        <v>-51.318950892857124</v>
      </c>
      <c r="AB60" s="173">
        <f t="shared" si="8"/>
        <v>90.64755739795919</v>
      </c>
      <c r="AC60" s="2"/>
      <c r="AD60" s="174">
        <f t="shared" ref="AD60:AD68" si="9">$AD$59+V59</f>
        <v>4</v>
      </c>
      <c r="AE60" s="175">
        <f t="shared" ref="AE60:AF68" si="10">W59</f>
        <v>-102.07022959183672</v>
      </c>
      <c r="AF60" s="176">
        <f t="shared" si="10"/>
        <v>119.40499999999999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">
      <c r="V61" s="139">
        <f>2*$E$4/8</f>
        <v>1.375</v>
      </c>
      <c r="W61" s="140">
        <f t="shared" si="5"/>
        <v>21.066176658163272</v>
      </c>
      <c r="X61" s="170">
        <f t="shared" si="6"/>
        <v>59.702499999999986</v>
      </c>
      <c r="Y61" s="2"/>
      <c r="Z61" s="171">
        <f>2*$F$4/8</f>
        <v>1</v>
      </c>
      <c r="AA61" s="172">
        <f t="shared" si="7"/>
        <v>-11.422672193877546</v>
      </c>
      <c r="AB61" s="173">
        <f t="shared" si="8"/>
        <v>68.937557397959182</v>
      </c>
      <c r="AC61" s="2"/>
      <c r="AD61" s="177">
        <f t="shared" si="9"/>
        <v>4.6875</v>
      </c>
      <c r="AE61" s="140">
        <f t="shared" si="10"/>
        <v>-30.240659279336725</v>
      </c>
      <c r="AF61" s="170">
        <f t="shared" si="10"/>
        <v>89.55374999999998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3*$E$4/8</f>
        <v>2.0625</v>
      </c>
      <c r="W62" s="140">
        <f t="shared" si="5"/>
        <v>51.850278220663256</v>
      </c>
      <c r="X62" s="170">
        <f t="shared" si="6"/>
        <v>29.851249999999979</v>
      </c>
      <c r="Y62" s="2"/>
      <c r="Z62" s="171">
        <f>3*$F$4/8</f>
        <v>1.5</v>
      </c>
      <c r="AA62" s="172">
        <f t="shared" si="7"/>
        <v>17.618606505102065</v>
      </c>
      <c r="AB62" s="173">
        <f t="shared" si="8"/>
        <v>47.227557397959188</v>
      </c>
      <c r="AC62" s="2"/>
      <c r="AD62" s="177">
        <f t="shared" si="9"/>
        <v>5.375</v>
      </c>
      <c r="AE62" s="140">
        <f t="shared" si="10"/>
        <v>21.066176658163272</v>
      </c>
      <c r="AF62" s="170">
        <f t="shared" si="10"/>
        <v>59.702499999999986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4*$E$4/8</f>
        <v>2.75</v>
      </c>
      <c r="W63" s="140">
        <f t="shared" si="5"/>
        <v>62.111645408163213</v>
      </c>
      <c r="X63" s="170">
        <f t="shared" si="6"/>
        <v>0</v>
      </c>
      <c r="Y63" s="2"/>
      <c r="Z63" s="171">
        <f>4*$F$4/8</f>
        <v>2</v>
      </c>
      <c r="AA63" s="172">
        <f t="shared" si="7"/>
        <v>35.804885204081643</v>
      </c>
      <c r="AB63" s="173">
        <f t="shared" si="8"/>
        <v>25.51755739795918</v>
      </c>
      <c r="AC63" s="2"/>
      <c r="AD63" s="177">
        <f t="shared" si="9"/>
        <v>6.0625</v>
      </c>
      <c r="AE63" s="140">
        <f t="shared" si="10"/>
        <v>51.850278220663256</v>
      </c>
      <c r="AF63" s="170">
        <f t="shared" si="10"/>
        <v>29.851249999999979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5*$E$4/8</f>
        <v>3.4375</v>
      </c>
      <c r="W64" s="140">
        <f t="shared" si="5"/>
        <v>51.850278220663256</v>
      </c>
      <c r="X64" s="170">
        <f t="shared" si="6"/>
        <v>-29.851250000000007</v>
      </c>
      <c r="Y64" s="2"/>
      <c r="Z64" s="171">
        <f>5*$F$4/8</f>
        <v>2.5</v>
      </c>
      <c r="AA64" s="172">
        <f t="shared" si="7"/>
        <v>43.136163903061231</v>
      </c>
      <c r="AB64" s="173">
        <f t="shared" si="8"/>
        <v>3.8075573979591724</v>
      </c>
      <c r="AC64" s="2"/>
      <c r="AD64" s="177">
        <f t="shared" si="9"/>
        <v>6.75</v>
      </c>
      <c r="AE64" s="140">
        <f t="shared" si="10"/>
        <v>62.111645408163213</v>
      </c>
      <c r="AF64" s="170">
        <f t="shared" si="10"/>
        <v>0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6*$E$4/8</f>
        <v>4.125</v>
      </c>
      <c r="W65" s="140">
        <f t="shared" si="5"/>
        <v>21.066176658163215</v>
      </c>
      <c r="X65" s="170">
        <f t="shared" si="6"/>
        <v>-59.702500000000029</v>
      </c>
      <c r="Y65" s="2"/>
      <c r="Z65" s="171">
        <f>6*$F$4/8</f>
        <v>3</v>
      </c>
      <c r="AA65" s="172">
        <f t="shared" si="7"/>
        <v>39.612442602040801</v>
      </c>
      <c r="AB65" s="173">
        <f t="shared" si="8"/>
        <v>-17.902442602040807</v>
      </c>
      <c r="AC65" s="2"/>
      <c r="AD65" s="177">
        <f t="shared" si="9"/>
        <v>7.4375</v>
      </c>
      <c r="AE65" s="140">
        <f t="shared" si="10"/>
        <v>51.850278220663256</v>
      </c>
      <c r="AF65" s="170">
        <f t="shared" si="10"/>
        <v>-29.851250000000007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7*$E$4/8</f>
        <v>4.8125</v>
      </c>
      <c r="W66" s="140">
        <f t="shared" si="5"/>
        <v>-30.240659279336796</v>
      </c>
      <c r="X66" s="170">
        <f t="shared" si="6"/>
        <v>-89.553750000000022</v>
      </c>
      <c r="Y66" s="2"/>
      <c r="Z66" s="171">
        <f>7*$F$4/8</f>
        <v>3.5</v>
      </c>
      <c r="AA66" s="172">
        <f t="shared" si="7"/>
        <v>25.23372130102041</v>
      </c>
      <c r="AB66" s="173">
        <f t="shared" si="8"/>
        <v>-39.612442602040815</v>
      </c>
      <c r="AC66" s="2"/>
      <c r="AD66" s="177">
        <f t="shared" si="9"/>
        <v>8.125</v>
      </c>
      <c r="AE66" s="140">
        <f t="shared" si="10"/>
        <v>21.066176658163215</v>
      </c>
      <c r="AF66" s="170">
        <f t="shared" si="10"/>
        <v>-59.702500000000029</v>
      </c>
      <c r="AG66" s="2"/>
      <c r="AH66" s="2"/>
      <c r="AI66" s="2"/>
      <c r="AJ66" s="2"/>
      <c r="AK66" s="2"/>
      <c r="AL66" s="2"/>
      <c r="AM66" s="2"/>
      <c r="AN66" s="22"/>
    </row>
    <row r="67" spans="22:40" ht="12.75" thickBot="1" x14ac:dyDescent="0.25">
      <c r="V67" s="178">
        <f>8*$E$4/8</f>
        <v>5.5</v>
      </c>
      <c r="W67" s="179">
        <f t="shared" si="5"/>
        <v>-102.07022959183678</v>
      </c>
      <c r="X67" s="180">
        <f t="shared" si="6"/>
        <v>-119.40500000000002</v>
      </c>
      <c r="Y67" s="2"/>
      <c r="Z67" s="181">
        <f>8*$F$4/8</f>
        <v>4</v>
      </c>
      <c r="AA67" s="182">
        <f t="shared" si="7"/>
        <v>0</v>
      </c>
      <c r="AB67" s="183">
        <f t="shared" si="8"/>
        <v>-61.322442602040823</v>
      </c>
      <c r="AC67" s="2"/>
      <c r="AD67" s="177">
        <f t="shared" si="9"/>
        <v>8.8125</v>
      </c>
      <c r="AE67" s="140">
        <f t="shared" si="10"/>
        <v>-30.240659279336796</v>
      </c>
      <c r="AF67" s="170">
        <f t="shared" si="10"/>
        <v>-89.553750000000022</v>
      </c>
      <c r="AG67" s="2"/>
      <c r="AH67" s="2"/>
      <c r="AI67" s="2"/>
      <c r="AJ67" s="2"/>
      <c r="AK67" s="2"/>
      <c r="AL67" s="2"/>
      <c r="AM67" s="2"/>
      <c r="AN67" s="22"/>
    </row>
    <row r="68" spans="22:40" ht="12.75" thickBot="1" x14ac:dyDescent="0.25">
      <c r="V68" s="23"/>
      <c r="W68" s="2"/>
      <c r="X68" s="2"/>
      <c r="Y68" s="2"/>
      <c r="Z68" s="2"/>
      <c r="AA68" s="2"/>
      <c r="AB68" s="2"/>
      <c r="AC68" s="2"/>
      <c r="AD68" s="184">
        <f t="shared" si="9"/>
        <v>9.5</v>
      </c>
      <c r="AE68" s="179">
        <f t="shared" si="10"/>
        <v>-102.07022959183678</v>
      </c>
      <c r="AF68" s="180">
        <f t="shared" si="10"/>
        <v>-119.40500000000002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185">
        <f t="shared" ref="AD69:AD77" si="11">$AD$68+Z59</f>
        <v>9.5</v>
      </c>
      <c r="AE69" s="186">
        <f t="shared" ref="AE69:AF77" si="12">AA59</f>
        <v>-102.07022959183672</v>
      </c>
      <c r="AF69" s="187">
        <f t="shared" si="12"/>
        <v>112.35755739795918</v>
      </c>
      <c r="AG69" s="2"/>
      <c r="AH69" s="2"/>
      <c r="AI69" s="2"/>
      <c r="AJ69" s="2"/>
      <c r="AK69" s="2"/>
      <c r="AL69" s="2"/>
      <c r="AM69" s="2"/>
      <c r="AN69" s="22"/>
    </row>
    <row r="70" spans="22:40" ht="12.75" thickBot="1" x14ac:dyDescent="0.25">
      <c r="V70" s="23"/>
      <c r="W70" s="2"/>
      <c r="X70" s="2"/>
      <c r="Y70" s="2"/>
      <c r="Z70" s="2" t="s">
        <v>69</v>
      </c>
      <c r="AA70" s="2"/>
      <c r="AB70" s="2"/>
      <c r="AC70" s="2"/>
      <c r="AD70" s="171">
        <f t="shared" si="11"/>
        <v>10</v>
      </c>
      <c r="AE70" s="172">
        <f t="shared" si="12"/>
        <v>-51.318950892857124</v>
      </c>
      <c r="AF70" s="173">
        <f t="shared" si="12"/>
        <v>90.64755739795919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49"/>
      <c r="W71" s="5"/>
      <c r="X71" s="3"/>
      <c r="Y71" s="2"/>
      <c r="Z71" s="83" t="s">
        <v>2</v>
      </c>
      <c r="AA71" s="84" t="s">
        <v>3</v>
      </c>
      <c r="AB71" s="60" t="s">
        <v>4</v>
      </c>
      <c r="AC71" s="2"/>
      <c r="AD71" s="171">
        <f t="shared" si="11"/>
        <v>10.5</v>
      </c>
      <c r="AE71" s="172">
        <f t="shared" si="12"/>
        <v>-11.422672193877546</v>
      </c>
      <c r="AF71" s="173">
        <f t="shared" si="12"/>
        <v>68.937557397959182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">
      <c r="V72" s="49"/>
      <c r="W72" s="15"/>
      <c r="X72" s="15"/>
      <c r="Y72" s="2"/>
      <c r="Z72" s="61">
        <v>0</v>
      </c>
      <c r="AA72" s="8">
        <f>-$Z$22-$G$7*Z72^2/2+$AC$28*Z72</f>
        <v>0</v>
      </c>
      <c r="AB72" s="87">
        <f>$AC$28-$G$7*Z72</f>
        <v>0</v>
      </c>
      <c r="AC72" s="2"/>
      <c r="AD72" s="171">
        <f t="shared" si="11"/>
        <v>11</v>
      </c>
      <c r="AE72" s="172">
        <f t="shared" si="12"/>
        <v>17.618606505102065</v>
      </c>
      <c r="AF72" s="173">
        <f t="shared" si="12"/>
        <v>47.227557397959188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">
      <c r="V73" s="49"/>
      <c r="W73" s="15"/>
      <c r="X73" s="15"/>
      <c r="Y73" s="2"/>
      <c r="Z73" s="61">
        <f>$G$4/3</f>
        <v>0</v>
      </c>
      <c r="AA73" s="8">
        <f t="shared" ref="AA73:AA75" si="13">-$Z$22-$G$7*Z73^2/2+$AC$28*Z73</f>
        <v>0</v>
      </c>
      <c r="AB73" s="87">
        <f t="shared" ref="AB73:AB75" si="14">$AC$28-$G$7*Z73</f>
        <v>0</v>
      </c>
      <c r="AC73" s="2"/>
      <c r="AD73" s="171">
        <f t="shared" si="11"/>
        <v>11.5</v>
      </c>
      <c r="AE73" s="172">
        <f t="shared" si="12"/>
        <v>35.804885204081643</v>
      </c>
      <c r="AF73" s="173">
        <f t="shared" si="12"/>
        <v>25.51755739795918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">
      <c r="V74" s="49"/>
      <c r="W74" s="15"/>
      <c r="X74" s="15"/>
      <c r="Y74" s="2"/>
      <c r="Z74" s="61">
        <f>2*$G$4/3</f>
        <v>0</v>
      </c>
      <c r="AA74" s="8">
        <f t="shared" si="13"/>
        <v>0</v>
      </c>
      <c r="AB74" s="87">
        <f t="shared" si="14"/>
        <v>0</v>
      </c>
      <c r="AC74" s="2"/>
      <c r="AD74" s="171">
        <f t="shared" si="11"/>
        <v>12</v>
      </c>
      <c r="AE74" s="172">
        <f t="shared" si="12"/>
        <v>43.136163903061231</v>
      </c>
      <c r="AF74" s="173">
        <f t="shared" si="12"/>
        <v>3.8075573979591724</v>
      </c>
      <c r="AG74" s="2"/>
      <c r="AH74" s="2"/>
      <c r="AI74" s="2"/>
      <c r="AJ74" s="2"/>
      <c r="AK74" s="2"/>
      <c r="AL74" s="2"/>
      <c r="AM74" s="2"/>
      <c r="AN74" s="22"/>
    </row>
    <row r="75" spans="22:40" ht="12.75" thickBot="1" x14ac:dyDescent="0.25">
      <c r="V75" s="49"/>
      <c r="W75" s="15"/>
      <c r="X75" s="15"/>
      <c r="Y75" s="2"/>
      <c r="Z75" s="63">
        <f>3*$G$4/3</f>
        <v>0</v>
      </c>
      <c r="AA75" s="88">
        <f t="shared" si="13"/>
        <v>0</v>
      </c>
      <c r="AB75" s="69">
        <f t="shared" si="14"/>
        <v>0</v>
      </c>
      <c r="AC75" s="2"/>
      <c r="AD75" s="171">
        <f t="shared" si="11"/>
        <v>12.5</v>
      </c>
      <c r="AE75" s="172">
        <f t="shared" si="12"/>
        <v>39.612442602040801</v>
      </c>
      <c r="AF75" s="173">
        <f t="shared" si="12"/>
        <v>-17.902442602040807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">
      <c r="V76" s="49"/>
      <c r="W76" s="15"/>
      <c r="X76" s="15"/>
      <c r="Y76" s="2"/>
      <c r="Z76" s="3"/>
      <c r="AA76" s="3"/>
      <c r="AB76" s="3"/>
      <c r="AC76" s="2"/>
      <c r="AD76" s="171">
        <f t="shared" si="11"/>
        <v>13</v>
      </c>
      <c r="AE76" s="172">
        <f t="shared" si="12"/>
        <v>25.23372130102041</v>
      </c>
      <c r="AF76" s="173">
        <f t="shared" si="12"/>
        <v>-39.612442602040815</v>
      </c>
      <c r="AG76" s="2"/>
      <c r="AH76" s="2"/>
      <c r="AI76" s="2"/>
      <c r="AJ76" s="2"/>
      <c r="AK76" s="2"/>
      <c r="AL76" s="2"/>
      <c r="AM76" s="2"/>
      <c r="AN76" s="22"/>
    </row>
    <row r="77" spans="22:40" ht="12.75" thickBot="1" x14ac:dyDescent="0.25">
      <c r="V77" s="49"/>
      <c r="W77" s="15"/>
      <c r="X77" s="15"/>
      <c r="Y77" s="2"/>
      <c r="Z77" s="3"/>
      <c r="AA77" s="3"/>
      <c r="AB77" s="3"/>
      <c r="AC77" s="2"/>
      <c r="AD77" s="181">
        <f t="shared" si="11"/>
        <v>13.5</v>
      </c>
      <c r="AE77" s="182">
        <f t="shared" si="12"/>
        <v>0</v>
      </c>
      <c r="AF77" s="183">
        <f t="shared" si="12"/>
        <v>-61.322442602040823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">
      <c r="V78" s="49"/>
      <c r="W78" s="15"/>
      <c r="X78" s="15"/>
      <c r="Y78" s="2"/>
      <c r="Z78" s="3"/>
      <c r="AA78" s="3"/>
      <c r="AB78" s="3"/>
      <c r="AC78" s="2"/>
      <c r="AD78" s="67">
        <f>$AD$77+Z72</f>
        <v>13.5</v>
      </c>
      <c r="AE78" s="188">
        <f t="shared" ref="AE78:AF81" si="15">AA72</f>
        <v>0</v>
      </c>
      <c r="AF78" s="68">
        <f t="shared" si="15"/>
        <v>0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">
      <c r="V79" s="49"/>
      <c r="W79" s="15"/>
      <c r="X79" s="15"/>
      <c r="Y79" s="2"/>
      <c r="Z79" s="3"/>
      <c r="AA79" s="3"/>
      <c r="AB79" s="3"/>
      <c r="AC79" s="2"/>
      <c r="AD79" s="61">
        <f t="shared" ref="AD79:AD81" si="16">$AD$77+Z73</f>
        <v>13.5</v>
      </c>
      <c r="AE79" s="8">
        <f t="shared" si="15"/>
        <v>0</v>
      </c>
      <c r="AF79" s="87">
        <f t="shared" si="15"/>
        <v>0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">
      <c r="V80" s="49"/>
      <c r="W80" s="15"/>
      <c r="X80" s="15"/>
      <c r="Y80" s="2"/>
      <c r="Z80" s="3"/>
      <c r="AA80" s="3"/>
      <c r="AB80" s="3"/>
      <c r="AC80" s="2"/>
      <c r="AD80" s="61">
        <f t="shared" si="16"/>
        <v>13.5</v>
      </c>
      <c r="AE80" s="8">
        <f t="shared" si="15"/>
        <v>0</v>
      </c>
      <c r="AF80" s="87">
        <f t="shared" si="15"/>
        <v>0</v>
      </c>
      <c r="AG80" s="2"/>
      <c r="AH80" s="2"/>
      <c r="AI80" s="2"/>
      <c r="AJ80" s="2"/>
      <c r="AK80" s="2"/>
      <c r="AL80" s="2"/>
      <c r="AM80" s="2"/>
      <c r="AN80" s="22"/>
    </row>
    <row r="81" spans="5:40" ht="12.75" thickBot="1" x14ac:dyDescent="0.25">
      <c r="V81" s="189"/>
      <c r="W81" s="27"/>
      <c r="X81" s="27"/>
      <c r="Y81" s="27"/>
      <c r="Z81" s="27"/>
      <c r="AA81" s="27"/>
      <c r="AB81" s="27"/>
      <c r="AC81" s="27"/>
      <c r="AD81" s="190">
        <f t="shared" si="16"/>
        <v>13.5</v>
      </c>
      <c r="AE81" s="143">
        <f t="shared" si="15"/>
        <v>0</v>
      </c>
      <c r="AF81" s="191">
        <f t="shared" si="15"/>
        <v>0</v>
      </c>
      <c r="AG81" s="27"/>
      <c r="AH81" s="27"/>
      <c r="AI81" s="27"/>
      <c r="AJ81" s="27"/>
      <c r="AK81" s="27"/>
      <c r="AL81" s="27"/>
      <c r="AM81" s="27"/>
      <c r="AN81" s="28"/>
    </row>
    <row r="82" spans="5:40" ht="12.75" thickTop="1" x14ac:dyDescent="0.2">
      <c r="V82" s="19"/>
      <c r="W82" s="19"/>
      <c r="X82" s="19"/>
      <c r="Y82" s="19"/>
      <c r="Z82" s="19"/>
      <c r="AA82" s="19"/>
      <c r="AB82" s="19"/>
      <c r="AC82" s="19"/>
      <c r="AD82" s="114"/>
      <c r="AE82" s="114"/>
      <c r="AF82" s="114"/>
      <c r="AG82" s="19"/>
      <c r="AH82" s="19"/>
      <c r="AI82" s="19"/>
      <c r="AJ82" s="19"/>
      <c r="AK82" s="19"/>
      <c r="AL82" s="19"/>
      <c r="AM82" s="19"/>
      <c r="AN82" s="19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oglio18"/>
  <dimension ref="A1:AT100"/>
  <sheetViews>
    <sheetView topLeftCell="A8" zoomScale="85" zoomScaleNormal="85" workbookViewId="0">
      <selection activeCell="D21" sqref="D21"/>
    </sheetView>
  </sheetViews>
  <sheetFormatPr defaultColWidth="9.140625" defaultRowHeight="12" x14ac:dyDescent="0.2"/>
  <cols>
    <col min="1" max="3" width="9.140625" style="1"/>
    <col min="4" max="4" width="10.42578125" style="1" bestFit="1" customWidth="1"/>
    <col min="5" max="16384" width="9.140625" style="1"/>
  </cols>
  <sheetData>
    <row r="1" spans="1:40" ht="15.75" customHeight="1" thickBot="1" x14ac:dyDescent="0.25">
      <c r="A1" s="334" t="s">
        <v>28</v>
      </c>
      <c r="B1" s="334"/>
      <c r="C1" s="334"/>
      <c r="D1" s="334"/>
      <c r="E1" s="334"/>
      <c r="F1" s="334"/>
      <c r="G1" s="334"/>
      <c r="H1" s="334"/>
      <c r="I1" s="334"/>
      <c r="J1" s="334"/>
      <c r="K1" s="2"/>
    </row>
    <row r="2" spans="1:40" ht="12.75" thickTop="1" x14ac:dyDescent="0.2">
      <c r="E2" s="12"/>
    </row>
    <row r="3" spans="1:40" ht="13.5" x14ac:dyDescent="0.2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34</v>
      </c>
    </row>
    <row r="4" spans="1:40" x14ac:dyDescent="0.2">
      <c r="C4" s="14">
        <f>'CCC-Trave int1 (P1)'!D15</f>
        <v>0</v>
      </c>
      <c r="D4" s="14">
        <f>'CCC-Trave int1 (P1)'!E15</f>
        <v>4</v>
      </c>
      <c r="E4" s="14">
        <f>'CCC-Trave int1 (P1)'!F15</f>
        <v>5.5</v>
      </c>
      <c r="F4" s="14">
        <f>'CCC-Trave int1 (P1)'!G15</f>
        <v>4</v>
      </c>
      <c r="G4" s="14">
        <f>'CCC-Trave int1 (P1)'!H15</f>
        <v>0</v>
      </c>
    </row>
    <row r="6" spans="1:40" ht="13.5" x14ac:dyDescent="0.2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37</v>
      </c>
    </row>
    <row r="7" spans="1:40" x14ac:dyDescent="0.2">
      <c r="B7" s="1" t="s">
        <v>42</v>
      </c>
      <c r="C7" s="14">
        <f>'CCC-Trave int1 (P1)'!D27</f>
        <v>0</v>
      </c>
      <c r="D7" s="14">
        <f>'CCC-Trave int1 (P1)'!E27</f>
        <v>32.239999999999995</v>
      </c>
      <c r="E7" s="14">
        <f>'CCC-Trave int1 (P1)'!F27</f>
        <v>43.42</v>
      </c>
      <c r="F7" s="14">
        <f>'CCC-Trave int1 (P1)'!G27</f>
        <v>32.239999999999995</v>
      </c>
      <c r="G7" s="14">
        <f>'CCC-Trave int1 (P1)'!H27</f>
        <v>0</v>
      </c>
    </row>
    <row r="8" spans="1:40" x14ac:dyDescent="0.2">
      <c r="C8" s="14"/>
      <c r="D8" s="14"/>
      <c r="E8" s="14"/>
      <c r="F8" s="14"/>
      <c r="G8" s="14"/>
      <c r="H8" s="15"/>
    </row>
    <row r="9" spans="1:40" x14ac:dyDescent="0.2">
      <c r="C9" s="14"/>
      <c r="D9" s="14"/>
      <c r="E9" s="14"/>
      <c r="F9" s="14"/>
      <c r="G9" s="14"/>
      <c r="H9" s="15"/>
    </row>
    <row r="10" spans="1:40" x14ac:dyDescent="0.2">
      <c r="C10" s="14"/>
      <c r="D10" s="14"/>
      <c r="E10" s="14"/>
      <c r="F10" s="14"/>
      <c r="G10" s="14"/>
      <c r="H10" s="15"/>
    </row>
    <row r="11" spans="1:40" x14ac:dyDescent="0.2">
      <c r="C11" s="14"/>
      <c r="D11" s="14"/>
      <c r="E11" s="14"/>
      <c r="F11" s="14"/>
      <c r="G11" s="14"/>
      <c r="H11" s="15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45" t="s">
        <v>31</v>
      </c>
      <c r="B15" s="345"/>
      <c r="C15" s="345"/>
      <c r="D15" s="345"/>
      <c r="E15" s="345"/>
      <c r="F15" s="345"/>
      <c r="G15" s="345"/>
      <c r="H15" s="345"/>
      <c r="I15" s="345"/>
      <c r="J15" s="345"/>
    </row>
    <row r="16" spans="1:40" ht="13.5" thickTop="1" thickBot="1" x14ac:dyDescent="0.25">
      <c r="V16" s="144">
        <f>-(D4/D18+E4/I18)/3</f>
        <v>-23750</v>
      </c>
      <c r="W16" s="145">
        <f>-E4/(6*I18)</f>
        <v>-6875</v>
      </c>
      <c r="X16" s="55"/>
      <c r="Y16" s="19"/>
      <c r="Z16" s="146">
        <f t="array" ref="Z16:AA17">MINVERSE(V16:W17)</f>
        <v>-4.595616024187453E-5</v>
      </c>
      <c r="AA16" s="147">
        <v>1.3303099017384733E-5</v>
      </c>
      <c r="AB16" s="20"/>
      <c r="AC16" s="19"/>
      <c r="AD16" s="19"/>
      <c r="AE16" s="148">
        <f>AB22</f>
        <v>-2902300.78125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4.25" thickBot="1" x14ac:dyDescent="0.3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49">
        <f>-E4/(6*I18)</f>
        <v>-6875</v>
      </c>
      <c r="W17" s="150">
        <f>-(E4/I18+F4/D21)/3</f>
        <v>-23750</v>
      </c>
      <c r="X17" s="5"/>
      <c r="Y17" s="2"/>
      <c r="Z17" s="66">
        <v>1.3303099017384733E-5</v>
      </c>
      <c r="AA17" s="64">
        <v>-4.595616024187453E-5</v>
      </c>
      <c r="AB17" s="3"/>
      <c r="AC17" s="2"/>
      <c r="AD17" s="2"/>
      <c r="AE17" s="151">
        <f>AC22</f>
        <v>-2902300.78125</v>
      </c>
      <c r="AF17" s="2"/>
      <c r="AG17" s="2"/>
      <c r="AH17" s="59">
        <v>0</v>
      </c>
      <c r="AI17" s="60">
        <f>5+MAX('CCC-car.1'!AI17:AI49)</f>
        <v>58.42</v>
      </c>
      <c r="AJ17" s="2"/>
      <c r="AK17" s="67">
        <f>AK55</f>
        <v>0</v>
      </c>
      <c r="AL17" s="6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'CCC-Trave int1 (P1)'!B77</f>
        <v>1</v>
      </c>
      <c r="C18" s="16">
        <f>'CCC-Trave int1 (P1)'!C77</f>
        <v>1.3333333333333334E-4</v>
      </c>
      <c r="D18" s="16">
        <f>B18*C18</f>
        <v>1.3333333333333334E-4</v>
      </c>
      <c r="G18" s="16">
        <f>'CCC-Trave int1 (P1)'!G77</f>
        <v>1</v>
      </c>
      <c r="H18" s="16">
        <f>'CCC-Trave int1 (P1)'!H77</f>
        <v>1.3333333333333334E-4</v>
      </c>
      <c r="I18" s="16">
        <f>G18*H18</f>
        <v>1.3333333333333334E-4</v>
      </c>
      <c r="V18" s="49"/>
      <c r="W18" s="3" t="s">
        <v>95</v>
      </c>
      <c r="X18" s="5"/>
      <c r="Y18" s="2"/>
      <c r="Z18" s="3"/>
      <c r="AA18" s="3" t="s">
        <v>96</v>
      </c>
      <c r="AB18" s="3"/>
      <c r="AC18" s="2"/>
      <c r="AD18" s="2"/>
      <c r="AE18" s="3" t="s">
        <v>97</v>
      </c>
      <c r="AF18" s="2"/>
      <c r="AG18" s="2"/>
      <c r="AH18" s="65">
        <f>C4</f>
        <v>0</v>
      </c>
      <c r="AI18" s="62">
        <f>AI17</f>
        <v>58.42</v>
      </c>
      <c r="AJ18" s="2"/>
      <c r="AK18" s="61">
        <f>AK17</f>
        <v>0</v>
      </c>
      <c r="AL18" s="87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65">
        <f>AH18</f>
        <v>0</v>
      </c>
      <c r="AI19" s="62">
        <f>AI18+C7</f>
        <v>58.42</v>
      </c>
      <c r="AJ19" s="2"/>
      <c r="AK19" s="61">
        <f>AK56</f>
        <v>4</v>
      </c>
      <c r="AL19" s="87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4.25" thickBot="1" x14ac:dyDescent="0.3">
      <c r="A20" s="17" t="s">
        <v>88</v>
      </c>
      <c r="B20" s="16" t="s">
        <v>89</v>
      </c>
      <c r="C20" s="16" t="s">
        <v>90</v>
      </c>
      <c r="D20" s="16" t="s">
        <v>91</v>
      </c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65">
        <v>0</v>
      </c>
      <c r="AI20" s="62">
        <f>AI19</f>
        <v>58.42</v>
      </c>
      <c r="AJ20" s="2"/>
      <c r="AK20" s="61">
        <f>AK19</f>
        <v>4</v>
      </c>
      <c r="AL20" s="87">
        <f>AE59</f>
        <v>-94.769005102040808</v>
      </c>
      <c r="AM20" s="2"/>
      <c r="AN20" s="22"/>
    </row>
    <row r="21" spans="1:46" s="46" customFormat="1" ht="12.75" thickBot="1" x14ac:dyDescent="0.25">
      <c r="A21" s="1"/>
      <c r="B21" s="16">
        <f>'CCC-Trave int1 (P1)'!B80</f>
        <v>1</v>
      </c>
      <c r="C21" s="16">
        <f>'CCC-Trave int1 (P1)'!C80</f>
        <v>1.3333333333333334E-4</v>
      </c>
      <c r="D21" s="16">
        <f>B21*C21</f>
        <v>1.3333333333333334E-4</v>
      </c>
      <c r="F21" s="3"/>
      <c r="G21" s="3"/>
      <c r="H21" s="3"/>
      <c r="I21" s="3"/>
      <c r="V21" s="24" t="s">
        <v>7</v>
      </c>
      <c r="W21" s="152">
        <f t="array" ref="W21:W22">MMULT(matCinv,matN)</f>
        <v>94.769005102040808</v>
      </c>
      <c r="X21" s="2"/>
      <c r="Y21" s="59" t="s">
        <v>12</v>
      </c>
      <c r="Z21" s="60">
        <f>C7*C4^2/2</f>
        <v>0</v>
      </c>
      <c r="AA21" s="2"/>
      <c r="AB21" s="59" t="s">
        <v>79</v>
      </c>
      <c r="AC21" s="60" t="s">
        <v>98</v>
      </c>
      <c r="AD21" s="3"/>
      <c r="AE21" s="2"/>
      <c r="AF21" s="2"/>
      <c r="AG21" s="2"/>
      <c r="AH21" s="66">
        <v>0</v>
      </c>
      <c r="AI21" s="64">
        <f>AI17</f>
        <v>58.42</v>
      </c>
      <c r="AJ21" s="2"/>
      <c r="AK21" s="61">
        <f>AK57</f>
        <v>9.5</v>
      </c>
      <c r="AL21" s="87">
        <v>0</v>
      </c>
      <c r="AM21" s="2"/>
      <c r="AN21" s="22"/>
    </row>
    <row r="22" spans="1:46" ht="12.75" thickBot="1" x14ac:dyDescent="0.25">
      <c r="V22" s="24" t="s">
        <v>80</v>
      </c>
      <c r="W22" s="71">
        <v>94.769005102040808</v>
      </c>
      <c r="X22" s="2"/>
      <c r="Y22" s="66" t="s">
        <v>99</v>
      </c>
      <c r="Z22" s="64">
        <f>G7*G4^2/2</f>
        <v>0</v>
      </c>
      <c r="AA22" s="2"/>
      <c r="AB22" s="153">
        <f>(C7*C4^2/2)*D4/(6*D18)-D7*D4^3/(24*D18)-E7*E4^3/(24*I18)</f>
        <v>-2902300.78125</v>
      </c>
      <c r="AC22" s="154">
        <f>-E7*E4^3/(24*I18)-F7*F4^3/(24*D21)+Z22*F4/(6*D21)</f>
        <v>-2902300.78125</v>
      </c>
      <c r="AD22" s="44"/>
      <c r="AE22" s="2"/>
      <c r="AF22" s="2"/>
      <c r="AG22" s="2"/>
      <c r="AH22" s="2"/>
      <c r="AI22" s="2"/>
      <c r="AJ22" s="2"/>
      <c r="AK22" s="61">
        <f>AK21</f>
        <v>9.5</v>
      </c>
      <c r="AL22" s="87">
        <f>AE68</f>
        <v>-94.769005102040865</v>
      </c>
      <c r="AM22" s="2"/>
      <c r="AN22" s="22"/>
    </row>
    <row r="23" spans="1:46" ht="12.75" thickBot="1" x14ac:dyDescent="0.25">
      <c r="V23" s="24"/>
      <c r="W23" s="3" t="s">
        <v>100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61">
        <f>AK58</f>
        <v>13.5</v>
      </c>
      <c r="AL23" s="87">
        <v>0</v>
      </c>
      <c r="AM23" s="2"/>
      <c r="AN23" s="22"/>
    </row>
    <row r="24" spans="1:46" ht="12.75" thickBot="1" x14ac:dyDescent="0.25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59">
        <f>C4</f>
        <v>0</v>
      </c>
      <c r="AI24" s="60">
        <f>AI17</f>
        <v>58.42</v>
      </c>
      <c r="AJ24" s="2"/>
      <c r="AK24" s="63">
        <f>AK23</f>
        <v>13.5</v>
      </c>
      <c r="AL24" s="69">
        <f>AE77</f>
        <v>0</v>
      </c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61">
        <f>AK56</f>
        <v>4</v>
      </c>
      <c r="AI25" s="62">
        <f>AI24</f>
        <v>58.42</v>
      </c>
      <c r="AJ25" s="2"/>
      <c r="AK25" s="11"/>
      <c r="AL25" s="11"/>
      <c r="AM25" s="2"/>
      <c r="AN25" s="22"/>
    </row>
    <row r="26" spans="1:46" ht="12.75" thickBot="1" x14ac:dyDescent="0.25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61">
        <f>AH25</f>
        <v>4</v>
      </c>
      <c r="AI26" s="62">
        <f>AI25+D7</f>
        <v>90.66</v>
      </c>
      <c r="AJ26" s="3"/>
      <c r="AK26" s="11"/>
      <c r="AL26" s="11"/>
      <c r="AM26" s="2"/>
      <c r="AN26" s="22"/>
    </row>
    <row r="27" spans="1:46" x14ac:dyDescent="0.2">
      <c r="V27" s="98" t="s">
        <v>8</v>
      </c>
      <c r="W27" s="70" t="s">
        <v>9</v>
      </c>
      <c r="X27" s="70" t="s">
        <v>10</v>
      </c>
      <c r="Y27" s="155" t="s">
        <v>11</v>
      </c>
      <c r="Z27" s="70" t="s">
        <v>76</v>
      </c>
      <c r="AA27" s="70" t="s">
        <v>77</v>
      </c>
      <c r="AB27" s="70" t="s">
        <v>92</v>
      </c>
      <c r="AC27" s="70" t="s">
        <v>93</v>
      </c>
      <c r="AD27" s="3"/>
      <c r="AE27" s="3"/>
      <c r="AF27" s="3"/>
      <c r="AG27" s="3"/>
      <c r="AH27" s="65">
        <f>AH24</f>
        <v>0</v>
      </c>
      <c r="AI27" s="62">
        <f>AI26</f>
        <v>90.66</v>
      </c>
      <c r="AJ27" s="3"/>
      <c r="AK27" s="11"/>
      <c r="AL27" s="11"/>
      <c r="AM27" s="2"/>
      <c r="AN27" s="22"/>
    </row>
    <row r="28" spans="1:46" ht="12.75" thickBot="1" x14ac:dyDescent="0.25">
      <c r="V28" s="99">
        <f>C7*C4</f>
        <v>0</v>
      </c>
      <c r="W28" s="71">
        <f>D7*D4-X28</f>
        <v>40.787748724489788</v>
      </c>
      <c r="X28" s="71">
        <f>(W21-Z21+D7*D4^2/2)/D4</f>
        <v>88.172251275510192</v>
      </c>
      <c r="Y28" s="156">
        <f>E7*E4-Z28</f>
        <v>119.40499999999999</v>
      </c>
      <c r="Z28" s="71">
        <f>(W22-W21+E7*E4^2/2)/E4</f>
        <v>119.40500000000002</v>
      </c>
      <c r="AA28" s="71">
        <f>F7*F4-AB28</f>
        <v>88.172251275510192</v>
      </c>
      <c r="AB28" s="71">
        <f>(Z22-W22+F7*F4^2/2)/F4</f>
        <v>40.787748724489788</v>
      </c>
      <c r="AC28" s="71">
        <f>G7*G4</f>
        <v>0</v>
      </c>
      <c r="AD28" s="11"/>
      <c r="AE28" s="11"/>
      <c r="AF28" s="3"/>
      <c r="AG28" s="3"/>
      <c r="AH28" s="66">
        <f>AH24</f>
        <v>0</v>
      </c>
      <c r="AI28" s="64">
        <f>AI24</f>
        <v>58.42</v>
      </c>
      <c r="AJ28" s="3"/>
      <c r="AK28" s="11"/>
      <c r="AL28" s="11"/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ht="12.75" thickBot="1" x14ac:dyDescent="0.25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ht="12.75" thickBot="1" x14ac:dyDescent="0.25">
      <c r="V31" s="23"/>
      <c r="W31" s="2"/>
      <c r="X31" s="59" t="s">
        <v>0</v>
      </c>
      <c r="Y31" s="94" t="s">
        <v>1</v>
      </c>
      <c r="Z31" s="94" t="s">
        <v>78</v>
      </c>
      <c r="AA31" s="60" t="s">
        <v>94</v>
      </c>
      <c r="AB31" s="3"/>
      <c r="AC31" s="2"/>
      <c r="AD31" s="2"/>
      <c r="AE31" s="2"/>
      <c r="AF31" s="2"/>
      <c r="AG31" s="2"/>
      <c r="AH31" s="67">
        <f>AK56</f>
        <v>4</v>
      </c>
      <c r="AI31" s="60">
        <f>AI17</f>
        <v>58.42</v>
      </c>
      <c r="AJ31" s="2"/>
      <c r="AK31" s="2" t="s">
        <v>21</v>
      </c>
      <c r="AL31" s="2"/>
      <c r="AM31" s="2"/>
      <c r="AN31" s="22"/>
    </row>
    <row r="32" spans="1:46" ht="12.75" thickBot="1" x14ac:dyDescent="0.25">
      <c r="V32" s="23"/>
      <c r="W32" s="2"/>
      <c r="X32" s="63">
        <f>V28+W28</f>
        <v>40.787748724489788</v>
      </c>
      <c r="Y32" s="88">
        <f>X28+Y28</f>
        <v>207.57725127551018</v>
      </c>
      <c r="Z32" s="88">
        <f>Z28+AA28</f>
        <v>207.57725127551021</v>
      </c>
      <c r="AA32" s="69">
        <f>AB28+AC28</f>
        <v>40.787748724489788</v>
      </c>
      <c r="AB32" s="11"/>
      <c r="AC32" s="2"/>
      <c r="AD32" s="2"/>
      <c r="AE32" s="2"/>
      <c r="AF32" s="2"/>
      <c r="AG32" s="2"/>
      <c r="AH32" s="61">
        <f>AK57</f>
        <v>9.5</v>
      </c>
      <c r="AI32" s="62">
        <f>AI31</f>
        <v>58.42</v>
      </c>
      <c r="AJ32" s="2"/>
      <c r="AK32" s="155" t="s">
        <v>22</v>
      </c>
      <c r="AL32" s="94" t="s">
        <v>25</v>
      </c>
      <c r="AM32" s="94" t="s">
        <v>2</v>
      </c>
      <c r="AN32" s="100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61">
        <f>AH32</f>
        <v>9.5</v>
      </c>
      <c r="AI33" s="62">
        <f>AI32+E7</f>
        <v>101.84</v>
      </c>
      <c r="AJ33" s="2"/>
      <c r="AK33" s="157" t="s">
        <v>23</v>
      </c>
      <c r="AL33" s="8">
        <f>W28/D7</f>
        <v>1.2651286825213957</v>
      </c>
      <c r="AM33" s="8">
        <f>C4+AL33</f>
        <v>1.2651286825213957</v>
      </c>
      <c r="AN33" s="129">
        <f>W28*AL33-D7*AL33^2/2+AE50</f>
        <v>25.800875403413752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61">
        <f>AH31</f>
        <v>4</v>
      </c>
      <c r="AI34" s="62">
        <f>AI33</f>
        <v>101.84</v>
      </c>
      <c r="AJ34" s="2"/>
      <c r="AK34" s="158" t="s">
        <v>82</v>
      </c>
      <c r="AL34" s="8">
        <f>Y28/E7</f>
        <v>2.7499999999999996</v>
      </c>
      <c r="AM34" s="8">
        <f>C4+D4+AL34</f>
        <v>6.75</v>
      </c>
      <c r="AN34" s="129">
        <f>Y28*AL34-E7*AL34^2/2+AE59</f>
        <v>69.412869897959155</v>
      </c>
    </row>
    <row r="35" spans="22:40" ht="12.75" thickBot="1" x14ac:dyDescent="0.25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63">
        <f>AH31</f>
        <v>4</v>
      </c>
      <c r="AI35" s="64">
        <f>AI31</f>
        <v>58.42</v>
      </c>
      <c r="AJ35" s="2"/>
      <c r="AK35" s="159" t="s">
        <v>101</v>
      </c>
      <c r="AL35" s="88">
        <f>AA28/F7</f>
        <v>2.7348713174786043</v>
      </c>
      <c r="AM35" s="88">
        <f>C4+D4+E4+AL35</f>
        <v>12.234871317478603</v>
      </c>
      <c r="AN35" s="101">
        <f>AA28*AL35-F7*AL35^2/2+AE68</f>
        <v>25.80087540341367</v>
      </c>
    </row>
    <row r="36" spans="22:40" x14ac:dyDescent="0.2">
      <c r="V36" s="102">
        <f>AK55</f>
        <v>0</v>
      </c>
      <c r="W36" s="73">
        <v>0</v>
      </c>
      <c r="X36" s="2"/>
      <c r="Y36" s="72">
        <f>AK56</f>
        <v>4</v>
      </c>
      <c r="Z36" s="73">
        <v>0</v>
      </c>
      <c r="AA36" s="2"/>
      <c r="AB36" s="72">
        <f>AK57</f>
        <v>9.5</v>
      </c>
      <c r="AC36" s="73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ht="12.75" thickBot="1" x14ac:dyDescent="0.25">
      <c r="V37" s="103">
        <f>V36</f>
        <v>0</v>
      </c>
      <c r="W37" s="75">
        <f>X32</f>
        <v>40.787748724489788</v>
      </c>
      <c r="X37" s="2"/>
      <c r="Y37" s="74">
        <f>Y36</f>
        <v>4</v>
      </c>
      <c r="Z37" s="75">
        <f>Y32</f>
        <v>207.57725127551018</v>
      </c>
      <c r="AA37" s="2"/>
      <c r="AB37" s="74">
        <f>AB36</f>
        <v>9.5</v>
      </c>
      <c r="AC37" s="75">
        <f>Z32</f>
        <v>207.57725127551021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67">
        <f>AK57</f>
        <v>9.5</v>
      </c>
      <c r="AI38" s="60">
        <f>AI17</f>
        <v>58.42</v>
      </c>
      <c r="AJ38" s="3"/>
      <c r="AK38" s="3"/>
      <c r="AL38" s="3"/>
      <c r="AM38" s="3"/>
      <c r="AN38" s="25"/>
    </row>
    <row r="39" spans="22:40" ht="12.75" thickBot="1" x14ac:dyDescent="0.25">
      <c r="V39" s="23" t="s">
        <v>103</v>
      </c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61">
        <f>AK58</f>
        <v>13.5</v>
      </c>
      <c r="AI39" s="62">
        <f>AI38</f>
        <v>58.42</v>
      </c>
      <c r="AJ39" s="3"/>
      <c r="AK39" s="2" t="s">
        <v>27</v>
      </c>
      <c r="AL39" s="2"/>
      <c r="AM39" s="3"/>
      <c r="AN39" s="25"/>
    </row>
    <row r="40" spans="22:40" x14ac:dyDescent="0.2">
      <c r="V40" s="102">
        <f>AK58</f>
        <v>13.5</v>
      </c>
      <c r="W40" s="73">
        <v>0</v>
      </c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61">
        <f>AH39</f>
        <v>13.5</v>
      </c>
      <c r="AI40" s="62">
        <f>AI39+F7</f>
        <v>90.66</v>
      </c>
      <c r="AJ40" s="2"/>
      <c r="AK40" s="67">
        <f>AM33</f>
        <v>1.2651286825213957</v>
      </c>
      <c r="AL40" s="60">
        <v>0</v>
      </c>
      <c r="AM40" s="2"/>
      <c r="AN40" s="22"/>
    </row>
    <row r="41" spans="22:40" ht="12.75" thickBot="1" x14ac:dyDescent="0.25">
      <c r="V41" s="103">
        <f>V40</f>
        <v>13.5</v>
      </c>
      <c r="W41" s="75">
        <f>AA32</f>
        <v>40.787748724489788</v>
      </c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61">
        <f>AH38</f>
        <v>9.5</v>
      </c>
      <c r="AI41" s="62">
        <f>AI40</f>
        <v>90.66</v>
      </c>
      <c r="AJ41" s="2"/>
      <c r="AK41" s="61">
        <f>AK40</f>
        <v>1.2651286825213957</v>
      </c>
      <c r="AL41" s="87">
        <f>AN33</f>
        <v>25.800875403413752</v>
      </c>
      <c r="AM41" s="2"/>
      <c r="AN41" s="22"/>
    </row>
    <row r="42" spans="22:40" ht="12.75" thickBot="1" x14ac:dyDescent="0.25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63">
        <f>AH38</f>
        <v>9.5</v>
      </c>
      <c r="AI42" s="64">
        <f>AI38</f>
        <v>58.42</v>
      </c>
      <c r="AJ42" s="2"/>
      <c r="AK42" s="61">
        <f>AM34</f>
        <v>6.75</v>
      </c>
      <c r="AL42" s="62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61">
        <f>AK42</f>
        <v>6.75</v>
      </c>
      <c r="AL43" s="87">
        <f>AN34</f>
        <v>69.412869897959155</v>
      </c>
      <c r="AM43" s="2"/>
      <c r="AN43" s="22"/>
    </row>
    <row r="44" spans="22:40" ht="12.75" thickBot="1" x14ac:dyDescent="0.25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18</v>
      </c>
      <c r="AI44" s="3"/>
      <c r="AJ44" s="2"/>
      <c r="AK44" s="61">
        <f>AM35</f>
        <v>12.234871317478603</v>
      </c>
      <c r="AL44" s="62">
        <v>0</v>
      </c>
      <c r="AM44" s="2"/>
      <c r="AN44" s="22"/>
    </row>
    <row r="45" spans="22:40" ht="12.75" thickBot="1" x14ac:dyDescent="0.25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67">
        <f>AK58</f>
        <v>13.5</v>
      </c>
      <c r="AI45" s="60">
        <f>AI17</f>
        <v>58.42</v>
      </c>
      <c r="AJ45" s="2"/>
      <c r="AK45" s="63">
        <f>AK44</f>
        <v>12.234871317478603</v>
      </c>
      <c r="AL45" s="69">
        <f>AN35</f>
        <v>25.80087540341367</v>
      </c>
      <c r="AM45" s="2"/>
      <c r="AN45" s="22"/>
    </row>
    <row r="46" spans="22:40" ht="12.75" thickBot="1" x14ac:dyDescent="0.25">
      <c r="V46" s="104" t="s">
        <v>2</v>
      </c>
      <c r="W46" s="76" t="s">
        <v>3</v>
      </c>
      <c r="X46" s="77" t="s">
        <v>4</v>
      </c>
      <c r="Y46" s="2"/>
      <c r="Z46" s="83" t="s">
        <v>2</v>
      </c>
      <c r="AA46" s="84" t="s">
        <v>3</v>
      </c>
      <c r="AB46" s="60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61">
        <f>AK59</f>
        <v>13.5</v>
      </c>
      <c r="AI46" s="62">
        <f>AI45</f>
        <v>58.42</v>
      </c>
      <c r="AJ46" s="2"/>
      <c r="AK46" s="11"/>
      <c r="AL46" s="3"/>
      <c r="AM46" s="2"/>
      <c r="AN46" s="22"/>
    </row>
    <row r="47" spans="22:40" x14ac:dyDescent="0.2">
      <c r="V47" s="26">
        <v>0</v>
      </c>
      <c r="W47" s="7">
        <f>-$C$7*V47^2/2</f>
        <v>0</v>
      </c>
      <c r="X47" s="79">
        <f>-$C$7*V47</f>
        <v>0</v>
      </c>
      <c r="Y47" s="2"/>
      <c r="Z47" s="85">
        <v>0</v>
      </c>
      <c r="AA47" s="10">
        <f t="shared" ref="AA47:AA55" si="0">-$Z$21-$D$7*Z47^2/2+$W$28*Z47</f>
        <v>0</v>
      </c>
      <c r="AB47" s="86">
        <f t="shared" ref="AB47:AB55" si="1">-$D$7*Z47+$W$28</f>
        <v>40.787748724489788</v>
      </c>
      <c r="AC47" s="2"/>
      <c r="AD47" s="160">
        <f t="shared" ref="AD47:AF50" si="2">V47</f>
        <v>0</v>
      </c>
      <c r="AE47" s="161">
        <f t="shared" si="2"/>
        <v>0</v>
      </c>
      <c r="AF47" s="162">
        <f t="shared" si="2"/>
        <v>0</v>
      </c>
      <c r="AG47" s="2"/>
      <c r="AH47" s="61">
        <f>AH46</f>
        <v>13.5</v>
      </c>
      <c r="AI47" s="62">
        <f>AI46+G7</f>
        <v>58.42</v>
      </c>
      <c r="AJ47" s="2"/>
      <c r="AK47" s="11"/>
      <c r="AL47" s="11"/>
      <c r="AM47" s="2"/>
      <c r="AN47" s="22"/>
    </row>
    <row r="48" spans="22:40" x14ac:dyDescent="0.2">
      <c r="V48" s="26">
        <f>$C$4/3</f>
        <v>0</v>
      </c>
      <c r="W48" s="7">
        <f>-$C$7*V48^2/2</f>
        <v>0</v>
      </c>
      <c r="X48" s="79">
        <f>-$C$7*V48</f>
        <v>0</v>
      </c>
      <c r="Y48" s="2"/>
      <c r="Z48" s="85">
        <f>$D$4/8</f>
        <v>0.5</v>
      </c>
      <c r="AA48" s="10">
        <f t="shared" si="0"/>
        <v>16.363874362244893</v>
      </c>
      <c r="AB48" s="86">
        <f t="shared" si="1"/>
        <v>24.66774872448979</v>
      </c>
      <c r="AC48" s="2"/>
      <c r="AD48" s="78">
        <f t="shared" si="2"/>
        <v>0</v>
      </c>
      <c r="AE48" s="7">
        <f t="shared" si="2"/>
        <v>0</v>
      </c>
      <c r="AF48" s="79">
        <f t="shared" si="2"/>
        <v>0</v>
      </c>
      <c r="AG48" s="2"/>
      <c r="AH48" s="61">
        <f>AH45</f>
        <v>13.5</v>
      </c>
      <c r="AI48" s="62">
        <f>AI47</f>
        <v>58.42</v>
      </c>
      <c r="AJ48" s="2"/>
      <c r="AK48" s="2"/>
      <c r="AL48" s="2"/>
      <c r="AM48" s="2"/>
      <c r="AN48" s="22"/>
    </row>
    <row r="49" spans="13:40" ht="12.75" thickBot="1" x14ac:dyDescent="0.25">
      <c r="V49" s="26">
        <f>2*$C$4/3</f>
        <v>0</v>
      </c>
      <c r="W49" s="7">
        <f>-$C$7*V49^2/2</f>
        <v>0</v>
      </c>
      <c r="X49" s="79">
        <f>-$C$7*V49</f>
        <v>0</v>
      </c>
      <c r="Y49" s="2"/>
      <c r="Z49" s="85">
        <f>2*$D$4/8</f>
        <v>1</v>
      </c>
      <c r="AA49" s="10">
        <f t="shared" si="0"/>
        <v>24.66774872448979</v>
      </c>
      <c r="AB49" s="86">
        <f t="shared" si="1"/>
        <v>8.5477487244897929</v>
      </c>
      <c r="AC49" s="2"/>
      <c r="AD49" s="78">
        <f t="shared" si="2"/>
        <v>0</v>
      </c>
      <c r="AE49" s="7">
        <f t="shared" si="2"/>
        <v>0</v>
      </c>
      <c r="AF49" s="79">
        <f t="shared" si="2"/>
        <v>0</v>
      </c>
      <c r="AG49" s="2"/>
      <c r="AH49" s="63">
        <f>AH45</f>
        <v>13.5</v>
      </c>
      <c r="AI49" s="64">
        <f>AI45</f>
        <v>58.42</v>
      </c>
      <c r="AJ49" s="2"/>
      <c r="AK49" s="2"/>
      <c r="AL49" s="2"/>
      <c r="AM49" s="2"/>
      <c r="AN49" s="22"/>
    </row>
    <row r="50" spans="13:40" ht="12.75" thickBot="1" x14ac:dyDescent="0.25">
      <c r="V50" s="105">
        <f>3*$C$4/3</f>
        <v>0</v>
      </c>
      <c r="W50" s="80">
        <f>-$C$7*V50^2/2</f>
        <v>0</v>
      </c>
      <c r="X50" s="81">
        <f>-$C$7*V50</f>
        <v>0</v>
      </c>
      <c r="Y50" s="2"/>
      <c r="Z50" s="85">
        <f>3*$D$4/8</f>
        <v>1.5</v>
      </c>
      <c r="AA50" s="10">
        <f t="shared" si="0"/>
        <v>24.911623086734686</v>
      </c>
      <c r="AB50" s="86">
        <f t="shared" si="1"/>
        <v>-7.5722512755102045</v>
      </c>
      <c r="AC50" s="2"/>
      <c r="AD50" s="163">
        <f t="shared" si="2"/>
        <v>0</v>
      </c>
      <c r="AE50" s="80">
        <f t="shared" si="2"/>
        <v>0</v>
      </c>
      <c r="AF50" s="81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24"/>
      <c r="W51" s="3"/>
      <c r="X51" s="3"/>
      <c r="Y51" s="2"/>
      <c r="Z51" s="85">
        <f>4*$D$4/8</f>
        <v>2</v>
      </c>
      <c r="AA51" s="10">
        <f t="shared" si="0"/>
        <v>17.095497448979586</v>
      </c>
      <c r="AB51" s="86">
        <f t="shared" si="1"/>
        <v>-23.692251275510202</v>
      </c>
      <c r="AC51" s="2"/>
      <c r="AD51" s="164">
        <f t="shared" ref="AD51:AD59" si="3">$AD$50+Z47</f>
        <v>0</v>
      </c>
      <c r="AE51" s="165">
        <f t="shared" ref="AE51:AF59" si="4">AA47</f>
        <v>0</v>
      </c>
      <c r="AF51" s="166">
        <f t="shared" si="4"/>
        <v>40.787748724489788</v>
      </c>
      <c r="AG51" s="2"/>
      <c r="AH51" s="2"/>
      <c r="AI51" s="2"/>
      <c r="AJ51" s="2"/>
      <c r="AK51" s="2"/>
      <c r="AL51" s="2"/>
      <c r="AM51" s="2"/>
      <c r="AN51" s="22"/>
    </row>
    <row r="52" spans="13:40" ht="12.75" thickBot="1" x14ac:dyDescent="0.25">
      <c r="V52" s="24"/>
      <c r="W52" s="3"/>
      <c r="X52" s="3"/>
      <c r="Y52" s="2"/>
      <c r="Z52" s="85">
        <f>5*$D$4/8</f>
        <v>2.5</v>
      </c>
      <c r="AA52" s="10">
        <f t="shared" si="0"/>
        <v>1.2193718112244909</v>
      </c>
      <c r="AB52" s="86">
        <f t="shared" si="1"/>
        <v>-39.812251275510206</v>
      </c>
      <c r="AC52" s="3"/>
      <c r="AD52" s="85">
        <f t="shared" si="3"/>
        <v>0.5</v>
      </c>
      <c r="AE52" s="10">
        <f t="shared" si="4"/>
        <v>16.363874362244893</v>
      </c>
      <c r="AF52" s="86">
        <f t="shared" si="4"/>
        <v>24.66774872448979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85">
        <f>6*$D$4/8</f>
        <v>3</v>
      </c>
      <c r="AA53" s="10">
        <f t="shared" si="0"/>
        <v>-22.716753826530621</v>
      </c>
      <c r="AB53" s="86">
        <f t="shared" si="1"/>
        <v>-55.932251275510197</v>
      </c>
      <c r="AC53" s="3"/>
      <c r="AD53" s="85">
        <f t="shared" si="3"/>
        <v>1</v>
      </c>
      <c r="AE53" s="10">
        <f t="shared" si="4"/>
        <v>24.66774872448979</v>
      </c>
      <c r="AF53" s="86">
        <f t="shared" si="4"/>
        <v>8.5477487244897929</v>
      </c>
      <c r="AG53" s="2"/>
      <c r="AH53" s="2"/>
      <c r="AI53" s="2"/>
      <c r="AJ53" s="2"/>
      <c r="AK53" s="59" t="s">
        <v>2</v>
      </c>
      <c r="AL53" s="60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85">
        <f>7*$D$4/8</f>
        <v>3.5</v>
      </c>
      <c r="AA54" s="10">
        <f t="shared" si="0"/>
        <v>-54.71287946428572</v>
      </c>
      <c r="AB54" s="86">
        <f t="shared" si="1"/>
        <v>-72.052251275510187</v>
      </c>
      <c r="AC54" s="2"/>
      <c r="AD54" s="85">
        <f t="shared" si="3"/>
        <v>1.5</v>
      </c>
      <c r="AE54" s="10">
        <f t="shared" si="4"/>
        <v>24.911623086734686</v>
      </c>
      <c r="AF54" s="86">
        <f t="shared" si="4"/>
        <v>-7.5722512755102045</v>
      </c>
      <c r="AG54" s="2"/>
      <c r="AH54" s="2"/>
      <c r="AI54" s="2"/>
      <c r="AJ54" s="2"/>
      <c r="AK54" s="61">
        <v>0</v>
      </c>
      <c r="AL54" s="62">
        <v>0</v>
      </c>
      <c r="AM54" s="2"/>
      <c r="AN54" s="22"/>
    </row>
    <row r="55" spans="13:40" ht="12.75" thickBot="1" x14ac:dyDescent="0.25">
      <c r="M55" s="2"/>
      <c r="N55" s="2"/>
      <c r="V55" s="24"/>
      <c r="W55" s="3"/>
      <c r="X55" s="3"/>
      <c r="Y55" s="2"/>
      <c r="Z55" s="167">
        <f>8*$D$4/8</f>
        <v>4</v>
      </c>
      <c r="AA55" s="168">
        <f t="shared" si="0"/>
        <v>-94.769005102040808</v>
      </c>
      <c r="AB55" s="169">
        <f t="shared" si="1"/>
        <v>-88.172251275510192</v>
      </c>
      <c r="AC55" s="2"/>
      <c r="AD55" s="85">
        <f t="shared" si="3"/>
        <v>2</v>
      </c>
      <c r="AE55" s="10">
        <f t="shared" si="4"/>
        <v>17.095497448979586</v>
      </c>
      <c r="AF55" s="86">
        <f t="shared" si="4"/>
        <v>-23.692251275510202</v>
      </c>
      <c r="AG55" s="2"/>
      <c r="AH55" s="2"/>
      <c r="AI55" s="2"/>
      <c r="AJ55" s="2"/>
      <c r="AK55" s="61">
        <f>C4</f>
        <v>0</v>
      </c>
      <c r="AL55" s="62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85">
        <f t="shared" si="3"/>
        <v>2.5</v>
      </c>
      <c r="AE56" s="10">
        <f t="shared" si="4"/>
        <v>1.2193718112244909</v>
      </c>
      <c r="AF56" s="86">
        <f t="shared" si="4"/>
        <v>-39.812251275510206</v>
      </c>
      <c r="AG56" s="2"/>
      <c r="AH56" s="2"/>
      <c r="AI56" s="2"/>
      <c r="AJ56" s="2"/>
      <c r="AK56" s="61">
        <f>AK55+D4</f>
        <v>4</v>
      </c>
      <c r="AL56" s="62">
        <v>0</v>
      </c>
      <c r="AM56" s="2"/>
      <c r="AN56" s="22"/>
    </row>
    <row r="57" spans="13:40" ht="12.75" thickBot="1" x14ac:dyDescent="0.25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85">
        <f t="shared" si="3"/>
        <v>3</v>
      </c>
      <c r="AE57" s="10">
        <f t="shared" si="4"/>
        <v>-22.716753826530621</v>
      </c>
      <c r="AF57" s="86">
        <f t="shared" si="4"/>
        <v>-55.932251275510197</v>
      </c>
      <c r="AG57" s="2"/>
      <c r="AH57" s="2"/>
      <c r="AI57" s="2"/>
      <c r="AJ57" s="2"/>
      <c r="AK57" s="61">
        <f>AK56+E4</f>
        <v>9.5</v>
      </c>
      <c r="AL57" s="62">
        <v>0</v>
      </c>
      <c r="AM57" s="2"/>
      <c r="AN57" s="22"/>
    </row>
    <row r="58" spans="13:40" x14ac:dyDescent="0.2">
      <c r="V58" s="106" t="s">
        <v>2</v>
      </c>
      <c r="W58" s="84" t="s">
        <v>3</v>
      </c>
      <c r="X58" s="60" t="s">
        <v>4</v>
      </c>
      <c r="Y58" s="2"/>
      <c r="Z58" s="83" t="s">
        <v>2</v>
      </c>
      <c r="AA58" s="84" t="s">
        <v>3</v>
      </c>
      <c r="AB58" s="60" t="s">
        <v>4</v>
      </c>
      <c r="AC58" s="2"/>
      <c r="AD58" s="85">
        <f t="shared" si="3"/>
        <v>3.5</v>
      </c>
      <c r="AE58" s="10">
        <f t="shared" si="4"/>
        <v>-54.71287946428572</v>
      </c>
      <c r="AF58" s="86">
        <f t="shared" si="4"/>
        <v>-72.052251275510187</v>
      </c>
      <c r="AG58" s="2"/>
      <c r="AH58" s="2"/>
      <c r="AI58" s="2"/>
      <c r="AJ58" s="2"/>
      <c r="AK58" s="61">
        <f>AK57+F4</f>
        <v>13.5</v>
      </c>
      <c r="AL58" s="62">
        <v>0</v>
      </c>
      <c r="AM58" s="2"/>
      <c r="AN58" s="22"/>
    </row>
    <row r="59" spans="13:40" ht="12.75" thickBot="1" x14ac:dyDescent="0.25">
      <c r="V59" s="139">
        <v>0</v>
      </c>
      <c r="W59" s="140">
        <f t="shared" ref="W59:W67" si="5">-$W$21-$E$7*V59^2/2+$Y$28*V59</f>
        <v>-94.769005102040808</v>
      </c>
      <c r="X59" s="170">
        <f t="shared" ref="X59:X67" si="6">-$E$7*V59+$Y$28</f>
        <v>119.40499999999999</v>
      </c>
      <c r="Y59" s="2"/>
      <c r="Z59" s="171">
        <v>0</v>
      </c>
      <c r="AA59" s="172">
        <f t="shared" ref="AA59:AA67" si="7">-$W$22-$F$7*Z59^2/2+$AA$28*Z59</f>
        <v>-94.769005102040808</v>
      </c>
      <c r="AB59" s="173">
        <f t="shared" ref="AB59:AB67" si="8">-$F$7*Z59+$AA$28</f>
        <v>88.172251275510192</v>
      </c>
      <c r="AC59" s="2"/>
      <c r="AD59" s="167">
        <f t="shared" si="3"/>
        <v>4</v>
      </c>
      <c r="AE59" s="168">
        <f t="shared" si="4"/>
        <v>-94.769005102040808</v>
      </c>
      <c r="AF59" s="169">
        <f t="shared" si="4"/>
        <v>-88.172251275510192</v>
      </c>
      <c r="AG59" s="2"/>
      <c r="AH59" s="2"/>
      <c r="AI59" s="2"/>
      <c r="AJ59" s="2"/>
      <c r="AK59" s="63">
        <f>AK58+G4</f>
        <v>13.5</v>
      </c>
      <c r="AL59" s="64">
        <v>0</v>
      </c>
      <c r="AM59" s="2"/>
      <c r="AN59" s="22"/>
    </row>
    <row r="60" spans="13:40" x14ac:dyDescent="0.2">
      <c r="V60" s="139">
        <f>$E$4/8</f>
        <v>0.6875</v>
      </c>
      <c r="W60" s="140">
        <f t="shared" si="5"/>
        <v>-22.939434789540812</v>
      </c>
      <c r="X60" s="170">
        <f t="shared" si="6"/>
        <v>89.55374999999998</v>
      </c>
      <c r="Y60" s="2"/>
      <c r="Z60" s="171">
        <f>$F$4/8</f>
        <v>0.5</v>
      </c>
      <c r="AA60" s="172">
        <f t="shared" si="7"/>
        <v>-54.712879464285713</v>
      </c>
      <c r="AB60" s="173">
        <f t="shared" si="8"/>
        <v>72.052251275510201</v>
      </c>
      <c r="AC60" s="2"/>
      <c r="AD60" s="174">
        <f t="shared" ref="AD60:AD68" si="9">$AD$59+V59</f>
        <v>4</v>
      </c>
      <c r="AE60" s="175">
        <f t="shared" ref="AE60:AF68" si="10">W59</f>
        <v>-94.769005102040808</v>
      </c>
      <c r="AF60" s="176">
        <f t="shared" si="10"/>
        <v>119.40499999999999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">
      <c r="V61" s="139">
        <f>2*$E$4/8</f>
        <v>1.375</v>
      </c>
      <c r="W61" s="140">
        <f t="shared" si="5"/>
        <v>28.367401147959185</v>
      </c>
      <c r="X61" s="170">
        <f t="shared" si="6"/>
        <v>59.702499999999986</v>
      </c>
      <c r="Y61" s="2"/>
      <c r="Z61" s="171">
        <f>2*$F$4/8</f>
        <v>1</v>
      </c>
      <c r="AA61" s="172">
        <f t="shared" si="7"/>
        <v>-22.716753826530621</v>
      </c>
      <c r="AB61" s="173">
        <f t="shared" si="8"/>
        <v>55.932251275510197</v>
      </c>
      <c r="AC61" s="2"/>
      <c r="AD61" s="177">
        <f t="shared" si="9"/>
        <v>4.6875</v>
      </c>
      <c r="AE61" s="140">
        <f t="shared" si="10"/>
        <v>-22.939434789540812</v>
      </c>
      <c r="AF61" s="170">
        <f t="shared" si="10"/>
        <v>89.55374999999998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3*$E$4/8</f>
        <v>2.0625</v>
      </c>
      <c r="W62" s="140">
        <f t="shared" si="5"/>
        <v>59.15150271045917</v>
      </c>
      <c r="X62" s="170">
        <f t="shared" si="6"/>
        <v>29.851249999999979</v>
      </c>
      <c r="Y62" s="2"/>
      <c r="Z62" s="171">
        <f>3*$F$4/8</f>
        <v>1.5</v>
      </c>
      <c r="AA62" s="172">
        <f t="shared" si="7"/>
        <v>1.2193718112245051</v>
      </c>
      <c r="AB62" s="173">
        <f t="shared" si="8"/>
        <v>39.812251275510199</v>
      </c>
      <c r="AC62" s="2"/>
      <c r="AD62" s="177">
        <f t="shared" si="9"/>
        <v>5.375</v>
      </c>
      <c r="AE62" s="140">
        <f t="shared" si="10"/>
        <v>28.367401147959185</v>
      </c>
      <c r="AF62" s="170">
        <f t="shared" si="10"/>
        <v>59.702499999999986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4*$E$4/8</f>
        <v>2.75</v>
      </c>
      <c r="W63" s="140">
        <f t="shared" si="5"/>
        <v>69.412869897959126</v>
      </c>
      <c r="X63" s="170">
        <f t="shared" si="6"/>
        <v>0</v>
      </c>
      <c r="Y63" s="2"/>
      <c r="Z63" s="171">
        <f>4*$F$4/8</f>
        <v>2</v>
      </c>
      <c r="AA63" s="172">
        <f t="shared" si="7"/>
        <v>17.095497448979586</v>
      </c>
      <c r="AB63" s="173">
        <f t="shared" si="8"/>
        <v>23.692251275510202</v>
      </c>
      <c r="AC63" s="2"/>
      <c r="AD63" s="177">
        <f t="shared" si="9"/>
        <v>6.0625</v>
      </c>
      <c r="AE63" s="140">
        <f t="shared" si="10"/>
        <v>59.15150271045917</v>
      </c>
      <c r="AF63" s="170">
        <f t="shared" si="10"/>
        <v>29.851249999999979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5*$E$4/8</f>
        <v>3.4375</v>
      </c>
      <c r="W64" s="140">
        <f t="shared" si="5"/>
        <v>59.15150271045917</v>
      </c>
      <c r="X64" s="170">
        <f t="shared" si="6"/>
        <v>-29.851250000000007</v>
      </c>
      <c r="Y64" s="2"/>
      <c r="Z64" s="171">
        <f>5*$F$4/8</f>
        <v>2.5</v>
      </c>
      <c r="AA64" s="172">
        <f t="shared" si="7"/>
        <v>24.911623086734664</v>
      </c>
      <c r="AB64" s="173">
        <f t="shared" si="8"/>
        <v>7.5722512755101974</v>
      </c>
      <c r="AC64" s="2"/>
      <c r="AD64" s="177">
        <f t="shared" si="9"/>
        <v>6.75</v>
      </c>
      <c r="AE64" s="140">
        <f t="shared" si="10"/>
        <v>69.412869897959126</v>
      </c>
      <c r="AF64" s="170">
        <f t="shared" si="10"/>
        <v>0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6*$E$4/8</f>
        <v>4.125</v>
      </c>
      <c r="W65" s="140">
        <f t="shared" si="5"/>
        <v>28.367401147959129</v>
      </c>
      <c r="X65" s="170">
        <f t="shared" si="6"/>
        <v>-59.702500000000029</v>
      </c>
      <c r="Y65" s="2"/>
      <c r="Z65" s="171">
        <f>6*$F$4/8</f>
        <v>3</v>
      </c>
      <c r="AA65" s="172">
        <f t="shared" si="7"/>
        <v>24.667748724489797</v>
      </c>
      <c r="AB65" s="173">
        <f t="shared" si="8"/>
        <v>-8.5477487244897929</v>
      </c>
      <c r="AC65" s="2"/>
      <c r="AD65" s="177">
        <f t="shared" si="9"/>
        <v>7.4375</v>
      </c>
      <c r="AE65" s="140">
        <f t="shared" si="10"/>
        <v>59.15150271045917</v>
      </c>
      <c r="AF65" s="170">
        <f t="shared" si="10"/>
        <v>-29.851250000000007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7*$E$4/8</f>
        <v>4.8125</v>
      </c>
      <c r="W66" s="140">
        <f t="shared" si="5"/>
        <v>-22.939434789540883</v>
      </c>
      <c r="X66" s="170">
        <f t="shared" si="6"/>
        <v>-89.553750000000022</v>
      </c>
      <c r="Y66" s="2"/>
      <c r="Z66" s="171">
        <f>7*$F$4/8</f>
        <v>3.5</v>
      </c>
      <c r="AA66" s="172">
        <f t="shared" si="7"/>
        <v>16.363874362244871</v>
      </c>
      <c r="AB66" s="173">
        <f t="shared" si="8"/>
        <v>-24.667748724489783</v>
      </c>
      <c r="AC66" s="2"/>
      <c r="AD66" s="177">
        <f t="shared" si="9"/>
        <v>8.125</v>
      </c>
      <c r="AE66" s="140">
        <f t="shared" si="10"/>
        <v>28.367401147959129</v>
      </c>
      <c r="AF66" s="170">
        <f t="shared" si="10"/>
        <v>-59.702500000000029</v>
      </c>
      <c r="AG66" s="2"/>
      <c r="AH66" s="2"/>
      <c r="AI66" s="2"/>
      <c r="AJ66" s="2"/>
      <c r="AK66" s="2"/>
      <c r="AL66" s="2"/>
      <c r="AM66" s="2"/>
      <c r="AN66" s="22"/>
    </row>
    <row r="67" spans="22:40" ht="12.75" thickBot="1" x14ac:dyDescent="0.25">
      <c r="V67" s="178">
        <f>8*$E$4/8</f>
        <v>5.5</v>
      </c>
      <c r="W67" s="179">
        <f t="shared" si="5"/>
        <v>-94.769005102040865</v>
      </c>
      <c r="X67" s="180">
        <f t="shared" si="6"/>
        <v>-119.40500000000002</v>
      </c>
      <c r="Y67" s="2"/>
      <c r="Z67" s="181">
        <f>8*$F$4/8</f>
        <v>4</v>
      </c>
      <c r="AA67" s="182">
        <f t="shared" si="7"/>
        <v>0</v>
      </c>
      <c r="AB67" s="183">
        <f t="shared" si="8"/>
        <v>-40.787748724489788</v>
      </c>
      <c r="AC67" s="2"/>
      <c r="AD67" s="177">
        <f t="shared" si="9"/>
        <v>8.8125</v>
      </c>
      <c r="AE67" s="140">
        <f t="shared" si="10"/>
        <v>-22.939434789540883</v>
      </c>
      <c r="AF67" s="170">
        <f t="shared" si="10"/>
        <v>-89.553750000000022</v>
      </c>
      <c r="AG67" s="2"/>
      <c r="AH67" s="2"/>
      <c r="AI67" s="2"/>
      <c r="AJ67" s="2"/>
      <c r="AK67" s="2"/>
      <c r="AL67" s="2"/>
      <c r="AM67" s="2"/>
      <c r="AN67" s="22"/>
    </row>
    <row r="68" spans="22:40" ht="12.75" thickBot="1" x14ac:dyDescent="0.25">
      <c r="V68" s="23"/>
      <c r="W68" s="2"/>
      <c r="X68" s="2"/>
      <c r="Y68" s="2"/>
      <c r="Z68" s="2"/>
      <c r="AA68" s="2"/>
      <c r="AB68" s="2"/>
      <c r="AC68" s="2"/>
      <c r="AD68" s="184">
        <f t="shared" si="9"/>
        <v>9.5</v>
      </c>
      <c r="AE68" s="179">
        <f t="shared" si="10"/>
        <v>-94.769005102040865</v>
      </c>
      <c r="AF68" s="180">
        <f t="shared" si="10"/>
        <v>-119.40500000000002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185">
        <f t="shared" ref="AD69:AD77" si="11">$AD$68+Z59</f>
        <v>9.5</v>
      </c>
      <c r="AE69" s="186">
        <f t="shared" ref="AE69:AF77" si="12">AA59</f>
        <v>-94.769005102040808</v>
      </c>
      <c r="AF69" s="187">
        <f t="shared" si="12"/>
        <v>88.172251275510192</v>
      </c>
      <c r="AG69" s="2"/>
      <c r="AH69" s="2"/>
      <c r="AI69" s="2"/>
      <c r="AJ69" s="2"/>
      <c r="AK69" s="2"/>
      <c r="AL69" s="2"/>
      <c r="AM69" s="2"/>
      <c r="AN69" s="22"/>
    </row>
    <row r="70" spans="22:40" ht="12.75" thickBot="1" x14ac:dyDescent="0.25">
      <c r="V70" s="23"/>
      <c r="W70" s="2"/>
      <c r="X70" s="2"/>
      <c r="Y70" s="2"/>
      <c r="Z70" s="2" t="s">
        <v>69</v>
      </c>
      <c r="AA70" s="2"/>
      <c r="AB70" s="2"/>
      <c r="AC70" s="2"/>
      <c r="AD70" s="171">
        <f t="shared" si="11"/>
        <v>10</v>
      </c>
      <c r="AE70" s="172">
        <f t="shared" si="12"/>
        <v>-54.712879464285713</v>
      </c>
      <c r="AF70" s="173">
        <f t="shared" si="12"/>
        <v>72.052251275510201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49"/>
      <c r="W71" s="5"/>
      <c r="X71" s="3"/>
      <c r="Y71" s="2"/>
      <c r="Z71" s="83" t="s">
        <v>2</v>
      </c>
      <c r="AA71" s="84" t="s">
        <v>3</v>
      </c>
      <c r="AB71" s="60" t="s">
        <v>4</v>
      </c>
      <c r="AC71" s="2"/>
      <c r="AD71" s="171">
        <f t="shared" si="11"/>
        <v>10.5</v>
      </c>
      <c r="AE71" s="172">
        <f t="shared" si="12"/>
        <v>-22.716753826530621</v>
      </c>
      <c r="AF71" s="173">
        <f t="shared" si="12"/>
        <v>55.932251275510197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">
      <c r="V72" s="49"/>
      <c r="W72" s="15"/>
      <c r="X72" s="15"/>
      <c r="Y72" s="2"/>
      <c r="Z72" s="61">
        <v>0</v>
      </c>
      <c r="AA72" s="8">
        <f>-$Z$22-$G$7*Z72^2/2+$AC$28*Z72</f>
        <v>0</v>
      </c>
      <c r="AB72" s="87">
        <f>$AC$28-$G$7*Z72</f>
        <v>0</v>
      </c>
      <c r="AC72" s="2"/>
      <c r="AD72" s="171">
        <f t="shared" si="11"/>
        <v>11</v>
      </c>
      <c r="AE72" s="172">
        <f t="shared" si="12"/>
        <v>1.2193718112245051</v>
      </c>
      <c r="AF72" s="173">
        <f t="shared" si="12"/>
        <v>39.812251275510199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">
      <c r="V73" s="49"/>
      <c r="W73" s="15"/>
      <c r="X73" s="15"/>
      <c r="Y73" s="2"/>
      <c r="Z73" s="61">
        <f>$G$4/3</f>
        <v>0</v>
      </c>
      <c r="AA73" s="8">
        <f t="shared" ref="AA73:AA75" si="13">-$Z$22-$G$7*Z73^2/2+$AC$28*Z73</f>
        <v>0</v>
      </c>
      <c r="AB73" s="87">
        <f t="shared" ref="AB73:AB75" si="14">$AC$28-$G$7*Z73</f>
        <v>0</v>
      </c>
      <c r="AC73" s="2"/>
      <c r="AD73" s="171">
        <f t="shared" si="11"/>
        <v>11.5</v>
      </c>
      <c r="AE73" s="172">
        <f t="shared" si="12"/>
        <v>17.095497448979586</v>
      </c>
      <c r="AF73" s="173">
        <f t="shared" si="12"/>
        <v>23.692251275510202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">
      <c r="V74" s="49"/>
      <c r="W74" s="15"/>
      <c r="X74" s="15"/>
      <c r="Y74" s="2"/>
      <c r="Z74" s="61">
        <f>2*$G$4/3</f>
        <v>0</v>
      </c>
      <c r="AA74" s="8">
        <f t="shared" si="13"/>
        <v>0</v>
      </c>
      <c r="AB74" s="87">
        <f t="shared" si="14"/>
        <v>0</v>
      </c>
      <c r="AC74" s="2"/>
      <c r="AD74" s="171">
        <f t="shared" si="11"/>
        <v>12</v>
      </c>
      <c r="AE74" s="172">
        <f t="shared" si="12"/>
        <v>24.911623086734664</v>
      </c>
      <c r="AF74" s="173">
        <f t="shared" si="12"/>
        <v>7.5722512755101974</v>
      </c>
      <c r="AG74" s="2"/>
      <c r="AH74" s="2"/>
      <c r="AI74" s="2"/>
      <c r="AJ74" s="2"/>
      <c r="AK74" s="2"/>
      <c r="AL74" s="2"/>
      <c r="AM74" s="2"/>
      <c r="AN74" s="22"/>
    </row>
    <row r="75" spans="22:40" ht="12.75" thickBot="1" x14ac:dyDescent="0.25">
      <c r="V75" s="49"/>
      <c r="W75" s="15"/>
      <c r="X75" s="15"/>
      <c r="Y75" s="2"/>
      <c r="Z75" s="63">
        <f>3*$G$4/3</f>
        <v>0</v>
      </c>
      <c r="AA75" s="88">
        <f t="shared" si="13"/>
        <v>0</v>
      </c>
      <c r="AB75" s="69">
        <f t="shared" si="14"/>
        <v>0</v>
      </c>
      <c r="AC75" s="2"/>
      <c r="AD75" s="171">
        <f t="shared" si="11"/>
        <v>12.5</v>
      </c>
      <c r="AE75" s="172">
        <f t="shared" si="12"/>
        <v>24.667748724489797</v>
      </c>
      <c r="AF75" s="173">
        <f t="shared" si="12"/>
        <v>-8.5477487244897929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">
      <c r="V76" s="49"/>
      <c r="W76" s="15"/>
      <c r="X76" s="15"/>
      <c r="Y76" s="2"/>
      <c r="Z76" s="3"/>
      <c r="AA76" s="3"/>
      <c r="AB76" s="3"/>
      <c r="AC76" s="2"/>
      <c r="AD76" s="171">
        <f t="shared" si="11"/>
        <v>13</v>
      </c>
      <c r="AE76" s="172">
        <f t="shared" si="12"/>
        <v>16.363874362244871</v>
      </c>
      <c r="AF76" s="173">
        <f t="shared" si="12"/>
        <v>-24.667748724489783</v>
      </c>
      <c r="AG76" s="2"/>
      <c r="AH76" s="2"/>
      <c r="AI76" s="2"/>
      <c r="AJ76" s="2"/>
      <c r="AK76" s="2"/>
      <c r="AL76" s="2"/>
      <c r="AM76" s="2"/>
      <c r="AN76" s="22"/>
    </row>
    <row r="77" spans="22:40" ht="12.75" thickBot="1" x14ac:dyDescent="0.25">
      <c r="V77" s="49"/>
      <c r="W77" s="15"/>
      <c r="X77" s="15"/>
      <c r="Y77" s="2"/>
      <c r="Z77" s="3"/>
      <c r="AA77" s="3"/>
      <c r="AB77" s="3"/>
      <c r="AC77" s="2"/>
      <c r="AD77" s="181">
        <f t="shared" si="11"/>
        <v>13.5</v>
      </c>
      <c r="AE77" s="182">
        <f t="shared" si="12"/>
        <v>0</v>
      </c>
      <c r="AF77" s="183">
        <f t="shared" si="12"/>
        <v>-40.787748724489788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">
      <c r="V78" s="49"/>
      <c r="W78" s="15"/>
      <c r="X78" s="15"/>
      <c r="Y78" s="2"/>
      <c r="Z78" s="3"/>
      <c r="AA78" s="3"/>
      <c r="AB78" s="3"/>
      <c r="AC78" s="2"/>
      <c r="AD78" s="67">
        <f>$AD$77+Z72</f>
        <v>13.5</v>
      </c>
      <c r="AE78" s="188">
        <f t="shared" ref="AE78:AF81" si="15">AA72</f>
        <v>0</v>
      </c>
      <c r="AF78" s="68">
        <f t="shared" si="15"/>
        <v>0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">
      <c r="V79" s="49"/>
      <c r="W79" s="15"/>
      <c r="X79" s="15"/>
      <c r="Y79" s="2"/>
      <c r="Z79" s="3"/>
      <c r="AA79" s="3"/>
      <c r="AB79" s="3"/>
      <c r="AC79" s="2"/>
      <c r="AD79" s="61">
        <f t="shared" ref="AD79:AD81" si="16">$AD$77+Z73</f>
        <v>13.5</v>
      </c>
      <c r="AE79" s="8">
        <f t="shared" si="15"/>
        <v>0</v>
      </c>
      <c r="AF79" s="87">
        <f t="shared" si="15"/>
        <v>0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">
      <c r="V80" s="49"/>
      <c r="W80" s="15"/>
      <c r="X80" s="15"/>
      <c r="Y80" s="2"/>
      <c r="Z80" s="3"/>
      <c r="AA80" s="3"/>
      <c r="AB80" s="3"/>
      <c r="AC80" s="2"/>
      <c r="AD80" s="61">
        <f t="shared" si="16"/>
        <v>13.5</v>
      </c>
      <c r="AE80" s="8">
        <f t="shared" si="15"/>
        <v>0</v>
      </c>
      <c r="AF80" s="87">
        <f t="shared" si="15"/>
        <v>0</v>
      </c>
      <c r="AG80" s="2"/>
      <c r="AH80" s="2"/>
      <c r="AI80" s="2"/>
      <c r="AJ80" s="2"/>
      <c r="AK80" s="2"/>
      <c r="AL80" s="2"/>
      <c r="AM80" s="2"/>
      <c r="AN80" s="22"/>
    </row>
    <row r="81" spans="5:40" ht="12.75" thickBot="1" x14ac:dyDescent="0.25">
      <c r="V81" s="189"/>
      <c r="W81" s="27"/>
      <c r="X81" s="27"/>
      <c r="Y81" s="27"/>
      <c r="Z81" s="27"/>
      <c r="AA81" s="27"/>
      <c r="AB81" s="27"/>
      <c r="AC81" s="27"/>
      <c r="AD81" s="190">
        <f t="shared" si="16"/>
        <v>13.5</v>
      </c>
      <c r="AE81" s="143">
        <f t="shared" si="15"/>
        <v>0</v>
      </c>
      <c r="AF81" s="191">
        <f t="shared" si="15"/>
        <v>0</v>
      </c>
      <c r="AG81" s="27"/>
      <c r="AH81" s="27"/>
      <c r="AI81" s="27"/>
      <c r="AJ81" s="27"/>
      <c r="AK81" s="27"/>
      <c r="AL81" s="27"/>
      <c r="AM81" s="27"/>
      <c r="AN81" s="28"/>
    </row>
    <row r="82" spans="5:40" ht="12.75" thickTop="1" x14ac:dyDescent="0.2">
      <c r="V82" s="19"/>
      <c r="W82" s="19"/>
      <c r="X82" s="19"/>
      <c r="Y82" s="19"/>
      <c r="Z82" s="19"/>
      <c r="AA82" s="19"/>
      <c r="AB82" s="19"/>
      <c r="AC82" s="19"/>
      <c r="AD82" s="114"/>
      <c r="AE82" s="114"/>
      <c r="AF82" s="114"/>
      <c r="AG82" s="19"/>
      <c r="AH82" s="19"/>
      <c r="AI82" s="19"/>
      <c r="AJ82" s="19"/>
      <c r="AK82" s="19"/>
      <c r="AL82" s="19"/>
      <c r="AM82" s="19"/>
      <c r="AN82" s="19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oglio19"/>
  <dimension ref="A1:AT100"/>
  <sheetViews>
    <sheetView topLeftCell="A4" zoomScale="85" zoomScaleNormal="85" workbookViewId="0">
      <selection activeCell="D22" sqref="D22"/>
    </sheetView>
  </sheetViews>
  <sheetFormatPr defaultColWidth="9.140625" defaultRowHeight="12" x14ac:dyDescent="0.2"/>
  <cols>
    <col min="1" max="3" width="9.140625" style="1"/>
    <col min="4" max="4" width="10.42578125" style="1" bestFit="1" customWidth="1"/>
    <col min="5" max="16384" width="9.140625" style="1"/>
  </cols>
  <sheetData>
    <row r="1" spans="1:40" ht="15.75" customHeight="1" thickBot="1" x14ac:dyDescent="0.25">
      <c r="A1" s="334" t="s">
        <v>28</v>
      </c>
      <c r="B1" s="334"/>
      <c r="C1" s="334"/>
      <c r="D1" s="334"/>
      <c r="E1" s="334"/>
      <c r="F1" s="334"/>
      <c r="G1" s="334"/>
      <c r="H1" s="334"/>
      <c r="I1" s="334"/>
      <c r="J1" s="334"/>
      <c r="K1" s="2"/>
    </row>
    <row r="2" spans="1:40" ht="12.75" thickTop="1" x14ac:dyDescent="0.2">
      <c r="E2" s="12"/>
    </row>
    <row r="3" spans="1:40" ht="13.5" x14ac:dyDescent="0.2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34</v>
      </c>
    </row>
    <row r="4" spans="1:40" x14ac:dyDescent="0.2">
      <c r="C4" s="14">
        <f>'CCC-Trave int1 (P1)'!D15</f>
        <v>0</v>
      </c>
      <c r="D4" s="14">
        <f>'CCC-Trave int1 (P1)'!E15</f>
        <v>4</v>
      </c>
      <c r="E4" s="14">
        <f>'CCC-Trave int1 (P1)'!F15</f>
        <v>5.5</v>
      </c>
      <c r="F4" s="14">
        <f>'CCC-Trave int1 (P1)'!G15</f>
        <v>4</v>
      </c>
      <c r="G4" s="14">
        <f>'CCC-Trave int1 (P1)'!H15</f>
        <v>0</v>
      </c>
    </row>
    <row r="6" spans="1:40" ht="13.5" x14ac:dyDescent="0.2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37</v>
      </c>
    </row>
    <row r="7" spans="1:40" x14ac:dyDescent="0.2">
      <c r="B7" s="1" t="s">
        <v>42</v>
      </c>
      <c r="C7" s="14">
        <f>'CCC-Trave int1 (P1)'!D28</f>
        <v>0</v>
      </c>
      <c r="D7" s="14">
        <f>'CCC-Trave int1 (P1)'!E28</f>
        <v>43.42</v>
      </c>
      <c r="E7" s="14">
        <f>'CCC-Trave int1 (P1)'!F28</f>
        <v>32.239999999999995</v>
      </c>
      <c r="F7" s="14">
        <f>'CCC-Trave int1 (P1)'!G28</f>
        <v>43.42</v>
      </c>
      <c r="G7" s="14">
        <f>'CCC-Trave int1 (P1)'!H28</f>
        <v>0</v>
      </c>
    </row>
    <row r="8" spans="1:40" x14ac:dyDescent="0.2">
      <c r="C8" s="14"/>
      <c r="D8" s="14"/>
      <c r="E8" s="14"/>
      <c r="F8" s="14"/>
      <c r="G8" s="14"/>
      <c r="H8" s="15"/>
    </row>
    <row r="9" spans="1:40" x14ac:dyDescent="0.2">
      <c r="C9" s="14"/>
      <c r="D9" s="14"/>
      <c r="E9" s="14"/>
      <c r="F9" s="14"/>
      <c r="G9" s="14"/>
      <c r="H9" s="15"/>
    </row>
    <row r="10" spans="1:40" x14ac:dyDescent="0.2">
      <c r="C10" s="14"/>
      <c r="D10" s="14"/>
      <c r="E10" s="14"/>
      <c r="F10" s="14"/>
      <c r="G10" s="14"/>
      <c r="H10" s="15"/>
    </row>
    <row r="11" spans="1:40" x14ac:dyDescent="0.2">
      <c r="C11" s="14"/>
      <c r="D11" s="14"/>
      <c r="E11" s="14"/>
      <c r="F11" s="14"/>
      <c r="G11" s="14"/>
      <c r="H11" s="15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45" t="s">
        <v>31</v>
      </c>
      <c r="B15" s="345"/>
      <c r="C15" s="345"/>
      <c r="D15" s="345"/>
      <c r="E15" s="345"/>
      <c r="F15" s="345"/>
      <c r="G15" s="345"/>
      <c r="H15" s="345"/>
      <c r="I15" s="345"/>
      <c r="J15" s="345"/>
    </row>
    <row r="16" spans="1:40" ht="13.5" thickTop="1" thickBot="1" x14ac:dyDescent="0.25">
      <c r="V16" s="144">
        <f>-(D4/D18+E4/I18)/3</f>
        <v>-23750</v>
      </c>
      <c r="W16" s="145">
        <f>-E4/(6*I18)</f>
        <v>-6875</v>
      </c>
      <c r="X16" s="55"/>
      <c r="Y16" s="19"/>
      <c r="Z16" s="146">
        <f t="array" ref="Z16:AA17">MINVERSE(V16:W17)</f>
        <v>-4.595616024187453E-5</v>
      </c>
      <c r="AA16" s="147">
        <v>1.3303099017384733E-5</v>
      </c>
      <c r="AB16" s="20"/>
      <c r="AC16" s="19"/>
      <c r="AD16" s="19"/>
      <c r="AE16" s="148">
        <f>AB22</f>
        <v>-2544628.125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4.25" thickBot="1" x14ac:dyDescent="0.3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49">
        <f>-E4/(6*I18)</f>
        <v>-6875</v>
      </c>
      <c r="W17" s="150">
        <f>-(E4/I18+F4/D21)/3</f>
        <v>-23750</v>
      </c>
      <c r="X17" s="5"/>
      <c r="Y17" s="2"/>
      <c r="Z17" s="66">
        <v>1.3303099017384733E-5</v>
      </c>
      <c r="AA17" s="64">
        <v>-4.595616024187453E-5</v>
      </c>
      <c r="AB17" s="3"/>
      <c r="AC17" s="2"/>
      <c r="AD17" s="2"/>
      <c r="AE17" s="151">
        <f>AC22</f>
        <v>-2544628.125</v>
      </c>
      <c r="AF17" s="2"/>
      <c r="AG17" s="2"/>
      <c r="AH17" s="59">
        <v>0</v>
      </c>
      <c r="AI17" s="60">
        <f>5+MAX('CCC-car.2'!AI17:AI49)</f>
        <v>106.84</v>
      </c>
      <c r="AJ17" s="2"/>
      <c r="AK17" s="67">
        <f>AK55</f>
        <v>0</v>
      </c>
      <c r="AL17" s="6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'CCC-Trave int1 (P1)'!B77</f>
        <v>1</v>
      </c>
      <c r="C18" s="16">
        <f>'CCC-Trave int1 (P1)'!C77</f>
        <v>1.3333333333333334E-4</v>
      </c>
      <c r="D18" s="16">
        <f>B18*C18</f>
        <v>1.3333333333333334E-4</v>
      </c>
      <c r="G18" s="16">
        <f>'CCC-Trave int1 (P1)'!G77</f>
        <v>1</v>
      </c>
      <c r="H18" s="16">
        <f>'CCC-Trave int1 (P1)'!H77</f>
        <v>1.3333333333333334E-4</v>
      </c>
      <c r="I18" s="16">
        <f>G18*H18</f>
        <v>1.3333333333333334E-4</v>
      </c>
      <c r="V18" s="49"/>
      <c r="W18" s="3" t="s">
        <v>95</v>
      </c>
      <c r="X18" s="5"/>
      <c r="Y18" s="2"/>
      <c r="Z18" s="3"/>
      <c r="AA18" s="3" t="s">
        <v>96</v>
      </c>
      <c r="AB18" s="3"/>
      <c r="AC18" s="2"/>
      <c r="AD18" s="2"/>
      <c r="AE18" s="3" t="s">
        <v>97</v>
      </c>
      <c r="AF18" s="2"/>
      <c r="AG18" s="2"/>
      <c r="AH18" s="65">
        <f>C4</f>
        <v>0</v>
      </c>
      <c r="AI18" s="62">
        <f>AI17</f>
        <v>106.84</v>
      </c>
      <c r="AJ18" s="2"/>
      <c r="AK18" s="61">
        <f>AK17</f>
        <v>0</v>
      </c>
      <c r="AL18" s="87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65">
        <f>AH18</f>
        <v>0</v>
      </c>
      <c r="AI19" s="62">
        <f>AI18+C7</f>
        <v>106.84</v>
      </c>
      <c r="AJ19" s="2"/>
      <c r="AK19" s="61">
        <f>AK56</f>
        <v>4</v>
      </c>
      <c r="AL19" s="87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4.25" thickBot="1" x14ac:dyDescent="0.3">
      <c r="A20" s="17" t="s">
        <v>88</v>
      </c>
      <c r="B20" s="16" t="s">
        <v>89</v>
      </c>
      <c r="C20" s="16" t="s">
        <v>90</v>
      </c>
      <c r="D20" s="16" t="s">
        <v>91</v>
      </c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65">
        <v>0</v>
      </c>
      <c r="AI20" s="62">
        <f>AI19</f>
        <v>106.84</v>
      </c>
      <c r="AJ20" s="2"/>
      <c r="AK20" s="61">
        <f>AK19</f>
        <v>4</v>
      </c>
      <c r="AL20" s="87">
        <f>AE59</f>
        <v>-83.089897959183645</v>
      </c>
      <c r="AM20" s="2"/>
      <c r="AN20" s="22"/>
    </row>
    <row r="21" spans="1:46" s="46" customFormat="1" ht="12.75" thickBot="1" x14ac:dyDescent="0.25">
      <c r="A21" s="1"/>
      <c r="B21" s="16">
        <f>'CCC-Trave int1 (P1)'!B80</f>
        <v>1</v>
      </c>
      <c r="C21" s="16">
        <f>'CCC-Trave int1 (P1)'!C80</f>
        <v>1.3333333333333334E-4</v>
      </c>
      <c r="D21" s="16">
        <f>B21*C21</f>
        <v>1.3333333333333334E-4</v>
      </c>
      <c r="F21" s="3"/>
      <c r="G21" s="3"/>
      <c r="H21" s="3"/>
      <c r="I21" s="3"/>
      <c r="V21" s="24" t="s">
        <v>7</v>
      </c>
      <c r="W21" s="152">
        <f t="array" ref="W21:W22">MMULT(matCinv,matN)</f>
        <v>83.089897959183673</v>
      </c>
      <c r="X21" s="2"/>
      <c r="Y21" s="59" t="s">
        <v>12</v>
      </c>
      <c r="Z21" s="60">
        <f>C7*C4^2/2</f>
        <v>0</v>
      </c>
      <c r="AA21" s="2"/>
      <c r="AB21" s="59" t="s">
        <v>79</v>
      </c>
      <c r="AC21" s="60" t="s">
        <v>98</v>
      </c>
      <c r="AD21" s="3"/>
      <c r="AE21" s="2"/>
      <c r="AF21" s="2"/>
      <c r="AG21" s="2"/>
      <c r="AH21" s="66">
        <v>0</v>
      </c>
      <c r="AI21" s="64">
        <f>AI17</f>
        <v>106.84</v>
      </c>
      <c r="AJ21" s="2"/>
      <c r="AK21" s="61">
        <f>AK57</f>
        <v>9.5</v>
      </c>
      <c r="AL21" s="87">
        <v>0</v>
      </c>
      <c r="AM21" s="2"/>
      <c r="AN21" s="22"/>
    </row>
    <row r="22" spans="1:46" ht="12.75" thickBot="1" x14ac:dyDescent="0.25">
      <c r="V22" s="24" t="s">
        <v>80</v>
      </c>
      <c r="W22" s="71">
        <v>83.089897959183673</v>
      </c>
      <c r="X22" s="2"/>
      <c r="Y22" s="66" t="s">
        <v>99</v>
      </c>
      <c r="Z22" s="64">
        <f>G7*G4^2/2</f>
        <v>0</v>
      </c>
      <c r="AA22" s="2"/>
      <c r="AB22" s="153">
        <f>(C7*C4^2/2)*D4/(6*D18)-D7*D4^3/(24*D18)-E7*E4^3/(24*I18)</f>
        <v>-2544628.125</v>
      </c>
      <c r="AC22" s="154">
        <f>-E7*E4^3/(24*I18)-F7*F4^3/(24*D21)+Z22*F4/(6*D21)</f>
        <v>-2544628.125</v>
      </c>
      <c r="AD22" s="44"/>
      <c r="AE22" s="2"/>
      <c r="AF22" s="2"/>
      <c r="AG22" s="2"/>
      <c r="AH22" s="2"/>
      <c r="AI22" s="2"/>
      <c r="AJ22" s="2"/>
      <c r="AK22" s="61">
        <f>AK21</f>
        <v>9.5</v>
      </c>
      <c r="AL22" s="87">
        <f>AE68</f>
        <v>-83.089897959183759</v>
      </c>
      <c r="AM22" s="2"/>
      <c r="AN22" s="22"/>
    </row>
    <row r="23" spans="1:46" ht="12.75" thickBot="1" x14ac:dyDescent="0.25">
      <c r="V23" s="24"/>
      <c r="W23" s="3" t="s">
        <v>100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61">
        <f>AK58</f>
        <v>13.5</v>
      </c>
      <c r="AL23" s="87">
        <v>0</v>
      </c>
      <c r="AM23" s="2"/>
      <c r="AN23" s="22"/>
    </row>
    <row r="24" spans="1:46" ht="12.75" thickBot="1" x14ac:dyDescent="0.25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59">
        <f>C4</f>
        <v>0</v>
      </c>
      <c r="AI24" s="60">
        <f>AI17</f>
        <v>106.84</v>
      </c>
      <c r="AJ24" s="2"/>
      <c r="AK24" s="63">
        <f>AK23</f>
        <v>13.5</v>
      </c>
      <c r="AL24" s="69">
        <f>AE77</f>
        <v>0</v>
      </c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61">
        <f>AK56</f>
        <v>4</v>
      </c>
      <c r="AI25" s="62">
        <f>AI24</f>
        <v>106.84</v>
      </c>
      <c r="AJ25" s="2"/>
      <c r="AK25" s="11"/>
      <c r="AL25" s="11"/>
      <c r="AM25" s="2"/>
      <c r="AN25" s="22"/>
    </row>
    <row r="26" spans="1:46" ht="12.75" thickBot="1" x14ac:dyDescent="0.25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61">
        <f>AH25</f>
        <v>4</v>
      </c>
      <c r="AI26" s="62">
        <f>AI25+D7</f>
        <v>150.26</v>
      </c>
      <c r="AJ26" s="3"/>
      <c r="AK26" s="11"/>
      <c r="AL26" s="11"/>
      <c r="AM26" s="2"/>
      <c r="AN26" s="22"/>
    </row>
    <row r="27" spans="1:46" x14ac:dyDescent="0.2">
      <c r="V27" s="98" t="s">
        <v>8</v>
      </c>
      <c r="W27" s="70" t="s">
        <v>9</v>
      </c>
      <c r="X27" s="70" t="s">
        <v>10</v>
      </c>
      <c r="Y27" s="155" t="s">
        <v>11</v>
      </c>
      <c r="Z27" s="70" t="s">
        <v>76</v>
      </c>
      <c r="AA27" s="70" t="s">
        <v>77</v>
      </c>
      <c r="AB27" s="70" t="s">
        <v>92</v>
      </c>
      <c r="AC27" s="70" t="s">
        <v>93</v>
      </c>
      <c r="AD27" s="3"/>
      <c r="AE27" s="3"/>
      <c r="AF27" s="3"/>
      <c r="AG27" s="3"/>
      <c r="AH27" s="65">
        <f>AH24</f>
        <v>0</v>
      </c>
      <c r="AI27" s="62">
        <f>AI26</f>
        <v>150.26</v>
      </c>
      <c r="AJ27" s="3"/>
      <c r="AK27" s="11"/>
      <c r="AL27" s="11"/>
      <c r="AM27" s="2"/>
      <c r="AN27" s="22"/>
    </row>
    <row r="28" spans="1:46" ht="12.75" thickBot="1" x14ac:dyDescent="0.25">
      <c r="V28" s="99">
        <f>C7*C4</f>
        <v>0</v>
      </c>
      <c r="W28" s="71">
        <f>D7*D4-X28</f>
        <v>66.067525510204092</v>
      </c>
      <c r="X28" s="71">
        <f>(W21-Z21+D7*D4^2/2)/D4</f>
        <v>107.61247448979591</v>
      </c>
      <c r="Y28" s="156">
        <f>E7*E4-Z28</f>
        <v>88.659999999999982</v>
      </c>
      <c r="Z28" s="71">
        <f>(W22-W21+E7*E4^2/2)/E4</f>
        <v>88.659999999999982</v>
      </c>
      <c r="AA28" s="71">
        <f>F7*F4-AB28</f>
        <v>107.61247448979591</v>
      </c>
      <c r="AB28" s="71">
        <f>(Z22-W22+F7*F4^2/2)/F4</f>
        <v>66.067525510204092</v>
      </c>
      <c r="AC28" s="71">
        <f>G7*G4</f>
        <v>0</v>
      </c>
      <c r="AD28" s="11"/>
      <c r="AE28" s="11"/>
      <c r="AF28" s="3"/>
      <c r="AG28" s="3"/>
      <c r="AH28" s="66">
        <f>AH24</f>
        <v>0</v>
      </c>
      <c r="AI28" s="64">
        <f>AI24</f>
        <v>106.84</v>
      </c>
      <c r="AJ28" s="3"/>
      <c r="AK28" s="11"/>
      <c r="AL28" s="11"/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ht="12.75" thickBot="1" x14ac:dyDescent="0.25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ht="12.75" thickBot="1" x14ac:dyDescent="0.25">
      <c r="V31" s="23"/>
      <c r="W31" s="2"/>
      <c r="X31" s="59" t="s">
        <v>0</v>
      </c>
      <c r="Y31" s="94" t="s">
        <v>1</v>
      </c>
      <c r="Z31" s="94" t="s">
        <v>78</v>
      </c>
      <c r="AA31" s="60" t="s">
        <v>94</v>
      </c>
      <c r="AB31" s="3"/>
      <c r="AC31" s="2"/>
      <c r="AD31" s="2"/>
      <c r="AE31" s="2"/>
      <c r="AF31" s="2"/>
      <c r="AG31" s="2"/>
      <c r="AH31" s="67">
        <f>AK56</f>
        <v>4</v>
      </c>
      <c r="AI31" s="60">
        <f>AI17</f>
        <v>106.84</v>
      </c>
      <c r="AJ31" s="2"/>
      <c r="AK31" s="2" t="s">
        <v>21</v>
      </c>
      <c r="AL31" s="2"/>
      <c r="AM31" s="2"/>
      <c r="AN31" s="22"/>
    </row>
    <row r="32" spans="1:46" ht="12.75" thickBot="1" x14ac:dyDescent="0.25">
      <c r="V32" s="23"/>
      <c r="W32" s="2"/>
      <c r="X32" s="63">
        <f>V28+W28</f>
        <v>66.067525510204092</v>
      </c>
      <c r="Y32" s="88">
        <f>X28+Y28</f>
        <v>196.27247448979591</v>
      </c>
      <c r="Z32" s="88">
        <f>Z28+AA28</f>
        <v>196.27247448979591</v>
      </c>
      <c r="AA32" s="69">
        <f>AB28+AC28</f>
        <v>66.067525510204092</v>
      </c>
      <c r="AB32" s="11"/>
      <c r="AC32" s="2"/>
      <c r="AD32" s="2"/>
      <c r="AE32" s="2"/>
      <c r="AF32" s="2"/>
      <c r="AG32" s="2"/>
      <c r="AH32" s="61">
        <f>AK57</f>
        <v>9.5</v>
      </c>
      <c r="AI32" s="62">
        <f>AI31</f>
        <v>106.84</v>
      </c>
      <c r="AJ32" s="2"/>
      <c r="AK32" s="155" t="s">
        <v>22</v>
      </c>
      <c r="AL32" s="94" t="s">
        <v>25</v>
      </c>
      <c r="AM32" s="94" t="s">
        <v>2</v>
      </c>
      <c r="AN32" s="100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61">
        <f>AH32</f>
        <v>9.5</v>
      </c>
      <c r="AI33" s="62">
        <f>AI32+E7</f>
        <v>139.07999999999998</v>
      </c>
      <c r="AJ33" s="2"/>
      <c r="AK33" s="157" t="s">
        <v>23</v>
      </c>
      <c r="AL33" s="8">
        <f>W28/D7</f>
        <v>1.5215920200415498</v>
      </c>
      <c r="AM33" s="8">
        <f>C4+AL33</f>
        <v>1.5215920200415498</v>
      </c>
      <c r="AN33" s="129">
        <f>W28*AL33-D7*AL33^2/2+AE50</f>
        <v>50.263909800109033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61">
        <f>AH31</f>
        <v>4</v>
      </c>
      <c r="AI34" s="62">
        <f>AI33</f>
        <v>139.07999999999998</v>
      </c>
      <c r="AJ34" s="2"/>
      <c r="AK34" s="158" t="s">
        <v>82</v>
      </c>
      <c r="AL34" s="8">
        <f>Y28/E7</f>
        <v>2.75</v>
      </c>
      <c r="AM34" s="8">
        <f>C4+D4+AL34</f>
        <v>6.75</v>
      </c>
      <c r="AN34" s="129">
        <f>Y28*AL34-E7*AL34^2/2+AE59</f>
        <v>38.817602040816311</v>
      </c>
    </row>
    <row r="35" spans="22:40" ht="12.75" thickBot="1" x14ac:dyDescent="0.25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63">
        <f>AH31</f>
        <v>4</v>
      </c>
      <c r="AI35" s="64">
        <f>AI31</f>
        <v>106.84</v>
      </c>
      <c r="AJ35" s="2"/>
      <c r="AK35" s="159" t="s">
        <v>101</v>
      </c>
      <c r="AL35" s="88">
        <f>AA28/F7</f>
        <v>2.4784079799584502</v>
      </c>
      <c r="AM35" s="88">
        <f>C4+D4+E4+AL35</f>
        <v>11.978407979958451</v>
      </c>
      <c r="AN35" s="101">
        <f>AA28*AL35-F7*AL35^2/2+AE68</f>
        <v>50.263909800108905</v>
      </c>
    </row>
    <row r="36" spans="22:40" x14ac:dyDescent="0.2">
      <c r="V36" s="102">
        <f>AK55</f>
        <v>0</v>
      </c>
      <c r="W36" s="73">
        <v>0</v>
      </c>
      <c r="X36" s="2"/>
      <c r="Y36" s="72">
        <f>AK56</f>
        <v>4</v>
      </c>
      <c r="Z36" s="73">
        <v>0</v>
      </c>
      <c r="AA36" s="2"/>
      <c r="AB36" s="72">
        <f>AK57</f>
        <v>9.5</v>
      </c>
      <c r="AC36" s="73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ht="12.75" thickBot="1" x14ac:dyDescent="0.25">
      <c r="V37" s="103">
        <f>V36</f>
        <v>0</v>
      </c>
      <c r="W37" s="75">
        <f>X32</f>
        <v>66.067525510204092</v>
      </c>
      <c r="X37" s="2"/>
      <c r="Y37" s="74">
        <f>Y36</f>
        <v>4</v>
      </c>
      <c r="Z37" s="75">
        <f>Y32</f>
        <v>196.27247448979591</v>
      </c>
      <c r="AA37" s="2"/>
      <c r="AB37" s="74">
        <f>AB36</f>
        <v>9.5</v>
      </c>
      <c r="AC37" s="75">
        <f>Z32</f>
        <v>196.27247448979591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67">
        <f>AK57</f>
        <v>9.5</v>
      </c>
      <c r="AI38" s="60">
        <f>AI17</f>
        <v>106.84</v>
      </c>
      <c r="AJ38" s="3"/>
      <c r="AK38" s="3"/>
      <c r="AL38" s="3"/>
      <c r="AM38" s="3"/>
      <c r="AN38" s="25"/>
    </row>
    <row r="39" spans="22:40" ht="12.75" thickBot="1" x14ac:dyDescent="0.25">
      <c r="V39" s="23" t="s">
        <v>103</v>
      </c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61">
        <f>AK58</f>
        <v>13.5</v>
      </c>
      <c r="AI39" s="62">
        <f>AI38</f>
        <v>106.84</v>
      </c>
      <c r="AJ39" s="3"/>
      <c r="AK39" s="2" t="s">
        <v>27</v>
      </c>
      <c r="AL39" s="2"/>
      <c r="AM39" s="3"/>
      <c r="AN39" s="25"/>
    </row>
    <row r="40" spans="22:40" x14ac:dyDescent="0.2">
      <c r="V40" s="102">
        <f>AK58</f>
        <v>13.5</v>
      </c>
      <c r="W40" s="73">
        <v>0</v>
      </c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61">
        <f>AH39</f>
        <v>13.5</v>
      </c>
      <c r="AI40" s="62">
        <f>AI39+F7</f>
        <v>150.26</v>
      </c>
      <c r="AJ40" s="2"/>
      <c r="AK40" s="67">
        <f>AM33</f>
        <v>1.5215920200415498</v>
      </c>
      <c r="AL40" s="60">
        <v>0</v>
      </c>
      <c r="AM40" s="2"/>
      <c r="AN40" s="22"/>
    </row>
    <row r="41" spans="22:40" ht="12.75" thickBot="1" x14ac:dyDescent="0.25">
      <c r="V41" s="103">
        <f>V40</f>
        <v>13.5</v>
      </c>
      <c r="W41" s="75">
        <f>AA32</f>
        <v>66.067525510204092</v>
      </c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61">
        <f>AH38</f>
        <v>9.5</v>
      </c>
      <c r="AI41" s="62">
        <f>AI40</f>
        <v>150.26</v>
      </c>
      <c r="AJ41" s="2"/>
      <c r="AK41" s="61">
        <f>AK40</f>
        <v>1.5215920200415498</v>
      </c>
      <c r="AL41" s="87">
        <f>AN33</f>
        <v>50.263909800109033</v>
      </c>
      <c r="AM41" s="2"/>
      <c r="AN41" s="22"/>
    </row>
    <row r="42" spans="22:40" ht="12.75" thickBot="1" x14ac:dyDescent="0.25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63">
        <f>AH38</f>
        <v>9.5</v>
      </c>
      <c r="AI42" s="64">
        <f>AI38</f>
        <v>106.84</v>
      </c>
      <c r="AJ42" s="2"/>
      <c r="AK42" s="61">
        <f>AM34</f>
        <v>6.75</v>
      </c>
      <c r="AL42" s="62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61">
        <f>AK42</f>
        <v>6.75</v>
      </c>
      <c r="AL43" s="87">
        <f>AN34</f>
        <v>38.817602040816311</v>
      </c>
      <c r="AM43" s="2"/>
      <c r="AN43" s="22"/>
    </row>
    <row r="44" spans="22:40" ht="12.75" thickBot="1" x14ac:dyDescent="0.25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18</v>
      </c>
      <c r="AI44" s="3"/>
      <c r="AJ44" s="2"/>
      <c r="AK44" s="61">
        <f>AM35</f>
        <v>11.978407979958451</v>
      </c>
      <c r="AL44" s="62">
        <v>0</v>
      </c>
      <c r="AM44" s="2"/>
      <c r="AN44" s="22"/>
    </row>
    <row r="45" spans="22:40" ht="12.75" thickBot="1" x14ac:dyDescent="0.25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67">
        <f>AK58</f>
        <v>13.5</v>
      </c>
      <c r="AI45" s="60">
        <f>AI17</f>
        <v>106.84</v>
      </c>
      <c r="AJ45" s="2"/>
      <c r="AK45" s="63">
        <f>AK44</f>
        <v>11.978407979958451</v>
      </c>
      <c r="AL45" s="69">
        <f>AN35</f>
        <v>50.263909800108905</v>
      </c>
      <c r="AM45" s="2"/>
      <c r="AN45" s="22"/>
    </row>
    <row r="46" spans="22:40" ht="12.75" thickBot="1" x14ac:dyDescent="0.25">
      <c r="V46" s="104" t="s">
        <v>2</v>
      </c>
      <c r="W46" s="76" t="s">
        <v>3</v>
      </c>
      <c r="X46" s="77" t="s">
        <v>4</v>
      </c>
      <c r="Y46" s="2"/>
      <c r="Z46" s="83" t="s">
        <v>2</v>
      </c>
      <c r="AA46" s="84" t="s">
        <v>3</v>
      </c>
      <c r="AB46" s="60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61">
        <f>AK59</f>
        <v>13.5</v>
      </c>
      <c r="AI46" s="62">
        <f>AI45</f>
        <v>106.84</v>
      </c>
      <c r="AJ46" s="2"/>
      <c r="AK46" s="11"/>
      <c r="AL46" s="3"/>
      <c r="AM46" s="2"/>
      <c r="AN46" s="22"/>
    </row>
    <row r="47" spans="22:40" x14ac:dyDescent="0.2">
      <c r="V47" s="26">
        <v>0</v>
      </c>
      <c r="W47" s="7">
        <f>-$C$7*V47^2/2</f>
        <v>0</v>
      </c>
      <c r="X47" s="79">
        <f>-$C$7*V47</f>
        <v>0</v>
      </c>
      <c r="Y47" s="2"/>
      <c r="Z47" s="85">
        <v>0</v>
      </c>
      <c r="AA47" s="10">
        <f t="shared" ref="AA47:AA55" si="0">-$Z$21-$D$7*Z47^2/2+$W$28*Z47</f>
        <v>0</v>
      </c>
      <c r="AB47" s="86">
        <f t="shared" ref="AB47:AB55" si="1">-$D$7*Z47+$W$28</f>
        <v>66.067525510204092</v>
      </c>
      <c r="AC47" s="2"/>
      <c r="AD47" s="160">
        <f t="shared" ref="AD47:AF50" si="2">V47</f>
        <v>0</v>
      </c>
      <c r="AE47" s="161">
        <f t="shared" si="2"/>
        <v>0</v>
      </c>
      <c r="AF47" s="162">
        <f t="shared" si="2"/>
        <v>0</v>
      </c>
      <c r="AG47" s="2"/>
      <c r="AH47" s="61">
        <f>AH46</f>
        <v>13.5</v>
      </c>
      <c r="AI47" s="62">
        <f>AI46+G7</f>
        <v>106.84</v>
      </c>
      <c r="AJ47" s="2"/>
      <c r="AK47" s="11"/>
      <c r="AL47" s="11"/>
      <c r="AM47" s="2"/>
      <c r="AN47" s="22"/>
    </row>
    <row r="48" spans="22:40" x14ac:dyDescent="0.2">
      <c r="V48" s="26">
        <f>$C$4/3</f>
        <v>0</v>
      </c>
      <c r="W48" s="7">
        <f>-$C$7*V48^2/2</f>
        <v>0</v>
      </c>
      <c r="X48" s="79">
        <f>-$C$7*V48</f>
        <v>0</v>
      </c>
      <c r="Y48" s="2"/>
      <c r="Z48" s="85">
        <f>$D$4/8</f>
        <v>0.5</v>
      </c>
      <c r="AA48" s="10">
        <f t="shared" si="0"/>
        <v>27.606262755102044</v>
      </c>
      <c r="AB48" s="86">
        <f t="shared" si="1"/>
        <v>44.357525510204091</v>
      </c>
      <c r="AC48" s="2"/>
      <c r="AD48" s="78">
        <f t="shared" si="2"/>
        <v>0</v>
      </c>
      <c r="AE48" s="7">
        <f t="shared" si="2"/>
        <v>0</v>
      </c>
      <c r="AF48" s="79">
        <f t="shared" si="2"/>
        <v>0</v>
      </c>
      <c r="AG48" s="2"/>
      <c r="AH48" s="61">
        <f>AH45</f>
        <v>13.5</v>
      </c>
      <c r="AI48" s="62">
        <f>AI47</f>
        <v>106.84</v>
      </c>
      <c r="AJ48" s="2"/>
      <c r="AK48" s="2"/>
      <c r="AL48" s="2"/>
      <c r="AM48" s="2"/>
      <c r="AN48" s="22"/>
    </row>
    <row r="49" spans="13:40" ht="12.75" thickBot="1" x14ac:dyDescent="0.25">
      <c r="V49" s="26">
        <f>2*$C$4/3</f>
        <v>0</v>
      </c>
      <c r="W49" s="7">
        <f>-$C$7*V49^2/2</f>
        <v>0</v>
      </c>
      <c r="X49" s="79">
        <f>-$C$7*V49</f>
        <v>0</v>
      </c>
      <c r="Y49" s="2"/>
      <c r="Z49" s="85">
        <f>2*$D$4/8</f>
        <v>1</v>
      </c>
      <c r="AA49" s="10">
        <f t="shared" si="0"/>
        <v>44.357525510204091</v>
      </c>
      <c r="AB49" s="86">
        <f t="shared" si="1"/>
        <v>22.64752551020409</v>
      </c>
      <c r="AC49" s="2"/>
      <c r="AD49" s="78">
        <f t="shared" si="2"/>
        <v>0</v>
      </c>
      <c r="AE49" s="7">
        <f t="shared" si="2"/>
        <v>0</v>
      </c>
      <c r="AF49" s="79">
        <f t="shared" si="2"/>
        <v>0</v>
      </c>
      <c r="AG49" s="2"/>
      <c r="AH49" s="63">
        <f>AH45</f>
        <v>13.5</v>
      </c>
      <c r="AI49" s="64">
        <f>AI45</f>
        <v>106.84</v>
      </c>
      <c r="AJ49" s="2"/>
      <c r="AK49" s="2"/>
      <c r="AL49" s="2"/>
      <c r="AM49" s="2"/>
      <c r="AN49" s="22"/>
    </row>
    <row r="50" spans="13:40" ht="12.75" thickBot="1" x14ac:dyDescent="0.25">
      <c r="V50" s="105">
        <f>3*$C$4/3</f>
        <v>0</v>
      </c>
      <c r="W50" s="80">
        <f>-$C$7*V50^2/2</f>
        <v>0</v>
      </c>
      <c r="X50" s="81">
        <f>-$C$7*V50</f>
        <v>0</v>
      </c>
      <c r="Y50" s="2"/>
      <c r="Z50" s="85">
        <f>3*$D$4/8</f>
        <v>1.5</v>
      </c>
      <c r="AA50" s="10">
        <f t="shared" si="0"/>
        <v>50.253788265306135</v>
      </c>
      <c r="AB50" s="86">
        <f t="shared" si="1"/>
        <v>0.93752551020409669</v>
      </c>
      <c r="AC50" s="2"/>
      <c r="AD50" s="163">
        <f t="shared" si="2"/>
        <v>0</v>
      </c>
      <c r="AE50" s="80">
        <f t="shared" si="2"/>
        <v>0</v>
      </c>
      <c r="AF50" s="81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24"/>
      <c r="W51" s="3"/>
      <c r="X51" s="3"/>
      <c r="Y51" s="2"/>
      <c r="Z51" s="85">
        <f>4*$D$4/8</f>
        <v>2</v>
      </c>
      <c r="AA51" s="10">
        <f t="shared" si="0"/>
        <v>45.295051020408181</v>
      </c>
      <c r="AB51" s="86">
        <f t="shared" si="1"/>
        <v>-20.772474489795911</v>
      </c>
      <c r="AC51" s="2"/>
      <c r="AD51" s="164">
        <f t="shared" ref="AD51:AD59" si="3">$AD$50+Z47</f>
        <v>0</v>
      </c>
      <c r="AE51" s="165">
        <f t="shared" ref="AE51:AF59" si="4">AA47</f>
        <v>0</v>
      </c>
      <c r="AF51" s="166">
        <f t="shared" si="4"/>
        <v>66.067525510204092</v>
      </c>
      <c r="AG51" s="2"/>
      <c r="AH51" s="2"/>
      <c r="AI51" s="2"/>
      <c r="AJ51" s="2"/>
      <c r="AK51" s="2"/>
      <c r="AL51" s="2"/>
      <c r="AM51" s="2"/>
      <c r="AN51" s="22"/>
    </row>
    <row r="52" spans="13:40" ht="12.75" thickBot="1" x14ac:dyDescent="0.25">
      <c r="V52" s="24"/>
      <c r="W52" s="3"/>
      <c r="X52" s="3"/>
      <c r="Y52" s="2"/>
      <c r="Z52" s="85">
        <f>5*$D$4/8</f>
        <v>2.5</v>
      </c>
      <c r="AA52" s="10">
        <f t="shared" si="0"/>
        <v>29.481313775510216</v>
      </c>
      <c r="AB52" s="86">
        <f t="shared" si="1"/>
        <v>-42.482474489795919</v>
      </c>
      <c r="AC52" s="3"/>
      <c r="AD52" s="85">
        <f t="shared" si="3"/>
        <v>0.5</v>
      </c>
      <c r="AE52" s="10">
        <f t="shared" si="4"/>
        <v>27.606262755102044</v>
      </c>
      <c r="AF52" s="86">
        <f t="shared" si="4"/>
        <v>44.357525510204091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85">
        <f>6*$D$4/8</f>
        <v>3</v>
      </c>
      <c r="AA53" s="10">
        <f t="shared" si="0"/>
        <v>2.8125765306122616</v>
      </c>
      <c r="AB53" s="86">
        <f t="shared" si="1"/>
        <v>-64.192474489795899</v>
      </c>
      <c r="AC53" s="3"/>
      <c r="AD53" s="85">
        <f t="shared" si="3"/>
        <v>1</v>
      </c>
      <c r="AE53" s="10">
        <f t="shared" si="4"/>
        <v>44.357525510204091</v>
      </c>
      <c r="AF53" s="86">
        <f t="shared" si="4"/>
        <v>22.64752551020409</v>
      </c>
      <c r="AG53" s="2"/>
      <c r="AH53" s="2"/>
      <c r="AI53" s="2"/>
      <c r="AJ53" s="2"/>
      <c r="AK53" s="59" t="s">
        <v>2</v>
      </c>
      <c r="AL53" s="60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85">
        <f>7*$D$4/8</f>
        <v>3.5</v>
      </c>
      <c r="AA54" s="10">
        <f t="shared" si="0"/>
        <v>-34.711160714285654</v>
      </c>
      <c r="AB54" s="86">
        <f t="shared" si="1"/>
        <v>-85.902474489795907</v>
      </c>
      <c r="AC54" s="2"/>
      <c r="AD54" s="85">
        <f t="shared" si="3"/>
        <v>1.5</v>
      </c>
      <c r="AE54" s="10">
        <f t="shared" si="4"/>
        <v>50.253788265306135</v>
      </c>
      <c r="AF54" s="86">
        <f t="shared" si="4"/>
        <v>0.93752551020409669</v>
      </c>
      <c r="AG54" s="2"/>
      <c r="AH54" s="2"/>
      <c r="AI54" s="2"/>
      <c r="AJ54" s="2"/>
      <c r="AK54" s="61">
        <v>0</v>
      </c>
      <c r="AL54" s="62">
        <v>0</v>
      </c>
      <c r="AM54" s="2"/>
      <c r="AN54" s="22"/>
    </row>
    <row r="55" spans="13:40" ht="12.75" thickBot="1" x14ac:dyDescent="0.25">
      <c r="M55" s="2"/>
      <c r="N55" s="2"/>
      <c r="V55" s="24"/>
      <c r="W55" s="3"/>
      <c r="X55" s="3"/>
      <c r="Y55" s="2"/>
      <c r="Z55" s="167">
        <f>8*$D$4/8</f>
        <v>4</v>
      </c>
      <c r="AA55" s="168">
        <f t="shared" si="0"/>
        <v>-83.089897959183645</v>
      </c>
      <c r="AB55" s="169">
        <f t="shared" si="1"/>
        <v>-107.61247448979591</v>
      </c>
      <c r="AC55" s="2"/>
      <c r="AD55" s="85">
        <f t="shared" si="3"/>
        <v>2</v>
      </c>
      <c r="AE55" s="10">
        <f t="shared" si="4"/>
        <v>45.295051020408181</v>
      </c>
      <c r="AF55" s="86">
        <f t="shared" si="4"/>
        <v>-20.772474489795911</v>
      </c>
      <c r="AG55" s="2"/>
      <c r="AH55" s="2"/>
      <c r="AI55" s="2"/>
      <c r="AJ55" s="2"/>
      <c r="AK55" s="61">
        <f>C4</f>
        <v>0</v>
      </c>
      <c r="AL55" s="62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85">
        <f t="shared" si="3"/>
        <v>2.5</v>
      </c>
      <c r="AE56" s="10">
        <f t="shared" si="4"/>
        <v>29.481313775510216</v>
      </c>
      <c r="AF56" s="86">
        <f t="shared" si="4"/>
        <v>-42.482474489795919</v>
      </c>
      <c r="AG56" s="2"/>
      <c r="AH56" s="2"/>
      <c r="AI56" s="2"/>
      <c r="AJ56" s="2"/>
      <c r="AK56" s="61">
        <f>AK55+D4</f>
        <v>4</v>
      </c>
      <c r="AL56" s="62">
        <v>0</v>
      </c>
      <c r="AM56" s="2"/>
      <c r="AN56" s="22"/>
    </row>
    <row r="57" spans="13:40" ht="12.75" thickBot="1" x14ac:dyDescent="0.25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85">
        <f t="shared" si="3"/>
        <v>3</v>
      </c>
      <c r="AE57" s="10">
        <f t="shared" si="4"/>
        <v>2.8125765306122616</v>
      </c>
      <c r="AF57" s="86">
        <f t="shared" si="4"/>
        <v>-64.192474489795899</v>
      </c>
      <c r="AG57" s="2"/>
      <c r="AH57" s="2"/>
      <c r="AI57" s="2"/>
      <c r="AJ57" s="2"/>
      <c r="AK57" s="61">
        <f>AK56+E4</f>
        <v>9.5</v>
      </c>
      <c r="AL57" s="62">
        <v>0</v>
      </c>
      <c r="AM57" s="2"/>
      <c r="AN57" s="22"/>
    </row>
    <row r="58" spans="13:40" x14ac:dyDescent="0.2">
      <c r="V58" s="106" t="s">
        <v>2</v>
      </c>
      <c r="W58" s="84" t="s">
        <v>3</v>
      </c>
      <c r="X58" s="60" t="s">
        <v>4</v>
      </c>
      <c r="Y58" s="2"/>
      <c r="Z58" s="83" t="s">
        <v>2</v>
      </c>
      <c r="AA58" s="84" t="s">
        <v>3</v>
      </c>
      <c r="AB58" s="60" t="s">
        <v>4</v>
      </c>
      <c r="AC58" s="2"/>
      <c r="AD58" s="85">
        <f t="shared" si="3"/>
        <v>3.5</v>
      </c>
      <c r="AE58" s="10">
        <f t="shared" si="4"/>
        <v>-34.711160714285654</v>
      </c>
      <c r="AF58" s="86">
        <f t="shared" si="4"/>
        <v>-85.902474489795907</v>
      </c>
      <c r="AG58" s="2"/>
      <c r="AH58" s="2"/>
      <c r="AI58" s="2"/>
      <c r="AJ58" s="2"/>
      <c r="AK58" s="61">
        <f>AK57+F4</f>
        <v>13.5</v>
      </c>
      <c r="AL58" s="62">
        <v>0</v>
      </c>
      <c r="AM58" s="2"/>
      <c r="AN58" s="22"/>
    </row>
    <row r="59" spans="13:40" ht="12.75" thickBot="1" x14ac:dyDescent="0.25">
      <c r="V59" s="139">
        <v>0</v>
      </c>
      <c r="W59" s="140">
        <f t="shared" ref="W59:W67" si="5">-$W$21-$E$7*V59^2/2+$Y$28*V59</f>
        <v>-83.089897959183673</v>
      </c>
      <c r="X59" s="170">
        <f t="shared" ref="X59:X67" si="6">-$E$7*V59+$Y$28</f>
        <v>88.659999999999982</v>
      </c>
      <c r="Y59" s="2"/>
      <c r="Z59" s="171">
        <v>0</v>
      </c>
      <c r="AA59" s="172">
        <f t="shared" ref="AA59:AA67" si="7">-$W$22-$F$7*Z59^2/2+$AA$28*Z59</f>
        <v>-83.089897959183673</v>
      </c>
      <c r="AB59" s="173">
        <f t="shared" ref="AB59:AB67" si="8">-$F$7*Z59+$AA$28</f>
        <v>107.61247448979591</v>
      </c>
      <c r="AC59" s="2"/>
      <c r="AD59" s="167">
        <f t="shared" si="3"/>
        <v>4</v>
      </c>
      <c r="AE59" s="168">
        <f t="shared" si="4"/>
        <v>-83.089897959183645</v>
      </c>
      <c r="AF59" s="169">
        <f t="shared" si="4"/>
        <v>-107.61247448979591</v>
      </c>
      <c r="AG59" s="2"/>
      <c r="AH59" s="2"/>
      <c r="AI59" s="2"/>
      <c r="AJ59" s="2"/>
      <c r="AK59" s="63">
        <f>AK58+G4</f>
        <v>13.5</v>
      </c>
      <c r="AL59" s="64">
        <v>0</v>
      </c>
      <c r="AM59" s="2"/>
      <c r="AN59" s="22"/>
    </row>
    <row r="60" spans="13:40" x14ac:dyDescent="0.2">
      <c r="V60" s="139">
        <f>$E$4/8</f>
        <v>0.6875</v>
      </c>
      <c r="W60" s="140">
        <f t="shared" si="5"/>
        <v>-29.75536670918369</v>
      </c>
      <c r="X60" s="170">
        <f t="shared" si="6"/>
        <v>66.49499999999999</v>
      </c>
      <c r="Y60" s="2"/>
      <c r="Z60" s="171">
        <f>$F$4/8</f>
        <v>0.5</v>
      </c>
      <c r="AA60" s="172">
        <f t="shared" si="7"/>
        <v>-34.711160714285711</v>
      </c>
      <c r="AB60" s="173">
        <f t="shared" si="8"/>
        <v>85.902474489795907</v>
      </c>
      <c r="AC60" s="2"/>
      <c r="AD60" s="174">
        <f t="shared" ref="AD60:AD68" si="9">$AD$59+V59</f>
        <v>4</v>
      </c>
      <c r="AE60" s="175">
        <f t="shared" ref="AE60:AF68" si="10">W59</f>
        <v>-83.089897959183673</v>
      </c>
      <c r="AF60" s="176">
        <f t="shared" si="10"/>
        <v>88.659999999999982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">
      <c r="V61" s="139">
        <f>2*$E$4/8</f>
        <v>1.375</v>
      </c>
      <c r="W61" s="140">
        <f t="shared" si="5"/>
        <v>8.3407270408163043</v>
      </c>
      <c r="X61" s="170">
        <f t="shared" si="6"/>
        <v>44.329999999999991</v>
      </c>
      <c r="Y61" s="2"/>
      <c r="Z61" s="171">
        <f>2*$F$4/8</f>
        <v>1</v>
      </c>
      <c r="AA61" s="172">
        <f t="shared" si="7"/>
        <v>2.8125765306122332</v>
      </c>
      <c r="AB61" s="173">
        <f t="shared" si="8"/>
        <v>64.192474489795913</v>
      </c>
      <c r="AC61" s="2"/>
      <c r="AD61" s="177">
        <f t="shared" si="9"/>
        <v>4.6875</v>
      </c>
      <c r="AE61" s="140">
        <f t="shared" si="10"/>
        <v>-29.75536670918369</v>
      </c>
      <c r="AF61" s="170">
        <f t="shared" si="10"/>
        <v>66.49499999999999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3*$E$4/8</f>
        <v>2.0625</v>
      </c>
      <c r="W62" s="140">
        <f t="shared" si="5"/>
        <v>31.198383290816281</v>
      </c>
      <c r="X62" s="170">
        <f t="shared" si="6"/>
        <v>22.164999999999992</v>
      </c>
      <c r="Y62" s="2"/>
      <c r="Z62" s="171">
        <f>3*$F$4/8</f>
        <v>1.5</v>
      </c>
      <c r="AA62" s="172">
        <f t="shared" si="7"/>
        <v>29.481313775510216</v>
      </c>
      <c r="AB62" s="173">
        <f t="shared" si="8"/>
        <v>42.482474489795919</v>
      </c>
      <c r="AC62" s="2"/>
      <c r="AD62" s="177">
        <f t="shared" si="9"/>
        <v>5.375</v>
      </c>
      <c r="AE62" s="140">
        <f t="shared" si="10"/>
        <v>8.3407270408163043</v>
      </c>
      <c r="AF62" s="170">
        <f t="shared" si="10"/>
        <v>44.329999999999991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4*$E$4/8</f>
        <v>2.75</v>
      </c>
      <c r="W63" s="140">
        <f t="shared" si="5"/>
        <v>38.817602040816269</v>
      </c>
      <c r="X63" s="170">
        <f t="shared" si="6"/>
        <v>0</v>
      </c>
      <c r="Y63" s="2"/>
      <c r="Z63" s="171">
        <f>4*$F$4/8</f>
        <v>2</v>
      </c>
      <c r="AA63" s="172">
        <f t="shared" si="7"/>
        <v>45.295051020408152</v>
      </c>
      <c r="AB63" s="173">
        <f t="shared" si="8"/>
        <v>20.772474489795911</v>
      </c>
      <c r="AC63" s="2"/>
      <c r="AD63" s="177">
        <f t="shared" si="9"/>
        <v>6.0625</v>
      </c>
      <c r="AE63" s="140">
        <f t="shared" si="10"/>
        <v>31.198383290816281</v>
      </c>
      <c r="AF63" s="170">
        <f t="shared" si="10"/>
        <v>22.164999999999992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5*$E$4/8</f>
        <v>3.4375</v>
      </c>
      <c r="W64" s="140">
        <f t="shared" si="5"/>
        <v>31.198383290816309</v>
      </c>
      <c r="X64" s="170">
        <f t="shared" si="6"/>
        <v>-22.165000000000006</v>
      </c>
      <c r="Y64" s="2"/>
      <c r="Z64" s="171">
        <f>5*$F$4/8</f>
        <v>2.5</v>
      </c>
      <c r="AA64" s="172">
        <f t="shared" si="7"/>
        <v>50.253788265306099</v>
      </c>
      <c r="AB64" s="173">
        <f t="shared" si="8"/>
        <v>-0.93752551020409669</v>
      </c>
      <c r="AC64" s="2"/>
      <c r="AD64" s="177">
        <f t="shared" si="9"/>
        <v>6.75</v>
      </c>
      <c r="AE64" s="140">
        <f t="shared" si="10"/>
        <v>38.817602040816269</v>
      </c>
      <c r="AF64" s="170">
        <f t="shared" si="10"/>
        <v>0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6*$E$4/8</f>
        <v>4.125</v>
      </c>
      <c r="W65" s="140">
        <f t="shared" si="5"/>
        <v>8.3407270408162617</v>
      </c>
      <c r="X65" s="170">
        <f t="shared" si="6"/>
        <v>-44.33</v>
      </c>
      <c r="Y65" s="2"/>
      <c r="Z65" s="171">
        <f>6*$F$4/8</f>
        <v>3</v>
      </c>
      <c r="AA65" s="172">
        <f t="shared" si="7"/>
        <v>44.357525510204084</v>
      </c>
      <c r="AB65" s="173">
        <f t="shared" si="8"/>
        <v>-22.647525510204076</v>
      </c>
      <c r="AC65" s="2"/>
      <c r="AD65" s="177">
        <f t="shared" si="9"/>
        <v>7.4375</v>
      </c>
      <c r="AE65" s="140">
        <f t="shared" si="10"/>
        <v>31.198383290816309</v>
      </c>
      <c r="AF65" s="170">
        <f t="shared" si="10"/>
        <v>-22.165000000000006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7*$E$4/8</f>
        <v>4.8125</v>
      </c>
      <c r="W66" s="140">
        <f t="shared" si="5"/>
        <v>-29.755366709183647</v>
      </c>
      <c r="X66" s="170">
        <f t="shared" si="6"/>
        <v>-66.49499999999999</v>
      </c>
      <c r="Y66" s="2"/>
      <c r="Z66" s="171">
        <f>7*$F$4/8</f>
        <v>3.5</v>
      </c>
      <c r="AA66" s="172">
        <f t="shared" si="7"/>
        <v>27.60626275510208</v>
      </c>
      <c r="AB66" s="173">
        <f t="shared" si="8"/>
        <v>-44.357525510204084</v>
      </c>
      <c r="AC66" s="2"/>
      <c r="AD66" s="177">
        <f t="shared" si="9"/>
        <v>8.125</v>
      </c>
      <c r="AE66" s="140">
        <f t="shared" si="10"/>
        <v>8.3407270408162617</v>
      </c>
      <c r="AF66" s="170">
        <f t="shared" si="10"/>
        <v>-44.33</v>
      </c>
      <c r="AG66" s="2"/>
      <c r="AH66" s="2"/>
      <c r="AI66" s="2"/>
      <c r="AJ66" s="2"/>
      <c r="AK66" s="2"/>
      <c r="AL66" s="2"/>
      <c r="AM66" s="2"/>
      <c r="AN66" s="22"/>
    </row>
    <row r="67" spans="22:40" ht="12.75" thickBot="1" x14ac:dyDescent="0.25">
      <c r="V67" s="178">
        <f>8*$E$4/8</f>
        <v>5.5</v>
      </c>
      <c r="W67" s="179">
        <f t="shared" si="5"/>
        <v>-83.089897959183759</v>
      </c>
      <c r="X67" s="180">
        <f t="shared" si="6"/>
        <v>-88.659999999999982</v>
      </c>
      <c r="Y67" s="2"/>
      <c r="Z67" s="181">
        <f>8*$F$4/8</f>
        <v>4</v>
      </c>
      <c r="AA67" s="182">
        <f t="shared" si="7"/>
        <v>0</v>
      </c>
      <c r="AB67" s="183">
        <f t="shared" si="8"/>
        <v>-66.067525510204092</v>
      </c>
      <c r="AC67" s="2"/>
      <c r="AD67" s="177">
        <f t="shared" si="9"/>
        <v>8.8125</v>
      </c>
      <c r="AE67" s="140">
        <f t="shared" si="10"/>
        <v>-29.755366709183647</v>
      </c>
      <c r="AF67" s="170">
        <f t="shared" si="10"/>
        <v>-66.49499999999999</v>
      </c>
      <c r="AG67" s="2"/>
      <c r="AH67" s="2"/>
      <c r="AI67" s="2"/>
      <c r="AJ67" s="2"/>
      <c r="AK67" s="2"/>
      <c r="AL67" s="2"/>
      <c r="AM67" s="2"/>
      <c r="AN67" s="22"/>
    </row>
    <row r="68" spans="22:40" ht="12.75" thickBot="1" x14ac:dyDescent="0.25">
      <c r="V68" s="23"/>
      <c r="W68" s="2"/>
      <c r="X68" s="2"/>
      <c r="Y68" s="2"/>
      <c r="Z68" s="2"/>
      <c r="AA68" s="2"/>
      <c r="AB68" s="2"/>
      <c r="AC68" s="2"/>
      <c r="AD68" s="184">
        <f t="shared" si="9"/>
        <v>9.5</v>
      </c>
      <c r="AE68" s="179">
        <f t="shared" si="10"/>
        <v>-83.089897959183759</v>
      </c>
      <c r="AF68" s="180">
        <f t="shared" si="10"/>
        <v>-88.659999999999982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185">
        <f t="shared" ref="AD69:AD77" si="11">$AD$68+Z59</f>
        <v>9.5</v>
      </c>
      <c r="AE69" s="186">
        <f t="shared" ref="AE69:AF77" si="12">AA59</f>
        <v>-83.089897959183673</v>
      </c>
      <c r="AF69" s="187">
        <f t="shared" si="12"/>
        <v>107.61247448979591</v>
      </c>
      <c r="AG69" s="2"/>
      <c r="AH69" s="2"/>
      <c r="AI69" s="2"/>
      <c r="AJ69" s="2"/>
      <c r="AK69" s="2"/>
      <c r="AL69" s="2"/>
      <c r="AM69" s="2"/>
      <c r="AN69" s="22"/>
    </row>
    <row r="70" spans="22:40" ht="12.75" thickBot="1" x14ac:dyDescent="0.25">
      <c r="V70" s="23"/>
      <c r="W70" s="2"/>
      <c r="X70" s="2"/>
      <c r="Y70" s="2"/>
      <c r="Z70" s="2" t="s">
        <v>69</v>
      </c>
      <c r="AA70" s="2"/>
      <c r="AB70" s="2"/>
      <c r="AC70" s="2"/>
      <c r="AD70" s="171">
        <f t="shared" si="11"/>
        <v>10</v>
      </c>
      <c r="AE70" s="172">
        <f t="shared" si="12"/>
        <v>-34.711160714285711</v>
      </c>
      <c r="AF70" s="173">
        <f t="shared" si="12"/>
        <v>85.902474489795907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49"/>
      <c r="W71" s="5"/>
      <c r="X71" s="3"/>
      <c r="Y71" s="2"/>
      <c r="Z71" s="83" t="s">
        <v>2</v>
      </c>
      <c r="AA71" s="84" t="s">
        <v>3</v>
      </c>
      <c r="AB71" s="60" t="s">
        <v>4</v>
      </c>
      <c r="AC71" s="2"/>
      <c r="AD71" s="171">
        <f t="shared" si="11"/>
        <v>10.5</v>
      </c>
      <c r="AE71" s="172">
        <f t="shared" si="12"/>
        <v>2.8125765306122332</v>
      </c>
      <c r="AF71" s="173">
        <f t="shared" si="12"/>
        <v>64.192474489795913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">
      <c r="V72" s="49"/>
      <c r="W72" s="15"/>
      <c r="X72" s="15"/>
      <c r="Y72" s="2"/>
      <c r="Z72" s="61">
        <v>0</v>
      </c>
      <c r="AA72" s="8">
        <f>-$Z$22-$G$7*Z72^2/2+$AC$28*Z72</f>
        <v>0</v>
      </c>
      <c r="AB72" s="87">
        <f>$AC$28-$G$7*Z72</f>
        <v>0</v>
      </c>
      <c r="AC72" s="2"/>
      <c r="AD72" s="171">
        <f t="shared" si="11"/>
        <v>11</v>
      </c>
      <c r="AE72" s="172">
        <f t="shared" si="12"/>
        <v>29.481313775510216</v>
      </c>
      <c r="AF72" s="173">
        <f t="shared" si="12"/>
        <v>42.482474489795919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">
      <c r="V73" s="49"/>
      <c r="W73" s="15"/>
      <c r="X73" s="15"/>
      <c r="Y73" s="2"/>
      <c r="Z73" s="61">
        <f>$G$4/3</f>
        <v>0</v>
      </c>
      <c r="AA73" s="8">
        <f t="shared" ref="AA73:AA75" si="13">-$Z$22-$G$7*Z73^2/2+$AC$28*Z73</f>
        <v>0</v>
      </c>
      <c r="AB73" s="87">
        <f t="shared" ref="AB73:AB75" si="14">$AC$28-$G$7*Z73</f>
        <v>0</v>
      </c>
      <c r="AC73" s="2"/>
      <c r="AD73" s="171">
        <f t="shared" si="11"/>
        <v>11.5</v>
      </c>
      <c r="AE73" s="172">
        <f t="shared" si="12"/>
        <v>45.295051020408152</v>
      </c>
      <c r="AF73" s="173">
        <f t="shared" si="12"/>
        <v>20.772474489795911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">
      <c r="V74" s="49"/>
      <c r="W74" s="15"/>
      <c r="X74" s="15"/>
      <c r="Y74" s="2"/>
      <c r="Z74" s="61">
        <f>2*$G$4/3</f>
        <v>0</v>
      </c>
      <c r="AA74" s="8">
        <f t="shared" si="13"/>
        <v>0</v>
      </c>
      <c r="AB74" s="87">
        <f t="shared" si="14"/>
        <v>0</v>
      </c>
      <c r="AC74" s="2"/>
      <c r="AD74" s="171">
        <f t="shared" si="11"/>
        <v>12</v>
      </c>
      <c r="AE74" s="172">
        <f t="shared" si="12"/>
        <v>50.253788265306099</v>
      </c>
      <c r="AF74" s="173">
        <f t="shared" si="12"/>
        <v>-0.93752551020409669</v>
      </c>
      <c r="AG74" s="2"/>
      <c r="AH74" s="2"/>
      <c r="AI74" s="2"/>
      <c r="AJ74" s="2"/>
      <c r="AK74" s="2"/>
      <c r="AL74" s="2"/>
      <c r="AM74" s="2"/>
      <c r="AN74" s="22"/>
    </row>
    <row r="75" spans="22:40" ht="12.75" thickBot="1" x14ac:dyDescent="0.25">
      <c r="V75" s="49"/>
      <c r="W75" s="15"/>
      <c r="X75" s="15"/>
      <c r="Y75" s="2"/>
      <c r="Z75" s="63">
        <f>3*$G$4/3</f>
        <v>0</v>
      </c>
      <c r="AA75" s="88">
        <f t="shared" si="13"/>
        <v>0</v>
      </c>
      <c r="AB75" s="69">
        <f t="shared" si="14"/>
        <v>0</v>
      </c>
      <c r="AC75" s="2"/>
      <c r="AD75" s="171">
        <f t="shared" si="11"/>
        <v>12.5</v>
      </c>
      <c r="AE75" s="172">
        <f t="shared" si="12"/>
        <v>44.357525510204084</v>
      </c>
      <c r="AF75" s="173">
        <f t="shared" si="12"/>
        <v>-22.647525510204076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">
      <c r="V76" s="49"/>
      <c r="W76" s="15"/>
      <c r="X76" s="15"/>
      <c r="Y76" s="2"/>
      <c r="Z76" s="3"/>
      <c r="AA76" s="3"/>
      <c r="AB76" s="3"/>
      <c r="AC76" s="2"/>
      <c r="AD76" s="171">
        <f t="shared" si="11"/>
        <v>13</v>
      </c>
      <c r="AE76" s="172">
        <f t="shared" si="12"/>
        <v>27.60626275510208</v>
      </c>
      <c r="AF76" s="173">
        <f t="shared" si="12"/>
        <v>-44.357525510204084</v>
      </c>
      <c r="AG76" s="2"/>
      <c r="AH76" s="2"/>
      <c r="AI76" s="2"/>
      <c r="AJ76" s="2"/>
      <c r="AK76" s="2"/>
      <c r="AL76" s="2"/>
      <c r="AM76" s="2"/>
      <c r="AN76" s="22"/>
    </row>
    <row r="77" spans="22:40" ht="12.75" thickBot="1" x14ac:dyDescent="0.25">
      <c r="V77" s="49"/>
      <c r="W77" s="15"/>
      <c r="X77" s="15"/>
      <c r="Y77" s="2"/>
      <c r="Z77" s="3"/>
      <c r="AA77" s="3"/>
      <c r="AB77" s="3"/>
      <c r="AC77" s="2"/>
      <c r="AD77" s="181">
        <f t="shared" si="11"/>
        <v>13.5</v>
      </c>
      <c r="AE77" s="182">
        <f t="shared" si="12"/>
        <v>0</v>
      </c>
      <c r="AF77" s="183">
        <f t="shared" si="12"/>
        <v>-66.067525510204092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">
      <c r="V78" s="49"/>
      <c r="W78" s="15"/>
      <c r="X78" s="15"/>
      <c r="Y78" s="2"/>
      <c r="Z78" s="3"/>
      <c r="AA78" s="3"/>
      <c r="AB78" s="3"/>
      <c r="AC78" s="2"/>
      <c r="AD78" s="67">
        <f>$AD$77+Z72</f>
        <v>13.5</v>
      </c>
      <c r="AE78" s="188">
        <f t="shared" ref="AE78:AF81" si="15">AA72</f>
        <v>0</v>
      </c>
      <c r="AF78" s="68">
        <f t="shared" si="15"/>
        <v>0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">
      <c r="V79" s="49"/>
      <c r="W79" s="15"/>
      <c r="X79" s="15"/>
      <c r="Y79" s="2"/>
      <c r="Z79" s="3"/>
      <c r="AA79" s="3"/>
      <c r="AB79" s="3"/>
      <c r="AC79" s="2"/>
      <c r="AD79" s="61">
        <f t="shared" ref="AD79:AD81" si="16">$AD$77+Z73</f>
        <v>13.5</v>
      </c>
      <c r="AE79" s="8">
        <f t="shared" si="15"/>
        <v>0</v>
      </c>
      <c r="AF79" s="87">
        <f t="shared" si="15"/>
        <v>0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">
      <c r="V80" s="49"/>
      <c r="W80" s="15"/>
      <c r="X80" s="15"/>
      <c r="Y80" s="2"/>
      <c r="Z80" s="3"/>
      <c r="AA80" s="3"/>
      <c r="AB80" s="3"/>
      <c r="AC80" s="2"/>
      <c r="AD80" s="61">
        <f t="shared" si="16"/>
        <v>13.5</v>
      </c>
      <c r="AE80" s="8">
        <f t="shared" si="15"/>
        <v>0</v>
      </c>
      <c r="AF80" s="87">
        <f t="shared" si="15"/>
        <v>0</v>
      </c>
      <c r="AG80" s="2"/>
      <c r="AH80" s="2"/>
      <c r="AI80" s="2"/>
      <c r="AJ80" s="2"/>
      <c r="AK80" s="2"/>
      <c r="AL80" s="2"/>
      <c r="AM80" s="2"/>
      <c r="AN80" s="22"/>
    </row>
    <row r="81" spans="5:40" ht="12.75" thickBot="1" x14ac:dyDescent="0.25">
      <c r="V81" s="189"/>
      <c r="W81" s="27"/>
      <c r="X81" s="27"/>
      <c r="Y81" s="27"/>
      <c r="Z81" s="27"/>
      <c r="AA81" s="27"/>
      <c r="AB81" s="27"/>
      <c r="AC81" s="27"/>
      <c r="AD81" s="190">
        <f t="shared" si="16"/>
        <v>13.5</v>
      </c>
      <c r="AE81" s="143">
        <f t="shared" si="15"/>
        <v>0</v>
      </c>
      <c r="AF81" s="191">
        <f t="shared" si="15"/>
        <v>0</v>
      </c>
      <c r="AG81" s="27"/>
      <c r="AH81" s="27"/>
      <c r="AI81" s="27"/>
      <c r="AJ81" s="27"/>
      <c r="AK81" s="27"/>
      <c r="AL81" s="27"/>
      <c r="AM81" s="27"/>
      <c r="AN81" s="28"/>
    </row>
    <row r="82" spans="5:40" ht="12.75" thickTop="1" x14ac:dyDescent="0.2">
      <c r="V82" s="19"/>
      <c r="W82" s="19"/>
      <c r="X82" s="19"/>
      <c r="Y82" s="19"/>
      <c r="Z82" s="19"/>
      <c r="AA82" s="19"/>
      <c r="AB82" s="19"/>
      <c r="AC82" s="19"/>
      <c r="AD82" s="114"/>
      <c r="AE82" s="114"/>
      <c r="AF82" s="114"/>
      <c r="AG82" s="19"/>
      <c r="AH82" s="19"/>
      <c r="AI82" s="19"/>
      <c r="AJ82" s="19"/>
      <c r="AK82" s="19"/>
      <c r="AL82" s="19"/>
      <c r="AM82" s="19"/>
      <c r="AN82" s="19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oglio20"/>
  <dimension ref="A1:AT100"/>
  <sheetViews>
    <sheetView topLeftCell="A4" zoomScale="85" zoomScaleNormal="85" workbookViewId="0">
      <selection activeCell="I18" sqref="I18"/>
    </sheetView>
  </sheetViews>
  <sheetFormatPr defaultColWidth="9.140625" defaultRowHeight="12" x14ac:dyDescent="0.2"/>
  <cols>
    <col min="1" max="3" width="9.140625" style="1"/>
    <col min="4" max="4" width="10.42578125" style="1" bestFit="1" customWidth="1"/>
    <col min="5" max="16384" width="9.140625" style="1"/>
  </cols>
  <sheetData>
    <row r="1" spans="1:40" ht="15.75" customHeight="1" thickBot="1" x14ac:dyDescent="0.25">
      <c r="A1" s="334" t="s">
        <v>28</v>
      </c>
      <c r="B1" s="334"/>
      <c r="C1" s="334"/>
      <c r="D1" s="334"/>
      <c r="E1" s="334"/>
      <c r="F1" s="334"/>
      <c r="G1" s="334"/>
      <c r="H1" s="334"/>
      <c r="I1" s="334"/>
      <c r="J1" s="334"/>
      <c r="K1" s="2"/>
    </row>
    <row r="2" spans="1:40" ht="12.75" thickTop="1" x14ac:dyDescent="0.2">
      <c r="E2" s="12"/>
    </row>
    <row r="3" spans="1:40" ht="13.5" x14ac:dyDescent="0.2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34</v>
      </c>
    </row>
    <row r="4" spans="1:40" x14ac:dyDescent="0.2">
      <c r="C4" s="14">
        <f>'CCC-Trave int1 (P1)'!D15</f>
        <v>0</v>
      </c>
      <c r="D4" s="14">
        <f>'CCC-Trave int1 (P1)'!E15</f>
        <v>4</v>
      </c>
      <c r="E4" s="14">
        <f>'CCC-Trave int1 (P1)'!F15</f>
        <v>5.5</v>
      </c>
      <c r="F4" s="14">
        <f>'CCC-Trave int1 (P1)'!G15</f>
        <v>4</v>
      </c>
      <c r="G4" s="14">
        <f>'CCC-Trave int1 (P1)'!H15</f>
        <v>0</v>
      </c>
    </row>
    <row r="6" spans="1:40" ht="13.5" x14ac:dyDescent="0.2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37</v>
      </c>
    </row>
    <row r="7" spans="1:40" x14ac:dyDescent="0.2">
      <c r="B7" s="1" t="s">
        <v>42</v>
      </c>
      <c r="C7" s="14">
        <f>'CCC-Trave int1 (P1)'!D29</f>
        <v>0</v>
      </c>
      <c r="D7" s="14">
        <f>'CCC-Trave int1 (P1)'!E29</f>
        <v>32.239999999999995</v>
      </c>
      <c r="E7" s="14">
        <f>'CCC-Trave int1 (P1)'!F29</f>
        <v>43.42</v>
      </c>
      <c r="F7" s="14">
        <f>'CCC-Trave int1 (P1)'!G29</f>
        <v>43.42</v>
      </c>
      <c r="G7" s="14">
        <f>'CCC-Trave int1 (P1)'!H29</f>
        <v>0</v>
      </c>
    </row>
    <row r="8" spans="1:40" x14ac:dyDescent="0.2">
      <c r="C8" s="14"/>
      <c r="D8" s="14"/>
      <c r="E8" s="14"/>
      <c r="F8" s="14"/>
      <c r="G8" s="14"/>
      <c r="H8" s="15"/>
    </row>
    <row r="9" spans="1:40" x14ac:dyDescent="0.2">
      <c r="C9" s="14"/>
      <c r="D9" s="14"/>
      <c r="E9" s="14"/>
      <c r="F9" s="14"/>
      <c r="G9" s="14"/>
      <c r="H9" s="15"/>
    </row>
    <row r="10" spans="1:40" x14ac:dyDescent="0.2">
      <c r="C10" s="14"/>
      <c r="D10" s="14"/>
      <c r="E10" s="14"/>
      <c r="F10" s="14"/>
      <c r="G10" s="14"/>
      <c r="H10" s="15"/>
    </row>
    <row r="11" spans="1:40" x14ac:dyDescent="0.2">
      <c r="C11" s="14"/>
      <c r="D11" s="14"/>
      <c r="E11" s="14"/>
      <c r="F11" s="14"/>
      <c r="G11" s="14"/>
      <c r="H11" s="15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45" t="s">
        <v>31</v>
      </c>
      <c r="B15" s="345"/>
      <c r="C15" s="345"/>
      <c r="D15" s="345"/>
      <c r="E15" s="345"/>
      <c r="F15" s="345"/>
      <c r="G15" s="345"/>
      <c r="H15" s="345"/>
      <c r="I15" s="345"/>
      <c r="J15" s="345"/>
    </row>
    <row r="16" spans="1:40" ht="13.5" thickTop="1" thickBot="1" x14ac:dyDescent="0.25">
      <c r="V16" s="144">
        <f>-(D4/D18+E4/I18)/3</f>
        <v>-23750</v>
      </c>
      <c r="W16" s="145">
        <f>-E4/(6*I18)</f>
        <v>-6875</v>
      </c>
      <c r="X16" s="55"/>
      <c r="Y16" s="19"/>
      <c r="Z16" s="146">
        <f t="array" ref="Z16:AA17">MINVERSE(V16:W17)</f>
        <v>-4.595616024187453E-5</v>
      </c>
      <c r="AA16" s="147">
        <v>1.3303099017384733E-5</v>
      </c>
      <c r="AB16" s="20"/>
      <c r="AC16" s="19"/>
      <c r="AD16" s="19"/>
      <c r="AE16" s="148">
        <f>AB22</f>
        <v>-2902300.78125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4.25" thickBot="1" x14ac:dyDescent="0.3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49">
        <f>-E4/(6*I18)</f>
        <v>-6875</v>
      </c>
      <c r="W17" s="150">
        <f>-(E4/I18+F4/D21)/3</f>
        <v>-23750</v>
      </c>
      <c r="X17" s="5"/>
      <c r="Y17" s="2"/>
      <c r="Z17" s="66">
        <v>1.3303099017384733E-5</v>
      </c>
      <c r="AA17" s="64">
        <v>-4.595616024187453E-5</v>
      </c>
      <c r="AB17" s="3"/>
      <c r="AC17" s="2"/>
      <c r="AD17" s="2"/>
      <c r="AE17" s="151">
        <f>AC22</f>
        <v>-3125900.78125</v>
      </c>
      <c r="AF17" s="2"/>
      <c r="AG17" s="2"/>
      <c r="AH17" s="59">
        <v>0</v>
      </c>
      <c r="AI17" s="60">
        <f>5+MAX('CCC-car.3'!AI17:AI49)</f>
        <v>155.26</v>
      </c>
      <c r="AJ17" s="2"/>
      <c r="AK17" s="67">
        <f>AK55</f>
        <v>0</v>
      </c>
      <c r="AL17" s="6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'CCC-Trave int1 (P1)'!B77</f>
        <v>1</v>
      </c>
      <c r="C18" s="16">
        <f>'CCC-Trave int1 (P1)'!C77</f>
        <v>1.3333333333333334E-4</v>
      </c>
      <c r="D18" s="16">
        <f>B18*C18</f>
        <v>1.3333333333333334E-4</v>
      </c>
      <c r="G18" s="16">
        <f>'CCC-Trave int1 (P1)'!G77</f>
        <v>1</v>
      </c>
      <c r="H18" s="16">
        <f>'CCC-Trave int1 (P1)'!H77</f>
        <v>1.3333333333333334E-4</v>
      </c>
      <c r="I18" s="16">
        <f>G18*H18</f>
        <v>1.3333333333333334E-4</v>
      </c>
      <c r="V18" s="49"/>
      <c r="W18" s="3" t="s">
        <v>95</v>
      </c>
      <c r="X18" s="5"/>
      <c r="Y18" s="2"/>
      <c r="Z18" s="3"/>
      <c r="AA18" s="3" t="s">
        <v>96</v>
      </c>
      <c r="AB18" s="3"/>
      <c r="AC18" s="2"/>
      <c r="AD18" s="2"/>
      <c r="AE18" s="3" t="s">
        <v>97</v>
      </c>
      <c r="AF18" s="2"/>
      <c r="AG18" s="2"/>
      <c r="AH18" s="65">
        <f>C4</f>
        <v>0</v>
      </c>
      <c r="AI18" s="62">
        <f>AI17</f>
        <v>155.26</v>
      </c>
      <c r="AJ18" s="2"/>
      <c r="AK18" s="61">
        <f>AK17</f>
        <v>0</v>
      </c>
      <c r="AL18" s="87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65">
        <f>AH18</f>
        <v>0</v>
      </c>
      <c r="AI19" s="62">
        <f>AI18+C7</f>
        <v>155.26</v>
      </c>
      <c r="AJ19" s="2"/>
      <c r="AK19" s="61">
        <f>AK56</f>
        <v>4</v>
      </c>
      <c r="AL19" s="87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4.25" thickBot="1" x14ac:dyDescent="0.3">
      <c r="A20" s="17" t="s">
        <v>88</v>
      </c>
      <c r="B20" s="16" t="s">
        <v>89</v>
      </c>
      <c r="C20" s="16" t="s">
        <v>90</v>
      </c>
      <c r="D20" s="16" t="s">
        <v>91</v>
      </c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65">
        <v>0</v>
      </c>
      <c r="AI20" s="62">
        <f>AI19</f>
        <v>155.26</v>
      </c>
      <c r="AJ20" s="2"/>
      <c r="AK20" s="61">
        <f>AK19</f>
        <v>4</v>
      </c>
      <c r="AL20" s="87">
        <f>AE59</f>
        <v>-91.794432161753548</v>
      </c>
      <c r="AM20" s="2"/>
      <c r="AN20" s="22"/>
    </row>
    <row r="21" spans="1:46" s="46" customFormat="1" ht="12.75" thickBot="1" x14ac:dyDescent="0.25">
      <c r="A21" s="1"/>
      <c r="B21" s="16">
        <f>'CCC-Trave int1 (P1)'!B80</f>
        <v>1</v>
      </c>
      <c r="C21" s="16">
        <f>'CCC-Trave int1 (P1)'!C80</f>
        <v>1.3333333333333334E-4</v>
      </c>
      <c r="D21" s="16">
        <f>B21*C21</f>
        <v>1.3333333333333334E-4</v>
      </c>
      <c r="F21" s="3"/>
      <c r="G21" s="3"/>
      <c r="H21" s="3"/>
      <c r="I21" s="3"/>
      <c r="V21" s="24" t="s">
        <v>7</v>
      </c>
      <c r="W21" s="152">
        <f t="array" ref="W21:W22">MMULT(matCinv,matN)</f>
        <v>91.794432161753576</v>
      </c>
      <c r="X21" s="2"/>
      <c r="Y21" s="59" t="s">
        <v>12</v>
      </c>
      <c r="Z21" s="60">
        <f>C7*C4^2/2</f>
        <v>0</v>
      </c>
      <c r="AA21" s="2"/>
      <c r="AB21" s="59" t="s">
        <v>79</v>
      </c>
      <c r="AC21" s="60" t="s">
        <v>98</v>
      </c>
      <c r="AD21" s="3"/>
      <c r="AE21" s="2"/>
      <c r="AF21" s="2"/>
      <c r="AG21" s="2"/>
      <c r="AH21" s="66">
        <v>0</v>
      </c>
      <c r="AI21" s="64">
        <f>AI17</f>
        <v>155.26</v>
      </c>
      <c r="AJ21" s="2"/>
      <c r="AK21" s="61">
        <f>AK57</f>
        <v>9.5</v>
      </c>
      <c r="AL21" s="87">
        <v>0</v>
      </c>
      <c r="AM21" s="2"/>
      <c r="AN21" s="22"/>
    </row>
    <row r="22" spans="1:46" ht="12.75" thickBot="1" x14ac:dyDescent="0.25">
      <c r="V22" s="24" t="s">
        <v>80</v>
      </c>
      <c r="W22" s="71">
        <v>105.04480253212395</v>
      </c>
      <c r="X22" s="2"/>
      <c r="Y22" s="66" t="s">
        <v>99</v>
      </c>
      <c r="Z22" s="64">
        <f>G7*G4^2/2</f>
        <v>0</v>
      </c>
      <c r="AA22" s="2"/>
      <c r="AB22" s="153">
        <f>(C7*C4^2/2)*D4/(6*D18)-D7*D4^3/(24*D18)-E7*E4^3/(24*I18)</f>
        <v>-2902300.78125</v>
      </c>
      <c r="AC22" s="154">
        <f>-E7*E4^3/(24*I18)-F7*F4^3/(24*D21)+Z22*F4/(6*D21)</f>
        <v>-3125900.78125</v>
      </c>
      <c r="AD22" s="44"/>
      <c r="AE22" s="2"/>
      <c r="AF22" s="2"/>
      <c r="AG22" s="2"/>
      <c r="AH22" s="2"/>
      <c r="AI22" s="2"/>
      <c r="AJ22" s="2"/>
      <c r="AK22" s="61">
        <f>AK21</f>
        <v>9.5</v>
      </c>
      <c r="AL22" s="87">
        <f>AE68</f>
        <v>-105.04480253212409</v>
      </c>
      <c r="AM22" s="2"/>
      <c r="AN22" s="22"/>
    </row>
    <row r="23" spans="1:46" ht="12.75" thickBot="1" x14ac:dyDescent="0.25">
      <c r="V23" s="24"/>
      <c r="W23" s="3" t="s">
        <v>100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61">
        <f>AK58</f>
        <v>13.5</v>
      </c>
      <c r="AL23" s="87">
        <v>0</v>
      </c>
      <c r="AM23" s="2"/>
      <c r="AN23" s="22"/>
    </row>
    <row r="24" spans="1:46" ht="12.75" thickBot="1" x14ac:dyDescent="0.25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59">
        <f>C4</f>
        <v>0</v>
      </c>
      <c r="AI24" s="60">
        <f>AI17</f>
        <v>155.26</v>
      </c>
      <c r="AJ24" s="2"/>
      <c r="AK24" s="63">
        <f>AK23</f>
        <v>13.5</v>
      </c>
      <c r="AL24" s="69">
        <f>AE77</f>
        <v>0</v>
      </c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61">
        <f>AK56</f>
        <v>4</v>
      </c>
      <c r="AI25" s="62">
        <f>AI24</f>
        <v>155.26</v>
      </c>
      <c r="AJ25" s="2"/>
      <c r="AK25" s="11"/>
      <c r="AL25" s="11"/>
      <c r="AM25" s="2"/>
      <c r="AN25" s="22"/>
    </row>
    <row r="26" spans="1:46" ht="12.75" thickBot="1" x14ac:dyDescent="0.25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61">
        <f>AH25</f>
        <v>4</v>
      </c>
      <c r="AI26" s="62">
        <f>AI25+D7</f>
        <v>187.5</v>
      </c>
      <c r="AJ26" s="3"/>
      <c r="AK26" s="11"/>
      <c r="AL26" s="11"/>
      <c r="AM26" s="2"/>
      <c r="AN26" s="22"/>
    </row>
    <row r="27" spans="1:46" x14ac:dyDescent="0.2">
      <c r="V27" s="98" t="s">
        <v>8</v>
      </c>
      <c r="W27" s="70" t="s">
        <v>9</v>
      </c>
      <c r="X27" s="70" t="s">
        <v>10</v>
      </c>
      <c r="Y27" s="155" t="s">
        <v>11</v>
      </c>
      <c r="Z27" s="70" t="s">
        <v>76</v>
      </c>
      <c r="AA27" s="70" t="s">
        <v>77</v>
      </c>
      <c r="AB27" s="70" t="s">
        <v>92</v>
      </c>
      <c r="AC27" s="70" t="s">
        <v>93</v>
      </c>
      <c r="AD27" s="3"/>
      <c r="AE27" s="3"/>
      <c r="AF27" s="3"/>
      <c r="AG27" s="3"/>
      <c r="AH27" s="65">
        <f>AH24</f>
        <v>0</v>
      </c>
      <c r="AI27" s="62">
        <f>AI26</f>
        <v>187.5</v>
      </c>
      <c r="AJ27" s="3"/>
      <c r="AK27" s="11"/>
      <c r="AL27" s="11"/>
      <c r="AM27" s="2"/>
      <c r="AN27" s="22"/>
    </row>
    <row r="28" spans="1:46" ht="12.75" thickBot="1" x14ac:dyDescent="0.25">
      <c r="V28" s="99">
        <f>C7*C4</f>
        <v>0</v>
      </c>
      <c r="W28" s="71">
        <f>D7*D4-X28</f>
        <v>41.531391959561603</v>
      </c>
      <c r="X28" s="71">
        <f>(W21-Z21+D7*D4^2/2)/D4</f>
        <v>87.428608040438377</v>
      </c>
      <c r="Y28" s="156">
        <f>E7*E4-Z28</f>
        <v>116.99584175084173</v>
      </c>
      <c r="Z28" s="71">
        <f>(W22-W21+E7*E4^2/2)/E4</f>
        <v>121.81415824915827</v>
      </c>
      <c r="AA28" s="71">
        <f>F7*F4-AB28</f>
        <v>113.101200633031</v>
      </c>
      <c r="AB28" s="71">
        <f>(Z22-W22+F7*F4^2/2)/F4</f>
        <v>60.578799366969015</v>
      </c>
      <c r="AC28" s="71">
        <f>G7*G4</f>
        <v>0</v>
      </c>
      <c r="AD28" s="11"/>
      <c r="AE28" s="11"/>
      <c r="AF28" s="3"/>
      <c r="AG28" s="3"/>
      <c r="AH28" s="66">
        <f>AH24</f>
        <v>0</v>
      </c>
      <c r="AI28" s="64">
        <f>AI24</f>
        <v>155.26</v>
      </c>
      <c r="AJ28" s="3"/>
      <c r="AK28" s="11"/>
      <c r="AL28" s="11"/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ht="12.75" thickBot="1" x14ac:dyDescent="0.25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ht="12.75" thickBot="1" x14ac:dyDescent="0.25">
      <c r="V31" s="23"/>
      <c r="W31" s="2"/>
      <c r="X31" s="59" t="s">
        <v>0</v>
      </c>
      <c r="Y31" s="94" t="s">
        <v>1</v>
      </c>
      <c r="Z31" s="94" t="s">
        <v>78</v>
      </c>
      <c r="AA31" s="60" t="s">
        <v>94</v>
      </c>
      <c r="AB31" s="3"/>
      <c r="AC31" s="2"/>
      <c r="AD31" s="2"/>
      <c r="AE31" s="2"/>
      <c r="AF31" s="2"/>
      <c r="AG31" s="2"/>
      <c r="AH31" s="67">
        <f>AK56</f>
        <v>4</v>
      </c>
      <c r="AI31" s="60">
        <f>AI17</f>
        <v>155.26</v>
      </c>
      <c r="AJ31" s="2"/>
      <c r="AK31" s="2" t="s">
        <v>21</v>
      </c>
      <c r="AL31" s="2"/>
      <c r="AM31" s="2"/>
      <c r="AN31" s="22"/>
    </row>
    <row r="32" spans="1:46" ht="12.75" thickBot="1" x14ac:dyDescent="0.25">
      <c r="V32" s="23"/>
      <c r="W32" s="2"/>
      <c r="X32" s="63">
        <f>V28+W28</f>
        <v>41.531391959561603</v>
      </c>
      <c r="Y32" s="88">
        <f>X28+Y28</f>
        <v>204.4244497912801</v>
      </c>
      <c r="Z32" s="88">
        <f>Z28+AA28</f>
        <v>234.91535888218925</v>
      </c>
      <c r="AA32" s="69">
        <f>AB28+AC28</f>
        <v>60.578799366969015</v>
      </c>
      <c r="AB32" s="11"/>
      <c r="AC32" s="2"/>
      <c r="AD32" s="2"/>
      <c r="AE32" s="2"/>
      <c r="AF32" s="2"/>
      <c r="AG32" s="2"/>
      <c r="AH32" s="61">
        <f>AK57</f>
        <v>9.5</v>
      </c>
      <c r="AI32" s="62">
        <f>AI31</f>
        <v>155.26</v>
      </c>
      <c r="AJ32" s="2"/>
      <c r="AK32" s="155" t="s">
        <v>22</v>
      </c>
      <c r="AL32" s="94" t="s">
        <v>25</v>
      </c>
      <c r="AM32" s="94" t="s">
        <v>2</v>
      </c>
      <c r="AN32" s="100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61">
        <f>AH32</f>
        <v>9.5</v>
      </c>
      <c r="AI33" s="62">
        <f>AI32+E7</f>
        <v>198.68</v>
      </c>
      <c r="AJ33" s="2"/>
      <c r="AK33" s="157" t="s">
        <v>23</v>
      </c>
      <c r="AL33" s="8">
        <f>W28/D7</f>
        <v>1.2881945396886356</v>
      </c>
      <c r="AM33" s="8">
        <f>C4+AL33</f>
        <v>1.2881945396886356</v>
      </c>
      <c r="AN33" s="129">
        <f>W28*AL33-D7*AL33^2/2+AE50</f>
        <v>26.750256173987882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61">
        <f>AH31</f>
        <v>4</v>
      </c>
      <c r="AI34" s="62">
        <f>AI33</f>
        <v>198.68</v>
      </c>
      <c r="AJ34" s="2"/>
      <c r="AK34" s="158" t="s">
        <v>82</v>
      </c>
      <c r="AL34" s="8">
        <f>Y28/E7</f>
        <v>2.6945150103832733</v>
      </c>
      <c r="AM34" s="8">
        <f>C4+D4+AL34</f>
        <v>6.6945150103832738</v>
      </c>
      <c r="AN34" s="129">
        <f>Y28*AL34-E7*AL34^2/2+AE59</f>
        <v>65.829093713281054</v>
      </c>
    </row>
    <row r="35" spans="22:40" ht="12.75" thickBot="1" x14ac:dyDescent="0.25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63">
        <f>AH31</f>
        <v>4</v>
      </c>
      <c r="AI35" s="64">
        <f>AI31</f>
        <v>155.26</v>
      </c>
      <c r="AJ35" s="2"/>
      <c r="AK35" s="159" t="s">
        <v>101</v>
      </c>
      <c r="AL35" s="88">
        <f>AA28/F7</f>
        <v>2.604818070774551</v>
      </c>
      <c r="AM35" s="88">
        <f>C4+D4+E4+AL35</f>
        <v>12.104818070774551</v>
      </c>
      <c r="AN35" s="101">
        <f>AA28*AL35-F7*AL35^2/2+AE68</f>
        <v>42.259223085484479</v>
      </c>
    </row>
    <row r="36" spans="22:40" x14ac:dyDescent="0.2">
      <c r="V36" s="102">
        <f>AK55</f>
        <v>0</v>
      </c>
      <c r="W36" s="73">
        <v>0</v>
      </c>
      <c r="X36" s="2"/>
      <c r="Y36" s="72">
        <f>AK56</f>
        <v>4</v>
      </c>
      <c r="Z36" s="73">
        <v>0</v>
      </c>
      <c r="AA36" s="2"/>
      <c r="AB36" s="72">
        <f>AK57</f>
        <v>9.5</v>
      </c>
      <c r="AC36" s="73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ht="12.75" thickBot="1" x14ac:dyDescent="0.25">
      <c r="V37" s="103">
        <f>V36</f>
        <v>0</v>
      </c>
      <c r="W37" s="75">
        <f>X32</f>
        <v>41.531391959561603</v>
      </c>
      <c r="X37" s="2"/>
      <c r="Y37" s="74">
        <f>Y36</f>
        <v>4</v>
      </c>
      <c r="Z37" s="75">
        <f>Y32</f>
        <v>204.4244497912801</v>
      </c>
      <c r="AA37" s="2"/>
      <c r="AB37" s="74">
        <f>AB36</f>
        <v>9.5</v>
      </c>
      <c r="AC37" s="75">
        <f>Z32</f>
        <v>234.91535888218925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67">
        <f>AK57</f>
        <v>9.5</v>
      </c>
      <c r="AI38" s="60">
        <f>AI17</f>
        <v>155.26</v>
      </c>
      <c r="AJ38" s="3"/>
      <c r="AK38" s="3"/>
      <c r="AL38" s="3"/>
      <c r="AM38" s="3"/>
      <c r="AN38" s="25"/>
    </row>
    <row r="39" spans="22:40" ht="12.75" thickBot="1" x14ac:dyDescent="0.25">
      <c r="V39" s="23" t="s">
        <v>103</v>
      </c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61">
        <f>AK58</f>
        <v>13.5</v>
      </c>
      <c r="AI39" s="62">
        <f>AI38</f>
        <v>155.26</v>
      </c>
      <c r="AJ39" s="3"/>
      <c r="AK39" s="2" t="s">
        <v>27</v>
      </c>
      <c r="AL39" s="2"/>
      <c r="AM39" s="3"/>
      <c r="AN39" s="25"/>
    </row>
    <row r="40" spans="22:40" x14ac:dyDescent="0.2">
      <c r="V40" s="102">
        <f>AK58</f>
        <v>13.5</v>
      </c>
      <c r="W40" s="73">
        <v>0</v>
      </c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61">
        <f>AH39</f>
        <v>13.5</v>
      </c>
      <c r="AI40" s="62">
        <f>AI39+F7</f>
        <v>198.68</v>
      </c>
      <c r="AJ40" s="2"/>
      <c r="AK40" s="67">
        <f>AM33</f>
        <v>1.2881945396886356</v>
      </c>
      <c r="AL40" s="60">
        <v>0</v>
      </c>
      <c r="AM40" s="2"/>
      <c r="AN40" s="22"/>
    </row>
    <row r="41" spans="22:40" ht="12.75" thickBot="1" x14ac:dyDescent="0.25">
      <c r="V41" s="103">
        <f>V40</f>
        <v>13.5</v>
      </c>
      <c r="W41" s="75">
        <f>AA32</f>
        <v>60.578799366969015</v>
      </c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61">
        <f>AH38</f>
        <v>9.5</v>
      </c>
      <c r="AI41" s="62">
        <f>AI40</f>
        <v>198.68</v>
      </c>
      <c r="AJ41" s="2"/>
      <c r="AK41" s="61">
        <f>AK40</f>
        <v>1.2881945396886356</v>
      </c>
      <c r="AL41" s="87">
        <f>AN33</f>
        <v>26.750256173987882</v>
      </c>
      <c r="AM41" s="2"/>
      <c r="AN41" s="22"/>
    </row>
    <row r="42" spans="22:40" ht="12.75" thickBot="1" x14ac:dyDescent="0.25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63">
        <f>AH38</f>
        <v>9.5</v>
      </c>
      <c r="AI42" s="64">
        <f>AI38</f>
        <v>155.26</v>
      </c>
      <c r="AJ42" s="2"/>
      <c r="AK42" s="61">
        <f>AM34</f>
        <v>6.6945150103832738</v>
      </c>
      <c r="AL42" s="62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61">
        <f>AK42</f>
        <v>6.6945150103832738</v>
      </c>
      <c r="AL43" s="87">
        <f>AN34</f>
        <v>65.829093713281054</v>
      </c>
      <c r="AM43" s="2"/>
      <c r="AN43" s="22"/>
    </row>
    <row r="44" spans="22:40" ht="12.75" thickBot="1" x14ac:dyDescent="0.25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18</v>
      </c>
      <c r="AI44" s="3"/>
      <c r="AJ44" s="2"/>
      <c r="AK44" s="61">
        <f>AM35</f>
        <v>12.104818070774551</v>
      </c>
      <c r="AL44" s="62">
        <v>0</v>
      </c>
      <c r="AM44" s="2"/>
      <c r="AN44" s="22"/>
    </row>
    <row r="45" spans="22:40" ht="12.75" thickBot="1" x14ac:dyDescent="0.25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67">
        <f>AK58</f>
        <v>13.5</v>
      </c>
      <c r="AI45" s="60">
        <f>AI17</f>
        <v>155.26</v>
      </c>
      <c r="AJ45" s="2"/>
      <c r="AK45" s="63">
        <f>AK44</f>
        <v>12.104818070774551</v>
      </c>
      <c r="AL45" s="69">
        <f>AN35</f>
        <v>42.259223085484479</v>
      </c>
      <c r="AM45" s="2"/>
      <c r="AN45" s="22"/>
    </row>
    <row r="46" spans="22:40" ht="12.75" thickBot="1" x14ac:dyDescent="0.25">
      <c r="V46" s="104" t="s">
        <v>2</v>
      </c>
      <c r="W46" s="76" t="s">
        <v>3</v>
      </c>
      <c r="X46" s="77" t="s">
        <v>4</v>
      </c>
      <c r="Y46" s="2"/>
      <c r="Z46" s="83" t="s">
        <v>2</v>
      </c>
      <c r="AA46" s="84" t="s">
        <v>3</v>
      </c>
      <c r="AB46" s="60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61">
        <f>AK59</f>
        <v>13.5</v>
      </c>
      <c r="AI46" s="62">
        <f>AI45</f>
        <v>155.26</v>
      </c>
      <c r="AJ46" s="2"/>
      <c r="AK46" s="11"/>
      <c r="AL46" s="3"/>
      <c r="AM46" s="2"/>
      <c r="AN46" s="22"/>
    </row>
    <row r="47" spans="22:40" x14ac:dyDescent="0.2">
      <c r="V47" s="26">
        <v>0</v>
      </c>
      <c r="W47" s="7">
        <f>-$C$7*V47^2/2</f>
        <v>0</v>
      </c>
      <c r="X47" s="79">
        <f>-$C$7*V47</f>
        <v>0</v>
      </c>
      <c r="Y47" s="2"/>
      <c r="Z47" s="85">
        <v>0</v>
      </c>
      <c r="AA47" s="10">
        <f t="shared" ref="AA47:AA55" si="0">-$Z$21-$D$7*Z47^2/2+$W$28*Z47</f>
        <v>0</v>
      </c>
      <c r="AB47" s="86">
        <f t="shared" ref="AB47:AB55" si="1">-$D$7*Z47+$W$28</f>
        <v>41.531391959561603</v>
      </c>
      <c r="AC47" s="2"/>
      <c r="AD47" s="160">
        <f t="shared" ref="AD47:AF50" si="2">V47</f>
        <v>0</v>
      </c>
      <c r="AE47" s="161">
        <f t="shared" si="2"/>
        <v>0</v>
      </c>
      <c r="AF47" s="162">
        <f t="shared" si="2"/>
        <v>0</v>
      </c>
      <c r="AG47" s="2"/>
      <c r="AH47" s="61">
        <f>AH46</f>
        <v>13.5</v>
      </c>
      <c r="AI47" s="62">
        <f>AI46+G7</f>
        <v>155.26</v>
      </c>
      <c r="AJ47" s="2"/>
      <c r="AK47" s="11"/>
      <c r="AL47" s="11"/>
      <c r="AM47" s="2"/>
      <c r="AN47" s="22"/>
    </row>
    <row r="48" spans="22:40" x14ac:dyDescent="0.2">
      <c r="V48" s="26">
        <f>$C$4/3</f>
        <v>0</v>
      </c>
      <c r="W48" s="7">
        <f>-$C$7*V48^2/2</f>
        <v>0</v>
      </c>
      <c r="X48" s="79">
        <f>-$C$7*V48</f>
        <v>0</v>
      </c>
      <c r="Y48" s="2"/>
      <c r="Z48" s="85">
        <f>$D$4/8</f>
        <v>0.5</v>
      </c>
      <c r="AA48" s="10">
        <f t="shared" si="0"/>
        <v>16.7356959797808</v>
      </c>
      <c r="AB48" s="86">
        <f t="shared" si="1"/>
        <v>25.411391959561605</v>
      </c>
      <c r="AC48" s="2"/>
      <c r="AD48" s="78">
        <f t="shared" si="2"/>
        <v>0</v>
      </c>
      <c r="AE48" s="7">
        <f t="shared" si="2"/>
        <v>0</v>
      </c>
      <c r="AF48" s="79">
        <f t="shared" si="2"/>
        <v>0</v>
      </c>
      <c r="AG48" s="2"/>
      <c r="AH48" s="61">
        <f>AH45</f>
        <v>13.5</v>
      </c>
      <c r="AI48" s="62">
        <f>AI47</f>
        <v>155.26</v>
      </c>
      <c r="AJ48" s="2"/>
      <c r="AK48" s="2"/>
      <c r="AL48" s="2"/>
      <c r="AM48" s="2"/>
      <c r="AN48" s="22"/>
    </row>
    <row r="49" spans="13:40" ht="12.75" thickBot="1" x14ac:dyDescent="0.25">
      <c r="V49" s="26">
        <f>2*$C$4/3</f>
        <v>0</v>
      </c>
      <c r="W49" s="7">
        <f>-$C$7*V49^2/2</f>
        <v>0</v>
      </c>
      <c r="X49" s="79">
        <f>-$C$7*V49</f>
        <v>0</v>
      </c>
      <c r="Y49" s="2"/>
      <c r="Z49" s="85">
        <f>2*$D$4/8</f>
        <v>1</v>
      </c>
      <c r="AA49" s="10">
        <f t="shared" si="0"/>
        <v>25.411391959561605</v>
      </c>
      <c r="AB49" s="86">
        <f t="shared" si="1"/>
        <v>9.2913919595616079</v>
      </c>
      <c r="AC49" s="2"/>
      <c r="AD49" s="78">
        <f t="shared" si="2"/>
        <v>0</v>
      </c>
      <c r="AE49" s="7">
        <f t="shared" si="2"/>
        <v>0</v>
      </c>
      <c r="AF49" s="79">
        <f t="shared" si="2"/>
        <v>0</v>
      </c>
      <c r="AG49" s="2"/>
      <c r="AH49" s="63">
        <f>AH45</f>
        <v>13.5</v>
      </c>
      <c r="AI49" s="64">
        <f>AI45</f>
        <v>155.26</v>
      </c>
      <c r="AJ49" s="2"/>
      <c r="AK49" s="2"/>
      <c r="AL49" s="2"/>
      <c r="AM49" s="2"/>
      <c r="AN49" s="22"/>
    </row>
    <row r="50" spans="13:40" ht="12.75" thickBot="1" x14ac:dyDescent="0.25">
      <c r="V50" s="105">
        <f>3*$C$4/3</f>
        <v>0</v>
      </c>
      <c r="W50" s="80">
        <f>-$C$7*V50^2/2</f>
        <v>0</v>
      </c>
      <c r="X50" s="81">
        <f>-$C$7*V50</f>
        <v>0</v>
      </c>
      <c r="Y50" s="2"/>
      <c r="Z50" s="85">
        <f>3*$D$4/8</f>
        <v>1.5</v>
      </c>
      <c r="AA50" s="10">
        <f t="shared" si="0"/>
        <v>26.027087939342408</v>
      </c>
      <c r="AB50" s="86">
        <f t="shared" si="1"/>
        <v>-6.8286080404383895</v>
      </c>
      <c r="AC50" s="2"/>
      <c r="AD50" s="163">
        <f t="shared" si="2"/>
        <v>0</v>
      </c>
      <c r="AE50" s="80">
        <f t="shared" si="2"/>
        <v>0</v>
      </c>
      <c r="AF50" s="81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24"/>
      <c r="W51" s="3"/>
      <c r="X51" s="3"/>
      <c r="Y51" s="2"/>
      <c r="Z51" s="85">
        <f>4*$D$4/8</f>
        <v>2</v>
      </c>
      <c r="AA51" s="10">
        <f t="shared" si="0"/>
        <v>18.582783919123216</v>
      </c>
      <c r="AB51" s="86">
        <f t="shared" si="1"/>
        <v>-22.948608040438387</v>
      </c>
      <c r="AC51" s="2"/>
      <c r="AD51" s="164">
        <f t="shared" ref="AD51:AD59" si="3">$AD$50+Z47</f>
        <v>0</v>
      </c>
      <c r="AE51" s="165">
        <f t="shared" ref="AE51:AF59" si="4">AA47</f>
        <v>0</v>
      </c>
      <c r="AF51" s="166">
        <f t="shared" si="4"/>
        <v>41.531391959561603</v>
      </c>
      <c r="AG51" s="2"/>
      <c r="AH51" s="2"/>
      <c r="AI51" s="2"/>
      <c r="AJ51" s="2"/>
      <c r="AK51" s="2"/>
      <c r="AL51" s="2"/>
      <c r="AM51" s="2"/>
      <c r="AN51" s="22"/>
    </row>
    <row r="52" spans="13:40" ht="12.75" thickBot="1" x14ac:dyDescent="0.25">
      <c r="V52" s="24"/>
      <c r="W52" s="3"/>
      <c r="X52" s="3"/>
      <c r="Y52" s="2"/>
      <c r="Z52" s="85">
        <f>5*$D$4/8</f>
        <v>2.5</v>
      </c>
      <c r="AA52" s="10">
        <f t="shared" si="0"/>
        <v>3.0784798989040212</v>
      </c>
      <c r="AB52" s="86">
        <f t="shared" si="1"/>
        <v>-39.068608040438392</v>
      </c>
      <c r="AC52" s="3"/>
      <c r="AD52" s="85">
        <f t="shared" si="3"/>
        <v>0.5</v>
      </c>
      <c r="AE52" s="10">
        <f t="shared" si="4"/>
        <v>16.7356959797808</v>
      </c>
      <c r="AF52" s="86">
        <f t="shared" si="4"/>
        <v>25.411391959561605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85">
        <f>6*$D$4/8</f>
        <v>3</v>
      </c>
      <c r="AA53" s="10">
        <f t="shared" si="0"/>
        <v>-20.485824121315176</v>
      </c>
      <c r="AB53" s="86">
        <f t="shared" si="1"/>
        <v>-55.188608040438382</v>
      </c>
      <c r="AC53" s="3"/>
      <c r="AD53" s="85">
        <f t="shared" si="3"/>
        <v>1</v>
      </c>
      <c r="AE53" s="10">
        <f t="shared" si="4"/>
        <v>25.411391959561605</v>
      </c>
      <c r="AF53" s="86">
        <f t="shared" si="4"/>
        <v>9.2913919595616079</v>
      </c>
      <c r="AG53" s="2"/>
      <c r="AH53" s="2"/>
      <c r="AI53" s="2"/>
      <c r="AJ53" s="2"/>
      <c r="AK53" s="59" t="s">
        <v>2</v>
      </c>
      <c r="AL53" s="60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85">
        <f>7*$D$4/8</f>
        <v>3.5</v>
      </c>
      <c r="AA54" s="10">
        <f t="shared" si="0"/>
        <v>-52.110128141534346</v>
      </c>
      <c r="AB54" s="86">
        <f t="shared" si="1"/>
        <v>-71.308608040438372</v>
      </c>
      <c r="AC54" s="2"/>
      <c r="AD54" s="85">
        <f t="shared" si="3"/>
        <v>1.5</v>
      </c>
      <c r="AE54" s="10">
        <f t="shared" si="4"/>
        <v>26.027087939342408</v>
      </c>
      <c r="AF54" s="86">
        <f t="shared" si="4"/>
        <v>-6.8286080404383895</v>
      </c>
      <c r="AG54" s="2"/>
      <c r="AH54" s="2"/>
      <c r="AI54" s="2"/>
      <c r="AJ54" s="2"/>
      <c r="AK54" s="61">
        <v>0</v>
      </c>
      <c r="AL54" s="62">
        <v>0</v>
      </c>
      <c r="AM54" s="2"/>
      <c r="AN54" s="22"/>
    </row>
    <row r="55" spans="13:40" ht="12.75" thickBot="1" x14ac:dyDescent="0.25">
      <c r="M55" s="2"/>
      <c r="N55" s="2"/>
      <c r="V55" s="24"/>
      <c r="W55" s="3"/>
      <c r="X55" s="3"/>
      <c r="Y55" s="2"/>
      <c r="Z55" s="167">
        <f>8*$D$4/8</f>
        <v>4</v>
      </c>
      <c r="AA55" s="168">
        <f t="shared" si="0"/>
        <v>-91.794432161753548</v>
      </c>
      <c r="AB55" s="169">
        <f t="shared" si="1"/>
        <v>-87.428608040438377</v>
      </c>
      <c r="AC55" s="2"/>
      <c r="AD55" s="85">
        <f t="shared" si="3"/>
        <v>2</v>
      </c>
      <c r="AE55" s="10">
        <f t="shared" si="4"/>
        <v>18.582783919123216</v>
      </c>
      <c r="AF55" s="86">
        <f t="shared" si="4"/>
        <v>-22.948608040438387</v>
      </c>
      <c r="AG55" s="2"/>
      <c r="AH55" s="2"/>
      <c r="AI55" s="2"/>
      <c r="AJ55" s="2"/>
      <c r="AK55" s="61">
        <f>C4</f>
        <v>0</v>
      </c>
      <c r="AL55" s="62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85">
        <f t="shared" si="3"/>
        <v>2.5</v>
      </c>
      <c r="AE56" s="10">
        <f t="shared" si="4"/>
        <v>3.0784798989040212</v>
      </c>
      <c r="AF56" s="86">
        <f t="shared" si="4"/>
        <v>-39.068608040438392</v>
      </c>
      <c r="AG56" s="2"/>
      <c r="AH56" s="2"/>
      <c r="AI56" s="2"/>
      <c r="AJ56" s="2"/>
      <c r="AK56" s="61">
        <f>AK55+D4</f>
        <v>4</v>
      </c>
      <c r="AL56" s="62">
        <v>0</v>
      </c>
      <c r="AM56" s="2"/>
      <c r="AN56" s="22"/>
    </row>
    <row r="57" spans="13:40" ht="12.75" thickBot="1" x14ac:dyDescent="0.25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85">
        <f t="shared" si="3"/>
        <v>3</v>
      </c>
      <c r="AE57" s="10">
        <f t="shared" si="4"/>
        <v>-20.485824121315176</v>
      </c>
      <c r="AF57" s="86">
        <f t="shared" si="4"/>
        <v>-55.188608040438382</v>
      </c>
      <c r="AG57" s="2"/>
      <c r="AH57" s="2"/>
      <c r="AI57" s="2"/>
      <c r="AJ57" s="2"/>
      <c r="AK57" s="61">
        <f>AK56+E4</f>
        <v>9.5</v>
      </c>
      <c r="AL57" s="62">
        <v>0</v>
      </c>
      <c r="AM57" s="2"/>
      <c r="AN57" s="22"/>
    </row>
    <row r="58" spans="13:40" x14ac:dyDescent="0.2">
      <c r="V58" s="106" t="s">
        <v>2</v>
      </c>
      <c r="W58" s="84" t="s">
        <v>3</v>
      </c>
      <c r="X58" s="60" t="s">
        <v>4</v>
      </c>
      <c r="Y58" s="2"/>
      <c r="Z58" s="83" t="s">
        <v>2</v>
      </c>
      <c r="AA58" s="84" t="s">
        <v>3</v>
      </c>
      <c r="AB58" s="60" t="s">
        <v>4</v>
      </c>
      <c r="AC58" s="2"/>
      <c r="AD58" s="85">
        <f t="shared" si="3"/>
        <v>3.5</v>
      </c>
      <c r="AE58" s="10">
        <f t="shared" si="4"/>
        <v>-52.110128141534346</v>
      </c>
      <c r="AF58" s="86">
        <f t="shared" si="4"/>
        <v>-71.308608040438372</v>
      </c>
      <c r="AG58" s="2"/>
      <c r="AH58" s="2"/>
      <c r="AI58" s="2"/>
      <c r="AJ58" s="2"/>
      <c r="AK58" s="61">
        <f>AK57+F4</f>
        <v>13.5</v>
      </c>
      <c r="AL58" s="62">
        <v>0</v>
      </c>
      <c r="AM58" s="2"/>
      <c r="AN58" s="22"/>
    </row>
    <row r="59" spans="13:40" ht="12.75" thickBot="1" x14ac:dyDescent="0.25">
      <c r="V59" s="139">
        <v>0</v>
      </c>
      <c r="W59" s="140">
        <f t="shared" ref="W59:W67" si="5">-$W$21-$E$7*V59^2/2+$Y$28*V59</f>
        <v>-91.794432161753576</v>
      </c>
      <c r="X59" s="170">
        <f t="shared" ref="X59:X67" si="6">-$E$7*V59+$Y$28</f>
        <v>116.99584175084173</v>
      </c>
      <c r="Y59" s="2"/>
      <c r="Z59" s="171">
        <v>0</v>
      </c>
      <c r="AA59" s="172">
        <f t="shared" ref="AA59:AA67" si="7">-$W$22-$F$7*Z59^2/2+$AA$28*Z59</f>
        <v>-105.04480253212395</v>
      </c>
      <c r="AB59" s="173">
        <f t="shared" ref="AB59:AB67" si="8">-$F$7*Z59+$AA$28</f>
        <v>113.101200633031</v>
      </c>
      <c r="AC59" s="2"/>
      <c r="AD59" s="167">
        <f t="shared" si="3"/>
        <v>4</v>
      </c>
      <c r="AE59" s="168">
        <f t="shared" si="4"/>
        <v>-91.794432161753548</v>
      </c>
      <c r="AF59" s="169">
        <f t="shared" si="4"/>
        <v>-87.428608040438377</v>
      </c>
      <c r="AG59" s="2"/>
      <c r="AH59" s="2"/>
      <c r="AI59" s="2"/>
      <c r="AJ59" s="2"/>
      <c r="AK59" s="63">
        <f>AK58+G4</f>
        <v>13.5</v>
      </c>
      <c r="AL59" s="64">
        <v>0</v>
      </c>
      <c r="AM59" s="2"/>
      <c r="AN59" s="22"/>
    </row>
    <row r="60" spans="13:40" x14ac:dyDescent="0.2">
      <c r="V60" s="139">
        <f>$E$4/8</f>
        <v>0.6875</v>
      </c>
      <c r="W60" s="140">
        <f t="shared" si="5"/>
        <v>-21.621158145549884</v>
      </c>
      <c r="X60" s="170">
        <f t="shared" si="6"/>
        <v>87.144591750841727</v>
      </c>
      <c r="Y60" s="2"/>
      <c r="Z60" s="171">
        <f>$F$4/8</f>
        <v>0.5</v>
      </c>
      <c r="AA60" s="172">
        <f t="shared" si="7"/>
        <v>-53.921702215608448</v>
      </c>
      <c r="AB60" s="173">
        <f t="shared" si="8"/>
        <v>91.391200633030991</v>
      </c>
      <c r="AC60" s="2"/>
      <c r="AD60" s="174">
        <f t="shared" ref="AD60:AD68" si="9">$AD$59+V59</f>
        <v>4</v>
      </c>
      <c r="AE60" s="175">
        <f t="shared" ref="AE60:AF68" si="10">W59</f>
        <v>-91.794432161753576</v>
      </c>
      <c r="AF60" s="176">
        <f t="shared" si="10"/>
        <v>116.99584175084173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">
      <c r="V61" s="139">
        <f>2*$E$4/8</f>
        <v>1.375</v>
      </c>
      <c r="W61" s="140">
        <f t="shared" si="5"/>
        <v>28.029381495653809</v>
      </c>
      <c r="X61" s="170">
        <f t="shared" si="6"/>
        <v>57.293341750841734</v>
      </c>
      <c r="Y61" s="2"/>
      <c r="Z61" s="171">
        <f>2*$F$4/8</f>
        <v>1</v>
      </c>
      <c r="AA61" s="172">
        <f t="shared" si="7"/>
        <v>-13.653601899092962</v>
      </c>
      <c r="AB61" s="173">
        <f t="shared" si="8"/>
        <v>69.681200633030997</v>
      </c>
      <c r="AC61" s="2"/>
      <c r="AD61" s="177">
        <f t="shared" si="9"/>
        <v>4.6875</v>
      </c>
      <c r="AE61" s="140">
        <f t="shared" si="10"/>
        <v>-21.621158145549884</v>
      </c>
      <c r="AF61" s="170">
        <f t="shared" si="10"/>
        <v>87.144591750841727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3*$E$4/8</f>
        <v>2.0625</v>
      </c>
      <c r="W62" s="140">
        <f t="shared" si="5"/>
        <v>57.157186761857503</v>
      </c>
      <c r="X62" s="170">
        <f t="shared" si="6"/>
        <v>27.442091750841726</v>
      </c>
      <c r="Y62" s="2"/>
      <c r="Z62" s="171">
        <f>3*$F$4/8</f>
        <v>1.5</v>
      </c>
      <c r="AA62" s="172">
        <f t="shared" si="7"/>
        <v>15.759498417422549</v>
      </c>
      <c r="AB62" s="173">
        <f t="shared" si="8"/>
        <v>47.971200633031003</v>
      </c>
      <c r="AC62" s="2"/>
      <c r="AD62" s="177">
        <f t="shared" si="9"/>
        <v>5.375</v>
      </c>
      <c r="AE62" s="140">
        <f t="shared" si="10"/>
        <v>28.029381495653809</v>
      </c>
      <c r="AF62" s="170">
        <f t="shared" si="10"/>
        <v>57.293341750841734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4*$E$4/8</f>
        <v>2.75</v>
      </c>
      <c r="W63" s="140">
        <f t="shared" si="5"/>
        <v>65.76225765306117</v>
      </c>
      <c r="X63" s="170">
        <f t="shared" si="6"/>
        <v>-2.409158249158267</v>
      </c>
      <c r="Y63" s="2"/>
      <c r="Z63" s="171">
        <f>4*$F$4/8</f>
        <v>2</v>
      </c>
      <c r="AA63" s="172">
        <f t="shared" si="7"/>
        <v>34.317598733938041</v>
      </c>
      <c r="AB63" s="173">
        <f t="shared" si="8"/>
        <v>26.261200633030995</v>
      </c>
      <c r="AC63" s="2"/>
      <c r="AD63" s="177">
        <f t="shared" si="9"/>
        <v>6.0625</v>
      </c>
      <c r="AE63" s="140">
        <f t="shared" si="10"/>
        <v>57.157186761857503</v>
      </c>
      <c r="AF63" s="170">
        <f t="shared" si="10"/>
        <v>27.442091750841726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5*$E$4/8</f>
        <v>3.4375</v>
      </c>
      <c r="W64" s="140">
        <f t="shared" si="5"/>
        <v>53.844594169264894</v>
      </c>
      <c r="X64" s="170">
        <f t="shared" si="6"/>
        <v>-32.26040824915826</v>
      </c>
      <c r="Y64" s="2"/>
      <c r="Z64" s="171">
        <f>5*$F$4/8</f>
        <v>2.5</v>
      </c>
      <c r="AA64" s="172">
        <f t="shared" si="7"/>
        <v>42.020699050453544</v>
      </c>
      <c r="AB64" s="173">
        <f t="shared" si="8"/>
        <v>4.5512006330309873</v>
      </c>
      <c r="AC64" s="2"/>
      <c r="AD64" s="177">
        <f t="shared" si="9"/>
        <v>6.75</v>
      </c>
      <c r="AE64" s="140">
        <f t="shared" si="10"/>
        <v>65.76225765306117</v>
      </c>
      <c r="AF64" s="170">
        <f t="shared" si="10"/>
        <v>-2.409158249158267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6*$E$4/8</f>
        <v>4.125</v>
      </c>
      <c r="W65" s="140">
        <f t="shared" si="5"/>
        <v>21.404196310468592</v>
      </c>
      <c r="X65" s="170">
        <f t="shared" si="6"/>
        <v>-62.111658249158282</v>
      </c>
      <c r="Y65" s="2"/>
      <c r="Z65" s="171">
        <f>6*$F$4/8</f>
        <v>3</v>
      </c>
      <c r="AA65" s="172">
        <f t="shared" si="7"/>
        <v>38.868799366969029</v>
      </c>
      <c r="AB65" s="173">
        <f t="shared" si="8"/>
        <v>-17.158799366968992</v>
      </c>
      <c r="AC65" s="2"/>
      <c r="AD65" s="177">
        <f t="shared" si="9"/>
        <v>7.4375</v>
      </c>
      <c r="AE65" s="140">
        <f t="shared" si="10"/>
        <v>53.844594169264894</v>
      </c>
      <c r="AF65" s="170">
        <f t="shared" si="10"/>
        <v>-32.26040824915826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7*$E$4/8</f>
        <v>4.8125</v>
      </c>
      <c r="W66" s="140">
        <f t="shared" si="5"/>
        <v>-31.558935923327795</v>
      </c>
      <c r="X66" s="170">
        <f t="shared" si="6"/>
        <v>-91.962908249158275</v>
      </c>
      <c r="Y66" s="2"/>
      <c r="Z66" s="171">
        <f>7*$F$4/8</f>
        <v>3.5</v>
      </c>
      <c r="AA66" s="172">
        <f t="shared" si="7"/>
        <v>24.861899683484523</v>
      </c>
      <c r="AB66" s="173">
        <f t="shared" si="8"/>
        <v>-38.868799366969</v>
      </c>
      <c r="AC66" s="2"/>
      <c r="AD66" s="177">
        <f t="shared" si="9"/>
        <v>8.125</v>
      </c>
      <c r="AE66" s="140">
        <f t="shared" si="10"/>
        <v>21.404196310468592</v>
      </c>
      <c r="AF66" s="170">
        <f t="shared" si="10"/>
        <v>-62.111658249158282</v>
      </c>
      <c r="AG66" s="2"/>
      <c r="AH66" s="2"/>
      <c r="AI66" s="2"/>
      <c r="AJ66" s="2"/>
      <c r="AK66" s="2"/>
      <c r="AL66" s="2"/>
      <c r="AM66" s="2"/>
      <c r="AN66" s="22"/>
    </row>
    <row r="67" spans="22:40" ht="12.75" thickBot="1" x14ac:dyDescent="0.25">
      <c r="V67" s="178">
        <f>8*$E$4/8</f>
        <v>5.5</v>
      </c>
      <c r="W67" s="179">
        <f t="shared" si="5"/>
        <v>-105.04480253212409</v>
      </c>
      <c r="X67" s="180">
        <f t="shared" si="6"/>
        <v>-121.81415824915827</v>
      </c>
      <c r="Y67" s="2"/>
      <c r="Z67" s="181">
        <f>8*$F$4/8</f>
        <v>4</v>
      </c>
      <c r="AA67" s="182">
        <f t="shared" si="7"/>
        <v>0</v>
      </c>
      <c r="AB67" s="183">
        <f t="shared" si="8"/>
        <v>-60.578799366969008</v>
      </c>
      <c r="AC67" s="2"/>
      <c r="AD67" s="177">
        <f t="shared" si="9"/>
        <v>8.8125</v>
      </c>
      <c r="AE67" s="140">
        <f t="shared" si="10"/>
        <v>-31.558935923327795</v>
      </c>
      <c r="AF67" s="170">
        <f t="shared" si="10"/>
        <v>-91.962908249158275</v>
      </c>
      <c r="AG67" s="2"/>
      <c r="AH67" s="2"/>
      <c r="AI67" s="2"/>
      <c r="AJ67" s="2"/>
      <c r="AK67" s="2"/>
      <c r="AL67" s="2"/>
      <c r="AM67" s="2"/>
      <c r="AN67" s="22"/>
    </row>
    <row r="68" spans="22:40" ht="12.75" thickBot="1" x14ac:dyDescent="0.25">
      <c r="V68" s="23"/>
      <c r="W68" s="2"/>
      <c r="X68" s="2"/>
      <c r="Y68" s="2"/>
      <c r="Z68" s="2"/>
      <c r="AA68" s="2"/>
      <c r="AB68" s="2"/>
      <c r="AC68" s="2"/>
      <c r="AD68" s="184">
        <f t="shared" si="9"/>
        <v>9.5</v>
      </c>
      <c r="AE68" s="179">
        <f t="shared" si="10"/>
        <v>-105.04480253212409</v>
      </c>
      <c r="AF68" s="180">
        <f t="shared" si="10"/>
        <v>-121.81415824915827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185">
        <f t="shared" ref="AD69:AD77" si="11">$AD$68+Z59</f>
        <v>9.5</v>
      </c>
      <c r="AE69" s="186">
        <f t="shared" ref="AE69:AF77" si="12">AA59</f>
        <v>-105.04480253212395</v>
      </c>
      <c r="AF69" s="187">
        <f t="shared" si="12"/>
        <v>113.101200633031</v>
      </c>
      <c r="AG69" s="2"/>
      <c r="AH69" s="2"/>
      <c r="AI69" s="2"/>
      <c r="AJ69" s="2"/>
      <c r="AK69" s="2"/>
      <c r="AL69" s="2"/>
      <c r="AM69" s="2"/>
      <c r="AN69" s="22"/>
    </row>
    <row r="70" spans="22:40" ht="12.75" thickBot="1" x14ac:dyDescent="0.25">
      <c r="V70" s="23"/>
      <c r="W70" s="2"/>
      <c r="X70" s="2"/>
      <c r="Y70" s="2"/>
      <c r="Z70" s="2" t="s">
        <v>69</v>
      </c>
      <c r="AA70" s="2"/>
      <c r="AB70" s="2"/>
      <c r="AC70" s="2"/>
      <c r="AD70" s="171">
        <f t="shared" si="11"/>
        <v>10</v>
      </c>
      <c r="AE70" s="172">
        <f t="shared" si="12"/>
        <v>-53.921702215608448</v>
      </c>
      <c r="AF70" s="173">
        <f t="shared" si="12"/>
        <v>91.391200633030991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49"/>
      <c r="W71" s="5"/>
      <c r="X71" s="3"/>
      <c r="Y71" s="2"/>
      <c r="Z71" s="83" t="s">
        <v>2</v>
      </c>
      <c r="AA71" s="84" t="s">
        <v>3</v>
      </c>
      <c r="AB71" s="60" t="s">
        <v>4</v>
      </c>
      <c r="AC71" s="2"/>
      <c r="AD71" s="171">
        <f t="shared" si="11"/>
        <v>10.5</v>
      </c>
      <c r="AE71" s="172">
        <f t="shared" si="12"/>
        <v>-13.653601899092962</v>
      </c>
      <c r="AF71" s="173">
        <f t="shared" si="12"/>
        <v>69.681200633030997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">
      <c r="V72" s="49"/>
      <c r="W72" s="15"/>
      <c r="X72" s="15"/>
      <c r="Y72" s="2"/>
      <c r="Z72" s="61">
        <v>0</v>
      </c>
      <c r="AA72" s="8">
        <f>-$Z$22-$G$7*Z72^2/2+$AC$28*Z72</f>
        <v>0</v>
      </c>
      <c r="AB72" s="87">
        <f>$AC$28-$G$7*Z72</f>
        <v>0</v>
      </c>
      <c r="AC72" s="2"/>
      <c r="AD72" s="171">
        <f t="shared" si="11"/>
        <v>11</v>
      </c>
      <c r="AE72" s="172">
        <f t="shared" si="12"/>
        <v>15.759498417422549</v>
      </c>
      <c r="AF72" s="173">
        <f t="shared" si="12"/>
        <v>47.971200633031003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">
      <c r="V73" s="49"/>
      <c r="W73" s="15"/>
      <c r="X73" s="15"/>
      <c r="Y73" s="2"/>
      <c r="Z73" s="61">
        <f>$G$4/3</f>
        <v>0</v>
      </c>
      <c r="AA73" s="8">
        <f t="shared" ref="AA73:AA75" si="13">-$Z$22-$G$7*Z73^2/2+$AC$28*Z73</f>
        <v>0</v>
      </c>
      <c r="AB73" s="87">
        <f t="shared" ref="AB73:AB75" si="14">$AC$28-$G$7*Z73</f>
        <v>0</v>
      </c>
      <c r="AC73" s="2"/>
      <c r="AD73" s="171">
        <f t="shared" si="11"/>
        <v>11.5</v>
      </c>
      <c r="AE73" s="172">
        <f t="shared" si="12"/>
        <v>34.317598733938041</v>
      </c>
      <c r="AF73" s="173">
        <f t="shared" si="12"/>
        <v>26.261200633030995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">
      <c r="V74" s="49"/>
      <c r="W74" s="15"/>
      <c r="X74" s="15"/>
      <c r="Y74" s="2"/>
      <c r="Z74" s="61">
        <f>2*$G$4/3</f>
        <v>0</v>
      </c>
      <c r="AA74" s="8">
        <f t="shared" si="13"/>
        <v>0</v>
      </c>
      <c r="AB74" s="87">
        <f t="shared" si="14"/>
        <v>0</v>
      </c>
      <c r="AC74" s="2"/>
      <c r="AD74" s="171">
        <f t="shared" si="11"/>
        <v>12</v>
      </c>
      <c r="AE74" s="172">
        <f t="shared" si="12"/>
        <v>42.020699050453544</v>
      </c>
      <c r="AF74" s="173">
        <f t="shared" si="12"/>
        <v>4.5512006330309873</v>
      </c>
      <c r="AG74" s="2"/>
      <c r="AH74" s="2"/>
      <c r="AI74" s="2"/>
      <c r="AJ74" s="2"/>
      <c r="AK74" s="2"/>
      <c r="AL74" s="2"/>
      <c r="AM74" s="2"/>
      <c r="AN74" s="22"/>
    </row>
    <row r="75" spans="22:40" ht="12.75" thickBot="1" x14ac:dyDescent="0.25">
      <c r="V75" s="49"/>
      <c r="W75" s="15"/>
      <c r="X75" s="15"/>
      <c r="Y75" s="2"/>
      <c r="Z75" s="63">
        <f>3*$G$4/3</f>
        <v>0</v>
      </c>
      <c r="AA75" s="88">
        <f t="shared" si="13"/>
        <v>0</v>
      </c>
      <c r="AB75" s="69">
        <f t="shared" si="14"/>
        <v>0</v>
      </c>
      <c r="AC75" s="2"/>
      <c r="AD75" s="171">
        <f t="shared" si="11"/>
        <v>12.5</v>
      </c>
      <c r="AE75" s="172">
        <f t="shared" si="12"/>
        <v>38.868799366969029</v>
      </c>
      <c r="AF75" s="173">
        <f t="shared" si="12"/>
        <v>-17.158799366968992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">
      <c r="V76" s="49"/>
      <c r="W76" s="15"/>
      <c r="X76" s="15"/>
      <c r="Y76" s="2"/>
      <c r="Z76" s="3"/>
      <c r="AA76" s="3"/>
      <c r="AB76" s="3"/>
      <c r="AC76" s="2"/>
      <c r="AD76" s="171">
        <f t="shared" si="11"/>
        <v>13</v>
      </c>
      <c r="AE76" s="172">
        <f t="shared" si="12"/>
        <v>24.861899683484523</v>
      </c>
      <c r="AF76" s="173">
        <f t="shared" si="12"/>
        <v>-38.868799366969</v>
      </c>
      <c r="AG76" s="2"/>
      <c r="AH76" s="2"/>
      <c r="AI76" s="2"/>
      <c r="AJ76" s="2"/>
      <c r="AK76" s="2"/>
      <c r="AL76" s="2"/>
      <c r="AM76" s="2"/>
      <c r="AN76" s="22"/>
    </row>
    <row r="77" spans="22:40" ht="12.75" thickBot="1" x14ac:dyDescent="0.25">
      <c r="V77" s="49"/>
      <c r="W77" s="15"/>
      <c r="X77" s="15"/>
      <c r="Y77" s="2"/>
      <c r="Z77" s="3"/>
      <c r="AA77" s="3"/>
      <c r="AB77" s="3"/>
      <c r="AC77" s="2"/>
      <c r="AD77" s="181">
        <f t="shared" si="11"/>
        <v>13.5</v>
      </c>
      <c r="AE77" s="182">
        <f t="shared" si="12"/>
        <v>0</v>
      </c>
      <c r="AF77" s="183">
        <f t="shared" si="12"/>
        <v>-60.578799366969008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">
      <c r="V78" s="49"/>
      <c r="W78" s="15"/>
      <c r="X78" s="15"/>
      <c r="Y78" s="2"/>
      <c r="Z78" s="3"/>
      <c r="AA78" s="3"/>
      <c r="AB78" s="3"/>
      <c r="AC78" s="2"/>
      <c r="AD78" s="67">
        <f>$AD$77+Z72</f>
        <v>13.5</v>
      </c>
      <c r="AE78" s="188">
        <f t="shared" ref="AE78:AF81" si="15">AA72</f>
        <v>0</v>
      </c>
      <c r="AF78" s="68">
        <f t="shared" si="15"/>
        <v>0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">
      <c r="V79" s="49"/>
      <c r="W79" s="15"/>
      <c r="X79" s="15"/>
      <c r="Y79" s="2"/>
      <c r="Z79" s="3"/>
      <c r="AA79" s="3"/>
      <c r="AB79" s="3"/>
      <c r="AC79" s="2"/>
      <c r="AD79" s="61">
        <f t="shared" ref="AD79:AD81" si="16">$AD$77+Z73</f>
        <v>13.5</v>
      </c>
      <c r="AE79" s="8">
        <f t="shared" si="15"/>
        <v>0</v>
      </c>
      <c r="AF79" s="87">
        <f t="shared" si="15"/>
        <v>0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">
      <c r="V80" s="49"/>
      <c r="W80" s="15"/>
      <c r="X80" s="15"/>
      <c r="Y80" s="2"/>
      <c r="Z80" s="3"/>
      <c r="AA80" s="3"/>
      <c r="AB80" s="3"/>
      <c r="AC80" s="2"/>
      <c r="AD80" s="61">
        <f t="shared" si="16"/>
        <v>13.5</v>
      </c>
      <c r="AE80" s="8">
        <f t="shared" si="15"/>
        <v>0</v>
      </c>
      <c r="AF80" s="87">
        <f t="shared" si="15"/>
        <v>0</v>
      </c>
      <c r="AG80" s="2"/>
      <c r="AH80" s="2"/>
      <c r="AI80" s="2"/>
      <c r="AJ80" s="2"/>
      <c r="AK80" s="2"/>
      <c r="AL80" s="2"/>
      <c r="AM80" s="2"/>
      <c r="AN80" s="22"/>
    </row>
    <row r="81" spans="5:40" ht="12.75" thickBot="1" x14ac:dyDescent="0.25">
      <c r="V81" s="189"/>
      <c r="W81" s="27"/>
      <c r="X81" s="27"/>
      <c r="Y81" s="27"/>
      <c r="Z81" s="27"/>
      <c r="AA81" s="27"/>
      <c r="AB81" s="27"/>
      <c r="AC81" s="27"/>
      <c r="AD81" s="190">
        <f t="shared" si="16"/>
        <v>13.5</v>
      </c>
      <c r="AE81" s="143">
        <f t="shared" si="15"/>
        <v>0</v>
      </c>
      <c r="AF81" s="191">
        <f t="shared" si="15"/>
        <v>0</v>
      </c>
      <c r="AG81" s="27"/>
      <c r="AH81" s="27"/>
      <c r="AI81" s="27"/>
      <c r="AJ81" s="27"/>
      <c r="AK81" s="27"/>
      <c r="AL81" s="27"/>
      <c r="AM81" s="27"/>
      <c r="AN81" s="28"/>
    </row>
    <row r="82" spans="5:40" ht="12.75" thickTop="1" x14ac:dyDescent="0.2">
      <c r="V82" s="19"/>
      <c r="W82" s="19"/>
      <c r="X82" s="19"/>
      <c r="Y82" s="19"/>
      <c r="Z82" s="19"/>
      <c r="AA82" s="19"/>
      <c r="AB82" s="19"/>
      <c r="AC82" s="19"/>
      <c r="AD82" s="114"/>
      <c r="AE82" s="114"/>
      <c r="AF82" s="114"/>
      <c r="AG82" s="19"/>
      <c r="AH82" s="19"/>
      <c r="AI82" s="19"/>
      <c r="AJ82" s="19"/>
      <c r="AK82" s="19"/>
      <c r="AL82" s="19"/>
      <c r="AM82" s="19"/>
      <c r="AN82" s="19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oglio21"/>
  <dimension ref="A1:AT100"/>
  <sheetViews>
    <sheetView zoomScale="85" zoomScaleNormal="85" workbookViewId="0">
      <selection activeCell="D21" sqref="D21"/>
    </sheetView>
  </sheetViews>
  <sheetFormatPr defaultColWidth="9.140625" defaultRowHeight="12" x14ac:dyDescent="0.2"/>
  <cols>
    <col min="1" max="3" width="9.140625" style="1"/>
    <col min="4" max="4" width="10.42578125" style="1" bestFit="1" customWidth="1"/>
    <col min="5" max="16384" width="9.140625" style="1"/>
  </cols>
  <sheetData>
    <row r="1" spans="1:40" ht="15.75" customHeight="1" thickBot="1" x14ac:dyDescent="0.25">
      <c r="A1" s="334" t="s">
        <v>28</v>
      </c>
      <c r="B1" s="334"/>
      <c r="C1" s="334"/>
      <c r="D1" s="334"/>
      <c r="E1" s="334"/>
      <c r="F1" s="334"/>
      <c r="G1" s="334"/>
      <c r="H1" s="334"/>
      <c r="I1" s="334"/>
      <c r="J1" s="334"/>
      <c r="K1" s="2"/>
    </row>
    <row r="2" spans="1:40" ht="12.75" thickTop="1" x14ac:dyDescent="0.2">
      <c r="E2" s="12"/>
    </row>
    <row r="3" spans="1:40" ht="13.5" x14ac:dyDescent="0.25">
      <c r="A3" s="12" t="s">
        <v>29</v>
      </c>
      <c r="C3" s="13" t="s">
        <v>32</v>
      </c>
      <c r="D3" s="13" t="s">
        <v>33</v>
      </c>
      <c r="E3" s="13" t="s">
        <v>70</v>
      </c>
      <c r="F3" s="13" t="s">
        <v>86</v>
      </c>
      <c r="G3" s="13" t="s">
        <v>34</v>
      </c>
    </row>
    <row r="4" spans="1:40" x14ac:dyDescent="0.2">
      <c r="C4" s="14">
        <f>'CCC-Trave int1 (P1)'!D15</f>
        <v>0</v>
      </c>
      <c r="D4" s="14">
        <f>'CCC-Trave int1 (P1)'!E15</f>
        <v>4</v>
      </c>
      <c r="E4" s="14">
        <f>'CCC-Trave int1 (P1)'!F15</f>
        <v>5.5</v>
      </c>
      <c r="F4" s="14">
        <f>'CCC-Trave int1 (P1)'!G15</f>
        <v>4</v>
      </c>
      <c r="G4" s="14">
        <f>'CCC-Trave int1 (P1)'!H15</f>
        <v>0</v>
      </c>
    </row>
    <row r="6" spans="1:40" ht="13.5" x14ac:dyDescent="0.25">
      <c r="A6" s="12" t="s">
        <v>41</v>
      </c>
      <c r="C6" s="13" t="s">
        <v>35</v>
      </c>
      <c r="D6" s="13" t="s">
        <v>36</v>
      </c>
      <c r="E6" s="13" t="s">
        <v>71</v>
      </c>
      <c r="F6" s="13" t="s">
        <v>87</v>
      </c>
      <c r="G6" s="13" t="s">
        <v>37</v>
      </c>
    </row>
    <row r="7" spans="1:40" x14ac:dyDescent="0.2">
      <c r="B7" s="1" t="s">
        <v>42</v>
      </c>
      <c r="C7" s="14">
        <f>'CCC-Trave int1 (P1)'!D30</f>
        <v>0</v>
      </c>
      <c r="D7" s="14">
        <f>'CCC-Trave int1 (P1)'!E30</f>
        <v>43.42</v>
      </c>
      <c r="E7" s="14">
        <f>'CCC-Trave int1 (P1)'!F30</f>
        <v>43.42</v>
      </c>
      <c r="F7" s="14">
        <f>'CCC-Trave int1 (P1)'!G30</f>
        <v>32.239999999999995</v>
      </c>
      <c r="G7" s="14">
        <f>'CCC-Trave int1 (P1)'!H30</f>
        <v>0</v>
      </c>
    </row>
    <row r="8" spans="1:40" x14ac:dyDescent="0.2">
      <c r="C8" s="14"/>
      <c r="D8" s="14"/>
      <c r="E8" s="14"/>
      <c r="F8" s="14"/>
      <c r="G8" s="14"/>
      <c r="H8" s="15"/>
    </row>
    <row r="9" spans="1:40" x14ac:dyDescent="0.2">
      <c r="C9" s="14"/>
      <c r="D9" s="14"/>
      <c r="E9" s="14"/>
      <c r="F9" s="14"/>
      <c r="G9" s="14"/>
      <c r="H9" s="15"/>
    </row>
    <row r="10" spans="1:40" x14ac:dyDescent="0.2">
      <c r="C10" s="14"/>
      <c r="D10" s="14"/>
      <c r="E10" s="14"/>
      <c r="F10" s="14"/>
      <c r="G10" s="14"/>
      <c r="H10" s="15"/>
    </row>
    <row r="11" spans="1:40" x14ac:dyDescent="0.2">
      <c r="C11" s="14"/>
      <c r="D11" s="14"/>
      <c r="E11" s="14"/>
      <c r="F11" s="14"/>
      <c r="G11" s="14"/>
      <c r="H11" s="15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45" t="s">
        <v>31</v>
      </c>
      <c r="B15" s="345"/>
      <c r="C15" s="345"/>
      <c r="D15" s="345"/>
      <c r="E15" s="345"/>
      <c r="F15" s="345"/>
      <c r="G15" s="345"/>
      <c r="H15" s="345"/>
      <c r="I15" s="345"/>
      <c r="J15" s="345"/>
    </row>
    <row r="16" spans="1:40" ht="13.5" thickTop="1" thickBot="1" x14ac:dyDescent="0.25">
      <c r="V16" s="144">
        <f>-(D4/D18+E4/I18)/3</f>
        <v>-23750</v>
      </c>
      <c r="W16" s="145">
        <f>-E4/(6*I18)</f>
        <v>-6875</v>
      </c>
      <c r="X16" s="55"/>
      <c r="Y16" s="19"/>
      <c r="Z16" s="146">
        <f t="array" ref="Z16:AA17">MINVERSE(V16:W17)</f>
        <v>-4.595616024187453E-5</v>
      </c>
      <c r="AA16" s="147">
        <v>1.3303099017384733E-5</v>
      </c>
      <c r="AB16" s="20"/>
      <c r="AC16" s="19"/>
      <c r="AD16" s="19"/>
      <c r="AE16" s="148">
        <f>AB22</f>
        <v>-3125900.78125</v>
      </c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4.25" thickBot="1" x14ac:dyDescent="0.3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149">
        <f>-E4/(6*I18)</f>
        <v>-6875</v>
      </c>
      <c r="W17" s="150">
        <f>-(E4/I18+F4/D21)/3</f>
        <v>-23750</v>
      </c>
      <c r="X17" s="5"/>
      <c r="Y17" s="2"/>
      <c r="Z17" s="66">
        <v>1.3303099017384733E-5</v>
      </c>
      <c r="AA17" s="64">
        <v>-4.595616024187453E-5</v>
      </c>
      <c r="AB17" s="3"/>
      <c r="AC17" s="2"/>
      <c r="AD17" s="2"/>
      <c r="AE17" s="151">
        <f>AC22</f>
        <v>-2902300.78125</v>
      </c>
      <c r="AF17" s="2"/>
      <c r="AG17" s="2"/>
      <c r="AH17" s="59">
        <v>0</v>
      </c>
      <c r="AI17" s="60">
        <f>5+MAX('CCC-car.4'!AI17:AI49)</f>
        <v>203.68</v>
      </c>
      <c r="AJ17" s="2"/>
      <c r="AK17" s="67">
        <f>AK55</f>
        <v>0</v>
      </c>
      <c r="AL17" s="6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'CCC-Trave int1 (P1)'!B77</f>
        <v>1</v>
      </c>
      <c r="C18" s="16">
        <f>'CCC-Trave int1 (P1)'!C77</f>
        <v>1.3333333333333334E-4</v>
      </c>
      <c r="D18" s="16">
        <f>B18*C18</f>
        <v>1.3333333333333334E-4</v>
      </c>
      <c r="G18" s="16">
        <f>'CCC-Trave int1 (P1)'!G77</f>
        <v>1</v>
      </c>
      <c r="H18" s="16">
        <f>'CCC-Trave int1 (P1)'!H77</f>
        <v>1.3333333333333334E-4</v>
      </c>
      <c r="I18" s="16">
        <f>G18*H18</f>
        <v>1.3333333333333334E-4</v>
      </c>
      <c r="V18" s="49"/>
      <c r="W18" s="3" t="s">
        <v>95</v>
      </c>
      <c r="X18" s="5"/>
      <c r="Y18" s="2"/>
      <c r="Z18" s="3"/>
      <c r="AA18" s="3" t="s">
        <v>96</v>
      </c>
      <c r="AB18" s="3"/>
      <c r="AC18" s="2"/>
      <c r="AD18" s="2"/>
      <c r="AE18" s="3" t="s">
        <v>97</v>
      </c>
      <c r="AF18" s="2"/>
      <c r="AG18" s="2"/>
      <c r="AH18" s="65">
        <f>C4</f>
        <v>0</v>
      </c>
      <c r="AI18" s="62">
        <f>AI17</f>
        <v>203.68</v>
      </c>
      <c r="AJ18" s="2"/>
      <c r="AK18" s="61">
        <f>AK17</f>
        <v>0</v>
      </c>
      <c r="AL18" s="87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65">
        <f>AH18</f>
        <v>0</v>
      </c>
      <c r="AI19" s="62">
        <f>AI18+C7</f>
        <v>203.68</v>
      </c>
      <c r="AJ19" s="2"/>
      <c r="AK19" s="61">
        <f>AK56</f>
        <v>4</v>
      </c>
      <c r="AL19" s="87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ht="14.25" thickBot="1" x14ac:dyDescent="0.3">
      <c r="A20" s="17" t="s">
        <v>88</v>
      </c>
      <c r="B20" s="16" t="s">
        <v>89</v>
      </c>
      <c r="C20" s="16" t="s">
        <v>90</v>
      </c>
      <c r="D20" s="16" t="s">
        <v>91</v>
      </c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65">
        <v>0</v>
      </c>
      <c r="AI20" s="62">
        <f>AI19</f>
        <v>203.68</v>
      </c>
      <c r="AJ20" s="2"/>
      <c r="AK20" s="61">
        <f>AK19</f>
        <v>4</v>
      </c>
      <c r="AL20" s="87">
        <f>AE59</f>
        <v>-105.04480253212398</v>
      </c>
      <c r="AM20" s="2"/>
      <c r="AN20" s="22"/>
    </row>
    <row r="21" spans="1:46" s="46" customFormat="1" ht="12.75" thickBot="1" x14ac:dyDescent="0.25">
      <c r="A21" s="1"/>
      <c r="B21" s="16">
        <f>'CCC-Trave int1 (P1)'!B80</f>
        <v>1</v>
      </c>
      <c r="C21" s="16">
        <f>'CCC-Trave int1 (P1)'!C80</f>
        <v>1.3333333333333334E-4</v>
      </c>
      <c r="D21" s="16">
        <f>B21*C21</f>
        <v>1.3333333333333334E-4</v>
      </c>
      <c r="F21" s="3"/>
      <c r="G21" s="3"/>
      <c r="H21" s="3"/>
      <c r="I21" s="3"/>
      <c r="V21" s="24" t="s">
        <v>7</v>
      </c>
      <c r="W21" s="152">
        <f t="array" ref="W21:W22">MMULT(matCinv,matN)</f>
        <v>105.04480253212395</v>
      </c>
      <c r="X21" s="2"/>
      <c r="Y21" s="59" t="s">
        <v>12</v>
      </c>
      <c r="Z21" s="60">
        <f>C7*C4^2/2</f>
        <v>0</v>
      </c>
      <c r="AA21" s="2"/>
      <c r="AB21" s="59" t="s">
        <v>79</v>
      </c>
      <c r="AC21" s="60" t="s">
        <v>98</v>
      </c>
      <c r="AD21" s="3"/>
      <c r="AE21" s="2"/>
      <c r="AF21" s="2"/>
      <c r="AG21" s="2"/>
      <c r="AH21" s="66">
        <v>0</v>
      </c>
      <c r="AI21" s="64">
        <f>AI17</f>
        <v>203.68</v>
      </c>
      <c r="AJ21" s="2"/>
      <c r="AK21" s="61">
        <f>AK57</f>
        <v>9.5</v>
      </c>
      <c r="AL21" s="87">
        <v>0</v>
      </c>
      <c r="AM21" s="2"/>
      <c r="AN21" s="22"/>
    </row>
    <row r="22" spans="1:46" ht="12.75" thickBot="1" x14ac:dyDescent="0.25">
      <c r="V22" s="24" t="s">
        <v>80</v>
      </c>
      <c r="W22" s="71">
        <v>91.794432161753576</v>
      </c>
      <c r="X22" s="2"/>
      <c r="Y22" s="66" t="s">
        <v>99</v>
      </c>
      <c r="Z22" s="64">
        <f>G7*G4^2/2</f>
        <v>0</v>
      </c>
      <c r="AA22" s="2"/>
      <c r="AB22" s="153">
        <f>(C7*C4^2/2)*D4/(6*D18)-D7*D4^3/(24*D18)-E7*E4^3/(24*I18)</f>
        <v>-3125900.78125</v>
      </c>
      <c r="AC22" s="154">
        <f>-E7*E4^3/(24*I18)-F7*F4^3/(24*D21)+Z22*F4/(6*D21)</f>
        <v>-2902300.78125</v>
      </c>
      <c r="AD22" s="44"/>
      <c r="AE22" s="2"/>
      <c r="AF22" s="2"/>
      <c r="AG22" s="2"/>
      <c r="AH22" s="2"/>
      <c r="AI22" s="2"/>
      <c r="AJ22" s="2"/>
      <c r="AK22" s="61">
        <f>AK21</f>
        <v>9.5</v>
      </c>
      <c r="AL22" s="87">
        <f>AE68</f>
        <v>-91.794432161753662</v>
      </c>
      <c r="AM22" s="2"/>
      <c r="AN22" s="22"/>
    </row>
    <row r="23" spans="1:46" ht="12.75" thickBot="1" x14ac:dyDescent="0.25">
      <c r="V23" s="24"/>
      <c r="W23" s="3" t="s">
        <v>100</v>
      </c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61">
        <f>AK58</f>
        <v>13.5</v>
      </c>
      <c r="AL23" s="87">
        <v>0</v>
      </c>
      <c r="AM23" s="2"/>
      <c r="AN23" s="22"/>
    </row>
    <row r="24" spans="1:46" ht="12.75" thickBot="1" x14ac:dyDescent="0.25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59">
        <f>C4</f>
        <v>0</v>
      </c>
      <c r="AI24" s="60">
        <f>AI17</f>
        <v>203.68</v>
      </c>
      <c r="AJ24" s="2"/>
      <c r="AK24" s="63">
        <f>AK23</f>
        <v>13.5</v>
      </c>
      <c r="AL24" s="69">
        <f>AE77</f>
        <v>0</v>
      </c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61">
        <f>AK56</f>
        <v>4</v>
      </c>
      <c r="AI25" s="62">
        <f>AI24</f>
        <v>203.68</v>
      </c>
      <c r="AJ25" s="2"/>
      <c r="AK25" s="11"/>
      <c r="AL25" s="11"/>
      <c r="AM25" s="2"/>
      <c r="AN25" s="22"/>
    </row>
    <row r="26" spans="1:46" ht="12.75" thickBot="1" x14ac:dyDescent="0.25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61">
        <f>AH25</f>
        <v>4</v>
      </c>
      <c r="AI26" s="62">
        <f>AI25+D7</f>
        <v>247.10000000000002</v>
      </c>
      <c r="AJ26" s="3"/>
      <c r="AK26" s="11"/>
      <c r="AL26" s="11"/>
      <c r="AM26" s="2"/>
      <c r="AN26" s="22"/>
    </row>
    <row r="27" spans="1:46" x14ac:dyDescent="0.2">
      <c r="V27" s="98" t="s">
        <v>8</v>
      </c>
      <c r="W27" s="70" t="s">
        <v>9</v>
      </c>
      <c r="X27" s="70" t="s">
        <v>10</v>
      </c>
      <c r="Y27" s="155" t="s">
        <v>11</v>
      </c>
      <c r="Z27" s="70" t="s">
        <v>76</v>
      </c>
      <c r="AA27" s="70" t="s">
        <v>77</v>
      </c>
      <c r="AB27" s="70" t="s">
        <v>92</v>
      </c>
      <c r="AC27" s="70" t="s">
        <v>93</v>
      </c>
      <c r="AD27" s="3"/>
      <c r="AE27" s="3"/>
      <c r="AF27" s="3"/>
      <c r="AG27" s="3"/>
      <c r="AH27" s="65">
        <f>AH24</f>
        <v>0</v>
      </c>
      <c r="AI27" s="62">
        <f>AI26</f>
        <v>247.10000000000002</v>
      </c>
      <c r="AJ27" s="3"/>
      <c r="AK27" s="11"/>
      <c r="AL27" s="11"/>
      <c r="AM27" s="2"/>
      <c r="AN27" s="22"/>
    </row>
    <row r="28" spans="1:46" ht="12.75" thickBot="1" x14ac:dyDescent="0.25">
      <c r="V28" s="99">
        <f>C7*C4</f>
        <v>0</v>
      </c>
      <c r="W28" s="71">
        <f>D7*D4-X28</f>
        <v>60.578799366969008</v>
      </c>
      <c r="X28" s="71">
        <f>(W21-Z21+D7*D4^2/2)/D4</f>
        <v>113.101200633031</v>
      </c>
      <c r="Y28" s="156">
        <f>E7*E4-Z28</f>
        <v>121.81415824915825</v>
      </c>
      <c r="Z28" s="71">
        <f>(W22-W21+E7*E4^2/2)/E4</f>
        <v>116.99584175084175</v>
      </c>
      <c r="AA28" s="71">
        <f>F7*F4-AB28</f>
        <v>87.428608040438377</v>
      </c>
      <c r="AB28" s="71">
        <f>(Z22-W22+F7*F4^2/2)/F4</f>
        <v>41.531391959561596</v>
      </c>
      <c r="AC28" s="71">
        <f>G7*G4</f>
        <v>0</v>
      </c>
      <c r="AD28" s="11"/>
      <c r="AE28" s="11"/>
      <c r="AF28" s="3"/>
      <c r="AG28" s="3"/>
      <c r="AH28" s="66">
        <f>AH24</f>
        <v>0</v>
      </c>
      <c r="AI28" s="64">
        <f>AI24</f>
        <v>203.68</v>
      </c>
      <c r="AJ28" s="3"/>
      <c r="AK28" s="11"/>
      <c r="AL28" s="11"/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ht="12.75" thickBot="1" x14ac:dyDescent="0.25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ht="12.75" thickBot="1" x14ac:dyDescent="0.25">
      <c r="V31" s="23"/>
      <c r="W31" s="2"/>
      <c r="X31" s="59" t="s">
        <v>0</v>
      </c>
      <c r="Y31" s="94" t="s">
        <v>1</v>
      </c>
      <c r="Z31" s="94" t="s">
        <v>78</v>
      </c>
      <c r="AA31" s="60" t="s">
        <v>94</v>
      </c>
      <c r="AB31" s="3"/>
      <c r="AC31" s="2"/>
      <c r="AD31" s="2"/>
      <c r="AE31" s="2"/>
      <c r="AF31" s="2"/>
      <c r="AG31" s="2"/>
      <c r="AH31" s="67">
        <f>AK56</f>
        <v>4</v>
      </c>
      <c r="AI31" s="60">
        <f>AI17</f>
        <v>203.68</v>
      </c>
      <c r="AJ31" s="2"/>
      <c r="AK31" s="2" t="s">
        <v>21</v>
      </c>
      <c r="AL31" s="2"/>
      <c r="AM31" s="2"/>
      <c r="AN31" s="22"/>
    </row>
    <row r="32" spans="1:46" ht="12.75" thickBot="1" x14ac:dyDescent="0.25">
      <c r="V32" s="23"/>
      <c r="W32" s="2"/>
      <c r="X32" s="63">
        <f>V28+W28</f>
        <v>60.578799366969008</v>
      </c>
      <c r="Y32" s="88">
        <f>X28+Y28</f>
        <v>234.91535888218925</v>
      </c>
      <c r="Z32" s="88">
        <f>Z28+AA28</f>
        <v>204.42444979128013</v>
      </c>
      <c r="AA32" s="69">
        <f>AB28+AC28</f>
        <v>41.531391959561596</v>
      </c>
      <c r="AB32" s="11"/>
      <c r="AC32" s="2"/>
      <c r="AD32" s="2"/>
      <c r="AE32" s="2"/>
      <c r="AF32" s="2"/>
      <c r="AG32" s="2"/>
      <c r="AH32" s="61">
        <f>AK57</f>
        <v>9.5</v>
      </c>
      <c r="AI32" s="62">
        <f>AI31</f>
        <v>203.68</v>
      </c>
      <c r="AJ32" s="2"/>
      <c r="AK32" s="155" t="s">
        <v>22</v>
      </c>
      <c r="AL32" s="94" t="s">
        <v>25</v>
      </c>
      <c r="AM32" s="94" t="s">
        <v>2</v>
      </c>
      <c r="AN32" s="100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61">
        <f>AH32</f>
        <v>9.5</v>
      </c>
      <c r="AI33" s="62">
        <f>AI32+E7</f>
        <v>247.10000000000002</v>
      </c>
      <c r="AJ33" s="2"/>
      <c r="AK33" s="157" t="s">
        <v>23</v>
      </c>
      <c r="AL33" s="8">
        <f>W28/D7</f>
        <v>1.3951819292254493</v>
      </c>
      <c r="AM33" s="8">
        <f>C4+AL33</f>
        <v>1.3951819292254493</v>
      </c>
      <c r="AN33" s="129">
        <f>W28*AL33-D7*AL33^2/2+AE50</f>
        <v>42.259223085484621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61">
        <f>AH31</f>
        <v>4</v>
      </c>
      <c r="AI34" s="62">
        <f>AI33</f>
        <v>247.10000000000002</v>
      </c>
      <c r="AJ34" s="2"/>
      <c r="AK34" s="158" t="s">
        <v>82</v>
      </c>
      <c r="AL34" s="8">
        <f>Y28/E7</f>
        <v>2.8054849896167262</v>
      </c>
      <c r="AM34" s="8">
        <f>C4+D4+AL34</f>
        <v>6.8054849896167262</v>
      </c>
      <c r="AN34" s="129">
        <f>Y28*AL34-E7*AL34^2/2+AE59</f>
        <v>65.829093713281026</v>
      </c>
    </row>
    <row r="35" spans="22:40" ht="12.75" thickBot="1" x14ac:dyDescent="0.25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63">
        <f>AH31</f>
        <v>4</v>
      </c>
      <c r="AI35" s="64">
        <f>AI31</f>
        <v>203.68</v>
      </c>
      <c r="AJ35" s="2"/>
      <c r="AK35" s="159" t="s">
        <v>101</v>
      </c>
      <c r="AL35" s="88">
        <f>AA28/F7</f>
        <v>2.7118054603113646</v>
      </c>
      <c r="AM35" s="88">
        <f>C4+D4+E4+AL35</f>
        <v>12.211805460311364</v>
      </c>
      <c r="AN35" s="101">
        <f>AA28*AL35-F7*AL35^2/2+AE68</f>
        <v>26.750256173987751</v>
      </c>
    </row>
    <row r="36" spans="22:40" x14ac:dyDescent="0.2">
      <c r="V36" s="102">
        <f>AK55</f>
        <v>0</v>
      </c>
      <c r="W36" s="73">
        <v>0</v>
      </c>
      <c r="X36" s="2"/>
      <c r="Y36" s="72">
        <f>AK56</f>
        <v>4</v>
      </c>
      <c r="Z36" s="73">
        <v>0</v>
      </c>
      <c r="AA36" s="2"/>
      <c r="AB36" s="72">
        <f>AK57</f>
        <v>9.5</v>
      </c>
      <c r="AC36" s="73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ht="12.75" thickBot="1" x14ac:dyDescent="0.25">
      <c r="V37" s="103">
        <f>V36</f>
        <v>0</v>
      </c>
      <c r="W37" s="75">
        <f>X32</f>
        <v>60.578799366969008</v>
      </c>
      <c r="X37" s="2"/>
      <c r="Y37" s="74">
        <f>Y36</f>
        <v>4</v>
      </c>
      <c r="Z37" s="75">
        <f>Y32</f>
        <v>234.91535888218925</v>
      </c>
      <c r="AA37" s="2"/>
      <c r="AB37" s="74">
        <f>AB36</f>
        <v>9.5</v>
      </c>
      <c r="AC37" s="75">
        <f>Z32</f>
        <v>204.42444979128013</v>
      </c>
      <c r="AD37" s="2"/>
      <c r="AE37" s="2"/>
      <c r="AF37" s="2"/>
      <c r="AG37" s="2"/>
      <c r="AH37" s="3" t="s">
        <v>102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67">
        <f>AK57</f>
        <v>9.5</v>
      </c>
      <c r="AI38" s="60">
        <f>AI17</f>
        <v>203.68</v>
      </c>
      <c r="AJ38" s="3"/>
      <c r="AK38" s="3"/>
      <c r="AL38" s="3"/>
      <c r="AM38" s="3"/>
      <c r="AN38" s="25"/>
    </row>
    <row r="39" spans="22:40" ht="12.75" thickBot="1" x14ac:dyDescent="0.25">
      <c r="V39" s="23" t="s">
        <v>103</v>
      </c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61">
        <f>AK58</f>
        <v>13.5</v>
      </c>
      <c r="AI39" s="62">
        <f>AI38</f>
        <v>203.68</v>
      </c>
      <c r="AJ39" s="3"/>
      <c r="AK39" s="2" t="s">
        <v>27</v>
      </c>
      <c r="AL39" s="2"/>
      <c r="AM39" s="3"/>
      <c r="AN39" s="25"/>
    </row>
    <row r="40" spans="22:40" x14ac:dyDescent="0.2">
      <c r="V40" s="102">
        <f>AK58</f>
        <v>13.5</v>
      </c>
      <c r="W40" s="73">
        <v>0</v>
      </c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61">
        <f>AH39</f>
        <v>13.5</v>
      </c>
      <c r="AI40" s="62">
        <f>AI39+F7</f>
        <v>235.92000000000002</v>
      </c>
      <c r="AJ40" s="2"/>
      <c r="AK40" s="67">
        <f>AM33</f>
        <v>1.3951819292254493</v>
      </c>
      <c r="AL40" s="60">
        <v>0</v>
      </c>
      <c r="AM40" s="2"/>
      <c r="AN40" s="22"/>
    </row>
    <row r="41" spans="22:40" ht="12.75" thickBot="1" x14ac:dyDescent="0.25">
      <c r="V41" s="103">
        <f>V40</f>
        <v>13.5</v>
      </c>
      <c r="W41" s="75">
        <f>AA32</f>
        <v>41.531391959561596</v>
      </c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61">
        <f>AH38</f>
        <v>9.5</v>
      </c>
      <c r="AI41" s="62">
        <f>AI40</f>
        <v>235.92000000000002</v>
      </c>
      <c r="AJ41" s="2"/>
      <c r="AK41" s="61">
        <f>AK40</f>
        <v>1.3951819292254493</v>
      </c>
      <c r="AL41" s="87">
        <f>AN33</f>
        <v>42.259223085484621</v>
      </c>
      <c r="AM41" s="2"/>
      <c r="AN41" s="22"/>
    </row>
    <row r="42" spans="22:40" ht="12.75" thickBot="1" x14ac:dyDescent="0.25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63">
        <f>AH38</f>
        <v>9.5</v>
      </c>
      <c r="AI42" s="64">
        <f>AI38</f>
        <v>203.68</v>
      </c>
      <c r="AJ42" s="2"/>
      <c r="AK42" s="61">
        <f>AM34</f>
        <v>6.8054849896167262</v>
      </c>
      <c r="AL42" s="62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61">
        <f>AK42</f>
        <v>6.8054849896167262</v>
      </c>
      <c r="AL43" s="87">
        <f>AN34</f>
        <v>65.829093713281026</v>
      </c>
      <c r="AM43" s="2"/>
      <c r="AN43" s="22"/>
    </row>
    <row r="44" spans="22:40" ht="12.75" thickBot="1" x14ac:dyDescent="0.25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3" t="s">
        <v>18</v>
      </c>
      <c r="AI44" s="3"/>
      <c r="AJ44" s="2"/>
      <c r="AK44" s="61">
        <f>AM35</f>
        <v>12.211805460311364</v>
      </c>
      <c r="AL44" s="62">
        <v>0</v>
      </c>
      <c r="AM44" s="2"/>
      <c r="AN44" s="22"/>
    </row>
    <row r="45" spans="22:40" ht="12.75" thickBot="1" x14ac:dyDescent="0.25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67">
        <f>AK58</f>
        <v>13.5</v>
      </c>
      <c r="AI45" s="60">
        <f>AI17</f>
        <v>203.68</v>
      </c>
      <c r="AJ45" s="2"/>
      <c r="AK45" s="63">
        <f>AK44</f>
        <v>12.211805460311364</v>
      </c>
      <c r="AL45" s="69">
        <f>AN35</f>
        <v>26.750256173987751</v>
      </c>
      <c r="AM45" s="2"/>
      <c r="AN45" s="22"/>
    </row>
    <row r="46" spans="22:40" ht="12.75" thickBot="1" x14ac:dyDescent="0.25">
      <c r="V46" s="104" t="s">
        <v>2</v>
      </c>
      <c r="W46" s="76" t="s">
        <v>3</v>
      </c>
      <c r="X46" s="77" t="s">
        <v>4</v>
      </c>
      <c r="Y46" s="2"/>
      <c r="Z46" s="83" t="s">
        <v>2</v>
      </c>
      <c r="AA46" s="84" t="s">
        <v>3</v>
      </c>
      <c r="AB46" s="60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61">
        <f>AK59</f>
        <v>13.5</v>
      </c>
      <c r="AI46" s="62">
        <f>AI45</f>
        <v>203.68</v>
      </c>
      <c r="AJ46" s="2"/>
      <c r="AK46" s="11"/>
      <c r="AL46" s="3"/>
      <c r="AM46" s="2"/>
      <c r="AN46" s="22"/>
    </row>
    <row r="47" spans="22:40" x14ac:dyDescent="0.2">
      <c r="V47" s="26">
        <v>0</v>
      </c>
      <c r="W47" s="7">
        <f>-$C$7*V47^2/2</f>
        <v>0</v>
      </c>
      <c r="X47" s="79">
        <f>-$C$7*V47</f>
        <v>0</v>
      </c>
      <c r="Y47" s="2"/>
      <c r="Z47" s="85">
        <v>0</v>
      </c>
      <c r="AA47" s="10">
        <f t="shared" ref="AA47:AA55" si="0">-$Z$21-$D$7*Z47^2/2+$W$28*Z47</f>
        <v>0</v>
      </c>
      <c r="AB47" s="86">
        <f t="shared" ref="AB47:AB55" si="1">-$D$7*Z47+$W$28</f>
        <v>60.578799366969008</v>
      </c>
      <c r="AC47" s="2"/>
      <c r="AD47" s="160">
        <f t="shared" ref="AD47:AF50" si="2">V47</f>
        <v>0</v>
      </c>
      <c r="AE47" s="161">
        <f t="shared" si="2"/>
        <v>0</v>
      </c>
      <c r="AF47" s="162">
        <f t="shared" si="2"/>
        <v>0</v>
      </c>
      <c r="AG47" s="2"/>
      <c r="AH47" s="61">
        <f>AH46</f>
        <v>13.5</v>
      </c>
      <c r="AI47" s="62">
        <f>AI46+G7</f>
        <v>203.68</v>
      </c>
      <c r="AJ47" s="2"/>
      <c r="AK47" s="11"/>
      <c r="AL47" s="11"/>
      <c r="AM47" s="2"/>
      <c r="AN47" s="22"/>
    </row>
    <row r="48" spans="22:40" x14ac:dyDescent="0.2">
      <c r="V48" s="26">
        <f>$C$4/3</f>
        <v>0</v>
      </c>
      <c r="W48" s="7">
        <f>-$C$7*V48^2/2</f>
        <v>0</v>
      </c>
      <c r="X48" s="79">
        <f>-$C$7*V48</f>
        <v>0</v>
      </c>
      <c r="Y48" s="2"/>
      <c r="Z48" s="85">
        <f>$D$4/8</f>
        <v>0.5</v>
      </c>
      <c r="AA48" s="10">
        <f t="shared" si="0"/>
        <v>24.861899683484502</v>
      </c>
      <c r="AB48" s="86">
        <f t="shared" si="1"/>
        <v>38.868799366969007</v>
      </c>
      <c r="AC48" s="2"/>
      <c r="AD48" s="78">
        <f t="shared" si="2"/>
        <v>0</v>
      </c>
      <c r="AE48" s="7">
        <f t="shared" si="2"/>
        <v>0</v>
      </c>
      <c r="AF48" s="79">
        <f t="shared" si="2"/>
        <v>0</v>
      </c>
      <c r="AG48" s="2"/>
      <c r="AH48" s="61">
        <f>AH45</f>
        <v>13.5</v>
      </c>
      <c r="AI48" s="62">
        <f>AI47</f>
        <v>203.68</v>
      </c>
      <c r="AJ48" s="2"/>
      <c r="AK48" s="2"/>
      <c r="AL48" s="2"/>
      <c r="AM48" s="2"/>
      <c r="AN48" s="22"/>
    </row>
    <row r="49" spans="13:40" ht="12.75" thickBot="1" x14ac:dyDescent="0.25">
      <c r="V49" s="26">
        <f>2*$C$4/3</f>
        <v>0</v>
      </c>
      <c r="W49" s="7">
        <f>-$C$7*V49^2/2</f>
        <v>0</v>
      </c>
      <c r="X49" s="79">
        <f>-$C$7*V49</f>
        <v>0</v>
      </c>
      <c r="Y49" s="2"/>
      <c r="Z49" s="85">
        <f>2*$D$4/8</f>
        <v>1</v>
      </c>
      <c r="AA49" s="10">
        <f t="shared" si="0"/>
        <v>38.868799366969007</v>
      </c>
      <c r="AB49" s="86">
        <f t="shared" si="1"/>
        <v>17.158799366969006</v>
      </c>
      <c r="AC49" s="2"/>
      <c r="AD49" s="78">
        <f t="shared" si="2"/>
        <v>0</v>
      </c>
      <c r="AE49" s="7">
        <f t="shared" si="2"/>
        <v>0</v>
      </c>
      <c r="AF49" s="79">
        <f t="shared" si="2"/>
        <v>0</v>
      </c>
      <c r="AG49" s="2"/>
      <c r="AH49" s="63">
        <f>AH45</f>
        <v>13.5</v>
      </c>
      <c r="AI49" s="64">
        <f>AI45</f>
        <v>203.68</v>
      </c>
      <c r="AJ49" s="2"/>
      <c r="AK49" s="2"/>
      <c r="AL49" s="2"/>
      <c r="AM49" s="2"/>
      <c r="AN49" s="22"/>
    </row>
    <row r="50" spans="13:40" ht="12.75" thickBot="1" x14ac:dyDescent="0.25">
      <c r="V50" s="105">
        <f>3*$C$4/3</f>
        <v>0</v>
      </c>
      <c r="W50" s="80">
        <f>-$C$7*V50^2/2</f>
        <v>0</v>
      </c>
      <c r="X50" s="81">
        <f>-$C$7*V50</f>
        <v>0</v>
      </c>
      <c r="Y50" s="2"/>
      <c r="Z50" s="85">
        <f>3*$D$4/8</f>
        <v>1.5</v>
      </c>
      <c r="AA50" s="10">
        <f t="shared" si="0"/>
        <v>42.020699050453509</v>
      </c>
      <c r="AB50" s="86">
        <f t="shared" si="1"/>
        <v>-4.5512006330309873</v>
      </c>
      <c r="AC50" s="2"/>
      <c r="AD50" s="163">
        <f t="shared" si="2"/>
        <v>0</v>
      </c>
      <c r="AE50" s="80">
        <f t="shared" si="2"/>
        <v>0</v>
      </c>
      <c r="AF50" s="81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24"/>
      <c r="W51" s="3"/>
      <c r="X51" s="3"/>
      <c r="Y51" s="2"/>
      <c r="Z51" s="85">
        <f>4*$D$4/8</f>
        <v>2</v>
      </c>
      <c r="AA51" s="10">
        <f t="shared" si="0"/>
        <v>34.317598733938013</v>
      </c>
      <c r="AB51" s="86">
        <f t="shared" si="1"/>
        <v>-26.261200633030995</v>
      </c>
      <c r="AC51" s="2"/>
      <c r="AD51" s="164">
        <f t="shared" ref="AD51:AD59" si="3">$AD$50+Z47</f>
        <v>0</v>
      </c>
      <c r="AE51" s="165">
        <f t="shared" ref="AE51:AF59" si="4">AA47</f>
        <v>0</v>
      </c>
      <c r="AF51" s="166">
        <f t="shared" si="4"/>
        <v>60.578799366969008</v>
      </c>
      <c r="AG51" s="2"/>
      <c r="AH51" s="2"/>
      <c r="AI51" s="2"/>
      <c r="AJ51" s="2"/>
      <c r="AK51" s="2"/>
      <c r="AL51" s="2"/>
      <c r="AM51" s="2"/>
      <c r="AN51" s="22"/>
    </row>
    <row r="52" spans="13:40" ht="12.75" thickBot="1" x14ac:dyDescent="0.25">
      <c r="V52" s="24"/>
      <c r="W52" s="3"/>
      <c r="X52" s="3"/>
      <c r="Y52" s="2"/>
      <c r="Z52" s="85">
        <f>5*$D$4/8</f>
        <v>2.5</v>
      </c>
      <c r="AA52" s="10">
        <f t="shared" si="0"/>
        <v>15.75949841742252</v>
      </c>
      <c r="AB52" s="86">
        <f t="shared" si="1"/>
        <v>-47.971200633031003</v>
      </c>
      <c r="AC52" s="3"/>
      <c r="AD52" s="85">
        <f t="shared" si="3"/>
        <v>0.5</v>
      </c>
      <c r="AE52" s="10">
        <f t="shared" si="4"/>
        <v>24.861899683484502</v>
      </c>
      <c r="AF52" s="86">
        <f t="shared" si="4"/>
        <v>38.868799366969007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85">
        <f>6*$D$4/8</f>
        <v>3</v>
      </c>
      <c r="AA53" s="10">
        <f t="shared" si="0"/>
        <v>-13.65360189909299</v>
      </c>
      <c r="AB53" s="86">
        <f t="shared" si="1"/>
        <v>-69.681200633030983</v>
      </c>
      <c r="AC53" s="3"/>
      <c r="AD53" s="85">
        <f t="shared" si="3"/>
        <v>1</v>
      </c>
      <c r="AE53" s="10">
        <f t="shared" si="4"/>
        <v>38.868799366969007</v>
      </c>
      <c r="AF53" s="86">
        <f t="shared" si="4"/>
        <v>17.158799366969006</v>
      </c>
      <c r="AG53" s="2"/>
      <c r="AH53" s="2"/>
      <c r="AI53" s="2"/>
      <c r="AJ53" s="2"/>
      <c r="AK53" s="59" t="s">
        <v>2</v>
      </c>
      <c r="AL53" s="60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85">
        <f>7*$D$4/8</f>
        <v>3.5</v>
      </c>
      <c r="AA54" s="10">
        <f t="shared" si="0"/>
        <v>-53.921702215608462</v>
      </c>
      <c r="AB54" s="86">
        <f t="shared" si="1"/>
        <v>-91.391200633030991</v>
      </c>
      <c r="AC54" s="2"/>
      <c r="AD54" s="85">
        <f t="shared" si="3"/>
        <v>1.5</v>
      </c>
      <c r="AE54" s="10">
        <f t="shared" si="4"/>
        <v>42.020699050453509</v>
      </c>
      <c r="AF54" s="86">
        <f t="shared" si="4"/>
        <v>-4.5512006330309873</v>
      </c>
      <c r="AG54" s="2"/>
      <c r="AH54" s="2"/>
      <c r="AI54" s="2"/>
      <c r="AJ54" s="2"/>
      <c r="AK54" s="61">
        <v>0</v>
      </c>
      <c r="AL54" s="62">
        <v>0</v>
      </c>
      <c r="AM54" s="2"/>
      <c r="AN54" s="22"/>
    </row>
    <row r="55" spans="13:40" ht="12.75" thickBot="1" x14ac:dyDescent="0.25">
      <c r="M55" s="2"/>
      <c r="N55" s="2"/>
      <c r="V55" s="24"/>
      <c r="W55" s="3"/>
      <c r="X55" s="3"/>
      <c r="Y55" s="2"/>
      <c r="Z55" s="167">
        <f>8*$D$4/8</f>
        <v>4</v>
      </c>
      <c r="AA55" s="168">
        <f t="shared" si="0"/>
        <v>-105.04480253212398</v>
      </c>
      <c r="AB55" s="169">
        <f t="shared" si="1"/>
        <v>-113.101200633031</v>
      </c>
      <c r="AC55" s="2"/>
      <c r="AD55" s="85">
        <f t="shared" si="3"/>
        <v>2</v>
      </c>
      <c r="AE55" s="10">
        <f t="shared" si="4"/>
        <v>34.317598733938013</v>
      </c>
      <c r="AF55" s="86">
        <f t="shared" si="4"/>
        <v>-26.261200633030995</v>
      </c>
      <c r="AG55" s="2"/>
      <c r="AH55" s="2"/>
      <c r="AI55" s="2"/>
      <c r="AJ55" s="2"/>
      <c r="AK55" s="61">
        <f>C4</f>
        <v>0</v>
      </c>
      <c r="AL55" s="62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85">
        <f t="shared" si="3"/>
        <v>2.5</v>
      </c>
      <c r="AE56" s="10">
        <f t="shared" si="4"/>
        <v>15.75949841742252</v>
      </c>
      <c r="AF56" s="86">
        <f t="shared" si="4"/>
        <v>-47.971200633031003</v>
      </c>
      <c r="AG56" s="2"/>
      <c r="AH56" s="2"/>
      <c r="AI56" s="2"/>
      <c r="AJ56" s="2"/>
      <c r="AK56" s="61">
        <f>AK55+D4</f>
        <v>4</v>
      </c>
      <c r="AL56" s="62">
        <v>0</v>
      </c>
      <c r="AM56" s="2"/>
      <c r="AN56" s="22"/>
    </row>
    <row r="57" spans="13:40" ht="12.75" thickBot="1" x14ac:dyDescent="0.25">
      <c r="V57" s="23" t="s">
        <v>84</v>
      </c>
      <c r="W57" s="2"/>
      <c r="X57" s="2"/>
      <c r="Y57" s="2"/>
      <c r="Z57" s="2" t="s">
        <v>104</v>
      </c>
      <c r="AA57" s="2"/>
      <c r="AB57" s="2"/>
      <c r="AC57" s="2"/>
      <c r="AD57" s="85">
        <f t="shared" si="3"/>
        <v>3</v>
      </c>
      <c r="AE57" s="10">
        <f t="shared" si="4"/>
        <v>-13.65360189909299</v>
      </c>
      <c r="AF57" s="86">
        <f t="shared" si="4"/>
        <v>-69.681200633030983</v>
      </c>
      <c r="AG57" s="2"/>
      <c r="AH57" s="2"/>
      <c r="AI57" s="2"/>
      <c r="AJ57" s="2"/>
      <c r="AK57" s="61">
        <f>AK56+E4</f>
        <v>9.5</v>
      </c>
      <c r="AL57" s="62">
        <v>0</v>
      </c>
      <c r="AM57" s="2"/>
      <c r="AN57" s="22"/>
    </row>
    <row r="58" spans="13:40" x14ac:dyDescent="0.2">
      <c r="V58" s="106" t="s">
        <v>2</v>
      </c>
      <c r="W58" s="84" t="s">
        <v>3</v>
      </c>
      <c r="X58" s="60" t="s">
        <v>4</v>
      </c>
      <c r="Y58" s="2"/>
      <c r="Z58" s="83" t="s">
        <v>2</v>
      </c>
      <c r="AA58" s="84" t="s">
        <v>3</v>
      </c>
      <c r="AB58" s="60" t="s">
        <v>4</v>
      </c>
      <c r="AC58" s="2"/>
      <c r="AD58" s="85">
        <f t="shared" si="3"/>
        <v>3.5</v>
      </c>
      <c r="AE58" s="10">
        <f t="shared" si="4"/>
        <v>-53.921702215608462</v>
      </c>
      <c r="AF58" s="86">
        <f t="shared" si="4"/>
        <v>-91.391200633030991</v>
      </c>
      <c r="AG58" s="2"/>
      <c r="AH58" s="2"/>
      <c r="AI58" s="2"/>
      <c r="AJ58" s="2"/>
      <c r="AK58" s="61">
        <f>AK57+F4</f>
        <v>13.5</v>
      </c>
      <c r="AL58" s="62">
        <v>0</v>
      </c>
      <c r="AM58" s="2"/>
      <c r="AN58" s="22"/>
    </row>
    <row r="59" spans="13:40" ht="12.75" thickBot="1" x14ac:dyDescent="0.25">
      <c r="V59" s="139">
        <v>0</v>
      </c>
      <c r="W59" s="140">
        <f t="shared" ref="W59:W67" si="5">-$W$21-$E$7*V59^2/2+$Y$28*V59</f>
        <v>-105.04480253212395</v>
      </c>
      <c r="X59" s="170">
        <f t="shared" ref="X59:X67" si="6">-$E$7*V59+$Y$28</f>
        <v>121.81415824915825</v>
      </c>
      <c r="Y59" s="2"/>
      <c r="Z59" s="171">
        <v>0</v>
      </c>
      <c r="AA59" s="172">
        <f t="shared" ref="AA59:AA67" si="7">-$W$22-$F$7*Z59^2/2+$AA$28*Z59</f>
        <v>-91.794432161753576</v>
      </c>
      <c r="AB59" s="173">
        <f t="shared" ref="AB59:AB67" si="8">-$F$7*Z59+$AA$28</f>
        <v>87.428608040438377</v>
      </c>
      <c r="AC59" s="2"/>
      <c r="AD59" s="167">
        <f t="shared" si="3"/>
        <v>4</v>
      </c>
      <c r="AE59" s="168">
        <f t="shared" si="4"/>
        <v>-105.04480253212398</v>
      </c>
      <c r="AF59" s="169">
        <f t="shared" si="4"/>
        <v>-113.101200633031</v>
      </c>
      <c r="AG59" s="2"/>
      <c r="AH59" s="2"/>
      <c r="AI59" s="2"/>
      <c r="AJ59" s="2"/>
      <c r="AK59" s="63">
        <f>AK58+G4</f>
        <v>13.5</v>
      </c>
      <c r="AL59" s="64">
        <v>0</v>
      </c>
      <c r="AM59" s="2"/>
      <c r="AN59" s="22"/>
    </row>
    <row r="60" spans="13:40" x14ac:dyDescent="0.2">
      <c r="V60" s="139">
        <f>$E$4/8</f>
        <v>0.6875</v>
      </c>
      <c r="W60" s="140">
        <f t="shared" si="5"/>
        <v>-31.558935923327653</v>
      </c>
      <c r="X60" s="170">
        <f t="shared" si="6"/>
        <v>91.962908249158261</v>
      </c>
      <c r="Y60" s="2"/>
      <c r="Z60" s="171">
        <f>$F$4/8</f>
        <v>0.5</v>
      </c>
      <c r="AA60" s="172">
        <f t="shared" si="7"/>
        <v>-52.110128141534389</v>
      </c>
      <c r="AB60" s="173">
        <f t="shared" si="8"/>
        <v>71.308608040438372</v>
      </c>
      <c r="AC60" s="2"/>
      <c r="AD60" s="174">
        <f t="shared" ref="AD60:AD68" si="9">$AD$59+V59</f>
        <v>4</v>
      </c>
      <c r="AE60" s="175">
        <f t="shared" ref="AE60:AF68" si="10">W59</f>
        <v>-105.04480253212395</v>
      </c>
      <c r="AF60" s="176">
        <f t="shared" si="10"/>
        <v>121.81415824915825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">
      <c r="V61" s="139">
        <f>2*$E$4/8</f>
        <v>1.375</v>
      </c>
      <c r="W61" s="140">
        <f t="shared" si="5"/>
        <v>21.404196310468649</v>
      </c>
      <c r="X61" s="170">
        <f t="shared" si="6"/>
        <v>62.111658249158253</v>
      </c>
      <c r="Y61" s="2"/>
      <c r="Z61" s="171">
        <f>2*$F$4/8</f>
        <v>1</v>
      </c>
      <c r="AA61" s="172">
        <f t="shared" si="7"/>
        <v>-20.485824121315204</v>
      </c>
      <c r="AB61" s="173">
        <f t="shared" si="8"/>
        <v>55.188608040438382</v>
      </c>
      <c r="AC61" s="2"/>
      <c r="AD61" s="177">
        <f t="shared" si="9"/>
        <v>4.6875</v>
      </c>
      <c r="AE61" s="140">
        <f t="shared" si="10"/>
        <v>-31.558935923327653</v>
      </c>
      <c r="AF61" s="170">
        <f t="shared" si="10"/>
        <v>91.962908249158261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3*$E$4/8</f>
        <v>2.0625</v>
      </c>
      <c r="W62" s="140">
        <f t="shared" si="5"/>
        <v>53.844594169264923</v>
      </c>
      <c r="X62" s="170">
        <f t="shared" si="6"/>
        <v>32.260408249158246</v>
      </c>
      <c r="Y62" s="2"/>
      <c r="Z62" s="171">
        <f>3*$F$4/8</f>
        <v>1.5</v>
      </c>
      <c r="AA62" s="172">
        <f t="shared" si="7"/>
        <v>3.0784798989039928</v>
      </c>
      <c r="AB62" s="173">
        <f t="shared" si="8"/>
        <v>39.068608040438384</v>
      </c>
      <c r="AC62" s="2"/>
      <c r="AD62" s="177">
        <f t="shared" si="9"/>
        <v>5.375</v>
      </c>
      <c r="AE62" s="140">
        <f t="shared" si="10"/>
        <v>21.404196310468649</v>
      </c>
      <c r="AF62" s="170">
        <f t="shared" si="10"/>
        <v>62.111658249158253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4*$E$4/8</f>
        <v>2.75</v>
      </c>
      <c r="W63" s="140">
        <f t="shared" si="5"/>
        <v>65.762257653061226</v>
      </c>
      <c r="X63" s="170">
        <f t="shared" si="6"/>
        <v>2.4091582491582528</v>
      </c>
      <c r="Y63" s="2"/>
      <c r="Z63" s="171">
        <f>4*$F$4/8</f>
        <v>2</v>
      </c>
      <c r="AA63" s="172">
        <f t="shared" si="7"/>
        <v>18.582783919123187</v>
      </c>
      <c r="AB63" s="173">
        <f t="shared" si="8"/>
        <v>22.948608040438387</v>
      </c>
      <c r="AC63" s="2"/>
      <c r="AD63" s="177">
        <f t="shared" si="9"/>
        <v>6.0625</v>
      </c>
      <c r="AE63" s="140">
        <f t="shared" si="10"/>
        <v>53.844594169264923</v>
      </c>
      <c r="AF63" s="170">
        <f t="shared" si="10"/>
        <v>32.260408249158246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5*$E$4/8</f>
        <v>3.4375</v>
      </c>
      <c r="W64" s="140">
        <f t="shared" si="5"/>
        <v>57.157186761857531</v>
      </c>
      <c r="X64" s="170">
        <f t="shared" si="6"/>
        <v>-27.44209175084174</v>
      </c>
      <c r="Y64" s="2"/>
      <c r="Z64" s="171">
        <f>5*$F$4/8</f>
        <v>2.5</v>
      </c>
      <c r="AA64" s="172">
        <f t="shared" si="7"/>
        <v>26.02708793934238</v>
      </c>
      <c r="AB64" s="173">
        <f t="shared" si="8"/>
        <v>6.8286080404383824</v>
      </c>
      <c r="AC64" s="2"/>
      <c r="AD64" s="177">
        <f t="shared" si="9"/>
        <v>6.75</v>
      </c>
      <c r="AE64" s="140">
        <f t="shared" si="10"/>
        <v>65.762257653061226</v>
      </c>
      <c r="AF64" s="170">
        <f t="shared" si="10"/>
        <v>2.4091582491582528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6*$E$4/8</f>
        <v>4.125</v>
      </c>
      <c r="W65" s="140">
        <f t="shared" si="5"/>
        <v>28.029381495653752</v>
      </c>
      <c r="X65" s="170">
        <f t="shared" si="6"/>
        <v>-57.293341750841762</v>
      </c>
      <c r="Y65" s="2"/>
      <c r="Z65" s="171">
        <f>6*$F$4/8</f>
        <v>3</v>
      </c>
      <c r="AA65" s="172">
        <f t="shared" si="7"/>
        <v>25.411391959561598</v>
      </c>
      <c r="AB65" s="173">
        <f t="shared" si="8"/>
        <v>-9.2913919595616079</v>
      </c>
      <c r="AC65" s="2"/>
      <c r="AD65" s="177">
        <f t="shared" si="9"/>
        <v>7.4375</v>
      </c>
      <c r="AE65" s="140">
        <f t="shared" si="10"/>
        <v>57.157186761857531</v>
      </c>
      <c r="AF65" s="170">
        <f t="shared" si="10"/>
        <v>-27.44209175084174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7*$E$4/8</f>
        <v>4.8125</v>
      </c>
      <c r="W66" s="140">
        <f t="shared" si="5"/>
        <v>-21.621158145549884</v>
      </c>
      <c r="X66" s="170">
        <f t="shared" si="6"/>
        <v>-87.144591750841755</v>
      </c>
      <c r="Y66" s="2"/>
      <c r="Z66" s="171">
        <f>7*$F$4/8</f>
        <v>3.5</v>
      </c>
      <c r="AA66" s="172">
        <f t="shared" si="7"/>
        <v>16.735695979780758</v>
      </c>
      <c r="AB66" s="173">
        <f t="shared" si="8"/>
        <v>-25.411391959561598</v>
      </c>
      <c r="AC66" s="2"/>
      <c r="AD66" s="177">
        <f t="shared" si="9"/>
        <v>8.125</v>
      </c>
      <c r="AE66" s="140">
        <f t="shared" si="10"/>
        <v>28.029381495653752</v>
      </c>
      <c r="AF66" s="170">
        <f t="shared" si="10"/>
        <v>-57.293341750841762</v>
      </c>
      <c r="AG66" s="2"/>
      <c r="AH66" s="2"/>
      <c r="AI66" s="2"/>
      <c r="AJ66" s="2"/>
      <c r="AK66" s="2"/>
      <c r="AL66" s="2"/>
      <c r="AM66" s="2"/>
      <c r="AN66" s="22"/>
    </row>
    <row r="67" spans="22:40" ht="12.75" thickBot="1" x14ac:dyDescent="0.25">
      <c r="V67" s="178">
        <f>8*$E$4/8</f>
        <v>5.5</v>
      </c>
      <c r="W67" s="179">
        <f t="shared" si="5"/>
        <v>-91.794432161753662</v>
      </c>
      <c r="X67" s="180">
        <f t="shared" si="6"/>
        <v>-116.99584175084175</v>
      </c>
      <c r="Y67" s="2"/>
      <c r="Z67" s="181">
        <f>8*$F$4/8</f>
        <v>4</v>
      </c>
      <c r="AA67" s="182">
        <f t="shared" si="7"/>
        <v>0</v>
      </c>
      <c r="AB67" s="183">
        <f t="shared" si="8"/>
        <v>-41.531391959561603</v>
      </c>
      <c r="AC67" s="2"/>
      <c r="AD67" s="177">
        <f t="shared" si="9"/>
        <v>8.8125</v>
      </c>
      <c r="AE67" s="140">
        <f t="shared" si="10"/>
        <v>-21.621158145549884</v>
      </c>
      <c r="AF67" s="170">
        <f t="shared" si="10"/>
        <v>-87.144591750841755</v>
      </c>
      <c r="AG67" s="2"/>
      <c r="AH67" s="2"/>
      <c r="AI67" s="2"/>
      <c r="AJ67" s="2"/>
      <c r="AK67" s="2"/>
      <c r="AL67" s="2"/>
      <c r="AM67" s="2"/>
      <c r="AN67" s="22"/>
    </row>
    <row r="68" spans="22:40" ht="12.75" thickBot="1" x14ac:dyDescent="0.25">
      <c r="V68" s="23"/>
      <c r="W68" s="2"/>
      <c r="X68" s="2"/>
      <c r="Y68" s="2"/>
      <c r="Z68" s="2"/>
      <c r="AA68" s="2"/>
      <c r="AB68" s="2"/>
      <c r="AC68" s="2"/>
      <c r="AD68" s="184">
        <f t="shared" si="9"/>
        <v>9.5</v>
      </c>
      <c r="AE68" s="179">
        <f t="shared" si="10"/>
        <v>-91.794432161753662</v>
      </c>
      <c r="AF68" s="180">
        <f t="shared" si="10"/>
        <v>-116.99584175084175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185">
        <f t="shared" ref="AD69:AD77" si="11">$AD$68+Z59</f>
        <v>9.5</v>
      </c>
      <c r="AE69" s="186">
        <f t="shared" ref="AE69:AF77" si="12">AA59</f>
        <v>-91.794432161753576</v>
      </c>
      <c r="AF69" s="187">
        <f t="shared" si="12"/>
        <v>87.428608040438377</v>
      </c>
      <c r="AG69" s="2"/>
      <c r="AH69" s="2"/>
      <c r="AI69" s="2"/>
      <c r="AJ69" s="2"/>
      <c r="AK69" s="2"/>
      <c r="AL69" s="2"/>
      <c r="AM69" s="2"/>
      <c r="AN69" s="22"/>
    </row>
    <row r="70" spans="22:40" ht="12.75" thickBot="1" x14ac:dyDescent="0.25">
      <c r="V70" s="23"/>
      <c r="W70" s="2"/>
      <c r="X70" s="2"/>
      <c r="Y70" s="2"/>
      <c r="Z70" s="2" t="s">
        <v>69</v>
      </c>
      <c r="AA70" s="2"/>
      <c r="AB70" s="2"/>
      <c r="AC70" s="2"/>
      <c r="AD70" s="171">
        <f t="shared" si="11"/>
        <v>10</v>
      </c>
      <c r="AE70" s="172">
        <f t="shared" si="12"/>
        <v>-52.110128141534389</v>
      </c>
      <c r="AF70" s="173">
        <f t="shared" si="12"/>
        <v>71.308608040438372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49"/>
      <c r="W71" s="5"/>
      <c r="X71" s="3"/>
      <c r="Y71" s="2"/>
      <c r="Z71" s="83" t="s">
        <v>2</v>
      </c>
      <c r="AA71" s="84" t="s">
        <v>3</v>
      </c>
      <c r="AB71" s="60" t="s">
        <v>4</v>
      </c>
      <c r="AC71" s="2"/>
      <c r="AD71" s="171">
        <f t="shared" si="11"/>
        <v>10.5</v>
      </c>
      <c r="AE71" s="172">
        <f t="shared" si="12"/>
        <v>-20.485824121315204</v>
      </c>
      <c r="AF71" s="173">
        <f t="shared" si="12"/>
        <v>55.188608040438382</v>
      </c>
      <c r="AG71" s="2"/>
      <c r="AH71" s="2"/>
      <c r="AI71" s="2"/>
      <c r="AJ71" s="2"/>
      <c r="AK71" s="2"/>
      <c r="AL71" s="2"/>
      <c r="AM71" s="2"/>
      <c r="AN71" s="22"/>
    </row>
    <row r="72" spans="22:40" x14ac:dyDescent="0.2">
      <c r="V72" s="49"/>
      <c r="W72" s="15"/>
      <c r="X72" s="15"/>
      <c r="Y72" s="2"/>
      <c r="Z72" s="61">
        <v>0</v>
      </c>
      <c r="AA72" s="8">
        <f>-$Z$22-$G$7*Z72^2/2+$AC$28*Z72</f>
        <v>0</v>
      </c>
      <c r="AB72" s="87">
        <f>$AC$28-$G$7*Z72</f>
        <v>0</v>
      </c>
      <c r="AC72" s="2"/>
      <c r="AD72" s="171">
        <f t="shared" si="11"/>
        <v>11</v>
      </c>
      <c r="AE72" s="172">
        <f t="shared" si="12"/>
        <v>3.0784798989039928</v>
      </c>
      <c r="AF72" s="173">
        <f t="shared" si="12"/>
        <v>39.068608040438384</v>
      </c>
      <c r="AG72" s="2"/>
      <c r="AH72" s="2"/>
      <c r="AI72" s="2"/>
      <c r="AJ72" s="2"/>
      <c r="AK72" s="2"/>
      <c r="AL72" s="2"/>
      <c r="AM72" s="2"/>
      <c r="AN72" s="22"/>
    </row>
    <row r="73" spans="22:40" x14ac:dyDescent="0.2">
      <c r="V73" s="49"/>
      <c r="W73" s="15"/>
      <c r="X73" s="15"/>
      <c r="Y73" s="2"/>
      <c r="Z73" s="61">
        <f>$G$4/3</f>
        <v>0</v>
      </c>
      <c r="AA73" s="8">
        <f t="shared" ref="AA73:AA75" si="13">-$Z$22-$G$7*Z73^2/2+$AC$28*Z73</f>
        <v>0</v>
      </c>
      <c r="AB73" s="87">
        <f t="shared" ref="AB73:AB75" si="14">$AC$28-$G$7*Z73</f>
        <v>0</v>
      </c>
      <c r="AC73" s="2"/>
      <c r="AD73" s="171">
        <f t="shared" si="11"/>
        <v>11.5</v>
      </c>
      <c r="AE73" s="172">
        <f t="shared" si="12"/>
        <v>18.582783919123187</v>
      </c>
      <c r="AF73" s="173">
        <f t="shared" si="12"/>
        <v>22.948608040438387</v>
      </c>
      <c r="AG73" s="2"/>
      <c r="AH73" s="2"/>
      <c r="AI73" s="2"/>
      <c r="AJ73" s="2"/>
      <c r="AK73" s="2"/>
      <c r="AL73" s="2"/>
      <c r="AM73" s="2"/>
      <c r="AN73" s="22"/>
    </row>
    <row r="74" spans="22:40" x14ac:dyDescent="0.2">
      <c r="V74" s="49"/>
      <c r="W74" s="15"/>
      <c r="X74" s="15"/>
      <c r="Y74" s="2"/>
      <c r="Z74" s="61">
        <f>2*$G$4/3</f>
        <v>0</v>
      </c>
      <c r="AA74" s="8">
        <f t="shared" si="13"/>
        <v>0</v>
      </c>
      <c r="AB74" s="87">
        <f t="shared" si="14"/>
        <v>0</v>
      </c>
      <c r="AC74" s="2"/>
      <c r="AD74" s="171">
        <f t="shared" si="11"/>
        <v>12</v>
      </c>
      <c r="AE74" s="172">
        <f t="shared" si="12"/>
        <v>26.02708793934238</v>
      </c>
      <c r="AF74" s="173">
        <f t="shared" si="12"/>
        <v>6.8286080404383824</v>
      </c>
      <c r="AG74" s="2"/>
      <c r="AH74" s="2"/>
      <c r="AI74" s="2"/>
      <c r="AJ74" s="2"/>
      <c r="AK74" s="2"/>
      <c r="AL74" s="2"/>
      <c r="AM74" s="2"/>
      <c r="AN74" s="22"/>
    </row>
    <row r="75" spans="22:40" ht="12.75" thickBot="1" x14ac:dyDescent="0.25">
      <c r="V75" s="49"/>
      <c r="W75" s="15"/>
      <c r="X75" s="15"/>
      <c r="Y75" s="2"/>
      <c r="Z75" s="63">
        <f>3*$G$4/3</f>
        <v>0</v>
      </c>
      <c r="AA75" s="88">
        <f t="shared" si="13"/>
        <v>0</v>
      </c>
      <c r="AB75" s="69">
        <f t="shared" si="14"/>
        <v>0</v>
      </c>
      <c r="AC75" s="2"/>
      <c r="AD75" s="171">
        <f t="shared" si="11"/>
        <v>12.5</v>
      </c>
      <c r="AE75" s="172">
        <f t="shared" si="12"/>
        <v>25.411391959561598</v>
      </c>
      <c r="AF75" s="173">
        <f t="shared" si="12"/>
        <v>-9.2913919595616079</v>
      </c>
      <c r="AG75" s="2"/>
      <c r="AH75" s="2"/>
      <c r="AI75" s="2"/>
      <c r="AJ75" s="2"/>
      <c r="AK75" s="2"/>
      <c r="AL75" s="2"/>
      <c r="AM75" s="2"/>
      <c r="AN75" s="22"/>
    </row>
    <row r="76" spans="22:40" x14ac:dyDescent="0.2">
      <c r="V76" s="49"/>
      <c r="W76" s="15"/>
      <c r="X76" s="15"/>
      <c r="Y76" s="2"/>
      <c r="Z76" s="3"/>
      <c r="AA76" s="3"/>
      <c r="AB76" s="3"/>
      <c r="AC76" s="2"/>
      <c r="AD76" s="171">
        <f t="shared" si="11"/>
        <v>13</v>
      </c>
      <c r="AE76" s="172">
        <f t="shared" si="12"/>
        <v>16.735695979780758</v>
      </c>
      <c r="AF76" s="173">
        <f t="shared" si="12"/>
        <v>-25.411391959561598</v>
      </c>
      <c r="AG76" s="2"/>
      <c r="AH76" s="2"/>
      <c r="AI76" s="2"/>
      <c r="AJ76" s="2"/>
      <c r="AK76" s="2"/>
      <c r="AL76" s="2"/>
      <c r="AM76" s="2"/>
      <c r="AN76" s="22"/>
    </row>
    <row r="77" spans="22:40" ht="12.75" thickBot="1" x14ac:dyDescent="0.25">
      <c r="V77" s="49"/>
      <c r="W77" s="15"/>
      <c r="X77" s="15"/>
      <c r="Y77" s="2"/>
      <c r="Z77" s="3"/>
      <c r="AA77" s="3"/>
      <c r="AB77" s="3"/>
      <c r="AC77" s="2"/>
      <c r="AD77" s="181">
        <f t="shared" si="11"/>
        <v>13.5</v>
      </c>
      <c r="AE77" s="182">
        <f t="shared" si="12"/>
        <v>0</v>
      </c>
      <c r="AF77" s="183">
        <f t="shared" si="12"/>
        <v>-41.531391959561603</v>
      </c>
      <c r="AG77" s="2"/>
      <c r="AH77" s="2"/>
      <c r="AI77" s="2"/>
      <c r="AJ77" s="2"/>
      <c r="AK77" s="2"/>
      <c r="AL77" s="2"/>
      <c r="AM77" s="2"/>
      <c r="AN77" s="22"/>
    </row>
    <row r="78" spans="22:40" x14ac:dyDescent="0.2">
      <c r="V78" s="49"/>
      <c r="W78" s="15"/>
      <c r="X78" s="15"/>
      <c r="Y78" s="2"/>
      <c r="Z78" s="3"/>
      <c r="AA78" s="3"/>
      <c r="AB78" s="3"/>
      <c r="AC78" s="2"/>
      <c r="AD78" s="67">
        <f>$AD$77+Z72</f>
        <v>13.5</v>
      </c>
      <c r="AE78" s="188">
        <f t="shared" ref="AE78:AF81" si="15">AA72</f>
        <v>0</v>
      </c>
      <c r="AF78" s="68">
        <f t="shared" si="15"/>
        <v>0</v>
      </c>
      <c r="AG78" s="2"/>
      <c r="AH78" s="2"/>
      <c r="AI78" s="2"/>
      <c r="AJ78" s="2"/>
      <c r="AK78" s="2"/>
      <c r="AL78" s="2"/>
      <c r="AM78" s="2"/>
      <c r="AN78" s="22"/>
    </row>
    <row r="79" spans="22:40" x14ac:dyDescent="0.2">
      <c r="V79" s="49"/>
      <c r="W79" s="15"/>
      <c r="X79" s="15"/>
      <c r="Y79" s="2"/>
      <c r="Z79" s="3"/>
      <c r="AA79" s="3"/>
      <c r="AB79" s="3"/>
      <c r="AC79" s="2"/>
      <c r="AD79" s="61">
        <f t="shared" ref="AD79:AD81" si="16">$AD$77+Z73</f>
        <v>13.5</v>
      </c>
      <c r="AE79" s="8">
        <f t="shared" si="15"/>
        <v>0</v>
      </c>
      <c r="AF79" s="87">
        <f t="shared" si="15"/>
        <v>0</v>
      </c>
      <c r="AG79" s="2"/>
      <c r="AH79" s="2"/>
      <c r="AI79" s="2"/>
      <c r="AJ79" s="2"/>
      <c r="AK79" s="2"/>
      <c r="AL79" s="2"/>
      <c r="AM79" s="2"/>
      <c r="AN79" s="22"/>
    </row>
    <row r="80" spans="22:40" x14ac:dyDescent="0.2">
      <c r="V80" s="49"/>
      <c r="W80" s="15"/>
      <c r="X80" s="15"/>
      <c r="Y80" s="2"/>
      <c r="Z80" s="3"/>
      <c r="AA80" s="3"/>
      <c r="AB80" s="3"/>
      <c r="AC80" s="2"/>
      <c r="AD80" s="61">
        <f t="shared" si="16"/>
        <v>13.5</v>
      </c>
      <c r="AE80" s="8">
        <f t="shared" si="15"/>
        <v>0</v>
      </c>
      <c r="AF80" s="87">
        <f t="shared" si="15"/>
        <v>0</v>
      </c>
      <c r="AG80" s="2"/>
      <c r="AH80" s="2"/>
      <c r="AI80" s="2"/>
      <c r="AJ80" s="2"/>
      <c r="AK80" s="2"/>
      <c r="AL80" s="2"/>
      <c r="AM80" s="2"/>
      <c r="AN80" s="22"/>
    </row>
    <row r="81" spans="5:40" ht="12.75" thickBot="1" x14ac:dyDescent="0.25">
      <c r="V81" s="189"/>
      <c r="W81" s="27"/>
      <c r="X81" s="27"/>
      <c r="Y81" s="27"/>
      <c r="Z81" s="27"/>
      <c r="AA81" s="27"/>
      <c r="AB81" s="27"/>
      <c r="AC81" s="27"/>
      <c r="AD81" s="190">
        <f t="shared" si="16"/>
        <v>13.5</v>
      </c>
      <c r="AE81" s="143">
        <f t="shared" si="15"/>
        <v>0</v>
      </c>
      <c r="AF81" s="191">
        <f t="shared" si="15"/>
        <v>0</v>
      </c>
      <c r="AG81" s="27"/>
      <c r="AH81" s="27"/>
      <c r="AI81" s="27"/>
      <c r="AJ81" s="27"/>
      <c r="AK81" s="27"/>
      <c r="AL81" s="27"/>
      <c r="AM81" s="27"/>
      <c r="AN81" s="28"/>
    </row>
    <row r="82" spans="5:40" ht="12.75" thickTop="1" x14ac:dyDescent="0.2">
      <c r="V82" s="19"/>
      <c r="W82" s="19"/>
      <c r="X82" s="19"/>
      <c r="Y82" s="19"/>
      <c r="Z82" s="19"/>
      <c r="AA82" s="19"/>
      <c r="AB82" s="19"/>
      <c r="AC82" s="19"/>
      <c r="AD82" s="114"/>
      <c r="AE82" s="114"/>
      <c r="AF82" s="114"/>
      <c r="AG82" s="19"/>
      <c r="AH82" s="19"/>
      <c r="AI82" s="19"/>
      <c r="AJ82" s="19"/>
      <c r="AK82" s="19"/>
      <c r="AL82" s="19"/>
      <c r="AM82" s="19"/>
      <c r="AN82" s="19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oglio22"/>
  <dimension ref="A1:N16"/>
  <sheetViews>
    <sheetView workbookViewId="0">
      <selection activeCell="C7" sqref="C7:G7"/>
    </sheetView>
  </sheetViews>
  <sheetFormatPr defaultRowHeight="15" x14ac:dyDescent="0.25"/>
  <sheetData>
    <row r="1" spans="1:14" x14ac:dyDescent="0.25">
      <c r="A1" t="s">
        <v>47</v>
      </c>
      <c r="D1" t="s">
        <v>48</v>
      </c>
      <c r="G1" t="s">
        <v>85</v>
      </c>
      <c r="J1" t="s">
        <v>105</v>
      </c>
    </row>
    <row r="2" spans="1:14" x14ac:dyDescent="0.25">
      <c r="A2" s="29">
        <f>'CCC-Trave int1 (P1)'!D15</f>
        <v>0</v>
      </c>
      <c r="B2" s="30">
        <v>0</v>
      </c>
      <c r="D2" s="29">
        <f>'CCC-Trave int1 (P1)'!D15+'CCC-Trave int1 (P1)'!E15</f>
        <v>4</v>
      </c>
      <c r="E2" s="30">
        <v>0</v>
      </c>
      <c r="G2" s="29">
        <f>'CCC-Trave int1 (P1)'!D15+'CCC-Trave int1 (P1)'!E15+'CCC-Trave int1 (P1)'!F15</f>
        <v>9.5</v>
      </c>
      <c r="H2" s="30">
        <v>0</v>
      </c>
      <c r="J2" s="29">
        <f>'CCC-Trave int1 (P1)'!D15+'CCC-Trave int1 (P1)'!E15+'CCC-Trave int1 (P1)'!F15+'CCC-Trave int1 (P1)'!G15</f>
        <v>13.5</v>
      </c>
      <c r="K2" s="30">
        <v>0</v>
      </c>
      <c r="M2" s="37"/>
      <c r="N2" s="33"/>
    </row>
    <row r="3" spans="1:14" x14ac:dyDescent="0.25">
      <c r="A3" s="29">
        <f>A2-0.4</f>
        <v>-0.4</v>
      </c>
      <c r="B3" s="30">
        <v>-4</v>
      </c>
      <c r="D3" s="29">
        <f>D2-0.4</f>
        <v>3.6</v>
      </c>
      <c r="E3" s="30">
        <v>-4</v>
      </c>
      <c r="G3" s="29">
        <f>G2-0.4</f>
        <v>9.1</v>
      </c>
      <c r="H3" s="30">
        <v>-4</v>
      </c>
      <c r="J3" s="29">
        <f>J2-0.4</f>
        <v>13.1</v>
      </c>
      <c r="K3" s="30">
        <v>-4</v>
      </c>
      <c r="M3" s="37"/>
      <c r="N3" s="33"/>
    </row>
    <row r="4" spans="1:14" x14ac:dyDescent="0.25">
      <c r="A4" s="29">
        <f>A2+0.4</f>
        <v>0.4</v>
      </c>
      <c r="B4" s="30">
        <f>B3</f>
        <v>-4</v>
      </c>
      <c r="D4" s="29">
        <f>D2+0.4</f>
        <v>4.4000000000000004</v>
      </c>
      <c r="E4" s="30">
        <f>E3</f>
        <v>-4</v>
      </c>
      <c r="G4" s="29">
        <f>G2+0.4</f>
        <v>9.9</v>
      </c>
      <c r="H4" s="30">
        <f>H3</f>
        <v>-4</v>
      </c>
      <c r="J4" s="29">
        <f>J2+0.4</f>
        <v>13.9</v>
      </c>
      <c r="K4" s="30">
        <f>K3</f>
        <v>-4</v>
      </c>
      <c r="M4" s="37"/>
      <c r="N4" s="33"/>
    </row>
    <row r="5" spans="1:14" x14ac:dyDescent="0.25">
      <c r="A5" s="31">
        <f>A2</f>
        <v>0</v>
      </c>
      <c r="B5" s="32">
        <f>B2</f>
        <v>0</v>
      </c>
      <c r="D5" s="29">
        <f>D2</f>
        <v>4</v>
      </c>
      <c r="E5" s="30">
        <f>E2</f>
        <v>0</v>
      </c>
      <c r="G5" s="29">
        <f>G2</f>
        <v>9.5</v>
      </c>
      <c r="H5" s="30">
        <f>H2</f>
        <v>0</v>
      </c>
      <c r="J5" s="29">
        <f>J2</f>
        <v>13.5</v>
      </c>
      <c r="K5" s="30">
        <f>K2</f>
        <v>0</v>
      </c>
      <c r="M5" s="37"/>
      <c r="N5" s="33"/>
    </row>
    <row r="6" spans="1:14" x14ac:dyDescent="0.25">
      <c r="A6" s="34"/>
      <c r="B6" s="34"/>
    </row>
    <row r="7" spans="1:14" x14ac:dyDescent="0.25">
      <c r="A7" s="35"/>
      <c r="B7" s="33"/>
      <c r="C7" s="36"/>
      <c r="D7" s="35"/>
      <c r="E7" s="36"/>
      <c r="F7" s="36"/>
      <c r="G7" s="35"/>
      <c r="H7" s="36"/>
      <c r="I7" s="36"/>
      <c r="J7" s="35"/>
      <c r="K7" s="36"/>
      <c r="L7" s="36"/>
      <c r="M7" s="35"/>
      <c r="N7" s="36"/>
    </row>
    <row r="8" spans="1:14" x14ac:dyDescent="0.25">
      <c r="A8" s="37"/>
      <c r="B8" s="33"/>
      <c r="C8" s="36"/>
      <c r="D8" s="37"/>
      <c r="E8" s="33"/>
      <c r="F8" s="33"/>
      <c r="G8" s="37"/>
      <c r="H8" s="33"/>
      <c r="I8" s="33"/>
      <c r="J8" s="37"/>
      <c r="K8" s="33"/>
      <c r="L8" s="33"/>
      <c r="M8" s="37"/>
      <c r="N8" s="33"/>
    </row>
    <row r="9" spans="1:14" x14ac:dyDescent="0.25">
      <c r="A9" s="33"/>
      <c r="B9" s="33"/>
    </row>
    <row r="10" spans="1:14" x14ac:dyDescent="0.25">
      <c r="A10" s="33"/>
      <c r="B10" s="33"/>
    </row>
    <row r="11" spans="1:14" x14ac:dyDescent="0.25">
      <c r="A11" s="33"/>
      <c r="B11" s="33"/>
    </row>
    <row r="12" spans="1:14" x14ac:dyDescent="0.25">
      <c r="A12" s="33"/>
      <c r="B12" s="33"/>
    </row>
    <row r="13" spans="1:14" x14ac:dyDescent="0.25">
      <c r="A13" s="33"/>
      <c r="B13" s="33"/>
    </row>
    <row r="14" spans="1:14" x14ac:dyDescent="0.25">
      <c r="A14" s="33"/>
      <c r="B14" s="33"/>
    </row>
    <row r="15" spans="1:14" x14ac:dyDescent="0.25">
      <c r="A15" s="33"/>
      <c r="B15" s="33"/>
    </row>
    <row r="16" spans="1:14" x14ac:dyDescent="0.25">
      <c r="A16" s="33"/>
      <c r="B16" s="3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oglio10"/>
  <dimension ref="A1:AT100"/>
  <sheetViews>
    <sheetView zoomScale="85" zoomScaleNormal="85" workbookViewId="0">
      <selection activeCell="I19" sqref="I19"/>
    </sheetView>
  </sheetViews>
  <sheetFormatPr defaultColWidth="9.140625" defaultRowHeight="12" x14ac:dyDescent="0.2"/>
  <cols>
    <col min="1" max="16384" width="9.140625" style="1"/>
  </cols>
  <sheetData>
    <row r="1" spans="1:40" ht="15.75" customHeight="1" thickBot="1" x14ac:dyDescent="0.25">
      <c r="A1" s="334" t="s">
        <v>28</v>
      </c>
      <c r="B1" s="334"/>
      <c r="C1" s="334"/>
      <c r="D1" s="334"/>
      <c r="E1" s="334"/>
      <c r="F1" s="334"/>
      <c r="G1" s="334"/>
      <c r="H1" s="334"/>
      <c r="I1" s="334"/>
      <c r="J1" s="334"/>
      <c r="K1" s="2"/>
    </row>
    <row r="2" spans="1:40" ht="12.75" thickTop="1" x14ac:dyDescent="0.2">
      <c r="E2" s="12"/>
    </row>
    <row r="3" spans="1:40" ht="13.5" x14ac:dyDescent="0.25">
      <c r="B3" s="12" t="s">
        <v>29</v>
      </c>
      <c r="D3" s="13" t="s">
        <v>32</v>
      </c>
      <c r="E3" s="13" t="s">
        <v>33</v>
      </c>
      <c r="F3" s="13" t="s">
        <v>70</v>
      </c>
      <c r="G3" s="13" t="s">
        <v>34</v>
      </c>
    </row>
    <row r="4" spans="1:40" x14ac:dyDescent="0.2">
      <c r="D4" s="14">
        <f>'CC-Trave'!E15</f>
        <v>0</v>
      </c>
      <c r="E4" s="14">
        <f>'CC-Trave'!F15</f>
        <v>5</v>
      </c>
      <c r="F4" s="14">
        <f>'CC-Trave'!G15</f>
        <v>4</v>
      </c>
      <c r="G4" s="14">
        <f>'CC-Trave'!H15</f>
        <v>1.1000000000000001</v>
      </c>
    </row>
    <row r="6" spans="1:40" ht="13.5" x14ac:dyDescent="0.25">
      <c r="B6" s="12" t="s">
        <v>41</v>
      </c>
      <c r="D6" s="13" t="s">
        <v>35</v>
      </c>
      <c r="E6" s="13" t="s">
        <v>36</v>
      </c>
      <c r="F6" s="13" t="s">
        <v>71</v>
      </c>
      <c r="G6" s="13" t="s">
        <v>37</v>
      </c>
    </row>
    <row r="7" spans="1:40" x14ac:dyDescent="0.2">
      <c r="C7" s="1" t="s">
        <v>42</v>
      </c>
      <c r="D7" s="14">
        <f>'CC-Trave'!E26</f>
        <v>0</v>
      </c>
      <c r="E7" s="14">
        <f>'CC-Trave'!F26</f>
        <v>6</v>
      </c>
      <c r="F7" s="14">
        <f>'CC-Trave'!G26</f>
        <v>10.8</v>
      </c>
      <c r="G7" s="14">
        <f>'CC-Trave'!H26</f>
        <v>6</v>
      </c>
    </row>
    <row r="8" spans="1:40" x14ac:dyDescent="0.2">
      <c r="D8" s="14"/>
      <c r="E8" s="14"/>
      <c r="F8" s="14"/>
      <c r="G8" s="14"/>
      <c r="H8" s="15"/>
    </row>
    <row r="9" spans="1:40" x14ac:dyDescent="0.2">
      <c r="D9" s="14"/>
      <c r="E9" s="14"/>
      <c r="F9" s="14"/>
      <c r="G9" s="14"/>
      <c r="H9" s="15"/>
    </row>
    <row r="10" spans="1:40" x14ac:dyDescent="0.2">
      <c r="D10" s="14"/>
      <c r="E10" s="14"/>
      <c r="F10" s="14"/>
      <c r="G10" s="14"/>
      <c r="H10" s="15"/>
    </row>
    <row r="11" spans="1:40" x14ac:dyDescent="0.2">
      <c r="D11" s="14"/>
      <c r="E11" s="14"/>
      <c r="F11" s="14"/>
      <c r="G11" s="14"/>
      <c r="H11" s="15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45" t="s">
        <v>31</v>
      </c>
      <c r="B15" s="345"/>
      <c r="C15" s="345"/>
      <c r="D15" s="345"/>
      <c r="E15" s="345"/>
      <c r="F15" s="345"/>
      <c r="G15" s="345"/>
      <c r="H15" s="345"/>
      <c r="I15" s="345"/>
      <c r="J15" s="345"/>
    </row>
    <row r="16" spans="1:40" ht="12.75" thickTop="1" x14ac:dyDescent="0.2">
      <c r="V16" s="54"/>
      <c r="W16" s="55"/>
      <c r="X16" s="55"/>
      <c r="Y16" s="19"/>
      <c r="Z16" s="20"/>
      <c r="AA16" s="20"/>
      <c r="AB16" s="20"/>
      <c r="AC16" s="19"/>
      <c r="AD16" s="19"/>
      <c r="AE16" s="56"/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3.5" x14ac:dyDescent="0.2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49"/>
      <c r="W17" s="5"/>
      <c r="X17" s="5"/>
      <c r="Y17" s="2"/>
      <c r="Z17" s="3"/>
      <c r="AA17" s="3"/>
      <c r="AB17" s="3"/>
      <c r="AC17" s="2"/>
      <c r="AD17" s="2"/>
      <c r="AE17" s="44"/>
      <c r="AF17" s="2"/>
      <c r="AG17" s="2"/>
      <c r="AH17" s="123">
        <v>0</v>
      </c>
      <c r="AI17" s="123">
        <v>10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'CC-Trave'!B77</f>
        <v>1</v>
      </c>
      <c r="C18" s="16">
        <f>'CC-Trave'!C77</f>
        <v>3.1250000000000002E-3</v>
      </c>
      <c r="D18" s="16">
        <f>B18*C18</f>
        <v>3.1250000000000002E-3</v>
      </c>
      <c r="G18" s="16">
        <f>'CC-Trave'!G77</f>
        <v>1</v>
      </c>
      <c r="H18" s="16">
        <f>'CC-Trave'!H77</f>
        <v>3.1250000000000002E-3</v>
      </c>
      <c r="I18" s="16">
        <f>G18*H18</f>
        <v>3.1250000000000002E-3</v>
      </c>
      <c r="V18" s="49"/>
      <c r="W18" s="3"/>
      <c r="X18" s="5"/>
      <c r="Y18" s="2"/>
      <c r="Z18" s="3"/>
      <c r="AA18" s="3"/>
      <c r="AB18" s="3"/>
      <c r="AC18" s="2"/>
      <c r="AD18" s="2"/>
      <c r="AE18" s="3"/>
      <c r="AF18" s="2"/>
      <c r="AG18" s="2"/>
      <c r="AH18" s="123">
        <f>D4</f>
        <v>0</v>
      </c>
      <c r="AI18" s="123">
        <f>AI17</f>
        <v>10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123">
        <f>AH18</f>
        <v>0</v>
      </c>
      <c r="AI19" s="123">
        <f>AI18+D7</f>
        <v>10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x14ac:dyDescent="0.2">
      <c r="A20" s="17"/>
      <c r="B20" s="3"/>
      <c r="C20" s="3"/>
      <c r="D20" s="3"/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10</v>
      </c>
      <c r="AJ20" s="2"/>
      <c r="AK20" s="8">
        <f>AK19</f>
        <v>5</v>
      </c>
      <c r="AL20" s="8">
        <f>AE59</f>
        <v>-19.209999999999994</v>
      </c>
      <c r="AM20" s="2"/>
      <c r="AN20" s="22"/>
    </row>
    <row r="21" spans="1:46" s="46" customFormat="1" x14ac:dyDescent="0.2">
      <c r="A21" s="1"/>
      <c r="B21" s="3"/>
      <c r="C21" s="3"/>
      <c r="D21" s="3"/>
      <c r="F21" s="3"/>
      <c r="G21" s="3"/>
      <c r="H21" s="3"/>
      <c r="I21" s="3"/>
      <c r="V21" s="24" t="s">
        <v>7</v>
      </c>
      <c r="W21" s="8">
        <f>-3*AB22/(E4/D18+F4/I18)</f>
        <v>19.209999999999997</v>
      </c>
      <c r="X21" s="2"/>
      <c r="Y21" s="123" t="s">
        <v>12</v>
      </c>
      <c r="Z21" s="123">
        <f>D7*D4^2/2</f>
        <v>0</v>
      </c>
      <c r="AA21" s="2"/>
      <c r="AB21" s="123" t="s">
        <v>79</v>
      </c>
      <c r="AC21" s="3"/>
      <c r="AD21" s="3"/>
      <c r="AE21" s="2"/>
      <c r="AF21" s="2"/>
      <c r="AG21" s="2"/>
      <c r="AH21" s="123">
        <v>0</v>
      </c>
      <c r="AI21" s="123">
        <f>AI17</f>
        <v>10</v>
      </c>
      <c r="AJ21" s="2"/>
      <c r="AK21" s="8">
        <f>AK57</f>
        <v>9</v>
      </c>
      <c r="AL21" s="8">
        <v>0</v>
      </c>
      <c r="AM21" s="2"/>
      <c r="AN21" s="22"/>
    </row>
    <row r="22" spans="1:46" x14ac:dyDescent="0.2">
      <c r="V22" s="24"/>
      <c r="W22" s="11"/>
      <c r="X22" s="2"/>
      <c r="Y22" s="123" t="s">
        <v>80</v>
      </c>
      <c r="Z22" s="123">
        <f>G7*G4^2/2</f>
        <v>3.6300000000000008</v>
      </c>
      <c r="AA22" s="2"/>
      <c r="AB22" s="124">
        <f>Z21*E4/(6*D18)+Z22*F4/(6*I18)-E7*E4^3/(24*D18)-F7*F4^3/(24*I18)</f>
        <v>-18441.599999999999</v>
      </c>
      <c r="AC22" s="44"/>
      <c r="AD22" s="44"/>
      <c r="AE22" s="2"/>
      <c r="AF22" s="2"/>
      <c r="AG22" s="2"/>
      <c r="AH22" s="2"/>
      <c r="AI22" s="2"/>
      <c r="AJ22" s="2"/>
      <c r="AK22" s="8">
        <f>AK21</f>
        <v>9</v>
      </c>
      <c r="AL22" s="8">
        <f>AE68</f>
        <v>-3.6299999999999955</v>
      </c>
      <c r="AM22" s="2"/>
      <c r="AN22" s="22"/>
    </row>
    <row r="23" spans="1:46" x14ac:dyDescent="0.2">
      <c r="V23" s="24"/>
      <c r="W23" s="3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11"/>
      <c r="AL23" s="11"/>
      <c r="AM23" s="2"/>
      <c r="AN23" s="22"/>
    </row>
    <row r="24" spans="1:46" x14ac:dyDescent="0.2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D4</f>
        <v>0</v>
      </c>
      <c r="AI24" s="123">
        <f>AI17</f>
        <v>10</v>
      </c>
      <c r="AJ24" s="2"/>
      <c r="AK24" s="11"/>
      <c r="AL24" s="11"/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10</v>
      </c>
      <c r="AJ25" s="2"/>
      <c r="AK25" s="11"/>
      <c r="AL25" s="11"/>
      <c r="AM25" s="2"/>
      <c r="AN25" s="22"/>
    </row>
    <row r="26" spans="1:46" x14ac:dyDescent="0.2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AI25+E7</f>
        <v>16</v>
      </c>
      <c r="AJ26" s="3"/>
      <c r="AK26" s="11"/>
      <c r="AL26" s="11"/>
      <c r="AM26" s="2"/>
      <c r="AN26" s="22"/>
    </row>
    <row r="27" spans="1:46" x14ac:dyDescent="0.2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3"/>
      <c r="AC27" s="3"/>
      <c r="AD27" s="3"/>
      <c r="AE27" s="3"/>
      <c r="AF27" s="3"/>
      <c r="AG27" s="3"/>
      <c r="AH27" s="123">
        <f>AH24</f>
        <v>0</v>
      </c>
      <c r="AI27" s="123">
        <f>AI26</f>
        <v>16</v>
      </c>
      <c r="AJ27" s="3"/>
      <c r="AK27" s="11"/>
      <c r="AL27" s="11"/>
      <c r="AM27" s="2"/>
      <c r="AN27" s="22"/>
    </row>
    <row r="28" spans="1:46" x14ac:dyDescent="0.2">
      <c r="V28" s="126">
        <f>D7*D4</f>
        <v>0</v>
      </c>
      <c r="W28" s="8">
        <f>E7*E4-X28</f>
        <v>11.158000000000001</v>
      </c>
      <c r="X28" s="8">
        <f>(W21-Z21+E7*E4^2/2)/E4</f>
        <v>18.841999999999999</v>
      </c>
      <c r="Y28" s="8">
        <f>F7*F4-Z28</f>
        <v>25.495000000000001</v>
      </c>
      <c r="Z28" s="8">
        <f>(Z22-W21+F7*F4^2/2)/F4</f>
        <v>17.705000000000002</v>
      </c>
      <c r="AA28" s="8">
        <f>G7*G4</f>
        <v>6.6000000000000005</v>
      </c>
      <c r="AB28" s="11"/>
      <c r="AC28" s="11"/>
      <c r="AD28" s="11"/>
      <c r="AE28" s="11"/>
      <c r="AF28" s="3"/>
      <c r="AG28" s="3"/>
      <c r="AH28" s="123">
        <f>AH24</f>
        <v>0</v>
      </c>
      <c r="AI28" s="123">
        <f>AI24</f>
        <v>10</v>
      </c>
      <c r="AJ28" s="3"/>
      <c r="AK28" s="11"/>
      <c r="AL28" s="11"/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">
      <c r="V31" s="23"/>
      <c r="W31" s="2"/>
      <c r="X31" s="123" t="s">
        <v>0</v>
      </c>
      <c r="Y31" s="123" t="s">
        <v>1</v>
      </c>
      <c r="Z31" s="123" t="s">
        <v>78</v>
      </c>
      <c r="AA31" s="3"/>
      <c r="AB31" s="3"/>
      <c r="AC31" s="2"/>
      <c r="AD31" s="2"/>
      <c r="AE31" s="2"/>
      <c r="AF31" s="2"/>
      <c r="AG31" s="2"/>
      <c r="AH31" s="8">
        <f>AK56</f>
        <v>5</v>
      </c>
      <c r="AI31" s="123">
        <f>AI17</f>
        <v>10</v>
      </c>
      <c r="AJ31" s="2"/>
      <c r="AK31" s="2" t="s">
        <v>21</v>
      </c>
      <c r="AL31" s="2"/>
      <c r="AM31" s="2"/>
      <c r="AN31" s="22"/>
    </row>
    <row r="32" spans="1:46" x14ac:dyDescent="0.2">
      <c r="V32" s="23"/>
      <c r="W32" s="2"/>
      <c r="X32" s="8">
        <f>V28+W28</f>
        <v>11.158000000000001</v>
      </c>
      <c r="Y32" s="8">
        <f>X28+Y28</f>
        <v>44.337000000000003</v>
      </c>
      <c r="Z32" s="8">
        <f>Z28+AA28</f>
        <v>24.305000000000003</v>
      </c>
      <c r="AA32" s="11"/>
      <c r="AB32" s="11"/>
      <c r="AC32" s="2"/>
      <c r="AD32" s="2"/>
      <c r="AE32" s="2"/>
      <c r="AF32" s="2"/>
      <c r="AG32" s="2"/>
      <c r="AH32" s="8">
        <f>AK57</f>
        <v>9</v>
      </c>
      <c r="AI32" s="123">
        <f>AI31</f>
        <v>10</v>
      </c>
      <c r="AJ32" s="2"/>
      <c r="AK32" s="123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9</v>
      </c>
      <c r="AI33" s="123">
        <f>AI32+F7</f>
        <v>20.8</v>
      </c>
      <c r="AJ33" s="2"/>
      <c r="AK33" s="128" t="s">
        <v>23</v>
      </c>
      <c r="AL33" s="8">
        <f>W28/E7</f>
        <v>1.8596666666666668</v>
      </c>
      <c r="AM33" s="8">
        <f>D4+AL33</f>
        <v>1.8596666666666668</v>
      </c>
      <c r="AN33" s="129">
        <f>W28*AL33-E7*AL33^2/2-Z21</f>
        <v>10.375080333333335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20.8</v>
      </c>
      <c r="AJ34" s="2"/>
      <c r="AK34" s="130" t="s">
        <v>82</v>
      </c>
      <c r="AL34" s="8">
        <f>Y28/F7</f>
        <v>2.3606481481481483</v>
      </c>
      <c r="AM34" s="8">
        <f>D4+E4+AL34</f>
        <v>7.3606481481481483</v>
      </c>
      <c r="AN34" s="129">
        <f>Y28*AL34-F7*AL34^2/2-W21</f>
        <v>10.88236226851852</v>
      </c>
    </row>
    <row r="35" spans="22:40" x14ac:dyDescent="0.2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10</v>
      </c>
      <c r="AJ35" s="2"/>
      <c r="AK35" s="48"/>
      <c r="AL35" s="11"/>
      <c r="AM35" s="11"/>
      <c r="AN35" s="50"/>
    </row>
    <row r="36" spans="22:40" x14ac:dyDescent="0.2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9</v>
      </c>
      <c r="AC36" s="132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x14ac:dyDescent="0.2">
      <c r="V37" s="131">
        <f>V36</f>
        <v>0</v>
      </c>
      <c r="W37" s="133">
        <f>X32</f>
        <v>11.158000000000001</v>
      </c>
      <c r="X37" s="2"/>
      <c r="Y37" s="133">
        <f>Y36</f>
        <v>5</v>
      </c>
      <c r="Z37" s="133">
        <f>Y32</f>
        <v>44.337000000000003</v>
      </c>
      <c r="AA37" s="2"/>
      <c r="AB37" s="133">
        <f>AB36</f>
        <v>9</v>
      </c>
      <c r="AC37" s="133">
        <f>Z32</f>
        <v>24.305000000000003</v>
      </c>
      <c r="AD37" s="2"/>
      <c r="AE37" s="2"/>
      <c r="AF37" s="2"/>
      <c r="AG37" s="2"/>
      <c r="AH37" s="3" t="s">
        <v>18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9</v>
      </c>
      <c r="AI38" s="123">
        <f>AI17</f>
        <v>10</v>
      </c>
      <c r="AJ38" s="3"/>
      <c r="AK38" s="3"/>
      <c r="AL38" s="3"/>
      <c r="AM38" s="3"/>
      <c r="AN38" s="25"/>
    </row>
    <row r="39" spans="22:40" x14ac:dyDescent="0.2">
      <c r="V39" s="23"/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8">
        <f>AK58</f>
        <v>10.1</v>
      </c>
      <c r="AI39" s="123">
        <f>AI38</f>
        <v>10</v>
      </c>
      <c r="AJ39" s="3"/>
      <c r="AK39" s="2" t="s">
        <v>27</v>
      </c>
      <c r="AL39" s="2"/>
      <c r="AM39" s="3"/>
      <c r="AN39" s="25"/>
    </row>
    <row r="40" spans="22:40" x14ac:dyDescent="0.2">
      <c r="V40" s="57"/>
      <c r="W40" s="2"/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8">
        <f>AH39</f>
        <v>10.1</v>
      </c>
      <c r="AI40" s="123">
        <f>AI39+G7</f>
        <v>16</v>
      </c>
      <c r="AJ40" s="2"/>
      <c r="AK40" s="8">
        <f>AM33</f>
        <v>1.8596666666666668</v>
      </c>
      <c r="AL40" s="123">
        <v>0</v>
      </c>
      <c r="AM40" s="2"/>
      <c r="AN40" s="22"/>
    </row>
    <row r="41" spans="22:40" x14ac:dyDescent="0.2">
      <c r="V41" s="57"/>
      <c r="W41" s="47"/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8">
        <f>AH38</f>
        <v>9</v>
      </c>
      <c r="AI41" s="123">
        <f>AI40</f>
        <v>16</v>
      </c>
      <c r="AJ41" s="2"/>
      <c r="AK41" s="8">
        <f>AK40</f>
        <v>1.8596666666666668</v>
      </c>
      <c r="AL41" s="8">
        <f>AN33</f>
        <v>10.375080333333335</v>
      </c>
      <c r="AM41" s="2"/>
      <c r="AN41" s="22"/>
    </row>
    <row r="42" spans="22:40" x14ac:dyDescent="0.2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9</v>
      </c>
      <c r="AI42" s="123">
        <f>AI38</f>
        <v>10</v>
      </c>
      <c r="AJ42" s="2"/>
      <c r="AK42" s="8">
        <f>AM34</f>
        <v>7.3606481481481483</v>
      </c>
      <c r="AL42" s="123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7.3606481481481483</v>
      </c>
      <c r="AL43" s="8">
        <f>AN34</f>
        <v>10.88236226851852</v>
      </c>
      <c r="AM43" s="2"/>
      <c r="AN43" s="22"/>
    </row>
    <row r="44" spans="22:40" x14ac:dyDescent="0.2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11"/>
      <c r="AL44" s="3"/>
      <c r="AM44" s="2"/>
      <c r="AN44" s="22"/>
    </row>
    <row r="45" spans="22:40" x14ac:dyDescent="0.2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2"/>
      <c r="AI45" s="2"/>
      <c r="AJ45" s="2"/>
      <c r="AK45" s="11"/>
      <c r="AL45" s="11"/>
      <c r="AM45" s="2"/>
      <c r="AN45" s="22"/>
    </row>
    <row r="46" spans="22:40" x14ac:dyDescent="0.2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2"/>
      <c r="AI46" s="2"/>
      <c r="AJ46" s="2"/>
      <c r="AK46" s="11"/>
      <c r="AL46" s="3"/>
      <c r="AM46" s="2"/>
      <c r="AN46" s="22"/>
    </row>
    <row r="47" spans="22:40" x14ac:dyDescent="0.2">
      <c r="V47" s="26">
        <v>0</v>
      </c>
      <c r="W47" s="7">
        <f>-$D$7*V47^2/2</f>
        <v>0</v>
      </c>
      <c r="X47" s="7">
        <f>-$D$7*V47</f>
        <v>0</v>
      </c>
      <c r="Y47" s="2"/>
      <c r="Z47" s="10">
        <v>0</v>
      </c>
      <c r="AA47" s="10">
        <f t="shared" ref="AA47:AA55" si="0">-$Z$21-$E$7*Z47^2/2+$W$28*Z47</f>
        <v>0</v>
      </c>
      <c r="AB47" s="10">
        <f t="shared" ref="AB47:AB55" si="1">-$E$7*Z47+$W$28</f>
        <v>11.158000000000001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2"/>
      <c r="AI47" s="2"/>
      <c r="AJ47" s="2"/>
      <c r="AK47" s="11"/>
      <c r="AL47" s="11"/>
      <c r="AM47" s="2"/>
      <c r="AN47" s="22"/>
    </row>
    <row r="48" spans="22:40" x14ac:dyDescent="0.2">
      <c r="V48" s="26">
        <f>$D$4/3</f>
        <v>0</v>
      </c>
      <c r="W48" s="7">
        <f>-$D$7*V48^2/2</f>
        <v>0</v>
      </c>
      <c r="X48" s="7">
        <f>-$D$7*V48</f>
        <v>0</v>
      </c>
      <c r="Y48" s="2"/>
      <c r="Z48" s="10">
        <f>$E$4/8</f>
        <v>0.625</v>
      </c>
      <c r="AA48" s="10">
        <f t="shared" si="0"/>
        <v>5.8018750000000008</v>
      </c>
      <c r="AB48" s="10">
        <f t="shared" si="1"/>
        <v>7.4080000000000013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2"/>
      <c r="AI48" s="2"/>
      <c r="AJ48" s="2"/>
      <c r="AK48" s="2"/>
      <c r="AL48" s="2"/>
      <c r="AM48" s="2"/>
      <c r="AN48" s="22"/>
    </row>
    <row r="49" spans="13:40" x14ac:dyDescent="0.2">
      <c r="V49" s="26">
        <f>2*$D$4/3</f>
        <v>0</v>
      </c>
      <c r="W49" s="7">
        <f>-$D$7*V49^2/2</f>
        <v>0</v>
      </c>
      <c r="X49" s="7">
        <f>-$D$7*V49</f>
        <v>0</v>
      </c>
      <c r="Y49" s="2"/>
      <c r="Z49" s="10">
        <f>2*$E$4/8</f>
        <v>1.25</v>
      </c>
      <c r="AA49" s="10">
        <f t="shared" si="0"/>
        <v>9.2600000000000016</v>
      </c>
      <c r="AB49" s="10">
        <f t="shared" si="1"/>
        <v>3.6580000000000013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2"/>
      <c r="AI49" s="2"/>
      <c r="AJ49" s="2"/>
      <c r="AK49" s="2"/>
      <c r="AL49" s="2"/>
      <c r="AM49" s="2"/>
      <c r="AN49" s="22"/>
    </row>
    <row r="50" spans="13:40" x14ac:dyDescent="0.2">
      <c r="V50" s="26">
        <f>3*$D$4/3</f>
        <v>0</v>
      </c>
      <c r="W50" s="7">
        <f>-$D$7*V50^2/2</f>
        <v>0</v>
      </c>
      <c r="X50" s="7">
        <f>-$D$7*V50</f>
        <v>0</v>
      </c>
      <c r="Y50" s="2"/>
      <c r="Z50" s="10">
        <f>3*$E$4/8</f>
        <v>1.875</v>
      </c>
      <c r="AA50" s="10">
        <f t="shared" si="0"/>
        <v>10.374375000000001</v>
      </c>
      <c r="AB50" s="10">
        <f t="shared" si="1"/>
        <v>-9.1999999999998749E-2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24"/>
      <c r="W51" s="3"/>
      <c r="X51" s="3"/>
      <c r="Y51" s="2"/>
      <c r="Z51" s="10">
        <f>4*$E$4/8</f>
        <v>2.5</v>
      </c>
      <c r="AA51" s="10">
        <f t="shared" si="0"/>
        <v>9.1450000000000031</v>
      </c>
      <c r="AB51" s="10">
        <f t="shared" si="1"/>
        <v>-3.8419999999999987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11.158000000000001</v>
      </c>
      <c r="AG51" s="2"/>
      <c r="AH51" s="2"/>
      <c r="AI51" s="2"/>
      <c r="AJ51" s="2"/>
      <c r="AK51" s="2"/>
      <c r="AL51" s="2"/>
      <c r="AM51" s="2"/>
      <c r="AN51" s="22"/>
    </row>
    <row r="52" spans="13:40" x14ac:dyDescent="0.2">
      <c r="V52" s="24"/>
      <c r="W52" s="3"/>
      <c r="X52" s="3"/>
      <c r="Y52" s="2"/>
      <c r="Z52" s="10">
        <f>5*$E$4/8</f>
        <v>3.125</v>
      </c>
      <c r="AA52" s="10">
        <f t="shared" si="0"/>
        <v>5.5718750000000057</v>
      </c>
      <c r="AB52" s="10">
        <f t="shared" si="1"/>
        <v>-7.5919999999999987</v>
      </c>
      <c r="AC52" s="3"/>
      <c r="AD52" s="10">
        <f t="shared" si="3"/>
        <v>0.625</v>
      </c>
      <c r="AE52" s="10">
        <f t="shared" si="4"/>
        <v>5.8018750000000008</v>
      </c>
      <c r="AF52" s="10">
        <f t="shared" si="4"/>
        <v>7.4080000000000013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10">
        <f>6*$E$4/8</f>
        <v>3.75</v>
      </c>
      <c r="AA53" s="10">
        <f t="shared" si="0"/>
        <v>-0.34499999999999886</v>
      </c>
      <c r="AB53" s="10">
        <f t="shared" si="1"/>
        <v>-11.341999999999999</v>
      </c>
      <c r="AC53" s="3"/>
      <c r="AD53" s="10">
        <f t="shared" si="3"/>
        <v>1.25</v>
      </c>
      <c r="AE53" s="10">
        <f t="shared" si="4"/>
        <v>9.2600000000000016</v>
      </c>
      <c r="AF53" s="10">
        <f t="shared" si="4"/>
        <v>3.6580000000000013</v>
      </c>
      <c r="AG53" s="2"/>
      <c r="AH53" s="2"/>
      <c r="AI53" s="2"/>
      <c r="AJ53" s="2"/>
      <c r="AK53" s="123" t="s">
        <v>2</v>
      </c>
      <c r="AL53" s="123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10">
        <f>7*$E$4/8</f>
        <v>4.375</v>
      </c>
      <c r="AA54" s="10">
        <f t="shared" si="0"/>
        <v>-8.6056249999999963</v>
      </c>
      <c r="AB54" s="10">
        <f t="shared" si="1"/>
        <v>-15.091999999999999</v>
      </c>
      <c r="AC54" s="2"/>
      <c r="AD54" s="10">
        <f t="shared" si="3"/>
        <v>1.875</v>
      </c>
      <c r="AE54" s="10">
        <f t="shared" si="4"/>
        <v>10.374375000000001</v>
      </c>
      <c r="AF54" s="10">
        <f t="shared" si="4"/>
        <v>-9.1999999999998749E-2</v>
      </c>
      <c r="AG54" s="2"/>
      <c r="AH54" s="2"/>
      <c r="AI54" s="2"/>
      <c r="AJ54" s="2"/>
      <c r="AK54" s="8">
        <v>0</v>
      </c>
      <c r="AL54" s="123">
        <v>0</v>
      </c>
      <c r="AM54" s="2"/>
      <c r="AN54" s="22"/>
    </row>
    <row r="55" spans="13:40" x14ac:dyDescent="0.2">
      <c r="M55" s="2"/>
      <c r="N55" s="2"/>
      <c r="V55" s="24"/>
      <c r="W55" s="3"/>
      <c r="X55" s="3"/>
      <c r="Y55" s="2"/>
      <c r="Z55" s="10">
        <f>8*$E$4/8</f>
        <v>5</v>
      </c>
      <c r="AA55" s="10">
        <f t="shared" si="0"/>
        <v>-19.209999999999994</v>
      </c>
      <c r="AB55" s="10">
        <f t="shared" si="1"/>
        <v>-18.841999999999999</v>
      </c>
      <c r="AC55" s="2"/>
      <c r="AD55" s="10">
        <f t="shared" si="3"/>
        <v>2.5</v>
      </c>
      <c r="AE55" s="10">
        <f t="shared" si="4"/>
        <v>9.1450000000000031</v>
      </c>
      <c r="AF55" s="10">
        <f t="shared" si="4"/>
        <v>-3.8419999999999987</v>
      </c>
      <c r="AG55" s="2"/>
      <c r="AH55" s="2"/>
      <c r="AI55" s="2"/>
      <c r="AJ55" s="2"/>
      <c r="AK55" s="8">
        <f>D4</f>
        <v>0</v>
      </c>
      <c r="AL55" s="123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5.5718750000000057</v>
      </c>
      <c r="AF56" s="10">
        <f t="shared" si="4"/>
        <v>-7.5919999999999987</v>
      </c>
      <c r="AG56" s="2"/>
      <c r="AH56" s="2"/>
      <c r="AI56" s="2"/>
      <c r="AJ56" s="2"/>
      <c r="AK56" s="8">
        <f>AK55+E4</f>
        <v>5</v>
      </c>
      <c r="AL56" s="123">
        <v>0</v>
      </c>
      <c r="AM56" s="2"/>
      <c r="AN56" s="22"/>
    </row>
    <row r="57" spans="13:40" x14ac:dyDescent="0.2">
      <c r="V57" s="23" t="s">
        <v>84</v>
      </c>
      <c r="W57" s="2"/>
      <c r="X57" s="2"/>
      <c r="Y57" s="2"/>
      <c r="Z57" s="2" t="s">
        <v>69</v>
      </c>
      <c r="AA57" s="2"/>
      <c r="AB57" s="2"/>
      <c r="AC57" s="2"/>
      <c r="AD57" s="10">
        <f t="shared" si="3"/>
        <v>3.75</v>
      </c>
      <c r="AE57" s="10">
        <f t="shared" si="4"/>
        <v>-0.34499999999999886</v>
      </c>
      <c r="AF57" s="10">
        <f t="shared" si="4"/>
        <v>-11.341999999999999</v>
      </c>
      <c r="AG57" s="2"/>
      <c r="AH57" s="2"/>
      <c r="AI57" s="2"/>
      <c r="AJ57" s="2"/>
      <c r="AK57" s="8">
        <f>AK56+F4</f>
        <v>9</v>
      </c>
      <c r="AL57" s="123">
        <v>0</v>
      </c>
      <c r="AM57" s="2"/>
      <c r="AN57" s="22"/>
    </row>
    <row r="58" spans="13:40" x14ac:dyDescent="0.2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-8.6056249999999963</v>
      </c>
      <c r="AF58" s="10">
        <f t="shared" si="4"/>
        <v>-15.091999999999999</v>
      </c>
      <c r="AG58" s="2"/>
      <c r="AH58" s="2"/>
      <c r="AI58" s="2"/>
      <c r="AJ58" s="2"/>
      <c r="AK58" s="8">
        <f>AK57+G4</f>
        <v>10.1</v>
      </c>
      <c r="AL58" s="123">
        <v>0</v>
      </c>
      <c r="AM58" s="2"/>
      <c r="AN58" s="22"/>
    </row>
    <row r="59" spans="13:40" x14ac:dyDescent="0.2">
      <c r="V59" s="139">
        <v>0</v>
      </c>
      <c r="W59" s="140">
        <f t="shared" ref="W59:W67" si="5">-$W$21-$F$7*V59^2/2+$Y$28*V59</f>
        <v>-19.209999999999997</v>
      </c>
      <c r="X59" s="140">
        <f t="shared" ref="X59:X67" si="6">-$F$7*V59+$Y$28</f>
        <v>25.495000000000001</v>
      </c>
      <c r="Y59" s="2"/>
      <c r="Z59" s="8">
        <v>0</v>
      </c>
      <c r="AA59" s="8">
        <f>-$G$7*Z59^2/2-$Z$22+$AA$28*Z59</f>
        <v>-3.6300000000000008</v>
      </c>
      <c r="AB59" s="8">
        <f>$AA$28-$G$7*Z59</f>
        <v>6.6000000000000005</v>
      </c>
      <c r="AC59" s="2"/>
      <c r="AD59" s="10">
        <f t="shared" si="3"/>
        <v>5</v>
      </c>
      <c r="AE59" s="10">
        <f t="shared" si="4"/>
        <v>-19.209999999999994</v>
      </c>
      <c r="AF59" s="10">
        <f t="shared" si="4"/>
        <v>-18.841999999999999</v>
      </c>
      <c r="AG59" s="2"/>
      <c r="AH59" s="2"/>
      <c r="AI59" s="2"/>
      <c r="AJ59" s="2"/>
      <c r="AK59" s="11"/>
      <c r="AL59" s="3"/>
      <c r="AM59" s="2"/>
      <c r="AN59" s="22"/>
    </row>
    <row r="60" spans="13:40" x14ac:dyDescent="0.2">
      <c r="V60" s="139">
        <f>$F$4/8</f>
        <v>0.5</v>
      </c>
      <c r="W60" s="140">
        <f t="shared" si="5"/>
        <v>-7.8124999999999982</v>
      </c>
      <c r="X60" s="140">
        <f t="shared" si="6"/>
        <v>20.094999999999999</v>
      </c>
      <c r="Y60" s="2"/>
      <c r="Z60" s="8">
        <f>$G$4/3</f>
        <v>0.3666666666666667</v>
      </c>
      <c r="AA60" s="8">
        <f>-$G$7*Z60^2/2-$Z$22+$AA$28*Z60</f>
        <v>-1.6133333333333337</v>
      </c>
      <c r="AB60" s="8">
        <f>$AA$28-$G$7*Z60</f>
        <v>4.4000000000000004</v>
      </c>
      <c r="AC60" s="2"/>
      <c r="AD60" s="140">
        <f t="shared" ref="AD60:AD68" si="7">$AD$59+V59</f>
        <v>5</v>
      </c>
      <c r="AE60" s="140">
        <f t="shared" ref="AE60:AF68" si="8">W59</f>
        <v>-19.209999999999997</v>
      </c>
      <c r="AF60" s="140">
        <f t="shared" si="8"/>
        <v>25.495000000000001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">
      <c r="V61" s="139">
        <f>2*$F$4/8</f>
        <v>1</v>
      </c>
      <c r="W61" s="140">
        <f t="shared" si="5"/>
        <v>0.88500000000000156</v>
      </c>
      <c r="X61" s="140">
        <f t="shared" si="6"/>
        <v>14.695</v>
      </c>
      <c r="Y61" s="2"/>
      <c r="Z61" s="8">
        <f>2*$G$4/3</f>
        <v>0.73333333333333339</v>
      </c>
      <c r="AA61" s="8">
        <f>-$G$7*Z61^2/2-$Z$22+$AA$28*Z61</f>
        <v>-0.40333333333333332</v>
      </c>
      <c r="AB61" s="8">
        <f>$AA$28-$G$7*Z61</f>
        <v>2.2000000000000002</v>
      </c>
      <c r="AC61" s="2"/>
      <c r="AD61" s="140">
        <f t="shared" si="7"/>
        <v>5.5</v>
      </c>
      <c r="AE61" s="140">
        <f t="shared" si="8"/>
        <v>-7.8124999999999982</v>
      </c>
      <c r="AF61" s="140">
        <f t="shared" si="8"/>
        <v>20.094999999999999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3*$F$4/8</f>
        <v>1.5</v>
      </c>
      <c r="W62" s="140">
        <f t="shared" si="5"/>
        <v>6.8825000000000003</v>
      </c>
      <c r="X62" s="140">
        <f t="shared" si="6"/>
        <v>9.2949999999999982</v>
      </c>
      <c r="Y62" s="2"/>
      <c r="Z62" s="8">
        <f>3*$G$4/3</f>
        <v>1.1000000000000001</v>
      </c>
      <c r="AA62" s="8">
        <f>-$G$7*Z62^2/2-$Z$22+$AA$28*Z62</f>
        <v>0</v>
      </c>
      <c r="AB62" s="8">
        <f>$AA$28-$G$7*Z62</f>
        <v>0</v>
      </c>
      <c r="AC62" s="2"/>
      <c r="AD62" s="140">
        <f t="shared" si="7"/>
        <v>6</v>
      </c>
      <c r="AE62" s="140">
        <f t="shared" si="8"/>
        <v>0.88500000000000156</v>
      </c>
      <c r="AF62" s="140">
        <f t="shared" si="8"/>
        <v>14.695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4*$F$4/8</f>
        <v>2</v>
      </c>
      <c r="W63" s="140">
        <f t="shared" si="5"/>
        <v>10.18</v>
      </c>
      <c r="X63" s="140">
        <f t="shared" si="6"/>
        <v>3.8949999999999996</v>
      </c>
      <c r="Y63" s="2"/>
      <c r="Z63" s="2"/>
      <c r="AA63" s="2"/>
      <c r="AB63" s="2"/>
      <c r="AC63" s="2"/>
      <c r="AD63" s="140">
        <f t="shared" si="7"/>
        <v>6.5</v>
      </c>
      <c r="AE63" s="140">
        <f t="shared" si="8"/>
        <v>6.8825000000000003</v>
      </c>
      <c r="AF63" s="140">
        <f t="shared" si="8"/>
        <v>9.2949999999999982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5*$F$4/8</f>
        <v>2.5</v>
      </c>
      <c r="W64" s="140">
        <f t="shared" si="5"/>
        <v>10.777500000000011</v>
      </c>
      <c r="X64" s="140">
        <f t="shared" si="6"/>
        <v>-1.504999999999999</v>
      </c>
      <c r="Y64" s="2"/>
      <c r="Z64" s="15"/>
      <c r="AA64" s="15"/>
      <c r="AB64" s="15"/>
      <c r="AC64" s="2"/>
      <c r="AD64" s="140">
        <f t="shared" si="7"/>
        <v>7</v>
      </c>
      <c r="AE64" s="140">
        <f t="shared" si="8"/>
        <v>10.18</v>
      </c>
      <c r="AF64" s="140">
        <f t="shared" si="8"/>
        <v>3.8949999999999996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6*$F$4/8</f>
        <v>3</v>
      </c>
      <c r="W65" s="140">
        <f t="shared" si="5"/>
        <v>8.6749999999999972</v>
      </c>
      <c r="X65" s="140">
        <f t="shared" si="6"/>
        <v>-6.9050000000000047</v>
      </c>
      <c r="Y65" s="2"/>
      <c r="Z65" s="15"/>
      <c r="AA65" s="15"/>
      <c r="AB65" s="15"/>
      <c r="AC65" s="2"/>
      <c r="AD65" s="140">
        <f t="shared" si="7"/>
        <v>7.5</v>
      </c>
      <c r="AE65" s="140">
        <f t="shared" si="8"/>
        <v>10.777500000000011</v>
      </c>
      <c r="AF65" s="140">
        <f t="shared" si="8"/>
        <v>-1.504999999999999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7*$F$4/8</f>
        <v>3.5</v>
      </c>
      <c r="W66" s="140">
        <f t="shared" si="5"/>
        <v>3.8725000000000023</v>
      </c>
      <c r="X66" s="140">
        <f t="shared" si="6"/>
        <v>-12.305000000000003</v>
      </c>
      <c r="Y66" s="2"/>
      <c r="Z66" s="15"/>
      <c r="AA66" s="15"/>
      <c r="AB66" s="15"/>
      <c r="AC66" s="2"/>
      <c r="AD66" s="140">
        <f t="shared" si="7"/>
        <v>8</v>
      </c>
      <c r="AE66" s="140">
        <f t="shared" si="8"/>
        <v>8.6749999999999972</v>
      </c>
      <c r="AF66" s="140">
        <f t="shared" si="8"/>
        <v>-6.9050000000000047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">
      <c r="V67" s="139">
        <f>8*$F$4/8</f>
        <v>4</v>
      </c>
      <c r="W67" s="140">
        <f t="shared" si="5"/>
        <v>-3.6299999999999955</v>
      </c>
      <c r="X67" s="140">
        <f t="shared" si="6"/>
        <v>-17.705000000000002</v>
      </c>
      <c r="Y67" s="2"/>
      <c r="Z67" s="15"/>
      <c r="AA67" s="15"/>
      <c r="AB67" s="15"/>
      <c r="AC67" s="2"/>
      <c r="AD67" s="140">
        <f t="shared" si="7"/>
        <v>8.5</v>
      </c>
      <c r="AE67" s="140">
        <f t="shared" si="8"/>
        <v>3.8725000000000023</v>
      </c>
      <c r="AF67" s="140">
        <f t="shared" si="8"/>
        <v>-12.305000000000003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">
      <c r="V68" s="23"/>
      <c r="W68" s="2"/>
      <c r="X68" s="2"/>
      <c r="Y68" s="2"/>
      <c r="Z68" s="2"/>
      <c r="AA68" s="2"/>
      <c r="AB68" s="2"/>
      <c r="AC68" s="2"/>
      <c r="AD68" s="140">
        <f t="shared" si="7"/>
        <v>9</v>
      </c>
      <c r="AE68" s="140">
        <f t="shared" si="8"/>
        <v>-3.6299999999999955</v>
      </c>
      <c r="AF68" s="140">
        <f t="shared" si="8"/>
        <v>-17.705000000000002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8">
        <f>$AD$68+Z59</f>
        <v>9</v>
      </c>
      <c r="AE69" s="8">
        <f t="shared" ref="AE69:AF72" si="9">AA59</f>
        <v>-3.6300000000000008</v>
      </c>
      <c r="AF69" s="8">
        <f t="shared" si="9"/>
        <v>6.6000000000000005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">
      <c r="V70" s="23"/>
      <c r="W70" s="2"/>
      <c r="X70" s="2"/>
      <c r="Y70" s="2"/>
      <c r="Z70" s="2"/>
      <c r="AA70" s="2"/>
      <c r="AB70" s="2"/>
      <c r="AC70" s="2"/>
      <c r="AD70" s="8">
        <f t="shared" ref="AD70:AD72" si="10">$AD$68+Z60</f>
        <v>9.3666666666666671</v>
      </c>
      <c r="AE70" s="8">
        <f t="shared" si="9"/>
        <v>-1.6133333333333337</v>
      </c>
      <c r="AF70" s="8">
        <f t="shared" si="9"/>
        <v>4.4000000000000004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49"/>
      <c r="W71" s="5"/>
      <c r="X71" s="3"/>
      <c r="Y71" s="2"/>
      <c r="Z71" s="2"/>
      <c r="AA71" s="2"/>
      <c r="AB71" s="2"/>
      <c r="AC71" s="2"/>
      <c r="AD71" s="8">
        <f t="shared" si="10"/>
        <v>9.7333333333333343</v>
      </c>
      <c r="AE71" s="8">
        <f t="shared" si="9"/>
        <v>-0.40333333333333332</v>
      </c>
      <c r="AF71" s="8">
        <f t="shared" si="9"/>
        <v>2.2000000000000002</v>
      </c>
      <c r="AG71" s="2"/>
      <c r="AH71" s="2"/>
      <c r="AI71" s="2"/>
      <c r="AJ71" s="2"/>
      <c r="AK71" s="2"/>
      <c r="AL71" s="2"/>
      <c r="AM71" s="2"/>
      <c r="AN71" s="22"/>
    </row>
    <row r="72" spans="22:40" ht="12.75" thickBot="1" x14ac:dyDescent="0.25">
      <c r="V72" s="141"/>
      <c r="W72" s="142"/>
      <c r="X72" s="142"/>
      <c r="Y72" s="27"/>
      <c r="Z72" s="27"/>
      <c r="AA72" s="27"/>
      <c r="AB72" s="27"/>
      <c r="AC72" s="27"/>
      <c r="AD72" s="143">
        <f t="shared" si="10"/>
        <v>10.1</v>
      </c>
      <c r="AE72" s="143">
        <f t="shared" si="9"/>
        <v>0</v>
      </c>
      <c r="AF72" s="143">
        <f t="shared" si="9"/>
        <v>0</v>
      </c>
      <c r="AG72" s="27"/>
      <c r="AH72" s="27"/>
      <c r="AI72" s="27"/>
      <c r="AJ72" s="27"/>
      <c r="AK72" s="27"/>
      <c r="AL72" s="27"/>
      <c r="AM72" s="27"/>
      <c r="AN72" s="28"/>
    </row>
    <row r="73" spans="22:40" ht="12.75" thickTop="1" x14ac:dyDescent="0.2">
      <c r="V73" s="55"/>
      <c r="W73" s="114"/>
      <c r="X73" s="114"/>
      <c r="Y73" s="19"/>
      <c r="Z73" s="19"/>
      <c r="AA73" s="19"/>
      <c r="AB73" s="19"/>
      <c r="AC73" s="19"/>
      <c r="AD73" s="114"/>
      <c r="AE73" s="114"/>
      <c r="AF73" s="114"/>
      <c r="AG73" s="19"/>
      <c r="AH73" s="19"/>
      <c r="AI73" s="19"/>
      <c r="AJ73" s="19"/>
      <c r="AK73" s="19"/>
      <c r="AL73" s="19"/>
      <c r="AM73" s="19"/>
      <c r="AN73" s="19"/>
    </row>
    <row r="74" spans="22:40" x14ac:dyDescent="0.2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22:40" x14ac:dyDescent="0.2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22:40" x14ac:dyDescent="0.2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22:40" x14ac:dyDescent="0.2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22:40" x14ac:dyDescent="0.2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22:40" x14ac:dyDescent="0.2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22:40" x14ac:dyDescent="0.2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oglio11"/>
  <dimension ref="A1:AT100"/>
  <sheetViews>
    <sheetView zoomScale="85" zoomScaleNormal="85" workbookViewId="0">
      <selection activeCell="I19" sqref="I19"/>
    </sheetView>
  </sheetViews>
  <sheetFormatPr defaultColWidth="9.140625" defaultRowHeight="12" x14ac:dyDescent="0.2"/>
  <cols>
    <col min="1" max="16384" width="9.140625" style="1"/>
  </cols>
  <sheetData>
    <row r="1" spans="1:40" ht="15.75" customHeight="1" thickBot="1" x14ac:dyDescent="0.25">
      <c r="A1" s="334" t="s">
        <v>28</v>
      </c>
      <c r="B1" s="334"/>
      <c r="C1" s="334"/>
      <c r="D1" s="334"/>
      <c r="E1" s="334"/>
      <c r="F1" s="334"/>
      <c r="G1" s="334"/>
      <c r="H1" s="334"/>
      <c r="I1" s="334"/>
      <c r="J1" s="334"/>
      <c r="K1" s="2"/>
    </row>
    <row r="2" spans="1:40" ht="12.75" thickTop="1" x14ac:dyDescent="0.2">
      <c r="E2" s="12"/>
    </row>
    <row r="3" spans="1:40" ht="13.5" x14ac:dyDescent="0.25">
      <c r="B3" s="12" t="s">
        <v>29</v>
      </c>
      <c r="D3" s="13" t="s">
        <v>32</v>
      </c>
      <c r="E3" s="13" t="s">
        <v>33</v>
      </c>
      <c r="F3" s="13" t="s">
        <v>70</v>
      </c>
      <c r="G3" s="13" t="s">
        <v>34</v>
      </c>
    </row>
    <row r="4" spans="1:40" x14ac:dyDescent="0.2">
      <c r="D4" s="14">
        <f>'CC-Trave'!E15</f>
        <v>0</v>
      </c>
      <c r="E4" s="14">
        <f>'CC-Trave'!F15</f>
        <v>5</v>
      </c>
      <c r="F4" s="14">
        <f>'CC-Trave'!G15</f>
        <v>4</v>
      </c>
      <c r="G4" s="14">
        <f>'CC-Trave'!H15</f>
        <v>1.1000000000000001</v>
      </c>
    </row>
    <row r="6" spans="1:40" ht="13.5" x14ac:dyDescent="0.25">
      <c r="B6" s="12" t="s">
        <v>41</v>
      </c>
      <c r="D6" s="13" t="s">
        <v>35</v>
      </c>
      <c r="E6" s="13" t="s">
        <v>36</v>
      </c>
      <c r="F6" s="13" t="s">
        <v>71</v>
      </c>
      <c r="G6" s="13" t="s">
        <v>37</v>
      </c>
    </row>
    <row r="7" spans="1:40" x14ac:dyDescent="0.2">
      <c r="C7" s="1" t="s">
        <v>42</v>
      </c>
      <c r="D7" s="14">
        <f>'CC-Trave'!E27</f>
        <v>0</v>
      </c>
      <c r="E7" s="14">
        <f>'CC-Trave'!F27</f>
        <v>10.8</v>
      </c>
      <c r="F7" s="14">
        <f>'CC-Trave'!G27</f>
        <v>6</v>
      </c>
      <c r="G7" s="14">
        <f>'CC-Trave'!H27</f>
        <v>10.8</v>
      </c>
    </row>
    <row r="8" spans="1:40" x14ac:dyDescent="0.2">
      <c r="D8" s="14"/>
      <c r="E8" s="14"/>
      <c r="F8" s="14"/>
      <c r="G8" s="14"/>
      <c r="H8" s="15"/>
    </row>
    <row r="9" spans="1:40" x14ac:dyDescent="0.2">
      <c r="D9" s="14"/>
      <c r="E9" s="14"/>
      <c r="F9" s="14"/>
      <c r="G9" s="14"/>
      <c r="H9" s="15"/>
    </row>
    <row r="10" spans="1:40" x14ac:dyDescent="0.2">
      <c r="D10" s="14"/>
      <c r="E10" s="14"/>
      <c r="F10" s="14"/>
      <c r="G10" s="14"/>
      <c r="H10" s="15"/>
    </row>
    <row r="11" spans="1:40" x14ac:dyDescent="0.2">
      <c r="D11" s="14"/>
      <c r="E11" s="14"/>
      <c r="F11" s="14"/>
      <c r="G11" s="14"/>
      <c r="H11" s="15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45" t="s">
        <v>31</v>
      </c>
      <c r="B15" s="345"/>
      <c r="C15" s="345"/>
      <c r="D15" s="345"/>
      <c r="E15" s="345"/>
      <c r="F15" s="345"/>
      <c r="G15" s="345"/>
      <c r="H15" s="345"/>
      <c r="I15" s="345"/>
      <c r="J15" s="345"/>
    </row>
    <row r="16" spans="1:40" ht="12.75" thickTop="1" x14ac:dyDescent="0.2">
      <c r="V16" s="54"/>
      <c r="W16" s="55"/>
      <c r="X16" s="55"/>
      <c r="Y16" s="19"/>
      <c r="Z16" s="20"/>
      <c r="AA16" s="20"/>
      <c r="AB16" s="20"/>
      <c r="AC16" s="19"/>
      <c r="AD16" s="19"/>
      <c r="AE16" s="56"/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3.5" x14ac:dyDescent="0.2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49"/>
      <c r="W17" s="5"/>
      <c r="X17" s="5"/>
      <c r="Y17" s="2"/>
      <c r="Z17" s="3"/>
      <c r="AA17" s="3"/>
      <c r="AB17" s="3"/>
      <c r="AC17" s="2"/>
      <c r="AD17" s="2"/>
      <c r="AE17" s="44"/>
      <c r="AF17" s="2"/>
      <c r="AG17" s="2"/>
      <c r="AH17" s="123">
        <v>0</v>
      </c>
      <c r="AI17" s="123">
        <f>5+MAX('CC-car.1'!AI17:AI42)</f>
        <v>25.8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'CC-Trave'!B77</f>
        <v>1</v>
      </c>
      <c r="C18" s="16">
        <f>'CC-Trave'!C77</f>
        <v>3.1250000000000002E-3</v>
      </c>
      <c r="D18" s="16">
        <f>B18*C18</f>
        <v>3.1250000000000002E-3</v>
      </c>
      <c r="G18" s="16">
        <f>'CC-Trave'!G77</f>
        <v>1</v>
      </c>
      <c r="H18" s="16">
        <f>'CC-Trave'!H77</f>
        <v>3.1250000000000002E-3</v>
      </c>
      <c r="I18" s="16">
        <f>G18*H18</f>
        <v>3.1250000000000002E-3</v>
      </c>
      <c r="V18" s="49"/>
      <c r="W18" s="3"/>
      <c r="X18" s="5"/>
      <c r="Y18" s="2"/>
      <c r="Z18" s="3"/>
      <c r="AA18" s="3"/>
      <c r="AB18" s="3"/>
      <c r="AC18" s="2"/>
      <c r="AD18" s="2"/>
      <c r="AE18" s="3"/>
      <c r="AF18" s="2"/>
      <c r="AG18" s="2"/>
      <c r="AH18" s="123">
        <f>D4</f>
        <v>0</v>
      </c>
      <c r="AI18" s="123">
        <f>AI17</f>
        <v>25.8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123">
        <f>AH18</f>
        <v>0</v>
      </c>
      <c r="AI19" s="123">
        <f>AI18+D7</f>
        <v>25.8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x14ac:dyDescent="0.2">
      <c r="A20" s="17"/>
      <c r="B20" s="3"/>
      <c r="C20" s="3"/>
      <c r="D20" s="3"/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25.8</v>
      </c>
      <c r="AJ20" s="2"/>
      <c r="AK20" s="8">
        <f>AK19</f>
        <v>5</v>
      </c>
      <c r="AL20" s="8">
        <f>AE59</f>
        <v>-22.631333333333316</v>
      </c>
      <c r="AM20" s="2"/>
      <c r="AN20" s="22"/>
    </row>
    <row r="21" spans="1:46" s="46" customFormat="1" x14ac:dyDescent="0.2">
      <c r="A21" s="1"/>
      <c r="B21" s="3"/>
      <c r="C21" s="3"/>
      <c r="D21" s="3"/>
      <c r="F21" s="3"/>
      <c r="G21" s="3"/>
      <c r="H21" s="3"/>
      <c r="I21" s="3"/>
      <c r="V21" s="24" t="s">
        <v>7</v>
      </c>
      <c r="W21" s="8">
        <f>-3*AB22/(E4/D18+F4/I18)</f>
        <v>22.631333333333327</v>
      </c>
      <c r="X21" s="2"/>
      <c r="Y21" s="123" t="s">
        <v>12</v>
      </c>
      <c r="Z21" s="123">
        <f>D7*D4^2/2</f>
        <v>0</v>
      </c>
      <c r="AA21" s="2"/>
      <c r="AB21" s="123" t="s">
        <v>79</v>
      </c>
      <c r="AC21" s="3"/>
      <c r="AD21" s="3"/>
      <c r="AE21" s="2"/>
      <c r="AF21" s="2"/>
      <c r="AG21" s="2"/>
      <c r="AH21" s="123">
        <v>0</v>
      </c>
      <c r="AI21" s="123">
        <f>AI17</f>
        <v>25.8</v>
      </c>
      <c r="AJ21" s="2"/>
      <c r="AK21" s="8">
        <f>AK57</f>
        <v>9</v>
      </c>
      <c r="AL21" s="8">
        <v>0</v>
      </c>
      <c r="AM21" s="2"/>
      <c r="AN21" s="22"/>
    </row>
    <row r="22" spans="1:46" x14ac:dyDescent="0.2">
      <c r="V22" s="24"/>
      <c r="W22" s="11"/>
      <c r="X22" s="2"/>
      <c r="Y22" s="123" t="s">
        <v>80</v>
      </c>
      <c r="Z22" s="123">
        <f>G7*G4^2/2</f>
        <v>6.5340000000000016</v>
      </c>
      <c r="AA22" s="2"/>
      <c r="AB22" s="124">
        <f>Z21*E4/(6*D18)+Z22*F4/(6*I18)-E7*E4^3/(24*D18)-F7*F4^3/(24*I18)</f>
        <v>-21726.079999999994</v>
      </c>
      <c r="AC22" s="44"/>
      <c r="AD22" s="44"/>
      <c r="AE22" s="2"/>
      <c r="AF22" s="2"/>
      <c r="AG22" s="2"/>
      <c r="AH22" s="2"/>
      <c r="AI22" s="2"/>
      <c r="AJ22" s="2"/>
      <c r="AK22" s="8">
        <f>AK21</f>
        <v>9</v>
      </c>
      <c r="AL22" s="8">
        <f>AE68</f>
        <v>-6.534000000000006</v>
      </c>
      <c r="AM22" s="2"/>
      <c r="AN22" s="22"/>
    </row>
    <row r="23" spans="1:46" x14ac:dyDescent="0.2">
      <c r="V23" s="24"/>
      <c r="W23" s="3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11"/>
      <c r="AL23" s="11"/>
      <c r="AM23" s="2"/>
      <c r="AN23" s="22"/>
    </row>
    <row r="24" spans="1:46" x14ac:dyDescent="0.2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D4</f>
        <v>0</v>
      </c>
      <c r="AI24" s="123">
        <f>AI17</f>
        <v>25.8</v>
      </c>
      <c r="AJ24" s="2"/>
      <c r="AK24" s="11"/>
      <c r="AL24" s="11"/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25.8</v>
      </c>
      <c r="AJ25" s="2"/>
      <c r="AK25" s="11"/>
      <c r="AL25" s="11"/>
      <c r="AM25" s="2"/>
      <c r="AN25" s="22"/>
    </row>
    <row r="26" spans="1:46" x14ac:dyDescent="0.2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AI25+E7</f>
        <v>36.6</v>
      </c>
      <c r="AJ26" s="3"/>
      <c r="AK26" s="11"/>
      <c r="AL26" s="11"/>
      <c r="AM26" s="2"/>
      <c r="AN26" s="22"/>
    </row>
    <row r="27" spans="1:46" x14ac:dyDescent="0.2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3"/>
      <c r="AC27" s="3"/>
      <c r="AD27" s="3"/>
      <c r="AE27" s="3"/>
      <c r="AF27" s="3"/>
      <c r="AG27" s="3"/>
      <c r="AH27" s="123">
        <f>AH24</f>
        <v>0</v>
      </c>
      <c r="AI27" s="123">
        <f>AI26</f>
        <v>36.6</v>
      </c>
      <c r="AJ27" s="3"/>
      <c r="AK27" s="11"/>
      <c r="AL27" s="11"/>
      <c r="AM27" s="2"/>
      <c r="AN27" s="22"/>
    </row>
    <row r="28" spans="1:46" x14ac:dyDescent="0.2">
      <c r="V28" s="126">
        <f>D7*D4</f>
        <v>0</v>
      </c>
      <c r="W28" s="8">
        <f>E7*E4-X28</f>
        <v>22.473733333333335</v>
      </c>
      <c r="X28" s="8">
        <f>(W21-Z21+E7*E4^2/2)/E4</f>
        <v>31.526266666666665</v>
      </c>
      <c r="Y28" s="8">
        <f>F7*F4-Z28</f>
        <v>16.024333333333331</v>
      </c>
      <c r="Z28" s="8">
        <f>(Z22-W21+F7*F4^2/2)/F4</f>
        <v>7.9756666666666689</v>
      </c>
      <c r="AA28" s="8">
        <f>G7*G4</f>
        <v>11.880000000000003</v>
      </c>
      <c r="AB28" s="11"/>
      <c r="AC28" s="11"/>
      <c r="AD28" s="11"/>
      <c r="AE28" s="11"/>
      <c r="AF28" s="3"/>
      <c r="AG28" s="3"/>
      <c r="AH28" s="123">
        <f>AH24</f>
        <v>0</v>
      </c>
      <c r="AI28" s="123">
        <f>AI24</f>
        <v>25.8</v>
      </c>
      <c r="AJ28" s="3"/>
      <c r="AK28" s="11"/>
      <c r="AL28" s="11"/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">
      <c r="V31" s="23"/>
      <c r="W31" s="2"/>
      <c r="X31" s="123" t="s">
        <v>0</v>
      </c>
      <c r="Y31" s="123" t="s">
        <v>1</v>
      </c>
      <c r="Z31" s="123" t="s">
        <v>78</v>
      </c>
      <c r="AA31" s="3"/>
      <c r="AB31" s="3"/>
      <c r="AC31" s="2"/>
      <c r="AD31" s="2"/>
      <c r="AE31" s="2"/>
      <c r="AF31" s="2"/>
      <c r="AG31" s="2"/>
      <c r="AH31" s="8">
        <f>AK56</f>
        <v>5</v>
      </c>
      <c r="AI31" s="123">
        <f>AI17</f>
        <v>25.8</v>
      </c>
      <c r="AJ31" s="2"/>
      <c r="AK31" s="2" t="s">
        <v>21</v>
      </c>
      <c r="AL31" s="2"/>
      <c r="AM31" s="2"/>
      <c r="AN31" s="22"/>
    </row>
    <row r="32" spans="1:46" x14ac:dyDescent="0.2">
      <c r="V32" s="23"/>
      <c r="W32" s="2"/>
      <c r="X32" s="8">
        <f>V28+W28</f>
        <v>22.473733333333335</v>
      </c>
      <c r="Y32" s="8">
        <f>X28+Y28</f>
        <v>47.550599999999996</v>
      </c>
      <c r="Z32" s="8">
        <f>Z28+AA28</f>
        <v>19.855666666666671</v>
      </c>
      <c r="AA32" s="11"/>
      <c r="AB32" s="11"/>
      <c r="AC32" s="2"/>
      <c r="AD32" s="2"/>
      <c r="AE32" s="2"/>
      <c r="AF32" s="2"/>
      <c r="AG32" s="2"/>
      <c r="AH32" s="8">
        <f>AK57</f>
        <v>9</v>
      </c>
      <c r="AI32" s="123">
        <f>AI31</f>
        <v>25.8</v>
      </c>
      <c r="AJ32" s="2"/>
      <c r="AK32" s="123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9</v>
      </c>
      <c r="AI33" s="123">
        <f>AI32+F7</f>
        <v>31.8</v>
      </c>
      <c r="AJ33" s="2"/>
      <c r="AK33" s="128" t="s">
        <v>23</v>
      </c>
      <c r="AL33" s="8">
        <f>W28/E7</f>
        <v>2.0809012345679014</v>
      </c>
      <c r="AM33" s="8">
        <f>D4+AL33</f>
        <v>2.0809012345679014</v>
      </c>
      <c r="AN33" s="129">
        <f>W28*AL33-E7*AL33^2/2-Z21</f>
        <v>23.382809719341569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31.8</v>
      </c>
      <c r="AJ34" s="2"/>
      <c r="AK34" s="130" t="s">
        <v>82</v>
      </c>
      <c r="AL34" s="8">
        <f>Y28/F7</f>
        <v>2.670722222222222</v>
      </c>
      <c r="AM34" s="8">
        <f>D4+E4+AL34</f>
        <v>7.6707222222222224</v>
      </c>
      <c r="AN34" s="129">
        <f>Y28*AL34-F7*AL34^2/2-W21</f>
        <v>-1.2330617685185175</v>
      </c>
    </row>
    <row r="35" spans="22:40" x14ac:dyDescent="0.2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25.8</v>
      </c>
      <c r="AJ35" s="2"/>
      <c r="AK35" s="48"/>
      <c r="AL35" s="11"/>
      <c r="AM35" s="11"/>
      <c r="AN35" s="50"/>
    </row>
    <row r="36" spans="22:40" x14ac:dyDescent="0.2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9</v>
      </c>
      <c r="AC36" s="132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x14ac:dyDescent="0.2">
      <c r="V37" s="131">
        <f>V36</f>
        <v>0</v>
      </c>
      <c r="W37" s="133">
        <f>X32</f>
        <v>22.473733333333335</v>
      </c>
      <c r="X37" s="2"/>
      <c r="Y37" s="133">
        <f>Y36</f>
        <v>5</v>
      </c>
      <c r="Z37" s="133">
        <f>Y32</f>
        <v>47.550599999999996</v>
      </c>
      <c r="AA37" s="2"/>
      <c r="AB37" s="133">
        <f>AB36</f>
        <v>9</v>
      </c>
      <c r="AC37" s="133">
        <f>Z32</f>
        <v>19.855666666666671</v>
      </c>
      <c r="AD37" s="2"/>
      <c r="AE37" s="2"/>
      <c r="AF37" s="2"/>
      <c r="AG37" s="2"/>
      <c r="AH37" s="3" t="s">
        <v>18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9</v>
      </c>
      <c r="AI38" s="123">
        <f>AI17</f>
        <v>25.8</v>
      </c>
      <c r="AJ38" s="3"/>
      <c r="AK38" s="3"/>
      <c r="AL38" s="3"/>
      <c r="AM38" s="3"/>
      <c r="AN38" s="25"/>
    </row>
    <row r="39" spans="22:40" x14ac:dyDescent="0.2">
      <c r="V39" s="23"/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8">
        <f>AK58</f>
        <v>10.1</v>
      </c>
      <c r="AI39" s="123">
        <f>AI38</f>
        <v>25.8</v>
      </c>
      <c r="AJ39" s="3"/>
      <c r="AK39" s="2" t="s">
        <v>27</v>
      </c>
      <c r="AL39" s="2"/>
      <c r="AM39" s="3"/>
      <c r="AN39" s="25"/>
    </row>
    <row r="40" spans="22:40" x14ac:dyDescent="0.2">
      <c r="V40" s="57"/>
      <c r="W40" s="2"/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8">
        <f>AH39</f>
        <v>10.1</v>
      </c>
      <c r="AI40" s="123">
        <f>AI39+G7</f>
        <v>36.6</v>
      </c>
      <c r="AJ40" s="2"/>
      <c r="AK40" s="8">
        <f>AM33</f>
        <v>2.0809012345679014</v>
      </c>
      <c r="AL40" s="123">
        <v>0</v>
      </c>
      <c r="AM40" s="2"/>
      <c r="AN40" s="22"/>
    </row>
    <row r="41" spans="22:40" x14ac:dyDescent="0.2">
      <c r="V41" s="57"/>
      <c r="W41" s="47"/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8">
        <f>AH38</f>
        <v>9</v>
      </c>
      <c r="AI41" s="123">
        <f>AI40</f>
        <v>36.6</v>
      </c>
      <c r="AJ41" s="2"/>
      <c r="AK41" s="8">
        <f>AK40</f>
        <v>2.0809012345679014</v>
      </c>
      <c r="AL41" s="8">
        <f>AN33</f>
        <v>23.382809719341569</v>
      </c>
      <c r="AM41" s="2"/>
      <c r="AN41" s="22"/>
    </row>
    <row r="42" spans="22:40" x14ac:dyDescent="0.2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9</v>
      </c>
      <c r="AI42" s="123">
        <f>AI38</f>
        <v>25.8</v>
      </c>
      <c r="AJ42" s="2"/>
      <c r="AK42" s="8">
        <f>AM34</f>
        <v>7.6707222222222224</v>
      </c>
      <c r="AL42" s="123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7.6707222222222224</v>
      </c>
      <c r="AL43" s="8">
        <f>AN34</f>
        <v>-1.2330617685185175</v>
      </c>
      <c r="AM43" s="2"/>
      <c r="AN43" s="22"/>
    </row>
    <row r="44" spans="22:40" x14ac:dyDescent="0.2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11"/>
      <c r="AL44" s="3"/>
      <c r="AM44" s="2"/>
      <c r="AN44" s="22"/>
    </row>
    <row r="45" spans="22:40" x14ac:dyDescent="0.2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2"/>
      <c r="AI45" s="2"/>
      <c r="AJ45" s="2"/>
      <c r="AK45" s="11"/>
      <c r="AL45" s="11"/>
      <c r="AM45" s="2"/>
      <c r="AN45" s="22"/>
    </row>
    <row r="46" spans="22:40" x14ac:dyDescent="0.2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2"/>
      <c r="AI46" s="2"/>
      <c r="AJ46" s="2"/>
      <c r="AK46" s="11"/>
      <c r="AL46" s="3"/>
      <c r="AM46" s="2"/>
      <c r="AN46" s="22"/>
    </row>
    <row r="47" spans="22:40" x14ac:dyDescent="0.2">
      <c r="V47" s="26">
        <v>0</v>
      </c>
      <c r="W47" s="7">
        <f>-$D$7*V47^2/2</f>
        <v>0</v>
      </c>
      <c r="X47" s="7">
        <f>-$D$7*V47</f>
        <v>0</v>
      </c>
      <c r="Y47" s="2"/>
      <c r="Z47" s="10">
        <v>0</v>
      </c>
      <c r="AA47" s="10">
        <f t="shared" ref="AA47:AA55" si="0">-$Z$21-$E$7*Z47^2/2+$W$28*Z47</f>
        <v>0</v>
      </c>
      <c r="AB47" s="10">
        <f t="shared" ref="AB47:AB55" si="1">-$E$7*Z47+$W$28</f>
        <v>22.473733333333335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2"/>
      <c r="AI47" s="2"/>
      <c r="AJ47" s="2"/>
      <c r="AK47" s="11"/>
      <c r="AL47" s="11"/>
      <c r="AM47" s="2"/>
      <c r="AN47" s="22"/>
    </row>
    <row r="48" spans="22:40" x14ac:dyDescent="0.2">
      <c r="V48" s="26">
        <f>$D$4/3</f>
        <v>0</v>
      </c>
      <c r="W48" s="7">
        <f>-$D$7*V48^2/2</f>
        <v>0</v>
      </c>
      <c r="X48" s="7">
        <f>-$D$7*V48</f>
        <v>0</v>
      </c>
      <c r="Y48" s="2"/>
      <c r="Z48" s="10">
        <f>$E$4/8</f>
        <v>0.625</v>
      </c>
      <c r="AA48" s="10">
        <f t="shared" si="0"/>
        <v>11.936708333333335</v>
      </c>
      <c r="AB48" s="10">
        <f t="shared" si="1"/>
        <v>15.723733333333335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2"/>
      <c r="AI48" s="2"/>
      <c r="AJ48" s="2"/>
      <c r="AK48" s="2"/>
      <c r="AL48" s="2"/>
      <c r="AM48" s="2"/>
      <c r="AN48" s="22"/>
    </row>
    <row r="49" spans="13:40" x14ac:dyDescent="0.2">
      <c r="V49" s="26">
        <f>2*$D$4/3</f>
        <v>0</v>
      </c>
      <c r="W49" s="7">
        <f>-$D$7*V49^2/2</f>
        <v>0</v>
      </c>
      <c r="X49" s="7">
        <f>-$D$7*V49</f>
        <v>0</v>
      </c>
      <c r="Y49" s="2"/>
      <c r="Z49" s="10">
        <f>2*$E$4/8</f>
        <v>1.25</v>
      </c>
      <c r="AA49" s="10">
        <f t="shared" si="0"/>
        <v>19.654666666666671</v>
      </c>
      <c r="AB49" s="10">
        <f t="shared" si="1"/>
        <v>8.9737333333333353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2"/>
      <c r="AI49" s="2"/>
      <c r="AJ49" s="2"/>
      <c r="AK49" s="2"/>
      <c r="AL49" s="2"/>
      <c r="AM49" s="2"/>
      <c r="AN49" s="22"/>
    </row>
    <row r="50" spans="13:40" x14ac:dyDescent="0.2">
      <c r="V50" s="26">
        <f>3*$D$4/3</f>
        <v>0</v>
      </c>
      <c r="W50" s="7">
        <f>-$D$7*V50^2/2</f>
        <v>0</v>
      </c>
      <c r="X50" s="7">
        <f>-$D$7*V50</f>
        <v>0</v>
      </c>
      <c r="Y50" s="2"/>
      <c r="Z50" s="10">
        <f>3*$E$4/8</f>
        <v>1.875</v>
      </c>
      <c r="AA50" s="10">
        <f t="shared" si="0"/>
        <v>23.153875000000006</v>
      </c>
      <c r="AB50" s="10">
        <f t="shared" si="1"/>
        <v>2.2237333333333353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24"/>
      <c r="W51" s="3"/>
      <c r="X51" s="3"/>
      <c r="Y51" s="2"/>
      <c r="Z51" s="10">
        <f>4*$E$4/8</f>
        <v>2.5</v>
      </c>
      <c r="AA51" s="10">
        <f t="shared" si="0"/>
        <v>22.434333333333342</v>
      </c>
      <c r="AB51" s="10">
        <f t="shared" si="1"/>
        <v>-4.5262666666666647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22.473733333333335</v>
      </c>
      <c r="AG51" s="2"/>
      <c r="AH51" s="2"/>
      <c r="AI51" s="2"/>
      <c r="AJ51" s="2"/>
      <c r="AK51" s="2"/>
      <c r="AL51" s="2"/>
      <c r="AM51" s="2"/>
      <c r="AN51" s="22"/>
    </row>
    <row r="52" spans="13:40" x14ac:dyDescent="0.2">
      <c r="V52" s="24"/>
      <c r="W52" s="3"/>
      <c r="X52" s="3"/>
      <c r="Y52" s="2"/>
      <c r="Z52" s="10">
        <f>5*$E$4/8</f>
        <v>3.125</v>
      </c>
      <c r="AA52" s="10">
        <f t="shared" si="0"/>
        <v>17.49604166666667</v>
      </c>
      <c r="AB52" s="10">
        <f t="shared" si="1"/>
        <v>-11.276266666666665</v>
      </c>
      <c r="AC52" s="3"/>
      <c r="AD52" s="10">
        <f t="shared" si="3"/>
        <v>0.625</v>
      </c>
      <c r="AE52" s="10">
        <f t="shared" si="4"/>
        <v>11.936708333333335</v>
      </c>
      <c r="AF52" s="10">
        <f t="shared" si="4"/>
        <v>15.723733333333335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10">
        <f>6*$E$4/8</f>
        <v>3.75</v>
      </c>
      <c r="AA53" s="10">
        <f t="shared" si="0"/>
        <v>8.3390000000000128</v>
      </c>
      <c r="AB53" s="10">
        <f t="shared" si="1"/>
        <v>-18.026266666666665</v>
      </c>
      <c r="AC53" s="3"/>
      <c r="AD53" s="10">
        <f t="shared" si="3"/>
        <v>1.25</v>
      </c>
      <c r="AE53" s="10">
        <f t="shared" si="4"/>
        <v>19.654666666666671</v>
      </c>
      <c r="AF53" s="10">
        <f t="shared" si="4"/>
        <v>8.9737333333333353</v>
      </c>
      <c r="AG53" s="2"/>
      <c r="AH53" s="2"/>
      <c r="AI53" s="2"/>
      <c r="AJ53" s="2"/>
      <c r="AK53" s="123" t="s">
        <v>2</v>
      </c>
      <c r="AL53" s="123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10">
        <f>7*$E$4/8</f>
        <v>4.375</v>
      </c>
      <c r="AA54" s="10">
        <f t="shared" si="0"/>
        <v>-5.0367916666666588</v>
      </c>
      <c r="AB54" s="10">
        <f t="shared" si="1"/>
        <v>-24.776266666666665</v>
      </c>
      <c r="AC54" s="2"/>
      <c r="AD54" s="10">
        <f t="shared" si="3"/>
        <v>1.875</v>
      </c>
      <c r="AE54" s="10">
        <f t="shared" si="4"/>
        <v>23.153875000000006</v>
      </c>
      <c r="AF54" s="10">
        <f t="shared" si="4"/>
        <v>2.2237333333333353</v>
      </c>
      <c r="AG54" s="2"/>
      <c r="AH54" s="2"/>
      <c r="AI54" s="2"/>
      <c r="AJ54" s="2"/>
      <c r="AK54" s="8">
        <v>0</v>
      </c>
      <c r="AL54" s="123">
        <v>0</v>
      </c>
      <c r="AM54" s="2"/>
      <c r="AN54" s="22"/>
    </row>
    <row r="55" spans="13:40" x14ac:dyDescent="0.2">
      <c r="M55" s="2"/>
      <c r="N55" s="2"/>
      <c r="V55" s="24"/>
      <c r="W55" s="3"/>
      <c r="X55" s="3"/>
      <c r="Y55" s="2"/>
      <c r="Z55" s="10">
        <f>8*$E$4/8</f>
        <v>5</v>
      </c>
      <c r="AA55" s="10">
        <f t="shared" si="0"/>
        <v>-22.631333333333316</v>
      </c>
      <c r="AB55" s="10">
        <f t="shared" si="1"/>
        <v>-31.526266666666665</v>
      </c>
      <c r="AC55" s="2"/>
      <c r="AD55" s="10">
        <f t="shared" si="3"/>
        <v>2.5</v>
      </c>
      <c r="AE55" s="10">
        <f t="shared" si="4"/>
        <v>22.434333333333342</v>
      </c>
      <c r="AF55" s="10">
        <f t="shared" si="4"/>
        <v>-4.5262666666666647</v>
      </c>
      <c r="AG55" s="2"/>
      <c r="AH55" s="2"/>
      <c r="AI55" s="2"/>
      <c r="AJ55" s="2"/>
      <c r="AK55" s="8">
        <f>D4</f>
        <v>0</v>
      </c>
      <c r="AL55" s="123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17.49604166666667</v>
      </c>
      <c r="AF56" s="10">
        <f t="shared" si="4"/>
        <v>-11.276266666666665</v>
      </c>
      <c r="AG56" s="2"/>
      <c r="AH56" s="2"/>
      <c r="AI56" s="2"/>
      <c r="AJ56" s="2"/>
      <c r="AK56" s="8">
        <f>AK55+E4</f>
        <v>5</v>
      </c>
      <c r="AL56" s="123">
        <v>0</v>
      </c>
      <c r="AM56" s="2"/>
      <c r="AN56" s="22"/>
    </row>
    <row r="57" spans="13:40" x14ac:dyDescent="0.2">
      <c r="V57" s="23" t="s">
        <v>84</v>
      </c>
      <c r="W57" s="2"/>
      <c r="X57" s="2"/>
      <c r="Y57" s="2"/>
      <c r="Z57" s="2" t="s">
        <v>69</v>
      </c>
      <c r="AA57" s="2"/>
      <c r="AB57" s="2"/>
      <c r="AC57" s="2"/>
      <c r="AD57" s="10">
        <f t="shared" si="3"/>
        <v>3.75</v>
      </c>
      <c r="AE57" s="10">
        <f t="shared" si="4"/>
        <v>8.3390000000000128</v>
      </c>
      <c r="AF57" s="10">
        <f t="shared" si="4"/>
        <v>-18.026266666666665</v>
      </c>
      <c r="AG57" s="2"/>
      <c r="AH57" s="2"/>
      <c r="AI57" s="2"/>
      <c r="AJ57" s="2"/>
      <c r="AK57" s="8">
        <f>AK56+F4</f>
        <v>9</v>
      </c>
      <c r="AL57" s="123">
        <v>0</v>
      </c>
      <c r="AM57" s="2"/>
      <c r="AN57" s="22"/>
    </row>
    <row r="58" spans="13:40" x14ac:dyDescent="0.2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-5.0367916666666588</v>
      </c>
      <c r="AF58" s="10">
        <f t="shared" si="4"/>
        <v>-24.776266666666665</v>
      </c>
      <c r="AG58" s="2"/>
      <c r="AH58" s="2"/>
      <c r="AI58" s="2"/>
      <c r="AJ58" s="2"/>
      <c r="AK58" s="8">
        <f>AK57+G4</f>
        <v>10.1</v>
      </c>
      <c r="AL58" s="123">
        <v>0</v>
      </c>
      <c r="AM58" s="2"/>
      <c r="AN58" s="22"/>
    </row>
    <row r="59" spans="13:40" x14ac:dyDescent="0.2">
      <c r="V59" s="139">
        <v>0</v>
      </c>
      <c r="W59" s="140">
        <f t="shared" ref="W59:W67" si="5">-$W$21-$F$7*V59^2/2+$Y$28*V59</f>
        <v>-22.631333333333327</v>
      </c>
      <c r="X59" s="140">
        <f t="shared" ref="X59:X67" si="6">-$F$7*V59+$Y$28</f>
        <v>16.024333333333331</v>
      </c>
      <c r="Y59" s="2"/>
      <c r="Z59" s="8">
        <v>0</v>
      </c>
      <c r="AA59" s="8">
        <f>-$G$7*Z59^2/2-$Z$22+$AA$28*Z59</f>
        <v>-6.5340000000000016</v>
      </c>
      <c r="AB59" s="8">
        <f>$AA$28-$G$7*Z59</f>
        <v>11.880000000000003</v>
      </c>
      <c r="AC59" s="2"/>
      <c r="AD59" s="10">
        <f t="shared" si="3"/>
        <v>5</v>
      </c>
      <c r="AE59" s="10">
        <f t="shared" si="4"/>
        <v>-22.631333333333316</v>
      </c>
      <c r="AF59" s="10">
        <f t="shared" si="4"/>
        <v>-31.526266666666665</v>
      </c>
      <c r="AG59" s="2"/>
      <c r="AH59" s="2"/>
      <c r="AI59" s="2"/>
      <c r="AJ59" s="2"/>
      <c r="AK59" s="11"/>
      <c r="AL59" s="3"/>
      <c r="AM59" s="2"/>
      <c r="AN59" s="22"/>
    </row>
    <row r="60" spans="13:40" x14ac:dyDescent="0.2">
      <c r="V60" s="139">
        <f>$F$4/8</f>
        <v>0.5</v>
      </c>
      <c r="W60" s="140">
        <f t="shared" si="5"/>
        <v>-15.369166666666661</v>
      </c>
      <c r="X60" s="140">
        <f t="shared" si="6"/>
        <v>13.024333333333331</v>
      </c>
      <c r="Y60" s="2"/>
      <c r="Z60" s="8">
        <f>$G$4/3</f>
        <v>0.3666666666666667</v>
      </c>
      <c r="AA60" s="8">
        <f>-$G$7*Z60^2/2-$Z$22+$AA$28*Z60</f>
        <v>-2.9039999999999999</v>
      </c>
      <c r="AB60" s="8">
        <f>$AA$28-$G$7*Z60</f>
        <v>7.9200000000000017</v>
      </c>
      <c r="AC60" s="2"/>
      <c r="AD60" s="140">
        <f t="shared" ref="AD60:AD68" si="7">$AD$59+V59</f>
        <v>5</v>
      </c>
      <c r="AE60" s="140">
        <f t="shared" ref="AE60:AF68" si="8">W59</f>
        <v>-22.631333333333327</v>
      </c>
      <c r="AF60" s="140">
        <f t="shared" si="8"/>
        <v>16.024333333333331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">
      <c r="V61" s="139">
        <f>2*$F$4/8</f>
        <v>1</v>
      </c>
      <c r="W61" s="140">
        <f t="shared" si="5"/>
        <v>-9.6069999999999958</v>
      </c>
      <c r="X61" s="140">
        <f t="shared" si="6"/>
        <v>10.024333333333331</v>
      </c>
      <c r="Y61" s="2"/>
      <c r="Z61" s="8">
        <f>2*$G$4/3</f>
        <v>0.73333333333333339</v>
      </c>
      <c r="AA61" s="8">
        <f>-$G$7*Z61^2/2-$Z$22+$AA$28*Z61</f>
        <v>-0.72599999999999909</v>
      </c>
      <c r="AB61" s="8">
        <f>$AA$28-$G$7*Z61</f>
        <v>3.9600000000000017</v>
      </c>
      <c r="AC61" s="2"/>
      <c r="AD61" s="140">
        <f t="shared" si="7"/>
        <v>5.5</v>
      </c>
      <c r="AE61" s="140">
        <f t="shared" si="8"/>
        <v>-15.369166666666661</v>
      </c>
      <c r="AF61" s="140">
        <f t="shared" si="8"/>
        <v>13.024333333333331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3*$F$4/8</f>
        <v>1.5</v>
      </c>
      <c r="W62" s="140">
        <f t="shared" si="5"/>
        <v>-5.3448333333333302</v>
      </c>
      <c r="X62" s="140">
        <f t="shared" si="6"/>
        <v>7.0243333333333311</v>
      </c>
      <c r="Y62" s="2"/>
      <c r="Z62" s="8">
        <f>3*$G$4/3</f>
        <v>1.1000000000000001</v>
      </c>
      <c r="AA62" s="8">
        <f>-$G$7*Z62^2/2-$Z$22+$AA$28*Z62</f>
        <v>0</v>
      </c>
      <c r="AB62" s="8">
        <f>$AA$28-$G$7*Z62</f>
        <v>0</v>
      </c>
      <c r="AC62" s="2"/>
      <c r="AD62" s="140">
        <f t="shared" si="7"/>
        <v>6</v>
      </c>
      <c r="AE62" s="140">
        <f t="shared" si="8"/>
        <v>-9.6069999999999958</v>
      </c>
      <c r="AF62" s="140">
        <f t="shared" si="8"/>
        <v>10.024333333333331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4*$F$4/8</f>
        <v>2</v>
      </c>
      <c r="W63" s="140">
        <f t="shared" si="5"/>
        <v>-2.5826666666666682</v>
      </c>
      <c r="X63" s="140">
        <f t="shared" si="6"/>
        <v>4.0243333333333311</v>
      </c>
      <c r="Y63" s="2"/>
      <c r="Z63" s="2"/>
      <c r="AA63" s="2"/>
      <c r="AB63" s="2"/>
      <c r="AC63" s="2"/>
      <c r="AD63" s="140">
        <f t="shared" si="7"/>
        <v>6.5</v>
      </c>
      <c r="AE63" s="140">
        <f t="shared" si="8"/>
        <v>-5.3448333333333302</v>
      </c>
      <c r="AF63" s="140">
        <f t="shared" si="8"/>
        <v>7.0243333333333311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5*$F$4/8</f>
        <v>2.5</v>
      </c>
      <c r="W64" s="140">
        <f t="shared" si="5"/>
        <v>-1.3205000000000027</v>
      </c>
      <c r="X64" s="140">
        <f t="shared" si="6"/>
        <v>1.0243333333333311</v>
      </c>
      <c r="Y64" s="2"/>
      <c r="Z64" s="15"/>
      <c r="AA64" s="15"/>
      <c r="AB64" s="15"/>
      <c r="AC64" s="2"/>
      <c r="AD64" s="140">
        <f t="shared" si="7"/>
        <v>7</v>
      </c>
      <c r="AE64" s="140">
        <f t="shared" si="8"/>
        <v>-2.5826666666666682</v>
      </c>
      <c r="AF64" s="140">
        <f t="shared" si="8"/>
        <v>4.0243333333333311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6*$F$4/8</f>
        <v>3</v>
      </c>
      <c r="W65" s="140">
        <f t="shared" si="5"/>
        <v>-1.5583333333333371</v>
      </c>
      <c r="X65" s="140">
        <f t="shared" si="6"/>
        <v>-1.9756666666666689</v>
      </c>
      <c r="Y65" s="2"/>
      <c r="Z65" s="15"/>
      <c r="AA65" s="15"/>
      <c r="AB65" s="15"/>
      <c r="AC65" s="2"/>
      <c r="AD65" s="140">
        <f t="shared" si="7"/>
        <v>7.5</v>
      </c>
      <c r="AE65" s="140">
        <f t="shared" si="8"/>
        <v>-1.3205000000000027</v>
      </c>
      <c r="AF65" s="140">
        <f t="shared" si="8"/>
        <v>1.0243333333333311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7*$F$4/8</f>
        <v>3.5</v>
      </c>
      <c r="W66" s="140">
        <f t="shared" si="5"/>
        <v>-3.2961666666666716</v>
      </c>
      <c r="X66" s="140">
        <f t="shared" si="6"/>
        <v>-4.9756666666666689</v>
      </c>
      <c r="Y66" s="2"/>
      <c r="Z66" s="15"/>
      <c r="AA66" s="15"/>
      <c r="AB66" s="15"/>
      <c r="AC66" s="2"/>
      <c r="AD66" s="140">
        <f t="shared" si="7"/>
        <v>8</v>
      </c>
      <c r="AE66" s="140">
        <f t="shared" si="8"/>
        <v>-1.5583333333333371</v>
      </c>
      <c r="AF66" s="140">
        <f t="shared" si="8"/>
        <v>-1.9756666666666689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">
      <c r="V67" s="139">
        <f>8*$F$4/8</f>
        <v>4</v>
      </c>
      <c r="W67" s="140">
        <f t="shared" si="5"/>
        <v>-6.534000000000006</v>
      </c>
      <c r="X67" s="140">
        <f t="shared" si="6"/>
        <v>-7.9756666666666689</v>
      </c>
      <c r="Y67" s="2"/>
      <c r="Z67" s="15"/>
      <c r="AA67" s="15"/>
      <c r="AB67" s="15"/>
      <c r="AC67" s="2"/>
      <c r="AD67" s="140">
        <f t="shared" si="7"/>
        <v>8.5</v>
      </c>
      <c r="AE67" s="140">
        <f t="shared" si="8"/>
        <v>-3.2961666666666716</v>
      </c>
      <c r="AF67" s="140">
        <f t="shared" si="8"/>
        <v>-4.9756666666666689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">
      <c r="V68" s="23"/>
      <c r="W68" s="2"/>
      <c r="X68" s="2"/>
      <c r="Y68" s="2"/>
      <c r="Z68" s="2"/>
      <c r="AA68" s="2"/>
      <c r="AB68" s="2"/>
      <c r="AC68" s="2"/>
      <c r="AD68" s="140">
        <f t="shared" si="7"/>
        <v>9</v>
      </c>
      <c r="AE68" s="140">
        <f t="shared" si="8"/>
        <v>-6.534000000000006</v>
      </c>
      <c r="AF68" s="140">
        <f t="shared" si="8"/>
        <v>-7.9756666666666689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8">
        <f>$AD$68+Z59</f>
        <v>9</v>
      </c>
      <c r="AE69" s="8">
        <f t="shared" ref="AE69:AF72" si="9">AA59</f>
        <v>-6.5340000000000016</v>
      </c>
      <c r="AF69" s="8">
        <f t="shared" si="9"/>
        <v>11.880000000000003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">
      <c r="V70" s="23"/>
      <c r="W70" s="2"/>
      <c r="X70" s="2"/>
      <c r="Y70" s="2"/>
      <c r="Z70" s="2"/>
      <c r="AA70" s="2"/>
      <c r="AB70" s="2"/>
      <c r="AC70" s="2"/>
      <c r="AD70" s="8">
        <f t="shared" ref="AD70:AD72" si="10">$AD$68+Z60</f>
        <v>9.3666666666666671</v>
      </c>
      <c r="AE70" s="8">
        <f t="shared" si="9"/>
        <v>-2.9039999999999999</v>
      </c>
      <c r="AF70" s="8">
        <f t="shared" si="9"/>
        <v>7.9200000000000017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49"/>
      <c r="W71" s="5"/>
      <c r="X71" s="3"/>
      <c r="Y71" s="2"/>
      <c r="Z71" s="2"/>
      <c r="AA71" s="2"/>
      <c r="AB71" s="2"/>
      <c r="AC71" s="2"/>
      <c r="AD71" s="8">
        <f t="shared" si="10"/>
        <v>9.7333333333333343</v>
      </c>
      <c r="AE71" s="8">
        <f t="shared" si="9"/>
        <v>-0.72599999999999909</v>
      </c>
      <c r="AF71" s="8">
        <f t="shared" si="9"/>
        <v>3.9600000000000017</v>
      </c>
      <c r="AG71" s="2"/>
      <c r="AH71" s="2"/>
      <c r="AI71" s="2"/>
      <c r="AJ71" s="2"/>
      <c r="AK71" s="2"/>
      <c r="AL71" s="2"/>
      <c r="AM71" s="2"/>
      <c r="AN71" s="22"/>
    </row>
    <row r="72" spans="22:40" ht="12.75" thickBot="1" x14ac:dyDescent="0.25">
      <c r="V72" s="141"/>
      <c r="W72" s="142"/>
      <c r="X72" s="142"/>
      <c r="Y72" s="27"/>
      <c r="Z72" s="27"/>
      <c r="AA72" s="27"/>
      <c r="AB72" s="27"/>
      <c r="AC72" s="27"/>
      <c r="AD72" s="143">
        <f t="shared" si="10"/>
        <v>10.1</v>
      </c>
      <c r="AE72" s="143">
        <f t="shared" si="9"/>
        <v>0</v>
      </c>
      <c r="AF72" s="143">
        <f t="shared" si="9"/>
        <v>0</v>
      </c>
      <c r="AG72" s="27"/>
      <c r="AH72" s="27"/>
      <c r="AI72" s="27"/>
      <c r="AJ72" s="27"/>
      <c r="AK72" s="27"/>
      <c r="AL72" s="27"/>
      <c r="AM72" s="27"/>
      <c r="AN72" s="28"/>
    </row>
    <row r="73" spans="22:40" ht="12.75" thickTop="1" x14ac:dyDescent="0.2">
      <c r="V73" s="55"/>
      <c r="W73" s="114"/>
      <c r="X73" s="114"/>
      <c r="Y73" s="19"/>
      <c r="Z73" s="19"/>
      <c r="AA73" s="19"/>
      <c r="AB73" s="19"/>
      <c r="AC73" s="19"/>
      <c r="AD73" s="114"/>
      <c r="AE73" s="114"/>
      <c r="AF73" s="114"/>
      <c r="AG73" s="19"/>
      <c r="AH73" s="19"/>
      <c r="AI73" s="19"/>
      <c r="AJ73" s="19"/>
      <c r="AK73" s="19"/>
      <c r="AL73" s="19"/>
      <c r="AM73" s="19"/>
      <c r="AN73" s="19"/>
    </row>
    <row r="74" spans="22:40" x14ac:dyDescent="0.2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22:40" x14ac:dyDescent="0.2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22:40" x14ac:dyDescent="0.2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22:40" x14ac:dyDescent="0.2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22:40" x14ac:dyDescent="0.2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22:40" x14ac:dyDescent="0.2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22:40" x14ac:dyDescent="0.2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oglio12"/>
  <dimension ref="A1:AT100"/>
  <sheetViews>
    <sheetView topLeftCell="A4" zoomScale="85" zoomScaleNormal="85" workbookViewId="0">
      <selection activeCell="I19" sqref="I19"/>
    </sheetView>
  </sheetViews>
  <sheetFormatPr defaultColWidth="9.140625" defaultRowHeight="12" x14ac:dyDescent="0.2"/>
  <cols>
    <col min="1" max="16384" width="9.140625" style="1"/>
  </cols>
  <sheetData>
    <row r="1" spans="1:40" ht="15.75" customHeight="1" thickBot="1" x14ac:dyDescent="0.25">
      <c r="A1" s="334" t="s">
        <v>28</v>
      </c>
      <c r="B1" s="334"/>
      <c r="C1" s="334"/>
      <c r="D1" s="334"/>
      <c r="E1" s="334"/>
      <c r="F1" s="334"/>
      <c r="G1" s="334"/>
      <c r="H1" s="334"/>
      <c r="I1" s="334"/>
      <c r="J1" s="334"/>
      <c r="K1" s="2"/>
    </row>
    <row r="2" spans="1:40" ht="12.75" thickTop="1" x14ac:dyDescent="0.2">
      <c r="E2" s="12"/>
    </row>
    <row r="3" spans="1:40" ht="13.5" x14ac:dyDescent="0.25">
      <c r="B3" s="12" t="s">
        <v>29</v>
      </c>
      <c r="D3" s="13" t="s">
        <v>32</v>
      </c>
      <c r="E3" s="13" t="s">
        <v>33</v>
      </c>
      <c r="F3" s="13" t="s">
        <v>70</v>
      </c>
      <c r="G3" s="13" t="s">
        <v>34</v>
      </c>
    </row>
    <row r="4" spans="1:40" x14ac:dyDescent="0.2">
      <c r="D4" s="14">
        <f>'CC-Trave'!E15</f>
        <v>0</v>
      </c>
      <c r="E4" s="14">
        <f>'CC-Trave'!F15</f>
        <v>5</v>
      </c>
      <c r="F4" s="14">
        <f>'CC-Trave'!G15</f>
        <v>4</v>
      </c>
      <c r="G4" s="14">
        <f>'CC-Trave'!H15</f>
        <v>1.1000000000000001</v>
      </c>
    </row>
    <row r="6" spans="1:40" ht="13.5" x14ac:dyDescent="0.25">
      <c r="B6" s="12" t="s">
        <v>41</v>
      </c>
      <c r="D6" s="13" t="s">
        <v>35</v>
      </c>
      <c r="E6" s="13" t="s">
        <v>36</v>
      </c>
      <c r="F6" s="13" t="s">
        <v>71</v>
      </c>
      <c r="G6" s="13" t="s">
        <v>37</v>
      </c>
    </row>
    <row r="7" spans="1:40" x14ac:dyDescent="0.2">
      <c r="C7" s="1" t="s">
        <v>42</v>
      </c>
      <c r="D7" s="14">
        <f>'CC-Trave'!E28</f>
        <v>0</v>
      </c>
      <c r="E7" s="14">
        <f>'CC-Trave'!F28</f>
        <v>10.8</v>
      </c>
      <c r="F7" s="14">
        <f>'CC-Trave'!G28</f>
        <v>10.8</v>
      </c>
      <c r="G7" s="14">
        <f>'CC-Trave'!H28</f>
        <v>6</v>
      </c>
    </row>
    <row r="8" spans="1:40" x14ac:dyDescent="0.2">
      <c r="D8" s="14"/>
      <c r="E8" s="14"/>
      <c r="F8" s="14"/>
      <c r="G8" s="14"/>
      <c r="H8" s="15"/>
    </row>
    <row r="9" spans="1:40" x14ac:dyDescent="0.2">
      <c r="D9" s="14"/>
      <c r="E9" s="14"/>
      <c r="F9" s="14"/>
      <c r="G9" s="14"/>
      <c r="H9" s="15"/>
    </row>
    <row r="10" spans="1:40" x14ac:dyDescent="0.2">
      <c r="D10" s="14"/>
      <c r="E10" s="14"/>
      <c r="F10" s="14"/>
      <c r="G10" s="14"/>
      <c r="H10" s="15"/>
    </row>
    <row r="11" spans="1:40" x14ac:dyDescent="0.2">
      <c r="D11" s="14"/>
      <c r="E11" s="14"/>
      <c r="F11" s="14"/>
      <c r="G11" s="14"/>
      <c r="H11" s="15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45" t="s">
        <v>31</v>
      </c>
      <c r="B15" s="345"/>
      <c r="C15" s="345"/>
      <c r="D15" s="345"/>
      <c r="E15" s="345"/>
      <c r="F15" s="345"/>
      <c r="G15" s="345"/>
      <c r="H15" s="345"/>
      <c r="I15" s="345"/>
      <c r="J15" s="345"/>
    </row>
    <row r="16" spans="1:40" ht="12.75" thickTop="1" x14ac:dyDescent="0.2">
      <c r="V16" s="54"/>
      <c r="W16" s="55"/>
      <c r="X16" s="55"/>
      <c r="Y16" s="19"/>
      <c r="Z16" s="20"/>
      <c r="AA16" s="20"/>
      <c r="AB16" s="20"/>
      <c r="AC16" s="19"/>
      <c r="AD16" s="19"/>
      <c r="AE16" s="56"/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3.5" x14ac:dyDescent="0.2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49"/>
      <c r="W17" s="5"/>
      <c r="X17" s="5"/>
      <c r="Y17" s="2"/>
      <c r="Z17" s="3"/>
      <c r="AA17" s="3"/>
      <c r="AB17" s="3"/>
      <c r="AC17" s="2"/>
      <c r="AD17" s="2"/>
      <c r="AE17" s="44"/>
      <c r="AF17" s="2"/>
      <c r="AG17" s="2"/>
      <c r="AH17" s="123">
        <v>0</v>
      </c>
      <c r="AI17" s="123">
        <f>5+MAX('CC-car.2'!AI17:AI42)</f>
        <v>41.6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'CC-Trave'!B77</f>
        <v>1</v>
      </c>
      <c r="C18" s="16">
        <f>'CC-Trave'!C77</f>
        <v>3.1250000000000002E-3</v>
      </c>
      <c r="D18" s="16">
        <f>B18*C18</f>
        <v>3.1250000000000002E-3</v>
      </c>
      <c r="G18" s="16">
        <f>'CC-Trave'!G77</f>
        <v>1</v>
      </c>
      <c r="H18" s="16">
        <f>'CC-Trave'!H77</f>
        <v>3.1250000000000002E-3</v>
      </c>
      <c r="I18" s="16">
        <f>G18*H18</f>
        <v>3.1250000000000002E-3</v>
      </c>
      <c r="V18" s="49"/>
      <c r="W18" s="3"/>
      <c r="X18" s="5"/>
      <c r="Y18" s="2"/>
      <c r="Z18" s="3"/>
      <c r="AA18" s="3"/>
      <c r="AB18" s="3"/>
      <c r="AC18" s="2"/>
      <c r="AD18" s="2"/>
      <c r="AE18" s="3"/>
      <c r="AF18" s="2"/>
      <c r="AG18" s="2"/>
      <c r="AH18" s="123">
        <f>D4</f>
        <v>0</v>
      </c>
      <c r="AI18" s="123">
        <f>AI17</f>
        <v>41.6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123">
        <f>AH18</f>
        <v>0</v>
      </c>
      <c r="AI19" s="123">
        <f>AI18+D7</f>
        <v>41.6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x14ac:dyDescent="0.2">
      <c r="A20" s="17"/>
      <c r="B20" s="3"/>
      <c r="C20" s="3"/>
      <c r="D20" s="3"/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41.6</v>
      </c>
      <c r="AJ20" s="2"/>
      <c r="AK20" s="8">
        <f>AK19</f>
        <v>5</v>
      </c>
      <c r="AL20" s="8">
        <f>AE59</f>
        <v>-27.543333333333322</v>
      </c>
      <c r="AM20" s="2"/>
      <c r="AN20" s="22"/>
    </row>
    <row r="21" spans="1:46" s="46" customFormat="1" x14ac:dyDescent="0.2">
      <c r="A21" s="1"/>
      <c r="B21" s="3"/>
      <c r="C21" s="3"/>
      <c r="D21" s="3"/>
      <c r="F21" s="3"/>
      <c r="G21" s="3"/>
      <c r="H21" s="3"/>
      <c r="I21" s="3"/>
      <c r="V21" s="24" t="s">
        <v>7</v>
      </c>
      <c r="W21" s="8">
        <f>-3*AB22/(E4/D18+F4/I18)</f>
        <v>27.543333333333329</v>
      </c>
      <c r="X21" s="2"/>
      <c r="Y21" s="123" t="s">
        <v>12</v>
      </c>
      <c r="Z21" s="123">
        <f>D7*D4^2/2</f>
        <v>0</v>
      </c>
      <c r="AA21" s="2"/>
      <c r="AB21" s="123" t="s">
        <v>79</v>
      </c>
      <c r="AC21" s="3"/>
      <c r="AD21" s="3"/>
      <c r="AE21" s="2"/>
      <c r="AF21" s="2"/>
      <c r="AG21" s="2"/>
      <c r="AH21" s="123">
        <v>0</v>
      </c>
      <c r="AI21" s="123">
        <f>AI17</f>
        <v>41.6</v>
      </c>
      <c r="AJ21" s="2"/>
      <c r="AK21" s="8">
        <f>AK57</f>
        <v>9</v>
      </c>
      <c r="AL21" s="8">
        <v>0</v>
      </c>
      <c r="AM21" s="2"/>
      <c r="AN21" s="22"/>
    </row>
    <row r="22" spans="1:46" x14ac:dyDescent="0.2">
      <c r="V22" s="24"/>
      <c r="W22" s="11"/>
      <c r="X22" s="2"/>
      <c r="Y22" s="123" t="s">
        <v>80</v>
      </c>
      <c r="Z22" s="123">
        <f>G7*G4^2/2</f>
        <v>3.6300000000000008</v>
      </c>
      <c r="AA22" s="2"/>
      <c r="AB22" s="124">
        <f>Z21*E4/(6*D18)+Z22*F4/(6*I18)-E7*E4^3/(24*D18)-F7*F4^3/(24*I18)</f>
        <v>-26441.599999999995</v>
      </c>
      <c r="AC22" s="44"/>
      <c r="AD22" s="44"/>
      <c r="AE22" s="2"/>
      <c r="AF22" s="2"/>
      <c r="AG22" s="2"/>
      <c r="AH22" s="2"/>
      <c r="AI22" s="2"/>
      <c r="AJ22" s="2"/>
      <c r="AK22" s="8">
        <f>AK21</f>
        <v>9</v>
      </c>
      <c r="AL22" s="8">
        <f>AE68</f>
        <v>-3.6299999999999955</v>
      </c>
      <c r="AM22" s="2"/>
      <c r="AN22" s="22"/>
    </row>
    <row r="23" spans="1:46" x14ac:dyDescent="0.2">
      <c r="V23" s="24"/>
      <c r="W23" s="3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11"/>
      <c r="AL23" s="11"/>
      <c r="AM23" s="2"/>
      <c r="AN23" s="22"/>
    </row>
    <row r="24" spans="1:46" x14ac:dyDescent="0.2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D4</f>
        <v>0</v>
      </c>
      <c r="AI24" s="123">
        <f>AI17</f>
        <v>41.6</v>
      </c>
      <c r="AJ24" s="2"/>
      <c r="AK24" s="11"/>
      <c r="AL24" s="11"/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41.6</v>
      </c>
      <c r="AJ25" s="2"/>
      <c r="AK25" s="11"/>
      <c r="AL25" s="11"/>
      <c r="AM25" s="2"/>
      <c r="AN25" s="22"/>
    </row>
    <row r="26" spans="1:46" x14ac:dyDescent="0.2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AI25+E7</f>
        <v>52.400000000000006</v>
      </c>
      <c r="AJ26" s="3"/>
      <c r="AK26" s="11"/>
      <c r="AL26" s="11"/>
      <c r="AM26" s="2"/>
      <c r="AN26" s="22"/>
    </row>
    <row r="27" spans="1:46" x14ac:dyDescent="0.2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3"/>
      <c r="AC27" s="3"/>
      <c r="AD27" s="3"/>
      <c r="AE27" s="3"/>
      <c r="AF27" s="3"/>
      <c r="AG27" s="3"/>
      <c r="AH27" s="123">
        <f>AH24</f>
        <v>0</v>
      </c>
      <c r="AI27" s="123">
        <f>AI26</f>
        <v>52.400000000000006</v>
      </c>
      <c r="AJ27" s="3"/>
      <c r="AK27" s="11"/>
      <c r="AL27" s="11"/>
      <c r="AM27" s="2"/>
      <c r="AN27" s="22"/>
    </row>
    <row r="28" spans="1:46" x14ac:dyDescent="0.2">
      <c r="V28" s="126">
        <f>D7*D4</f>
        <v>0</v>
      </c>
      <c r="W28" s="8">
        <f>E7*E4-X28</f>
        <v>21.491333333333337</v>
      </c>
      <c r="X28" s="8">
        <f>(W21-Z21+E7*E4^2/2)/E4</f>
        <v>32.508666666666663</v>
      </c>
      <c r="Y28" s="8">
        <f>F7*F4-Z28</f>
        <v>27.578333333333333</v>
      </c>
      <c r="Z28" s="8">
        <f>(Z22-W21+F7*F4^2/2)/F4</f>
        <v>15.62166666666667</v>
      </c>
      <c r="AA28" s="8">
        <f>G7*G4</f>
        <v>6.6000000000000005</v>
      </c>
      <c r="AB28" s="11"/>
      <c r="AC28" s="11"/>
      <c r="AD28" s="11"/>
      <c r="AE28" s="11"/>
      <c r="AF28" s="3"/>
      <c r="AG28" s="3"/>
      <c r="AH28" s="123">
        <f>AH24</f>
        <v>0</v>
      </c>
      <c r="AI28" s="123">
        <f>AI24</f>
        <v>41.6</v>
      </c>
      <c r="AJ28" s="3"/>
      <c r="AK28" s="11"/>
      <c r="AL28" s="11"/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">
      <c r="V31" s="23"/>
      <c r="W31" s="2"/>
      <c r="X31" s="123" t="s">
        <v>0</v>
      </c>
      <c r="Y31" s="123" t="s">
        <v>1</v>
      </c>
      <c r="Z31" s="123" t="s">
        <v>78</v>
      </c>
      <c r="AA31" s="3"/>
      <c r="AB31" s="3"/>
      <c r="AC31" s="2"/>
      <c r="AD31" s="2"/>
      <c r="AE31" s="2"/>
      <c r="AF31" s="2"/>
      <c r="AG31" s="2"/>
      <c r="AH31" s="8">
        <f>AK56</f>
        <v>5</v>
      </c>
      <c r="AI31" s="123">
        <f>AI17</f>
        <v>41.6</v>
      </c>
      <c r="AJ31" s="2"/>
      <c r="AK31" s="2" t="s">
        <v>21</v>
      </c>
      <c r="AL31" s="2"/>
      <c r="AM31" s="2"/>
      <c r="AN31" s="22"/>
    </row>
    <row r="32" spans="1:46" x14ac:dyDescent="0.2">
      <c r="V32" s="23"/>
      <c r="W32" s="2"/>
      <c r="X32" s="8">
        <f>V28+W28</f>
        <v>21.491333333333337</v>
      </c>
      <c r="Y32" s="8">
        <f>X28+Y28</f>
        <v>60.086999999999996</v>
      </c>
      <c r="Z32" s="8">
        <f>Z28+AA28</f>
        <v>22.221666666666671</v>
      </c>
      <c r="AA32" s="11"/>
      <c r="AB32" s="11"/>
      <c r="AC32" s="2"/>
      <c r="AD32" s="2"/>
      <c r="AE32" s="2"/>
      <c r="AF32" s="2"/>
      <c r="AG32" s="2"/>
      <c r="AH32" s="8">
        <f>AK57</f>
        <v>9</v>
      </c>
      <c r="AI32" s="123">
        <f>AI31</f>
        <v>41.6</v>
      </c>
      <c r="AJ32" s="2"/>
      <c r="AK32" s="123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9</v>
      </c>
      <c r="AI33" s="123">
        <f>AI32+F7</f>
        <v>52.400000000000006</v>
      </c>
      <c r="AJ33" s="2"/>
      <c r="AK33" s="128" t="s">
        <v>23</v>
      </c>
      <c r="AL33" s="8">
        <f>W28/E7</f>
        <v>1.9899382716049385</v>
      </c>
      <c r="AM33" s="8">
        <f>D4+AL33</f>
        <v>1.9899382716049385</v>
      </c>
      <c r="AN33" s="129">
        <f>W28*AL33-E7*AL33^2/2-Z21</f>
        <v>21.383213353909472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52.400000000000006</v>
      </c>
      <c r="AJ34" s="2"/>
      <c r="AK34" s="130" t="s">
        <v>82</v>
      </c>
      <c r="AL34" s="8">
        <f>Y28/F7</f>
        <v>2.5535493827160494</v>
      </c>
      <c r="AM34" s="8">
        <f>D4+E4+AL34</f>
        <v>7.5535493827160494</v>
      </c>
      <c r="AN34" s="129">
        <f>Y28*AL34-F7*AL34^2/2-W21</f>
        <v>7.6679846965020531</v>
      </c>
    </row>
    <row r="35" spans="22:40" x14ac:dyDescent="0.2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41.6</v>
      </c>
      <c r="AJ35" s="2"/>
      <c r="AK35" s="48"/>
      <c r="AL35" s="11"/>
      <c r="AM35" s="11"/>
      <c r="AN35" s="50"/>
    </row>
    <row r="36" spans="22:40" x14ac:dyDescent="0.2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9</v>
      </c>
      <c r="AC36" s="132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x14ac:dyDescent="0.2">
      <c r="V37" s="131">
        <f>V36</f>
        <v>0</v>
      </c>
      <c r="W37" s="133">
        <f>X32</f>
        <v>21.491333333333337</v>
      </c>
      <c r="X37" s="2"/>
      <c r="Y37" s="133">
        <f>Y36</f>
        <v>5</v>
      </c>
      <c r="Z37" s="133">
        <f>Y32</f>
        <v>60.086999999999996</v>
      </c>
      <c r="AA37" s="2"/>
      <c r="AB37" s="133">
        <f>AB36</f>
        <v>9</v>
      </c>
      <c r="AC37" s="133">
        <f>Z32</f>
        <v>22.221666666666671</v>
      </c>
      <c r="AD37" s="2"/>
      <c r="AE37" s="2"/>
      <c r="AF37" s="2"/>
      <c r="AG37" s="2"/>
      <c r="AH37" s="3" t="s">
        <v>18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9</v>
      </c>
      <c r="AI38" s="123">
        <f>AI17</f>
        <v>41.6</v>
      </c>
      <c r="AJ38" s="3"/>
      <c r="AK38" s="3"/>
      <c r="AL38" s="3"/>
      <c r="AM38" s="3"/>
      <c r="AN38" s="25"/>
    </row>
    <row r="39" spans="22:40" x14ac:dyDescent="0.2">
      <c r="V39" s="23"/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8">
        <f>AK58</f>
        <v>10.1</v>
      </c>
      <c r="AI39" s="123">
        <f>AI38</f>
        <v>41.6</v>
      </c>
      <c r="AJ39" s="3"/>
      <c r="AK39" s="2" t="s">
        <v>27</v>
      </c>
      <c r="AL39" s="2"/>
      <c r="AM39" s="3"/>
      <c r="AN39" s="25"/>
    </row>
    <row r="40" spans="22:40" x14ac:dyDescent="0.2">
      <c r="V40" s="57"/>
      <c r="W40" s="2"/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8">
        <f>AH39</f>
        <v>10.1</v>
      </c>
      <c r="AI40" s="123">
        <f>AI39+G7</f>
        <v>47.6</v>
      </c>
      <c r="AJ40" s="2"/>
      <c r="AK40" s="8">
        <f>AM33</f>
        <v>1.9899382716049385</v>
      </c>
      <c r="AL40" s="123">
        <v>0</v>
      </c>
      <c r="AM40" s="2"/>
      <c r="AN40" s="22"/>
    </row>
    <row r="41" spans="22:40" x14ac:dyDescent="0.2">
      <c r="V41" s="57"/>
      <c r="W41" s="47"/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8">
        <f>AH38</f>
        <v>9</v>
      </c>
      <c r="AI41" s="123">
        <f>AI40</f>
        <v>47.6</v>
      </c>
      <c r="AJ41" s="2"/>
      <c r="AK41" s="8">
        <f>AK40</f>
        <v>1.9899382716049385</v>
      </c>
      <c r="AL41" s="8">
        <f>AN33</f>
        <v>21.383213353909472</v>
      </c>
      <c r="AM41" s="2"/>
      <c r="AN41" s="22"/>
    </row>
    <row r="42" spans="22:40" x14ac:dyDescent="0.2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9</v>
      </c>
      <c r="AI42" s="123">
        <f>AI38</f>
        <v>41.6</v>
      </c>
      <c r="AJ42" s="2"/>
      <c r="AK42" s="8">
        <f>AM34</f>
        <v>7.5535493827160494</v>
      </c>
      <c r="AL42" s="123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7.5535493827160494</v>
      </c>
      <c r="AL43" s="8">
        <f>AN34</f>
        <v>7.6679846965020531</v>
      </c>
      <c r="AM43" s="2"/>
      <c r="AN43" s="22"/>
    </row>
    <row r="44" spans="22:40" x14ac:dyDescent="0.2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11"/>
      <c r="AL44" s="3"/>
      <c r="AM44" s="2"/>
      <c r="AN44" s="22"/>
    </row>
    <row r="45" spans="22:40" x14ac:dyDescent="0.2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2"/>
      <c r="AI45" s="2"/>
      <c r="AJ45" s="2"/>
      <c r="AK45" s="11"/>
      <c r="AL45" s="11"/>
      <c r="AM45" s="2"/>
      <c r="AN45" s="22"/>
    </row>
    <row r="46" spans="22:40" x14ac:dyDescent="0.2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2"/>
      <c r="AI46" s="2"/>
      <c r="AJ46" s="2"/>
      <c r="AK46" s="11"/>
      <c r="AL46" s="3"/>
      <c r="AM46" s="2"/>
      <c r="AN46" s="22"/>
    </row>
    <row r="47" spans="22:40" x14ac:dyDescent="0.2">
      <c r="V47" s="26">
        <v>0</v>
      </c>
      <c r="W47" s="7">
        <f>-$D$7*V47^2/2</f>
        <v>0</v>
      </c>
      <c r="X47" s="7">
        <f>-$D$7*V47</f>
        <v>0</v>
      </c>
      <c r="Y47" s="2"/>
      <c r="Z47" s="10">
        <v>0</v>
      </c>
      <c r="AA47" s="10">
        <f t="shared" ref="AA47:AA55" si="0">-$Z$21-$E$7*Z47^2/2+$W$28*Z47</f>
        <v>0</v>
      </c>
      <c r="AB47" s="10">
        <f t="shared" ref="AB47:AB55" si="1">-$E$7*Z47+$W$28</f>
        <v>21.491333333333337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2"/>
      <c r="AI47" s="2"/>
      <c r="AJ47" s="2"/>
      <c r="AK47" s="11"/>
      <c r="AL47" s="11"/>
      <c r="AM47" s="2"/>
      <c r="AN47" s="22"/>
    </row>
    <row r="48" spans="22:40" x14ac:dyDescent="0.2">
      <c r="V48" s="26">
        <f>$D$4/3</f>
        <v>0</v>
      </c>
      <c r="W48" s="7">
        <f>-$D$7*V48^2/2</f>
        <v>0</v>
      </c>
      <c r="X48" s="7">
        <f>-$D$7*V48</f>
        <v>0</v>
      </c>
      <c r="Y48" s="2"/>
      <c r="Z48" s="10">
        <f>$E$4/8</f>
        <v>0.625</v>
      </c>
      <c r="AA48" s="10">
        <f t="shared" si="0"/>
        <v>11.322708333333335</v>
      </c>
      <c r="AB48" s="10">
        <f t="shared" si="1"/>
        <v>14.741333333333337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2"/>
      <c r="AI48" s="2"/>
      <c r="AJ48" s="2"/>
      <c r="AK48" s="2"/>
      <c r="AL48" s="2"/>
      <c r="AM48" s="2"/>
      <c r="AN48" s="22"/>
    </row>
    <row r="49" spans="13:40" x14ac:dyDescent="0.2">
      <c r="V49" s="26">
        <f>2*$D$4/3</f>
        <v>0</v>
      </c>
      <c r="W49" s="7">
        <f>-$D$7*V49^2/2</f>
        <v>0</v>
      </c>
      <c r="X49" s="7">
        <f>-$D$7*V49</f>
        <v>0</v>
      </c>
      <c r="Y49" s="2"/>
      <c r="Z49" s="10">
        <f>2*$E$4/8</f>
        <v>1.25</v>
      </c>
      <c r="AA49" s="10">
        <f t="shared" si="0"/>
        <v>18.426666666666669</v>
      </c>
      <c r="AB49" s="10">
        <f t="shared" si="1"/>
        <v>7.991333333333337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2"/>
      <c r="AI49" s="2"/>
      <c r="AJ49" s="2"/>
      <c r="AK49" s="2"/>
      <c r="AL49" s="2"/>
      <c r="AM49" s="2"/>
      <c r="AN49" s="22"/>
    </row>
    <row r="50" spans="13:40" x14ac:dyDescent="0.2">
      <c r="V50" s="26">
        <f>3*$D$4/3</f>
        <v>0</v>
      </c>
      <c r="W50" s="7">
        <f>-$D$7*V50^2/2</f>
        <v>0</v>
      </c>
      <c r="X50" s="7">
        <f>-$D$7*V50</f>
        <v>0</v>
      </c>
      <c r="Y50" s="2"/>
      <c r="Z50" s="10">
        <f>3*$E$4/8</f>
        <v>1.875</v>
      </c>
      <c r="AA50" s="10">
        <f t="shared" si="0"/>
        <v>21.311875000000008</v>
      </c>
      <c r="AB50" s="10">
        <f t="shared" si="1"/>
        <v>1.241333333333337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24"/>
      <c r="W51" s="3"/>
      <c r="X51" s="3"/>
      <c r="Y51" s="2"/>
      <c r="Z51" s="10">
        <f>4*$E$4/8</f>
        <v>2.5</v>
      </c>
      <c r="AA51" s="10">
        <f t="shared" si="0"/>
        <v>19.978333333333339</v>
      </c>
      <c r="AB51" s="10">
        <f t="shared" si="1"/>
        <v>-5.508666666666663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21.491333333333337</v>
      </c>
      <c r="AG51" s="2"/>
      <c r="AH51" s="2"/>
      <c r="AI51" s="2"/>
      <c r="AJ51" s="2"/>
      <c r="AK51" s="2"/>
      <c r="AL51" s="2"/>
      <c r="AM51" s="2"/>
      <c r="AN51" s="22"/>
    </row>
    <row r="52" spans="13:40" x14ac:dyDescent="0.2">
      <c r="V52" s="24"/>
      <c r="W52" s="3"/>
      <c r="X52" s="3"/>
      <c r="Y52" s="2"/>
      <c r="Z52" s="10">
        <f>5*$E$4/8</f>
        <v>3.125</v>
      </c>
      <c r="AA52" s="10">
        <f t="shared" si="0"/>
        <v>14.426041666666677</v>
      </c>
      <c r="AB52" s="10">
        <f t="shared" si="1"/>
        <v>-12.258666666666663</v>
      </c>
      <c r="AC52" s="3"/>
      <c r="AD52" s="10">
        <f t="shared" si="3"/>
        <v>0.625</v>
      </c>
      <c r="AE52" s="10">
        <f t="shared" si="4"/>
        <v>11.322708333333335</v>
      </c>
      <c r="AF52" s="10">
        <f t="shared" si="4"/>
        <v>14.741333333333337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10">
        <f>6*$E$4/8</f>
        <v>3.75</v>
      </c>
      <c r="AA53" s="10">
        <f t="shared" si="0"/>
        <v>4.6550000000000153</v>
      </c>
      <c r="AB53" s="10">
        <f t="shared" si="1"/>
        <v>-19.008666666666663</v>
      </c>
      <c r="AC53" s="3"/>
      <c r="AD53" s="10">
        <f t="shared" si="3"/>
        <v>1.25</v>
      </c>
      <c r="AE53" s="10">
        <f t="shared" si="4"/>
        <v>18.426666666666669</v>
      </c>
      <c r="AF53" s="10">
        <f t="shared" si="4"/>
        <v>7.991333333333337</v>
      </c>
      <c r="AG53" s="2"/>
      <c r="AH53" s="2"/>
      <c r="AI53" s="2"/>
      <c r="AJ53" s="2"/>
      <c r="AK53" s="123" t="s">
        <v>2</v>
      </c>
      <c r="AL53" s="123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10">
        <f>7*$E$4/8</f>
        <v>4.375</v>
      </c>
      <c r="AA54" s="10">
        <f t="shared" si="0"/>
        <v>-9.3347916666666464</v>
      </c>
      <c r="AB54" s="10">
        <f t="shared" si="1"/>
        <v>-25.758666666666663</v>
      </c>
      <c r="AC54" s="2"/>
      <c r="AD54" s="10">
        <f t="shared" si="3"/>
        <v>1.875</v>
      </c>
      <c r="AE54" s="10">
        <f t="shared" si="4"/>
        <v>21.311875000000008</v>
      </c>
      <c r="AF54" s="10">
        <f t="shared" si="4"/>
        <v>1.241333333333337</v>
      </c>
      <c r="AG54" s="2"/>
      <c r="AH54" s="2"/>
      <c r="AI54" s="2"/>
      <c r="AJ54" s="2"/>
      <c r="AK54" s="8">
        <v>0</v>
      </c>
      <c r="AL54" s="123">
        <v>0</v>
      </c>
      <c r="AM54" s="2"/>
      <c r="AN54" s="22"/>
    </row>
    <row r="55" spans="13:40" x14ac:dyDescent="0.2">
      <c r="M55" s="2"/>
      <c r="N55" s="2"/>
      <c r="V55" s="24"/>
      <c r="W55" s="3"/>
      <c r="X55" s="3"/>
      <c r="Y55" s="2"/>
      <c r="Z55" s="10">
        <f>8*$E$4/8</f>
        <v>5</v>
      </c>
      <c r="AA55" s="10">
        <f t="shared" si="0"/>
        <v>-27.543333333333322</v>
      </c>
      <c r="AB55" s="10">
        <f t="shared" si="1"/>
        <v>-32.508666666666663</v>
      </c>
      <c r="AC55" s="2"/>
      <c r="AD55" s="10">
        <f t="shared" si="3"/>
        <v>2.5</v>
      </c>
      <c r="AE55" s="10">
        <f t="shared" si="4"/>
        <v>19.978333333333339</v>
      </c>
      <c r="AF55" s="10">
        <f t="shared" si="4"/>
        <v>-5.508666666666663</v>
      </c>
      <c r="AG55" s="2"/>
      <c r="AH55" s="2"/>
      <c r="AI55" s="2"/>
      <c r="AJ55" s="2"/>
      <c r="AK55" s="8">
        <f>D4</f>
        <v>0</v>
      </c>
      <c r="AL55" s="123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14.426041666666677</v>
      </c>
      <c r="AF56" s="10">
        <f t="shared" si="4"/>
        <v>-12.258666666666663</v>
      </c>
      <c r="AG56" s="2"/>
      <c r="AH56" s="2"/>
      <c r="AI56" s="2"/>
      <c r="AJ56" s="2"/>
      <c r="AK56" s="8">
        <f>AK55+E4</f>
        <v>5</v>
      </c>
      <c r="AL56" s="123">
        <v>0</v>
      </c>
      <c r="AM56" s="2"/>
      <c r="AN56" s="22"/>
    </row>
    <row r="57" spans="13:40" x14ac:dyDescent="0.2">
      <c r="V57" s="23" t="s">
        <v>84</v>
      </c>
      <c r="W57" s="2"/>
      <c r="X57" s="2"/>
      <c r="Y57" s="2"/>
      <c r="Z57" s="2" t="s">
        <v>69</v>
      </c>
      <c r="AA57" s="2"/>
      <c r="AB57" s="2"/>
      <c r="AC57" s="2"/>
      <c r="AD57" s="10">
        <f t="shared" si="3"/>
        <v>3.75</v>
      </c>
      <c r="AE57" s="10">
        <f t="shared" si="4"/>
        <v>4.6550000000000153</v>
      </c>
      <c r="AF57" s="10">
        <f t="shared" si="4"/>
        <v>-19.008666666666663</v>
      </c>
      <c r="AG57" s="2"/>
      <c r="AH57" s="2"/>
      <c r="AI57" s="2"/>
      <c r="AJ57" s="2"/>
      <c r="AK57" s="8">
        <f>AK56+F4</f>
        <v>9</v>
      </c>
      <c r="AL57" s="123">
        <v>0</v>
      </c>
      <c r="AM57" s="2"/>
      <c r="AN57" s="22"/>
    </row>
    <row r="58" spans="13:40" x14ac:dyDescent="0.2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-9.3347916666666464</v>
      </c>
      <c r="AF58" s="10">
        <f t="shared" si="4"/>
        <v>-25.758666666666663</v>
      </c>
      <c r="AG58" s="2"/>
      <c r="AH58" s="2"/>
      <c r="AI58" s="2"/>
      <c r="AJ58" s="2"/>
      <c r="AK58" s="8">
        <f>AK57+G4</f>
        <v>10.1</v>
      </c>
      <c r="AL58" s="123">
        <v>0</v>
      </c>
      <c r="AM58" s="2"/>
      <c r="AN58" s="22"/>
    </row>
    <row r="59" spans="13:40" x14ac:dyDescent="0.2">
      <c r="V59" s="139">
        <v>0</v>
      </c>
      <c r="W59" s="140">
        <f t="shared" ref="W59:W67" si="5">-$W$21-$F$7*V59^2/2+$Y$28*V59</f>
        <v>-27.543333333333329</v>
      </c>
      <c r="X59" s="140">
        <f t="shared" ref="X59:X67" si="6">-$F$7*V59+$Y$28</f>
        <v>27.578333333333333</v>
      </c>
      <c r="Y59" s="2"/>
      <c r="Z59" s="8">
        <v>0</v>
      </c>
      <c r="AA59" s="8">
        <f>-$G$7*Z59^2/2-$Z$22+$AA$28*Z59</f>
        <v>-3.6300000000000008</v>
      </c>
      <c r="AB59" s="8">
        <f>$AA$28-$G$7*Z59</f>
        <v>6.6000000000000005</v>
      </c>
      <c r="AC59" s="2"/>
      <c r="AD59" s="10">
        <f t="shared" si="3"/>
        <v>5</v>
      </c>
      <c r="AE59" s="10">
        <f t="shared" si="4"/>
        <v>-27.543333333333322</v>
      </c>
      <c r="AF59" s="10">
        <f t="shared" si="4"/>
        <v>-32.508666666666663</v>
      </c>
      <c r="AG59" s="2"/>
      <c r="AH59" s="2"/>
      <c r="AI59" s="2"/>
      <c r="AJ59" s="2"/>
      <c r="AK59" s="11"/>
      <c r="AL59" s="3"/>
      <c r="AM59" s="2"/>
      <c r="AN59" s="22"/>
    </row>
    <row r="60" spans="13:40" x14ac:dyDescent="0.2">
      <c r="V60" s="139">
        <f>$F$4/8</f>
        <v>0.5</v>
      </c>
      <c r="W60" s="140">
        <f t="shared" si="5"/>
        <v>-15.104166666666664</v>
      </c>
      <c r="X60" s="140">
        <f t="shared" si="6"/>
        <v>22.178333333333335</v>
      </c>
      <c r="Y60" s="2"/>
      <c r="Z60" s="8">
        <f>$G$4/3</f>
        <v>0.3666666666666667</v>
      </c>
      <c r="AA60" s="8">
        <f>-$G$7*Z60^2/2-$Z$22+$AA$28*Z60</f>
        <v>-1.6133333333333337</v>
      </c>
      <c r="AB60" s="8">
        <f>$AA$28-$G$7*Z60</f>
        <v>4.4000000000000004</v>
      </c>
      <c r="AC60" s="2"/>
      <c r="AD60" s="140">
        <f t="shared" ref="AD60:AD68" si="7">$AD$59+V59</f>
        <v>5</v>
      </c>
      <c r="AE60" s="140">
        <f t="shared" ref="AE60:AF68" si="8">W59</f>
        <v>-27.543333333333329</v>
      </c>
      <c r="AF60" s="140">
        <f t="shared" si="8"/>
        <v>27.578333333333333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">
      <c r="V61" s="139">
        <f>2*$F$4/8</f>
        <v>1</v>
      </c>
      <c r="W61" s="140">
        <f t="shared" si="5"/>
        <v>-5.3649999999999949</v>
      </c>
      <c r="X61" s="140">
        <f t="shared" si="6"/>
        <v>16.778333333333332</v>
      </c>
      <c r="Y61" s="2"/>
      <c r="Z61" s="8">
        <f>2*$G$4/3</f>
        <v>0.73333333333333339</v>
      </c>
      <c r="AA61" s="8">
        <f>-$G$7*Z61^2/2-$Z$22+$AA$28*Z61</f>
        <v>-0.40333333333333332</v>
      </c>
      <c r="AB61" s="8">
        <f>$AA$28-$G$7*Z61</f>
        <v>2.2000000000000002</v>
      </c>
      <c r="AC61" s="2"/>
      <c r="AD61" s="140">
        <f t="shared" si="7"/>
        <v>5.5</v>
      </c>
      <c r="AE61" s="140">
        <f t="shared" si="8"/>
        <v>-15.104166666666664</v>
      </c>
      <c r="AF61" s="140">
        <f t="shared" si="8"/>
        <v>22.178333333333335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3*$F$4/8</f>
        <v>1.5</v>
      </c>
      <c r="W62" s="140">
        <f t="shared" si="5"/>
        <v>1.6741666666666717</v>
      </c>
      <c r="X62" s="140">
        <f t="shared" si="6"/>
        <v>11.37833333333333</v>
      </c>
      <c r="Y62" s="2"/>
      <c r="Z62" s="8">
        <f>3*$G$4/3</f>
        <v>1.1000000000000001</v>
      </c>
      <c r="AA62" s="8">
        <f>-$G$7*Z62^2/2-$Z$22+$AA$28*Z62</f>
        <v>0</v>
      </c>
      <c r="AB62" s="8">
        <f>$AA$28-$G$7*Z62</f>
        <v>0</v>
      </c>
      <c r="AC62" s="2"/>
      <c r="AD62" s="140">
        <f t="shared" si="7"/>
        <v>6</v>
      </c>
      <c r="AE62" s="140">
        <f t="shared" si="8"/>
        <v>-5.3649999999999949</v>
      </c>
      <c r="AF62" s="140">
        <f t="shared" si="8"/>
        <v>16.778333333333332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4*$F$4/8</f>
        <v>2</v>
      </c>
      <c r="W63" s="140">
        <f t="shared" si="5"/>
        <v>6.0133333333333354</v>
      </c>
      <c r="X63" s="140">
        <f t="shared" si="6"/>
        <v>5.9783333333333317</v>
      </c>
      <c r="Y63" s="2"/>
      <c r="Z63" s="2"/>
      <c r="AA63" s="2"/>
      <c r="AB63" s="2"/>
      <c r="AC63" s="2"/>
      <c r="AD63" s="140">
        <f t="shared" si="7"/>
        <v>6.5</v>
      </c>
      <c r="AE63" s="140">
        <f t="shared" si="8"/>
        <v>1.6741666666666717</v>
      </c>
      <c r="AF63" s="140">
        <f t="shared" si="8"/>
        <v>11.37833333333333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5*$F$4/8</f>
        <v>2.5</v>
      </c>
      <c r="W64" s="140">
        <f t="shared" si="5"/>
        <v>7.6524999999999963</v>
      </c>
      <c r="X64" s="140">
        <f t="shared" si="6"/>
        <v>0.57833333333333314</v>
      </c>
      <c r="Y64" s="2"/>
      <c r="Z64" s="15"/>
      <c r="AA64" s="15"/>
      <c r="AB64" s="15"/>
      <c r="AC64" s="2"/>
      <c r="AD64" s="140">
        <f t="shared" si="7"/>
        <v>7</v>
      </c>
      <c r="AE64" s="140">
        <f t="shared" si="8"/>
        <v>6.0133333333333354</v>
      </c>
      <c r="AF64" s="140">
        <f t="shared" si="8"/>
        <v>5.9783333333333317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6*$F$4/8</f>
        <v>3</v>
      </c>
      <c r="W65" s="140">
        <f t="shared" si="5"/>
        <v>6.5916666666666686</v>
      </c>
      <c r="X65" s="140">
        <f t="shared" si="6"/>
        <v>-4.8216666666666725</v>
      </c>
      <c r="Y65" s="2"/>
      <c r="Z65" s="15"/>
      <c r="AA65" s="15"/>
      <c r="AB65" s="15"/>
      <c r="AC65" s="2"/>
      <c r="AD65" s="140">
        <f t="shared" si="7"/>
        <v>7.5</v>
      </c>
      <c r="AE65" s="140">
        <f t="shared" si="8"/>
        <v>7.6524999999999963</v>
      </c>
      <c r="AF65" s="140">
        <f t="shared" si="8"/>
        <v>0.57833333333333314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7*$F$4/8</f>
        <v>3.5</v>
      </c>
      <c r="W66" s="140">
        <f t="shared" si="5"/>
        <v>2.8308333333333451</v>
      </c>
      <c r="X66" s="140">
        <f t="shared" si="6"/>
        <v>-10.221666666666671</v>
      </c>
      <c r="Y66" s="2"/>
      <c r="Z66" s="15"/>
      <c r="AA66" s="15"/>
      <c r="AB66" s="15"/>
      <c r="AC66" s="2"/>
      <c r="AD66" s="140">
        <f t="shared" si="7"/>
        <v>8</v>
      </c>
      <c r="AE66" s="140">
        <f t="shared" si="8"/>
        <v>6.5916666666666686</v>
      </c>
      <c r="AF66" s="140">
        <f t="shared" si="8"/>
        <v>-4.8216666666666725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">
      <c r="V67" s="139">
        <f>8*$F$4/8</f>
        <v>4</v>
      </c>
      <c r="W67" s="140">
        <f t="shared" si="5"/>
        <v>-3.6299999999999955</v>
      </c>
      <c r="X67" s="140">
        <f t="shared" si="6"/>
        <v>-15.62166666666667</v>
      </c>
      <c r="Y67" s="2"/>
      <c r="Z67" s="15"/>
      <c r="AA67" s="15"/>
      <c r="AB67" s="15"/>
      <c r="AC67" s="2"/>
      <c r="AD67" s="140">
        <f t="shared" si="7"/>
        <v>8.5</v>
      </c>
      <c r="AE67" s="140">
        <f t="shared" si="8"/>
        <v>2.8308333333333451</v>
      </c>
      <c r="AF67" s="140">
        <f t="shared" si="8"/>
        <v>-10.221666666666671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">
      <c r="V68" s="23"/>
      <c r="W68" s="2"/>
      <c r="X68" s="2"/>
      <c r="Y68" s="2"/>
      <c r="Z68" s="2"/>
      <c r="AA68" s="2"/>
      <c r="AB68" s="2"/>
      <c r="AC68" s="2"/>
      <c r="AD68" s="140">
        <f t="shared" si="7"/>
        <v>9</v>
      </c>
      <c r="AE68" s="140">
        <f t="shared" si="8"/>
        <v>-3.6299999999999955</v>
      </c>
      <c r="AF68" s="140">
        <f t="shared" si="8"/>
        <v>-15.62166666666667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8">
        <f>$AD$68+Z59</f>
        <v>9</v>
      </c>
      <c r="AE69" s="8">
        <f t="shared" ref="AE69:AF72" si="9">AA59</f>
        <v>-3.6300000000000008</v>
      </c>
      <c r="AF69" s="8">
        <f t="shared" si="9"/>
        <v>6.6000000000000005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">
      <c r="V70" s="23"/>
      <c r="W70" s="2"/>
      <c r="X70" s="2"/>
      <c r="Y70" s="2"/>
      <c r="Z70" s="2"/>
      <c r="AA70" s="2"/>
      <c r="AB70" s="2"/>
      <c r="AC70" s="2"/>
      <c r="AD70" s="8">
        <f t="shared" ref="AD70:AD72" si="10">$AD$68+Z60</f>
        <v>9.3666666666666671</v>
      </c>
      <c r="AE70" s="8">
        <f t="shared" si="9"/>
        <v>-1.6133333333333337</v>
      </c>
      <c r="AF70" s="8">
        <f t="shared" si="9"/>
        <v>4.4000000000000004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49"/>
      <c r="W71" s="5"/>
      <c r="X71" s="3"/>
      <c r="Y71" s="2"/>
      <c r="Z71" s="2"/>
      <c r="AA71" s="2"/>
      <c r="AB71" s="2"/>
      <c r="AC71" s="2"/>
      <c r="AD71" s="8">
        <f t="shared" si="10"/>
        <v>9.7333333333333343</v>
      </c>
      <c r="AE71" s="8">
        <f t="shared" si="9"/>
        <v>-0.40333333333333332</v>
      </c>
      <c r="AF71" s="8">
        <f t="shared" si="9"/>
        <v>2.2000000000000002</v>
      </c>
      <c r="AG71" s="2"/>
      <c r="AH71" s="2"/>
      <c r="AI71" s="2"/>
      <c r="AJ71" s="2"/>
      <c r="AK71" s="2"/>
      <c r="AL71" s="2"/>
      <c r="AM71" s="2"/>
      <c r="AN71" s="22"/>
    </row>
    <row r="72" spans="22:40" ht="12.75" thickBot="1" x14ac:dyDescent="0.25">
      <c r="V72" s="141"/>
      <c r="W72" s="142"/>
      <c r="X72" s="142"/>
      <c r="Y72" s="27"/>
      <c r="Z72" s="27"/>
      <c r="AA72" s="27"/>
      <c r="AB72" s="27"/>
      <c r="AC72" s="27"/>
      <c r="AD72" s="143">
        <f t="shared" si="10"/>
        <v>10.1</v>
      </c>
      <c r="AE72" s="143">
        <f t="shared" si="9"/>
        <v>0</v>
      </c>
      <c r="AF72" s="143">
        <f t="shared" si="9"/>
        <v>0</v>
      </c>
      <c r="AG72" s="27"/>
      <c r="AH72" s="27"/>
      <c r="AI72" s="27"/>
      <c r="AJ72" s="27"/>
      <c r="AK72" s="27"/>
      <c r="AL72" s="27"/>
      <c r="AM72" s="27"/>
      <c r="AN72" s="28"/>
    </row>
    <row r="73" spans="22:40" ht="12.75" thickTop="1" x14ac:dyDescent="0.2">
      <c r="V73" s="55"/>
      <c r="W73" s="114"/>
      <c r="X73" s="114"/>
      <c r="Y73" s="19"/>
      <c r="Z73" s="19"/>
      <c r="AA73" s="19"/>
      <c r="AB73" s="19"/>
      <c r="AC73" s="19"/>
      <c r="AD73" s="114"/>
      <c r="AE73" s="114"/>
      <c r="AF73" s="114"/>
      <c r="AG73" s="19"/>
      <c r="AH73" s="19"/>
      <c r="AI73" s="19"/>
      <c r="AJ73" s="19"/>
      <c r="AK73" s="19"/>
      <c r="AL73" s="19"/>
      <c r="AM73" s="19"/>
      <c r="AN73" s="19"/>
    </row>
    <row r="74" spans="22:40" x14ac:dyDescent="0.2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22:40" x14ac:dyDescent="0.2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22:40" x14ac:dyDescent="0.2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22:40" x14ac:dyDescent="0.2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22:40" x14ac:dyDescent="0.2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22:40" x14ac:dyDescent="0.2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22:40" x14ac:dyDescent="0.2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oglio13"/>
  <dimension ref="A1:AT100"/>
  <sheetViews>
    <sheetView topLeftCell="A7" zoomScale="85" zoomScaleNormal="85" workbookViewId="0">
      <selection activeCell="I19" sqref="I19"/>
    </sheetView>
  </sheetViews>
  <sheetFormatPr defaultColWidth="9.140625" defaultRowHeight="12" x14ac:dyDescent="0.2"/>
  <cols>
    <col min="1" max="16384" width="9.140625" style="1"/>
  </cols>
  <sheetData>
    <row r="1" spans="1:40" ht="15.75" customHeight="1" thickBot="1" x14ac:dyDescent="0.25">
      <c r="A1" s="334" t="s">
        <v>28</v>
      </c>
      <c r="B1" s="334"/>
      <c r="C1" s="334"/>
      <c r="D1" s="334"/>
      <c r="E1" s="334"/>
      <c r="F1" s="334"/>
      <c r="G1" s="334"/>
      <c r="H1" s="334"/>
      <c r="I1" s="334"/>
      <c r="J1" s="334"/>
      <c r="K1" s="2"/>
    </row>
    <row r="2" spans="1:40" ht="12.75" thickTop="1" x14ac:dyDescent="0.2">
      <c r="E2" s="12"/>
    </row>
    <row r="3" spans="1:40" ht="13.5" x14ac:dyDescent="0.25">
      <c r="B3" s="12" t="s">
        <v>29</v>
      </c>
      <c r="D3" s="13" t="s">
        <v>32</v>
      </c>
      <c r="E3" s="13" t="s">
        <v>33</v>
      </c>
      <c r="F3" s="13" t="s">
        <v>70</v>
      </c>
      <c r="G3" s="13" t="s">
        <v>34</v>
      </c>
    </row>
    <row r="4" spans="1:40" x14ac:dyDescent="0.2">
      <c r="D4" s="14">
        <f>'CC-Trave'!E15</f>
        <v>0</v>
      </c>
      <c r="E4" s="14">
        <f>'CC-Trave'!F15</f>
        <v>5</v>
      </c>
      <c r="F4" s="14">
        <f>'CC-Trave'!G15</f>
        <v>4</v>
      </c>
      <c r="G4" s="14">
        <f>'CC-Trave'!H15</f>
        <v>1.1000000000000001</v>
      </c>
    </row>
    <row r="6" spans="1:40" ht="13.5" x14ac:dyDescent="0.25">
      <c r="B6" s="12" t="s">
        <v>41</v>
      </c>
      <c r="D6" s="13" t="s">
        <v>35</v>
      </c>
      <c r="E6" s="13" t="s">
        <v>36</v>
      </c>
      <c r="F6" s="13" t="s">
        <v>71</v>
      </c>
      <c r="G6" s="13" t="s">
        <v>37</v>
      </c>
    </row>
    <row r="7" spans="1:40" x14ac:dyDescent="0.2">
      <c r="C7" s="1" t="s">
        <v>42</v>
      </c>
      <c r="D7" s="14">
        <f>'CC-Trave'!E29</f>
        <v>0</v>
      </c>
      <c r="E7" s="14">
        <f>'CC-Trave'!F29</f>
        <v>6</v>
      </c>
      <c r="F7" s="14">
        <f>'CC-Trave'!G29</f>
        <v>10.8</v>
      </c>
      <c r="G7" s="14">
        <f>'CC-Trave'!H29</f>
        <v>10.8</v>
      </c>
    </row>
    <row r="8" spans="1:40" x14ac:dyDescent="0.2">
      <c r="D8" s="14"/>
      <c r="E8" s="14"/>
      <c r="F8" s="14"/>
      <c r="G8" s="14"/>
      <c r="H8" s="15"/>
    </row>
    <row r="9" spans="1:40" x14ac:dyDescent="0.2">
      <c r="D9" s="14"/>
      <c r="E9" s="14"/>
      <c r="F9" s="14"/>
      <c r="G9" s="14"/>
      <c r="H9" s="15"/>
    </row>
    <row r="10" spans="1:40" x14ac:dyDescent="0.2">
      <c r="D10" s="14"/>
      <c r="E10" s="14"/>
      <c r="F10" s="14"/>
      <c r="G10" s="14"/>
      <c r="H10" s="15"/>
    </row>
    <row r="11" spans="1:40" x14ac:dyDescent="0.2">
      <c r="D11" s="14"/>
      <c r="E11" s="14"/>
      <c r="F11" s="14"/>
      <c r="G11" s="14"/>
      <c r="H11" s="15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45" t="s">
        <v>31</v>
      </c>
      <c r="B15" s="345"/>
      <c r="C15" s="345"/>
      <c r="D15" s="345"/>
      <c r="E15" s="345"/>
      <c r="F15" s="345"/>
      <c r="G15" s="345"/>
      <c r="H15" s="345"/>
      <c r="I15" s="345"/>
      <c r="J15" s="345"/>
    </row>
    <row r="16" spans="1:40" ht="12.75" thickTop="1" x14ac:dyDescent="0.2">
      <c r="V16" s="54"/>
      <c r="W16" s="55"/>
      <c r="X16" s="55"/>
      <c r="Y16" s="19"/>
      <c r="Z16" s="20"/>
      <c r="AA16" s="20"/>
      <c r="AB16" s="20"/>
      <c r="AC16" s="19"/>
      <c r="AD16" s="19"/>
      <c r="AE16" s="56"/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3.5" x14ac:dyDescent="0.2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49"/>
      <c r="W17" s="5"/>
      <c r="X17" s="5"/>
      <c r="Y17" s="2"/>
      <c r="Z17" s="3"/>
      <c r="AA17" s="3"/>
      <c r="AB17" s="3"/>
      <c r="AC17" s="2"/>
      <c r="AD17" s="2"/>
      <c r="AE17" s="44"/>
      <c r="AF17" s="2"/>
      <c r="AG17" s="2"/>
      <c r="AH17" s="123">
        <v>0</v>
      </c>
      <c r="AI17" s="123">
        <f>5+MAX('CC-car.3'!AI17:AI42)</f>
        <v>57.400000000000006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'CC-Trave'!B77</f>
        <v>1</v>
      </c>
      <c r="C18" s="16">
        <f>'CC-Trave'!C77</f>
        <v>3.1250000000000002E-3</v>
      </c>
      <c r="D18" s="16">
        <f>B18*C18</f>
        <v>3.1250000000000002E-3</v>
      </c>
      <c r="G18" s="16">
        <f>'CC-Trave'!G77</f>
        <v>1</v>
      </c>
      <c r="H18" s="16">
        <f>'CC-Trave'!H77</f>
        <v>3.1250000000000002E-3</v>
      </c>
      <c r="I18" s="16">
        <f>G18*H18</f>
        <v>3.1250000000000002E-3</v>
      </c>
      <c r="V18" s="49"/>
      <c r="W18" s="3"/>
      <c r="X18" s="5"/>
      <c r="Y18" s="2"/>
      <c r="Z18" s="3"/>
      <c r="AA18" s="3"/>
      <c r="AB18" s="3"/>
      <c r="AC18" s="2"/>
      <c r="AD18" s="2"/>
      <c r="AE18" s="3"/>
      <c r="AF18" s="2"/>
      <c r="AG18" s="2"/>
      <c r="AH18" s="123">
        <f>D4</f>
        <v>0</v>
      </c>
      <c r="AI18" s="123">
        <f>AI17</f>
        <v>57.400000000000006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123">
        <f>AH18</f>
        <v>0</v>
      </c>
      <c r="AI19" s="123">
        <f>AI18+D7</f>
        <v>57.400000000000006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x14ac:dyDescent="0.2">
      <c r="A20" s="17"/>
      <c r="B20" s="3"/>
      <c r="C20" s="3"/>
      <c r="D20" s="3"/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57.400000000000006</v>
      </c>
      <c r="AJ20" s="2"/>
      <c r="AK20" s="8">
        <f>AK19</f>
        <v>5</v>
      </c>
      <c r="AL20" s="8">
        <f>AE59</f>
        <v>-18.56466666666666</v>
      </c>
      <c r="AM20" s="2"/>
      <c r="AN20" s="22"/>
    </row>
    <row r="21" spans="1:46" s="46" customFormat="1" x14ac:dyDescent="0.2">
      <c r="A21" s="1"/>
      <c r="B21" s="3"/>
      <c r="C21" s="3"/>
      <c r="D21" s="3"/>
      <c r="F21" s="3"/>
      <c r="G21" s="3"/>
      <c r="H21" s="3"/>
      <c r="I21" s="3"/>
      <c r="V21" s="24" t="s">
        <v>7</v>
      </c>
      <c r="W21" s="8">
        <f>-3*AB22/(E4/D18+F4/I18)</f>
        <v>18.564666666666664</v>
      </c>
      <c r="X21" s="2"/>
      <c r="Y21" s="123" t="s">
        <v>12</v>
      </c>
      <c r="Z21" s="123">
        <f>D7*D4^2/2</f>
        <v>0</v>
      </c>
      <c r="AA21" s="2"/>
      <c r="AB21" s="123" t="s">
        <v>79</v>
      </c>
      <c r="AC21" s="3"/>
      <c r="AD21" s="3"/>
      <c r="AE21" s="2"/>
      <c r="AF21" s="2"/>
      <c r="AG21" s="2"/>
      <c r="AH21" s="123">
        <v>0</v>
      </c>
      <c r="AI21" s="123">
        <f>AI17</f>
        <v>57.400000000000006</v>
      </c>
      <c r="AJ21" s="2"/>
      <c r="AK21" s="8">
        <f>AK57</f>
        <v>9</v>
      </c>
      <c r="AL21" s="8">
        <v>0</v>
      </c>
      <c r="AM21" s="2"/>
      <c r="AN21" s="22"/>
    </row>
    <row r="22" spans="1:46" x14ac:dyDescent="0.2">
      <c r="V22" s="24"/>
      <c r="W22" s="11"/>
      <c r="X22" s="2"/>
      <c r="Y22" s="123" t="s">
        <v>80</v>
      </c>
      <c r="Z22" s="123">
        <f>G7*G4^2/2</f>
        <v>6.5340000000000016</v>
      </c>
      <c r="AA22" s="2"/>
      <c r="AB22" s="124">
        <f>Z21*E4/(6*D18)+Z22*F4/(6*I18)-E7*E4^3/(24*D18)-F7*F4^3/(24*I18)</f>
        <v>-17822.079999999998</v>
      </c>
      <c r="AC22" s="44"/>
      <c r="AD22" s="44"/>
      <c r="AE22" s="2"/>
      <c r="AF22" s="2"/>
      <c r="AG22" s="2"/>
      <c r="AH22" s="2"/>
      <c r="AI22" s="2"/>
      <c r="AJ22" s="2"/>
      <c r="AK22" s="8">
        <f>AK21</f>
        <v>9</v>
      </c>
      <c r="AL22" s="8">
        <f>AE68</f>
        <v>-6.534000000000006</v>
      </c>
      <c r="AM22" s="2"/>
      <c r="AN22" s="22"/>
    </row>
    <row r="23" spans="1:46" x14ac:dyDescent="0.2">
      <c r="V23" s="24"/>
      <c r="W23" s="3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11"/>
      <c r="AL23" s="11"/>
      <c r="AM23" s="2"/>
      <c r="AN23" s="22"/>
    </row>
    <row r="24" spans="1:46" x14ac:dyDescent="0.2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D4</f>
        <v>0</v>
      </c>
      <c r="AI24" s="123">
        <f>AI17</f>
        <v>57.400000000000006</v>
      </c>
      <c r="AJ24" s="2"/>
      <c r="AK24" s="11"/>
      <c r="AL24" s="11"/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57.400000000000006</v>
      </c>
      <c r="AJ25" s="2"/>
      <c r="AK25" s="11"/>
      <c r="AL25" s="11"/>
      <c r="AM25" s="2"/>
      <c r="AN25" s="22"/>
    </row>
    <row r="26" spans="1:46" x14ac:dyDescent="0.2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AI25+E7</f>
        <v>63.400000000000006</v>
      </c>
      <c r="AJ26" s="3"/>
      <c r="AK26" s="11"/>
      <c r="AL26" s="11"/>
      <c r="AM26" s="2"/>
      <c r="AN26" s="22"/>
    </row>
    <row r="27" spans="1:46" x14ac:dyDescent="0.2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3"/>
      <c r="AC27" s="3"/>
      <c r="AD27" s="3"/>
      <c r="AE27" s="3"/>
      <c r="AF27" s="3"/>
      <c r="AG27" s="3"/>
      <c r="AH27" s="123">
        <f>AH24</f>
        <v>0</v>
      </c>
      <c r="AI27" s="123">
        <f>AI26</f>
        <v>63.400000000000006</v>
      </c>
      <c r="AJ27" s="3"/>
      <c r="AK27" s="11"/>
      <c r="AL27" s="11"/>
      <c r="AM27" s="2"/>
      <c r="AN27" s="22"/>
    </row>
    <row r="28" spans="1:46" x14ac:dyDescent="0.2">
      <c r="V28" s="126">
        <f>D7*D4</f>
        <v>0</v>
      </c>
      <c r="W28" s="8">
        <f>E7*E4-X28</f>
        <v>11.287066666666668</v>
      </c>
      <c r="X28" s="8">
        <f>(W21-Z21+E7*E4^2/2)/E4</f>
        <v>18.712933333333332</v>
      </c>
      <c r="Y28" s="8">
        <f>F7*F4-Z28</f>
        <v>24.607666666666667</v>
      </c>
      <c r="Z28" s="8">
        <f>(Z22-W21+F7*F4^2/2)/F4</f>
        <v>18.592333333333336</v>
      </c>
      <c r="AA28" s="8">
        <f>G7*G4</f>
        <v>11.880000000000003</v>
      </c>
      <c r="AB28" s="11"/>
      <c r="AC28" s="11"/>
      <c r="AD28" s="11"/>
      <c r="AE28" s="11"/>
      <c r="AF28" s="3"/>
      <c r="AG28" s="3"/>
      <c r="AH28" s="123">
        <f>AH24</f>
        <v>0</v>
      </c>
      <c r="AI28" s="123">
        <f>AI24</f>
        <v>57.400000000000006</v>
      </c>
      <c r="AJ28" s="3"/>
      <c r="AK28" s="11"/>
      <c r="AL28" s="11"/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">
      <c r="V31" s="23"/>
      <c r="W31" s="2"/>
      <c r="X31" s="123" t="s">
        <v>0</v>
      </c>
      <c r="Y31" s="123" t="s">
        <v>1</v>
      </c>
      <c r="Z31" s="123" t="s">
        <v>78</v>
      </c>
      <c r="AA31" s="3"/>
      <c r="AB31" s="3"/>
      <c r="AC31" s="2"/>
      <c r="AD31" s="2"/>
      <c r="AE31" s="2"/>
      <c r="AF31" s="2"/>
      <c r="AG31" s="2"/>
      <c r="AH31" s="8">
        <f>AK56</f>
        <v>5</v>
      </c>
      <c r="AI31" s="123">
        <f>AI17</f>
        <v>57.400000000000006</v>
      </c>
      <c r="AJ31" s="2"/>
      <c r="AK31" s="2" t="s">
        <v>21</v>
      </c>
      <c r="AL31" s="2"/>
      <c r="AM31" s="2"/>
      <c r="AN31" s="22"/>
    </row>
    <row r="32" spans="1:46" x14ac:dyDescent="0.2">
      <c r="V32" s="23"/>
      <c r="W32" s="2"/>
      <c r="X32" s="8">
        <f>V28+W28</f>
        <v>11.287066666666668</v>
      </c>
      <c r="Y32" s="8">
        <f>X28+Y28</f>
        <v>43.320599999999999</v>
      </c>
      <c r="Z32" s="8">
        <f>Z28+AA28</f>
        <v>30.472333333333339</v>
      </c>
      <c r="AA32" s="11"/>
      <c r="AB32" s="11"/>
      <c r="AC32" s="2"/>
      <c r="AD32" s="2"/>
      <c r="AE32" s="2"/>
      <c r="AF32" s="2"/>
      <c r="AG32" s="2"/>
      <c r="AH32" s="8">
        <f>AK57</f>
        <v>9</v>
      </c>
      <c r="AI32" s="123">
        <f>AI31</f>
        <v>57.400000000000006</v>
      </c>
      <c r="AJ32" s="2"/>
      <c r="AK32" s="123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9</v>
      </c>
      <c r="AI33" s="123">
        <f>AI32+F7</f>
        <v>68.2</v>
      </c>
      <c r="AJ33" s="2"/>
      <c r="AK33" s="128" t="s">
        <v>23</v>
      </c>
      <c r="AL33" s="8">
        <f>W28/E7</f>
        <v>1.8811777777777781</v>
      </c>
      <c r="AM33" s="8">
        <f>D4+AL33</f>
        <v>1.8811777777777781</v>
      </c>
      <c r="AN33" s="129">
        <f>W28*AL33-E7*AL33^2/2-Z21</f>
        <v>10.616489494814818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68.2</v>
      </c>
      <c r="AJ34" s="2"/>
      <c r="AK34" s="130" t="s">
        <v>82</v>
      </c>
      <c r="AL34" s="8">
        <f>Y28/F7</f>
        <v>2.2784876543209873</v>
      </c>
      <c r="AM34" s="8">
        <f>D4+E4+AL34</f>
        <v>7.2784876543209869</v>
      </c>
      <c r="AN34" s="129">
        <f>Y28*AL34-F7*AL34^2/2-W21</f>
        <v>9.4694656841563756</v>
      </c>
    </row>
    <row r="35" spans="22:40" x14ac:dyDescent="0.2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57.400000000000006</v>
      </c>
      <c r="AJ35" s="2"/>
      <c r="AK35" s="48"/>
      <c r="AL35" s="11"/>
      <c r="AM35" s="11"/>
      <c r="AN35" s="50"/>
    </row>
    <row r="36" spans="22:40" x14ac:dyDescent="0.2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9</v>
      </c>
      <c r="AC36" s="132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x14ac:dyDescent="0.2">
      <c r="V37" s="131">
        <f>V36</f>
        <v>0</v>
      </c>
      <c r="W37" s="133">
        <f>X32</f>
        <v>11.287066666666668</v>
      </c>
      <c r="X37" s="2"/>
      <c r="Y37" s="133">
        <f>Y36</f>
        <v>5</v>
      </c>
      <c r="Z37" s="133">
        <f>Y32</f>
        <v>43.320599999999999</v>
      </c>
      <c r="AA37" s="2"/>
      <c r="AB37" s="133">
        <f>AB36</f>
        <v>9</v>
      </c>
      <c r="AC37" s="133">
        <f>Z32</f>
        <v>30.472333333333339</v>
      </c>
      <c r="AD37" s="2"/>
      <c r="AE37" s="2"/>
      <c r="AF37" s="2"/>
      <c r="AG37" s="2"/>
      <c r="AH37" s="3" t="s">
        <v>18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9</v>
      </c>
      <c r="AI38" s="123">
        <f>AI17</f>
        <v>57.400000000000006</v>
      </c>
      <c r="AJ38" s="3"/>
      <c r="AK38" s="3"/>
      <c r="AL38" s="3"/>
      <c r="AM38" s="3"/>
      <c r="AN38" s="25"/>
    </row>
    <row r="39" spans="22:40" x14ac:dyDescent="0.2">
      <c r="V39" s="23"/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8">
        <f>AK58</f>
        <v>10.1</v>
      </c>
      <c r="AI39" s="123">
        <f>AI38</f>
        <v>57.400000000000006</v>
      </c>
      <c r="AJ39" s="3"/>
      <c r="AK39" s="2" t="s">
        <v>27</v>
      </c>
      <c r="AL39" s="2"/>
      <c r="AM39" s="3"/>
      <c r="AN39" s="25"/>
    </row>
    <row r="40" spans="22:40" x14ac:dyDescent="0.2">
      <c r="V40" s="57"/>
      <c r="W40" s="2"/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8">
        <f>AH39</f>
        <v>10.1</v>
      </c>
      <c r="AI40" s="123">
        <f>AI39+G7</f>
        <v>68.2</v>
      </c>
      <c r="AJ40" s="2"/>
      <c r="AK40" s="8">
        <f>AM33</f>
        <v>1.8811777777777781</v>
      </c>
      <c r="AL40" s="123">
        <v>0</v>
      </c>
      <c r="AM40" s="2"/>
      <c r="AN40" s="22"/>
    </row>
    <row r="41" spans="22:40" x14ac:dyDescent="0.2">
      <c r="V41" s="57"/>
      <c r="W41" s="47"/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8">
        <f>AH38</f>
        <v>9</v>
      </c>
      <c r="AI41" s="123">
        <f>AI40</f>
        <v>68.2</v>
      </c>
      <c r="AJ41" s="2"/>
      <c r="AK41" s="8">
        <f>AK40</f>
        <v>1.8811777777777781</v>
      </c>
      <c r="AL41" s="8">
        <f>AN33</f>
        <v>10.616489494814818</v>
      </c>
      <c r="AM41" s="2"/>
      <c r="AN41" s="22"/>
    </row>
    <row r="42" spans="22:40" x14ac:dyDescent="0.2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9</v>
      </c>
      <c r="AI42" s="123">
        <f>AI38</f>
        <v>57.400000000000006</v>
      </c>
      <c r="AJ42" s="2"/>
      <c r="AK42" s="8">
        <f>AM34</f>
        <v>7.2784876543209869</v>
      </c>
      <c r="AL42" s="123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>
        <f>AK42</f>
        <v>7.2784876543209869</v>
      </c>
      <c r="AL43" s="8">
        <f>AN34</f>
        <v>9.4694656841563756</v>
      </c>
      <c r="AM43" s="2"/>
      <c r="AN43" s="22"/>
    </row>
    <row r="44" spans="22:40" x14ac:dyDescent="0.2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11"/>
      <c r="AL44" s="3"/>
      <c r="AM44" s="2"/>
      <c r="AN44" s="22"/>
    </row>
    <row r="45" spans="22:40" x14ac:dyDescent="0.2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2"/>
      <c r="AI45" s="2"/>
      <c r="AJ45" s="2"/>
      <c r="AK45" s="11"/>
      <c r="AL45" s="11"/>
      <c r="AM45" s="2"/>
      <c r="AN45" s="22"/>
    </row>
    <row r="46" spans="22:40" x14ac:dyDescent="0.2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2"/>
      <c r="AI46" s="2"/>
      <c r="AJ46" s="2"/>
      <c r="AK46" s="11"/>
      <c r="AL46" s="3"/>
      <c r="AM46" s="2"/>
      <c r="AN46" s="22"/>
    </row>
    <row r="47" spans="22:40" x14ac:dyDescent="0.2">
      <c r="V47" s="26">
        <v>0</v>
      </c>
      <c r="W47" s="7">
        <f>-$D$7*V47^2/2</f>
        <v>0</v>
      </c>
      <c r="X47" s="7">
        <f>-$D$7*V47</f>
        <v>0</v>
      </c>
      <c r="Y47" s="2"/>
      <c r="Z47" s="10">
        <v>0</v>
      </c>
      <c r="AA47" s="10">
        <f t="shared" ref="AA47:AA55" si="0">-$Z$21-$E$7*Z47^2/2+$W$28*Z47</f>
        <v>0</v>
      </c>
      <c r="AB47" s="10">
        <f t="shared" ref="AB47:AB55" si="1">-$E$7*Z47+$W$28</f>
        <v>11.287066666666668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2"/>
      <c r="AI47" s="2"/>
      <c r="AJ47" s="2"/>
      <c r="AK47" s="11"/>
      <c r="AL47" s="11"/>
      <c r="AM47" s="2"/>
      <c r="AN47" s="22"/>
    </row>
    <row r="48" spans="22:40" x14ac:dyDescent="0.2">
      <c r="V48" s="26">
        <f>$D$4/3</f>
        <v>0</v>
      </c>
      <c r="W48" s="7">
        <f>-$D$7*V48^2/2</f>
        <v>0</v>
      </c>
      <c r="X48" s="7">
        <f>-$D$7*V48</f>
        <v>0</v>
      </c>
      <c r="Y48" s="2"/>
      <c r="Z48" s="10">
        <f>$E$4/8</f>
        <v>0.625</v>
      </c>
      <c r="AA48" s="10">
        <f t="shared" si="0"/>
        <v>5.8825416666666674</v>
      </c>
      <c r="AB48" s="10">
        <f t="shared" si="1"/>
        <v>7.5370666666666679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2"/>
      <c r="AI48" s="2"/>
      <c r="AJ48" s="2"/>
      <c r="AK48" s="2"/>
      <c r="AL48" s="2"/>
      <c r="AM48" s="2"/>
      <c r="AN48" s="22"/>
    </row>
    <row r="49" spans="13:40" x14ac:dyDescent="0.2">
      <c r="V49" s="26">
        <f>2*$D$4/3</f>
        <v>0</v>
      </c>
      <c r="W49" s="7">
        <f>-$D$7*V49^2/2</f>
        <v>0</v>
      </c>
      <c r="X49" s="7">
        <f>-$D$7*V49</f>
        <v>0</v>
      </c>
      <c r="Y49" s="2"/>
      <c r="Z49" s="10">
        <f>2*$E$4/8</f>
        <v>1.25</v>
      </c>
      <c r="AA49" s="10">
        <f t="shared" si="0"/>
        <v>9.4213333333333349</v>
      </c>
      <c r="AB49" s="10">
        <f t="shared" si="1"/>
        <v>3.7870666666666679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2"/>
      <c r="AI49" s="2"/>
      <c r="AJ49" s="2"/>
      <c r="AK49" s="2"/>
      <c r="AL49" s="2"/>
      <c r="AM49" s="2"/>
      <c r="AN49" s="22"/>
    </row>
    <row r="50" spans="13:40" x14ac:dyDescent="0.2">
      <c r="V50" s="26">
        <f>3*$D$4/3</f>
        <v>0</v>
      </c>
      <c r="W50" s="7">
        <f>-$D$7*V50^2/2</f>
        <v>0</v>
      </c>
      <c r="X50" s="7">
        <f>-$D$7*V50</f>
        <v>0</v>
      </c>
      <c r="Y50" s="2"/>
      <c r="Z50" s="10">
        <f>3*$E$4/8</f>
        <v>1.875</v>
      </c>
      <c r="AA50" s="10">
        <f t="shared" si="0"/>
        <v>10.616375000000001</v>
      </c>
      <c r="AB50" s="10">
        <f t="shared" si="1"/>
        <v>3.7066666666667913E-2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24"/>
      <c r="W51" s="3"/>
      <c r="X51" s="3"/>
      <c r="Y51" s="2"/>
      <c r="Z51" s="10">
        <f>4*$E$4/8</f>
        <v>2.5</v>
      </c>
      <c r="AA51" s="10">
        <f t="shared" si="0"/>
        <v>9.4676666666666698</v>
      </c>
      <c r="AB51" s="10">
        <f t="shared" si="1"/>
        <v>-3.7129333333333321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11.287066666666668</v>
      </c>
      <c r="AG51" s="2"/>
      <c r="AH51" s="2"/>
      <c r="AI51" s="2"/>
      <c r="AJ51" s="2"/>
      <c r="AK51" s="2"/>
      <c r="AL51" s="2"/>
      <c r="AM51" s="2"/>
      <c r="AN51" s="22"/>
    </row>
    <row r="52" spans="13:40" x14ac:dyDescent="0.2">
      <c r="V52" s="24"/>
      <c r="W52" s="3"/>
      <c r="X52" s="3"/>
      <c r="Y52" s="2"/>
      <c r="Z52" s="10">
        <f>5*$E$4/8</f>
        <v>3.125</v>
      </c>
      <c r="AA52" s="10">
        <f t="shared" si="0"/>
        <v>5.9752083333333346</v>
      </c>
      <c r="AB52" s="10">
        <f t="shared" si="1"/>
        <v>-7.4629333333333321</v>
      </c>
      <c r="AC52" s="3"/>
      <c r="AD52" s="10">
        <f t="shared" si="3"/>
        <v>0.625</v>
      </c>
      <c r="AE52" s="10">
        <f t="shared" si="4"/>
        <v>5.8825416666666674</v>
      </c>
      <c r="AF52" s="10">
        <f t="shared" si="4"/>
        <v>7.5370666666666679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10">
        <f>6*$E$4/8</f>
        <v>3.75</v>
      </c>
      <c r="AA53" s="10">
        <f t="shared" si="0"/>
        <v>0.1390000000000029</v>
      </c>
      <c r="AB53" s="10">
        <f t="shared" si="1"/>
        <v>-11.212933333333332</v>
      </c>
      <c r="AC53" s="3"/>
      <c r="AD53" s="10">
        <f t="shared" si="3"/>
        <v>1.25</v>
      </c>
      <c r="AE53" s="10">
        <f t="shared" si="4"/>
        <v>9.4213333333333349</v>
      </c>
      <c r="AF53" s="10">
        <f t="shared" si="4"/>
        <v>3.7870666666666679</v>
      </c>
      <c r="AG53" s="2"/>
      <c r="AH53" s="2"/>
      <c r="AI53" s="2"/>
      <c r="AJ53" s="2"/>
      <c r="AK53" s="123" t="s">
        <v>2</v>
      </c>
      <c r="AL53" s="123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10">
        <f>7*$E$4/8</f>
        <v>4.375</v>
      </c>
      <c r="AA54" s="10">
        <f t="shared" si="0"/>
        <v>-8.0409583333333288</v>
      </c>
      <c r="AB54" s="10">
        <f t="shared" si="1"/>
        <v>-14.962933333333332</v>
      </c>
      <c r="AC54" s="2"/>
      <c r="AD54" s="10">
        <f t="shared" si="3"/>
        <v>1.875</v>
      </c>
      <c r="AE54" s="10">
        <f t="shared" si="4"/>
        <v>10.616375000000001</v>
      </c>
      <c r="AF54" s="10">
        <f t="shared" si="4"/>
        <v>3.7066666666667913E-2</v>
      </c>
      <c r="AG54" s="2"/>
      <c r="AH54" s="2"/>
      <c r="AI54" s="2"/>
      <c r="AJ54" s="2"/>
      <c r="AK54" s="8">
        <v>0</v>
      </c>
      <c r="AL54" s="123">
        <v>0</v>
      </c>
      <c r="AM54" s="2"/>
      <c r="AN54" s="22"/>
    </row>
    <row r="55" spans="13:40" x14ac:dyDescent="0.2">
      <c r="M55" s="2"/>
      <c r="N55" s="2"/>
      <c r="V55" s="24"/>
      <c r="W55" s="3"/>
      <c r="X55" s="3"/>
      <c r="Y55" s="2"/>
      <c r="Z55" s="10">
        <f>8*$E$4/8</f>
        <v>5</v>
      </c>
      <c r="AA55" s="10">
        <f t="shared" si="0"/>
        <v>-18.56466666666666</v>
      </c>
      <c r="AB55" s="10">
        <f t="shared" si="1"/>
        <v>-18.712933333333332</v>
      </c>
      <c r="AC55" s="2"/>
      <c r="AD55" s="10">
        <f t="shared" si="3"/>
        <v>2.5</v>
      </c>
      <c r="AE55" s="10">
        <f t="shared" si="4"/>
        <v>9.4676666666666698</v>
      </c>
      <c r="AF55" s="10">
        <f t="shared" si="4"/>
        <v>-3.7129333333333321</v>
      </c>
      <c r="AG55" s="2"/>
      <c r="AH55" s="2"/>
      <c r="AI55" s="2"/>
      <c r="AJ55" s="2"/>
      <c r="AK55" s="8">
        <f>D4</f>
        <v>0</v>
      </c>
      <c r="AL55" s="123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5.9752083333333346</v>
      </c>
      <c r="AF56" s="10">
        <f t="shared" si="4"/>
        <v>-7.4629333333333321</v>
      </c>
      <c r="AG56" s="2"/>
      <c r="AH56" s="2"/>
      <c r="AI56" s="2"/>
      <c r="AJ56" s="2"/>
      <c r="AK56" s="8">
        <f>AK55+E4</f>
        <v>5</v>
      </c>
      <c r="AL56" s="123">
        <v>0</v>
      </c>
      <c r="AM56" s="2"/>
      <c r="AN56" s="22"/>
    </row>
    <row r="57" spans="13:40" x14ac:dyDescent="0.2">
      <c r="V57" s="23" t="s">
        <v>84</v>
      </c>
      <c r="W57" s="2"/>
      <c r="X57" s="2"/>
      <c r="Y57" s="2"/>
      <c r="Z57" s="2" t="s">
        <v>69</v>
      </c>
      <c r="AA57" s="2"/>
      <c r="AB57" s="2"/>
      <c r="AC57" s="2"/>
      <c r="AD57" s="10">
        <f t="shared" si="3"/>
        <v>3.75</v>
      </c>
      <c r="AE57" s="10">
        <f t="shared" si="4"/>
        <v>0.1390000000000029</v>
      </c>
      <c r="AF57" s="10">
        <f t="shared" si="4"/>
        <v>-11.212933333333332</v>
      </c>
      <c r="AG57" s="2"/>
      <c r="AH57" s="2"/>
      <c r="AI57" s="2"/>
      <c r="AJ57" s="2"/>
      <c r="AK57" s="8">
        <f>AK56+F4</f>
        <v>9</v>
      </c>
      <c r="AL57" s="123">
        <v>0</v>
      </c>
      <c r="AM57" s="2"/>
      <c r="AN57" s="22"/>
    </row>
    <row r="58" spans="13:40" x14ac:dyDescent="0.2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-8.0409583333333288</v>
      </c>
      <c r="AF58" s="10">
        <f t="shared" si="4"/>
        <v>-14.962933333333332</v>
      </c>
      <c r="AG58" s="2"/>
      <c r="AH58" s="2"/>
      <c r="AI58" s="2"/>
      <c r="AJ58" s="2"/>
      <c r="AK58" s="8">
        <f>AK57+G4</f>
        <v>10.1</v>
      </c>
      <c r="AL58" s="123">
        <v>0</v>
      </c>
      <c r="AM58" s="2"/>
      <c r="AN58" s="22"/>
    </row>
    <row r="59" spans="13:40" x14ac:dyDescent="0.2">
      <c r="V59" s="139">
        <v>0</v>
      </c>
      <c r="W59" s="140">
        <f t="shared" ref="W59:W67" si="5">-$W$21-$F$7*V59^2/2+$Y$28*V59</f>
        <v>-18.564666666666664</v>
      </c>
      <c r="X59" s="140">
        <f t="shared" ref="X59:X67" si="6">-$F$7*V59+$Y$28</f>
        <v>24.607666666666667</v>
      </c>
      <c r="Y59" s="2"/>
      <c r="Z59" s="8">
        <v>0</v>
      </c>
      <c r="AA59" s="8">
        <f>-$G$7*Z59^2/2-$Z$22+$AA$28*Z59</f>
        <v>-6.5340000000000016</v>
      </c>
      <c r="AB59" s="8">
        <f>$AA$28-$G$7*Z59</f>
        <v>11.880000000000003</v>
      </c>
      <c r="AC59" s="2"/>
      <c r="AD59" s="10">
        <f t="shared" si="3"/>
        <v>5</v>
      </c>
      <c r="AE59" s="10">
        <f t="shared" si="4"/>
        <v>-18.56466666666666</v>
      </c>
      <c r="AF59" s="10">
        <f t="shared" si="4"/>
        <v>-18.712933333333332</v>
      </c>
      <c r="AG59" s="2"/>
      <c r="AH59" s="2"/>
      <c r="AI59" s="2"/>
      <c r="AJ59" s="2"/>
      <c r="AK59" s="11"/>
      <c r="AL59" s="3"/>
      <c r="AM59" s="2"/>
      <c r="AN59" s="22"/>
    </row>
    <row r="60" spans="13:40" x14ac:dyDescent="0.2">
      <c r="V60" s="139">
        <f>$F$4/8</f>
        <v>0.5</v>
      </c>
      <c r="W60" s="140">
        <f t="shared" si="5"/>
        <v>-7.610833333333332</v>
      </c>
      <c r="X60" s="140">
        <f t="shared" si="6"/>
        <v>19.207666666666668</v>
      </c>
      <c r="Y60" s="2"/>
      <c r="Z60" s="8">
        <f>$G$4/3</f>
        <v>0.3666666666666667</v>
      </c>
      <c r="AA60" s="8">
        <f>-$G$7*Z60^2/2-$Z$22+$AA$28*Z60</f>
        <v>-2.9039999999999999</v>
      </c>
      <c r="AB60" s="8">
        <f>$AA$28-$G$7*Z60</f>
        <v>7.9200000000000017</v>
      </c>
      <c r="AC60" s="2"/>
      <c r="AD60" s="140">
        <f t="shared" ref="AD60:AD68" si="7">$AD$59+V59</f>
        <v>5</v>
      </c>
      <c r="AE60" s="140">
        <f t="shared" ref="AE60:AF68" si="8">W59</f>
        <v>-18.564666666666664</v>
      </c>
      <c r="AF60" s="140">
        <f t="shared" si="8"/>
        <v>24.607666666666667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">
      <c r="V61" s="139">
        <f>2*$F$4/8</f>
        <v>1</v>
      </c>
      <c r="W61" s="140">
        <f t="shared" si="5"/>
        <v>0.64300000000000068</v>
      </c>
      <c r="X61" s="140">
        <f t="shared" si="6"/>
        <v>13.807666666666666</v>
      </c>
      <c r="Y61" s="2"/>
      <c r="Z61" s="8">
        <f>2*$G$4/3</f>
        <v>0.73333333333333339</v>
      </c>
      <c r="AA61" s="8">
        <f>-$G$7*Z61^2/2-$Z$22+$AA$28*Z61</f>
        <v>-0.72599999999999909</v>
      </c>
      <c r="AB61" s="8">
        <f>$AA$28-$G$7*Z61</f>
        <v>3.9600000000000017</v>
      </c>
      <c r="AC61" s="2"/>
      <c r="AD61" s="140">
        <f t="shared" si="7"/>
        <v>5.5</v>
      </c>
      <c r="AE61" s="140">
        <f t="shared" si="8"/>
        <v>-7.610833333333332</v>
      </c>
      <c r="AF61" s="140">
        <f t="shared" si="8"/>
        <v>19.207666666666668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3*$F$4/8</f>
        <v>1.5</v>
      </c>
      <c r="W62" s="140">
        <f t="shared" si="5"/>
        <v>6.1968333333333376</v>
      </c>
      <c r="X62" s="140">
        <f t="shared" si="6"/>
        <v>8.407666666666664</v>
      </c>
      <c r="Y62" s="2"/>
      <c r="Z62" s="8">
        <f>3*$G$4/3</f>
        <v>1.1000000000000001</v>
      </c>
      <c r="AA62" s="8">
        <f>-$G$7*Z62^2/2-$Z$22+$AA$28*Z62</f>
        <v>0</v>
      </c>
      <c r="AB62" s="8">
        <f>$AA$28-$G$7*Z62</f>
        <v>0</v>
      </c>
      <c r="AC62" s="2"/>
      <c r="AD62" s="140">
        <f t="shared" si="7"/>
        <v>6</v>
      </c>
      <c r="AE62" s="140">
        <f t="shared" si="8"/>
        <v>0.64300000000000068</v>
      </c>
      <c r="AF62" s="140">
        <f t="shared" si="8"/>
        <v>13.807666666666666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4*$F$4/8</f>
        <v>2</v>
      </c>
      <c r="W63" s="140">
        <f t="shared" si="5"/>
        <v>9.0506666666666717</v>
      </c>
      <c r="X63" s="140">
        <f t="shared" si="6"/>
        <v>3.0076666666666654</v>
      </c>
      <c r="Y63" s="2"/>
      <c r="Z63" s="2"/>
      <c r="AA63" s="2"/>
      <c r="AB63" s="2"/>
      <c r="AC63" s="2"/>
      <c r="AD63" s="140">
        <f t="shared" si="7"/>
        <v>6.5</v>
      </c>
      <c r="AE63" s="140">
        <f t="shared" si="8"/>
        <v>6.1968333333333376</v>
      </c>
      <c r="AF63" s="140">
        <f t="shared" si="8"/>
        <v>8.407666666666664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5*$F$4/8</f>
        <v>2.5</v>
      </c>
      <c r="W64" s="140">
        <f t="shared" si="5"/>
        <v>9.2044999999999959</v>
      </c>
      <c r="X64" s="140">
        <f t="shared" si="6"/>
        <v>-2.3923333333333332</v>
      </c>
      <c r="Y64" s="2"/>
      <c r="Z64" s="15"/>
      <c r="AA64" s="15"/>
      <c r="AB64" s="15"/>
      <c r="AC64" s="2"/>
      <c r="AD64" s="140">
        <f t="shared" si="7"/>
        <v>7</v>
      </c>
      <c r="AE64" s="140">
        <f t="shared" si="8"/>
        <v>9.0506666666666717</v>
      </c>
      <c r="AF64" s="140">
        <f t="shared" si="8"/>
        <v>3.0076666666666654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6*$F$4/8</f>
        <v>3</v>
      </c>
      <c r="W65" s="140">
        <f t="shared" si="5"/>
        <v>6.6583333333333456</v>
      </c>
      <c r="X65" s="140">
        <f t="shared" si="6"/>
        <v>-7.7923333333333389</v>
      </c>
      <c r="Y65" s="2"/>
      <c r="Z65" s="15"/>
      <c r="AA65" s="15"/>
      <c r="AB65" s="15"/>
      <c r="AC65" s="2"/>
      <c r="AD65" s="140">
        <f t="shared" si="7"/>
        <v>7.5</v>
      </c>
      <c r="AE65" s="140">
        <f t="shared" si="8"/>
        <v>9.2044999999999959</v>
      </c>
      <c r="AF65" s="140">
        <f t="shared" si="8"/>
        <v>-2.3923333333333332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7*$F$4/8</f>
        <v>3.5</v>
      </c>
      <c r="W66" s="140">
        <f t="shared" si="5"/>
        <v>1.4121666666666641</v>
      </c>
      <c r="X66" s="140">
        <f t="shared" si="6"/>
        <v>-13.192333333333337</v>
      </c>
      <c r="Y66" s="2"/>
      <c r="Z66" s="15"/>
      <c r="AA66" s="15"/>
      <c r="AB66" s="15"/>
      <c r="AC66" s="2"/>
      <c r="AD66" s="140">
        <f t="shared" si="7"/>
        <v>8</v>
      </c>
      <c r="AE66" s="140">
        <f t="shared" si="8"/>
        <v>6.6583333333333456</v>
      </c>
      <c r="AF66" s="140">
        <f t="shared" si="8"/>
        <v>-7.7923333333333389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">
      <c r="V67" s="139">
        <f>8*$F$4/8</f>
        <v>4</v>
      </c>
      <c r="W67" s="140">
        <f t="shared" si="5"/>
        <v>-6.534000000000006</v>
      </c>
      <c r="X67" s="140">
        <f t="shared" si="6"/>
        <v>-18.592333333333336</v>
      </c>
      <c r="Y67" s="2"/>
      <c r="Z67" s="15"/>
      <c r="AA67" s="15"/>
      <c r="AB67" s="15"/>
      <c r="AC67" s="2"/>
      <c r="AD67" s="140">
        <f t="shared" si="7"/>
        <v>8.5</v>
      </c>
      <c r="AE67" s="140">
        <f t="shared" si="8"/>
        <v>1.4121666666666641</v>
      </c>
      <c r="AF67" s="140">
        <f t="shared" si="8"/>
        <v>-13.192333333333337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">
      <c r="V68" s="23"/>
      <c r="W68" s="2"/>
      <c r="X68" s="2"/>
      <c r="Y68" s="2"/>
      <c r="Z68" s="2"/>
      <c r="AA68" s="2"/>
      <c r="AB68" s="2"/>
      <c r="AC68" s="2"/>
      <c r="AD68" s="140">
        <f t="shared" si="7"/>
        <v>9</v>
      </c>
      <c r="AE68" s="140">
        <f t="shared" si="8"/>
        <v>-6.534000000000006</v>
      </c>
      <c r="AF68" s="140">
        <f t="shared" si="8"/>
        <v>-18.592333333333336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8">
        <f>$AD$68+Z59</f>
        <v>9</v>
      </c>
      <c r="AE69" s="8">
        <f t="shared" ref="AE69:AF72" si="9">AA59</f>
        <v>-6.5340000000000016</v>
      </c>
      <c r="AF69" s="8">
        <f t="shared" si="9"/>
        <v>11.880000000000003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">
      <c r="V70" s="23"/>
      <c r="W70" s="2"/>
      <c r="X70" s="2"/>
      <c r="Y70" s="2"/>
      <c r="Z70" s="2"/>
      <c r="AA70" s="2"/>
      <c r="AB70" s="2"/>
      <c r="AC70" s="2"/>
      <c r="AD70" s="8">
        <f t="shared" ref="AD70:AD72" si="10">$AD$68+Z60</f>
        <v>9.3666666666666671</v>
      </c>
      <c r="AE70" s="8">
        <f t="shared" si="9"/>
        <v>-2.9039999999999999</v>
      </c>
      <c r="AF70" s="8">
        <f t="shared" si="9"/>
        <v>7.9200000000000017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49"/>
      <c r="W71" s="5"/>
      <c r="X71" s="3"/>
      <c r="Y71" s="2"/>
      <c r="Z71" s="2"/>
      <c r="AA71" s="2"/>
      <c r="AB71" s="2"/>
      <c r="AC71" s="2"/>
      <c r="AD71" s="8">
        <f t="shared" si="10"/>
        <v>9.7333333333333343</v>
      </c>
      <c r="AE71" s="8">
        <f t="shared" si="9"/>
        <v>-0.72599999999999909</v>
      </c>
      <c r="AF71" s="8">
        <f t="shared" si="9"/>
        <v>3.9600000000000017</v>
      </c>
      <c r="AG71" s="2"/>
      <c r="AH71" s="2"/>
      <c r="AI71" s="2"/>
      <c r="AJ71" s="2"/>
      <c r="AK71" s="2"/>
      <c r="AL71" s="2"/>
      <c r="AM71" s="2"/>
      <c r="AN71" s="22"/>
    </row>
    <row r="72" spans="22:40" ht="12.75" thickBot="1" x14ac:dyDescent="0.25">
      <c r="V72" s="141"/>
      <c r="W72" s="142"/>
      <c r="X72" s="142"/>
      <c r="Y72" s="27"/>
      <c r="Z72" s="27"/>
      <c r="AA72" s="27"/>
      <c r="AB72" s="27"/>
      <c r="AC72" s="27"/>
      <c r="AD72" s="143">
        <f t="shared" si="10"/>
        <v>10.1</v>
      </c>
      <c r="AE72" s="143">
        <f t="shared" si="9"/>
        <v>0</v>
      </c>
      <c r="AF72" s="143">
        <f t="shared" si="9"/>
        <v>0</v>
      </c>
      <c r="AG72" s="27"/>
      <c r="AH72" s="27"/>
      <c r="AI72" s="27"/>
      <c r="AJ72" s="27"/>
      <c r="AK72" s="27"/>
      <c r="AL72" s="27"/>
      <c r="AM72" s="27"/>
      <c r="AN72" s="28"/>
    </row>
    <row r="73" spans="22:40" ht="12.75" thickTop="1" x14ac:dyDescent="0.2">
      <c r="V73" s="55"/>
      <c r="W73" s="114"/>
      <c r="X73" s="114"/>
      <c r="Y73" s="19"/>
      <c r="Z73" s="19"/>
      <c r="AA73" s="19"/>
      <c r="AB73" s="19"/>
      <c r="AC73" s="19"/>
      <c r="AD73" s="114"/>
      <c r="AE73" s="114"/>
      <c r="AF73" s="114"/>
      <c r="AG73" s="19"/>
      <c r="AH73" s="19"/>
      <c r="AI73" s="19"/>
      <c r="AJ73" s="19"/>
      <c r="AK73" s="19"/>
      <c r="AL73" s="19"/>
      <c r="AM73" s="19"/>
      <c r="AN73" s="19"/>
    </row>
    <row r="74" spans="22:40" x14ac:dyDescent="0.2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22:40" x14ac:dyDescent="0.2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22:40" x14ac:dyDescent="0.2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22:40" x14ac:dyDescent="0.2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22:40" x14ac:dyDescent="0.2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22:40" x14ac:dyDescent="0.2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22:40" x14ac:dyDescent="0.2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oglio14"/>
  <dimension ref="A1:AT100"/>
  <sheetViews>
    <sheetView zoomScale="85" zoomScaleNormal="85" workbookViewId="0">
      <selection activeCell="I18" sqref="I18"/>
    </sheetView>
  </sheetViews>
  <sheetFormatPr defaultColWidth="9.140625" defaultRowHeight="12" x14ac:dyDescent="0.2"/>
  <cols>
    <col min="1" max="16384" width="9.140625" style="1"/>
  </cols>
  <sheetData>
    <row r="1" spans="1:40" ht="15.75" customHeight="1" thickBot="1" x14ac:dyDescent="0.25">
      <c r="A1" s="334" t="s">
        <v>28</v>
      </c>
      <c r="B1" s="334"/>
      <c r="C1" s="334"/>
      <c r="D1" s="334"/>
      <c r="E1" s="334"/>
      <c r="F1" s="334"/>
      <c r="G1" s="334"/>
      <c r="H1" s="334"/>
      <c r="I1" s="334"/>
      <c r="J1" s="334"/>
      <c r="K1" s="2"/>
    </row>
    <row r="2" spans="1:40" ht="12.75" thickTop="1" x14ac:dyDescent="0.2">
      <c r="E2" s="12"/>
    </row>
    <row r="3" spans="1:40" ht="13.5" x14ac:dyDescent="0.25">
      <c r="B3" s="12" t="s">
        <v>29</v>
      </c>
      <c r="D3" s="13" t="s">
        <v>32</v>
      </c>
      <c r="E3" s="13" t="s">
        <v>33</v>
      </c>
      <c r="F3" s="13" t="s">
        <v>70</v>
      </c>
      <c r="G3" s="13" t="s">
        <v>34</v>
      </c>
    </row>
    <row r="4" spans="1:40" x14ac:dyDescent="0.2">
      <c r="D4" s="14">
        <f>'CC-Trave'!E15</f>
        <v>0</v>
      </c>
      <c r="E4" s="14">
        <f>'CC-Trave'!F15</f>
        <v>5</v>
      </c>
      <c r="F4" s="14">
        <f>'CC-Trave'!G15</f>
        <v>4</v>
      </c>
      <c r="G4" s="14">
        <f>'CC-Trave'!H15</f>
        <v>1.1000000000000001</v>
      </c>
    </row>
    <row r="6" spans="1:40" ht="13.5" x14ac:dyDescent="0.25">
      <c r="B6" s="12" t="s">
        <v>41</v>
      </c>
      <c r="D6" s="13" t="s">
        <v>35</v>
      </c>
      <c r="E6" s="13" t="s">
        <v>36</v>
      </c>
      <c r="F6" s="13" t="s">
        <v>71</v>
      </c>
      <c r="G6" s="13" t="s">
        <v>37</v>
      </c>
    </row>
    <row r="7" spans="1:40" x14ac:dyDescent="0.2">
      <c r="C7" s="1" t="s">
        <v>42</v>
      </c>
      <c r="D7" s="14">
        <f>'CC-Trave'!E30</f>
        <v>0</v>
      </c>
      <c r="E7" s="14">
        <f>'CC-Trave'!F30</f>
        <v>0</v>
      </c>
      <c r="F7" s="14">
        <f>'CC-Trave'!G30</f>
        <v>0</v>
      </c>
      <c r="G7" s="14">
        <f>'CC-Trave'!H30</f>
        <v>0</v>
      </c>
    </row>
    <row r="8" spans="1:40" x14ac:dyDescent="0.2">
      <c r="D8" s="14"/>
      <c r="E8" s="14"/>
      <c r="F8" s="14"/>
      <c r="G8" s="14"/>
      <c r="H8" s="15"/>
    </row>
    <row r="9" spans="1:40" x14ac:dyDescent="0.2">
      <c r="D9" s="14"/>
      <c r="E9" s="14"/>
      <c r="F9" s="14"/>
      <c r="G9" s="14"/>
      <c r="H9" s="15"/>
    </row>
    <row r="10" spans="1:40" x14ac:dyDescent="0.2">
      <c r="D10" s="14"/>
      <c r="E10" s="14"/>
      <c r="F10" s="14"/>
      <c r="G10" s="14"/>
      <c r="H10" s="15"/>
    </row>
    <row r="11" spans="1:40" x14ac:dyDescent="0.2">
      <c r="D11" s="14"/>
      <c r="E11" s="14"/>
      <c r="F11" s="14"/>
      <c r="G11" s="14"/>
      <c r="H11" s="15"/>
    </row>
    <row r="12" spans="1:40" x14ac:dyDescent="0.2">
      <c r="C12" s="15"/>
      <c r="D12" s="15"/>
      <c r="E12" s="15"/>
      <c r="F12" s="15"/>
      <c r="G12" s="15"/>
      <c r="H12" s="15"/>
    </row>
    <row r="13" spans="1:40" x14ac:dyDescent="0.2">
      <c r="C13" s="15"/>
      <c r="D13" s="15"/>
      <c r="E13" s="15"/>
      <c r="F13" s="15"/>
      <c r="G13" s="15"/>
      <c r="H13" s="15"/>
    </row>
    <row r="14" spans="1:40" x14ac:dyDescent="0.2">
      <c r="C14" s="15"/>
      <c r="D14" s="15"/>
      <c r="E14" s="15"/>
      <c r="F14" s="15"/>
      <c r="G14" s="15"/>
      <c r="H14" s="15"/>
    </row>
    <row r="15" spans="1:40" ht="15" customHeight="1" thickBot="1" x14ac:dyDescent="0.25">
      <c r="A15" s="345" t="s">
        <v>31</v>
      </c>
      <c r="B15" s="345"/>
      <c r="C15" s="345"/>
      <c r="D15" s="345"/>
      <c r="E15" s="345"/>
      <c r="F15" s="345"/>
      <c r="G15" s="345"/>
      <c r="H15" s="345"/>
      <c r="I15" s="345"/>
      <c r="J15" s="345"/>
    </row>
    <row r="16" spans="1:40" ht="12.75" thickTop="1" x14ac:dyDescent="0.2">
      <c r="V16" s="54"/>
      <c r="W16" s="55"/>
      <c r="X16" s="55"/>
      <c r="Y16" s="19"/>
      <c r="Z16" s="20"/>
      <c r="AA16" s="20"/>
      <c r="AB16" s="20"/>
      <c r="AC16" s="19"/>
      <c r="AD16" s="19"/>
      <c r="AE16" s="56"/>
      <c r="AF16" s="19"/>
      <c r="AG16" s="19"/>
      <c r="AH16" s="20" t="s">
        <v>16</v>
      </c>
      <c r="AI16" s="20"/>
      <c r="AJ16" s="19"/>
      <c r="AK16" s="19" t="s">
        <v>26</v>
      </c>
      <c r="AL16" s="19"/>
      <c r="AM16" s="19"/>
      <c r="AN16" s="21"/>
    </row>
    <row r="17" spans="1:46" s="46" customFormat="1" ht="13.5" x14ac:dyDescent="0.25">
      <c r="A17" s="17" t="s">
        <v>30</v>
      </c>
      <c r="B17" s="16" t="s">
        <v>38</v>
      </c>
      <c r="C17" s="16" t="s">
        <v>39</v>
      </c>
      <c r="D17" s="16" t="s">
        <v>40</v>
      </c>
      <c r="F17" s="17" t="s">
        <v>72</v>
      </c>
      <c r="G17" s="16" t="s">
        <v>73</v>
      </c>
      <c r="H17" s="16" t="s">
        <v>74</v>
      </c>
      <c r="I17" s="16" t="s">
        <v>75</v>
      </c>
      <c r="K17" s="18"/>
      <c r="V17" s="49"/>
      <c r="W17" s="5"/>
      <c r="X17" s="5"/>
      <c r="Y17" s="2"/>
      <c r="Z17" s="3"/>
      <c r="AA17" s="3"/>
      <c r="AB17" s="3"/>
      <c r="AC17" s="2"/>
      <c r="AD17" s="2"/>
      <c r="AE17" s="44"/>
      <c r="AF17" s="2"/>
      <c r="AG17" s="2"/>
      <c r="AH17" s="123">
        <v>0</v>
      </c>
      <c r="AI17" s="123">
        <f>5+MAX('CC-car.4'!AI17:AI42)</f>
        <v>73.2</v>
      </c>
      <c r="AJ17" s="2"/>
      <c r="AK17" s="8">
        <f>AK55</f>
        <v>0</v>
      </c>
      <c r="AL17" s="8">
        <v>0</v>
      </c>
      <c r="AM17" s="2"/>
      <c r="AN17" s="22"/>
      <c r="AO17" s="1"/>
      <c r="AP17" s="1"/>
      <c r="AQ17" s="1"/>
      <c r="AR17" s="1"/>
      <c r="AS17" s="1"/>
      <c r="AT17" s="1"/>
    </row>
    <row r="18" spans="1:46" s="46" customFormat="1" x14ac:dyDescent="0.2">
      <c r="B18" s="16">
        <f>'CC-Trave'!B77</f>
        <v>1</v>
      </c>
      <c r="C18" s="16">
        <f>'CC-Trave'!C77</f>
        <v>3.1250000000000002E-3</v>
      </c>
      <c r="D18" s="16">
        <f>B18*C18</f>
        <v>3.1250000000000002E-3</v>
      </c>
      <c r="G18" s="16">
        <f>'CC-Trave'!G77</f>
        <v>1</v>
      </c>
      <c r="H18" s="16">
        <f>'CC-Trave'!H77</f>
        <v>3.1250000000000002E-3</v>
      </c>
      <c r="I18" s="16">
        <f>G18*H18</f>
        <v>3.1250000000000002E-3</v>
      </c>
      <c r="V18" s="49"/>
      <c r="W18" s="3"/>
      <c r="X18" s="5"/>
      <c r="Y18" s="2"/>
      <c r="Z18" s="3"/>
      <c r="AA18" s="3"/>
      <c r="AB18" s="3"/>
      <c r="AC18" s="2"/>
      <c r="AD18" s="2"/>
      <c r="AE18" s="3"/>
      <c r="AF18" s="2"/>
      <c r="AG18" s="2"/>
      <c r="AH18" s="123">
        <f>D4</f>
        <v>0</v>
      </c>
      <c r="AI18" s="123">
        <f>AI17</f>
        <v>73.2</v>
      </c>
      <c r="AJ18" s="2"/>
      <c r="AK18" s="8">
        <f>AK17</f>
        <v>0</v>
      </c>
      <c r="AL18" s="8">
        <f>AE50</f>
        <v>0</v>
      </c>
      <c r="AM18" s="2"/>
      <c r="AN18" s="22"/>
      <c r="AO18" s="1"/>
      <c r="AP18" s="1"/>
      <c r="AQ18" s="1"/>
      <c r="AR18" s="1"/>
      <c r="AS18" s="1"/>
      <c r="AT18" s="1"/>
    </row>
    <row r="19" spans="1:46" s="46" customFormat="1" x14ac:dyDescent="0.2">
      <c r="V19" s="23"/>
      <c r="W19" s="3"/>
      <c r="X19" s="3"/>
      <c r="Y19" s="3"/>
      <c r="Z19" s="3"/>
      <c r="AA19" s="3"/>
      <c r="AB19" s="3"/>
      <c r="AC19" s="3"/>
      <c r="AD19" s="3"/>
      <c r="AE19" s="3"/>
      <c r="AF19" s="2"/>
      <c r="AG19" s="2"/>
      <c r="AH19" s="123">
        <f>AH18</f>
        <v>0</v>
      </c>
      <c r="AI19" s="123">
        <f>AI18+D7</f>
        <v>73.2</v>
      </c>
      <c r="AJ19" s="2"/>
      <c r="AK19" s="8">
        <f>AK56</f>
        <v>5</v>
      </c>
      <c r="AL19" s="8">
        <v>0</v>
      </c>
      <c r="AM19" s="2"/>
      <c r="AN19" s="22"/>
      <c r="AO19" s="1"/>
      <c r="AP19" s="1"/>
      <c r="AQ19" s="1"/>
      <c r="AR19" s="1"/>
      <c r="AS19" s="1"/>
      <c r="AT19" s="1"/>
    </row>
    <row r="20" spans="1:46" s="46" customFormat="1" x14ac:dyDescent="0.2">
      <c r="A20" s="17"/>
      <c r="B20" s="3"/>
      <c r="C20" s="3"/>
      <c r="D20" s="3"/>
      <c r="F20" s="45"/>
      <c r="G20" s="3"/>
      <c r="H20" s="3"/>
      <c r="I20" s="3"/>
      <c r="V20" s="23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123">
        <v>0</v>
      </c>
      <c r="AI20" s="123">
        <f>AI19</f>
        <v>73.2</v>
      </c>
      <c r="AJ20" s="2"/>
      <c r="AK20" s="8">
        <f>AK19</f>
        <v>5</v>
      </c>
      <c r="AL20" s="8">
        <f>AE59</f>
        <v>0</v>
      </c>
      <c r="AM20" s="2"/>
      <c r="AN20" s="22"/>
    </row>
    <row r="21" spans="1:46" s="46" customFormat="1" x14ac:dyDescent="0.2">
      <c r="A21" s="1"/>
      <c r="B21" s="3"/>
      <c r="C21" s="3"/>
      <c r="D21" s="3"/>
      <c r="F21" s="3"/>
      <c r="G21" s="3"/>
      <c r="H21" s="3"/>
      <c r="I21" s="3"/>
      <c r="V21" s="24" t="s">
        <v>7</v>
      </c>
      <c r="W21" s="8">
        <f>-3*AB22/(E4/D18+F4/I18)</f>
        <v>0</v>
      </c>
      <c r="X21" s="2"/>
      <c r="Y21" s="123" t="s">
        <v>12</v>
      </c>
      <c r="Z21" s="123">
        <f>D7*D4^2/2</f>
        <v>0</v>
      </c>
      <c r="AA21" s="2"/>
      <c r="AB21" s="123" t="s">
        <v>79</v>
      </c>
      <c r="AC21" s="3"/>
      <c r="AD21" s="3"/>
      <c r="AE21" s="2"/>
      <c r="AF21" s="2"/>
      <c r="AG21" s="2"/>
      <c r="AH21" s="123">
        <v>0</v>
      </c>
      <c r="AI21" s="123">
        <f>AI17</f>
        <v>73.2</v>
      </c>
      <c r="AJ21" s="2"/>
      <c r="AK21" s="8">
        <f>AK57</f>
        <v>9</v>
      </c>
      <c r="AL21" s="8">
        <v>0</v>
      </c>
      <c r="AM21" s="2"/>
      <c r="AN21" s="22"/>
    </row>
    <row r="22" spans="1:46" x14ac:dyDescent="0.2">
      <c r="V22" s="24"/>
      <c r="W22" s="11"/>
      <c r="X22" s="2"/>
      <c r="Y22" s="123" t="s">
        <v>80</v>
      </c>
      <c r="Z22" s="123">
        <f>G7*G4^2/2</f>
        <v>0</v>
      </c>
      <c r="AA22" s="2"/>
      <c r="AB22" s="124">
        <f>Z21*E4/(6*D18)+Z22*F4/(6*I18)-E7*E4^3/(24*D18)-F7*F4^3/(24*I18)</f>
        <v>0</v>
      </c>
      <c r="AC22" s="44"/>
      <c r="AD22" s="44"/>
      <c r="AE22" s="2"/>
      <c r="AF22" s="2"/>
      <c r="AG22" s="2"/>
      <c r="AH22" s="2"/>
      <c r="AI22" s="2"/>
      <c r="AJ22" s="2"/>
      <c r="AK22" s="8">
        <f>AK21</f>
        <v>9</v>
      </c>
      <c r="AL22" s="8">
        <f>AE68</f>
        <v>0</v>
      </c>
      <c r="AM22" s="2"/>
      <c r="AN22" s="22"/>
    </row>
    <row r="23" spans="1:46" x14ac:dyDescent="0.2">
      <c r="V23" s="24"/>
      <c r="W23" s="3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3" t="s">
        <v>17</v>
      </c>
      <c r="AI23" s="3"/>
      <c r="AJ23" s="2"/>
      <c r="AK23" s="11"/>
      <c r="AL23" s="11"/>
      <c r="AM23" s="2"/>
      <c r="AN23" s="22"/>
    </row>
    <row r="24" spans="1:46" x14ac:dyDescent="0.2">
      <c r="V24" s="24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123">
        <f>D4</f>
        <v>0</v>
      </c>
      <c r="AI24" s="123">
        <f>AI17</f>
        <v>73.2</v>
      </c>
      <c r="AJ24" s="2"/>
      <c r="AK24" s="11"/>
      <c r="AL24" s="11"/>
      <c r="AM24" s="2"/>
      <c r="AN24" s="22"/>
    </row>
    <row r="25" spans="1:46" x14ac:dyDescent="0.2">
      <c r="V25" s="23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8">
        <f>AK56</f>
        <v>5</v>
      </c>
      <c r="AI25" s="123">
        <f>AI24</f>
        <v>73.2</v>
      </c>
      <c r="AJ25" s="2"/>
      <c r="AK25" s="11"/>
      <c r="AL25" s="11"/>
      <c r="AM25" s="2"/>
      <c r="AN25" s="22"/>
    </row>
    <row r="26" spans="1:46" x14ac:dyDescent="0.2">
      <c r="V26" s="24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8">
        <f>AH25</f>
        <v>5</v>
      </c>
      <c r="AI26" s="123">
        <f>AI25+E7</f>
        <v>73.2</v>
      </c>
      <c r="AJ26" s="3"/>
      <c r="AK26" s="11"/>
      <c r="AL26" s="11"/>
      <c r="AM26" s="2"/>
      <c r="AN26" s="22"/>
    </row>
    <row r="27" spans="1:46" x14ac:dyDescent="0.2">
      <c r="V27" s="125" t="s">
        <v>8</v>
      </c>
      <c r="W27" s="123" t="s">
        <v>9</v>
      </c>
      <c r="X27" s="123" t="s">
        <v>10</v>
      </c>
      <c r="Y27" s="123" t="s">
        <v>11</v>
      </c>
      <c r="Z27" s="123" t="s">
        <v>76</v>
      </c>
      <c r="AA27" s="123" t="s">
        <v>77</v>
      </c>
      <c r="AB27" s="3"/>
      <c r="AC27" s="3"/>
      <c r="AD27" s="3"/>
      <c r="AE27" s="3"/>
      <c r="AF27" s="3"/>
      <c r="AG27" s="3"/>
      <c r="AH27" s="123">
        <f>AH24</f>
        <v>0</v>
      </c>
      <c r="AI27" s="123">
        <f>AI26</f>
        <v>73.2</v>
      </c>
      <c r="AJ27" s="3"/>
      <c r="AK27" s="11"/>
      <c r="AL27" s="11"/>
      <c r="AM27" s="2"/>
      <c r="AN27" s="22"/>
    </row>
    <row r="28" spans="1:46" x14ac:dyDescent="0.2">
      <c r="V28" s="126">
        <f>D7*D4</f>
        <v>0</v>
      </c>
      <c r="W28" s="8">
        <f>E7*E4-X28</f>
        <v>0</v>
      </c>
      <c r="X28" s="8">
        <f>(W21-Z21+E7*E4^2/2)/E4</f>
        <v>0</v>
      </c>
      <c r="Y28" s="8">
        <f>F7*F4-Z28</f>
        <v>0</v>
      </c>
      <c r="Z28" s="8">
        <f>(Z22-W21+F7*F4^2/2)/F4</f>
        <v>0</v>
      </c>
      <c r="AA28" s="8">
        <f>G7*G4</f>
        <v>0</v>
      </c>
      <c r="AB28" s="11"/>
      <c r="AC28" s="11"/>
      <c r="AD28" s="11"/>
      <c r="AE28" s="11"/>
      <c r="AF28" s="3"/>
      <c r="AG28" s="3"/>
      <c r="AH28" s="123">
        <f>AH24</f>
        <v>0</v>
      </c>
      <c r="AI28" s="123">
        <f>AI24</f>
        <v>73.2</v>
      </c>
      <c r="AJ28" s="3"/>
      <c r="AK28" s="11"/>
      <c r="AL28" s="11"/>
      <c r="AM28" s="2"/>
      <c r="AN28" s="22"/>
    </row>
    <row r="29" spans="1:46" s="46" customFormat="1" x14ac:dyDescent="0.2">
      <c r="V29" s="2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2"/>
      <c r="AI29" s="2"/>
      <c r="AJ29" s="3"/>
      <c r="AK29" s="3"/>
      <c r="AL29" s="3"/>
      <c r="AM29" s="3"/>
      <c r="AN29" s="25"/>
    </row>
    <row r="30" spans="1:46" s="46" customFormat="1" x14ac:dyDescent="0.2">
      <c r="V30" s="24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 t="s">
        <v>81</v>
      </c>
      <c r="AI30" s="3"/>
      <c r="AJ30" s="3"/>
      <c r="AK30" s="3"/>
      <c r="AL30" s="3"/>
      <c r="AM30" s="3"/>
      <c r="AN30" s="25"/>
    </row>
    <row r="31" spans="1:46" x14ac:dyDescent="0.2">
      <c r="V31" s="23"/>
      <c r="W31" s="2"/>
      <c r="X31" s="123" t="s">
        <v>0</v>
      </c>
      <c r="Y31" s="123" t="s">
        <v>1</v>
      </c>
      <c r="Z31" s="123" t="s">
        <v>78</v>
      </c>
      <c r="AA31" s="3"/>
      <c r="AB31" s="3"/>
      <c r="AC31" s="2"/>
      <c r="AD31" s="2"/>
      <c r="AE31" s="2"/>
      <c r="AF31" s="2"/>
      <c r="AG31" s="2"/>
      <c r="AH31" s="8">
        <f>AK56</f>
        <v>5</v>
      </c>
      <c r="AI31" s="123">
        <f>AI17</f>
        <v>73.2</v>
      </c>
      <c r="AJ31" s="2"/>
      <c r="AK31" s="2" t="s">
        <v>21</v>
      </c>
      <c r="AL31" s="2"/>
      <c r="AM31" s="2"/>
      <c r="AN31" s="22"/>
    </row>
    <row r="32" spans="1:46" x14ac:dyDescent="0.2">
      <c r="V32" s="23"/>
      <c r="W32" s="2"/>
      <c r="X32" s="8">
        <f>V28+W28</f>
        <v>0</v>
      </c>
      <c r="Y32" s="8">
        <f>X28+Y28</f>
        <v>0</v>
      </c>
      <c r="Z32" s="8">
        <f>Z28+AA28</f>
        <v>0</v>
      </c>
      <c r="AA32" s="11"/>
      <c r="AB32" s="11"/>
      <c r="AC32" s="2"/>
      <c r="AD32" s="2"/>
      <c r="AE32" s="2"/>
      <c r="AF32" s="2"/>
      <c r="AG32" s="2"/>
      <c r="AH32" s="8">
        <f>AK57</f>
        <v>9</v>
      </c>
      <c r="AI32" s="123">
        <f>AI31</f>
        <v>73.2</v>
      </c>
      <c r="AJ32" s="2"/>
      <c r="AK32" s="123" t="s">
        <v>22</v>
      </c>
      <c r="AL32" s="123" t="s">
        <v>25</v>
      </c>
      <c r="AM32" s="123" t="s">
        <v>2</v>
      </c>
      <c r="AN32" s="127" t="s">
        <v>24</v>
      </c>
    </row>
    <row r="33" spans="22:40" x14ac:dyDescent="0.2">
      <c r="V33" s="2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8">
        <f>AH32</f>
        <v>9</v>
      </c>
      <c r="AI33" s="123">
        <f>AI32+F7</f>
        <v>73.2</v>
      </c>
      <c r="AJ33" s="2"/>
      <c r="AK33" s="128" t="s">
        <v>23</v>
      </c>
      <c r="AL33" s="8" t="e">
        <f>W28/E7</f>
        <v>#DIV/0!</v>
      </c>
      <c r="AM33" s="8" t="e">
        <f>D4+AL33</f>
        <v>#DIV/0!</v>
      </c>
      <c r="AN33" s="129" t="e">
        <f>W28*AL33-E7*AL33^2/2-Z21</f>
        <v>#DIV/0!</v>
      </c>
    </row>
    <row r="34" spans="22:40" x14ac:dyDescent="0.2">
      <c r="V34" s="23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8">
        <f>AH31</f>
        <v>5</v>
      </c>
      <c r="AI34" s="123">
        <f>AI33</f>
        <v>73.2</v>
      </c>
      <c r="AJ34" s="2"/>
      <c r="AK34" s="130" t="s">
        <v>82</v>
      </c>
      <c r="AL34" s="8" t="e">
        <f>Y28/F7</f>
        <v>#DIV/0!</v>
      </c>
      <c r="AM34" s="8" t="e">
        <f>D4+E4+AL34</f>
        <v>#DIV/0!</v>
      </c>
      <c r="AN34" s="129" t="e">
        <f>Y28*AL34-F7*AL34^2/2-W21</f>
        <v>#DIV/0!</v>
      </c>
    </row>
    <row r="35" spans="22:40" x14ac:dyDescent="0.2">
      <c r="V35" s="23" t="s">
        <v>19</v>
      </c>
      <c r="W35" s="2"/>
      <c r="X35" s="2"/>
      <c r="Y35" s="2" t="s">
        <v>20</v>
      </c>
      <c r="Z35" s="2"/>
      <c r="AA35" s="2"/>
      <c r="AB35" s="2" t="s">
        <v>83</v>
      </c>
      <c r="AC35" s="2"/>
      <c r="AD35" s="2"/>
      <c r="AE35" s="2"/>
      <c r="AF35" s="2"/>
      <c r="AG35" s="2"/>
      <c r="AH35" s="8">
        <f>AH31</f>
        <v>5</v>
      </c>
      <c r="AI35" s="123">
        <f>AI31</f>
        <v>73.2</v>
      </c>
      <c r="AJ35" s="2"/>
      <c r="AK35" s="48"/>
      <c r="AL35" s="11"/>
      <c r="AM35" s="11"/>
      <c r="AN35" s="50"/>
    </row>
    <row r="36" spans="22:40" x14ac:dyDescent="0.2">
      <c r="V36" s="131">
        <f>AK55</f>
        <v>0</v>
      </c>
      <c r="W36" s="132">
        <v>0</v>
      </c>
      <c r="X36" s="2"/>
      <c r="Y36" s="133">
        <f>AK56</f>
        <v>5</v>
      </c>
      <c r="Z36" s="132">
        <v>0</v>
      </c>
      <c r="AA36" s="2"/>
      <c r="AB36" s="133">
        <f>AK57</f>
        <v>9</v>
      </c>
      <c r="AC36" s="132">
        <v>0</v>
      </c>
      <c r="AD36" s="2"/>
      <c r="AE36" s="2"/>
      <c r="AF36" s="2"/>
      <c r="AG36" s="2"/>
      <c r="AH36" s="2"/>
      <c r="AI36" s="2"/>
      <c r="AJ36" s="2"/>
      <c r="AK36" s="48"/>
      <c r="AL36" s="11"/>
      <c r="AM36" s="11"/>
      <c r="AN36" s="50"/>
    </row>
    <row r="37" spans="22:40" x14ac:dyDescent="0.2">
      <c r="V37" s="131">
        <f>V36</f>
        <v>0</v>
      </c>
      <c r="W37" s="133">
        <f>X32</f>
        <v>0</v>
      </c>
      <c r="X37" s="2"/>
      <c r="Y37" s="133">
        <f>Y36</f>
        <v>5</v>
      </c>
      <c r="Z37" s="133">
        <f>Y32</f>
        <v>0</v>
      </c>
      <c r="AA37" s="2"/>
      <c r="AB37" s="133">
        <f>AB36</f>
        <v>9</v>
      </c>
      <c r="AC37" s="133">
        <f>Z32</f>
        <v>0</v>
      </c>
      <c r="AD37" s="2"/>
      <c r="AE37" s="2"/>
      <c r="AF37" s="2"/>
      <c r="AG37" s="2"/>
      <c r="AH37" s="3" t="s">
        <v>18</v>
      </c>
      <c r="AI37" s="3"/>
      <c r="AJ37" s="2"/>
      <c r="AK37" s="2"/>
      <c r="AL37" s="2"/>
      <c r="AM37" s="2"/>
      <c r="AN37" s="22"/>
    </row>
    <row r="38" spans="22:40" x14ac:dyDescent="0.2">
      <c r="V38" s="24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8">
        <f>AK57</f>
        <v>9</v>
      </c>
      <c r="AI38" s="123">
        <f>AI17</f>
        <v>73.2</v>
      </c>
      <c r="AJ38" s="3"/>
      <c r="AK38" s="3"/>
      <c r="AL38" s="3"/>
      <c r="AM38" s="3"/>
      <c r="AN38" s="25"/>
    </row>
    <row r="39" spans="22:40" x14ac:dyDescent="0.2">
      <c r="V39" s="23"/>
      <c r="W39" s="2"/>
      <c r="X39" s="3"/>
      <c r="Y39" s="2"/>
      <c r="Z39" s="2"/>
      <c r="AA39" s="3"/>
      <c r="AB39" s="3"/>
      <c r="AC39" s="3"/>
      <c r="AD39" s="3"/>
      <c r="AE39" s="3"/>
      <c r="AF39" s="3"/>
      <c r="AG39" s="3"/>
      <c r="AH39" s="8">
        <f>AK58</f>
        <v>10.1</v>
      </c>
      <c r="AI39" s="123">
        <f>AI38</f>
        <v>73.2</v>
      </c>
      <c r="AJ39" s="3"/>
      <c r="AK39" s="2" t="s">
        <v>27</v>
      </c>
      <c r="AL39" s="2"/>
      <c r="AM39" s="3"/>
      <c r="AN39" s="25"/>
    </row>
    <row r="40" spans="22:40" x14ac:dyDescent="0.2">
      <c r="V40" s="57"/>
      <c r="W40" s="2"/>
      <c r="X40" s="2"/>
      <c r="Y40" s="47"/>
      <c r="Z40" s="2"/>
      <c r="AA40" s="2"/>
      <c r="AB40" s="2"/>
      <c r="AC40" s="2"/>
      <c r="AD40" s="2"/>
      <c r="AE40" s="2"/>
      <c r="AF40" s="2"/>
      <c r="AG40" s="2"/>
      <c r="AH40" s="8">
        <f>AH39</f>
        <v>10.1</v>
      </c>
      <c r="AI40" s="123">
        <f>AI39+G7</f>
        <v>73.2</v>
      </c>
      <c r="AJ40" s="2"/>
      <c r="AK40" s="8" t="e">
        <f>AM33</f>
        <v>#DIV/0!</v>
      </c>
      <c r="AL40" s="123">
        <v>0</v>
      </c>
      <c r="AM40" s="2"/>
      <c r="AN40" s="22"/>
    </row>
    <row r="41" spans="22:40" x14ac:dyDescent="0.2">
      <c r="V41" s="57"/>
      <c r="W41" s="47"/>
      <c r="X41" s="2"/>
      <c r="Y41" s="47"/>
      <c r="Z41" s="47"/>
      <c r="AA41" s="2"/>
      <c r="AB41" s="2"/>
      <c r="AC41" s="2"/>
      <c r="AD41" s="2"/>
      <c r="AE41" s="2"/>
      <c r="AF41" s="2"/>
      <c r="AG41" s="2"/>
      <c r="AH41" s="8">
        <f>AH38</f>
        <v>9</v>
      </c>
      <c r="AI41" s="123">
        <f>AI40</f>
        <v>73.2</v>
      </c>
      <c r="AJ41" s="2"/>
      <c r="AK41" s="8" t="e">
        <f>AK40</f>
        <v>#DIV/0!</v>
      </c>
      <c r="AL41" s="8" t="e">
        <f>AN33</f>
        <v>#DIV/0!</v>
      </c>
      <c r="AM41" s="2"/>
      <c r="AN41" s="22"/>
    </row>
    <row r="42" spans="22:40" x14ac:dyDescent="0.2">
      <c r="V42" s="23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8">
        <f>AH38</f>
        <v>9</v>
      </c>
      <c r="AI42" s="123">
        <f>AI38</f>
        <v>73.2</v>
      </c>
      <c r="AJ42" s="2"/>
      <c r="AK42" s="8" t="e">
        <f>AM34</f>
        <v>#DIV/0!</v>
      </c>
      <c r="AL42" s="123">
        <v>0</v>
      </c>
      <c r="AM42" s="2"/>
      <c r="AN42" s="22"/>
    </row>
    <row r="43" spans="22:40" x14ac:dyDescent="0.2">
      <c r="V43" s="23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8" t="e">
        <f>AK42</f>
        <v>#DIV/0!</v>
      </c>
      <c r="AL43" s="8" t="e">
        <f>AN34</f>
        <v>#DIV/0!</v>
      </c>
      <c r="AM43" s="2"/>
      <c r="AN43" s="22"/>
    </row>
    <row r="44" spans="22:40" x14ac:dyDescent="0.2">
      <c r="V44" s="23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11"/>
      <c r="AL44" s="3"/>
      <c r="AM44" s="2"/>
      <c r="AN44" s="22"/>
    </row>
    <row r="45" spans="22:40" x14ac:dyDescent="0.2">
      <c r="V45" s="23" t="s">
        <v>13</v>
      </c>
      <c r="W45" s="2"/>
      <c r="X45" s="2"/>
      <c r="Y45" s="2"/>
      <c r="Z45" s="2" t="s">
        <v>14</v>
      </c>
      <c r="AA45" s="2"/>
      <c r="AB45" s="2"/>
      <c r="AC45" s="2"/>
      <c r="AD45" s="2" t="s">
        <v>15</v>
      </c>
      <c r="AE45" s="2"/>
      <c r="AF45" s="2"/>
      <c r="AG45" s="2"/>
      <c r="AH45" s="2"/>
      <c r="AI45" s="2"/>
      <c r="AJ45" s="2"/>
      <c r="AK45" s="11"/>
      <c r="AL45" s="11"/>
      <c r="AM45" s="2"/>
      <c r="AN45" s="22"/>
    </row>
    <row r="46" spans="22:40" x14ac:dyDescent="0.2">
      <c r="V46" s="134" t="s">
        <v>2</v>
      </c>
      <c r="W46" s="135" t="s">
        <v>3</v>
      </c>
      <c r="X46" s="135" t="s">
        <v>4</v>
      </c>
      <c r="Y46" s="2"/>
      <c r="Z46" s="136" t="s">
        <v>2</v>
      </c>
      <c r="AA46" s="136" t="s">
        <v>3</v>
      </c>
      <c r="AB46" s="123" t="s">
        <v>4</v>
      </c>
      <c r="AC46" s="2"/>
      <c r="AD46" s="137" t="s">
        <v>2</v>
      </c>
      <c r="AE46" s="137" t="s">
        <v>3</v>
      </c>
      <c r="AF46" s="137" t="s">
        <v>4</v>
      </c>
      <c r="AG46" s="2"/>
      <c r="AH46" s="2"/>
      <c r="AI46" s="2"/>
      <c r="AJ46" s="2"/>
      <c r="AK46" s="11"/>
      <c r="AL46" s="3"/>
      <c r="AM46" s="2"/>
      <c r="AN46" s="22"/>
    </row>
    <row r="47" spans="22:40" x14ac:dyDescent="0.2">
      <c r="V47" s="26">
        <v>0</v>
      </c>
      <c r="W47" s="7">
        <f>-$D$7*V47^2/2</f>
        <v>0</v>
      </c>
      <c r="X47" s="7">
        <f>-$D$7*V47</f>
        <v>0</v>
      </c>
      <c r="Y47" s="2"/>
      <c r="Z47" s="10">
        <v>0</v>
      </c>
      <c r="AA47" s="10">
        <f t="shared" ref="AA47:AA55" si="0">-$Z$21-$E$7*Z47^2/2+$W$28*Z47</f>
        <v>0</v>
      </c>
      <c r="AB47" s="10">
        <f t="shared" ref="AB47:AB55" si="1">-$E$7*Z47+$W$28</f>
        <v>0</v>
      </c>
      <c r="AC47" s="2"/>
      <c r="AD47" s="7">
        <f t="shared" ref="AD47:AF50" si="2">V47</f>
        <v>0</v>
      </c>
      <c r="AE47" s="7">
        <f t="shared" si="2"/>
        <v>0</v>
      </c>
      <c r="AF47" s="7">
        <f t="shared" si="2"/>
        <v>0</v>
      </c>
      <c r="AG47" s="2"/>
      <c r="AH47" s="2"/>
      <c r="AI47" s="2"/>
      <c r="AJ47" s="2"/>
      <c r="AK47" s="11"/>
      <c r="AL47" s="11"/>
      <c r="AM47" s="2"/>
      <c r="AN47" s="22"/>
    </row>
    <row r="48" spans="22:40" x14ac:dyDescent="0.2">
      <c r="V48" s="26">
        <f>$D$4/3</f>
        <v>0</v>
      </c>
      <c r="W48" s="7">
        <f>-$D$7*V48^2/2</f>
        <v>0</v>
      </c>
      <c r="X48" s="7">
        <f>-$D$7*V48</f>
        <v>0</v>
      </c>
      <c r="Y48" s="2"/>
      <c r="Z48" s="10">
        <f>$E$4/8</f>
        <v>0.625</v>
      </c>
      <c r="AA48" s="10">
        <f t="shared" si="0"/>
        <v>0</v>
      </c>
      <c r="AB48" s="10">
        <f t="shared" si="1"/>
        <v>0</v>
      </c>
      <c r="AC48" s="2"/>
      <c r="AD48" s="7">
        <f t="shared" si="2"/>
        <v>0</v>
      </c>
      <c r="AE48" s="7">
        <f t="shared" si="2"/>
        <v>0</v>
      </c>
      <c r="AF48" s="7">
        <f t="shared" si="2"/>
        <v>0</v>
      </c>
      <c r="AG48" s="2"/>
      <c r="AH48" s="2"/>
      <c r="AI48" s="2"/>
      <c r="AJ48" s="2"/>
      <c r="AK48" s="2"/>
      <c r="AL48" s="2"/>
      <c r="AM48" s="2"/>
      <c r="AN48" s="22"/>
    </row>
    <row r="49" spans="13:40" x14ac:dyDescent="0.2">
      <c r="V49" s="26">
        <f>2*$D$4/3</f>
        <v>0</v>
      </c>
      <c r="W49" s="7">
        <f>-$D$7*V49^2/2</f>
        <v>0</v>
      </c>
      <c r="X49" s="7">
        <f>-$D$7*V49</f>
        <v>0</v>
      </c>
      <c r="Y49" s="2"/>
      <c r="Z49" s="10">
        <f>2*$E$4/8</f>
        <v>1.25</v>
      </c>
      <c r="AA49" s="10">
        <f t="shared" si="0"/>
        <v>0</v>
      </c>
      <c r="AB49" s="10">
        <f t="shared" si="1"/>
        <v>0</v>
      </c>
      <c r="AC49" s="2"/>
      <c r="AD49" s="7">
        <f t="shared" si="2"/>
        <v>0</v>
      </c>
      <c r="AE49" s="7">
        <f t="shared" si="2"/>
        <v>0</v>
      </c>
      <c r="AF49" s="7">
        <f t="shared" si="2"/>
        <v>0</v>
      </c>
      <c r="AG49" s="2"/>
      <c r="AH49" s="2"/>
      <c r="AI49" s="2"/>
      <c r="AJ49" s="2"/>
      <c r="AK49" s="2"/>
      <c r="AL49" s="2"/>
      <c r="AM49" s="2"/>
      <c r="AN49" s="22"/>
    </row>
    <row r="50" spans="13:40" x14ac:dyDescent="0.2">
      <c r="V50" s="26">
        <f>3*$D$4/3</f>
        <v>0</v>
      </c>
      <c r="W50" s="7">
        <f>-$D$7*V50^2/2</f>
        <v>0</v>
      </c>
      <c r="X50" s="7">
        <f>-$D$7*V50</f>
        <v>0</v>
      </c>
      <c r="Y50" s="2"/>
      <c r="Z50" s="10">
        <f>3*$E$4/8</f>
        <v>1.875</v>
      </c>
      <c r="AA50" s="10">
        <f t="shared" si="0"/>
        <v>0</v>
      </c>
      <c r="AB50" s="10">
        <f t="shared" si="1"/>
        <v>0</v>
      </c>
      <c r="AC50" s="2"/>
      <c r="AD50" s="7">
        <f t="shared" si="2"/>
        <v>0</v>
      </c>
      <c r="AE50" s="7">
        <f t="shared" si="2"/>
        <v>0</v>
      </c>
      <c r="AF50" s="7">
        <f t="shared" si="2"/>
        <v>0</v>
      </c>
      <c r="AG50" s="2"/>
      <c r="AH50" s="2"/>
      <c r="AI50" s="2"/>
      <c r="AJ50" s="2"/>
      <c r="AK50" s="2"/>
      <c r="AL50" s="2"/>
      <c r="AM50" s="2"/>
      <c r="AN50" s="22"/>
    </row>
    <row r="51" spans="13:40" x14ac:dyDescent="0.2">
      <c r="V51" s="24"/>
      <c r="W51" s="3"/>
      <c r="X51" s="3"/>
      <c r="Y51" s="2"/>
      <c r="Z51" s="10">
        <f>4*$E$4/8</f>
        <v>2.5</v>
      </c>
      <c r="AA51" s="10">
        <f t="shared" si="0"/>
        <v>0</v>
      </c>
      <c r="AB51" s="10">
        <f t="shared" si="1"/>
        <v>0</v>
      </c>
      <c r="AC51" s="2"/>
      <c r="AD51" s="10">
        <f t="shared" ref="AD51:AD59" si="3">$AD$50+Z47</f>
        <v>0</v>
      </c>
      <c r="AE51" s="10">
        <f t="shared" ref="AE51:AF59" si="4">AA47</f>
        <v>0</v>
      </c>
      <c r="AF51" s="10">
        <f t="shared" si="4"/>
        <v>0</v>
      </c>
      <c r="AG51" s="2"/>
      <c r="AH51" s="2"/>
      <c r="AI51" s="2"/>
      <c r="AJ51" s="2"/>
      <c r="AK51" s="2"/>
      <c r="AL51" s="2"/>
      <c r="AM51" s="2"/>
      <c r="AN51" s="22"/>
    </row>
    <row r="52" spans="13:40" x14ac:dyDescent="0.2">
      <c r="V52" s="24"/>
      <c r="W52" s="3"/>
      <c r="X52" s="3"/>
      <c r="Y52" s="2"/>
      <c r="Z52" s="10">
        <f>5*$E$4/8</f>
        <v>3.125</v>
      </c>
      <c r="AA52" s="10">
        <f t="shared" si="0"/>
        <v>0</v>
      </c>
      <c r="AB52" s="10">
        <f t="shared" si="1"/>
        <v>0</v>
      </c>
      <c r="AC52" s="3"/>
      <c r="AD52" s="10">
        <f t="shared" si="3"/>
        <v>0.625</v>
      </c>
      <c r="AE52" s="10">
        <f t="shared" si="4"/>
        <v>0</v>
      </c>
      <c r="AF52" s="10">
        <f t="shared" si="4"/>
        <v>0</v>
      </c>
      <c r="AG52" s="2"/>
      <c r="AH52" s="2"/>
      <c r="AI52" s="2"/>
      <c r="AJ52" s="2"/>
      <c r="AK52" s="2" t="s">
        <v>6</v>
      </c>
      <c r="AL52" s="2"/>
      <c r="AM52" s="2"/>
      <c r="AN52" s="22"/>
    </row>
    <row r="53" spans="13:40" x14ac:dyDescent="0.2">
      <c r="M53" s="2"/>
      <c r="N53" s="2"/>
      <c r="V53" s="24"/>
      <c r="W53" s="3"/>
      <c r="X53" s="3"/>
      <c r="Y53" s="2"/>
      <c r="Z53" s="10">
        <f>6*$E$4/8</f>
        <v>3.75</v>
      </c>
      <c r="AA53" s="10">
        <f t="shared" si="0"/>
        <v>0</v>
      </c>
      <c r="AB53" s="10">
        <f t="shared" si="1"/>
        <v>0</v>
      </c>
      <c r="AC53" s="3"/>
      <c r="AD53" s="10">
        <f t="shared" si="3"/>
        <v>1.25</v>
      </c>
      <c r="AE53" s="10">
        <f t="shared" si="4"/>
        <v>0</v>
      </c>
      <c r="AF53" s="10">
        <f t="shared" si="4"/>
        <v>0</v>
      </c>
      <c r="AG53" s="2"/>
      <c r="AH53" s="2"/>
      <c r="AI53" s="2"/>
      <c r="AJ53" s="2"/>
      <c r="AK53" s="123" t="s">
        <v>2</v>
      </c>
      <c r="AL53" s="123" t="s">
        <v>5</v>
      </c>
      <c r="AM53" s="2"/>
      <c r="AN53" s="22"/>
    </row>
    <row r="54" spans="13:40" x14ac:dyDescent="0.2">
      <c r="M54" s="2"/>
      <c r="N54" s="2"/>
      <c r="V54" s="24"/>
      <c r="W54" s="3"/>
      <c r="X54" s="3"/>
      <c r="Y54" s="2"/>
      <c r="Z54" s="10">
        <f>7*$E$4/8</f>
        <v>4.375</v>
      </c>
      <c r="AA54" s="10">
        <f t="shared" si="0"/>
        <v>0</v>
      </c>
      <c r="AB54" s="10">
        <f t="shared" si="1"/>
        <v>0</v>
      </c>
      <c r="AC54" s="2"/>
      <c r="AD54" s="10">
        <f t="shared" si="3"/>
        <v>1.875</v>
      </c>
      <c r="AE54" s="10">
        <f t="shared" si="4"/>
        <v>0</v>
      </c>
      <c r="AF54" s="10">
        <f t="shared" si="4"/>
        <v>0</v>
      </c>
      <c r="AG54" s="2"/>
      <c r="AH54" s="2"/>
      <c r="AI54" s="2"/>
      <c r="AJ54" s="2"/>
      <c r="AK54" s="8">
        <v>0</v>
      </c>
      <c r="AL54" s="123">
        <v>0</v>
      </c>
      <c r="AM54" s="2"/>
      <c r="AN54" s="22"/>
    </row>
    <row r="55" spans="13:40" x14ac:dyDescent="0.2">
      <c r="M55" s="2"/>
      <c r="N55" s="2"/>
      <c r="V55" s="24"/>
      <c r="W55" s="3"/>
      <c r="X55" s="3"/>
      <c r="Y55" s="2"/>
      <c r="Z55" s="10">
        <f>8*$E$4/8</f>
        <v>5</v>
      </c>
      <c r="AA55" s="10">
        <f t="shared" si="0"/>
        <v>0</v>
      </c>
      <c r="AB55" s="10">
        <f t="shared" si="1"/>
        <v>0</v>
      </c>
      <c r="AC55" s="2"/>
      <c r="AD55" s="10">
        <f t="shared" si="3"/>
        <v>2.5</v>
      </c>
      <c r="AE55" s="10">
        <f t="shared" si="4"/>
        <v>0</v>
      </c>
      <c r="AF55" s="10">
        <f t="shared" si="4"/>
        <v>0</v>
      </c>
      <c r="AG55" s="2"/>
      <c r="AH55" s="2"/>
      <c r="AI55" s="2"/>
      <c r="AJ55" s="2"/>
      <c r="AK55" s="8">
        <f>D4</f>
        <v>0</v>
      </c>
      <c r="AL55" s="123">
        <v>0</v>
      </c>
      <c r="AM55" s="2"/>
      <c r="AN55" s="22"/>
    </row>
    <row r="56" spans="13:40" x14ac:dyDescent="0.2">
      <c r="M56" s="2"/>
      <c r="N56" s="2"/>
      <c r="V56" s="23"/>
      <c r="W56" s="2"/>
      <c r="X56" s="2"/>
      <c r="Y56" s="2"/>
      <c r="Z56" s="2"/>
      <c r="AA56" s="2"/>
      <c r="AB56" s="2"/>
      <c r="AC56" s="2"/>
      <c r="AD56" s="10">
        <f t="shared" si="3"/>
        <v>3.125</v>
      </c>
      <c r="AE56" s="10">
        <f t="shared" si="4"/>
        <v>0</v>
      </c>
      <c r="AF56" s="10">
        <f t="shared" si="4"/>
        <v>0</v>
      </c>
      <c r="AG56" s="2"/>
      <c r="AH56" s="2"/>
      <c r="AI56" s="2"/>
      <c r="AJ56" s="2"/>
      <c r="AK56" s="8">
        <f>AK55+E4</f>
        <v>5</v>
      </c>
      <c r="AL56" s="123">
        <v>0</v>
      </c>
      <c r="AM56" s="2"/>
      <c r="AN56" s="22"/>
    </row>
    <row r="57" spans="13:40" x14ac:dyDescent="0.2">
      <c r="V57" s="23" t="s">
        <v>84</v>
      </c>
      <c r="W57" s="2"/>
      <c r="X57" s="2"/>
      <c r="Y57" s="2"/>
      <c r="Z57" s="2" t="s">
        <v>69</v>
      </c>
      <c r="AA57" s="2"/>
      <c r="AB57" s="2"/>
      <c r="AC57" s="2"/>
      <c r="AD57" s="10">
        <f t="shared" si="3"/>
        <v>3.75</v>
      </c>
      <c r="AE57" s="10">
        <f t="shared" si="4"/>
        <v>0</v>
      </c>
      <c r="AF57" s="10">
        <f t="shared" si="4"/>
        <v>0</v>
      </c>
      <c r="AG57" s="2"/>
      <c r="AH57" s="2"/>
      <c r="AI57" s="2"/>
      <c r="AJ57" s="2"/>
      <c r="AK57" s="8">
        <f>AK56+F4</f>
        <v>9</v>
      </c>
      <c r="AL57" s="123">
        <v>0</v>
      </c>
      <c r="AM57" s="2"/>
      <c r="AN57" s="22"/>
    </row>
    <row r="58" spans="13:40" x14ac:dyDescent="0.2">
      <c r="V58" s="138" t="s">
        <v>2</v>
      </c>
      <c r="W58" s="136" t="s">
        <v>3</v>
      </c>
      <c r="X58" s="123" t="s">
        <v>4</v>
      </c>
      <c r="Y58" s="2"/>
      <c r="Z58" s="136" t="s">
        <v>2</v>
      </c>
      <c r="AA58" s="136" t="s">
        <v>3</v>
      </c>
      <c r="AB58" s="123" t="s">
        <v>4</v>
      </c>
      <c r="AC58" s="2"/>
      <c r="AD58" s="10">
        <f t="shared" si="3"/>
        <v>4.375</v>
      </c>
      <c r="AE58" s="10">
        <f t="shared" si="4"/>
        <v>0</v>
      </c>
      <c r="AF58" s="10">
        <f t="shared" si="4"/>
        <v>0</v>
      </c>
      <c r="AG58" s="2"/>
      <c r="AH58" s="2"/>
      <c r="AI58" s="2"/>
      <c r="AJ58" s="2"/>
      <c r="AK58" s="8">
        <f>AK57+G4</f>
        <v>10.1</v>
      </c>
      <c r="AL58" s="123">
        <v>0</v>
      </c>
      <c r="AM58" s="2"/>
      <c r="AN58" s="22"/>
    </row>
    <row r="59" spans="13:40" x14ac:dyDescent="0.2">
      <c r="V59" s="139">
        <v>0</v>
      </c>
      <c r="W59" s="140">
        <f t="shared" ref="W59:W67" si="5">-$W$21-$F$7*V59^2/2+$Y$28*V59</f>
        <v>0</v>
      </c>
      <c r="X59" s="140">
        <f t="shared" ref="X59:X67" si="6">-$F$7*V59+$Y$28</f>
        <v>0</v>
      </c>
      <c r="Y59" s="2"/>
      <c r="Z59" s="8">
        <v>0</v>
      </c>
      <c r="AA59" s="8">
        <f>-$G$7*Z59^2/2-$Z$22+$AA$28*Z59</f>
        <v>0</v>
      </c>
      <c r="AB59" s="8">
        <f>$AA$28-$G$7*Z59</f>
        <v>0</v>
      </c>
      <c r="AC59" s="2"/>
      <c r="AD59" s="10">
        <f t="shared" si="3"/>
        <v>5</v>
      </c>
      <c r="AE59" s="10">
        <f t="shared" si="4"/>
        <v>0</v>
      </c>
      <c r="AF59" s="10">
        <f t="shared" si="4"/>
        <v>0</v>
      </c>
      <c r="AG59" s="2"/>
      <c r="AH59" s="2"/>
      <c r="AI59" s="2"/>
      <c r="AJ59" s="2"/>
      <c r="AK59" s="11"/>
      <c r="AL59" s="3"/>
      <c r="AM59" s="2"/>
      <c r="AN59" s="22"/>
    </row>
    <row r="60" spans="13:40" x14ac:dyDescent="0.2">
      <c r="V60" s="139">
        <f>$F$4/8</f>
        <v>0.5</v>
      </c>
      <c r="W60" s="140">
        <f t="shared" si="5"/>
        <v>0</v>
      </c>
      <c r="X60" s="140">
        <f t="shared" si="6"/>
        <v>0</v>
      </c>
      <c r="Y60" s="2"/>
      <c r="Z60" s="8">
        <f>$G$4/3</f>
        <v>0.3666666666666667</v>
      </c>
      <c r="AA60" s="8">
        <f>-$G$7*Z60^2/2-$Z$22+$AA$28*Z60</f>
        <v>0</v>
      </c>
      <c r="AB60" s="8">
        <f>$AA$28-$G$7*Z60</f>
        <v>0</v>
      </c>
      <c r="AC60" s="2"/>
      <c r="AD60" s="140">
        <f t="shared" ref="AD60:AD68" si="7">$AD$59+V59</f>
        <v>5</v>
      </c>
      <c r="AE60" s="140">
        <f t="shared" ref="AE60:AF68" si="8">W59</f>
        <v>0</v>
      </c>
      <c r="AF60" s="140">
        <f t="shared" si="8"/>
        <v>0</v>
      </c>
      <c r="AG60" s="2"/>
      <c r="AH60" s="2"/>
      <c r="AI60" s="2"/>
      <c r="AJ60" s="2"/>
      <c r="AK60" s="11"/>
      <c r="AL60" s="3"/>
      <c r="AM60" s="2"/>
      <c r="AN60" s="22"/>
    </row>
    <row r="61" spans="13:40" x14ac:dyDescent="0.2">
      <c r="V61" s="139">
        <f>2*$F$4/8</f>
        <v>1</v>
      </c>
      <c r="W61" s="140">
        <f t="shared" si="5"/>
        <v>0</v>
      </c>
      <c r="X61" s="140">
        <f t="shared" si="6"/>
        <v>0</v>
      </c>
      <c r="Y61" s="2"/>
      <c r="Z61" s="8">
        <f>2*$G$4/3</f>
        <v>0.73333333333333339</v>
      </c>
      <c r="AA61" s="8">
        <f>-$G$7*Z61^2/2-$Z$22+$AA$28*Z61</f>
        <v>0</v>
      </c>
      <c r="AB61" s="8">
        <f>$AA$28-$G$7*Z61</f>
        <v>0</v>
      </c>
      <c r="AC61" s="2"/>
      <c r="AD61" s="140">
        <f t="shared" si="7"/>
        <v>5.5</v>
      </c>
      <c r="AE61" s="140">
        <f t="shared" si="8"/>
        <v>0</v>
      </c>
      <c r="AF61" s="140">
        <f t="shared" si="8"/>
        <v>0</v>
      </c>
      <c r="AG61" s="2"/>
      <c r="AH61" s="2"/>
      <c r="AI61" s="2"/>
      <c r="AJ61" s="2"/>
      <c r="AK61" s="2"/>
      <c r="AL61" s="2"/>
      <c r="AM61" s="2"/>
      <c r="AN61" s="22"/>
    </row>
    <row r="62" spans="13:40" x14ac:dyDescent="0.2">
      <c r="V62" s="139">
        <f>3*$F$4/8</f>
        <v>1.5</v>
      </c>
      <c r="W62" s="140">
        <f t="shared" si="5"/>
        <v>0</v>
      </c>
      <c r="X62" s="140">
        <f t="shared" si="6"/>
        <v>0</v>
      </c>
      <c r="Y62" s="2"/>
      <c r="Z62" s="8">
        <f>3*$G$4/3</f>
        <v>1.1000000000000001</v>
      </c>
      <c r="AA62" s="8">
        <f>-$G$7*Z62^2/2-$Z$22+$AA$28*Z62</f>
        <v>0</v>
      </c>
      <c r="AB62" s="8">
        <f>$AA$28-$G$7*Z62</f>
        <v>0</v>
      </c>
      <c r="AC62" s="2"/>
      <c r="AD62" s="140">
        <f t="shared" si="7"/>
        <v>6</v>
      </c>
      <c r="AE62" s="140">
        <f t="shared" si="8"/>
        <v>0</v>
      </c>
      <c r="AF62" s="140">
        <f t="shared" si="8"/>
        <v>0</v>
      </c>
      <c r="AG62" s="2"/>
      <c r="AH62" s="2"/>
      <c r="AI62" s="2"/>
      <c r="AJ62" s="2"/>
      <c r="AK62" s="2"/>
      <c r="AL62" s="2"/>
      <c r="AM62" s="2"/>
      <c r="AN62" s="22"/>
    </row>
    <row r="63" spans="13:40" x14ac:dyDescent="0.2">
      <c r="V63" s="139">
        <f>4*$F$4/8</f>
        <v>2</v>
      </c>
      <c r="W63" s="140">
        <f t="shared" si="5"/>
        <v>0</v>
      </c>
      <c r="X63" s="140">
        <f t="shared" si="6"/>
        <v>0</v>
      </c>
      <c r="Y63" s="2"/>
      <c r="Z63" s="2"/>
      <c r="AA63" s="2"/>
      <c r="AB63" s="2"/>
      <c r="AC63" s="2"/>
      <c r="AD63" s="140">
        <f t="shared" si="7"/>
        <v>6.5</v>
      </c>
      <c r="AE63" s="140">
        <f t="shared" si="8"/>
        <v>0</v>
      </c>
      <c r="AF63" s="140">
        <f t="shared" si="8"/>
        <v>0</v>
      </c>
      <c r="AG63" s="2"/>
      <c r="AH63" s="2"/>
      <c r="AI63" s="2"/>
      <c r="AJ63" s="2"/>
      <c r="AK63" s="2"/>
      <c r="AL63" s="2"/>
      <c r="AM63" s="2"/>
      <c r="AN63" s="22"/>
    </row>
    <row r="64" spans="13:40" x14ac:dyDescent="0.2">
      <c r="V64" s="139">
        <f>5*$F$4/8</f>
        <v>2.5</v>
      </c>
      <c r="W64" s="140">
        <f t="shared" si="5"/>
        <v>0</v>
      </c>
      <c r="X64" s="140">
        <f t="shared" si="6"/>
        <v>0</v>
      </c>
      <c r="Y64" s="2"/>
      <c r="Z64" s="15"/>
      <c r="AA64" s="15"/>
      <c r="AB64" s="15"/>
      <c r="AC64" s="2"/>
      <c r="AD64" s="140">
        <f t="shared" si="7"/>
        <v>7</v>
      </c>
      <c r="AE64" s="140">
        <f t="shared" si="8"/>
        <v>0</v>
      </c>
      <c r="AF64" s="140">
        <f t="shared" si="8"/>
        <v>0</v>
      </c>
      <c r="AG64" s="2"/>
      <c r="AH64" s="2"/>
      <c r="AI64" s="2"/>
      <c r="AJ64" s="2"/>
      <c r="AK64" s="2"/>
      <c r="AL64" s="2"/>
      <c r="AM64" s="2"/>
      <c r="AN64" s="22"/>
    </row>
    <row r="65" spans="22:40" x14ac:dyDescent="0.2">
      <c r="V65" s="139">
        <f>6*$F$4/8</f>
        <v>3</v>
      </c>
      <c r="W65" s="140">
        <f t="shared" si="5"/>
        <v>0</v>
      </c>
      <c r="X65" s="140">
        <f t="shared" si="6"/>
        <v>0</v>
      </c>
      <c r="Y65" s="2"/>
      <c r="Z65" s="15"/>
      <c r="AA65" s="15"/>
      <c r="AB65" s="15"/>
      <c r="AC65" s="2"/>
      <c r="AD65" s="140">
        <f t="shared" si="7"/>
        <v>7.5</v>
      </c>
      <c r="AE65" s="140">
        <f t="shared" si="8"/>
        <v>0</v>
      </c>
      <c r="AF65" s="140">
        <f t="shared" si="8"/>
        <v>0</v>
      </c>
      <c r="AG65" s="2"/>
      <c r="AH65" s="2"/>
      <c r="AI65" s="2"/>
      <c r="AJ65" s="2"/>
      <c r="AK65" s="2"/>
      <c r="AL65" s="2"/>
      <c r="AM65" s="2"/>
      <c r="AN65" s="22"/>
    </row>
    <row r="66" spans="22:40" x14ac:dyDescent="0.2">
      <c r="V66" s="139">
        <f>7*$F$4/8</f>
        <v>3.5</v>
      </c>
      <c r="W66" s="140">
        <f t="shared" si="5"/>
        <v>0</v>
      </c>
      <c r="X66" s="140">
        <f t="shared" si="6"/>
        <v>0</v>
      </c>
      <c r="Y66" s="2"/>
      <c r="Z66" s="15"/>
      <c r="AA66" s="15"/>
      <c r="AB66" s="15"/>
      <c r="AC66" s="2"/>
      <c r="AD66" s="140">
        <f t="shared" si="7"/>
        <v>8</v>
      </c>
      <c r="AE66" s="140">
        <f t="shared" si="8"/>
        <v>0</v>
      </c>
      <c r="AF66" s="140">
        <f t="shared" si="8"/>
        <v>0</v>
      </c>
      <c r="AG66" s="2"/>
      <c r="AH66" s="2"/>
      <c r="AI66" s="2"/>
      <c r="AJ66" s="2"/>
      <c r="AK66" s="2"/>
      <c r="AL66" s="2"/>
      <c r="AM66" s="2"/>
      <c r="AN66" s="22"/>
    </row>
    <row r="67" spans="22:40" x14ac:dyDescent="0.2">
      <c r="V67" s="139">
        <f>8*$F$4/8</f>
        <v>4</v>
      </c>
      <c r="W67" s="140">
        <f t="shared" si="5"/>
        <v>0</v>
      </c>
      <c r="X67" s="140">
        <f t="shared" si="6"/>
        <v>0</v>
      </c>
      <c r="Y67" s="2"/>
      <c r="Z67" s="15"/>
      <c r="AA67" s="15"/>
      <c r="AB67" s="15"/>
      <c r="AC67" s="2"/>
      <c r="AD67" s="140">
        <f t="shared" si="7"/>
        <v>8.5</v>
      </c>
      <c r="AE67" s="140">
        <f t="shared" si="8"/>
        <v>0</v>
      </c>
      <c r="AF67" s="140">
        <f t="shared" si="8"/>
        <v>0</v>
      </c>
      <c r="AG67" s="2"/>
      <c r="AH67" s="2"/>
      <c r="AI67" s="2"/>
      <c r="AJ67" s="2"/>
      <c r="AK67" s="2"/>
      <c r="AL67" s="2"/>
      <c r="AM67" s="2"/>
      <c r="AN67" s="22"/>
    </row>
    <row r="68" spans="22:40" x14ac:dyDescent="0.2">
      <c r="V68" s="23"/>
      <c r="W68" s="2"/>
      <c r="X68" s="2"/>
      <c r="Y68" s="2"/>
      <c r="Z68" s="2"/>
      <c r="AA68" s="2"/>
      <c r="AB68" s="2"/>
      <c r="AC68" s="2"/>
      <c r="AD68" s="140">
        <f t="shared" si="7"/>
        <v>9</v>
      </c>
      <c r="AE68" s="140">
        <f t="shared" si="8"/>
        <v>0</v>
      </c>
      <c r="AF68" s="140">
        <f t="shared" si="8"/>
        <v>0</v>
      </c>
      <c r="AG68" s="2"/>
      <c r="AH68" s="2"/>
      <c r="AI68" s="2"/>
      <c r="AJ68" s="2"/>
      <c r="AK68" s="2"/>
      <c r="AL68" s="2"/>
      <c r="AM68" s="2"/>
      <c r="AN68" s="22"/>
    </row>
    <row r="69" spans="22:40" x14ac:dyDescent="0.2">
      <c r="V69" s="23"/>
      <c r="W69" s="2"/>
      <c r="X69" s="2"/>
      <c r="Y69" s="2"/>
      <c r="Z69" s="2"/>
      <c r="AA69" s="2"/>
      <c r="AB69" s="2"/>
      <c r="AC69" s="2"/>
      <c r="AD69" s="8">
        <f>$AD$68+Z59</f>
        <v>9</v>
      </c>
      <c r="AE69" s="8">
        <f t="shared" ref="AE69:AF72" si="9">AA59</f>
        <v>0</v>
      </c>
      <c r="AF69" s="8">
        <f t="shared" si="9"/>
        <v>0</v>
      </c>
      <c r="AG69" s="2"/>
      <c r="AH69" s="2"/>
      <c r="AI69" s="2"/>
      <c r="AJ69" s="2"/>
      <c r="AK69" s="2"/>
      <c r="AL69" s="2"/>
      <c r="AM69" s="2"/>
      <c r="AN69" s="22"/>
    </row>
    <row r="70" spans="22:40" x14ac:dyDescent="0.2">
      <c r="V70" s="23"/>
      <c r="W70" s="2"/>
      <c r="X70" s="2"/>
      <c r="Y70" s="2"/>
      <c r="Z70" s="2"/>
      <c r="AA70" s="2"/>
      <c r="AB70" s="2"/>
      <c r="AC70" s="2"/>
      <c r="AD70" s="8">
        <f t="shared" ref="AD70:AD72" si="10">$AD$68+Z60</f>
        <v>9.3666666666666671</v>
      </c>
      <c r="AE70" s="8">
        <f t="shared" si="9"/>
        <v>0</v>
      </c>
      <c r="AF70" s="8">
        <f t="shared" si="9"/>
        <v>0</v>
      </c>
      <c r="AG70" s="2"/>
      <c r="AH70" s="2"/>
      <c r="AI70" s="2"/>
      <c r="AJ70" s="2"/>
      <c r="AK70" s="2"/>
      <c r="AL70" s="2"/>
      <c r="AM70" s="2"/>
      <c r="AN70" s="22"/>
    </row>
    <row r="71" spans="22:40" x14ac:dyDescent="0.2">
      <c r="V71" s="49"/>
      <c r="W71" s="5"/>
      <c r="X71" s="3"/>
      <c r="Y71" s="2"/>
      <c r="Z71" s="2"/>
      <c r="AA71" s="2"/>
      <c r="AB71" s="2"/>
      <c r="AC71" s="2"/>
      <c r="AD71" s="8">
        <f t="shared" si="10"/>
        <v>9.7333333333333343</v>
      </c>
      <c r="AE71" s="8">
        <f t="shared" si="9"/>
        <v>0</v>
      </c>
      <c r="AF71" s="8">
        <f t="shared" si="9"/>
        <v>0</v>
      </c>
      <c r="AG71" s="2"/>
      <c r="AH71" s="2"/>
      <c r="AI71" s="2"/>
      <c r="AJ71" s="2"/>
      <c r="AK71" s="2"/>
      <c r="AL71" s="2"/>
      <c r="AM71" s="2"/>
      <c r="AN71" s="22"/>
    </row>
    <row r="72" spans="22:40" ht="12.75" thickBot="1" x14ac:dyDescent="0.25">
      <c r="V72" s="141"/>
      <c r="W72" s="142"/>
      <c r="X72" s="142"/>
      <c r="Y72" s="27"/>
      <c r="Z72" s="27"/>
      <c r="AA72" s="27"/>
      <c r="AB72" s="27"/>
      <c r="AC72" s="27"/>
      <c r="AD72" s="143">
        <f t="shared" si="10"/>
        <v>10.1</v>
      </c>
      <c r="AE72" s="143">
        <f t="shared" si="9"/>
        <v>0</v>
      </c>
      <c r="AF72" s="143">
        <f t="shared" si="9"/>
        <v>0</v>
      </c>
      <c r="AG72" s="27"/>
      <c r="AH72" s="27"/>
      <c r="AI72" s="27"/>
      <c r="AJ72" s="27"/>
      <c r="AK72" s="27"/>
      <c r="AL72" s="27"/>
      <c r="AM72" s="27"/>
      <c r="AN72" s="28"/>
    </row>
    <row r="73" spans="22:40" ht="12.75" thickTop="1" x14ac:dyDescent="0.2">
      <c r="V73" s="55"/>
      <c r="W73" s="114"/>
      <c r="X73" s="114"/>
      <c r="Y73" s="19"/>
      <c r="Z73" s="19"/>
      <c r="AA73" s="19"/>
      <c r="AB73" s="19"/>
      <c r="AC73" s="19"/>
      <c r="AD73" s="114"/>
      <c r="AE73" s="114"/>
      <c r="AF73" s="114"/>
      <c r="AG73" s="19"/>
      <c r="AH73" s="19"/>
      <c r="AI73" s="19"/>
      <c r="AJ73" s="19"/>
      <c r="AK73" s="19"/>
      <c r="AL73" s="19"/>
      <c r="AM73" s="19"/>
      <c r="AN73" s="19"/>
    </row>
    <row r="74" spans="22:40" x14ac:dyDescent="0.2">
      <c r="V74" s="5"/>
      <c r="W74" s="15"/>
      <c r="X74" s="15"/>
      <c r="Y74" s="2"/>
      <c r="Z74" s="2"/>
      <c r="AA74" s="2"/>
      <c r="AB74" s="2"/>
      <c r="AC74" s="2"/>
      <c r="AD74" s="15"/>
      <c r="AE74" s="15"/>
      <c r="AF74" s="15"/>
      <c r="AG74" s="2"/>
      <c r="AH74" s="2"/>
      <c r="AI74" s="2"/>
      <c r="AJ74" s="2"/>
      <c r="AK74" s="2"/>
      <c r="AL74" s="2"/>
      <c r="AM74" s="2"/>
      <c r="AN74" s="2"/>
    </row>
    <row r="75" spans="22:40" x14ac:dyDescent="0.2">
      <c r="V75" s="5"/>
      <c r="W75" s="15"/>
      <c r="X75" s="15"/>
      <c r="Y75" s="2"/>
      <c r="Z75" s="2"/>
      <c r="AA75" s="2"/>
      <c r="AB75" s="2"/>
      <c r="AC75" s="2"/>
      <c r="AD75" s="15"/>
      <c r="AE75" s="15"/>
      <c r="AF75" s="15"/>
      <c r="AG75" s="2"/>
      <c r="AH75" s="2"/>
      <c r="AI75" s="2"/>
      <c r="AJ75" s="2"/>
      <c r="AK75" s="2"/>
      <c r="AL75" s="2"/>
      <c r="AM75" s="2"/>
      <c r="AN75" s="2"/>
    </row>
    <row r="76" spans="22:40" x14ac:dyDescent="0.2">
      <c r="V76" s="5"/>
      <c r="W76" s="15"/>
      <c r="X76" s="15"/>
      <c r="Y76" s="2"/>
      <c r="Z76" s="3"/>
      <c r="AA76" s="3"/>
      <c r="AB76" s="3"/>
      <c r="AC76" s="2"/>
      <c r="AD76" s="15"/>
      <c r="AE76" s="15"/>
      <c r="AF76" s="15"/>
      <c r="AG76" s="2"/>
      <c r="AH76" s="2"/>
      <c r="AI76" s="2"/>
      <c r="AJ76" s="2"/>
      <c r="AK76" s="2"/>
      <c r="AL76" s="2"/>
      <c r="AM76" s="2"/>
      <c r="AN76" s="2"/>
    </row>
    <row r="77" spans="22:40" x14ac:dyDescent="0.2">
      <c r="V77" s="5"/>
      <c r="W77" s="15"/>
      <c r="X77" s="15"/>
      <c r="Y77" s="2"/>
      <c r="Z77" s="3"/>
      <c r="AA77" s="3"/>
      <c r="AB77" s="3"/>
      <c r="AC77" s="2"/>
      <c r="AD77" s="15"/>
      <c r="AE77" s="15"/>
      <c r="AF77" s="15"/>
      <c r="AG77" s="2"/>
      <c r="AH77" s="2"/>
      <c r="AI77" s="2"/>
      <c r="AJ77" s="2"/>
      <c r="AK77" s="2"/>
      <c r="AL77" s="2"/>
      <c r="AM77" s="2"/>
      <c r="AN77" s="2"/>
    </row>
    <row r="78" spans="22:40" x14ac:dyDescent="0.2">
      <c r="V78" s="5"/>
      <c r="W78" s="15"/>
      <c r="X78" s="15"/>
      <c r="Y78" s="2"/>
      <c r="Z78" s="3"/>
      <c r="AA78" s="3"/>
      <c r="AB78" s="3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22:40" x14ac:dyDescent="0.2">
      <c r="V79" s="5"/>
      <c r="W79" s="15"/>
      <c r="X79" s="15"/>
      <c r="Y79" s="2"/>
      <c r="Z79" s="3"/>
      <c r="AA79" s="3"/>
      <c r="AB79" s="3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22:40" x14ac:dyDescent="0.2">
      <c r="V80" s="5"/>
      <c r="W80" s="15"/>
      <c r="X80" s="15"/>
      <c r="Y80" s="2"/>
      <c r="Z80" s="3"/>
      <c r="AA80" s="3"/>
      <c r="AB80" s="3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5:40" x14ac:dyDescent="0.2"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5:40" x14ac:dyDescent="0.2">
      <c r="V82" s="2"/>
      <c r="W82" s="2"/>
      <c r="X82" s="2"/>
      <c r="Y82" s="2"/>
      <c r="Z82" s="2"/>
      <c r="AA82" s="2"/>
      <c r="AB82" s="2"/>
      <c r="AC82" s="2"/>
      <c r="AD82" s="15"/>
      <c r="AE82" s="15"/>
      <c r="AF82" s="15"/>
      <c r="AG82" s="2"/>
      <c r="AH82" s="2"/>
      <c r="AI82" s="2"/>
      <c r="AJ82" s="2"/>
      <c r="AK82" s="2"/>
      <c r="AL82" s="2"/>
      <c r="AM82" s="2"/>
      <c r="AN82" s="2"/>
    </row>
    <row r="83" spans="5:40" x14ac:dyDescent="0.2">
      <c r="V83" s="2"/>
      <c r="W83" s="2"/>
      <c r="X83" s="2"/>
      <c r="Y83" s="2"/>
      <c r="Z83" s="2"/>
      <c r="AA83" s="2"/>
      <c r="AB83" s="2"/>
      <c r="AC83" s="2"/>
      <c r="AD83" s="15"/>
      <c r="AE83" s="15"/>
      <c r="AF83" s="15"/>
      <c r="AG83" s="2"/>
      <c r="AH83" s="2"/>
      <c r="AI83" s="2"/>
      <c r="AJ83" s="2"/>
      <c r="AK83" s="2"/>
      <c r="AL83" s="2"/>
      <c r="AM83" s="2"/>
      <c r="AN83" s="2"/>
    </row>
    <row r="84" spans="5:40" x14ac:dyDescent="0.2">
      <c r="V84" s="2"/>
      <c r="W84" s="2"/>
      <c r="X84" s="2"/>
      <c r="Y84" s="2"/>
      <c r="Z84" s="2"/>
      <c r="AA84" s="2"/>
      <c r="AB84" s="2"/>
      <c r="AC84" s="2"/>
      <c r="AD84" s="15"/>
      <c r="AE84" s="15"/>
      <c r="AF84" s="15"/>
      <c r="AG84" s="2"/>
      <c r="AH84" s="2"/>
      <c r="AI84" s="2"/>
      <c r="AJ84" s="2"/>
      <c r="AK84" s="2"/>
      <c r="AL84" s="2"/>
      <c r="AM84" s="2"/>
      <c r="AN84" s="2"/>
    </row>
    <row r="85" spans="5:40" x14ac:dyDescent="0.2">
      <c r="V85" s="2"/>
      <c r="W85" s="2"/>
      <c r="X85" s="2"/>
      <c r="Y85" s="2"/>
      <c r="Z85" s="2"/>
      <c r="AA85" s="2"/>
      <c r="AB85" s="2"/>
      <c r="AC85" s="2"/>
      <c r="AD85" s="15"/>
      <c r="AE85" s="15"/>
      <c r="AF85" s="15"/>
      <c r="AG85" s="2"/>
      <c r="AH85" s="2"/>
      <c r="AI85" s="2"/>
      <c r="AJ85" s="2"/>
      <c r="AK85" s="2"/>
      <c r="AL85" s="2"/>
      <c r="AM85" s="2"/>
      <c r="AN85" s="2"/>
    </row>
    <row r="86" spans="5:40" x14ac:dyDescent="0.2">
      <c r="V86" s="2"/>
      <c r="W86" s="2"/>
      <c r="X86" s="2"/>
      <c r="Y86" s="2"/>
      <c r="Z86" s="2"/>
      <c r="AA86" s="2"/>
      <c r="AB86" s="2"/>
      <c r="AC86" s="2"/>
      <c r="AD86" s="15"/>
      <c r="AE86" s="15"/>
      <c r="AF86" s="15"/>
      <c r="AG86" s="2"/>
      <c r="AH86" s="2"/>
      <c r="AI86" s="2"/>
      <c r="AJ86" s="2"/>
      <c r="AK86" s="2"/>
      <c r="AL86" s="2"/>
      <c r="AM86" s="2"/>
      <c r="AN86" s="2"/>
    </row>
    <row r="87" spans="5:40" x14ac:dyDescent="0.2"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5:40" x14ac:dyDescent="0.2"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5:40" x14ac:dyDescent="0.2">
      <c r="M89" s="2"/>
      <c r="N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5:40" x14ac:dyDescent="0.2">
      <c r="M90" s="11"/>
      <c r="N90" s="11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5:40" x14ac:dyDescent="0.2">
      <c r="M91" s="11"/>
      <c r="N91" s="11"/>
    </row>
    <row r="92" spans="5:40" x14ac:dyDescent="0.2">
      <c r="E92" s="3"/>
      <c r="F92" s="3"/>
      <c r="G92" s="3"/>
      <c r="M92" s="11"/>
      <c r="N92" s="11"/>
    </row>
    <row r="93" spans="5:40" x14ac:dyDescent="0.2">
      <c r="E93" s="3"/>
      <c r="F93" s="3"/>
      <c r="G93" s="3"/>
      <c r="M93" s="11"/>
      <c r="N93" s="11"/>
    </row>
    <row r="94" spans="5:40" x14ac:dyDescent="0.2">
      <c r="E94" s="3"/>
      <c r="F94" s="3"/>
      <c r="G94" s="3"/>
      <c r="M94" s="11"/>
      <c r="N94" s="11"/>
    </row>
    <row r="95" spans="5:40" x14ac:dyDescent="0.2">
      <c r="E95" s="3"/>
      <c r="F95" s="3"/>
      <c r="G95" s="3"/>
    </row>
    <row r="96" spans="5:40" x14ac:dyDescent="0.2">
      <c r="E96" s="3"/>
      <c r="F96" s="3"/>
      <c r="G96" s="3"/>
    </row>
    <row r="97" spans="5:7" x14ac:dyDescent="0.2">
      <c r="E97" s="3"/>
      <c r="F97" s="3"/>
      <c r="G97" s="3"/>
    </row>
    <row r="98" spans="5:7" x14ac:dyDescent="0.2">
      <c r="E98" s="3"/>
      <c r="F98" s="3"/>
      <c r="G98" s="3"/>
    </row>
    <row r="99" spans="5:7" x14ac:dyDescent="0.2">
      <c r="E99" s="2"/>
      <c r="F99" s="2"/>
      <c r="G99" s="2"/>
    </row>
    <row r="100" spans="5:7" x14ac:dyDescent="0.2">
      <c r="E100" s="2"/>
      <c r="F100" s="2"/>
      <c r="G100" s="2"/>
    </row>
  </sheetData>
  <mergeCells count="2">
    <mergeCell ref="A1:J1"/>
    <mergeCell ref="A15:J15"/>
  </mergeCells>
  <pageMargins left="0.52" right="0.4" top="0.32" bottom="0.41" header="0.24" footer="0.31496062992125984"/>
  <pageSetup paperSize="9" orientation="portrait" horizontalDpi="300" verticalDpi="3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oglio15"/>
  <dimension ref="A1:N16"/>
  <sheetViews>
    <sheetView workbookViewId="0">
      <selection activeCell="C21" sqref="C21"/>
    </sheetView>
  </sheetViews>
  <sheetFormatPr defaultRowHeight="15" x14ac:dyDescent="0.25"/>
  <sheetData>
    <row r="1" spans="1:14" x14ac:dyDescent="0.25">
      <c r="A1" t="s">
        <v>47</v>
      </c>
      <c r="D1" t="s">
        <v>48</v>
      </c>
      <c r="G1" t="s">
        <v>85</v>
      </c>
      <c r="J1" s="36"/>
      <c r="K1" s="36"/>
    </row>
    <row r="2" spans="1:14" x14ac:dyDescent="0.25">
      <c r="A2" s="29">
        <f>'CC-Trave'!E15</f>
        <v>0</v>
      </c>
      <c r="B2" s="30">
        <v>0</v>
      </c>
      <c r="D2" s="29">
        <f>'CC-Trave'!E15+'CC-Trave'!F15</f>
        <v>5</v>
      </c>
      <c r="E2" s="30">
        <v>0</v>
      </c>
      <c r="G2" s="29">
        <f>'CC-Trave'!E15+'CC-Trave'!F15+'CC-Trave'!G15</f>
        <v>9</v>
      </c>
      <c r="H2" s="30">
        <v>0</v>
      </c>
      <c r="J2" s="37"/>
      <c r="K2" s="33"/>
      <c r="M2" s="37"/>
      <c r="N2" s="33"/>
    </row>
    <row r="3" spans="1:14" x14ac:dyDescent="0.25">
      <c r="A3" s="29">
        <f>A2-0.4</f>
        <v>-0.4</v>
      </c>
      <c r="B3" s="30">
        <v>-4</v>
      </c>
      <c r="D3" s="29">
        <f>D2-0.4</f>
        <v>4.5999999999999996</v>
      </c>
      <c r="E3" s="30">
        <v>-4</v>
      </c>
      <c r="G3" s="29">
        <f>G2-0.4</f>
        <v>8.6</v>
      </c>
      <c r="H3" s="30">
        <v>-4</v>
      </c>
      <c r="J3" s="37"/>
      <c r="K3" s="33"/>
      <c r="M3" s="37"/>
      <c r="N3" s="33"/>
    </row>
    <row r="4" spans="1:14" x14ac:dyDescent="0.25">
      <c r="A4" s="29">
        <f>A2+0.4</f>
        <v>0.4</v>
      </c>
      <c r="B4" s="30">
        <f>B3</f>
        <v>-4</v>
      </c>
      <c r="D4" s="29">
        <f>D2+0.4</f>
        <v>5.4</v>
      </c>
      <c r="E4" s="30">
        <f>E3</f>
        <v>-4</v>
      </c>
      <c r="G4" s="29">
        <f>G2+0.4</f>
        <v>9.4</v>
      </c>
      <c r="H4" s="30">
        <f>H3</f>
        <v>-4</v>
      </c>
      <c r="J4" s="37"/>
      <c r="K4" s="33"/>
      <c r="M4" s="37"/>
      <c r="N4" s="33"/>
    </row>
    <row r="5" spans="1:14" x14ac:dyDescent="0.25">
      <c r="A5" s="31">
        <f>A2</f>
        <v>0</v>
      </c>
      <c r="B5" s="32">
        <f>B2</f>
        <v>0</v>
      </c>
      <c r="D5" s="29">
        <f>D2</f>
        <v>5</v>
      </c>
      <c r="E5" s="30">
        <f>E2</f>
        <v>0</v>
      </c>
      <c r="G5" s="29">
        <f>G2</f>
        <v>9</v>
      </c>
      <c r="H5" s="30">
        <f>H2</f>
        <v>0</v>
      </c>
      <c r="J5" s="37"/>
      <c r="K5" s="33"/>
      <c r="M5" s="37"/>
      <c r="N5" s="33"/>
    </row>
    <row r="6" spans="1:14" x14ac:dyDescent="0.25">
      <c r="A6" s="34"/>
      <c r="B6" s="34"/>
    </row>
    <row r="7" spans="1:14" x14ac:dyDescent="0.25">
      <c r="A7" s="35"/>
      <c r="B7" s="33"/>
      <c r="C7" s="36"/>
      <c r="D7" s="35"/>
      <c r="E7" s="36"/>
      <c r="F7" s="36"/>
      <c r="G7" s="35"/>
      <c r="H7" s="36"/>
      <c r="I7" s="36"/>
      <c r="J7" s="35"/>
      <c r="K7" s="36"/>
      <c r="L7" s="36"/>
      <c r="M7" s="35"/>
      <c r="N7" s="36"/>
    </row>
    <row r="8" spans="1:14" x14ac:dyDescent="0.25">
      <c r="A8" s="37"/>
      <c r="B8" s="33"/>
      <c r="C8" s="36"/>
      <c r="D8" s="37"/>
      <c r="E8" s="33"/>
      <c r="F8" s="33"/>
      <c r="G8" s="37"/>
      <c r="H8" s="33"/>
      <c r="I8" s="33"/>
      <c r="J8" s="37"/>
      <c r="K8" s="33"/>
      <c r="L8" s="33"/>
      <c r="M8" s="37"/>
      <c r="N8" s="33"/>
    </row>
    <row r="9" spans="1:14" x14ac:dyDescent="0.25">
      <c r="A9" s="33"/>
      <c r="B9" s="33"/>
    </row>
    <row r="10" spans="1:14" x14ac:dyDescent="0.25">
      <c r="A10" s="33"/>
      <c r="B10" s="33"/>
    </row>
    <row r="11" spans="1:14" x14ac:dyDescent="0.25">
      <c r="A11" s="33"/>
      <c r="B11" s="33"/>
    </row>
    <row r="12" spans="1:14" x14ac:dyDescent="0.25">
      <c r="A12" s="33"/>
      <c r="B12" s="33"/>
    </row>
    <row r="13" spans="1:14" x14ac:dyDescent="0.25">
      <c r="A13" s="33"/>
      <c r="B13" s="33"/>
    </row>
    <row r="14" spans="1:14" x14ac:dyDescent="0.25">
      <c r="A14" s="33"/>
      <c r="B14" s="33"/>
    </row>
    <row r="15" spans="1:14" x14ac:dyDescent="0.25">
      <c r="A15" s="33"/>
      <c r="B15" s="33"/>
    </row>
    <row r="16" spans="1:14" x14ac:dyDescent="0.25">
      <c r="A16" s="33"/>
      <c r="B16" s="33"/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oglio30"/>
  <dimension ref="A1:I112"/>
  <sheetViews>
    <sheetView zoomScale="85" zoomScaleNormal="85" workbookViewId="0">
      <pane ySplit="2" topLeftCell="A3" activePane="bottomLeft" state="frozen"/>
      <selection pane="bottomLeft" activeCell="A96" sqref="A96"/>
    </sheetView>
  </sheetViews>
  <sheetFormatPr defaultColWidth="9.140625" defaultRowHeight="12" x14ac:dyDescent="0.2"/>
  <cols>
    <col min="1" max="5" width="9.140625" style="211"/>
    <col min="6" max="6" width="9.140625" style="224"/>
    <col min="7" max="16384" width="9.140625" style="1"/>
  </cols>
  <sheetData>
    <row r="1" spans="1:9" ht="12" customHeight="1" x14ac:dyDescent="0.2">
      <c r="A1" s="210" t="s">
        <v>98</v>
      </c>
      <c r="B1" s="210" t="s">
        <v>125</v>
      </c>
      <c r="C1" s="210" t="s">
        <v>441</v>
      </c>
      <c r="D1" s="210" t="s">
        <v>445</v>
      </c>
      <c r="E1" s="210" t="s">
        <v>444</v>
      </c>
      <c r="F1" s="241" t="s">
        <v>442</v>
      </c>
    </row>
    <row r="2" spans="1:9" x14ac:dyDescent="0.2">
      <c r="A2" s="123" t="s">
        <v>142</v>
      </c>
      <c r="B2" s="123" t="s">
        <v>142</v>
      </c>
      <c r="C2" s="123" t="s">
        <v>443</v>
      </c>
      <c r="D2" s="123" t="s">
        <v>446</v>
      </c>
      <c r="E2" s="123" t="s">
        <v>133</v>
      </c>
      <c r="F2" s="242" t="s">
        <v>140</v>
      </c>
    </row>
    <row r="3" spans="1:9" x14ac:dyDescent="0.2">
      <c r="A3" s="313"/>
      <c r="B3" s="311"/>
      <c r="C3" s="311" t="s">
        <v>452</v>
      </c>
      <c r="D3" s="311"/>
      <c r="E3" s="311"/>
      <c r="F3" s="314"/>
      <c r="I3" s="3"/>
    </row>
    <row r="4" spans="1:9" x14ac:dyDescent="0.2">
      <c r="A4" s="315">
        <v>20</v>
      </c>
      <c r="B4" s="312">
        <v>20</v>
      </c>
      <c r="C4" s="312" t="str">
        <f>CONCATENATE(A4,"x",B4)</f>
        <v>20x20</v>
      </c>
      <c r="D4" s="316">
        <f>(E4/10000)*25</f>
        <v>1</v>
      </c>
      <c r="E4" s="312">
        <f>A4*B4</f>
        <v>400</v>
      </c>
      <c r="F4" s="317">
        <f>A4*B4^3/12</f>
        <v>13333.333333333334</v>
      </c>
    </row>
    <row r="5" spans="1:9" x14ac:dyDescent="0.2">
      <c r="A5" s="315">
        <v>20</v>
      </c>
      <c r="B5" s="312">
        <v>25</v>
      </c>
      <c r="C5" s="312" t="str">
        <f t="shared" ref="C5:C68" si="0">CONCATENATE(A5,"x",B5)</f>
        <v>20x25</v>
      </c>
      <c r="D5" s="316">
        <f t="shared" ref="D5:D68" si="1">(E5/10000)*25</f>
        <v>1.25</v>
      </c>
      <c r="E5" s="312">
        <f t="shared" ref="E5:E15" si="2">A5*B5</f>
        <v>500</v>
      </c>
      <c r="F5" s="317">
        <f t="shared" ref="F5:F15" si="3">A5*B5^3/12</f>
        <v>26041.666666666668</v>
      </c>
    </row>
    <row r="6" spans="1:9" x14ac:dyDescent="0.2">
      <c r="A6" s="315">
        <v>30</v>
      </c>
      <c r="B6" s="312">
        <v>40</v>
      </c>
      <c r="C6" s="312" t="str">
        <f t="shared" si="0"/>
        <v>30x40</v>
      </c>
      <c r="D6" s="316">
        <f t="shared" si="1"/>
        <v>3</v>
      </c>
      <c r="E6" s="312">
        <f t="shared" si="2"/>
        <v>1200</v>
      </c>
      <c r="F6" s="317">
        <f t="shared" si="3"/>
        <v>160000</v>
      </c>
    </row>
    <row r="7" spans="1:9" x14ac:dyDescent="0.2">
      <c r="A7" s="315">
        <v>30</v>
      </c>
      <c r="B7" s="312">
        <v>50</v>
      </c>
      <c r="C7" s="312" t="str">
        <f t="shared" si="0"/>
        <v>30x50</v>
      </c>
      <c r="D7" s="316">
        <f t="shared" si="1"/>
        <v>3.75</v>
      </c>
      <c r="E7" s="312">
        <f t="shared" si="2"/>
        <v>1500</v>
      </c>
      <c r="F7" s="317">
        <f t="shared" si="3"/>
        <v>312500</v>
      </c>
    </row>
    <row r="8" spans="1:9" x14ac:dyDescent="0.2">
      <c r="A8" s="315">
        <v>30</v>
      </c>
      <c r="B8" s="312">
        <v>60</v>
      </c>
      <c r="C8" s="312" t="str">
        <f t="shared" si="0"/>
        <v>30x60</v>
      </c>
      <c r="D8" s="316">
        <f t="shared" si="1"/>
        <v>4.5</v>
      </c>
      <c r="E8" s="312">
        <f t="shared" si="2"/>
        <v>1800</v>
      </c>
      <c r="F8" s="317">
        <f t="shared" si="3"/>
        <v>540000</v>
      </c>
    </row>
    <row r="9" spans="1:9" x14ac:dyDescent="0.2">
      <c r="A9" s="315">
        <v>50</v>
      </c>
      <c r="B9" s="312">
        <v>25</v>
      </c>
      <c r="C9" s="312" t="str">
        <f t="shared" si="0"/>
        <v>50x25</v>
      </c>
      <c r="D9" s="316">
        <f t="shared" si="1"/>
        <v>3.125</v>
      </c>
      <c r="E9" s="312">
        <f t="shared" si="2"/>
        <v>1250</v>
      </c>
      <c r="F9" s="317">
        <f t="shared" si="3"/>
        <v>65104.166666666664</v>
      </c>
    </row>
    <row r="10" spans="1:9" x14ac:dyDescent="0.2">
      <c r="A10" s="315">
        <v>60</v>
      </c>
      <c r="B10" s="312">
        <v>16</v>
      </c>
      <c r="C10" s="312" t="str">
        <f t="shared" si="0"/>
        <v>60x16</v>
      </c>
      <c r="D10" s="316">
        <f t="shared" si="1"/>
        <v>2.4</v>
      </c>
      <c r="E10" s="312">
        <f t="shared" si="2"/>
        <v>960</v>
      </c>
      <c r="F10" s="317">
        <f t="shared" si="3"/>
        <v>20480</v>
      </c>
    </row>
    <row r="11" spans="1:9" x14ac:dyDescent="0.2">
      <c r="A11" s="315">
        <v>60</v>
      </c>
      <c r="B11" s="312">
        <v>18</v>
      </c>
      <c r="C11" s="312" t="str">
        <f t="shared" si="0"/>
        <v>60x18</v>
      </c>
      <c r="D11" s="316">
        <f t="shared" si="1"/>
        <v>2.7</v>
      </c>
      <c r="E11" s="312">
        <f t="shared" si="2"/>
        <v>1080</v>
      </c>
      <c r="F11" s="317">
        <f t="shared" si="3"/>
        <v>29160</v>
      </c>
    </row>
    <row r="12" spans="1:9" x14ac:dyDescent="0.2">
      <c r="A12" s="315">
        <v>60</v>
      </c>
      <c r="B12" s="312">
        <v>20</v>
      </c>
      <c r="C12" s="312" t="str">
        <f t="shared" si="0"/>
        <v>60x20</v>
      </c>
      <c r="D12" s="316">
        <f t="shared" si="1"/>
        <v>3</v>
      </c>
      <c r="E12" s="312">
        <f t="shared" si="2"/>
        <v>1200</v>
      </c>
      <c r="F12" s="317">
        <f t="shared" si="3"/>
        <v>40000</v>
      </c>
    </row>
    <row r="13" spans="1:9" x14ac:dyDescent="0.2">
      <c r="A13" s="315">
        <v>60</v>
      </c>
      <c r="B13" s="312">
        <v>22</v>
      </c>
      <c r="C13" s="312" t="str">
        <f t="shared" si="0"/>
        <v>60x22</v>
      </c>
      <c r="D13" s="316">
        <f t="shared" si="1"/>
        <v>3.3000000000000003</v>
      </c>
      <c r="E13" s="312">
        <f t="shared" si="2"/>
        <v>1320</v>
      </c>
      <c r="F13" s="317">
        <f t="shared" si="3"/>
        <v>53240</v>
      </c>
    </row>
    <row r="14" spans="1:9" x14ac:dyDescent="0.2">
      <c r="A14" s="315">
        <v>60</v>
      </c>
      <c r="B14" s="312">
        <v>24</v>
      </c>
      <c r="C14" s="312" t="str">
        <f t="shared" si="0"/>
        <v>60x24</v>
      </c>
      <c r="D14" s="316">
        <f t="shared" si="1"/>
        <v>3.5999999999999996</v>
      </c>
      <c r="E14" s="312">
        <f t="shared" si="2"/>
        <v>1440</v>
      </c>
      <c r="F14" s="317">
        <f t="shared" si="3"/>
        <v>69120</v>
      </c>
    </row>
    <row r="15" spans="1:9" x14ac:dyDescent="0.2">
      <c r="A15" s="315">
        <v>60</v>
      </c>
      <c r="B15" s="312">
        <v>25</v>
      </c>
      <c r="C15" s="312" t="str">
        <f t="shared" si="0"/>
        <v>60x25</v>
      </c>
      <c r="D15" s="316">
        <f t="shared" si="1"/>
        <v>3.75</v>
      </c>
      <c r="E15" s="312">
        <f t="shared" si="2"/>
        <v>1500</v>
      </c>
      <c r="F15" s="317">
        <f t="shared" si="3"/>
        <v>78125</v>
      </c>
    </row>
    <row r="16" spans="1:9" x14ac:dyDescent="0.2">
      <c r="A16" s="315">
        <v>60</v>
      </c>
      <c r="B16" s="312">
        <v>26</v>
      </c>
      <c r="C16" s="312" t="str">
        <f t="shared" si="0"/>
        <v>60x26</v>
      </c>
      <c r="D16" s="316">
        <f t="shared" si="1"/>
        <v>3.9</v>
      </c>
      <c r="E16" s="312">
        <f t="shared" ref="E16" si="4">A16*B16</f>
        <v>1560</v>
      </c>
      <c r="F16" s="317">
        <f t="shared" ref="F16" si="5">A16*B16^3/12</f>
        <v>87880</v>
      </c>
    </row>
    <row r="17" spans="1:6" x14ac:dyDescent="0.2">
      <c r="A17" s="315">
        <v>60</v>
      </c>
      <c r="B17" s="312">
        <v>28</v>
      </c>
      <c r="C17" s="312" t="str">
        <f t="shared" si="0"/>
        <v>60x28</v>
      </c>
      <c r="D17" s="316">
        <f t="shared" si="1"/>
        <v>4.2</v>
      </c>
      <c r="E17" s="312">
        <f t="shared" ref="E17:E28" si="6">A17*B17</f>
        <v>1680</v>
      </c>
      <c r="F17" s="317">
        <f t="shared" ref="F17:F28" si="7">A17*B17^3/12</f>
        <v>109760</v>
      </c>
    </row>
    <row r="18" spans="1:6" x14ac:dyDescent="0.2">
      <c r="A18" s="315">
        <v>60</v>
      </c>
      <c r="B18" s="312">
        <v>30</v>
      </c>
      <c r="C18" s="312" t="str">
        <f t="shared" si="0"/>
        <v>60x30</v>
      </c>
      <c r="D18" s="316">
        <f t="shared" si="1"/>
        <v>4.5</v>
      </c>
      <c r="E18" s="312">
        <f t="shared" si="6"/>
        <v>1800</v>
      </c>
      <c r="F18" s="317">
        <f t="shared" si="7"/>
        <v>135000</v>
      </c>
    </row>
    <row r="19" spans="1:6" x14ac:dyDescent="0.2">
      <c r="A19" s="315">
        <v>70</v>
      </c>
      <c r="B19" s="312">
        <v>16</v>
      </c>
      <c r="C19" s="312" t="str">
        <f t="shared" si="0"/>
        <v>70x16</v>
      </c>
      <c r="D19" s="316">
        <f t="shared" si="1"/>
        <v>2.8000000000000003</v>
      </c>
      <c r="E19" s="312">
        <f t="shared" si="6"/>
        <v>1120</v>
      </c>
      <c r="F19" s="317">
        <f t="shared" si="7"/>
        <v>23893.333333333332</v>
      </c>
    </row>
    <row r="20" spans="1:6" x14ac:dyDescent="0.2">
      <c r="A20" s="315">
        <v>70</v>
      </c>
      <c r="B20" s="312">
        <v>18</v>
      </c>
      <c r="C20" s="312" t="str">
        <f t="shared" si="0"/>
        <v>70x18</v>
      </c>
      <c r="D20" s="316">
        <f t="shared" si="1"/>
        <v>3.15</v>
      </c>
      <c r="E20" s="312">
        <f t="shared" si="6"/>
        <v>1260</v>
      </c>
      <c r="F20" s="317">
        <f t="shared" si="7"/>
        <v>34020</v>
      </c>
    </row>
    <row r="21" spans="1:6" x14ac:dyDescent="0.2">
      <c r="A21" s="315">
        <v>70</v>
      </c>
      <c r="B21" s="312">
        <v>20</v>
      </c>
      <c r="C21" s="312" t="str">
        <f t="shared" si="0"/>
        <v>70x20</v>
      </c>
      <c r="D21" s="316">
        <f t="shared" si="1"/>
        <v>3.5000000000000004</v>
      </c>
      <c r="E21" s="312">
        <f t="shared" si="6"/>
        <v>1400</v>
      </c>
      <c r="F21" s="317">
        <f t="shared" si="7"/>
        <v>46666.666666666664</v>
      </c>
    </row>
    <row r="22" spans="1:6" x14ac:dyDescent="0.2">
      <c r="A22" s="315">
        <v>70</v>
      </c>
      <c r="B22" s="312">
        <v>22</v>
      </c>
      <c r="C22" s="312" t="str">
        <f t="shared" si="0"/>
        <v>70x22</v>
      </c>
      <c r="D22" s="316">
        <f t="shared" si="1"/>
        <v>3.85</v>
      </c>
      <c r="E22" s="312">
        <f t="shared" si="6"/>
        <v>1540</v>
      </c>
      <c r="F22" s="317">
        <f t="shared" si="7"/>
        <v>62113.333333333336</v>
      </c>
    </row>
    <row r="23" spans="1:6" x14ac:dyDescent="0.2">
      <c r="A23" s="315">
        <v>70</v>
      </c>
      <c r="B23" s="312">
        <v>24</v>
      </c>
      <c r="C23" s="312" t="str">
        <f t="shared" si="0"/>
        <v>70x24</v>
      </c>
      <c r="D23" s="316">
        <f t="shared" si="1"/>
        <v>4.2</v>
      </c>
      <c r="E23" s="312">
        <f t="shared" si="6"/>
        <v>1680</v>
      </c>
      <c r="F23" s="317">
        <f t="shared" si="7"/>
        <v>80640</v>
      </c>
    </row>
    <row r="24" spans="1:6" x14ac:dyDescent="0.2">
      <c r="A24" s="315">
        <v>70</v>
      </c>
      <c r="B24" s="312">
        <v>25</v>
      </c>
      <c r="C24" s="312" t="str">
        <f t="shared" si="0"/>
        <v>70x25</v>
      </c>
      <c r="D24" s="316">
        <f t="shared" si="1"/>
        <v>4.375</v>
      </c>
      <c r="E24" s="312">
        <f t="shared" si="6"/>
        <v>1750</v>
      </c>
      <c r="F24" s="317">
        <f t="shared" si="7"/>
        <v>91145.833333333328</v>
      </c>
    </row>
    <row r="25" spans="1:6" x14ac:dyDescent="0.2">
      <c r="A25" s="315">
        <v>70</v>
      </c>
      <c r="B25" s="312">
        <v>26</v>
      </c>
      <c r="C25" s="312" t="str">
        <f t="shared" si="0"/>
        <v>70x26</v>
      </c>
      <c r="D25" s="316">
        <f t="shared" si="1"/>
        <v>4.55</v>
      </c>
      <c r="E25" s="312">
        <f t="shared" si="6"/>
        <v>1820</v>
      </c>
      <c r="F25" s="317">
        <f t="shared" si="7"/>
        <v>102526.66666666667</v>
      </c>
    </row>
    <row r="26" spans="1:6" x14ac:dyDescent="0.2">
      <c r="A26" s="315">
        <v>70</v>
      </c>
      <c r="B26" s="312">
        <v>28</v>
      </c>
      <c r="C26" s="312" t="str">
        <f t="shared" si="0"/>
        <v>70x28</v>
      </c>
      <c r="D26" s="316">
        <f t="shared" si="1"/>
        <v>4.9000000000000004</v>
      </c>
      <c r="E26" s="312">
        <f t="shared" si="6"/>
        <v>1960</v>
      </c>
      <c r="F26" s="317">
        <f t="shared" si="7"/>
        <v>128053.33333333333</v>
      </c>
    </row>
    <row r="27" spans="1:6" x14ac:dyDescent="0.2">
      <c r="A27" s="315">
        <v>70</v>
      </c>
      <c r="B27" s="312">
        <v>30</v>
      </c>
      <c r="C27" s="312" t="str">
        <f t="shared" si="0"/>
        <v>70x30</v>
      </c>
      <c r="D27" s="316">
        <f t="shared" si="1"/>
        <v>5.25</v>
      </c>
      <c r="E27" s="312">
        <f t="shared" si="6"/>
        <v>2100</v>
      </c>
      <c r="F27" s="317">
        <f t="shared" si="7"/>
        <v>157500</v>
      </c>
    </row>
    <row r="28" spans="1:6" x14ac:dyDescent="0.2">
      <c r="A28" s="315">
        <v>70</v>
      </c>
      <c r="B28" s="312">
        <v>16</v>
      </c>
      <c r="C28" s="312" t="str">
        <f t="shared" si="0"/>
        <v>70x16</v>
      </c>
      <c r="D28" s="316">
        <f t="shared" si="1"/>
        <v>2.8000000000000003</v>
      </c>
      <c r="E28" s="312">
        <f t="shared" si="6"/>
        <v>1120</v>
      </c>
      <c r="F28" s="317">
        <f t="shared" si="7"/>
        <v>23893.333333333332</v>
      </c>
    </row>
    <row r="29" spans="1:6" x14ac:dyDescent="0.2">
      <c r="A29" s="315">
        <v>70</v>
      </c>
      <c r="B29" s="312">
        <v>18</v>
      </c>
      <c r="C29" s="312" t="str">
        <f t="shared" si="0"/>
        <v>70x18</v>
      </c>
      <c r="D29" s="316">
        <f t="shared" si="1"/>
        <v>3.15</v>
      </c>
      <c r="E29" s="312">
        <f t="shared" ref="E29:E37" si="8">A29*B29</f>
        <v>1260</v>
      </c>
      <c r="F29" s="317">
        <f t="shared" ref="F29:F37" si="9">A29*B29^3/12</f>
        <v>34020</v>
      </c>
    </row>
    <row r="30" spans="1:6" x14ac:dyDescent="0.2">
      <c r="A30" s="315">
        <v>70</v>
      </c>
      <c r="B30" s="312">
        <v>20</v>
      </c>
      <c r="C30" s="312" t="str">
        <f t="shared" si="0"/>
        <v>70x20</v>
      </c>
      <c r="D30" s="316">
        <f t="shared" si="1"/>
        <v>3.5000000000000004</v>
      </c>
      <c r="E30" s="312">
        <f t="shared" si="8"/>
        <v>1400</v>
      </c>
      <c r="F30" s="317">
        <f t="shared" si="9"/>
        <v>46666.666666666664</v>
      </c>
    </row>
    <row r="31" spans="1:6" x14ac:dyDescent="0.2">
      <c r="A31" s="315">
        <v>70</v>
      </c>
      <c r="B31" s="312">
        <v>22</v>
      </c>
      <c r="C31" s="312" t="str">
        <f t="shared" si="0"/>
        <v>70x22</v>
      </c>
      <c r="D31" s="316">
        <f t="shared" si="1"/>
        <v>3.85</v>
      </c>
      <c r="E31" s="312">
        <f t="shared" si="8"/>
        <v>1540</v>
      </c>
      <c r="F31" s="317">
        <f t="shared" si="9"/>
        <v>62113.333333333336</v>
      </c>
    </row>
    <row r="32" spans="1:6" x14ac:dyDescent="0.2">
      <c r="A32" s="315">
        <v>70</v>
      </c>
      <c r="B32" s="312">
        <v>24</v>
      </c>
      <c r="C32" s="312" t="str">
        <f t="shared" si="0"/>
        <v>70x24</v>
      </c>
      <c r="D32" s="316">
        <f t="shared" si="1"/>
        <v>4.2</v>
      </c>
      <c r="E32" s="312">
        <f t="shared" si="8"/>
        <v>1680</v>
      </c>
      <c r="F32" s="317">
        <f t="shared" si="9"/>
        <v>80640</v>
      </c>
    </row>
    <row r="33" spans="1:6" x14ac:dyDescent="0.2">
      <c r="A33" s="315">
        <v>70</v>
      </c>
      <c r="B33" s="312">
        <v>25</v>
      </c>
      <c r="C33" s="312" t="str">
        <f t="shared" si="0"/>
        <v>70x25</v>
      </c>
      <c r="D33" s="316">
        <f t="shared" si="1"/>
        <v>4.375</v>
      </c>
      <c r="E33" s="312">
        <f t="shared" si="8"/>
        <v>1750</v>
      </c>
      <c r="F33" s="317">
        <f t="shared" si="9"/>
        <v>91145.833333333328</v>
      </c>
    </row>
    <row r="34" spans="1:6" x14ac:dyDescent="0.2">
      <c r="A34" s="315">
        <v>70</v>
      </c>
      <c r="B34" s="312">
        <v>26</v>
      </c>
      <c r="C34" s="312" t="str">
        <f t="shared" si="0"/>
        <v>70x26</v>
      </c>
      <c r="D34" s="316">
        <f t="shared" si="1"/>
        <v>4.55</v>
      </c>
      <c r="E34" s="312">
        <f t="shared" si="8"/>
        <v>1820</v>
      </c>
      <c r="F34" s="317">
        <f t="shared" si="9"/>
        <v>102526.66666666667</v>
      </c>
    </row>
    <row r="35" spans="1:6" x14ac:dyDescent="0.2">
      <c r="A35" s="315">
        <v>70</v>
      </c>
      <c r="B35" s="312">
        <v>28</v>
      </c>
      <c r="C35" s="312" t="str">
        <f t="shared" si="0"/>
        <v>70x28</v>
      </c>
      <c r="D35" s="316">
        <f t="shared" si="1"/>
        <v>4.9000000000000004</v>
      </c>
      <c r="E35" s="312">
        <f t="shared" si="8"/>
        <v>1960</v>
      </c>
      <c r="F35" s="317">
        <f t="shared" si="9"/>
        <v>128053.33333333333</v>
      </c>
    </row>
    <row r="36" spans="1:6" x14ac:dyDescent="0.2">
      <c r="A36" s="315">
        <v>70</v>
      </c>
      <c r="B36" s="312">
        <v>30</v>
      </c>
      <c r="C36" s="312" t="str">
        <f t="shared" si="0"/>
        <v>70x30</v>
      </c>
      <c r="D36" s="316">
        <f t="shared" si="1"/>
        <v>5.25</v>
      </c>
      <c r="E36" s="312">
        <f t="shared" si="8"/>
        <v>2100</v>
      </c>
      <c r="F36" s="317">
        <f t="shared" si="9"/>
        <v>157500</v>
      </c>
    </row>
    <row r="37" spans="1:6" x14ac:dyDescent="0.2">
      <c r="A37" s="315">
        <v>80</v>
      </c>
      <c r="B37" s="312">
        <v>16</v>
      </c>
      <c r="C37" s="312" t="str">
        <f t="shared" si="0"/>
        <v>80x16</v>
      </c>
      <c r="D37" s="316">
        <f t="shared" si="1"/>
        <v>3.2</v>
      </c>
      <c r="E37" s="312">
        <f t="shared" si="8"/>
        <v>1280</v>
      </c>
      <c r="F37" s="317">
        <f t="shared" si="9"/>
        <v>27306.666666666668</v>
      </c>
    </row>
    <row r="38" spans="1:6" x14ac:dyDescent="0.2">
      <c r="A38" s="315">
        <v>80</v>
      </c>
      <c r="B38" s="312">
        <v>18</v>
      </c>
      <c r="C38" s="312" t="str">
        <f t="shared" si="0"/>
        <v>80x18</v>
      </c>
      <c r="D38" s="316">
        <f t="shared" si="1"/>
        <v>3.5999999999999996</v>
      </c>
      <c r="E38" s="312">
        <f t="shared" ref="E38:E46" si="10">A38*B38</f>
        <v>1440</v>
      </c>
      <c r="F38" s="317">
        <f t="shared" ref="F38:F46" si="11">A38*B38^3/12</f>
        <v>38880</v>
      </c>
    </row>
    <row r="39" spans="1:6" x14ac:dyDescent="0.2">
      <c r="A39" s="315">
        <v>80</v>
      </c>
      <c r="B39" s="312">
        <v>20</v>
      </c>
      <c r="C39" s="312" t="str">
        <f t="shared" si="0"/>
        <v>80x20</v>
      </c>
      <c r="D39" s="316">
        <f t="shared" si="1"/>
        <v>4</v>
      </c>
      <c r="E39" s="312">
        <f t="shared" si="10"/>
        <v>1600</v>
      </c>
      <c r="F39" s="317">
        <f t="shared" si="11"/>
        <v>53333.333333333336</v>
      </c>
    </row>
    <row r="40" spans="1:6" x14ac:dyDescent="0.2">
      <c r="A40" s="315">
        <v>80</v>
      </c>
      <c r="B40" s="312">
        <v>22</v>
      </c>
      <c r="C40" s="312" t="str">
        <f t="shared" si="0"/>
        <v>80x22</v>
      </c>
      <c r="D40" s="316">
        <f t="shared" si="1"/>
        <v>4.3999999999999995</v>
      </c>
      <c r="E40" s="312">
        <f t="shared" si="10"/>
        <v>1760</v>
      </c>
      <c r="F40" s="317">
        <f t="shared" si="11"/>
        <v>70986.666666666672</v>
      </c>
    </row>
    <row r="41" spans="1:6" x14ac:dyDescent="0.2">
      <c r="A41" s="315">
        <v>80</v>
      </c>
      <c r="B41" s="312">
        <v>24</v>
      </c>
      <c r="C41" s="312" t="str">
        <f t="shared" si="0"/>
        <v>80x24</v>
      </c>
      <c r="D41" s="316">
        <f t="shared" si="1"/>
        <v>4.8</v>
      </c>
      <c r="E41" s="312">
        <f t="shared" si="10"/>
        <v>1920</v>
      </c>
      <c r="F41" s="317">
        <f t="shared" si="11"/>
        <v>92160</v>
      </c>
    </row>
    <row r="42" spans="1:6" x14ac:dyDescent="0.2">
      <c r="A42" s="315">
        <v>80</v>
      </c>
      <c r="B42" s="312">
        <v>25</v>
      </c>
      <c r="C42" s="312" t="str">
        <f t="shared" si="0"/>
        <v>80x25</v>
      </c>
      <c r="D42" s="316">
        <f t="shared" si="1"/>
        <v>5</v>
      </c>
      <c r="E42" s="312">
        <f t="shared" si="10"/>
        <v>2000</v>
      </c>
      <c r="F42" s="317">
        <f t="shared" si="11"/>
        <v>104166.66666666667</v>
      </c>
    </row>
    <row r="43" spans="1:6" x14ac:dyDescent="0.2">
      <c r="A43" s="315">
        <v>80</v>
      </c>
      <c r="B43" s="312">
        <v>26</v>
      </c>
      <c r="C43" s="312" t="str">
        <f t="shared" si="0"/>
        <v>80x26</v>
      </c>
      <c r="D43" s="316">
        <f t="shared" si="1"/>
        <v>5.2</v>
      </c>
      <c r="E43" s="312">
        <f t="shared" si="10"/>
        <v>2080</v>
      </c>
      <c r="F43" s="317">
        <f t="shared" si="11"/>
        <v>117173.33333333333</v>
      </c>
    </row>
    <row r="44" spans="1:6" x14ac:dyDescent="0.2">
      <c r="A44" s="315">
        <v>80</v>
      </c>
      <c r="B44" s="312">
        <v>28</v>
      </c>
      <c r="C44" s="312" t="str">
        <f t="shared" si="0"/>
        <v>80x28</v>
      </c>
      <c r="D44" s="316">
        <f t="shared" si="1"/>
        <v>5.6000000000000005</v>
      </c>
      <c r="E44" s="312">
        <f t="shared" si="10"/>
        <v>2240</v>
      </c>
      <c r="F44" s="317">
        <f t="shared" si="11"/>
        <v>146346.66666666666</v>
      </c>
    </row>
    <row r="45" spans="1:6" x14ac:dyDescent="0.2">
      <c r="A45" s="315">
        <v>80</v>
      </c>
      <c r="B45" s="312">
        <v>30</v>
      </c>
      <c r="C45" s="312" t="str">
        <f t="shared" si="0"/>
        <v>80x30</v>
      </c>
      <c r="D45" s="316">
        <f t="shared" si="1"/>
        <v>6</v>
      </c>
      <c r="E45" s="312">
        <f t="shared" si="10"/>
        <v>2400</v>
      </c>
      <c r="F45" s="317">
        <f t="shared" si="11"/>
        <v>180000</v>
      </c>
    </row>
    <row r="46" spans="1:6" x14ac:dyDescent="0.2">
      <c r="A46" s="315">
        <v>90</v>
      </c>
      <c r="B46" s="312">
        <v>16</v>
      </c>
      <c r="C46" s="312" t="str">
        <f t="shared" si="0"/>
        <v>90x16</v>
      </c>
      <c r="D46" s="316">
        <f t="shared" si="1"/>
        <v>3.5999999999999996</v>
      </c>
      <c r="E46" s="312">
        <f t="shared" si="10"/>
        <v>1440</v>
      </c>
      <c r="F46" s="317">
        <f t="shared" si="11"/>
        <v>30720</v>
      </c>
    </row>
    <row r="47" spans="1:6" x14ac:dyDescent="0.2">
      <c r="A47" s="315">
        <v>90</v>
      </c>
      <c r="B47" s="312">
        <v>18</v>
      </c>
      <c r="C47" s="312" t="str">
        <f t="shared" si="0"/>
        <v>90x18</v>
      </c>
      <c r="D47" s="316">
        <f t="shared" si="1"/>
        <v>4.05</v>
      </c>
      <c r="E47" s="312">
        <f t="shared" ref="E47:E54" si="12">A47*B47</f>
        <v>1620</v>
      </c>
      <c r="F47" s="317">
        <f t="shared" ref="F47:F54" si="13">A47*B47^3/12</f>
        <v>43740</v>
      </c>
    </row>
    <row r="48" spans="1:6" x14ac:dyDescent="0.2">
      <c r="A48" s="315">
        <v>90</v>
      </c>
      <c r="B48" s="312">
        <v>20</v>
      </c>
      <c r="C48" s="312" t="str">
        <f t="shared" si="0"/>
        <v>90x20</v>
      </c>
      <c r="D48" s="316">
        <f t="shared" si="1"/>
        <v>4.5</v>
      </c>
      <c r="E48" s="312">
        <f t="shared" si="12"/>
        <v>1800</v>
      </c>
      <c r="F48" s="317">
        <f t="shared" si="13"/>
        <v>60000</v>
      </c>
    </row>
    <row r="49" spans="1:6" x14ac:dyDescent="0.2">
      <c r="A49" s="315">
        <v>90</v>
      </c>
      <c r="B49" s="312">
        <v>22</v>
      </c>
      <c r="C49" s="312" t="str">
        <f t="shared" si="0"/>
        <v>90x22</v>
      </c>
      <c r="D49" s="316">
        <f t="shared" si="1"/>
        <v>4.95</v>
      </c>
      <c r="E49" s="312">
        <f t="shared" si="12"/>
        <v>1980</v>
      </c>
      <c r="F49" s="317">
        <f t="shared" si="13"/>
        <v>79860</v>
      </c>
    </row>
    <row r="50" spans="1:6" x14ac:dyDescent="0.2">
      <c r="A50" s="315">
        <v>90</v>
      </c>
      <c r="B50" s="312">
        <v>24</v>
      </c>
      <c r="C50" s="312" t="str">
        <f t="shared" si="0"/>
        <v>90x24</v>
      </c>
      <c r="D50" s="316">
        <f t="shared" si="1"/>
        <v>5.4</v>
      </c>
      <c r="E50" s="312">
        <f t="shared" si="12"/>
        <v>2160</v>
      </c>
      <c r="F50" s="317">
        <f t="shared" si="13"/>
        <v>103680</v>
      </c>
    </row>
    <row r="51" spans="1:6" x14ac:dyDescent="0.2">
      <c r="A51" s="315">
        <v>90</v>
      </c>
      <c r="B51" s="312">
        <v>25</v>
      </c>
      <c r="C51" s="312" t="str">
        <f t="shared" si="0"/>
        <v>90x25</v>
      </c>
      <c r="D51" s="316">
        <f t="shared" si="1"/>
        <v>5.625</v>
      </c>
      <c r="E51" s="312">
        <f t="shared" si="12"/>
        <v>2250</v>
      </c>
      <c r="F51" s="317">
        <f t="shared" si="13"/>
        <v>117187.5</v>
      </c>
    </row>
    <row r="52" spans="1:6" x14ac:dyDescent="0.2">
      <c r="A52" s="315">
        <v>90</v>
      </c>
      <c r="B52" s="312">
        <v>26</v>
      </c>
      <c r="C52" s="312" t="str">
        <f t="shared" si="0"/>
        <v>90x26</v>
      </c>
      <c r="D52" s="316">
        <f t="shared" si="1"/>
        <v>5.8500000000000005</v>
      </c>
      <c r="E52" s="312">
        <f t="shared" si="12"/>
        <v>2340</v>
      </c>
      <c r="F52" s="317">
        <f t="shared" si="13"/>
        <v>131820</v>
      </c>
    </row>
    <row r="53" spans="1:6" x14ac:dyDescent="0.2">
      <c r="A53" s="315">
        <v>90</v>
      </c>
      <c r="B53" s="312">
        <v>28</v>
      </c>
      <c r="C53" s="312" t="str">
        <f t="shared" si="0"/>
        <v>90x28</v>
      </c>
      <c r="D53" s="316">
        <f t="shared" si="1"/>
        <v>6.3</v>
      </c>
      <c r="E53" s="312">
        <f t="shared" si="12"/>
        <v>2520</v>
      </c>
      <c r="F53" s="317">
        <f t="shared" si="13"/>
        <v>164640</v>
      </c>
    </row>
    <row r="54" spans="1:6" x14ac:dyDescent="0.2">
      <c r="A54" s="315">
        <v>90</v>
      </c>
      <c r="B54" s="312">
        <v>30</v>
      </c>
      <c r="C54" s="312" t="str">
        <f t="shared" si="0"/>
        <v>90x30</v>
      </c>
      <c r="D54" s="316">
        <f t="shared" si="1"/>
        <v>6.75</v>
      </c>
      <c r="E54" s="312">
        <f t="shared" si="12"/>
        <v>2700</v>
      </c>
      <c r="F54" s="317">
        <f t="shared" si="13"/>
        <v>202500</v>
      </c>
    </row>
    <row r="55" spans="1:6" x14ac:dyDescent="0.2">
      <c r="A55" s="315">
        <v>100</v>
      </c>
      <c r="B55" s="312">
        <v>16</v>
      </c>
      <c r="C55" s="312" t="str">
        <f t="shared" si="0"/>
        <v>100x16</v>
      </c>
      <c r="D55" s="316">
        <f t="shared" si="1"/>
        <v>4</v>
      </c>
      <c r="E55" s="312">
        <f t="shared" ref="E55:E63" si="14">A55*B55</f>
        <v>1600</v>
      </c>
      <c r="F55" s="317">
        <f t="shared" ref="F55:F63" si="15">A55*B55^3/12</f>
        <v>34133.333333333336</v>
      </c>
    </row>
    <row r="56" spans="1:6" x14ac:dyDescent="0.2">
      <c r="A56" s="315">
        <v>100</v>
      </c>
      <c r="B56" s="312">
        <v>18</v>
      </c>
      <c r="C56" s="312" t="str">
        <f t="shared" si="0"/>
        <v>100x18</v>
      </c>
      <c r="D56" s="316">
        <f t="shared" si="1"/>
        <v>4.5</v>
      </c>
      <c r="E56" s="312">
        <f t="shared" si="14"/>
        <v>1800</v>
      </c>
      <c r="F56" s="317">
        <f t="shared" si="15"/>
        <v>48600</v>
      </c>
    </row>
    <row r="57" spans="1:6" x14ac:dyDescent="0.2">
      <c r="A57" s="315">
        <v>100</v>
      </c>
      <c r="B57" s="312">
        <v>20</v>
      </c>
      <c r="C57" s="312" t="str">
        <f t="shared" si="0"/>
        <v>100x20</v>
      </c>
      <c r="D57" s="316">
        <f t="shared" si="1"/>
        <v>5</v>
      </c>
      <c r="E57" s="312">
        <f t="shared" si="14"/>
        <v>2000</v>
      </c>
      <c r="F57" s="317">
        <f t="shared" si="15"/>
        <v>66666.666666666672</v>
      </c>
    </row>
    <row r="58" spans="1:6" x14ac:dyDescent="0.2">
      <c r="A58" s="315">
        <v>100</v>
      </c>
      <c r="B58" s="312">
        <v>22</v>
      </c>
      <c r="C58" s="312" t="str">
        <f t="shared" si="0"/>
        <v>100x22</v>
      </c>
      <c r="D58" s="316">
        <f t="shared" si="1"/>
        <v>5.5</v>
      </c>
      <c r="E58" s="312">
        <f t="shared" si="14"/>
        <v>2200</v>
      </c>
      <c r="F58" s="317">
        <f t="shared" si="15"/>
        <v>88733.333333333328</v>
      </c>
    </row>
    <row r="59" spans="1:6" x14ac:dyDescent="0.2">
      <c r="A59" s="315">
        <v>100</v>
      </c>
      <c r="B59" s="312">
        <v>24</v>
      </c>
      <c r="C59" s="312" t="str">
        <f t="shared" si="0"/>
        <v>100x24</v>
      </c>
      <c r="D59" s="316">
        <f t="shared" si="1"/>
        <v>6</v>
      </c>
      <c r="E59" s="312">
        <f t="shared" si="14"/>
        <v>2400</v>
      </c>
      <c r="F59" s="317">
        <f t="shared" si="15"/>
        <v>115200</v>
      </c>
    </row>
    <row r="60" spans="1:6" x14ac:dyDescent="0.2">
      <c r="A60" s="315">
        <v>100</v>
      </c>
      <c r="B60" s="312">
        <v>25</v>
      </c>
      <c r="C60" s="312" t="str">
        <f t="shared" si="0"/>
        <v>100x25</v>
      </c>
      <c r="D60" s="316">
        <f t="shared" si="1"/>
        <v>6.25</v>
      </c>
      <c r="E60" s="312">
        <f t="shared" si="14"/>
        <v>2500</v>
      </c>
      <c r="F60" s="317">
        <f t="shared" si="15"/>
        <v>130208.33333333333</v>
      </c>
    </row>
    <row r="61" spans="1:6" x14ac:dyDescent="0.2">
      <c r="A61" s="315">
        <v>100</v>
      </c>
      <c r="B61" s="312">
        <v>26</v>
      </c>
      <c r="C61" s="312" t="str">
        <f t="shared" si="0"/>
        <v>100x26</v>
      </c>
      <c r="D61" s="316">
        <f t="shared" si="1"/>
        <v>6.5</v>
      </c>
      <c r="E61" s="312">
        <f t="shared" si="14"/>
        <v>2600</v>
      </c>
      <c r="F61" s="317">
        <f t="shared" si="15"/>
        <v>146466.66666666666</v>
      </c>
    </row>
    <row r="62" spans="1:6" x14ac:dyDescent="0.2">
      <c r="A62" s="315">
        <v>100</v>
      </c>
      <c r="B62" s="312">
        <v>28</v>
      </c>
      <c r="C62" s="312" t="str">
        <f t="shared" si="0"/>
        <v>100x28</v>
      </c>
      <c r="D62" s="316">
        <f t="shared" si="1"/>
        <v>7.0000000000000009</v>
      </c>
      <c r="E62" s="312">
        <f t="shared" si="14"/>
        <v>2800</v>
      </c>
      <c r="F62" s="317">
        <f t="shared" si="15"/>
        <v>182933.33333333334</v>
      </c>
    </row>
    <row r="63" spans="1:6" x14ac:dyDescent="0.2">
      <c r="A63" s="315">
        <v>100</v>
      </c>
      <c r="B63" s="312">
        <v>30</v>
      </c>
      <c r="C63" s="312" t="str">
        <f t="shared" si="0"/>
        <v>100x30</v>
      </c>
      <c r="D63" s="316">
        <f t="shared" si="1"/>
        <v>7.5</v>
      </c>
      <c r="E63" s="312">
        <f t="shared" si="14"/>
        <v>3000</v>
      </c>
      <c r="F63" s="317">
        <f t="shared" si="15"/>
        <v>225000</v>
      </c>
    </row>
    <row r="64" spans="1:6" x14ac:dyDescent="0.2">
      <c r="A64" s="315">
        <v>100</v>
      </c>
      <c r="B64" s="312">
        <v>16</v>
      </c>
      <c r="C64" s="312" t="str">
        <f t="shared" si="0"/>
        <v>100x16</v>
      </c>
      <c r="D64" s="316">
        <f t="shared" si="1"/>
        <v>4</v>
      </c>
      <c r="E64" s="312">
        <f t="shared" ref="E64:E72" si="16">A64*B64</f>
        <v>1600</v>
      </c>
      <c r="F64" s="317">
        <f t="shared" ref="F64:F72" si="17">A64*B64^3/12</f>
        <v>34133.333333333336</v>
      </c>
    </row>
    <row r="65" spans="1:6" x14ac:dyDescent="0.2">
      <c r="A65" s="315">
        <v>100</v>
      </c>
      <c r="B65" s="312">
        <v>18</v>
      </c>
      <c r="C65" s="312" t="str">
        <f t="shared" si="0"/>
        <v>100x18</v>
      </c>
      <c r="D65" s="316">
        <f t="shared" si="1"/>
        <v>4.5</v>
      </c>
      <c r="E65" s="312">
        <f t="shared" si="16"/>
        <v>1800</v>
      </c>
      <c r="F65" s="317">
        <f t="shared" si="17"/>
        <v>48600</v>
      </c>
    </row>
    <row r="66" spans="1:6" x14ac:dyDescent="0.2">
      <c r="A66" s="315">
        <v>100</v>
      </c>
      <c r="B66" s="312">
        <v>20</v>
      </c>
      <c r="C66" s="312" t="str">
        <f t="shared" si="0"/>
        <v>100x20</v>
      </c>
      <c r="D66" s="316">
        <f t="shared" si="1"/>
        <v>5</v>
      </c>
      <c r="E66" s="312">
        <f t="shared" si="16"/>
        <v>2000</v>
      </c>
      <c r="F66" s="317">
        <f t="shared" si="17"/>
        <v>66666.666666666672</v>
      </c>
    </row>
    <row r="67" spans="1:6" x14ac:dyDescent="0.2">
      <c r="A67" s="315">
        <v>100</v>
      </c>
      <c r="B67" s="312">
        <v>22</v>
      </c>
      <c r="C67" s="312" t="str">
        <f t="shared" si="0"/>
        <v>100x22</v>
      </c>
      <c r="D67" s="316">
        <f t="shared" si="1"/>
        <v>5.5</v>
      </c>
      <c r="E67" s="312">
        <f t="shared" si="16"/>
        <v>2200</v>
      </c>
      <c r="F67" s="317">
        <f t="shared" si="17"/>
        <v>88733.333333333328</v>
      </c>
    </row>
    <row r="68" spans="1:6" x14ac:dyDescent="0.2">
      <c r="A68" s="315">
        <v>100</v>
      </c>
      <c r="B68" s="312">
        <v>24</v>
      </c>
      <c r="C68" s="312" t="str">
        <f t="shared" si="0"/>
        <v>100x24</v>
      </c>
      <c r="D68" s="316">
        <f t="shared" si="1"/>
        <v>6</v>
      </c>
      <c r="E68" s="312">
        <f t="shared" si="16"/>
        <v>2400</v>
      </c>
      <c r="F68" s="317">
        <f t="shared" si="17"/>
        <v>115200</v>
      </c>
    </row>
    <row r="69" spans="1:6" x14ac:dyDescent="0.2">
      <c r="A69" s="315">
        <v>100</v>
      </c>
      <c r="B69" s="312">
        <v>25</v>
      </c>
      <c r="C69" s="312" t="str">
        <f t="shared" ref="C69:C111" si="18">CONCATENATE(A69,"x",B69)</f>
        <v>100x25</v>
      </c>
      <c r="D69" s="316">
        <f t="shared" ref="D69:D111" si="19">(E69/10000)*25</f>
        <v>6.25</v>
      </c>
      <c r="E69" s="312">
        <f t="shared" si="16"/>
        <v>2500</v>
      </c>
      <c r="F69" s="317">
        <f t="shared" si="17"/>
        <v>130208.33333333333</v>
      </c>
    </row>
    <row r="70" spans="1:6" x14ac:dyDescent="0.2">
      <c r="A70" s="315">
        <v>100</v>
      </c>
      <c r="B70" s="312">
        <v>26</v>
      </c>
      <c r="C70" s="312" t="str">
        <f t="shared" si="18"/>
        <v>100x26</v>
      </c>
      <c r="D70" s="316">
        <f t="shared" si="19"/>
        <v>6.5</v>
      </c>
      <c r="E70" s="312">
        <f t="shared" si="16"/>
        <v>2600</v>
      </c>
      <c r="F70" s="317">
        <f t="shared" si="17"/>
        <v>146466.66666666666</v>
      </c>
    </row>
    <row r="71" spans="1:6" x14ac:dyDescent="0.2">
      <c r="A71" s="315">
        <v>100</v>
      </c>
      <c r="B71" s="312">
        <v>28</v>
      </c>
      <c r="C71" s="312" t="str">
        <f t="shared" si="18"/>
        <v>100x28</v>
      </c>
      <c r="D71" s="316">
        <f t="shared" si="19"/>
        <v>7.0000000000000009</v>
      </c>
      <c r="E71" s="312">
        <f t="shared" si="16"/>
        <v>2800</v>
      </c>
      <c r="F71" s="317">
        <f t="shared" si="17"/>
        <v>182933.33333333334</v>
      </c>
    </row>
    <row r="72" spans="1:6" x14ac:dyDescent="0.2">
      <c r="A72" s="315">
        <v>100</v>
      </c>
      <c r="B72" s="312">
        <v>30</v>
      </c>
      <c r="C72" s="312" t="str">
        <f t="shared" si="18"/>
        <v>100x30</v>
      </c>
      <c r="D72" s="316">
        <f t="shared" si="19"/>
        <v>7.5</v>
      </c>
      <c r="E72" s="312">
        <f t="shared" si="16"/>
        <v>3000</v>
      </c>
      <c r="F72" s="317">
        <f t="shared" si="17"/>
        <v>225000</v>
      </c>
    </row>
    <row r="73" spans="1:6" x14ac:dyDescent="0.2">
      <c r="A73" s="315">
        <v>110</v>
      </c>
      <c r="B73" s="312">
        <v>16</v>
      </c>
      <c r="C73" s="312" t="str">
        <f t="shared" si="18"/>
        <v>110x16</v>
      </c>
      <c r="D73" s="316">
        <f t="shared" si="19"/>
        <v>4.3999999999999995</v>
      </c>
      <c r="E73" s="312">
        <f t="shared" ref="E73:E81" si="20">A73*B73</f>
        <v>1760</v>
      </c>
      <c r="F73" s="317">
        <f t="shared" ref="F73:F81" si="21">A73*B73^3/12</f>
        <v>37546.666666666664</v>
      </c>
    </row>
    <row r="74" spans="1:6" x14ac:dyDescent="0.2">
      <c r="A74" s="315">
        <v>110</v>
      </c>
      <c r="B74" s="312">
        <v>18</v>
      </c>
      <c r="C74" s="312" t="str">
        <f t="shared" si="18"/>
        <v>110x18</v>
      </c>
      <c r="D74" s="316">
        <f t="shared" si="19"/>
        <v>4.95</v>
      </c>
      <c r="E74" s="312">
        <f t="shared" si="20"/>
        <v>1980</v>
      </c>
      <c r="F74" s="317">
        <f t="shared" si="21"/>
        <v>53460</v>
      </c>
    </row>
    <row r="75" spans="1:6" x14ac:dyDescent="0.2">
      <c r="A75" s="315">
        <v>110</v>
      </c>
      <c r="B75" s="312">
        <v>20</v>
      </c>
      <c r="C75" s="312" t="str">
        <f t="shared" si="18"/>
        <v>110x20</v>
      </c>
      <c r="D75" s="316">
        <f t="shared" si="19"/>
        <v>5.5</v>
      </c>
      <c r="E75" s="312">
        <f t="shared" si="20"/>
        <v>2200</v>
      </c>
      <c r="F75" s="317">
        <f t="shared" si="21"/>
        <v>73333.333333333328</v>
      </c>
    </row>
    <row r="76" spans="1:6" x14ac:dyDescent="0.2">
      <c r="A76" s="315">
        <v>110</v>
      </c>
      <c r="B76" s="312">
        <v>22</v>
      </c>
      <c r="C76" s="312" t="str">
        <f t="shared" si="18"/>
        <v>110x22</v>
      </c>
      <c r="D76" s="316">
        <f t="shared" si="19"/>
        <v>6.05</v>
      </c>
      <c r="E76" s="312">
        <f t="shared" si="20"/>
        <v>2420</v>
      </c>
      <c r="F76" s="317">
        <f t="shared" si="21"/>
        <v>97606.666666666672</v>
      </c>
    </row>
    <row r="77" spans="1:6" x14ac:dyDescent="0.2">
      <c r="A77" s="315">
        <v>110</v>
      </c>
      <c r="B77" s="312">
        <v>24</v>
      </c>
      <c r="C77" s="312" t="str">
        <f t="shared" si="18"/>
        <v>110x24</v>
      </c>
      <c r="D77" s="316">
        <f t="shared" si="19"/>
        <v>6.6000000000000005</v>
      </c>
      <c r="E77" s="312">
        <f t="shared" si="20"/>
        <v>2640</v>
      </c>
      <c r="F77" s="317">
        <f t="shared" si="21"/>
        <v>126720</v>
      </c>
    </row>
    <row r="78" spans="1:6" x14ac:dyDescent="0.2">
      <c r="A78" s="315">
        <v>110</v>
      </c>
      <c r="B78" s="312">
        <v>25</v>
      </c>
      <c r="C78" s="312" t="str">
        <f t="shared" si="18"/>
        <v>110x25</v>
      </c>
      <c r="D78" s="316">
        <f t="shared" si="19"/>
        <v>6.8750000000000009</v>
      </c>
      <c r="E78" s="312">
        <f t="shared" si="20"/>
        <v>2750</v>
      </c>
      <c r="F78" s="317">
        <f t="shared" si="21"/>
        <v>143229.16666666666</v>
      </c>
    </row>
    <row r="79" spans="1:6" x14ac:dyDescent="0.2">
      <c r="A79" s="315">
        <v>110</v>
      </c>
      <c r="B79" s="312">
        <v>26</v>
      </c>
      <c r="C79" s="312" t="str">
        <f t="shared" si="18"/>
        <v>110x26</v>
      </c>
      <c r="D79" s="316">
        <f t="shared" si="19"/>
        <v>7.1499999999999995</v>
      </c>
      <c r="E79" s="312">
        <f t="shared" si="20"/>
        <v>2860</v>
      </c>
      <c r="F79" s="317">
        <f t="shared" si="21"/>
        <v>161113.33333333334</v>
      </c>
    </row>
    <row r="80" spans="1:6" x14ac:dyDescent="0.2">
      <c r="A80" s="315">
        <v>110</v>
      </c>
      <c r="B80" s="312">
        <v>28</v>
      </c>
      <c r="C80" s="312" t="str">
        <f t="shared" si="18"/>
        <v>110x28</v>
      </c>
      <c r="D80" s="316">
        <f t="shared" si="19"/>
        <v>7.7</v>
      </c>
      <c r="E80" s="312">
        <f t="shared" si="20"/>
        <v>3080</v>
      </c>
      <c r="F80" s="317">
        <f t="shared" si="21"/>
        <v>201226.66666666666</v>
      </c>
    </row>
    <row r="81" spans="1:6" x14ac:dyDescent="0.2">
      <c r="A81" s="315">
        <v>110</v>
      </c>
      <c r="B81" s="312">
        <v>30</v>
      </c>
      <c r="C81" s="312" t="str">
        <f t="shared" si="18"/>
        <v>110x30</v>
      </c>
      <c r="D81" s="316">
        <f t="shared" si="19"/>
        <v>8.25</v>
      </c>
      <c r="E81" s="312">
        <f t="shared" si="20"/>
        <v>3300</v>
      </c>
      <c r="F81" s="317">
        <f t="shared" si="21"/>
        <v>247500</v>
      </c>
    </row>
    <row r="82" spans="1:6" x14ac:dyDescent="0.2">
      <c r="A82" s="315">
        <v>120</v>
      </c>
      <c r="B82" s="312">
        <v>16</v>
      </c>
      <c r="C82" s="312" t="str">
        <f t="shared" si="18"/>
        <v>120x16</v>
      </c>
      <c r="D82" s="316">
        <f t="shared" si="19"/>
        <v>4.8</v>
      </c>
      <c r="E82" s="312">
        <f t="shared" ref="E82:E111" si="22">A82*B82</f>
        <v>1920</v>
      </c>
      <c r="F82" s="317">
        <f t="shared" ref="F82:F111" si="23">A82*B82^3/12</f>
        <v>40960</v>
      </c>
    </row>
    <row r="83" spans="1:6" x14ac:dyDescent="0.2">
      <c r="A83" s="315">
        <v>120</v>
      </c>
      <c r="B83" s="312">
        <v>18</v>
      </c>
      <c r="C83" s="312" t="str">
        <f t="shared" si="18"/>
        <v>120x18</v>
      </c>
      <c r="D83" s="316">
        <f t="shared" si="19"/>
        <v>5.4</v>
      </c>
      <c r="E83" s="312">
        <f t="shared" si="22"/>
        <v>2160</v>
      </c>
      <c r="F83" s="317">
        <f t="shared" si="23"/>
        <v>58320</v>
      </c>
    </row>
    <row r="84" spans="1:6" x14ac:dyDescent="0.2">
      <c r="A84" s="315">
        <v>120</v>
      </c>
      <c r="B84" s="312">
        <v>20</v>
      </c>
      <c r="C84" s="312" t="str">
        <f t="shared" si="18"/>
        <v>120x20</v>
      </c>
      <c r="D84" s="316">
        <f t="shared" si="19"/>
        <v>6</v>
      </c>
      <c r="E84" s="312">
        <f t="shared" si="22"/>
        <v>2400</v>
      </c>
      <c r="F84" s="317">
        <f t="shared" si="23"/>
        <v>80000</v>
      </c>
    </row>
    <row r="85" spans="1:6" x14ac:dyDescent="0.2">
      <c r="A85" s="315">
        <v>120</v>
      </c>
      <c r="B85" s="312">
        <v>22</v>
      </c>
      <c r="C85" s="312" t="str">
        <f t="shared" si="18"/>
        <v>120x22</v>
      </c>
      <c r="D85" s="316">
        <f t="shared" si="19"/>
        <v>6.6000000000000005</v>
      </c>
      <c r="E85" s="312">
        <f t="shared" si="22"/>
        <v>2640</v>
      </c>
      <c r="F85" s="317">
        <f t="shared" si="23"/>
        <v>106480</v>
      </c>
    </row>
    <row r="86" spans="1:6" x14ac:dyDescent="0.2">
      <c r="A86" s="315">
        <v>120</v>
      </c>
      <c r="B86" s="312">
        <v>24</v>
      </c>
      <c r="C86" s="312" t="str">
        <f t="shared" si="18"/>
        <v>120x24</v>
      </c>
      <c r="D86" s="316">
        <f t="shared" si="19"/>
        <v>7.1999999999999993</v>
      </c>
      <c r="E86" s="312">
        <f t="shared" si="22"/>
        <v>2880</v>
      </c>
      <c r="F86" s="317">
        <f t="shared" si="23"/>
        <v>138240</v>
      </c>
    </row>
    <row r="87" spans="1:6" x14ac:dyDescent="0.2">
      <c r="A87" s="315">
        <v>120</v>
      </c>
      <c r="B87" s="312">
        <v>25</v>
      </c>
      <c r="C87" s="312" t="str">
        <f t="shared" si="18"/>
        <v>120x25</v>
      </c>
      <c r="D87" s="316">
        <f t="shared" si="19"/>
        <v>7.5</v>
      </c>
      <c r="E87" s="312">
        <f t="shared" si="22"/>
        <v>3000</v>
      </c>
      <c r="F87" s="317">
        <f t="shared" si="23"/>
        <v>156250</v>
      </c>
    </row>
    <row r="88" spans="1:6" x14ac:dyDescent="0.2">
      <c r="A88" s="315">
        <v>120</v>
      </c>
      <c r="B88" s="312">
        <v>26</v>
      </c>
      <c r="C88" s="312" t="str">
        <f t="shared" si="18"/>
        <v>120x26</v>
      </c>
      <c r="D88" s="316">
        <f t="shared" si="19"/>
        <v>7.8</v>
      </c>
      <c r="E88" s="312">
        <f t="shared" si="22"/>
        <v>3120</v>
      </c>
      <c r="F88" s="317">
        <f t="shared" si="23"/>
        <v>175760</v>
      </c>
    </row>
    <row r="89" spans="1:6" x14ac:dyDescent="0.2">
      <c r="A89" s="315">
        <v>120</v>
      </c>
      <c r="B89" s="312">
        <v>28</v>
      </c>
      <c r="C89" s="312" t="str">
        <f t="shared" si="18"/>
        <v>120x28</v>
      </c>
      <c r="D89" s="316">
        <f t="shared" si="19"/>
        <v>8.4</v>
      </c>
      <c r="E89" s="312">
        <f t="shared" si="22"/>
        <v>3360</v>
      </c>
      <c r="F89" s="317">
        <f t="shared" si="23"/>
        <v>219520</v>
      </c>
    </row>
    <row r="90" spans="1:6" x14ac:dyDescent="0.2">
      <c r="A90" s="315">
        <v>120</v>
      </c>
      <c r="B90" s="312">
        <v>30</v>
      </c>
      <c r="C90" s="312" t="str">
        <f t="shared" si="18"/>
        <v>120x30</v>
      </c>
      <c r="D90" s="316">
        <f t="shared" si="19"/>
        <v>9</v>
      </c>
      <c r="E90" s="312">
        <f t="shared" si="22"/>
        <v>3600</v>
      </c>
      <c r="F90" s="317">
        <f t="shared" si="23"/>
        <v>270000</v>
      </c>
    </row>
    <row r="91" spans="1:6" x14ac:dyDescent="0.2">
      <c r="A91" s="315">
        <v>15</v>
      </c>
      <c r="B91" s="312">
        <v>15</v>
      </c>
      <c r="C91" s="312" t="str">
        <f t="shared" si="18"/>
        <v>15x15</v>
      </c>
      <c r="D91" s="316">
        <f t="shared" si="19"/>
        <v>0.5625</v>
      </c>
      <c r="E91" s="312">
        <f t="shared" si="22"/>
        <v>225</v>
      </c>
      <c r="F91" s="317">
        <f t="shared" si="23"/>
        <v>4218.75</v>
      </c>
    </row>
    <row r="92" spans="1:6" x14ac:dyDescent="0.2">
      <c r="A92" s="315">
        <v>30</v>
      </c>
      <c r="B92" s="312">
        <v>90</v>
      </c>
      <c r="C92" s="312" t="str">
        <f t="shared" si="18"/>
        <v>30x90</v>
      </c>
      <c r="D92" s="316">
        <f t="shared" si="19"/>
        <v>6.75</v>
      </c>
      <c r="E92" s="312">
        <f t="shared" si="22"/>
        <v>2700</v>
      </c>
      <c r="F92" s="317">
        <f t="shared" si="23"/>
        <v>1822500</v>
      </c>
    </row>
    <row r="93" spans="1:6" x14ac:dyDescent="0.2">
      <c r="A93" s="315">
        <v>35</v>
      </c>
      <c r="B93" s="312">
        <v>110</v>
      </c>
      <c r="C93" s="312" t="str">
        <f t="shared" si="18"/>
        <v>35x110</v>
      </c>
      <c r="D93" s="316">
        <f t="shared" si="19"/>
        <v>9.625</v>
      </c>
      <c r="E93" s="312">
        <f t="shared" si="22"/>
        <v>3850</v>
      </c>
      <c r="F93" s="317">
        <f t="shared" si="23"/>
        <v>3882083.3333333335</v>
      </c>
    </row>
    <row r="94" spans="1:6" x14ac:dyDescent="0.2">
      <c r="A94" s="320">
        <v>65</v>
      </c>
      <c r="B94" s="310">
        <v>21</v>
      </c>
      <c r="C94" s="312" t="str">
        <f t="shared" si="18"/>
        <v>65x21</v>
      </c>
      <c r="D94" s="316">
        <f t="shared" si="19"/>
        <v>3.4125000000000001</v>
      </c>
      <c r="E94" s="312">
        <f t="shared" si="22"/>
        <v>1365</v>
      </c>
      <c r="F94" s="317">
        <f t="shared" si="23"/>
        <v>50163.75</v>
      </c>
    </row>
    <row r="95" spans="1:6" x14ac:dyDescent="0.2">
      <c r="A95" s="320">
        <v>66</v>
      </c>
      <c r="B95" s="310">
        <v>19</v>
      </c>
      <c r="C95" s="312" t="str">
        <f t="shared" si="18"/>
        <v>66x19</v>
      </c>
      <c r="D95" s="316">
        <f t="shared" si="19"/>
        <v>3.1350000000000002</v>
      </c>
      <c r="E95" s="312">
        <f t="shared" si="22"/>
        <v>1254</v>
      </c>
      <c r="F95" s="317">
        <f t="shared" si="23"/>
        <v>37724.5</v>
      </c>
    </row>
    <row r="96" spans="1:6" x14ac:dyDescent="0.2">
      <c r="A96" s="320"/>
      <c r="B96" s="310"/>
      <c r="C96" s="312" t="str">
        <f t="shared" si="18"/>
        <v>x</v>
      </c>
      <c r="D96" s="316">
        <f t="shared" si="19"/>
        <v>0</v>
      </c>
      <c r="E96" s="312">
        <f t="shared" si="22"/>
        <v>0</v>
      </c>
      <c r="F96" s="317">
        <f t="shared" si="23"/>
        <v>0</v>
      </c>
    </row>
    <row r="97" spans="1:6" x14ac:dyDescent="0.2">
      <c r="A97" s="320"/>
      <c r="B97" s="310"/>
      <c r="C97" s="312" t="str">
        <f t="shared" si="18"/>
        <v>x</v>
      </c>
      <c r="D97" s="316">
        <f t="shared" si="19"/>
        <v>0</v>
      </c>
      <c r="E97" s="312">
        <f t="shared" si="22"/>
        <v>0</v>
      </c>
      <c r="F97" s="317">
        <f t="shared" si="23"/>
        <v>0</v>
      </c>
    </row>
    <row r="98" spans="1:6" x14ac:dyDescent="0.2">
      <c r="A98" s="320"/>
      <c r="B98" s="310"/>
      <c r="C98" s="312" t="str">
        <f t="shared" si="18"/>
        <v>x</v>
      </c>
      <c r="D98" s="316">
        <f t="shared" si="19"/>
        <v>0</v>
      </c>
      <c r="E98" s="312">
        <f t="shared" si="22"/>
        <v>0</v>
      </c>
      <c r="F98" s="317">
        <f t="shared" si="23"/>
        <v>0</v>
      </c>
    </row>
    <row r="99" spans="1:6" x14ac:dyDescent="0.2">
      <c r="A99" s="320"/>
      <c r="B99" s="310"/>
      <c r="C99" s="312" t="str">
        <f t="shared" si="18"/>
        <v>x</v>
      </c>
      <c r="D99" s="316">
        <f t="shared" si="19"/>
        <v>0</v>
      </c>
      <c r="E99" s="312">
        <f t="shared" si="22"/>
        <v>0</v>
      </c>
      <c r="F99" s="317">
        <f t="shared" si="23"/>
        <v>0</v>
      </c>
    </row>
    <row r="100" spans="1:6" x14ac:dyDescent="0.2">
      <c r="A100" s="320"/>
      <c r="B100" s="310"/>
      <c r="C100" s="312" t="str">
        <f t="shared" si="18"/>
        <v>x</v>
      </c>
      <c r="D100" s="316">
        <f t="shared" si="19"/>
        <v>0</v>
      </c>
      <c r="E100" s="312">
        <f t="shared" si="22"/>
        <v>0</v>
      </c>
      <c r="F100" s="317">
        <f t="shared" si="23"/>
        <v>0</v>
      </c>
    </row>
    <row r="101" spans="1:6" x14ac:dyDescent="0.2">
      <c r="A101" s="320"/>
      <c r="B101" s="310"/>
      <c r="C101" s="312" t="str">
        <f t="shared" si="18"/>
        <v>x</v>
      </c>
      <c r="D101" s="316">
        <f t="shared" si="19"/>
        <v>0</v>
      </c>
      <c r="E101" s="312">
        <f t="shared" si="22"/>
        <v>0</v>
      </c>
      <c r="F101" s="317">
        <f t="shared" si="23"/>
        <v>0</v>
      </c>
    </row>
    <row r="102" spans="1:6" x14ac:dyDescent="0.2">
      <c r="A102" s="320"/>
      <c r="B102" s="310"/>
      <c r="C102" s="312" t="str">
        <f t="shared" si="18"/>
        <v>x</v>
      </c>
      <c r="D102" s="316">
        <f t="shared" si="19"/>
        <v>0</v>
      </c>
      <c r="E102" s="312">
        <f t="shared" si="22"/>
        <v>0</v>
      </c>
      <c r="F102" s="317">
        <f t="shared" si="23"/>
        <v>0</v>
      </c>
    </row>
    <row r="103" spans="1:6" x14ac:dyDescent="0.2">
      <c r="A103" s="320"/>
      <c r="B103" s="310"/>
      <c r="C103" s="312" t="str">
        <f t="shared" si="18"/>
        <v>x</v>
      </c>
      <c r="D103" s="316">
        <f t="shared" si="19"/>
        <v>0</v>
      </c>
      <c r="E103" s="312">
        <f t="shared" si="22"/>
        <v>0</v>
      </c>
      <c r="F103" s="317">
        <f t="shared" si="23"/>
        <v>0</v>
      </c>
    </row>
    <row r="104" spans="1:6" x14ac:dyDescent="0.2">
      <c r="A104" s="320"/>
      <c r="B104" s="310"/>
      <c r="C104" s="312" t="str">
        <f t="shared" si="18"/>
        <v>x</v>
      </c>
      <c r="D104" s="316">
        <f t="shared" si="19"/>
        <v>0</v>
      </c>
      <c r="E104" s="312">
        <f t="shared" si="22"/>
        <v>0</v>
      </c>
      <c r="F104" s="317">
        <f t="shared" si="23"/>
        <v>0</v>
      </c>
    </row>
    <row r="105" spans="1:6" x14ac:dyDescent="0.2">
      <c r="A105" s="320"/>
      <c r="B105" s="310"/>
      <c r="C105" s="312" t="str">
        <f t="shared" si="18"/>
        <v>x</v>
      </c>
      <c r="D105" s="316">
        <f t="shared" si="19"/>
        <v>0</v>
      </c>
      <c r="E105" s="312">
        <f t="shared" si="22"/>
        <v>0</v>
      </c>
      <c r="F105" s="317">
        <f t="shared" si="23"/>
        <v>0</v>
      </c>
    </row>
    <row r="106" spans="1:6" x14ac:dyDescent="0.2">
      <c r="A106" s="320"/>
      <c r="B106" s="310"/>
      <c r="C106" s="312" t="str">
        <f t="shared" si="18"/>
        <v>x</v>
      </c>
      <c r="D106" s="316">
        <f t="shared" si="19"/>
        <v>0</v>
      </c>
      <c r="E106" s="312">
        <f t="shared" si="22"/>
        <v>0</v>
      </c>
      <c r="F106" s="317">
        <f t="shared" si="23"/>
        <v>0</v>
      </c>
    </row>
    <row r="107" spans="1:6" x14ac:dyDescent="0.2">
      <c r="A107" s="320"/>
      <c r="B107" s="310"/>
      <c r="C107" s="312" t="str">
        <f t="shared" si="18"/>
        <v>x</v>
      </c>
      <c r="D107" s="316">
        <f t="shared" si="19"/>
        <v>0</v>
      </c>
      <c r="E107" s="312">
        <f t="shared" si="22"/>
        <v>0</v>
      </c>
      <c r="F107" s="317">
        <f t="shared" si="23"/>
        <v>0</v>
      </c>
    </row>
    <row r="108" spans="1:6" x14ac:dyDescent="0.2">
      <c r="A108" s="320"/>
      <c r="B108" s="310"/>
      <c r="C108" s="312" t="str">
        <f t="shared" si="18"/>
        <v>x</v>
      </c>
      <c r="D108" s="316">
        <f t="shared" si="19"/>
        <v>0</v>
      </c>
      <c r="E108" s="312">
        <f t="shared" si="22"/>
        <v>0</v>
      </c>
      <c r="F108" s="317">
        <f t="shared" si="23"/>
        <v>0</v>
      </c>
    </row>
    <row r="109" spans="1:6" x14ac:dyDescent="0.2">
      <c r="A109" s="320"/>
      <c r="B109" s="310"/>
      <c r="C109" s="312" t="str">
        <f t="shared" si="18"/>
        <v>x</v>
      </c>
      <c r="D109" s="316">
        <f t="shared" si="19"/>
        <v>0</v>
      </c>
      <c r="E109" s="312">
        <f t="shared" si="22"/>
        <v>0</v>
      </c>
      <c r="F109" s="317">
        <f t="shared" si="23"/>
        <v>0</v>
      </c>
    </row>
    <row r="110" spans="1:6" x14ac:dyDescent="0.2">
      <c r="A110" s="320"/>
      <c r="B110" s="310"/>
      <c r="C110" s="312" t="str">
        <f t="shared" si="18"/>
        <v>x</v>
      </c>
      <c r="D110" s="316">
        <f t="shared" si="19"/>
        <v>0</v>
      </c>
      <c r="E110" s="312">
        <f t="shared" si="22"/>
        <v>0</v>
      </c>
      <c r="F110" s="317">
        <f t="shared" si="23"/>
        <v>0</v>
      </c>
    </row>
    <row r="111" spans="1:6" x14ac:dyDescent="0.2">
      <c r="A111" s="321"/>
      <c r="B111" s="322"/>
      <c r="C111" s="268" t="str">
        <f t="shared" si="18"/>
        <v>x</v>
      </c>
      <c r="D111" s="318">
        <f t="shared" si="19"/>
        <v>0</v>
      </c>
      <c r="E111" s="268">
        <f t="shared" si="22"/>
        <v>0</v>
      </c>
      <c r="F111" s="319">
        <f t="shared" si="23"/>
        <v>0</v>
      </c>
    </row>
    <row r="112" spans="1:6" x14ac:dyDescent="0.2">
      <c r="A112" s="123"/>
      <c r="B112" s="123"/>
      <c r="C112" s="323"/>
      <c r="D112" s="123"/>
      <c r="E112" s="123"/>
      <c r="F112" s="242"/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ornaduecampate">
                <anchor moveWithCells="1" sizeWithCells="1">
                  <from>
                    <xdr:col>8</xdr:col>
                    <xdr:colOff>457200</xdr:colOff>
                    <xdr:row>0</xdr:row>
                    <xdr:rowOff>9525</xdr:rowOff>
                  </from>
                  <to>
                    <xdr:col>10</xdr:col>
                    <xdr:colOff>495300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ornatrecampate">
                <anchor moveWithCells="1" sizeWithCells="1">
                  <from>
                    <xdr:col>10</xdr:col>
                    <xdr:colOff>523875</xdr:colOff>
                    <xdr:row>0</xdr:row>
                    <xdr:rowOff>9525</xdr:rowOff>
                  </from>
                  <to>
                    <xdr:col>12</xdr:col>
                    <xdr:colOff>561975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Tornaquattrocampate">
                <anchor moveWithCells="1" sizeWithCells="1">
                  <from>
                    <xdr:col>12</xdr:col>
                    <xdr:colOff>590550</xdr:colOff>
                    <xdr:row>0</xdr:row>
                    <xdr:rowOff>9525</xdr:rowOff>
                  </from>
                  <to>
                    <xdr:col>15</xdr:col>
                    <xdr:colOff>19050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Tornaunacampata">
                <anchor moveWithCells="1" sizeWithCells="1">
                  <from>
                    <xdr:col>6</xdr:col>
                    <xdr:colOff>390525</xdr:colOff>
                    <xdr:row>0</xdr:row>
                    <xdr:rowOff>9525</xdr:rowOff>
                  </from>
                  <to>
                    <xdr:col>8</xdr:col>
                    <xdr:colOff>428625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Foglio31"/>
  <dimension ref="A1:J303"/>
  <sheetViews>
    <sheetView workbookViewId="0">
      <pane ySplit="3" topLeftCell="A4" activePane="bottomLeft" state="frozen"/>
      <selection pane="bottomLeft" activeCell="A303" sqref="A303"/>
    </sheetView>
  </sheetViews>
  <sheetFormatPr defaultColWidth="9.140625" defaultRowHeight="12" x14ac:dyDescent="0.2"/>
  <cols>
    <col min="1" max="1" width="14" style="1" customWidth="1"/>
    <col min="2" max="2" width="4.85546875" style="1" bestFit="1" customWidth="1"/>
    <col min="3" max="3" width="4.85546875" style="1" customWidth="1"/>
    <col min="4" max="4" width="6.42578125" style="1" bestFit="1" customWidth="1"/>
    <col min="5" max="5" width="6.5703125" style="1" bestFit="1" customWidth="1"/>
    <col min="6" max="8" width="5.7109375" style="1" bestFit="1" customWidth="1"/>
    <col min="9" max="9" width="10" style="1" bestFit="1" customWidth="1"/>
    <col min="10" max="10" width="4.85546875" style="1" bestFit="1" customWidth="1"/>
    <col min="11" max="16384" width="9.140625" style="1"/>
  </cols>
  <sheetData>
    <row r="1" spans="1:10" ht="12" customHeight="1" x14ac:dyDescent="0.2">
      <c r="A1" s="227" t="s">
        <v>125</v>
      </c>
      <c r="B1" s="228" t="s">
        <v>126</v>
      </c>
      <c r="C1" s="228" t="s">
        <v>126</v>
      </c>
      <c r="D1" s="228" t="s">
        <v>127</v>
      </c>
      <c r="E1" s="349" t="s">
        <v>128</v>
      </c>
      <c r="F1" s="350"/>
      <c r="G1" s="349" t="s">
        <v>129</v>
      </c>
      <c r="H1" s="350"/>
      <c r="I1" s="349" t="s">
        <v>130</v>
      </c>
      <c r="J1" s="351"/>
    </row>
    <row r="2" spans="1:10" ht="24" x14ac:dyDescent="0.2">
      <c r="A2" s="229" t="s">
        <v>131</v>
      </c>
      <c r="B2" s="213" t="s">
        <v>132</v>
      </c>
      <c r="C2" s="213" t="s">
        <v>446</v>
      </c>
      <c r="D2" s="213" t="s">
        <v>133</v>
      </c>
      <c r="E2" s="212" t="s">
        <v>134</v>
      </c>
      <c r="F2" s="212" t="s">
        <v>135</v>
      </c>
      <c r="G2" s="212" t="s">
        <v>136</v>
      </c>
      <c r="H2" s="212" t="s">
        <v>137</v>
      </c>
      <c r="I2" s="214" t="s">
        <v>138</v>
      </c>
      <c r="J2" s="230" t="s">
        <v>139</v>
      </c>
    </row>
    <row r="3" spans="1:10" x14ac:dyDescent="0.2">
      <c r="A3" s="231"/>
      <c r="B3" s="215"/>
      <c r="C3" s="215"/>
      <c r="D3" s="215"/>
      <c r="E3" s="216" t="s">
        <v>140</v>
      </c>
      <c r="F3" s="216" t="s">
        <v>140</v>
      </c>
      <c r="G3" s="216" t="s">
        <v>141</v>
      </c>
      <c r="H3" s="216" t="s">
        <v>141</v>
      </c>
      <c r="I3" s="216" t="s">
        <v>142</v>
      </c>
      <c r="J3" s="232" t="s">
        <v>142</v>
      </c>
    </row>
    <row r="4" spans="1:10" x14ac:dyDescent="0.2">
      <c r="A4" s="243" t="s">
        <v>124</v>
      </c>
      <c r="B4" s="244"/>
      <c r="C4" s="244"/>
      <c r="D4" s="244"/>
      <c r="E4" s="245"/>
      <c r="F4" s="245"/>
      <c r="G4" s="245"/>
      <c r="H4" s="245"/>
      <c r="I4" s="245"/>
      <c r="J4" s="246"/>
    </row>
    <row r="5" spans="1:10" x14ac:dyDescent="0.2">
      <c r="A5" s="233" t="s">
        <v>143</v>
      </c>
      <c r="B5" s="217">
        <v>6</v>
      </c>
      <c r="C5" s="217">
        <f>B5/100</f>
        <v>0.06</v>
      </c>
      <c r="D5" s="217">
        <v>7.64</v>
      </c>
      <c r="E5" s="217">
        <v>80.14</v>
      </c>
      <c r="F5" s="217">
        <v>8.49</v>
      </c>
      <c r="G5" s="217">
        <v>20.03</v>
      </c>
      <c r="H5" s="217">
        <v>3.69</v>
      </c>
      <c r="I5" s="217">
        <v>3.24</v>
      </c>
      <c r="J5" s="234">
        <v>1.05</v>
      </c>
    </row>
    <row r="6" spans="1:10" x14ac:dyDescent="0.2">
      <c r="A6" s="233" t="s">
        <v>144</v>
      </c>
      <c r="B6" s="217">
        <v>8.1</v>
      </c>
      <c r="C6" s="217">
        <f t="shared" ref="C6:C69" si="0">B6/100</f>
        <v>8.1000000000000003E-2</v>
      </c>
      <c r="D6" s="217">
        <v>10.32</v>
      </c>
      <c r="E6" s="217">
        <v>171</v>
      </c>
      <c r="F6" s="217">
        <v>15.92</v>
      </c>
      <c r="G6" s="217">
        <v>34.200000000000003</v>
      </c>
      <c r="H6" s="217">
        <v>5.79</v>
      </c>
      <c r="I6" s="217">
        <v>4.07</v>
      </c>
      <c r="J6" s="234">
        <v>1.24</v>
      </c>
    </row>
    <row r="7" spans="1:10" x14ac:dyDescent="0.2">
      <c r="A7" s="233" t="s">
        <v>145</v>
      </c>
      <c r="B7" s="217">
        <v>10.4</v>
      </c>
      <c r="C7" s="217">
        <f t="shared" si="0"/>
        <v>0.10400000000000001</v>
      </c>
      <c r="D7" s="217">
        <v>13.21</v>
      </c>
      <c r="E7" s="217">
        <v>317.8</v>
      </c>
      <c r="F7" s="217">
        <v>27.67</v>
      </c>
      <c r="G7" s="217">
        <v>52.96</v>
      </c>
      <c r="H7" s="217">
        <v>8.65</v>
      </c>
      <c r="I7" s="217">
        <v>4.9000000000000004</v>
      </c>
      <c r="J7" s="234">
        <v>1.45</v>
      </c>
    </row>
    <row r="8" spans="1:10" x14ac:dyDescent="0.2">
      <c r="A8" s="233" t="s">
        <v>146</v>
      </c>
      <c r="B8" s="217">
        <v>12.9</v>
      </c>
      <c r="C8" s="217">
        <f t="shared" si="0"/>
        <v>0.129</v>
      </c>
      <c r="D8" s="217">
        <v>16.43</v>
      </c>
      <c r="E8" s="217">
        <v>541.20000000000005</v>
      </c>
      <c r="F8" s="217">
        <v>44.92</v>
      </c>
      <c r="G8" s="217">
        <v>77.319999999999993</v>
      </c>
      <c r="H8" s="217">
        <v>12.31</v>
      </c>
      <c r="I8" s="217">
        <v>5.74</v>
      </c>
      <c r="J8" s="234">
        <v>1.65</v>
      </c>
    </row>
    <row r="9" spans="1:10" x14ac:dyDescent="0.2">
      <c r="A9" s="233" t="s">
        <v>147</v>
      </c>
      <c r="B9" s="217">
        <v>15.8</v>
      </c>
      <c r="C9" s="217">
        <f t="shared" si="0"/>
        <v>0.158</v>
      </c>
      <c r="D9" s="217">
        <v>20.09</v>
      </c>
      <c r="E9" s="217">
        <v>869.3</v>
      </c>
      <c r="F9" s="217">
        <v>68.31</v>
      </c>
      <c r="G9" s="217">
        <v>108.7</v>
      </c>
      <c r="H9" s="217">
        <v>16.66</v>
      </c>
      <c r="I9" s="217">
        <v>6.58</v>
      </c>
      <c r="J9" s="234">
        <v>1.84</v>
      </c>
    </row>
    <row r="10" spans="1:10" x14ac:dyDescent="0.2">
      <c r="A10" s="233" t="s">
        <v>148</v>
      </c>
      <c r="B10" s="217">
        <v>18.8</v>
      </c>
      <c r="C10" s="217">
        <f t="shared" si="0"/>
        <v>0.188</v>
      </c>
      <c r="D10" s="217">
        <v>23.95</v>
      </c>
      <c r="E10" s="218">
        <v>1317</v>
      </c>
      <c r="F10" s="217">
        <v>100.9</v>
      </c>
      <c r="G10" s="217">
        <v>146.30000000000001</v>
      </c>
      <c r="H10" s="217">
        <v>22.16</v>
      </c>
      <c r="I10" s="217">
        <v>7.42</v>
      </c>
      <c r="J10" s="234">
        <v>2.0499999999999998</v>
      </c>
    </row>
    <row r="11" spans="1:10" x14ac:dyDescent="0.2">
      <c r="A11" s="233" t="s">
        <v>149</v>
      </c>
      <c r="B11" s="217">
        <v>22.4</v>
      </c>
      <c r="C11" s="217">
        <f t="shared" si="0"/>
        <v>0.22399999999999998</v>
      </c>
      <c r="D11" s="217">
        <v>28.48</v>
      </c>
      <c r="E11" s="218">
        <v>1943</v>
      </c>
      <c r="F11" s="217">
        <v>142.4</v>
      </c>
      <c r="G11" s="217">
        <v>194.3</v>
      </c>
      <c r="H11" s="217">
        <v>28.47</v>
      </c>
      <c r="I11" s="217">
        <v>8.26</v>
      </c>
      <c r="J11" s="234">
        <v>2.2400000000000002</v>
      </c>
    </row>
    <row r="12" spans="1:10" x14ac:dyDescent="0.2">
      <c r="A12" s="233" t="s">
        <v>150</v>
      </c>
      <c r="B12" s="217">
        <v>26.2</v>
      </c>
      <c r="C12" s="217">
        <f t="shared" si="0"/>
        <v>0.26200000000000001</v>
      </c>
      <c r="D12" s="217">
        <v>33.369999999999997</v>
      </c>
      <c r="E12" s="218">
        <v>2772</v>
      </c>
      <c r="F12" s="217">
        <v>204.9</v>
      </c>
      <c r="G12" s="217">
        <v>252</v>
      </c>
      <c r="H12" s="217">
        <v>37.25</v>
      </c>
      <c r="I12" s="217">
        <v>9.11</v>
      </c>
      <c r="J12" s="234">
        <v>2.48</v>
      </c>
    </row>
    <row r="13" spans="1:10" x14ac:dyDescent="0.2">
      <c r="A13" s="233" t="s">
        <v>151</v>
      </c>
      <c r="B13" s="217">
        <v>30.7</v>
      </c>
      <c r="C13" s="217">
        <f t="shared" si="0"/>
        <v>0.307</v>
      </c>
      <c r="D13" s="217">
        <v>39.119999999999997</v>
      </c>
      <c r="E13" s="218">
        <v>3892</v>
      </c>
      <c r="F13" s="217">
        <v>283.60000000000002</v>
      </c>
      <c r="G13" s="217">
        <v>324.3</v>
      </c>
      <c r="H13" s="217">
        <v>47.27</v>
      </c>
      <c r="I13" s="217">
        <v>9.9700000000000006</v>
      </c>
      <c r="J13" s="234">
        <v>2.69</v>
      </c>
    </row>
    <row r="14" spans="1:10" x14ac:dyDescent="0.2">
      <c r="A14" s="233" t="s">
        <v>152</v>
      </c>
      <c r="B14" s="217">
        <v>36.1</v>
      </c>
      <c r="C14" s="217">
        <f t="shared" si="0"/>
        <v>0.36099999999999999</v>
      </c>
      <c r="D14" s="217">
        <v>45.95</v>
      </c>
      <c r="E14" s="218">
        <v>5790</v>
      </c>
      <c r="F14" s="217">
        <v>419.9</v>
      </c>
      <c r="G14" s="217">
        <v>428.9</v>
      </c>
      <c r="H14" s="217">
        <v>62.2</v>
      </c>
      <c r="I14" s="217">
        <v>11.23</v>
      </c>
      <c r="J14" s="234">
        <v>3.02</v>
      </c>
    </row>
    <row r="15" spans="1:10" x14ac:dyDescent="0.2">
      <c r="A15" s="233" t="s">
        <v>153</v>
      </c>
      <c r="B15" s="217">
        <v>42.2</v>
      </c>
      <c r="C15" s="217">
        <f t="shared" si="0"/>
        <v>0.42200000000000004</v>
      </c>
      <c r="D15" s="217">
        <v>53.81</v>
      </c>
      <c r="E15" s="218">
        <v>8356</v>
      </c>
      <c r="F15" s="217">
        <v>603.79999999999995</v>
      </c>
      <c r="G15" s="217">
        <v>557.1</v>
      </c>
      <c r="H15" s="217">
        <v>80.5</v>
      </c>
      <c r="I15" s="217">
        <v>12.46</v>
      </c>
      <c r="J15" s="234">
        <v>3.35</v>
      </c>
    </row>
    <row r="16" spans="1:10" x14ac:dyDescent="0.2">
      <c r="A16" s="233" t="s">
        <v>154</v>
      </c>
      <c r="B16" s="217">
        <v>49.1</v>
      </c>
      <c r="C16" s="217">
        <f t="shared" si="0"/>
        <v>0.49099999999999999</v>
      </c>
      <c r="D16" s="217">
        <v>62.61</v>
      </c>
      <c r="E16" s="218">
        <v>11770</v>
      </c>
      <c r="F16" s="217">
        <v>788.1</v>
      </c>
      <c r="G16" s="217">
        <v>713.1</v>
      </c>
      <c r="H16" s="217">
        <v>98.52</v>
      </c>
      <c r="I16" s="217">
        <v>13.71</v>
      </c>
      <c r="J16" s="234">
        <v>3.55</v>
      </c>
    </row>
    <row r="17" spans="1:10" x14ac:dyDescent="0.2">
      <c r="A17" s="233" t="s">
        <v>155</v>
      </c>
      <c r="B17" s="217">
        <v>57.1</v>
      </c>
      <c r="C17" s="217">
        <f t="shared" si="0"/>
        <v>0.57100000000000006</v>
      </c>
      <c r="D17" s="217">
        <v>72.73</v>
      </c>
      <c r="E17" s="218">
        <v>16270</v>
      </c>
      <c r="F17" s="218">
        <v>1043</v>
      </c>
      <c r="G17" s="217">
        <v>903.6</v>
      </c>
      <c r="H17" s="217">
        <v>122.8</v>
      </c>
      <c r="I17" s="217">
        <v>14.95</v>
      </c>
      <c r="J17" s="234">
        <v>3.79</v>
      </c>
    </row>
    <row r="18" spans="1:10" x14ac:dyDescent="0.2">
      <c r="A18" s="233" t="s">
        <v>156</v>
      </c>
      <c r="B18" s="217">
        <v>66.3</v>
      </c>
      <c r="C18" s="217">
        <f t="shared" si="0"/>
        <v>0.66299999999999992</v>
      </c>
      <c r="D18" s="217">
        <v>84.46</v>
      </c>
      <c r="E18" s="218">
        <v>23130</v>
      </c>
      <c r="F18" s="218">
        <v>1318</v>
      </c>
      <c r="G18" s="218">
        <v>1156</v>
      </c>
      <c r="H18" s="217">
        <v>146.4</v>
      </c>
      <c r="I18" s="217">
        <v>16.55</v>
      </c>
      <c r="J18" s="234">
        <v>3.95</v>
      </c>
    </row>
    <row r="19" spans="1:10" x14ac:dyDescent="0.2">
      <c r="A19" s="233" t="s">
        <v>157</v>
      </c>
      <c r="B19" s="217">
        <v>77.599999999999994</v>
      </c>
      <c r="C19" s="217">
        <f t="shared" si="0"/>
        <v>0.77599999999999991</v>
      </c>
      <c r="D19" s="217">
        <v>98.82</v>
      </c>
      <c r="E19" s="218">
        <v>33740</v>
      </c>
      <c r="F19" s="218">
        <v>1676</v>
      </c>
      <c r="G19" s="218">
        <v>1500</v>
      </c>
      <c r="H19" s="217">
        <v>176.4</v>
      </c>
      <c r="I19" s="217">
        <v>18.48</v>
      </c>
      <c r="J19" s="234">
        <v>4.12</v>
      </c>
    </row>
    <row r="20" spans="1:10" x14ac:dyDescent="0.2">
      <c r="A20" s="233" t="s">
        <v>158</v>
      </c>
      <c r="B20" s="217">
        <v>90.7</v>
      </c>
      <c r="C20" s="217">
        <f t="shared" si="0"/>
        <v>0.90700000000000003</v>
      </c>
      <c r="D20" s="217">
        <v>115.5</v>
      </c>
      <c r="E20" s="218">
        <v>48200</v>
      </c>
      <c r="F20" s="218">
        <v>2142</v>
      </c>
      <c r="G20" s="218">
        <v>1928</v>
      </c>
      <c r="H20" s="217">
        <v>214.2</v>
      </c>
      <c r="I20" s="217">
        <v>20.43</v>
      </c>
      <c r="J20" s="234">
        <v>4.3099999999999996</v>
      </c>
    </row>
    <row r="21" spans="1:10" x14ac:dyDescent="0.2">
      <c r="A21" s="233" t="s">
        <v>159</v>
      </c>
      <c r="B21" s="217">
        <v>106</v>
      </c>
      <c r="C21" s="217">
        <f t="shared" si="0"/>
        <v>1.06</v>
      </c>
      <c r="D21" s="217">
        <v>134.4</v>
      </c>
      <c r="E21" s="218">
        <v>67120</v>
      </c>
      <c r="F21" s="218">
        <v>2668</v>
      </c>
      <c r="G21" s="218">
        <v>2441</v>
      </c>
      <c r="H21" s="217">
        <v>254.1</v>
      </c>
      <c r="I21" s="217">
        <v>22.35</v>
      </c>
      <c r="J21" s="234">
        <v>4.45</v>
      </c>
    </row>
    <row r="22" spans="1:10" x14ac:dyDescent="0.2">
      <c r="A22" s="233" t="s">
        <v>160</v>
      </c>
      <c r="B22" s="217">
        <v>122</v>
      </c>
      <c r="C22" s="217">
        <f t="shared" si="0"/>
        <v>1.22</v>
      </c>
      <c r="D22" s="217">
        <v>156</v>
      </c>
      <c r="E22" s="218">
        <v>92080</v>
      </c>
      <c r="F22" s="218">
        <v>3387</v>
      </c>
      <c r="G22" s="218">
        <v>3069</v>
      </c>
      <c r="H22" s="217">
        <v>307.89999999999998</v>
      </c>
      <c r="I22" s="217">
        <v>24.3</v>
      </c>
      <c r="J22" s="234">
        <v>4.66</v>
      </c>
    </row>
    <row r="23" spans="1:10" x14ac:dyDescent="0.2">
      <c r="A23" s="233" t="s">
        <v>161</v>
      </c>
      <c r="B23" s="217">
        <v>5.94</v>
      </c>
      <c r="C23" s="217">
        <f t="shared" si="0"/>
        <v>5.9400000000000001E-2</v>
      </c>
      <c r="D23" s="217">
        <v>7.57</v>
      </c>
      <c r="E23" s="217">
        <v>77.7</v>
      </c>
      <c r="F23" s="219">
        <v>0.26944444444444443</v>
      </c>
      <c r="G23" s="217">
        <v>19.399999999999999</v>
      </c>
      <c r="H23" s="217">
        <v>2.99</v>
      </c>
      <c r="I23" s="217">
        <v>3.2</v>
      </c>
      <c r="J23" s="234">
        <v>0.91</v>
      </c>
    </row>
    <row r="24" spans="1:10" x14ac:dyDescent="0.2">
      <c r="A24" s="233" t="s">
        <v>162</v>
      </c>
      <c r="B24" s="217">
        <v>8.34</v>
      </c>
      <c r="C24" s="217">
        <f t="shared" si="0"/>
        <v>8.3400000000000002E-2</v>
      </c>
      <c r="D24" s="217">
        <v>10.6</v>
      </c>
      <c r="E24" s="217">
        <v>170</v>
      </c>
      <c r="F24" s="217">
        <v>12.1</v>
      </c>
      <c r="G24" s="217">
        <v>34.1</v>
      </c>
      <c r="H24" s="217">
        <v>4.8600000000000003</v>
      </c>
      <c r="I24" s="217">
        <v>4</v>
      </c>
      <c r="J24" s="234">
        <v>1.07</v>
      </c>
    </row>
    <row r="25" spans="1:10" x14ac:dyDescent="0.2">
      <c r="A25" s="233" t="s">
        <v>163</v>
      </c>
      <c r="B25" s="217">
        <v>11.1</v>
      </c>
      <c r="C25" s="217">
        <f t="shared" si="0"/>
        <v>0.111</v>
      </c>
      <c r="D25" s="217">
        <v>14.2</v>
      </c>
      <c r="E25" s="217">
        <v>328</v>
      </c>
      <c r="F25" s="217">
        <v>21.5</v>
      </c>
      <c r="G25" s="217">
        <v>54.7</v>
      </c>
      <c r="H25" s="217">
        <v>7.41</v>
      </c>
      <c r="I25" s="217">
        <v>4.8099999999999996</v>
      </c>
      <c r="J25" s="234">
        <v>1.23</v>
      </c>
    </row>
    <row r="26" spans="1:10" x14ac:dyDescent="0.2">
      <c r="A26" s="233" t="s">
        <v>164</v>
      </c>
      <c r="B26" s="217">
        <v>14.3</v>
      </c>
      <c r="C26" s="217">
        <f t="shared" si="0"/>
        <v>0.14300000000000002</v>
      </c>
      <c r="D26" s="217">
        <v>18.3</v>
      </c>
      <c r="E26" s="217">
        <v>573</v>
      </c>
      <c r="F26" s="217">
        <v>35.200000000000003</v>
      </c>
      <c r="G26" s="217">
        <v>81.900000000000006</v>
      </c>
      <c r="H26" s="217">
        <v>10.7</v>
      </c>
      <c r="I26" s="217">
        <v>5.61</v>
      </c>
      <c r="J26" s="234">
        <v>1.4</v>
      </c>
    </row>
    <row r="27" spans="1:10" x14ac:dyDescent="0.2">
      <c r="A27" s="233" t="s">
        <v>165</v>
      </c>
      <c r="B27" s="217">
        <v>17.899999999999999</v>
      </c>
      <c r="C27" s="217">
        <f t="shared" si="0"/>
        <v>0.17899999999999999</v>
      </c>
      <c r="D27" s="217">
        <v>22.8</v>
      </c>
      <c r="E27" s="217">
        <v>935</v>
      </c>
      <c r="F27" s="217">
        <v>54.7</v>
      </c>
      <c r="G27" s="217">
        <v>117</v>
      </c>
      <c r="H27" s="217">
        <v>14.8</v>
      </c>
      <c r="I27" s="217">
        <v>6.4</v>
      </c>
      <c r="J27" s="234">
        <v>1.55</v>
      </c>
    </row>
    <row r="28" spans="1:10" x14ac:dyDescent="0.2">
      <c r="A28" s="233" t="s">
        <v>166</v>
      </c>
      <c r="B28" s="217">
        <v>21.9</v>
      </c>
      <c r="C28" s="217">
        <f t="shared" si="0"/>
        <v>0.21899999999999997</v>
      </c>
      <c r="D28" s="217">
        <v>27.9</v>
      </c>
      <c r="E28" s="218">
        <v>1450</v>
      </c>
      <c r="F28" s="217">
        <v>81.3</v>
      </c>
      <c r="G28" s="217">
        <v>161</v>
      </c>
      <c r="H28" s="217">
        <v>19.8</v>
      </c>
      <c r="I28" s="217">
        <v>7.2</v>
      </c>
      <c r="J28" s="234">
        <v>1.71</v>
      </c>
    </row>
    <row r="29" spans="1:10" x14ac:dyDescent="0.2">
      <c r="A29" s="233" t="s">
        <v>167</v>
      </c>
      <c r="B29" s="217">
        <v>26.2</v>
      </c>
      <c r="C29" s="217">
        <f t="shared" si="0"/>
        <v>0.26200000000000001</v>
      </c>
      <c r="D29" s="217">
        <v>33.4</v>
      </c>
      <c r="E29" s="218">
        <v>2140</v>
      </c>
      <c r="F29" s="217">
        <v>117</v>
      </c>
      <c r="G29" s="217">
        <v>214</v>
      </c>
      <c r="H29" s="217">
        <v>26</v>
      </c>
      <c r="I29" s="217">
        <v>8</v>
      </c>
      <c r="J29" s="234">
        <v>1.87</v>
      </c>
    </row>
    <row r="30" spans="1:10" x14ac:dyDescent="0.2">
      <c r="A30" s="233" t="s">
        <v>168</v>
      </c>
      <c r="B30" s="217">
        <v>31.1</v>
      </c>
      <c r="C30" s="217">
        <f t="shared" si="0"/>
        <v>0.311</v>
      </c>
      <c r="D30" s="217">
        <v>39.5</v>
      </c>
      <c r="E30" s="218">
        <v>3060</v>
      </c>
      <c r="F30" s="217">
        <v>162</v>
      </c>
      <c r="G30" s="217">
        <v>278</v>
      </c>
      <c r="H30" s="217">
        <v>33.1</v>
      </c>
      <c r="I30" s="217">
        <v>8.8000000000000007</v>
      </c>
      <c r="J30" s="234">
        <v>2.02</v>
      </c>
    </row>
    <row r="31" spans="1:10" x14ac:dyDescent="0.2">
      <c r="A31" s="233" t="s">
        <v>169</v>
      </c>
      <c r="B31" s="217">
        <v>36.200000000000003</v>
      </c>
      <c r="C31" s="217">
        <f>B31/100</f>
        <v>0.36200000000000004</v>
      </c>
      <c r="D31" s="217">
        <v>46.1</v>
      </c>
      <c r="E31" s="218">
        <v>4250</v>
      </c>
      <c r="F31" s="217">
        <v>221</v>
      </c>
      <c r="G31" s="217">
        <v>354</v>
      </c>
      <c r="H31" s="217">
        <v>41.7</v>
      </c>
      <c r="I31" s="217">
        <v>9.59</v>
      </c>
      <c r="J31" s="234">
        <v>2.2000000000000002</v>
      </c>
    </row>
    <row r="32" spans="1:10" x14ac:dyDescent="0.2">
      <c r="A32" s="233" t="s">
        <v>170</v>
      </c>
      <c r="B32" s="217">
        <v>41.9</v>
      </c>
      <c r="C32" s="217">
        <f t="shared" si="0"/>
        <v>0.41899999999999998</v>
      </c>
      <c r="D32" s="217">
        <v>53.3</v>
      </c>
      <c r="E32" s="218">
        <v>5740</v>
      </c>
      <c r="F32" s="217">
        <v>288</v>
      </c>
      <c r="G32" s="217">
        <v>442</v>
      </c>
      <c r="H32" s="217">
        <v>51</v>
      </c>
      <c r="I32" s="217">
        <v>10.4</v>
      </c>
      <c r="J32" s="234">
        <v>2.3199999999999998</v>
      </c>
    </row>
    <row r="33" spans="1:10" x14ac:dyDescent="0.2">
      <c r="A33" s="233" t="s">
        <v>171</v>
      </c>
      <c r="B33" s="217">
        <v>47.9</v>
      </c>
      <c r="C33" s="217">
        <f t="shared" si="0"/>
        <v>0.47899999999999998</v>
      </c>
      <c r="D33" s="217">
        <v>61</v>
      </c>
      <c r="E33" s="218">
        <v>7590</v>
      </c>
      <c r="F33" s="217">
        <v>364</v>
      </c>
      <c r="G33" s="217">
        <v>542</v>
      </c>
      <c r="H33" s="217">
        <v>61.2</v>
      </c>
      <c r="I33" s="217">
        <v>11.1</v>
      </c>
      <c r="J33" s="234">
        <v>2.4500000000000002</v>
      </c>
    </row>
    <row r="34" spans="1:10" x14ac:dyDescent="0.2">
      <c r="A34" s="233" t="s">
        <v>172</v>
      </c>
      <c r="B34" s="217">
        <v>54.2</v>
      </c>
      <c r="C34" s="217">
        <f t="shared" si="0"/>
        <v>0.54200000000000004</v>
      </c>
      <c r="D34" s="217">
        <v>69</v>
      </c>
      <c r="E34" s="218">
        <v>9800</v>
      </c>
      <c r="F34" s="217">
        <v>451</v>
      </c>
      <c r="G34" s="217">
        <v>653</v>
      </c>
      <c r="H34" s="217">
        <v>72.2</v>
      </c>
      <c r="I34" s="217">
        <v>11.9</v>
      </c>
      <c r="J34" s="234">
        <v>2.56</v>
      </c>
    </row>
    <row r="35" spans="1:10" x14ac:dyDescent="0.2">
      <c r="A35" s="233" t="s">
        <v>173</v>
      </c>
      <c r="B35" s="217">
        <v>61</v>
      </c>
      <c r="C35" s="217">
        <f t="shared" si="0"/>
        <v>0.61</v>
      </c>
      <c r="D35" s="217">
        <v>77.7</v>
      </c>
      <c r="E35" s="218">
        <v>12510</v>
      </c>
      <c r="F35" s="217">
        <v>555</v>
      </c>
      <c r="G35" s="217">
        <v>782</v>
      </c>
      <c r="H35" s="217">
        <v>84.7</v>
      </c>
      <c r="I35" s="217">
        <v>12.7</v>
      </c>
      <c r="J35" s="234">
        <v>2.67</v>
      </c>
    </row>
    <row r="36" spans="1:10" x14ac:dyDescent="0.2">
      <c r="A36" s="233" t="s">
        <v>174</v>
      </c>
      <c r="B36" s="217">
        <v>68</v>
      </c>
      <c r="C36" s="217">
        <f t="shared" si="0"/>
        <v>0.68</v>
      </c>
      <c r="D36" s="217">
        <v>86.7</v>
      </c>
      <c r="E36" s="218">
        <v>15700</v>
      </c>
      <c r="F36" s="217">
        <v>674</v>
      </c>
      <c r="G36" s="217">
        <v>923</v>
      </c>
      <c r="H36" s="217">
        <v>98.4</v>
      </c>
      <c r="I36" s="217">
        <v>13.5</v>
      </c>
      <c r="J36" s="234">
        <v>2.8</v>
      </c>
    </row>
    <row r="37" spans="1:10" x14ac:dyDescent="0.2">
      <c r="A37" s="233" t="s">
        <v>175</v>
      </c>
      <c r="B37" s="217">
        <v>76.099999999999994</v>
      </c>
      <c r="C37" s="217">
        <f t="shared" si="0"/>
        <v>0.7609999999999999</v>
      </c>
      <c r="D37" s="217">
        <v>97</v>
      </c>
      <c r="E37" s="218">
        <v>19610</v>
      </c>
      <c r="F37" s="217">
        <v>818</v>
      </c>
      <c r="G37" s="218">
        <v>1090</v>
      </c>
      <c r="H37" s="217">
        <v>114</v>
      </c>
      <c r="I37" s="217">
        <v>14.2</v>
      </c>
      <c r="J37" s="234">
        <v>2.9</v>
      </c>
    </row>
    <row r="38" spans="1:10" x14ac:dyDescent="0.2">
      <c r="A38" s="233" t="s">
        <v>176</v>
      </c>
      <c r="B38" s="217">
        <v>84</v>
      </c>
      <c r="C38" s="217">
        <f t="shared" si="0"/>
        <v>0.84</v>
      </c>
      <c r="D38" s="217">
        <v>107</v>
      </c>
      <c r="E38" s="218">
        <v>24010</v>
      </c>
      <c r="F38" s="217">
        <v>975</v>
      </c>
      <c r="G38" s="218">
        <v>1260</v>
      </c>
      <c r="H38" s="217">
        <v>131</v>
      </c>
      <c r="I38" s="217">
        <v>15</v>
      </c>
      <c r="J38" s="234">
        <v>3.02</v>
      </c>
    </row>
    <row r="39" spans="1:10" x14ac:dyDescent="0.2">
      <c r="A39" s="233" t="s">
        <v>177</v>
      </c>
      <c r="B39" s="217">
        <v>92.4</v>
      </c>
      <c r="C39" s="217">
        <f t="shared" si="0"/>
        <v>0.92400000000000004</v>
      </c>
      <c r="D39" s="217">
        <v>118</v>
      </c>
      <c r="E39" s="218">
        <v>29210</v>
      </c>
      <c r="F39" s="218">
        <v>1160</v>
      </c>
      <c r="G39" s="218">
        <v>1460</v>
      </c>
      <c r="H39" s="217">
        <v>149</v>
      </c>
      <c r="I39" s="217">
        <v>15.7</v>
      </c>
      <c r="J39" s="234">
        <v>3.13</v>
      </c>
    </row>
    <row r="40" spans="1:10" x14ac:dyDescent="0.2">
      <c r="A40" s="233" t="s">
        <v>178</v>
      </c>
      <c r="B40" s="217">
        <v>115</v>
      </c>
      <c r="C40" s="217">
        <f t="shared" si="0"/>
        <v>1.1499999999999999</v>
      </c>
      <c r="D40" s="217">
        <v>147</v>
      </c>
      <c r="E40" s="218">
        <v>45850</v>
      </c>
      <c r="F40" s="218">
        <v>1730</v>
      </c>
      <c r="G40" s="218">
        <v>2040</v>
      </c>
      <c r="H40" s="217">
        <v>203</v>
      </c>
      <c r="I40" s="217">
        <v>17.7</v>
      </c>
      <c r="J40" s="234">
        <v>3.43</v>
      </c>
    </row>
    <row r="41" spans="1:10" x14ac:dyDescent="0.2">
      <c r="A41" s="233" t="s">
        <v>179</v>
      </c>
      <c r="B41" s="217">
        <v>141</v>
      </c>
      <c r="C41" s="217">
        <f t="shared" si="0"/>
        <v>1.41</v>
      </c>
      <c r="D41" s="217">
        <v>179</v>
      </c>
      <c r="E41" s="218">
        <v>68740</v>
      </c>
      <c r="F41" s="218">
        <v>2480</v>
      </c>
      <c r="G41" s="218">
        <v>2750</v>
      </c>
      <c r="H41" s="217">
        <v>268</v>
      </c>
      <c r="I41" s="217">
        <v>19.600000000000001</v>
      </c>
      <c r="J41" s="234">
        <v>3.72</v>
      </c>
    </row>
    <row r="42" spans="1:10" x14ac:dyDescent="0.2">
      <c r="A42" s="233" t="s">
        <v>180</v>
      </c>
      <c r="B42" s="217">
        <v>166</v>
      </c>
      <c r="C42" s="217">
        <f t="shared" si="0"/>
        <v>1.66</v>
      </c>
      <c r="D42" s="217">
        <v>212</v>
      </c>
      <c r="E42" s="218">
        <v>99180</v>
      </c>
      <c r="F42" s="218">
        <v>3480</v>
      </c>
      <c r="G42" s="218">
        <v>3610</v>
      </c>
      <c r="H42" s="217">
        <v>349</v>
      </c>
      <c r="I42" s="219">
        <v>0.87916666666666676</v>
      </c>
      <c r="J42" s="234">
        <v>4.0199999999999996</v>
      </c>
    </row>
    <row r="43" spans="1:10" x14ac:dyDescent="0.2">
      <c r="A43" s="233" t="s">
        <v>181</v>
      </c>
      <c r="B43" s="217">
        <v>199</v>
      </c>
      <c r="C43" s="217">
        <f t="shared" si="0"/>
        <v>1.99</v>
      </c>
      <c r="D43" s="217">
        <v>254</v>
      </c>
      <c r="E43" s="218">
        <v>138800</v>
      </c>
      <c r="F43" s="218">
        <v>4679</v>
      </c>
      <c r="G43" s="218">
        <v>4626</v>
      </c>
      <c r="H43" s="217">
        <v>435</v>
      </c>
      <c r="I43" s="217">
        <v>23.4</v>
      </c>
      <c r="J43" s="234">
        <v>4.29</v>
      </c>
    </row>
    <row r="44" spans="1:10" x14ac:dyDescent="0.2">
      <c r="A44" s="233" t="s">
        <v>182</v>
      </c>
      <c r="B44" s="217">
        <v>16.7</v>
      </c>
      <c r="C44" s="217">
        <f t="shared" si="0"/>
        <v>0.16699999999999998</v>
      </c>
      <c r="D44" s="217">
        <v>21.24</v>
      </c>
      <c r="E44" s="217">
        <v>349.2</v>
      </c>
      <c r="F44" s="217">
        <v>133.80000000000001</v>
      </c>
      <c r="G44" s="217">
        <v>72.760000000000005</v>
      </c>
      <c r="H44" s="217">
        <v>26.76</v>
      </c>
      <c r="I44" s="217">
        <v>4.0599999999999996</v>
      </c>
      <c r="J44" s="234">
        <v>2.5099999999999998</v>
      </c>
    </row>
    <row r="45" spans="1:10" x14ac:dyDescent="0.2">
      <c r="A45" s="233" t="s">
        <v>183</v>
      </c>
      <c r="B45" s="217">
        <v>19.899999999999999</v>
      </c>
      <c r="C45" s="217">
        <f t="shared" si="0"/>
        <v>0.19899999999999998</v>
      </c>
      <c r="D45" s="217">
        <v>25.34</v>
      </c>
      <c r="E45" s="217">
        <v>606.20000000000005</v>
      </c>
      <c r="F45" s="217">
        <v>230.9</v>
      </c>
      <c r="G45" s="217">
        <v>106.3</v>
      </c>
      <c r="H45" s="217">
        <v>38.479999999999997</v>
      </c>
      <c r="I45" s="217">
        <v>4.8899999999999997</v>
      </c>
      <c r="J45" s="234">
        <v>3.02</v>
      </c>
    </row>
    <row r="46" spans="1:10" x14ac:dyDescent="0.2">
      <c r="A46" s="233" t="s">
        <v>184</v>
      </c>
      <c r="B46" s="217">
        <v>24.7</v>
      </c>
      <c r="C46" s="217">
        <f t="shared" si="0"/>
        <v>0.247</v>
      </c>
      <c r="D46" s="217">
        <v>31.42</v>
      </c>
      <c r="E46" s="218">
        <v>1033</v>
      </c>
      <c r="F46" s="217">
        <v>389.3</v>
      </c>
      <c r="G46" s="217">
        <v>155.4</v>
      </c>
      <c r="H46" s="217">
        <v>55.62</v>
      </c>
      <c r="I46" s="217">
        <v>5.73</v>
      </c>
      <c r="J46" s="234">
        <v>3.52</v>
      </c>
    </row>
    <row r="47" spans="1:10" x14ac:dyDescent="0.2">
      <c r="A47" s="233" t="s">
        <v>185</v>
      </c>
      <c r="B47" s="217">
        <v>30.4</v>
      </c>
      <c r="C47" s="217">
        <f t="shared" si="0"/>
        <v>0.30399999999999999</v>
      </c>
      <c r="D47" s="217">
        <v>38.770000000000003</v>
      </c>
      <c r="E47" s="218">
        <v>1673</v>
      </c>
      <c r="F47" s="217">
        <v>615.6</v>
      </c>
      <c r="G47" s="217">
        <v>220.1</v>
      </c>
      <c r="H47" s="217">
        <v>76.95</v>
      </c>
      <c r="I47" s="217">
        <v>6.57</v>
      </c>
      <c r="J47" s="234">
        <v>3.98</v>
      </c>
    </row>
    <row r="48" spans="1:10" x14ac:dyDescent="0.2">
      <c r="A48" s="233" t="s">
        <v>186</v>
      </c>
      <c r="B48" s="217">
        <v>35.5</v>
      </c>
      <c r="C48" s="217">
        <f t="shared" si="0"/>
        <v>0.35499999999999998</v>
      </c>
      <c r="D48" s="217">
        <v>45.25</v>
      </c>
      <c r="E48" s="218">
        <v>2510</v>
      </c>
      <c r="F48" s="217">
        <v>924.6</v>
      </c>
      <c r="G48" s="217">
        <v>293.60000000000002</v>
      </c>
      <c r="H48" s="217">
        <v>102.7</v>
      </c>
      <c r="I48" s="217">
        <v>7.45</v>
      </c>
      <c r="J48" s="234">
        <v>4.5199999999999996</v>
      </c>
    </row>
    <row r="49" spans="1:10" x14ac:dyDescent="0.2">
      <c r="A49" s="233" t="s">
        <v>187</v>
      </c>
      <c r="B49" s="217">
        <v>42.3</v>
      </c>
      <c r="C49" s="217">
        <f t="shared" si="0"/>
        <v>0.42299999999999999</v>
      </c>
      <c r="D49" s="217">
        <v>53.83</v>
      </c>
      <c r="E49" s="218">
        <v>3692</v>
      </c>
      <c r="F49" s="218">
        <v>1326</v>
      </c>
      <c r="G49" s="217">
        <v>388.6</v>
      </c>
      <c r="H49" s="220">
        <v>133.6</v>
      </c>
      <c r="I49" s="217">
        <v>8.2799999999999994</v>
      </c>
      <c r="J49" s="234">
        <v>4.9800000000000004</v>
      </c>
    </row>
    <row r="50" spans="1:10" x14ac:dyDescent="0.2">
      <c r="A50" s="233" t="s">
        <v>188</v>
      </c>
      <c r="B50" s="217">
        <v>50.5</v>
      </c>
      <c r="C50" s="217">
        <f t="shared" si="0"/>
        <v>0.505</v>
      </c>
      <c r="D50" s="217">
        <v>64.34</v>
      </c>
      <c r="E50" s="218">
        <v>5410</v>
      </c>
      <c r="F50" s="218">
        <v>1955</v>
      </c>
      <c r="G50" s="217">
        <v>515.20000000000005</v>
      </c>
      <c r="H50" s="217">
        <v>177.7</v>
      </c>
      <c r="I50" s="217">
        <v>9.17</v>
      </c>
      <c r="J50" s="234">
        <v>5.51</v>
      </c>
    </row>
    <row r="51" spans="1:10" x14ac:dyDescent="0.2">
      <c r="A51" s="233" t="s">
        <v>189</v>
      </c>
      <c r="B51" s="217">
        <v>60.3</v>
      </c>
      <c r="C51" s="217">
        <f t="shared" si="0"/>
        <v>0.60299999999999998</v>
      </c>
      <c r="D51" s="217">
        <v>76.84</v>
      </c>
      <c r="E51" s="218">
        <v>7763</v>
      </c>
      <c r="F51" s="218">
        <v>2769</v>
      </c>
      <c r="G51" s="217">
        <v>675.1</v>
      </c>
      <c r="H51" s="217">
        <v>230.7</v>
      </c>
      <c r="I51" s="217">
        <v>10.050000000000001</v>
      </c>
      <c r="J51" s="234">
        <v>6</v>
      </c>
    </row>
    <row r="52" spans="1:10" x14ac:dyDescent="0.2">
      <c r="A52" s="233" t="s">
        <v>190</v>
      </c>
      <c r="B52" s="217">
        <v>68.2</v>
      </c>
      <c r="C52" s="217">
        <f t="shared" si="0"/>
        <v>0.68200000000000005</v>
      </c>
      <c r="D52" s="217">
        <v>86.82</v>
      </c>
      <c r="E52" s="218">
        <v>10450</v>
      </c>
      <c r="F52" s="218">
        <v>3668</v>
      </c>
      <c r="G52" s="217">
        <v>836.4</v>
      </c>
      <c r="H52" s="217">
        <v>282.10000000000002</v>
      </c>
      <c r="I52" s="217">
        <v>10.97</v>
      </c>
      <c r="J52" s="234">
        <v>6.5</v>
      </c>
    </row>
    <row r="53" spans="1:10" x14ac:dyDescent="0.2">
      <c r="A53" s="233" t="s">
        <v>191</v>
      </c>
      <c r="B53" s="217">
        <v>76.400000000000006</v>
      </c>
      <c r="C53" s="217">
        <f t="shared" si="0"/>
        <v>0.76400000000000001</v>
      </c>
      <c r="D53" s="217">
        <v>97.26</v>
      </c>
      <c r="E53" s="218">
        <v>13670</v>
      </c>
      <c r="F53" s="218">
        <v>4763</v>
      </c>
      <c r="G53" s="218">
        <v>1013</v>
      </c>
      <c r="H53" s="217">
        <v>340.2</v>
      </c>
      <c r="I53" s="217">
        <v>11.86</v>
      </c>
      <c r="J53" s="234">
        <v>7</v>
      </c>
    </row>
    <row r="54" spans="1:10" x14ac:dyDescent="0.2">
      <c r="A54" s="233" t="s">
        <v>192</v>
      </c>
      <c r="B54" s="217">
        <v>88.3</v>
      </c>
      <c r="C54" s="217">
        <f t="shared" si="0"/>
        <v>0.88300000000000001</v>
      </c>
      <c r="D54" s="217">
        <v>112.5</v>
      </c>
      <c r="E54" s="218">
        <v>18260</v>
      </c>
      <c r="F54" s="218">
        <v>6310</v>
      </c>
      <c r="G54" s="218">
        <v>1260</v>
      </c>
      <c r="H54" s="217">
        <v>420.6</v>
      </c>
      <c r="I54" s="217">
        <v>12.74</v>
      </c>
      <c r="J54" s="234">
        <v>7.49</v>
      </c>
    </row>
    <row r="55" spans="1:10" x14ac:dyDescent="0.2">
      <c r="A55" s="233" t="s">
        <v>193</v>
      </c>
      <c r="B55" s="217">
        <v>97.6</v>
      </c>
      <c r="C55" s="217">
        <f t="shared" si="0"/>
        <v>0.97599999999999998</v>
      </c>
      <c r="D55" s="217">
        <v>124.4</v>
      </c>
      <c r="E55" s="218">
        <v>22930</v>
      </c>
      <c r="F55" s="218">
        <v>6985</v>
      </c>
      <c r="G55" s="218">
        <v>1479</v>
      </c>
      <c r="H55" s="217">
        <v>465.7</v>
      </c>
      <c r="I55" s="217">
        <v>13.58</v>
      </c>
      <c r="J55" s="234">
        <v>7.49</v>
      </c>
    </row>
    <row r="56" spans="1:10" x14ac:dyDescent="0.2">
      <c r="A56" s="233" t="s">
        <v>194</v>
      </c>
      <c r="B56" s="217">
        <v>105</v>
      </c>
      <c r="C56" s="217">
        <f>B56/100</f>
        <v>1.05</v>
      </c>
      <c r="D56" s="217">
        <v>133.5</v>
      </c>
      <c r="E56" s="218">
        <v>27690</v>
      </c>
      <c r="F56" s="218">
        <v>7436</v>
      </c>
      <c r="G56" s="218">
        <v>1678</v>
      </c>
      <c r="H56" s="217">
        <v>495.7</v>
      </c>
      <c r="I56" s="217">
        <v>14.4</v>
      </c>
      <c r="J56" s="234">
        <v>7.46</v>
      </c>
    </row>
    <row r="57" spans="1:10" x14ac:dyDescent="0.2">
      <c r="A57" s="233" t="s">
        <v>195</v>
      </c>
      <c r="B57" s="217">
        <v>112</v>
      </c>
      <c r="C57" s="217">
        <f t="shared" si="0"/>
        <v>1.1200000000000001</v>
      </c>
      <c r="D57" s="217">
        <v>142.80000000000001</v>
      </c>
      <c r="E57" s="218">
        <v>33090</v>
      </c>
      <c r="F57" s="218">
        <v>7887</v>
      </c>
      <c r="G57" s="218">
        <v>1891</v>
      </c>
      <c r="H57" s="217">
        <v>525.79999999999995</v>
      </c>
      <c r="I57" s="217">
        <v>15.22</v>
      </c>
      <c r="J57" s="234">
        <v>7.43</v>
      </c>
    </row>
    <row r="58" spans="1:10" x14ac:dyDescent="0.2">
      <c r="A58" s="233" t="s">
        <v>196</v>
      </c>
      <c r="B58" s="217">
        <v>125</v>
      </c>
      <c r="C58" s="217">
        <f t="shared" si="0"/>
        <v>1.25</v>
      </c>
      <c r="D58" s="217">
        <v>159</v>
      </c>
      <c r="E58" s="218">
        <v>45070</v>
      </c>
      <c r="F58" s="218">
        <v>8564</v>
      </c>
      <c r="G58" s="218">
        <v>2311</v>
      </c>
      <c r="H58" s="220">
        <v>570.9</v>
      </c>
      <c r="I58" s="217">
        <v>16.84</v>
      </c>
      <c r="J58" s="234">
        <v>7.34</v>
      </c>
    </row>
    <row r="59" spans="1:10" x14ac:dyDescent="0.2">
      <c r="A59" s="233" t="s">
        <v>197</v>
      </c>
      <c r="B59" s="217">
        <v>140</v>
      </c>
      <c r="C59" s="217">
        <f t="shared" si="0"/>
        <v>1.4</v>
      </c>
      <c r="D59" s="217">
        <v>178</v>
      </c>
      <c r="E59" s="218">
        <v>63720</v>
      </c>
      <c r="F59" s="218">
        <v>9465</v>
      </c>
      <c r="G59" s="218">
        <v>2896</v>
      </c>
      <c r="H59" s="217">
        <v>631</v>
      </c>
      <c r="I59" s="217">
        <v>18.920000000000002</v>
      </c>
      <c r="J59" s="234">
        <v>7.29</v>
      </c>
    </row>
    <row r="60" spans="1:10" x14ac:dyDescent="0.2">
      <c r="A60" s="233" t="s">
        <v>198</v>
      </c>
      <c r="B60" s="217">
        <v>155</v>
      </c>
      <c r="C60" s="217">
        <f t="shared" si="0"/>
        <v>1.55</v>
      </c>
      <c r="D60" s="217">
        <v>197.5</v>
      </c>
      <c r="E60" s="218">
        <v>86970</v>
      </c>
      <c r="F60" s="218">
        <v>10370</v>
      </c>
      <c r="G60" s="218">
        <v>3550</v>
      </c>
      <c r="H60" s="217">
        <v>691.1</v>
      </c>
      <c r="I60" s="217">
        <v>21.98</v>
      </c>
      <c r="J60" s="234">
        <v>7.24</v>
      </c>
    </row>
    <row r="61" spans="1:10" x14ac:dyDescent="0.2">
      <c r="A61" s="233" t="s">
        <v>199</v>
      </c>
      <c r="B61" s="217">
        <v>166</v>
      </c>
      <c r="C61" s="217">
        <f t="shared" si="0"/>
        <v>1.66</v>
      </c>
      <c r="D61" s="217">
        <v>211.8</v>
      </c>
      <c r="E61" s="218">
        <v>111900</v>
      </c>
      <c r="F61" s="218">
        <v>10820</v>
      </c>
      <c r="G61" s="218">
        <v>4146</v>
      </c>
      <c r="H61" s="217">
        <v>721.3</v>
      </c>
      <c r="I61" s="217">
        <v>22.99</v>
      </c>
      <c r="J61" s="234">
        <v>7.15</v>
      </c>
    </row>
    <row r="62" spans="1:10" x14ac:dyDescent="0.2">
      <c r="A62" s="233" t="s">
        <v>200</v>
      </c>
      <c r="B62" s="217">
        <v>178</v>
      </c>
      <c r="C62" s="217">
        <f t="shared" si="0"/>
        <v>1.78</v>
      </c>
      <c r="D62" s="217">
        <v>226.5</v>
      </c>
      <c r="E62" s="218">
        <v>141200</v>
      </c>
      <c r="F62" s="218">
        <v>11270</v>
      </c>
      <c r="G62" s="218">
        <v>4787</v>
      </c>
      <c r="H62" s="217">
        <v>751.4</v>
      </c>
      <c r="I62" s="217">
        <v>24.97</v>
      </c>
      <c r="J62" s="234">
        <v>7.05</v>
      </c>
    </row>
    <row r="63" spans="1:10" x14ac:dyDescent="0.2">
      <c r="A63" s="233" t="s">
        <v>201</v>
      </c>
      <c r="B63" s="217">
        <v>190</v>
      </c>
      <c r="C63" s="217">
        <f t="shared" si="0"/>
        <v>1.9</v>
      </c>
      <c r="D63" s="217">
        <v>241.6</v>
      </c>
      <c r="E63" s="218">
        <v>175200</v>
      </c>
      <c r="F63" s="218">
        <v>11720</v>
      </c>
      <c r="G63" s="218">
        <v>5474</v>
      </c>
      <c r="H63" s="217">
        <v>781.6</v>
      </c>
      <c r="I63" s="217">
        <v>26.93</v>
      </c>
      <c r="J63" s="234">
        <v>6.97</v>
      </c>
    </row>
    <row r="64" spans="1:10" x14ac:dyDescent="0.2">
      <c r="A64" s="233" t="s">
        <v>202</v>
      </c>
      <c r="B64" s="217">
        <v>204</v>
      </c>
      <c r="C64" s="217">
        <f t="shared" si="0"/>
        <v>2.04</v>
      </c>
      <c r="D64" s="217">
        <v>260.5</v>
      </c>
      <c r="E64" s="218">
        <v>215300</v>
      </c>
      <c r="F64" s="218">
        <v>12180</v>
      </c>
      <c r="G64" s="218">
        <v>6241</v>
      </c>
      <c r="H64" s="217">
        <v>811.9</v>
      </c>
      <c r="I64" s="217">
        <v>28.87</v>
      </c>
      <c r="J64" s="234">
        <v>6.84</v>
      </c>
    </row>
    <row r="65" spans="1:10" x14ac:dyDescent="0.2">
      <c r="A65" s="233" t="s">
        <v>203</v>
      </c>
      <c r="B65" s="217">
        <v>224</v>
      </c>
      <c r="C65" s="217">
        <f t="shared" si="0"/>
        <v>2.2400000000000002</v>
      </c>
      <c r="D65" s="217">
        <v>285.8</v>
      </c>
      <c r="E65" s="218">
        <v>303400</v>
      </c>
      <c r="F65" s="218">
        <v>12640</v>
      </c>
      <c r="G65" s="218">
        <v>7682</v>
      </c>
      <c r="H65" s="217">
        <v>842.6</v>
      </c>
      <c r="I65" s="217">
        <v>32.58</v>
      </c>
      <c r="J65" s="234">
        <v>6.65</v>
      </c>
    </row>
    <row r="66" spans="1:10" x14ac:dyDescent="0.2">
      <c r="A66" s="233" t="s">
        <v>204</v>
      </c>
      <c r="B66" s="217">
        <v>252</v>
      </c>
      <c r="C66" s="217">
        <f t="shared" si="0"/>
        <v>2.52</v>
      </c>
      <c r="D66" s="217">
        <v>320.5</v>
      </c>
      <c r="E66" s="218">
        <v>422100</v>
      </c>
      <c r="F66" s="218">
        <v>13550</v>
      </c>
      <c r="G66" s="218">
        <v>9485</v>
      </c>
      <c r="H66" s="217">
        <v>903.2</v>
      </c>
      <c r="I66" s="217">
        <v>36.29</v>
      </c>
      <c r="J66" s="234">
        <v>6.5</v>
      </c>
    </row>
    <row r="67" spans="1:10" x14ac:dyDescent="0.2">
      <c r="A67" s="233" t="s">
        <v>205</v>
      </c>
      <c r="B67" s="217">
        <v>272</v>
      </c>
      <c r="C67" s="217">
        <f t="shared" si="0"/>
        <v>2.72</v>
      </c>
      <c r="D67" s="217">
        <v>346.8</v>
      </c>
      <c r="E67" s="218">
        <v>553800</v>
      </c>
      <c r="F67" s="218">
        <v>14000</v>
      </c>
      <c r="G67" s="218">
        <v>11190</v>
      </c>
      <c r="H67" s="217">
        <v>933.6</v>
      </c>
      <c r="I67" s="217">
        <v>39.96</v>
      </c>
      <c r="J67" s="234">
        <v>6.35</v>
      </c>
    </row>
    <row r="68" spans="1:10" x14ac:dyDescent="0.2">
      <c r="A68" s="233" t="s">
        <v>206</v>
      </c>
      <c r="B68" s="217">
        <v>20.399999999999999</v>
      </c>
      <c r="C68" s="217">
        <f t="shared" si="0"/>
        <v>0.20399999999999999</v>
      </c>
      <c r="D68" s="217">
        <v>26.04</v>
      </c>
      <c r="E68" s="217">
        <v>449.5</v>
      </c>
      <c r="F68" s="217">
        <v>167.3</v>
      </c>
      <c r="G68" s="217">
        <v>89.91</v>
      </c>
      <c r="H68" s="217">
        <v>33.450000000000003</v>
      </c>
      <c r="I68" s="217">
        <v>4.16</v>
      </c>
      <c r="J68" s="234">
        <v>2.5299999999999998</v>
      </c>
    </row>
    <row r="69" spans="1:10" x14ac:dyDescent="0.2">
      <c r="A69" s="233" t="s">
        <v>207</v>
      </c>
      <c r="B69" s="217">
        <v>26.7</v>
      </c>
      <c r="C69" s="217">
        <f t="shared" si="0"/>
        <v>0.26700000000000002</v>
      </c>
      <c r="D69" s="217">
        <v>34.01</v>
      </c>
      <c r="E69" s="217">
        <v>864.4</v>
      </c>
      <c r="F69" s="217">
        <v>317.5</v>
      </c>
      <c r="G69" s="217">
        <v>144.1</v>
      </c>
      <c r="H69" s="217">
        <v>52.92</v>
      </c>
      <c r="I69" s="217">
        <v>5.04</v>
      </c>
      <c r="J69" s="234">
        <v>3.06</v>
      </c>
    </row>
    <row r="70" spans="1:10" x14ac:dyDescent="0.2">
      <c r="A70" s="233" t="s">
        <v>208</v>
      </c>
      <c r="B70" s="217">
        <v>33.700000000000003</v>
      </c>
      <c r="C70" s="217">
        <f t="shared" ref="C70:C76" si="1">B70/100</f>
        <v>0.33700000000000002</v>
      </c>
      <c r="D70" s="217">
        <v>42.96</v>
      </c>
      <c r="E70" s="218">
        <v>1509</v>
      </c>
      <c r="F70" s="217">
        <v>549.70000000000005</v>
      </c>
      <c r="G70" s="217">
        <v>215.6</v>
      </c>
      <c r="H70" s="217">
        <v>78.52</v>
      </c>
      <c r="I70" s="217">
        <v>5.93</v>
      </c>
      <c r="J70" s="234">
        <v>3.58</v>
      </c>
    </row>
    <row r="71" spans="1:10" x14ac:dyDescent="0.2">
      <c r="A71" s="233" t="s">
        <v>209</v>
      </c>
      <c r="B71" s="217">
        <v>42.6</v>
      </c>
      <c r="C71" s="217">
        <f t="shared" si="1"/>
        <v>0.42599999999999999</v>
      </c>
      <c r="D71" s="217">
        <v>54.25</v>
      </c>
      <c r="E71" s="218">
        <v>2492</v>
      </c>
      <c r="F71" s="217">
        <v>889.2</v>
      </c>
      <c r="G71" s="217">
        <v>311.5</v>
      </c>
      <c r="H71" s="217">
        <v>111.2</v>
      </c>
      <c r="I71" s="217">
        <v>6.78</v>
      </c>
      <c r="J71" s="234">
        <v>4.05</v>
      </c>
    </row>
    <row r="72" spans="1:10" x14ac:dyDescent="0.2">
      <c r="A72" s="233" t="s">
        <v>210</v>
      </c>
      <c r="B72" s="217">
        <v>51.2</v>
      </c>
      <c r="C72" s="217">
        <f t="shared" si="1"/>
        <v>0.51200000000000001</v>
      </c>
      <c r="D72" s="217">
        <v>65.25</v>
      </c>
      <c r="E72" s="218">
        <v>3831</v>
      </c>
      <c r="F72" s="218">
        <v>1363</v>
      </c>
      <c r="G72" s="217">
        <v>425.7</v>
      </c>
      <c r="H72" s="217">
        <v>151.4</v>
      </c>
      <c r="I72" s="217">
        <v>7.66</v>
      </c>
      <c r="J72" s="234">
        <v>4.57</v>
      </c>
    </row>
    <row r="73" spans="1:10" x14ac:dyDescent="0.2">
      <c r="A73" s="233" t="s">
        <v>211</v>
      </c>
      <c r="B73" s="217">
        <v>61.3</v>
      </c>
      <c r="C73" s="217">
        <f t="shared" si="1"/>
        <v>0.61299999999999999</v>
      </c>
      <c r="D73" s="217">
        <v>78.08</v>
      </c>
      <c r="E73" s="218">
        <v>5696</v>
      </c>
      <c r="F73" s="218">
        <v>2003</v>
      </c>
      <c r="G73" s="217">
        <v>569.6</v>
      </c>
      <c r="H73" s="217">
        <v>200.3</v>
      </c>
      <c r="I73" s="217">
        <v>8.5399999999999991</v>
      </c>
      <c r="J73" s="234">
        <v>5.07</v>
      </c>
    </row>
    <row r="74" spans="1:10" x14ac:dyDescent="0.2">
      <c r="A74" s="233" t="s">
        <v>212</v>
      </c>
      <c r="B74" s="217">
        <v>71.5</v>
      </c>
      <c r="C74" s="217">
        <f t="shared" si="1"/>
        <v>0.71499999999999997</v>
      </c>
      <c r="D74" s="217">
        <v>91.04</v>
      </c>
      <c r="E74" s="218">
        <v>8091</v>
      </c>
      <c r="F74" s="218">
        <v>2843</v>
      </c>
      <c r="G74" s="217">
        <v>735.5</v>
      </c>
      <c r="H74" s="217">
        <v>258.5</v>
      </c>
      <c r="I74" s="217">
        <v>9.43</v>
      </c>
      <c r="J74" s="234">
        <v>5.59</v>
      </c>
    </row>
    <row r="75" spans="1:10" x14ac:dyDescent="0.2">
      <c r="A75" s="233" t="s">
        <v>213</v>
      </c>
      <c r="B75" s="217">
        <v>83.2</v>
      </c>
      <c r="C75" s="217">
        <f t="shared" si="1"/>
        <v>0.83200000000000007</v>
      </c>
      <c r="D75" s="217">
        <v>106</v>
      </c>
      <c r="E75" s="218">
        <v>11260</v>
      </c>
      <c r="F75" s="218">
        <v>3923</v>
      </c>
      <c r="G75" s="217">
        <v>938.3</v>
      </c>
      <c r="H75" s="217">
        <v>326.89999999999998</v>
      </c>
      <c r="I75" s="217">
        <v>10.31</v>
      </c>
      <c r="J75" s="234">
        <v>6.08</v>
      </c>
    </row>
    <row r="76" spans="1:10" x14ac:dyDescent="0.2">
      <c r="A76" s="233" t="s">
        <v>214</v>
      </c>
      <c r="B76" s="217">
        <v>93</v>
      </c>
      <c r="C76" s="217">
        <f t="shared" si="1"/>
        <v>0.93</v>
      </c>
      <c r="D76" s="217">
        <v>118.4</v>
      </c>
      <c r="E76" s="218">
        <v>14920</v>
      </c>
      <c r="F76" s="218">
        <v>5135</v>
      </c>
      <c r="G76" s="218">
        <v>1148</v>
      </c>
      <c r="H76" s="217">
        <v>395</v>
      </c>
      <c r="I76" s="217">
        <v>11.22</v>
      </c>
      <c r="J76" s="234">
        <v>6.58</v>
      </c>
    </row>
    <row r="77" spans="1:10" x14ac:dyDescent="0.2">
      <c r="A77" s="233" t="s">
        <v>215</v>
      </c>
      <c r="B77" s="217">
        <v>103</v>
      </c>
      <c r="C77" s="217">
        <f>B77/100</f>
        <v>1.03</v>
      </c>
      <c r="D77" s="217">
        <v>131.4</v>
      </c>
      <c r="E77" s="218">
        <v>19270</v>
      </c>
      <c r="F77" s="218">
        <v>6595</v>
      </c>
      <c r="G77" s="218">
        <v>1376</v>
      </c>
      <c r="H77" s="217">
        <v>471</v>
      </c>
      <c r="I77" s="217">
        <v>12.11</v>
      </c>
      <c r="J77" s="234">
        <v>7.09</v>
      </c>
    </row>
    <row r="78" spans="1:10" x14ac:dyDescent="0.2">
      <c r="A78" s="233" t="s">
        <v>216</v>
      </c>
      <c r="B78" s="217">
        <v>117</v>
      </c>
      <c r="C78" s="217">
        <f t="shared" ref="C78:C102" si="2">B78/100</f>
        <v>1.17</v>
      </c>
      <c r="D78" s="217">
        <v>149.1</v>
      </c>
      <c r="E78" s="218">
        <v>25170</v>
      </c>
      <c r="F78" s="218">
        <v>8563</v>
      </c>
      <c r="G78" s="218">
        <v>1678</v>
      </c>
      <c r="H78" s="217">
        <v>570.9</v>
      </c>
      <c r="I78" s="217">
        <v>12.99</v>
      </c>
      <c r="J78" s="234">
        <v>7.58</v>
      </c>
    </row>
    <row r="79" spans="1:10" x14ac:dyDescent="0.2">
      <c r="A79" s="233" t="s">
        <v>217</v>
      </c>
      <c r="B79" s="217">
        <v>127</v>
      </c>
      <c r="C79" s="217">
        <f t="shared" si="2"/>
        <v>1.27</v>
      </c>
      <c r="D79" s="217">
        <v>161.30000000000001</v>
      </c>
      <c r="E79" s="218">
        <v>30820</v>
      </c>
      <c r="F79" s="218">
        <v>9239</v>
      </c>
      <c r="G79" s="218">
        <v>1926</v>
      </c>
      <c r="H79" s="217">
        <v>615.9</v>
      </c>
      <c r="I79" s="217">
        <v>13.82</v>
      </c>
      <c r="J79" s="234">
        <v>7.57</v>
      </c>
    </row>
    <row r="80" spans="1:10" x14ac:dyDescent="0.2">
      <c r="A80" s="233" t="s">
        <v>218</v>
      </c>
      <c r="B80" s="217">
        <v>134</v>
      </c>
      <c r="C80" s="217">
        <f t="shared" si="2"/>
        <v>1.34</v>
      </c>
      <c r="D80" s="217">
        <v>170.9</v>
      </c>
      <c r="E80" s="218">
        <v>36660</v>
      </c>
      <c r="F80" s="218">
        <v>9690</v>
      </c>
      <c r="G80" s="218">
        <v>2156</v>
      </c>
      <c r="H80" s="217">
        <v>646</v>
      </c>
      <c r="I80" s="217">
        <v>14.65</v>
      </c>
      <c r="J80" s="234">
        <v>7.53</v>
      </c>
    </row>
    <row r="81" spans="1:10" x14ac:dyDescent="0.2">
      <c r="A81" s="233" t="s">
        <v>219</v>
      </c>
      <c r="B81" s="217">
        <v>142</v>
      </c>
      <c r="C81" s="217">
        <f t="shared" si="2"/>
        <v>1.42</v>
      </c>
      <c r="D81" s="217">
        <v>180.6</v>
      </c>
      <c r="E81" s="218">
        <v>43190</v>
      </c>
      <c r="F81" s="218">
        <v>10140</v>
      </c>
      <c r="G81" s="218">
        <v>2400</v>
      </c>
      <c r="H81" s="217">
        <v>676.1</v>
      </c>
      <c r="I81" s="217">
        <v>15.46</v>
      </c>
      <c r="J81" s="234">
        <v>7.49</v>
      </c>
    </row>
    <row r="82" spans="1:10" x14ac:dyDescent="0.2">
      <c r="A82" s="233" t="s">
        <v>220</v>
      </c>
      <c r="B82" s="217">
        <v>155</v>
      </c>
      <c r="C82" s="217">
        <f t="shared" si="2"/>
        <v>1.55</v>
      </c>
      <c r="D82" s="217">
        <v>197.8</v>
      </c>
      <c r="E82" s="218">
        <v>57680</v>
      </c>
      <c r="F82" s="218">
        <v>10820</v>
      </c>
      <c r="G82" s="218">
        <v>2884</v>
      </c>
      <c r="H82" s="217">
        <v>721.3</v>
      </c>
      <c r="I82" s="217">
        <v>17.079999999999998</v>
      </c>
      <c r="J82" s="234">
        <v>7.4</v>
      </c>
    </row>
    <row r="83" spans="1:10" x14ac:dyDescent="0.2">
      <c r="A83" s="233" t="s">
        <v>221</v>
      </c>
      <c r="B83" s="217">
        <v>171</v>
      </c>
      <c r="C83" s="217">
        <f t="shared" si="2"/>
        <v>1.71</v>
      </c>
      <c r="D83" s="217">
        <v>218</v>
      </c>
      <c r="E83" s="218">
        <v>79890</v>
      </c>
      <c r="F83" s="218">
        <v>11720</v>
      </c>
      <c r="G83" s="218">
        <v>3551</v>
      </c>
      <c r="H83" s="217">
        <v>781.4</v>
      </c>
      <c r="I83" s="217">
        <v>19.14</v>
      </c>
      <c r="J83" s="234">
        <v>7.33</v>
      </c>
    </row>
    <row r="84" spans="1:10" x14ac:dyDescent="0.2">
      <c r="A84" s="233" t="s">
        <v>222</v>
      </c>
      <c r="B84" s="217">
        <v>187</v>
      </c>
      <c r="C84" s="217">
        <f t="shared" si="2"/>
        <v>1.87</v>
      </c>
      <c r="D84" s="217">
        <v>238.6</v>
      </c>
      <c r="E84" s="218">
        <v>107200</v>
      </c>
      <c r="F84" s="218">
        <v>12620</v>
      </c>
      <c r="G84" s="218">
        <v>4287</v>
      </c>
      <c r="H84" s="217">
        <v>841.6</v>
      </c>
      <c r="I84" s="217">
        <v>21.19</v>
      </c>
      <c r="J84" s="234">
        <v>7.27</v>
      </c>
    </row>
    <row r="85" spans="1:10" x14ac:dyDescent="0.2">
      <c r="A85" s="233" t="s">
        <v>223</v>
      </c>
      <c r="B85" s="217">
        <v>199</v>
      </c>
      <c r="C85" s="217">
        <f t="shared" si="2"/>
        <v>1.99</v>
      </c>
      <c r="D85" s="217">
        <v>254.1</v>
      </c>
      <c r="E85" s="218">
        <v>136700</v>
      </c>
      <c r="F85" s="218">
        <v>13080</v>
      </c>
      <c r="G85" s="218">
        <v>4971</v>
      </c>
      <c r="H85" s="217">
        <v>871.8</v>
      </c>
      <c r="I85" s="217">
        <v>23.2</v>
      </c>
      <c r="J85" s="234">
        <v>7.17</v>
      </c>
    </row>
    <row r="86" spans="1:10" x14ac:dyDescent="0.2">
      <c r="A86" s="233" t="s">
        <v>224</v>
      </c>
      <c r="B86" s="217">
        <v>212</v>
      </c>
      <c r="C86" s="217">
        <f t="shared" si="2"/>
        <v>2.12</v>
      </c>
      <c r="D86" s="217">
        <v>270</v>
      </c>
      <c r="E86" s="218">
        <v>171000</v>
      </c>
      <c r="F86" s="218">
        <v>13530</v>
      </c>
      <c r="G86" s="218">
        <v>5701</v>
      </c>
      <c r="H86" s="217">
        <v>902</v>
      </c>
      <c r="I86" s="217">
        <v>25.17</v>
      </c>
      <c r="J86" s="234">
        <v>7.08</v>
      </c>
    </row>
    <row r="87" spans="1:10" x14ac:dyDescent="0.2">
      <c r="A87" s="233" t="s">
        <v>225</v>
      </c>
      <c r="B87" s="217">
        <v>225</v>
      </c>
      <c r="C87" s="217">
        <f t="shared" si="2"/>
        <v>2.25</v>
      </c>
      <c r="D87" s="217">
        <v>286.3</v>
      </c>
      <c r="E87" s="218">
        <v>210600</v>
      </c>
      <c r="F87" s="218">
        <v>13980</v>
      </c>
      <c r="G87" s="218">
        <v>6480</v>
      </c>
      <c r="H87" s="217">
        <v>932.3</v>
      </c>
      <c r="I87" s="217">
        <v>27.12</v>
      </c>
      <c r="J87" s="234">
        <v>6.99</v>
      </c>
    </row>
    <row r="88" spans="1:10" x14ac:dyDescent="0.2">
      <c r="A88" s="233" t="s">
        <v>226</v>
      </c>
      <c r="B88" s="217">
        <v>241</v>
      </c>
      <c r="C88" s="217">
        <f t="shared" si="2"/>
        <v>2.41</v>
      </c>
      <c r="D88" s="217">
        <v>306.39999999999998</v>
      </c>
      <c r="E88" s="218">
        <v>256900</v>
      </c>
      <c r="F88" s="218">
        <v>14440</v>
      </c>
      <c r="G88" s="218">
        <v>7340</v>
      </c>
      <c r="H88" s="217">
        <v>962.7</v>
      </c>
      <c r="I88" s="217">
        <v>28.96</v>
      </c>
      <c r="J88" s="234">
        <v>6.87</v>
      </c>
    </row>
    <row r="89" spans="1:10" x14ac:dyDescent="0.2">
      <c r="A89" s="233" t="s">
        <v>227</v>
      </c>
      <c r="B89" s="217">
        <v>262</v>
      </c>
      <c r="C89" s="217">
        <f t="shared" si="2"/>
        <v>2.62</v>
      </c>
      <c r="D89" s="217">
        <v>334.2</v>
      </c>
      <c r="E89" s="218">
        <v>359100</v>
      </c>
      <c r="F89" s="218">
        <v>14900</v>
      </c>
      <c r="G89" s="218">
        <v>8977</v>
      </c>
      <c r="H89" s="217">
        <v>993.6</v>
      </c>
      <c r="I89" s="217">
        <v>32.78</v>
      </c>
      <c r="J89" s="234">
        <v>6.68</v>
      </c>
    </row>
    <row r="90" spans="1:10" x14ac:dyDescent="0.2">
      <c r="A90" s="233" t="s">
        <v>228</v>
      </c>
      <c r="B90" s="217">
        <v>291</v>
      </c>
      <c r="C90" s="217">
        <f t="shared" si="2"/>
        <v>2.91</v>
      </c>
      <c r="D90" s="217">
        <v>371.3</v>
      </c>
      <c r="E90" s="218">
        <v>494100</v>
      </c>
      <c r="F90" s="218">
        <v>15820</v>
      </c>
      <c r="G90" s="218">
        <v>10980</v>
      </c>
      <c r="H90" s="218">
        <v>1054</v>
      </c>
      <c r="I90" s="217">
        <v>36.479999999999997</v>
      </c>
      <c r="J90" s="234">
        <v>6.53</v>
      </c>
    </row>
    <row r="91" spans="1:10" x14ac:dyDescent="0.2">
      <c r="A91" s="233" t="s">
        <v>229</v>
      </c>
      <c r="B91" s="217">
        <v>314</v>
      </c>
      <c r="C91" s="217">
        <f t="shared" si="2"/>
        <v>3.14</v>
      </c>
      <c r="D91" s="217">
        <v>400</v>
      </c>
      <c r="E91" s="218">
        <v>644700</v>
      </c>
      <c r="F91" s="218">
        <v>16280</v>
      </c>
      <c r="G91" s="218">
        <v>12890</v>
      </c>
      <c r="H91" s="218">
        <v>1085</v>
      </c>
      <c r="I91" s="217">
        <v>40.15</v>
      </c>
      <c r="J91" s="234">
        <v>6.38</v>
      </c>
    </row>
    <row r="92" spans="1:10" x14ac:dyDescent="0.2">
      <c r="A92" s="233" t="s">
        <v>230</v>
      </c>
      <c r="B92" s="217">
        <v>48.8</v>
      </c>
      <c r="C92" s="217">
        <f t="shared" si="2"/>
        <v>0.48799999999999999</v>
      </c>
      <c r="D92" s="217">
        <v>53.24</v>
      </c>
      <c r="E92" s="218">
        <v>1143</v>
      </c>
      <c r="F92" s="217">
        <v>399.2</v>
      </c>
      <c r="G92" s="217">
        <v>194</v>
      </c>
      <c r="H92" s="217">
        <v>75.31</v>
      </c>
      <c r="I92" s="217">
        <v>4.63</v>
      </c>
      <c r="J92" s="234">
        <v>2.74</v>
      </c>
    </row>
    <row r="93" spans="1:10" x14ac:dyDescent="0.2">
      <c r="A93" s="233" t="s">
        <v>231</v>
      </c>
      <c r="B93" s="217">
        <v>52.1</v>
      </c>
      <c r="C93" s="217">
        <f t="shared" si="2"/>
        <v>0.52100000000000002</v>
      </c>
      <c r="D93" s="217">
        <v>66.41</v>
      </c>
      <c r="E93" s="218">
        <v>2018</v>
      </c>
      <c r="F93" s="217">
        <v>702.8</v>
      </c>
      <c r="G93" s="217">
        <v>288.2</v>
      </c>
      <c r="H93" s="217">
        <v>111.6</v>
      </c>
      <c r="I93" s="217">
        <v>5.51</v>
      </c>
      <c r="J93" s="234">
        <v>3.25</v>
      </c>
    </row>
    <row r="94" spans="1:10" x14ac:dyDescent="0.2">
      <c r="A94" s="233" t="s">
        <v>232</v>
      </c>
      <c r="B94" s="217">
        <v>63.2</v>
      </c>
      <c r="C94" s="217">
        <f t="shared" si="2"/>
        <v>0.63200000000000001</v>
      </c>
      <c r="D94" s="217">
        <v>80.56</v>
      </c>
      <c r="E94" s="218">
        <v>3291</v>
      </c>
      <c r="F94" s="218">
        <v>1144</v>
      </c>
      <c r="G94" s="217">
        <v>411.4</v>
      </c>
      <c r="H94" s="217">
        <v>156.80000000000001</v>
      </c>
      <c r="I94" s="217">
        <v>6.39</v>
      </c>
      <c r="J94" s="234">
        <v>3.77</v>
      </c>
    </row>
    <row r="95" spans="1:10" x14ac:dyDescent="0.2">
      <c r="A95" s="233" t="s">
        <v>233</v>
      </c>
      <c r="B95" s="217">
        <v>76.2</v>
      </c>
      <c r="C95" s="217">
        <f t="shared" si="2"/>
        <v>0.76200000000000001</v>
      </c>
      <c r="D95" s="217">
        <v>97.05</v>
      </c>
      <c r="E95" s="218">
        <v>5098</v>
      </c>
      <c r="F95" s="218">
        <v>1759</v>
      </c>
      <c r="G95" s="217">
        <v>566.5</v>
      </c>
      <c r="H95" s="217">
        <v>211.9</v>
      </c>
      <c r="I95" s="217">
        <v>7.25</v>
      </c>
      <c r="J95" s="234">
        <v>4.26</v>
      </c>
    </row>
    <row r="96" spans="1:10" x14ac:dyDescent="0.2">
      <c r="A96" s="233" t="s">
        <v>234</v>
      </c>
      <c r="B96" s="217">
        <v>88.9</v>
      </c>
      <c r="C96" s="217">
        <f t="shared" si="2"/>
        <v>0.88900000000000001</v>
      </c>
      <c r="D96" s="217">
        <v>113.3</v>
      </c>
      <c r="E96" s="218">
        <v>7483</v>
      </c>
      <c r="F96" s="218">
        <v>2580</v>
      </c>
      <c r="G96" s="217">
        <v>748.3</v>
      </c>
      <c r="H96" s="217">
        <v>277.39999999999998</v>
      </c>
      <c r="I96" s="217">
        <v>8.1300000000000008</v>
      </c>
      <c r="J96" s="234">
        <v>4.7699999999999996</v>
      </c>
    </row>
    <row r="97" spans="1:10" x14ac:dyDescent="0.2">
      <c r="A97" s="233" t="s">
        <v>235</v>
      </c>
      <c r="B97" s="217">
        <v>103</v>
      </c>
      <c r="C97" s="217">
        <f t="shared" si="2"/>
        <v>1.03</v>
      </c>
      <c r="D97" s="217">
        <v>131.30000000000001</v>
      </c>
      <c r="E97" s="218">
        <v>10640</v>
      </c>
      <c r="F97" s="218">
        <v>3651</v>
      </c>
      <c r="G97" s="217">
        <v>967.4</v>
      </c>
      <c r="H97" s="217">
        <v>354.5</v>
      </c>
      <c r="I97" s="217">
        <v>9</v>
      </c>
      <c r="J97" s="234">
        <v>5.27</v>
      </c>
    </row>
    <row r="98" spans="1:10" x14ac:dyDescent="0.2">
      <c r="A98" s="233" t="s">
        <v>236</v>
      </c>
      <c r="B98" s="217">
        <v>117</v>
      </c>
      <c r="C98" s="217">
        <f t="shared" si="2"/>
        <v>1.17</v>
      </c>
      <c r="D98" s="217">
        <v>149.4</v>
      </c>
      <c r="E98" s="218">
        <v>14600</v>
      </c>
      <c r="F98" s="218">
        <v>5012</v>
      </c>
      <c r="G98" s="218">
        <v>1217</v>
      </c>
      <c r="H98" s="217">
        <v>443.5</v>
      </c>
      <c r="I98" s="217">
        <v>9.89</v>
      </c>
      <c r="J98" s="234">
        <v>5.79</v>
      </c>
    </row>
    <row r="99" spans="1:10" x14ac:dyDescent="0.2">
      <c r="A99" s="233" t="s">
        <v>237</v>
      </c>
      <c r="B99" s="217">
        <v>157</v>
      </c>
      <c r="C99" s="217">
        <f t="shared" si="2"/>
        <v>1.57</v>
      </c>
      <c r="D99" s="217">
        <v>199.6</v>
      </c>
      <c r="E99" s="218">
        <v>24290</v>
      </c>
      <c r="F99" s="218">
        <v>8153</v>
      </c>
      <c r="G99" s="218">
        <v>1799</v>
      </c>
      <c r="H99" s="217">
        <v>657.5</v>
      </c>
      <c r="I99" s="217">
        <v>11.03</v>
      </c>
      <c r="J99" s="234">
        <v>6.39</v>
      </c>
    </row>
    <row r="100" spans="1:10" x14ac:dyDescent="0.2">
      <c r="A100" s="233" t="s">
        <v>238</v>
      </c>
      <c r="B100" s="217">
        <v>172</v>
      </c>
      <c r="C100" s="217">
        <f t="shared" si="2"/>
        <v>1.72</v>
      </c>
      <c r="D100" s="217">
        <v>219.6</v>
      </c>
      <c r="E100" s="218">
        <v>31310</v>
      </c>
      <c r="F100" s="218">
        <v>10450</v>
      </c>
      <c r="G100" s="218">
        <v>2159</v>
      </c>
      <c r="H100" s="217">
        <v>779.7</v>
      </c>
      <c r="I100" s="217">
        <v>11.94</v>
      </c>
      <c r="J100" s="234">
        <v>6.9</v>
      </c>
    </row>
    <row r="101" spans="1:10" x14ac:dyDescent="0.2">
      <c r="A101" s="233" t="s">
        <v>239</v>
      </c>
      <c r="B101" s="217">
        <v>189</v>
      </c>
      <c r="C101" s="217">
        <f t="shared" si="2"/>
        <v>1.89</v>
      </c>
      <c r="D101" s="217">
        <v>240.2</v>
      </c>
      <c r="E101" s="218">
        <v>39550</v>
      </c>
      <c r="F101" s="218">
        <v>13160</v>
      </c>
      <c r="G101" s="218">
        <v>2551</v>
      </c>
      <c r="H101" s="217">
        <v>914.1</v>
      </c>
      <c r="I101" s="217">
        <v>12.83</v>
      </c>
      <c r="J101" s="234">
        <v>7.4</v>
      </c>
    </row>
    <row r="102" spans="1:10" x14ac:dyDescent="0.2">
      <c r="A102" s="233" t="s">
        <v>240</v>
      </c>
      <c r="B102" s="217">
        <v>238</v>
      </c>
      <c r="C102" s="217">
        <f t="shared" si="2"/>
        <v>2.38</v>
      </c>
      <c r="D102" s="217">
        <v>303.10000000000002</v>
      </c>
      <c r="E102" s="218">
        <v>59200</v>
      </c>
      <c r="F102" s="218">
        <v>19400</v>
      </c>
      <c r="G102" s="218">
        <v>3482</v>
      </c>
      <c r="H102" s="218">
        <v>1252</v>
      </c>
      <c r="I102" s="217">
        <v>13.98</v>
      </c>
      <c r="J102" s="234">
        <v>8</v>
      </c>
    </row>
    <row r="103" spans="1:10" x14ac:dyDescent="0.2">
      <c r="A103" s="233" t="s">
        <v>241</v>
      </c>
      <c r="B103" s="217">
        <v>245</v>
      </c>
      <c r="C103" s="217">
        <f>B103/100</f>
        <v>2.4500000000000002</v>
      </c>
      <c r="D103" s="217">
        <v>312</v>
      </c>
      <c r="E103" s="218">
        <v>68130</v>
      </c>
      <c r="F103" s="218">
        <v>19710</v>
      </c>
      <c r="G103" s="218">
        <v>3796</v>
      </c>
      <c r="H103" s="218">
        <v>1276</v>
      </c>
      <c r="I103" s="217">
        <v>14.78</v>
      </c>
      <c r="J103" s="234">
        <v>7.95</v>
      </c>
    </row>
    <row r="104" spans="1:10" x14ac:dyDescent="0.2">
      <c r="A104" s="233" t="s">
        <v>242</v>
      </c>
      <c r="B104" s="217">
        <v>248</v>
      </c>
      <c r="C104" s="217">
        <f>B104/100</f>
        <v>2.48</v>
      </c>
      <c r="D104" s="217">
        <v>315.8</v>
      </c>
      <c r="E104" s="218">
        <v>76370</v>
      </c>
      <c r="F104" s="218">
        <v>19710</v>
      </c>
      <c r="G104" s="218">
        <v>4052</v>
      </c>
      <c r="H104" s="218">
        <v>1276</v>
      </c>
      <c r="I104" s="217">
        <v>15.55</v>
      </c>
      <c r="J104" s="234">
        <v>7.9</v>
      </c>
    </row>
    <row r="105" spans="1:10" x14ac:dyDescent="0.2">
      <c r="A105" s="233" t="s">
        <v>243</v>
      </c>
      <c r="B105" s="217">
        <v>250</v>
      </c>
      <c r="C105" s="217">
        <f t="shared" ref="C105:C129" si="3">B105/100</f>
        <v>2.5</v>
      </c>
      <c r="D105" s="217">
        <v>318.8</v>
      </c>
      <c r="E105" s="218">
        <v>84870</v>
      </c>
      <c r="F105" s="218">
        <v>19520</v>
      </c>
      <c r="G105" s="218">
        <v>4297</v>
      </c>
      <c r="H105" s="218">
        <v>1268</v>
      </c>
      <c r="I105" s="217">
        <v>16.32</v>
      </c>
      <c r="J105" s="234">
        <v>7.83</v>
      </c>
    </row>
    <row r="106" spans="1:10" x14ac:dyDescent="0.2">
      <c r="A106" s="233" t="s">
        <v>244</v>
      </c>
      <c r="B106" s="217">
        <v>256</v>
      </c>
      <c r="C106" s="217">
        <f t="shared" si="3"/>
        <v>2.56</v>
      </c>
      <c r="D106" s="217">
        <v>325.8</v>
      </c>
      <c r="E106" s="218">
        <v>104100</v>
      </c>
      <c r="F106" s="218">
        <v>19340</v>
      </c>
      <c r="G106" s="218">
        <v>4820</v>
      </c>
      <c r="H106" s="218">
        <v>1260</v>
      </c>
      <c r="I106" s="217">
        <v>17.88</v>
      </c>
      <c r="J106" s="234">
        <v>7.7</v>
      </c>
    </row>
    <row r="107" spans="1:10" x14ac:dyDescent="0.2">
      <c r="A107" s="233" t="s">
        <v>245</v>
      </c>
      <c r="B107" s="217">
        <v>263</v>
      </c>
      <c r="C107" s="217">
        <f t="shared" si="3"/>
        <v>2.63</v>
      </c>
      <c r="D107" s="217">
        <v>335.4</v>
      </c>
      <c r="E107" s="218">
        <v>131500</v>
      </c>
      <c r="F107" s="218">
        <v>19340</v>
      </c>
      <c r="G107" s="218">
        <v>5501</v>
      </c>
      <c r="H107" s="218">
        <v>1260</v>
      </c>
      <c r="I107" s="217">
        <v>19.8</v>
      </c>
      <c r="J107" s="234">
        <v>7.59</v>
      </c>
    </row>
    <row r="108" spans="1:10" x14ac:dyDescent="0.2">
      <c r="A108" s="233" t="s">
        <v>246</v>
      </c>
      <c r="B108" s="217">
        <v>270</v>
      </c>
      <c r="C108" s="217">
        <f t="shared" si="3"/>
        <v>2.7</v>
      </c>
      <c r="D108" s="217">
        <v>344.3</v>
      </c>
      <c r="E108" s="218">
        <v>161900</v>
      </c>
      <c r="F108" s="218">
        <v>19150</v>
      </c>
      <c r="G108" s="218">
        <v>6180</v>
      </c>
      <c r="H108" s="218">
        <v>1252</v>
      </c>
      <c r="I108" s="217">
        <v>21.69</v>
      </c>
      <c r="J108" s="234">
        <v>7.46</v>
      </c>
    </row>
    <row r="109" spans="1:10" x14ac:dyDescent="0.2">
      <c r="A109" s="233" t="s">
        <v>247</v>
      </c>
      <c r="B109" s="217">
        <v>278</v>
      </c>
      <c r="C109" s="217">
        <f t="shared" si="3"/>
        <v>2.78</v>
      </c>
      <c r="D109" s="217">
        <v>354.4</v>
      </c>
      <c r="E109" s="218">
        <v>198000</v>
      </c>
      <c r="F109" s="218">
        <v>19160</v>
      </c>
      <c r="G109" s="218">
        <v>6923</v>
      </c>
      <c r="H109" s="218">
        <v>1252</v>
      </c>
      <c r="I109" s="221">
        <v>23.64</v>
      </c>
      <c r="J109" s="234">
        <v>7.35</v>
      </c>
    </row>
    <row r="110" spans="1:10" x14ac:dyDescent="0.2">
      <c r="A110" s="233" t="s">
        <v>248</v>
      </c>
      <c r="B110" s="217">
        <v>285</v>
      </c>
      <c r="C110" s="217">
        <f t="shared" si="3"/>
        <v>2.85</v>
      </c>
      <c r="D110" s="217">
        <v>363.7</v>
      </c>
      <c r="E110" s="218">
        <v>237400</v>
      </c>
      <c r="F110" s="218">
        <v>18980</v>
      </c>
      <c r="G110" s="218">
        <v>7660</v>
      </c>
      <c r="H110" s="218">
        <v>1244</v>
      </c>
      <c r="I110" s="217">
        <v>25.55</v>
      </c>
      <c r="J110" s="234">
        <v>7.22</v>
      </c>
    </row>
    <row r="111" spans="1:10" x14ac:dyDescent="0.2">
      <c r="A111" s="233" t="s">
        <v>249</v>
      </c>
      <c r="B111" s="217">
        <v>293</v>
      </c>
      <c r="C111" s="217">
        <f t="shared" si="3"/>
        <v>2.93</v>
      </c>
      <c r="D111" s="217">
        <v>373.7</v>
      </c>
      <c r="E111" s="218">
        <v>281700</v>
      </c>
      <c r="F111" s="218">
        <v>18980</v>
      </c>
      <c r="G111" s="218">
        <v>8433</v>
      </c>
      <c r="H111" s="218">
        <v>1245</v>
      </c>
      <c r="I111" s="217">
        <v>27.45</v>
      </c>
      <c r="J111" s="234">
        <v>7.13</v>
      </c>
    </row>
    <row r="112" spans="1:10" x14ac:dyDescent="0.2">
      <c r="A112" s="233" t="s">
        <v>250</v>
      </c>
      <c r="B112" s="217">
        <v>301</v>
      </c>
      <c r="C112" s="217">
        <f t="shared" si="3"/>
        <v>3.01</v>
      </c>
      <c r="D112" s="217">
        <v>383</v>
      </c>
      <c r="E112" s="218">
        <v>329300</v>
      </c>
      <c r="F112" s="218">
        <v>18800</v>
      </c>
      <c r="G112" s="218">
        <v>9198</v>
      </c>
      <c r="H112" s="218">
        <v>1237</v>
      </c>
      <c r="I112" s="217">
        <v>29.32</v>
      </c>
      <c r="J112" s="235">
        <v>0.29236111111111113</v>
      </c>
    </row>
    <row r="113" spans="1:10" x14ac:dyDescent="0.2">
      <c r="A113" s="233" t="s">
        <v>251</v>
      </c>
      <c r="B113" s="217">
        <v>317</v>
      </c>
      <c r="C113" s="217">
        <f t="shared" si="3"/>
        <v>3.17</v>
      </c>
      <c r="D113" s="217">
        <v>404.3</v>
      </c>
      <c r="E113" s="218">
        <v>442600</v>
      </c>
      <c r="F113" s="218">
        <v>18630</v>
      </c>
      <c r="G113" s="218">
        <v>10870</v>
      </c>
      <c r="H113" s="218">
        <v>1230</v>
      </c>
      <c r="I113" s="217">
        <v>33.090000000000003</v>
      </c>
      <c r="J113" s="234">
        <v>6.79</v>
      </c>
    </row>
    <row r="114" spans="1:10" x14ac:dyDescent="0.2">
      <c r="A114" s="233" t="s">
        <v>252</v>
      </c>
      <c r="B114" s="217">
        <v>333</v>
      </c>
      <c r="C114" s="217">
        <f t="shared" si="3"/>
        <v>3.33</v>
      </c>
      <c r="D114" s="217">
        <v>423.6</v>
      </c>
      <c r="E114" s="218">
        <v>570400</v>
      </c>
      <c r="F114" s="218">
        <v>18450</v>
      </c>
      <c r="G114" s="218">
        <v>12540</v>
      </c>
      <c r="H114" s="218">
        <v>1222</v>
      </c>
      <c r="I114" s="217">
        <v>36.700000000000003</v>
      </c>
      <c r="J114" s="234">
        <v>6.6</v>
      </c>
    </row>
    <row r="115" spans="1:10" x14ac:dyDescent="0.2">
      <c r="A115" s="233" t="s">
        <v>253</v>
      </c>
      <c r="B115" s="217">
        <v>349</v>
      </c>
      <c r="C115" s="217">
        <f t="shared" si="3"/>
        <v>3.49</v>
      </c>
      <c r="D115" s="217">
        <v>444.2</v>
      </c>
      <c r="E115" s="218">
        <v>722300</v>
      </c>
      <c r="F115" s="218">
        <v>18460</v>
      </c>
      <c r="G115" s="218">
        <v>14330</v>
      </c>
      <c r="H115" s="218">
        <v>1222</v>
      </c>
      <c r="I115" s="217">
        <v>40.32</v>
      </c>
      <c r="J115" s="234">
        <v>6.45</v>
      </c>
    </row>
    <row r="116" spans="1:10" x14ac:dyDescent="0.2">
      <c r="A116" s="233" t="s">
        <v>254</v>
      </c>
      <c r="B116" s="219">
        <v>0.18541666666666667</v>
      </c>
      <c r="C116" s="217">
        <f t="shared" si="3"/>
        <v>1.8541666666666667E-3</v>
      </c>
      <c r="D116" s="217">
        <v>5.44</v>
      </c>
      <c r="E116" s="217">
        <v>6.39</v>
      </c>
      <c r="F116" s="217">
        <v>5.0999999999999996</v>
      </c>
      <c r="G116" s="217">
        <v>4.26</v>
      </c>
      <c r="H116" s="217">
        <v>2.6</v>
      </c>
      <c r="I116" s="217">
        <v>1.08</v>
      </c>
      <c r="J116" s="234">
        <v>0.96799999999999997</v>
      </c>
    </row>
    <row r="117" spans="1:10" x14ac:dyDescent="0.2">
      <c r="A117" s="233" t="s">
        <v>255</v>
      </c>
      <c r="B117" s="217">
        <v>4.88</v>
      </c>
      <c r="C117" s="217">
        <f t="shared" si="3"/>
        <v>4.8799999999999996E-2</v>
      </c>
      <c r="D117" s="217">
        <v>6.21</v>
      </c>
      <c r="E117" s="217">
        <v>14.1</v>
      </c>
      <c r="F117" s="217">
        <v>6.68</v>
      </c>
      <c r="G117" s="217">
        <v>7.07</v>
      </c>
      <c r="H117" s="217">
        <v>3.08</v>
      </c>
      <c r="I117" s="217">
        <v>1.51</v>
      </c>
      <c r="J117" s="234">
        <v>1.04</v>
      </c>
    </row>
    <row r="118" spans="1:10" x14ac:dyDescent="0.2">
      <c r="A118" s="233" t="s">
        <v>256</v>
      </c>
      <c r="B118" s="217">
        <v>5.59</v>
      </c>
      <c r="C118" s="217">
        <f t="shared" si="3"/>
        <v>5.5899999999999998E-2</v>
      </c>
      <c r="D118" s="217">
        <v>7.12</v>
      </c>
      <c r="E118" s="217">
        <v>26.5</v>
      </c>
      <c r="F118" s="217">
        <v>9.1</v>
      </c>
      <c r="G118" s="217">
        <v>10.06</v>
      </c>
      <c r="H118" s="217">
        <v>3.74</v>
      </c>
      <c r="I118" s="217">
        <v>1.93</v>
      </c>
      <c r="J118" s="234">
        <v>1.1299999999999999</v>
      </c>
    </row>
    <row r="119" spans="1:10" x14ac:dyDescent="0.2">
      <c r="A119" s="233" t="s">
        <v>257</v>
      </c>
      <c r="B119" s="217">
        <v>7.09</v>
      </c>
      <c r="C119" s="217">
        <f t="shared" si="3"/>
        <v>7.0900000000000005E-2</v>
      </c>
      <c r="D119" s="217">
        <v>9.0299999999999994</v>
      </c>
      <c r="E119" s="217">
        <v>57.5</v>
      </c>
      <c r="F119" s="217">
        <v>14</v>
      </c>
      <c r="G119" s="217">
        <v>17.7</v>
      </c>
      <c r="H119" s="217">
        <v>5.05</v>
      </c>
      <c r="I119" s="217">
        <v>2.52</v>
      </c>
      <c r="J119" s="234">
        <v>1.25</v>
      </c>
    </row>
    <row r="120" spans="1:10" x14ac:dyDescent="0.2">
      <c r="A120" s="233" t="s">
        <v>258</v>
      </c>
      <c r="B120" s="217">
        <v>8.65</v>
      </c>
      <c r="C120" s="217">
        <f t="shared" si="3"/>
        <v>8.6500000000000007E-2</v>
      </c>
      <c r="D120" s="217">
        <v>11</v>
      </c>
      <c r="E120" s="217">
        <v>106</v>
      </c>
      <c r="F120" s="217">
        <v>19.399999999999999</v>
      </c>
      <c r="G120" s="217">
        <v>26.5</v>
      </c>
      <c r="H120" s="217">
        <v>6.35</v>
      </c>
      <c r="I120" s="217">
        <v>3.1</v>
      </c>
      <c r="J120" s="234">
        <v>1.33</v>
      </c>
    </row>
    <row r="121" spans="1:10" x14ac:dyDescent="0.2">
      <c r="A121" s="233" t="s">
        <v>259</v>
      </c>
      <c r="B121" s="217">
        <v>10.6</v>
      </c>
      <c r="C121" s="217">
        <f t="shared" si="3"/>
        <v>0.106</v>
      </c>
      <c r="D121" s="217">
        <v>13.5</v>
      </c>
      <c r="E121" s="217">
        <v>205</v>
      </c>
      <c r="F121" s="217">
        <v>29.1</v>
      </c>
      <c r="G121" s="217">
        <v>41.1</v>
      </c>
      <c r="H121" s="217">
        <v>8.4499999999999993</v>
      </c>
      <c r="I121" s="217">
        <v>3.91</v>
      </c>
      <c r="J121" s="234">
        <v>1.47</v>
      </c>
    </row>
    <row r="122" spans="1:10" x14ac:dyDescent="0.2">
      <c r="A122" s="233" t="s">
        <v>260</v>
      </c>
      <c r="B122" s="217">
        <v>13.3</v>
      </c>
      <c r="C122" s="217">
        <f t="shared" si="3"/>
        <v>0.13300000000000001</v>
      </c>
      <c r="D122" s="217">
        <v>17</v>
      </c>
      <c r="E122" s="217">
        <v>364</v>
      </c>
      <c r="F122" s="217">
        <v>43.1</v>
      </c>
      <c r="G122" s="217">
        <v>60.7</v>
      </c>
      <c r="H122" s="217">
        <v>11.1</v>
      </c>
      <c r="I122" s="217">
        <v>4.63</v>
      </c>
      <c r="J122" s="234">
        <v>1.59</v>
      </c>
    </row>
    <row r="123" spans="1:10" x14ac:dyDescent="0.2">
      <c r="A123" s="233" t="s">
        <v>261</v>
      </c>
      <c r="B123" s="217">
        <v>16</v>
      </c>
      <c r="C123" s="217">
        <f t="shared" si="3"/>
        <v>0.16</v>
      </c>
      <c r="D123" s="217">
        <v>20.399999999999999</v>
      </c>
      <c r="E123" s="217">
        <v>605</v>
      </c>
      <c r="F123" s="217">
        <v>62.5</v>
      </c>
      <c r="G123" s="217">
        <v>86.4</v>
      </c>
      <c r="H123" s="217">
        <v>14.7</v>
      </c>
      <c r="I123" s="217">
        <v>5.45</v>
      </c>
      <c r="J123" s="234">
        <v>1.75</v>
      </c>
    </row>
    <row r="124" spans="1:10" x14ac:dyDescent="0.2">
      <c r="A124" s="233" t="s">
        <v>262</v>
      </c>
      <c r="B124" s="217">
        <v>18.899999999999999</v>
      </c>
      <c r="C124" s="217">
        <f t="shared" si="3"/>
        <v>0.18899999999999997</v>
      </c>
      <c r="D124" s="217">
        <v>24</v>
      </c>
      <c r="E124" s="217">
        <v>925</v>
      </c>
      <c r="F124" s="217">
        <v>85.1</v>
      </c>
      <c r="G124" s="217">
        <v>116</v>
      </c>
      <c r="H124" s="217">
        <v>18.2</v>
      </c>
      <c r="I124" s="217">
        <v>6.21</v>
      </c>
      <c r="J124" s="234">
        <v>1.88</v>
      </c>
    </row>
    <row r="125" spans="1:10" x14ac:dyDescent="0.2">
      <c r="A125" s="233" t="s">
        <v>263</v>
      </c>
      <c r="B125" s="217">
        <v>22</v>
      </c>
      <c r="C125" s="217">
        <f t="shared" si="3"/>
        <v>0.22</v>
      </c>
      <c r="D125" s="217">
        <v>28</v>
      </c>
      <c r="E125" s="218">
        <v>1354</v>
      </c>
      <c r="F125" s="217">
        <v>114</v>
      </c>
      <c r="G125" s="217">
        <v>150</v>
      </c>
      <c r="H125" s="217">
        <v>22.4</v>
      </c>
      <c r="I125" s="217">
        <v>6.96</v>
      </c>
      <c r="J125" s="234">
        <v>2.0099999999999998</v>
      </c>
    </row>
    <row r="126" spans="1:10" x14ac:dyDescent="0.2">
      <c r="A126" s="233" t="s">
        <v>264</v>
      </c>
      <c r="B126" s="217">
        <v>25.3</v>
      </c>
      <c r="C126" s="217">
        <f t="shared" si="3"/>
        <v>0.253</v>
      </c>
      <c r="D126" s="217">
        <v>32.200000000000003</v>
      </c>
      <c r="E126" s="218">
        <v>1911</v>
      </c>
      <c r="F126" s="217">
        <v>148</v>
      </c>
      <c r="G126" s="217">
        <v>191</v>
      </c>
      <c r="H126" s="217">
        <v>26.9</v>
      </c>
      <c r="I126" s="217">
        <v>7.71</v>
      </c>
      <c r="J126" s="234">
        <v>2.14</v>
      </c>
    </row>
    <row r="127" spans="1:10" x14ac:dyDescent="0.2">
      <c r="A127" s="233" t="s">
        <v>265</v>
      </c>
      <c r="B127" s="217">
        <v>29.4</v>
      </c>
      <c r="C127" s="217">
        <f t="shared" si="3"/>
        <v>0.29399999999999998</v>
      </c>
      <c r="D127" s="217">
        <v>37.4</v>
      </c>
      <c r="E127" s="218">
        <v>2691</v>
      </c>
      <c r="F127" s="217">
        <v>196</v>
      </c>
      <c r="G127" s="217">
        <v>245</v>
      </c>
      <c r="H127" s="217">
        <v>33.5</v>
      </c>
      <c r="I127" s="217">
        <v>8.48</v>
      </c>
      <c r="J127" s="234">
        <v>2.29</v>
      </c>
    </row>
    <row r="128" spans="1:10" x14ac:dyDescent="0.2">
      <c r="A128" s="233" t="s">
        <v>266</v>
      </c>
      <c r="B128" s="217">
        <v>33.200000000000003</v>
      </c>
      <c r="C128" s="217">
        <f t="shared" si="3"/>
        <v>0.33200000000000002</v>
      </c>
      <c r="D128" s="217">
        <v>42.3</v>
      </c>
      <c r="E128" s="218">
        <v>3599</v>
      </c>
      <c r="F128" s="217">
        <v>247</v>
      </c>
      <c r="G128" s="217">
        <v>300</v>
      </c>
      <c r="H128" s="217">
        <v>39.5</v>
      </c>
      <c r="I128" s="217">
        <v>9.2200000000000006</v>
      </c>
      <c r="J128" s="234">
        <v>4.42</v>
      </c>
    </row>
    <row r="129" spans="1:10" x14ac:dyDescent="0.2">
      <c r="A129" s="233" t="s">
        <v>267</v>
      </c>
      <c r="B129" s="217">
        <v>37.9</v>
      </c>
      <c r="C129" s="217">
        <f t="shared" si="3"/>
        <v>0.379</v>
      </c>
      <c r="D129" s="217">
        <v>48.3</v>
      </c>
      <c r="E129" s="218">
        <v>4824</v>
      </c>
      <c r="F129" s="217">
        <v>317</v>
      </c>
      <c r="G129" s="217">
        <v>371</v>
      </c>
      <c r="H129" s="217">
        <v>47.8</v>
      </c>
      <c r="I129" s="217">
        <v>10</v>
      </c>
      <c r="J129" s="234">
        <v>2.56</v>
      </c>
    </row>
    <row r="130" spans="1:10" x14ac:dyDescent="0.2">
      <c r="A130" s="233" t="s">
        <v>268</v>
      </c>
      <c r="B130" s="217">
        <v>41.9</v>
      </c>
      <c r="C130" s="217">
        <f>B130/100</f>
        <v>0.41899999999999998</v>
      </c>
      <c r="D130" s="217">
        <v>53.4</v>
      </c>
      <c r="E130" s="218">
        <v>6276</v>
      </c>
      <c r="F130" s="217">
        <v>398</v>
      </c>
      <c r="G130" s="217">
        <v>448</v>
      </c>
      <c r="H130" s="217">
        <v>57.2</v>
      </c>
      <c r="I130" s="217">
        <v>10.8</v>
      </c>
      <c r="J130" s="234">
        <v>2.73</v>
      </c>
    </row>
    <row r="131" spans="1:10" x14ac:dyDescent="0.2">
      <c r="A131" s="233" t="s">
        <v>269</v>
      </c>
      <c r="B131" s="217">
        <v>46.1</v>
      </c>
      <c r="C131" s="217">
        <f>B131/100</f>
        <v>0.46100000000000002</v>
      </c>
      <c r="D131" s="217">
        <v>58.8</v>
      </c>
      <c r="E131" s="218">
        <v>8028</v>
      </c>
      <c r="F131" s="217">
        <v>493</v>
      </c>
      <c r="G131" s="217">
        <v>535</v>
      </c>
      <c r="H131" s="217">
        <v>67.599999999999994</v>
      </c>
      <c r="I131" s="217">
        <v>11.7</v>
      </c>
      <c r="J131" s="234">
        <v>2.9</v>
      </c>
    </row>
    <row r="132" spans="1:10" x14ac:dyDescent="0.2">
      <c r="A132" s="233" t="s">
        <v>270</v>
      </c>
      <c r="B132" s="217">
        <v>1.1299999999999999</v>
      </c>
      <c r="C132" s="217">
        <f t="shared" ref="C132:C156" si="4">B132/100</f>
        <v>1.1299999999999999E-2</v>
      </c>
      <c r="D132" s="217">
        <v>1.44</v>
      </c>
      <c r="E132" s="217">
        <v>0.503</v>
      </c>
      <c r="F132" s="217">
        <v>0.27500000000000002</v>
      </c>
      <c r="G132" s="217">
        <v>0.371</v>
      </c>
      <c r="H132" s="217">
        <v>0.27500000000000002</v>
      </c>
      <c r="I132" s="217">
        <v>0.59099999999999997</v>
      </c>
      <c r="J132" s="234">
        <v>0.437</v>
      </c>
    </row>
    <row r="133" spans="1:10" x14ac:dyDescent="0.2">
      <c r="A133" s="233" t="s">
        <v>271</v>
      </c>
      <c r="B133" s="217">
        <v>1.61</v>
      </c>
      <c r="C133" s="217">
        <f t="shared" si="4"/>
        <v>1.61E-2</v>
      </c>
      <c r="D133" s="217">
        <v>2.0499999999999998</v>
      </c>
      <c r="E133" s="217">
        <v>1.1299999999999999</v>
      </c>
      <c r="F133" s="217">
        <v>0.60099999999999998</v>
      </c>
      <c r="G133" s="217">
        <v>0.66200000000000003</v>
      </c>
      <c r="H133" s="217">
        <v>0.48099999999999998</v>
      </c>
      <c r="I133" s="217">
        <v>0.74399999999999999</v>
      </c>
      <c r="J133" s="234">
        <v>0.54200000000000004</v>
      </c>
    </row>
    <row r="134" spans="1:10" x14ac:dyDescent="0.2">
      <c r="A134" s="233" t="s">
        <v>272</v>
      </c>
      <c r="B134" s="217">
        <v>2.16</v>
      </c>
      <c r="C134" s="217">
        <f t="shared" si="4"/>
        <v>2.1600000000000001E-2</v>
      </c>
      <c r="D134" s="217">
        <v>2.75</v>
      </c>
      <c r="E134" s="217">
        <v>2.2200000000000002</v>
      </c>
      <c r="F134" s="217">
        <v>1.1499999999999999</v>
      </c>
      <c r="G134" s="217">
        <v>1.07</v>
      </c>
      <c r="H134" s="217">
        <v>0.76700000000000002</v>
      </c>
      <c r="I134" s="217">
        <v>0.89700000000000002</v>
      </c>
      <c r="J134" s="234">
        <v>0.64700000000000002</v>
      </c>
    </row>
    <row r="135" spans="1:10" x14ac:dyDescent="0.2">
      <c r="A135" s="233" t="s">
        <v>273</v>
      </c>
      <c r="B135" s="217">
        <v>2.78</v>
      </c>
      <c r="C135" s="217">
        <f t="shared" si="4"/>
        <v>2.7799999999999998E-2</v>
      </c>
      <c r="D135" s="217">
        <v>3.55</v>
      </c>
      <c r="E135" s="217">
        <v>3.92</v>
      </c>
      <c r="F135" s="217">
        <v>2.0099999999999998</v>
      </c>
      <c r="G135" s="217">
        <v>1.62</v>
      </c>
      <c r="H135" s="217">
        <v>1.1499999999999999</v>
      </c>
      <c r="I135" s="217">
        <v>1.05</v>
      </c>
      <c r="J135" s="234">
        <v>0.752</v>
      </c>
    </row>
    <row r="136" spans="1:10" x14ac:dyDescent="0.2">
      <c r="A136" s="233" t="s">
        <v>274</v>
      </c>
      <c r="B136" s="217">
        <v>3.49</v>
      </c>
      <c r="C136" s="217">
        <f t="shared" si="4"/>
        <v>3.49E-2</v>
      </c>
      <c r="D136" s="217">
        <v>4.4400000000000004</v>
      </c>
      <c r="E136" s="217">
        <v>6.45</v>
      </c>
      <c r="F136" s="217">
        <v>3.26</v>
      </c>
      <c r="G136" s="217">
        <v>2.3199999999999998</v>
      </c>
      <c r="H136" s="217">
        <v>1.63</v>
      </c>
      <c r="I136" s="217">
        <v>1.21</v>
      </c>
      <c r="J136" s="234">
        <v>0.85699999999999998</v>
      </c>
    </row>
    <row r="137" spans="1:10" x14ac:dyDescent="0.2">
      <c r="A137" s="233" t="s">
        <v>275</v>
      </c>
      <c r="B137" s="217">
        <v>4.26</v>
      </c>
      <c r="C137" s="217">
        <f t="shared" si="4"/>
        <v>4.2599999999999999E-2</v>
      </c>
      <c r="D137" s="217">
        <v>5.43</v>
      </c>
      <c r="E137" s="217">
        <v>10</v>
      </c>
      <c r="F137" s="217">
        <v>5.0199999999999996</v>
      </c>
      <c r="G137" s="217">
        <v>3.2</v>
      </c>
      <c r="H137" s="217">
        <v>2.23</v>
      </c>
      <c r="I137" s="217">
        <v>1.36</v>
      </c>
      <c r="J137" s="234">
        <v>0.96199999999999997</v>
      </c>
    </row>
    <row r="138" spans="1:10" x14ac:dyDescent="0.2">
      <c r="A138" s="233" t="s">
        <v>276</v>
      </c>
      <c r="B138" s="217">
        <v>5.1100000000000003</v>
      </c>
      <c r="C138" s="217">
        <f t="shared" si="4"/>
        <v>5.1100000000000007E-2</v>
      </c>
      <c r="D138" s="217">
        <v>6.51</v>
      </c>
      <c r="E138" s="217">
        <v>14.9</v>
      </c>
      <c r="F138" s="217">
        <v>7.41</v>
      </c>
      <c r="G138" s="217">
        <v>4.26</v>
      </c>
      <c r="H138" s="217">
        <v>2.97</v>
      </c>
      <c r="I138" s="217">
        <v>1.51</v>
      </c>
      <c r="J138" s="234">
        <v>1.07</v>
      </c>
    </row>
    <row r="139" spans="1:10" x14ac:dyDescent="0.2">
      <c r="A139" s="233" t="s">
        <v>277</v>
      </c>
      <c r="B139" s="217">
        <v>7.03</v>
      </c>
      <c r="C139" s="217">
        <f t="shared" si="4"/>
        <v>7.0300000000000001E-2</v>
      </c>
      <c r="D139" s="217">
        <v>8.9600000000000009</v>
      </c>
      <c r="E139" s="217">
        <v>29.7</v>
      </c>
      <c r="F139" s="217">
        <v>14.6</v>
      </c>
      <c r="G139" s="217">
        <v>7.06</v>
      </c>
      <c r="H139" s="217">
        <v>4.87</v>
      </c>
      <c r="I139" s="217">
        <v>1.82</v>
      </c>
      <c r="J139" s="234">
        <v>1.28</v>
      </c>
    </row>
    <row r="140" spans="1:10" x14ac:dyDescent="0.2">
      <c r="A140" s="233" t="s">
        <v>278</v>
      </c>
      <c r="B140" s="217">
        <v>9.26</v>
      </c>
      <c r="C140" s="217">
        <f t="shared" si="4"/>
        <v>9.2600000000000002E-2</v>
      </c>
      <c r="D140" s="217">
        <v>11.8</v>
      </c>
      <c r="E140" s="217">
        <v>53.4</v>
      </c>
      <c r="F140" s="217">
        <v>26.1</v>
      </c>
      <c r="G140" s="217">
        <v>10.9</v>
      </c>
      <c r="H140" s="217">
        <v>7.46</v>
      </c>
      <c r="I140" s="217">
        <v>2.13</v>
      </c>
      <c r="J140" s="234">
        <v>1.49</v>
      </c>
    </row>
    <row r="141" spans="1:10" x14ac:dyDescent="0.2">
      <c r="A141" s="233" t="s">
        <v>279</v>
      </c>
      <c r="B141" s="217">
        <v>11.9</v>
      </c>
      <c r="C141" s="217">
        <f t="shared" si="4"/>
        <v>0.11900000000000001</v>
      </c>
      <c r="D141" s="217">
        <v>15</v>
      </c>
      <c r="E141" s="217">
        <v>89</v>
      </c>
      <c r="F141" s="217">
        <v>43.2</v>
      </c>
      <c r="G141" s="217">
        <v>15.8</v>
      </c>
      <c r="H141" s="217">
        <v>10.8</v>
      </c>
      <c r="I141" s="217">
        <v>2.44</v>
      </c>
      <c r="J141" s="234">
        <v>1.7</v>
      </c>
    </row>
    <row r="142" spans="1:10" x14ac:dyDescent="0.2">
      <c r="A142" s="233" t="s">
        <v>280</v>
      </c>
      <c r="B142" s="217">
        <v>16.3</v>
      </c>
      <c r="C142" s="217">
        <f t="shared" si="4"/>
        <v>0.16300000000000001</v>
      </c>
      <c r="D142" s="217">
        <v>20.8</v>
      </c>
      <c r="E142" s="217">
        <v>195</v>
      </c>
      <c r="F142" s="217">
        <v>92.7</v>
      </c>
      <c r="G142" s="217">
        <v>27.5</v>
      </c>
      <c r="H142" s="217">
        <v>18.5</v>
      </c>
      <c r="I142" s="217">
        <v>3.06</v>
      </c>
      <c r="J142" s="234">
        <v>2.11</v>
      </c>
    </row>
    <row r="143" spans="1:10" x14ac:dyDescent="0.2">
      <c r="A143" s="233" t="s">
        <v>281</v>
      </c>
      <c r="B143" s="217">
        <v>0.49399999999999999</v>
      </c>
      <c r="C143" s="217">
        <f t="shared" si="4"/>
        <v>4.9399999999999999E-3</v>
      </c>
      <c r="D143" s="217">
        <v>0.63</v>
      </c>
      <c r="E143" s="217">
        <v>0.11799999999999999</v>
      </c>
      <c r="F143" s="217">
        <v>0.11799999999999999</v>
      </c>
      <c r="G143" s="217">
        <v>0.19700000000000001</v>
      </c>
      <c r="H143" s="217">
        <v>0.19700000000000001</v>
      </c>
      <c r="I143" s="217">
        <v>0.433</v>
      </c>
      <c r="J143" s="234">
        <v>0.433</v>
      </c>
    </row>
    <row r="144" spans="1:10" x14ac:dyDescent="0.2">
      <c r="A144" s="236" t="s">
        <v>282</v>
      </c>
      <c r="B144" s="222">
        <v>0.63600000000000001</v>
      </c>
      <c r="C144" s="217">
        <f t="shared" si="4"/>
        <v>6.3600000000000002E-3</v>
      </c>
      <c r="D144" s="222">
        <v>0.81</v>
      </c>
      <c r="E144" s="222">
        <v>0.249</v>
      </c>
      <c r="F144" s="222">
        <v>0.249</v>
      </c>
      <c r="G144" s="222">
        <v>0.33200000000000002</v>
      </c>
      <c r="H144" s="222">
        <v>0.33200000000000002</v>
      </c>
      <c r="I144" s="222">
        <v>0.55400000000000005</v>
      </c>
      <c r="J144" s="237">
        <v>0.55400000000000005</v>
      </c>
    </row>
    <row r="145" spans="1:10" x14ac:dyDescent="0.2">
      <c r="A145" s="238" t="s">
        <v>283</v>
      </c>
      <c r="B145" s="217">
        <v>0.871</v>
      </c>
      <c r="C145" s="217">
        <f t="shared" si="4"/>
        <v>8.7100000000000007E-3</v>
      </c>
      <c r="D145" s="217">
        <v>1.1100000000000001</v>
      </c>
      <c r="E145" s="217">
        <v>0.63700000000000001</v>
      </c>
      <c r="F145" s="217">
        <v>0.63700000000000001</v>
      </c>
      <c r="G145" s="217">
        <v>0.63700000000000001</v>
      </c>
      <c r="H145" s="217">
        <v>0.63700000000000001</v>
      </c>
      <c r="I145" s="217">
        <v>0.75800000000000001</v>
      </c>
      <c r="J145" s="234">
        <v>0.75800000000000001</v>
      </c>
    </row>
    <row r="146" spans="1:10" x14ac:dyDescent="0.2">
      <c r="A146" s="238" t="s">
        <v>284</v>
      </c>
      <c r="B146" s="217">
        <v>1.1299999999999999</v>
      </c>
      <c r="C146" s="217">
        <f t="shared" si="4"/>
        <v>1.1299999999999999E-2</v>
      </c>
      <c r="D146" s="217">
        <v>1.1399999999999999</v>
      </c>
      <c r="E146" s="221">
        <v>0.78700000000000003</v>
      </c>
      <c r="F146" s="221">
        <v>0.78700000000000003</v>
      </c>
      <c r="G146" s="221">
        <v>0.78700000000000003</v>
      </c>
      <c r="H146" s="221">
        <v>0.78700000000000003</v>
      </c>
      <c r="I146" s="217">
        <v>0.73899999999999999</v>
      </c>
      <c r="J146" s="234">
        <v>0.73899999999999999</v>
      </c>
    </row>
    <row r="147" spans="1:10" x14ac:dyDescent="0.2">
      <c r="A147" s="239" t="s">
        <v>285</v>
      </c>
      <c r="B147" s="222">
        <v>1.1599999999999999</v>
      </c>
      <c r="C147" s="217">
        <f t="shared" si="4"/>
        <v>1.1599999999999999E-2</v>
      </c>
      <c r="D147" s="222">
        <v>1.41</v>
      </c>
      <c r="E147" s="222">
        <v>1.3</v>
      </c>
      <c r="F147" s="222">
        <v>1.3</v>
      </c>
      <c r="G147" s="222">
        <v>1.04</v>
      </c>
      <c r="H147" s="222">
        <v>1.04</v>
      </c>
      <c r="I147" s="222">
        <v>0.96</v>
      </c>
      <c r="J147" s="237">
        <v>0.96</v>
      </c>
    </row>
    <row r="148" spans="1:10" x14ac:dyDescent="0.2">
      <c r="A148" s="239" t="s">
        <v>286</v>
      </c>
      <c r="B148" s="222">
        <v>1.53</v>
      </c>
      <c r="C148" s="217">
        <f t="shared" si="4"/>
        <v>1.5300000000000001E-2</v>
      </c>
      <c r="D148" s="222">
        <v>1.84</v>
      </c>
      <c r="E148" s="222">
        <v>1.63</v>
      </c>
      <c r="F148" s="222">
        <v>1.63</v>
      </c>
      <c r="G148" s="222">
        <v>1.31</v>
      </c>
      <c r="H148" s="222">
        <v>1.31</v>
      </c>
      <c r="I148" s="222">
        <v>0.94099999999999995</v>
      </c>
      <c r="J148" s="237">
        <v>0.94099999999999995</v>
      </c>
    </row>
    <row r="149" spans="1:10" x14ac:dyDescent="0.2">
      <c r="A149" s="238" t="s">
        <v>287</v>
      </c>
      <c r="B149" s="217">
        <v>1.39</v>
      </c>
      <c r="C149" s="217">
        <f t="shared" si="4"/>
        <v>1.3899999999999999E-2</v>
      </c>
      <c r="D149" s="217">
        <v>1.72</v>
      </c>
      <c r="E149" s="217">
        <v>2.3199999999999998</v>
      </c>
      <c r="F149" s="217">
        <v>2.3199999999999998</v>
      </c>
      <c r="G149" s="217">
        <v>1.54</v>
      </c>
      <c r="H149" s="217">
        <v>1.54</v>
      </c>
      <c r="I149" s="217">
        <v>1.17</v>
      </c>
      <c r="J149" s="234">
        <v>1.17</v>
      </c>
    </row>
    <row r="150" spans="1:10" x14ac:dyDescent="0.2">
      <c r="A150" s="238" t="s">
        <v>288</v>
      </c>
      <c r="B150" s="217">
        <v>1.82</v>
      </c>
      <c r="C150" s="217">
        <f t="shared" si="4"/>
        <v>1.8200000000000001E-2</v>
      </c>
      <c r="D150" s="217">
        <v>2.3199999999999998</v>
      </c>
      <c r="E150" s="217">
        <v>2.94</v>
      </c>
      <c r="F150" s="217">
        <v>2.94</v>
      </c>
      <c r="G150" s="217">
        <v>1.96</v>
      </c>
      <c r="H150" s="217">
        <v>1.96</v>
      </c>
      <c r="I150" s="217">
        <v>1.1499999999999999</v>
      </c>
      <c r="J150" s="234">
        <v>1.1499999999999999</v>
      </c>
    </row>
    <row r="151" spans="1:10" x14ac:dyDescent="0.2">
      <c r="A151" s="238" t="s">
        <v>289</v>
      </c>
      <c r="B151" s="217">
        <v>2.54</v>
      </c>
      <c r="C151" s="217">
        <f t="shared" si="4"/>
        <v>2.5399999999999999E-2</v>
      </c>
      <c r="D151" s="217">
        <v>3.24</v>
      </c>
      <c r="E151" s="217">
        <v>3.99</v>
      </c>
      <c r="F151" s="217">
        <v>3.99</v>
      </c>
      <c r="G151" s="217">
        <v>2.66</v>
      </c>
      <c r="H151" s="217">
        <v>2.66</v>
      </c>
      <c r="I151" s="217">
        <v>1.1100000000000001</v>
      </c>
      <c r="J151" s="234">
        <v>1.1100000000000001</v>
      </c>
    </row>
    <row r="152" spans="1:10" x14ac:dyDescent="0.2">
      <c r="A152" s="239" t="s">
        <v>290</v>
      </c>
      <c r="B152" s="222">
        <v>2.15</v>
      </c>
      <c r="C152" s="217">
        <f t="shared" si="4"/>
        <v>2.1499999999999998E-2</v>
      </c>
      <c r="D152" s="222">
        <v>2.7</v>
      </c>
      <c r="E152" s="222">
        <v>4.8099999999999996</v>
      </c>
      <c r="F152" s="222">
        <v>4.8099999999999996</v>
      </c>
      <c r="G152" s="222">
        <v>2.75</v>
      </c>
      <c r="H152" s="222">
        <v>2.75</v>
      </c>
      <c r="I152" s="222">
        <v>1.35</v>
      </c>
      <c r="J152" s="237">
        <v>1.35</v>
      </c>
    </row>
    <row r="153" spans="1:10" x14ac:dyDescent="0.2">
      <c r="A153" s="239" t="s">
        <v>291</v>
      </c>
      <c r="B153" s="222">
        <v>3.02</v>
      </c>
      <c r="C153" s="217">
        <f t="shared" si="4"/>
        <v>3.0200000000000001E-2</v>
      </c>
      <c r="D153" s="222">
        <v>3.84</v>
      </c>
      <c r="E153" s="222">
        <v>6.61</v>
      </c>
      <c r="F153" s="222">
        <v>6.61</v>
      </c>
      <c r="G153" s="222">
        <v>3.78</v>
      </c>
      <c r="H153" s="222">
        <v>3.78</v>
      </c>
      <c r="I153" s="222">
        <v>1.31</v>
      </c>
      <c r="J153" s="237">
        <v>1.31</v>
      </c>
    </row>
    <row r="154" spans="1:10" x14ac:dyDescent="0.2">
      <c r="A154" s="238" t="s">
        <v>292</v>
      </c>
      <c r="B154" s="217">
        <v>2.42</v>
      </c>
      <c r="C154" s="217">
        <f t="shared" si="4"/>
        <v>2.4199999999999999E-2</v>
      </c>
      <c r="D154" s="217">
        <v>3.08</v>
      </c>
      <c r="E154" s="217">
        <v>7.33</v>
      </c>
      <c r="F154" s="217">
        <v>7.33</v>
      </c>
      <c r="G154" s="217">
        <v>3.67</v>
      </c>
      <c r="H154" s="217">
        <v>3.67</v>
      </c>
      <c r="I154" s="217">
        <v>1.55</v>
      </c>
      <c r="J154" s="234">
        <v>1.55</v>
      </c>
    </row>
    <row r="155" spans="1:10" x14ac:dyDescent="0.2">
      <c r="A155" s="238" t="s">
        <v>293</v>
      </c>
      <c r="B155" s="217">
        <v>3.5</v>
      </c>
      <c r="C155" s="217">
        <f t="shared" si="4"/>
        <v>3.5000000000000003E-2</v>
      </c>
      <c r="D155" s="217">
        <v>4.4400000000000004</v>
      </c>
      <c r="E155" s="217">
        <v>10</v>
      </c>
      <c r="F155" s="217">
        <v>10</v>
      </c>
      <c r="G155" s="217">
        <v>5.0999999999999996</v>
      </c>
      <c r="H155" s="217">
        <v>5.0999999999999996</v>
      </c>
      <c r="I155" s="217">
        <v>1.51</v>
      </c>
      <c r="J155" s="234">
        <v>1.51</v>
      </c>
    </row>
    <row r="156" spans="1:10" x14ac:dyDescent="0.2">
      <c r="A156" s="239" t="s">
        <v>294</v>
      </c>
      <c r="B156" s="222">
        <v>3.03</v>
      </c>
      <c r="C156" s="217">
        <f t="shared" si="4"/>
        <v>3.0299999999999997E-2</v>
      </c>
      <c r="D156" s="222">
        <v>3.86</v>
      </c>
      <c r="E156" s="222">
        <v>14.8</v>
      </c>
      <c r="F156" s="222">
        <v>14.8</v>
      </c>
      <c r="G156" s="222">
        <v>5.91</v>
      </c>
      <c r="H156" s="222">
        <v>5.91</v>
      </c>
      <c r="I156" s="222">
        <v>1.96</v>
      </c>
      <c r="J156" s="237">
        <v>1.96</v>
      </c>
    </row>
    <row r="157" spans="1:10" x14ac:dyDescent="0.2">
      <c r="A157" s="239" t="s">
        <v>295</v>
      </c>
      <c r="B157" s="222">
        <v>4.4800000000000004</v>
      </c>
      <c r="C157" s="217">
        <f>B157/100</f>
        <v>4.4800000000000006E-2</v>
      </c>
      <c r="D157" s="222">
        <v>5.64</v>
      </c>
      <c r="E157" s="222">
        <v>20.8</v>
      </c>
      <c r="F157" s="222">
        <v>20.8</v>
      </c>
      <c r="G157" s="222">
        <v>8.34</v>
      </c>
      <c r="H157" s="222">
        <v>8.34</v>
      </c>
      <c r="I157" s="222">
        <v>1.92</v>
      </c>
      <c r="J157" s="237">
        <v>1.92</v>
      </c>
    </row>
    <row r="158" spans="1:10" x14ac:dyDescent="0.2">
      <c r="A158" s="238" t="s">
        <v>296</v>
      </c>
      <c r="B158" s="217">
        <v>3.65</v>
      </c>
      <c r="C158" s="217">
        <f>B158/100</f>
        <v>3.6499999999999998E-2</v>
      </c>
      <c r="D158" s="217">
        <v>4.6500000000000004</v>
      </c>
      <c r="E158" s="217">
        <v>26</v>
      </c>
      <c r="F158" s="217">
        <v>26</v>
      </c>
      <c r="G158" s="217">
        <v>8.68</v>
      </c>
      <c r="H158" s="217">
        <v>8.68</v>
      </c>
      <c r="I158" s="217">
        <v>2.37</v>
      </c>
      <c r="J158" s="234">
        <v>2.37</v>
      </c>
    </row>
    <row r="159" spans="1:10" x14ac:dyDescent="0.2">
      <c r="A159" s="238" t="s">
        <v>297</v>
      </c>
      <c r="B159" s="217">
        <v>5.4</v>
      </c>
      <c r="C159" s="217">
        <f t="shared" ref="C159:C181" si="5">B159/100</f>
        <v>5.4000000000000006E-2</v>
      </c>
      <c r="D159" s="217">
        <v>6.88</v>
      </c>
      <c r="E159" s="217">
        <v>37.1</v>
      </c>
      <c r="F159" s="217">
        <v>37.1</v>
      </c>
      <c r="G159" s="217">
        <v>12.4</v>
      </c>
      <c r="H159" s="217">
        <v>12.4</v>
      </c>
      <c r="I159" s="217">
        <v>2.33</v>
      </c>
      <c r="J159" s="234">
        <v>2.33</v>
      </c>
    </row>
    <row r="160" spans="1:10" x14ac:dyDescent="0.2">
      <c r="A160" s="239" t="s">
        <v>298</v>
      </c>
      <c r="B160" s="222">
        <v>4.93</v>
      </c>
      <c r="C160" s="217">
        <f t="shared" si="5"/>
        <v>4.9299999999999997E-2</v>
      </c>
      <c r="D160" s="222">
        <v>6.28</v>
      </c>
      <c r="E160" s="222">
        <v>63.3</v>
      </c>
      <c r="F160" s="222">
        <v>63.3</v>
      </c>
      <c r="G160" s="222">
        <v>15.8</v>
      </c>
      <c r="H160" s="222">
        <v>15.8</v>
      </c>
      <c r="I160" s="222">
        <v>3.19</v>
      </c>
      <c r="J160" s="237">
        <v>3.19</v>
      </c>
    </row>
    <row r="161" spans="1:10" x14ac:dyDescent="0.2">
      <c r="A161" s="239" t="s">
        <v>299</v>
      </c>
      <c r="B161" s="222">
        <v>7.32</v>
      </c>
      <c r="C161" s="217">
        <f t="shared" si="5"/>
        <v>7.3200000000000001E-2</v>
      </c>
      <c r="D161" s="222">
        <v>9.33</v>
      </c>
      <c r="E161" s="222">
        <v>91.4</v>
      </c>
      <c r="F161" s="222">
        <v>91.4</v>
      </c>
      <c r="G161" s="222">
        <v>22.9</v>
      </c>
      <c r="H161" s="222">
        <v>22.9</v>
      </c>
      <c r="I161" s="222">
        <v>3.15</v>
      </c>
      <c r="J161" s="237">
        <v>3.15</v>
      </c>
    </row>
    <row r="162" spans="1:10" x14ac:dyDescent="0.2">
      <c r="A162" s="239" t="s">
        <v>300</v>
      </c>
      <c r="B162" s="222">
        <v>9.67</v>
      </c>
      <c r="C162" s="217">
        <f t="shared" si="5"/>
        <v>9.6699999999999994E-2</v>
      </c>
      <c r="D162" s="222">
        <v>12.2</v>
      </c>
      <c r="E162" s="222">
        <v>117</v>
      </c>
      <c r="F162" s="222">
        <v>117</v>
      </c>
      <c r="G162" s="222">
        <v>29.3</v>
      </c>
      <c r="H162" s="222">
        <v>29.3</v>
      </c>
      <c r="I162" s="222">
        <v>3.1</v>
      </c>
      <c r="J162" s="237">
        <v>3.1</v>
      </c>
    </row>
    <row r="163" spans="1:10" x14ac:dyDescent="0.2">
      <c r="A163" s="238" t="s">
        <v>301</v>
      </c>
      <c r="B163" s="217">
        <v>9.1</v>
      </c>
      <c r="C163" s="217">
        <f t="shared" si="5"/>
        <v>9.0999999999999998E-2</v>
      </c>
      <c r="D163" s="217">
        <v>11.6</v>
      </c>
      <c r="E163" s="217">
        <v>183</v>
      </c>
      <c r="F163" s="217">
        <v>183</v>
      </c>
      <c r="G163" s="217">
        <v>36.6</v>
      </c>
      <c r="H163" s="217">
        <v>36.6</v>
      </c>
      <c r="I163" s="217">
        <v>3.97</v>
      </c>
      <c r="J163" s="234">
        <v>3.97</v>
      </c>
    </row>
    <row r="164" spans="1:10" x14ac:dyDescent="0.2">
      <c r="A164" s="238" t="s">
        <v>302</v>
      </c>
      <c r="B164" s="217">
        <v>12.1</v>
      </c>
      <c r="C164" s="217">
        <f t="shared" si="5"/>
        <v>0.121</v>
      </c>
      <c r="D164" s="217">
        <v>15.4</v>
      </c>
      <c r="E164" s="217">
        <v>236</v>
      </c>
      <c r="F164" s="217">
        <v>236</v>
      </c>
      <c r="G164" s="217">
        <v>47.3</v>
      </c>
      <c r="H164" s="217">
        <v>47.3</v>
      </c>
      <c r="I164" s="217">
        <v>3.92</v>
      </c>
      <c r="J164" s="234">
        <v>3.92</v>
      </c>
    </row>
    <row r="165" spans="1:10" x14ac:dyDescent="0.2">
      <c r="A165" s="239" t="s">
        <v>303</v>
      </c>
      <c r="B165" s="222">
        <v>11</v>
      </c>
      <c r="C165" s="217">
        <f t="shared" si="5"/>
        <v>0.11</v>
      </c>
      <c r="D165" s="222">
        <v>14</v>
      </c>
      <c r="E165" s="222">
        <v>321</v>
      </c>
      <c r="F165" s="222">
        <v>321</v>
      </c>
      <c r="G165" s="222">
        <v>53.5</v>
      </c>
      <c r="H165" s="222">
        <v>53.5</v>
      </c>
      <c r="I165" s="222">
        <v>4.79</v>
      </c>
      <c r="J165" s="237">
        <v>4.79</v>
      </c>
    </row>
    <row r="166" spans="1:10" x14ac:dyDescent="0.2">
      <c r="A166" s="239" t="s">
        <v>304</v>
      </c>
      <c r="B166" s="222">
        <v>14.6</v>
      </c>
      <c r="C166" s="217">
        <f t="shared" si="5"/>
        <v>0.14599999999999999</v>
      </c>
      <c r="D166" s="222">
        <v>18.600000000000001</v>
      </c>
      <c r="E166" s="222">
        <v>417</v>
      </c>
      <c r="F166" s="222">
        <v>417</v>
      </c>
      <c r="G166" s="222">
        <v>69.5</v>
      </c>
      <c r="H166" s="222">
        <v>69.5</v>
      </c>
      <c r="I166" s="222">
        <v>4.7300000000000004</v>
      </c>
      <c r="J166" s="237">
        <v>4.7300000000000004</v>
      </c>
    </row>
    <row r="167" spans="1:10" x14ac:dyDescent="0.2">
      <c r="A167" s="239" t="s">
        <v>305</v>
      </c>
      <c r="B167" s="222">
        <v>18.100000000000001</v>
      </c>
      <c r="C167" s="217">
        <f t="shared" si="5"/>
        <v>0.18100000000000002</v>
      </c>
      <c r="D167" s="222">
        <v>23</v>
      </c>
      <c r="E167" s="222">
        <v>508</v>
      </c>
      <c r="F167" s="222">
        <v>508</v>
      </c>
      <c r="G167" s="222">
        <v>84.7</v>
      </c>
      <c r="H167" s="222">
        <v>84.7</v>
      </c>
      <c r="I167" s="222">
        <v>4.7</v>
      </c>
      <c r="J167" s="237">
        <v>4.7</v>
      </c>
    </row>
    <row r="168" spans="1:10" x14ac:dyDescent="0.2">
      <c r="A168" s="238" t="s">
        <v>306</v>
      </c>
      <c r="B168" s="217">
        <v>14.1</v>
      </c>
      <c r="C168" s="217">
        <f t="shared" si="5"/>
        <v>0.14099999999999999</v>
      </c>
      <c r="D168" s="217">
        <v>17.8</v>
      </c>
      <c r="E168" s="217">
        <v>636</v>
      </c>
      <c r="F168" s="217">
        <v>636</v>
      </c>
      <c r="G168" s="217">
        <v>84.7</v>
      </c>
      <c r="H168" s="217">
        <v>84.7</v>
      </c>
      <c r="I168" s="217">
        <v>6</v>
      </c>
      <c r="J168" s="234">
        <v>6</v>
      </c>
    </row>
    <row r="169" spans="1:10" x14ac:dyDescent="0.2">
      <c r="A169" s="238" t="s">
        <v>307</v>
      </c>
      <c r="B169" s="217">
        <v>18.7</v>
      </c>
      <c r="C169" s="217">
        <f t="shared" si="5"/>
        <v>0.187</v>
      </c>
      <c r="D169" s="217">
        <v>23.6</v>
      </c>
      <c r="E169" s="217">
        <v>831</v>
      </c>
      <c r="F169" s="217">
        <v>831</v>
      </c>
      <c r="G169" s="217">
        <v>111</v>
      </c>
      <c r="H169" s="217">
        <v>111</v>
      </c>
      <c r="I169" s="217">
        <v>5.96</v>
      </c>
      <c r="J169" s="234">
        <v>5.96</v>
      </c>
    </row>
    <row r="170" spans="1:10" x14ac:dyDescent="0.2">
      <c r="A170" s="238" t="s">
        <v>308</v>
      </c>
      <c r="B170" s="217">
        <v>23.3</v>
      </c>
      <c r="C170" s="217">
        <f t="shared" si="5"/>
        <v>0.23300000000000001</v>
      </c>
      <c r="D170" s="217">
        <v>29.4</v>
      </c>
      <c r="E170" s="218">
        <v>1017</v>
      </c>
      <c r="F170" s="218">
        <v>1017</v>
      </c>
      <c r="G170" s="217">
        <v>136</v>
      </c>
      <c r="H170" s="217">
        <v>136</v>
      </c>
      <c r="I170" s="217">
        <v>5.92</v>
      </c>
      <c r="J170" s="234">
        <v>5.92</v>
      </c>
    </row>
    <row r="171" spans="1:10" x14ac:dyDescent="0.2">
      <c r="A171" s="239" t="s">
        <v>309</v>
      </c>
      <c r="B171" s="222">
        <v>18.600000000000001</v>
      </c>
      <c r="C171" s="217">
        <f t="shared" si="5"/>
        <v>0.18600000000000003</v>
      </c>
      <c r="D171" s="222">
        <v>23.6</v>
      </c>
      <c r="E171" s="223">
        <v>1529</v>
      </c>
      <c r="F171" s="223">
        <v>1529</v>
      </c>
      <c r="G171" s="222">
        <v>153</v>
      </c>
      <c r="H171" s="222">
        <v>153</v>
      </c>
      <c r="I171" s="222">
        <v>8.0500000000000007</v>
      </c>
      <c r="J171" s="237">
        <v>8.0500000000000007</v>
      </c>
    </row>
    <row r="172" spans="1:10" x14ac:dyDescent="0.2">
      <c r="A172" s="239" t="s">
        <v>310</v>
      </c>
      <c r="B172" s="222">
        <v>24.6</v>
      </c>
      <c r="C172" s="217">
        <f t="shared" si="5"/>
        <v>0.24600000000000002</v>
      </c>
      <c r="D172" s="222">
        <v>31.4</v>
      </c>
      <c r="E172" s="223">
        <v>2008</v>
      </c>
      <c r="F172" s="223">
        <v>2008</v>
      </c>
      <c r="G172" s="222">
        <v>201</v>
      </c>
      <c r="H172" s="222">
        <v>201</v>
      </c>
      <c r="I172" s="222">
        <v>8</v>
      </c>
      <c r="J172" s="237">
        <v>8</v>
      </c>
    </row>
    <row r="173" spans="1:10" x14ac:dyDescent="0.2">
      <c r="A173" s="239" t="s">
        <v>311</v>
      </c>
      <c r="B173" s="222">
        <v>30.6</v>
      </c>
      <c r="C173" s="217">
        <f t="shared" si="5"/>
        <v>0.30599999999999999</v>
      </c>
      <c r="D173" s="222">
        <v>39</v>
      </c>
      <c r="E173" s="223">
        <v>2473</v>
      </c>
      <c r="F173" s="223">
        <v>2473</v>
      </c>
      <c r="G173" s="222">
        <v>247</v>
      </c>
      <c r="H173" s="222">
        <v>247</v>
      </c>
      <c r="I173" s="222">
        <v>7.96</v>
      </c>
      <c r="J173" s="237">
        <v>7.96</v>
      </c>
    </row>
    <row r="174" spans="1:10" x14ac:dyDescent="0.2">
      <c r="A174" s="238" t="s">
        <v>312</v>
      </c>
      <c r="B174" s="217">
        <v>60.8</v>
      </c>
      <c r="C174" s="217">
        <f t="shared" si="5"/>
        <v>0.60799999999999998</v>
      </c>
      <c r="D174" s="217">
        <v>77.400000000000006</v>
      </c>
      <c r="E174" s="218">
        <v>7567</v>
      </c>
      <c r="F174" s="218">
        <v>7567</v>
      </c>
      <c r="G174" s="217">
        <v>605</v>
      </c>
      <c r="H174" s="217">
        <v>605</v>
      </c>
      <c r="I174" s="217">
        <v>9.89</v>
      </c>
      <c r="J174" s="234">
        <v>9.89</v>
      </c>
    </row>
    <row r="175" spans="1:10" x14ac:dyDescent="0.2">
      <c r="A175" s="238" t="s">
        <v>313</v>
      </c>
      <c r="B175" s="217">
        <v>75.400000000000006</v>
      </c>
      <c r="C175" s="217">
        <f t="shared" si="5"/>
        <v>0.754</v>
      </c>
      <c r="D175" s="217">
        <v>96</v>
      </c>
      <c r="E175" s="218">
        <v>9232</v>
      </c>
      <c r="F175" s="218">
        <v>9232</v>
      </c>
      <c r="G175" s="217">
        <v>739</v>
      </c>
      <c r="H175" s="217">
        <v>739</v>
      </c>
      <c r="I175" s="217">
        <v>9.81</v>
      </c>
      <c r="J175" s="234">
        <v>9.81</v>
      </c>
    </row>
    <row r="176" spans="1:10" x14ac:dyDescent="0.2">
      <c r="A176" s="239" t="s">
        <v>314</v>
      </c>
      <c r="B176" s="222">
        <v>91.1</v>
      </c>
      <c r="C176" s="217">
        <f t="shared" si="5"/>
        <v>0.91099999999999992</v>
      </c>
      <c r="D176" s="222">
        <v>116</v>
      </c>
      <c r="E176" s="223">
        <v>16279</v>
      </c>
      <c r="F176" s="223">
        <v>16279</v>
      </c>
      <c r="G176" s="223">
        <v>1085</v>
      </c>
      <c r="H176" s="223">
        <v>1085</v>
      </c>
      <c r="I176" s="222">
        <v>11.8</v>
      </c>
      <c r="J176" s="237">
        <v>11.8</v>
      </c>
    </row>
    <row r="177" spans="1:10" x14ac:dyDescent="0.2">
      <c r="A177" s="239" t="s">
        <v>315</v>
      </c>
      <c r="B177" s="222">
        <v>143</v>
      </c>
      <c r="C177" s="217">
        <f t="shared" si="5"/>
        <v>1.43</v>
      </c>
      <c r="D177" s="222">
        <v>182</v>
      </c>
      <c r="E177" s="223">
        <v>24511</v>
      </c>
      <c r="F177" s="223">
        <v>24511</v>
      </c>
      <c r="G177" s="223">
        <v>1634</v>
      </c>
      <c r="H177" s="223">
        <v>1634</v>
      </c>
      <c r="I177" s="222">
        <v>11.6</v>
      </c>
      <c r="J177" s="237">
        <v>11.6</v>
      </c>
    </row>
    <row r="178" spans="1:10" x14ac:dyDescent="0.2">
      <c r="A178" s="238" t="s">
        <v>316</v>
      </c>
      <c r="B178" s="217">
        <v>122</v>
      </c>
      <c r="C178" s="217">
        <f t="shared" si="5"/>
        <v>1.22</v>
      </c>
      <c r="D178" s="217">
        <v>156</v>
      </c>
      <c r="E178" s="218">
        <v>39572</v>
      </c>
      <c r="F178" s="218">
        <v>39572</v>
      </c>
      <c r="G178" s="218">
        <v>1979</v>
      </c>
      <c r="H178" s="218">
        <v>1979</v>
      </c>
      <c r="I178" s="217">
        <v>15.9</v>
      </c>
      <c r="J178" s="234">
        <v>15.9</v>
      </c>
    </row>
    <row r="179" spans="1:10" x14ac:dyDescent="0.2">
      <c r="A179" s="238" t="s">
        <v>317</v>
      </c>
      <c r="B179" s="217">
        <v>193</v>
      </c>
      <c r="C179" s="217">
        <f t="shared" si="5"/>
        <v>1.93</v>
      </c>
      <c r="D179" s="217">
        <v>246</v>
      </c>
      <c r="E179" s="218">
        <v>60503</v>
      </c>
      <c r="F179" s="218">
        <v>60503</v>
      </c>
      <c r="G179" s="218">
        <v>3025</v>
      </c>
      <c r="H179" s="218">
        <v>3025</v>
      </c>
      <c r="I179" s="217">
        <v>15.7</v>
      </c>
      <c r="J179" s="234">
        <v>15.7</v>
      </c>
    </row>
    <row r="180" spans="1:10" x14ac:dyDescent="0.2">
      <c r="A180" s="233" t="s">
        <v>318</v>
      </c>
      <c r="B180" s="221">
        <v>0.63600000000000001</v>
      </c>
      <c r="C180" s="217">
        <f t="shared" si="5"/>
        <v>6.3600000000000002E-3</v>
      </c>
      <c r="D180" s="221">
        <v>0.81</v>
      </c>
      <c r="E180" s="221">
        <v>0.38</v>
      </c>
      <c r="F180" s="221">
        <v>0.11799999999999999</v>
      </c>
      <c r="G180" s="221">
        <v>0.38</v>
      </c>
      <c r="H180" s="221">
        <v>0.23599999999999999</v>
      </c>
      <c r="I180" s="221">
        <v>0.68500000000000005</v>
      </c>
      <c r="J180" s="240">
        <v>0.38200000000000001</v>
      </c>
    </row>
    <row r="181" spans="1:10" x14ac:dyDescent="0.2">
      <c r="A181" s="239" t="s">
        <v>319</v>
      </c>
      <c r="B181" s="222">
        <v>0.754</v>
      </c>
      <c r="C181" s="217">
        <f t="shared" si="5"/>
        <v>7.5399999999999998E-3</v>
      </c>
      <c r="D181" s="222">
        <v>0.96</v>
      </c>
      <c r="E181" s="222">
        <v>0.68100000000000005</v>
      </c>
      <c r="F181" s="222">
        <v>0.14499999999999999</v>
      </c>
      <c r="G181" s="222">
        <v>0.54500000000000004</v>
      </c>
      <c r="H181" s="222">
        <v>0.28999999999999998</v>
      </c>
      <c r="I181" s="222">
        <v>0.84199999999999997</v>
      </c>
      <c r="J181" s="237">
        <v>0.38900000000000001</v>
      </c>
    </row>
    <row r="182" spans="1:10" x14ac:dyDescent="0.2">
      <c r="A182" s="239" t="s">
        <v>320</v>
      </c>
      <c r="B182" s="222">
        <v>0.97299999999999998</v>
      </c>
      <c r="C182" s="217">
        <f>B182/100</f>
        <v>9.7299999999999991E-3</v>
      </c>
      <c r="D182" s="222">
        <v>1.24</v>
      </c>
      <c r="E182" s="222">
        <v>0.83899999999999997</v>
      </c>
      <c r="F182" s="222">
        <v>0.17</v>
      </c>
      <c r="G182" s="222">
        <v>0.67100000000000004</v>
      </c>
      <c r="H182" s="222">
        <v>0.34</v>
      </c>
      <c r="I182" s="222">
        <v>0.82299999999999995</v>
      </c>
      <c r="J182" s="237">
        <v>0.37</v>
      </c>
    </row>
    <row r="183" spans="1:10" x14ac:dyDescent="0.2">
      <c r="A183" s="238" t="s">
        <v>321</v>
      </c>
      <c r="B183" s="217">
        <v>0.871</v>
      </c>
      <c r="C183" s="217">
        <f t="shared" ref="C183:C205" si="6">B183/100</f>
        <v>8.7100000000000007E-3</v>
      </c>
      <c r="D183" s="217">
        <v>1.1100000000000001</v>
      </c>
      <c r="E183" s="217">
        <v>1.1000000000000001</v>
      </c>
      <c r="F183" s="217">
        <v>0.17299999999999999</v>
      </c>
      <c r="G183" s="217">
        <v>0.73299999999999998</v>
      </c>
      <c r="H183" s="217">
        <v>0.36399999999999999</v>
      </c>
      <c r="I183" s="217">
        <v>0.995</v>
      </c>
      <c r="J183" s="234">
        <v>0.39500000000000002</v>
      </c>
    </row>
    <row r="184" spans="1:10" x14ac:dyDescent="0.2">
      <c r="A184" s="238" t="s">
        <v>322</v>
      </c>
      <c r="B184" s="217">
        <v>1.1299999999999999</v>
      </c>
      <c r="C184" s="217">
        <f t="shared" si="6"/>
        <v>1.1299999999999999E-2</v>
      </c>
      <c r="D184" s="217">
        <v>1.44</v>
      </c>
      <c r="E184" s="217">
        <v>1.37</v>
      </c>
      <c r="F184" s="217">
        <v>0.20300000000000001</v>
      </c>
      <c r="G184" s="217">
        <v>0.91300000000000003</v>
      </c>
      <c r="H184" s="217">
        <v>0.40600000000000003</v>
      </c>
      <c r="I184" s="217">
        <v>0.97499999999999998</v>
      </c>
      <c r="J184" s="234">
        <v>0.375</v>
      </c>
    </row>
    <row r="185" spans="1:10" x14ac:dyDescent="0.2">
      <c r="A185" s="239" t="s">
        <v>323</v>
      </c>
      <c r="B185" s="222">
        <v>0.98899999999999999</v>
      </c>
      <c r="C185" s="217">
        <f t="shared" si="6"/>
        <v>9.8899999999999995E-3</v>
      </c>
      <c r="D185" s="222">
        <v>1.26</v>
      </c>
      <c r="E185" s="222">
        <v>1.41</v>
      </c>
      <c r="F185" s="222">
        <v>0.45500000000000002</v>
      </c>
      <c r="G185" s="222">
        <v>0.93799999999999994</v>
      </c>
      <c r="H185" s="222">
        <v>0.60699999999999998</v>
      </c>
      <c r="I185" s="222">
        <v>1.06</v>
      </c>
      <c r="J185" s="237">
        <v>0.60099999999999998</v>
      </c>
    </row>
    <row r="186" spans="1:10" x14ac:dyDescent="0.2">
      <c r="A186" s="239" t="s">
        <v>324</v>
      </c>
      <c r="B186" s="222">
        <v>1.29</v>
      </c>
      <c r="C186" s="217">
        <f t="shared" si="6"/>
        <v>1.29E-2</v>
      </c>
      <c r="D186" s="222">
        <v>1.64</v>
      </c>
      <c r="E186" s="222">
        <v>1.76</v>
      </c>
      <c r="F186" s="222">
        <v>0.55600000000000005</v>
      </c>
      <c r="G186" s="222">
        <v>1.17</v>
      </c>
      <c r="H186" s="222">
        <v>0.74099999999999999</v>
      </c>
      <c r="I186" s="222">
        <v>1.04</v>
      </c>
      <c r="J186" s="237">
        <v>0.58199999999999996</v>
      </c>
    </row>
    <row r="187" spans="1:10" x14ac:dyDescent="0.2">
      <c r="A187" s="238" t="s">
        <v>325</v>
      </c>
      <c r="B187" s="217">
        <v>1.1100000000000001</v>
      </c>
      <c r="C187" s="217">
        <f t="shared" si="6"/>
        <v>1.11E-2</v>
      </c>
      <c r="D187" s="217">
        <v>1.41</v>
      </c>
      <c r="E187" s="217">
        <v>1.71</v>
      </c>
      <c r="F187" s="217">
        <v>0.89400000000000002</v>
      </c>
      <c r="G187" s="217">
        <v>1.1399999999999999</v>
      </c>
      <c r="H187" s="217">
        <v>0.89400000000000002</v>
      </c>
      <c r="I187" s="217">
        <v>1.1000000000000001</v>
      </c>
      <c r="J187" s="234">
        <v>0.79600000000000004</v>
      </c>
    </row>
    <row r="188" spans="1:10" x14ac:dyDescent="0.2">
      <c r="A188" s="238" t="s">
        <v>326</v>
      </c>
      <c r="B188" s="217">
        <v>1.44</v>
      </c>
      <c r="C188" s="217">
        <f t="shared" si="6"/>
        <v>1.44E-2</v>
      </c>
      <c r="D188" s="217">
        <v>1.84</v>
      </c>
      <c r="E188" s="217">
        <v>2.16</v>
      </c>
      <c r="F188" s="217">
        <v>1.1100000000000001</v>
      </c>
      <c r="G188" s="217">
        <v>1.44</v>
      </c>
      <c r="H188" s="217">
        <v>1.1100000000000001</v>
      </c>
      <c r="I188" s="217">
        <v>1.08</v>
      </c>
      <c r="J188" s="234">
        <v>0.77800000000000002</v>
      </c>
    </row>
    <row r="189" spans="1:10" x14ac:dyDescent="0.2">
      <c r="A189" s="239" t="s">
        <v>327</v>
      </c>
      <c r="B189" s="222">
        <v>1.76</v>
      </c>
      <c r="C189" s="217">
        <f t="shared" si="6"/>
        <v>1.7600000000000001E-2</v>
      </c>
      <c r="D189" s="222">
        <v>2.2400000000000002</v>
      </c>
      <c r="E189" s="222">
        <v>4.45</v>
      </c>
      <c r="F189" s="222">
        <v>1.44</v>
      </c>
      <c r="G189" s="222">
        <v>2.2200000000000002</v>
      </c>
      <c r="H189" s="222">
        <v>1.44</v>
      </c>
      <c r="I189" s="222">
        <v>1.41</v>
      </c>
      <c r="J189" s="237">
        <v>0.80200000000000005</v>
      </c>
    </row>
    <row r="190" spans="1:10" x14ac:dyDescent="0.2">
      <c r="A190" s="239" t="s">
        <v>328</v>
      </c>
      <c r="B190" s="222">
        <v>2.54</v>
      </c>
      <c r="C190" s="217">
        <f t="shared" si="6"/>
        <v>2.5399999999999999E-2</v>
      </c>
      <c r="D190" s="222">
        <v>3.24</v>
      </c>
      <c r="E190" s="222">
        <v>6.08</v>
      </c>
      <c r="F190" s="222">
        <v>1.89</v>
      </c>
      <c r="G190" s="222">
        <v>3.04</v>
      </c>
      <c r="H190" s="222">
        <v>1.89</v>
      </c>
      <c r="I190" s="222">
        <v>1.37</v>
      </c>
      <c r="J190" s="237">
        <v>0.76400000000000001</v>
      </c>
    </row>
    <row r="191" spans="1:10" x14ac:dyDescent="0.2">
      <c r="A191" s="238" t="s">
        <v>329</v>
      </c>
      <c r="B191" s="217">
        <v>2.0699999999999998</v>
      </c>
      <c r="C191" s="217">
        <f t="shared" si="6"/>
        <v>2.07E-2</v>
      </c>
      <c r="D191" s="217">
        <v>2.64</v>
      </c>
      <c r="E191" s="217">
        <v>5.89</v>
      </c>
      <c r="F191" s="217">
        <v>3.73</v>
      </c>
      <c r="G191" s="217">
        <v>2.94</v>
      </c>
      <c r="H191" s="217">
        <v>2.48</v>
      </c>
      <c r="I191" s="217">
        <v>1.49</v>
      </c>
      <c r="J191" s="234">
        <v>1.19</v>
      </c>
    </row>
    <row r="192" spans="1:10" x14ac:dyDescent="0.2">
      <c r="A192" s="238" t="s">
        <v>330</v>
      </c>
      <c r="B192" s="217">
        <v>3.01</v>
      </c>
      <c r="C192" s="217">
        <f t="shared" si="6"/>
        <v>3.0099999999999998E-2</v>
      </c>
      <c r="D192" s="217">
        <v>3.84</v>
      </c>
      <c r="E192" s="217">
        <v>8.14</v>
      </c>
      <c r="F192" s="217">
        <v>5.08</v>
      </c>
      <c r="G192" s="217">
        <v>4.07</v>
      </c>
      <c r="H192" s="217">
        <v>3.39</v>
      </c>
      <c r="I192" s="217">
        <v>1.45</v>
      </c>
      <c r="J192" s="234">
        <v>1.1499999999999999</v>
      </c>
    </row>
    <row r="193" spans="1:10" x14ac:dyDescent="0.2">
      <c r="A193" s="239" t="s">
        <v>331</v>
      </c>
      <c r="B193" s="222">
        <v>2.0699999999999998</v>
      </c>
      <c r="C193" s="217">
        <f t="shared" si="6"/>
        <v>2.07E-2</v>
      </c>
      <c r="D193" s="222">
        <v>2.64</v>
      </c>
      <c r="E193" s="222">
        <v>7.85</v>
      </c>
      <c r="F193" s="222">
        <v>1.76</v>
      </c>
      <c r="G193" s="222">
        <v>3.14</v>
      </c>
      <c r="H193" s="222">
        <v>1.76</v>
      </c>
      <c r="I193" s="222">
        <v>1.72</v>
      </c>
      <c r="J193" s="237">
        <v>0.81599999999999995</v>
      </c>
    </row>
    <row r="194" spans="1:10" x14ac:dyDescent="0.2">
      <c r="A194" s="239" t="s">
        <v>332</v>
      </c>
      <c r="B194" s="222">
        <v>3.01</v>
      </c>
      <c r="C194" s="217">
        <f t="shared" si="6"/>
        <v>3.0099999999999998E-2</v>
      </c>
      <c r="D194" s="222">
        <v>3.84</v>
      </c>
      <c r="E194" s="222">
        <v>10.9</v>
      </c>
      <c r="F194" s="222">
        <v>2.33</v>
      </c>
      <c r="G194" s="222">
        <v>4.3600000000000003</v>
      </c>
      <c r="H194" s="222">
        <v>2.33</v>
      </c>
      <c r="I194" s="222">
        <v>1.68</v>
      </c>
      <c r="J194" s="237">
        <v>0.77900000000000003</v>
      </c>
    </row>
    <row r="195" spans="1:10" x14ac:dyDescent="0.2">
      <c r="A195" s="238" t="s">
        <v>333</v>
      </c>
      <c r="B195" s="217">
        <v>2.23</v>
      </c>
      <c r="C195" s="217">
        <f t="shared" si="6"/>
        <v>2.23E-2</v>
      </c>
      <c r="D195" s="217">
        <v>2.84</v>
      </c>
      <c r="E195" s="217">
        <v>9.01</v>
      </c>
      <c r="F195" s="217">
        <v>2.96</v>
      </c>
      <c r="G195" s="217">
        <v>3.6</v>
      </c>
      <c r="H195" s="217">
        <v>2.37</v>
      </c>
      <c r="I195" s="217">
        <v>1.78</v>
      </c>
      <c r="J195" s="234">
        <v>1.02</v>
      </c>
    </row>
    <row r="196" spans="1:10" x14ac:dyDescent="0.2">
      <c r="A196" s="238" t="s">
        <v>334</v>
      </c>
      <c r="B196" s="217">
        <v>3.25</v>
      </c>
      <c r="C196" s="217">
        <f t="shared" si="6"/>
        <v>3.2500000000000001E-2</v>
      </c>
      <c r="D196" s="217">
        <v>4.1399999999999997</v>
      </c>
      <c r="E196" s="217">
        <v>12.6</v>
      </c>
      <c r="F196" s="217">
        <v>3.99</v>
      </c>
      <c r="G196" s="217">
        <v>5.0199999999999996</v>
      </c>
      <c r="H196" s="217">
        <v>3.19</v>
      </c>
      <c r="I196" s="217">
        <v>1.74</v>
      </c>
      <c r="J196" s="234">
        <v>0.98199999999999998</v>
      </c>
    </row>
    <row r="197" spans="1:10" x14ac:dyDescent="0.2">
      <c r="A197" s="239" t="s">
        <v>335</v>
      </c>
      <c r="B197" s="222">
        <v>2.39</v>
      </c>
      <c r="C197" s="217">
        <f t="shared" si="6"/>
        <v>2.3900000000000001E-2</v>
      </c>
      <c r="D197" s="222">
        <v>3.04</v>
      </c>
      <c r="E197" s="222">
        <v>10.199999999999999</v>
      </c>
      <c r="F197" s="222">
        <v>4.51</v>
      </c>
      <c r="G197" s="222">
        <v>4.0599999999999996</v>
      </c>
      <c r="H197" s="222">
        <v>3.01</v>
      </c>
      <c r="I197" s="222">
        <v>1.83</v>
      </c>
      <c r="J197" s="237">
        <v>1.22</v>
      </c>
    </row>
    <row r="198" spans="1:10" x14ac:dyDescent="0.2">
      <c r="A198" s="239" t="s">
        <v>336</v>
      </c>
      <c r="B198" s="222">
        <v>3.49</v>
      </c>
      <c r="C198" s="217">
        <f t="shared" si="6"/>
        <v>3.49E-2</v>
      </c>
      <c r="D198" s="222">
        <v>4.4400000000000004</v>
      </c>
      <c r="E198" s="222">
        <v>14.2</v>
      </c>
      <c r="F198" s="222">
        <v>6.18</v>
      </c>
      <c r="G198" s="222">
        <v>5.68</v>
      </c>
      <c r="H198" s="222">
        <v>4.12</v>
      </c>
      <c r="I198" s="222">
        <v>1.79</v>
      </c>
      <c r="J198" s="237">
        <v>1.18</v>
      </c>
    </row>
    <row r="199" spans="1:10" x14ac:dyDescent="0.2">
      <c r="A199" s="238" t="s">
        <v>337</v>
      </c>
      <c r="B199" s="217">
        <v>2.39</v>
      </c>
      <c r="C199" s="217">
        <f t="shared" si="6"/>
        <v>2.3900000000000001E-2</v>
      </c>
      <c r="D199" s="217">
        <v>3.04</v>
      </c>
      <c r="E199" s="217">
        <v>12.6</v>
      </c>
      <c r="F199" s="217">
        <v>2.09</v>
      </c>
      <c r="G199" s="217">
        <v>4.2</v>
      </c>
      <c r="H199" s="217">
        <v>2.09</v>
      </c>
      <c r="I199" s="217">
        <v>2.0299999999999998</v>
      </c>
      <c r="J199" s="234">
        <v>0.82899999999999996</v>
      </c>
    </row>
    <row r="200" spans="1:10" x14ac:dyDescent="0.2">
      <c r="A200" s="238" t="s">
        <v>338</v>
      </c>
      <c r="B200" s="217">
        <v>3.49</v>
      </c>
      <c r="C200" s="217">
        <f t="shared" si="6"/>
        <v>3.49E-2</v>
      </c>
      <c r="D200" s="217">
        <v>4.4400000000000004</v>
      </c>
      <c r="E200" s="217">
        <v>17.600000000000001</v>
      </c>
      <c r="F200" s="217">
        <v>2.76</v>
      </c>
      <c r="G200" s="217">
        <v>5.87</v>
      </c>
      <c r="H200" s="217">
        <v>2.76</v>
      </c>
      <c r="I200" s="217">
        <v>1.99</v>
      </c>
      <c r="J200" s="234">
        <v>0.78800000000000003</v>
      </c>
    </row>
    <row r="201" spans="1:10" x14ac:dyDescent="0.2">
      <c r="A201" s="239" t="s">
        <v>339</v>
      </c>
      <c r="B201" s="222">
        <v>2.7</v>
      </c>
      <c r="C201" s="217">
        <f t="shared" si="6"/>
        <v>2.7000000000000003E-2</v>
      </c>
      <c r="D201" s="222">
        <v>3.44</v>
      </c>
      <c r="E201" s="222">
        <v>16</v>
      </c>
      <c r="F201" s="222">
        <v>5.3</v>
      </c>
      <c r="G201" s="222">
        <v>5.32</v>
      </c>
      <c r="H201" s="222">
        <v>3.53</v>
      </c>
      <c r="I201" s="222">
        <v>2.15</v>
      </c>
      <c r="J201" s="237">
        <v>1.24</v>
      </c>
    </row>
    <row r="202" spans="1:10" x14ac:dyDescent="0.2">
      <c r="A202" s="239" t="s">
        <v>340</v>
      </c>
      <c r="B202" s="222">
        <v>3.96</v>
      </c>
      <c r="C202" s="217">
        <f t="shared" si="6"/>
        <v>3.9599999999999996E-2</v>
      </c>
      <c r="D202" s="222">
        <v>5.04</v>
      </c>
      <c r="E202" s="222">
        <v>22.5</v>
      </c>
      <c r="F202" s="222">
        <v>7.28</v>
      </c>
      <c r="G202" s="222">
        <v>7.5</v>
      </c>
      <c r="H202" s="222">
        <v>4.8499999999999996</v>
      </c>
      <c r="I202" s="222">
        <v>2.11</v>
      </c>
      <c r="J202" s="237">
        <v>1.2</v>
      </c>
    </row>
    <row r="203" spans="1:10" x14ac:dyDescent="0.2">
      <c r="A203" s="238" t="s">
        <v>341</v>
      </c>
      <c r="B203" s="217">
        <v>3.01</v>
      </c>
      <c r="C203" s="217">
        <f t="shared" si="6"/>
        <v>3.0099999999999998E-2</v>
      </c>
      <c r="D203" s="217">
        <v>3.84</v>
      </c>
      <c r="E203" s="217">
        <v>19.3</v>
      </c>
      <c r="F203" s="217">
        <v>10.199999999999999</v>
      </c>
      <c r="G203" s="217">
        <v>6.43</v>
      </c>
      <c r="H203" s="217">
        <v>5.1100000000000003</v>
      </c>
      <c r="I203" s="217">
        <v>2.2400000000000002</v>
      </c>
      <c r="J203" s="234">
        <v>1.63</v>
      </c>
    </row>
    <row r="204" spans="1:10" x14ac:dyDescent="0.2">
      <c r="A204" s="238" t="s">
        <v>342</v>
      </c>
      <c r="B204" s="217">
        <v>4.43</v>
      </c>
      <c r="C204" s="217">
        <f t="shared" si="6"/>
        <v>4.4299999999999999E-2</v>
      </c>
      <c r="D204" s="217">
        <v>5.64</v>
      </c>
      <c r="E204" s="217">
        <v>27.4</v>
      </c>
      <c r="F204" s="217">
        <v>14.3</v>
      </c>
      <c r="G204" s="217">
        <v>9.1199999999999992</v>
      </c>
      <c r="H204" s="217">
        <v>7.15</v>
      </c>
      <c r="I204" s="217">
        <v>2.2000000000000002</v>
      </c>
      <c r="J204" s="234">
        <v>1.59</v>
      </c>
    </row>
    <row r="205" spans="1:10" x14ac:dyDescent="0.2">
      <c r="A205" s="239" t="s">
        <v>343</v>
      </c>
      <c r="B205" s="222">
        <v>3.01</v>
      </c>
      <c r="C205" s="217">
        <f t="shared" si="6"/>
        <v>3.0099999999999998E-2</v>
      </c>
      <c r="D205" s="222">
        <v>3.84</v>
      </c>
      <c r="E205" s="222">
        <v>26.8</v>
      </c>
      <c r="F205" s="222">
        <v>2.74</v>
      </c>
      <c r="G205" s="222">
        <v>6.7</v>
      </c>
      <c r="H205" s="222">
        <v>2.74</v>
      </c>
      <c r="I205" s="222">
        <v>2.64</v>
      </c>
      <c r="J205" s="237">
        <v>0.84499999999999997</v>
      </c>
    </row>
    <row r="206" spans="1:10" x14ac:dyDescent="0.2">
      <c r="A206" s="239" t="s">
        <v>344</v>
      </c>
      <c r="B206" s="222">
        <v>4.43</v>
      </c>
      <c r="C206" s="217">
        <f>B206/100</f>
        <v>4.4299999999999999E-2</v>
      </c>
      <c r="D206" s="222">
        <v>5.64</v>
      </c>
      <c r="E206" s="222">
        <v>38.1</v>
      </c>
      <c r="F206" s="222">
        <v>3.64</v>
      </c>
      <c r="G206" s="222">
        <v>9.51</v>
      </c>
      <c r="H206" s="222">
        <v>3.64</v>
      </c>
      <c r="I206" s="222">
        <v>2.6</v>
      </c>
      <c r="J206" s="237">
        <v>0.80300000000000005</v>
      </c>
    </row>
    <row r="207" spans="1:10" x14ac:dyDescent="0.2">
      <c r="A207" s="238" t="s">
        <v>345</v>
      </c>
      <c r="B207" s="217">
        <v>3.33</v>
      </c>
      <c r="C207" s="217">
        <f t="shared" ref="C207:C231" si="7">B207/100</f>
        <v>3.3300000000000003E-2</v>
      </c>
      <c r="D207" s="217">
        <v>4.24</v>
      </c>
      <c r="E207" s="217">
        <v>32.9</v>
      </c>
      <c r="F207" s="217">
        <v>6.87</v>
      </c>
      <c r="G207" s="217">
        <v>8.2200000000000006</v>
      </c>
      <c r="H207" s="217">
        <v>4.58</v>
      </c>
      <c r="I207" s="217">
        <v>2.79</v>
      </c>
      <c r="J207" s="234">
        <v>1.27</v>
      </c>
    </row>
    <row r="208" spans="1:10" x14ac:dyDescent="0.2">
      <c r="A208" s="238" t="s">
        <v>346</v>
      </c>
      <c r="B208" s="217">
        <v>4.9000000000000004</v>
      </c>
      <c r="C208" s="217">
        <f t="shared" si="7"/>
        <v>4.9000000000000002E-2</v>
      </c>
      <c r="D208" s="217">
        <v>6.24</v>
      </c>
      <c r="E208" s="217">
        <v>47</v>
      </c>
      <c r="F208" s="217">
        <v>9.48</v>
      </c>
      <c r="G208" s="217">
        <v>11.8</v>
      </c>
      <c r="H208" s="217">
        <v>6.32</v>
      </c>
      <c r="I208" s="217">
        <v>2.74</v>
      </c>
      <c r="J208" s="234">
        <v>1.23</v>
      </c>
    </row>
    <row r="209" spans="1:10" x14ac:dyDescent="0.2">
      <c r="A209" s="239" t="s">
        <v>347</v>
      </c>
      <c r="B209" s="222">
        <v>3.64</v>
      </c>
      <c r="C209" s="217">
        <f t="shared" si="7"/>
        <v>3.6400000000000002E-2</v>
      </c>
      <c r="D209" s="222">
        <v>4.6399999999999997</v>
      </c>
      <c r="E209" s="222">
        <v>39</v>
      </c>
      <c r="F209" s="222">
        <v>13</v>
      </c>
      <c r="G209" s="222">
        <v>9.74</v>
      </c>
      <c r="H209" s="222">
        <v>6.56</v>
      </c>
      <c r="I209" s="222">
        <v>2.89</v>
      </c>
      <c r="J209" s="237">
        <v>1.68</v>
      </c>
    </row>
    <row r="210" spans="1:10" x14ac:dyDescent="0.2">
      <c r="A210" s="239" t="s">
        <v>348</v>
      </c>
      <c r="B210" s="222">
        <v>5.37</v>
      </c>
      <c r="C210" s="217">
        <f t="shared" si="7"/>
        <v>5.3699999999999998E-2</v>
      </c>
      <c r="D210" s="222">
        <v>6.84</v>
      </c>
      <c r="E210" s="222">
        <v>55.8</v>
      </c>
      <c r="F210" s="222">
        <v>18.399999999999999</v>
      </c>
      <c r="G210" s="222">
        <v>14</v>
      </c>
      <c r="H210" s="222">
        <v>9.2100000000000009</v>
      </c>
      <c r="I210" s="222">
        <v>2.85</v>
      </c>
      <c r="J210" s="237">
        <v>1.64</v>
      </c>
    </row>
    <row r="211" spans="1:10" x14ac:dyDescent="0.2">
      <c r="A211" s="238" t="s">
        <v>349</v>
      </c>
      <c r="B211" s="217">
        <v>4.2699999999999996</v>
      </c>
      <c r="C211" s="217">
        <f t="shared" si="7"/>
        <v>4.2699999999999995E-2</v>
      </c>
      <c r="D211" s="217">
        <v>5.44</v>
      </c>
      <c r="E211" s="217">
        <v>51.1</v>
      </c>
      <c r="F211" s="217">
        <v>34.799999999999997</v>
      </c>
      <c r="G211" s="217">
        <v>12.8</v>
      </c>
      <c r="H211" s="217">
        <v>11.6</v>
      </c>
      <c r="I211" s="217">
        <v>3.06</v>
      </c>
      <c r="J211" s="234">
        <v>2.5299999999999998</v>
      </c>
    </row>
    <row r="212" spans="1:10" x14ac:dyDescent="0.2">
      <c r="A212" s="238" t="s">
        <v>350</v>
      </c>
      <c r="B212" s="217">
        <v>6.31</v>
      </c>
      <c r="C212" s="217">
        <f t="shared" si="7"/>
        <v>6.3099999999999989E-2</v>
      </c>
      <c r="D212" s="217">
        <v>8.0399999999999991</v>
      </c>
      <c r="E212" s="217">
        <v>73.599999999999994</v>
      </c>
      <c r="F212" s="217">
        <v>46.9</v>
      </c>
      <c r="G212" s="217">
        <v>18.399999999999999</v>
      </c>
      <c r="H212" s="217">
        <v>15.6</v>
      </c>
      <c r="I212" s="217">
        <v>3.03</v>
      </c>
      <c r="J212" s="234">
        <v>2.42</v>
      </c>
    </row>
    <row r="213" spans="1:10" x14ac:dyDescent="0.2">
      <c r="A213" s="239" t="s">
        <v>351</v>
      </c>
      <c r="B213" s="222">
        <v>3.96</v>
      </c>
      <c r="C213" s="217">
        <f t="shared" si="7"/>
        <v>3.9599999999999996E-2</v>
      </c>
      <c r="D213" s="222">
        <v>5.04</v>
      </c>
      <c r="E213" s="222">
        <v>58.3</v>
      </c>
      <c r="F213" s="222">
        <v>8.4</v>
      </c>
      <c r="G213" s="222">
        <v>11.7</v>
      </c>
      <c r="H213" s="222">
        <v>5.63</v>
      </c>
      <c r="I213" s="222">
        <v>3.4</v>
      </c>
      <c r="J213" s="237">
        <v>1.29</v>
      </c>
    </row>
    <row r="214" spans="1:10" x14ac:dyDescent="0.2">
      <c r="A214" s="239" t="s">
        <v>352</v>
      </c>
      <c r="B214" s="222">
        <v>5.84</v>
      </c>
      <c r="C214" s="217">
        <f t="shared" si="7"/>
        <v>5.8400000000000001E-2</v>
      </c>
      <c r="D214" s="222">
        <v>7.44</v>
      </c>
      <c r="E214" s="222">
        <v>83.9</v>
      </c>
      <c r="F214" s="222">
        <v>11.8</v>
      </c>
      <c r="G214" s="222">
        <v>16.8</v>
      </c>
      <c r="H214" s="222">
        <v>7.87</v>
      </c>
      <c r="I214" s="222">
        <v>3.36</v>
      </c>
      <c r="J214" s="237">
        <v>1.26</v>
      </c>
    </row>
    <row r="215" spans="1:10" x14ac:dyDescent="0.2">
      <c r="A215" s="239" t="s">
        <v>353</v>
      </c>
      <c r="B215" s="222">
        <v>7.66</v>
      </c>
      <c r="C215" s="217">
        <f t="shared" si="7"/>
        <v>7.6600000000000001E-2</v>
      </c>
      <c r="D215" s="222">
        <v>9.76</v>
      </c>
      <c r="E215" s="222">
        <v>107</v>
      </c>
      <c r="F215" s="222">
        <v>14.3</v>
      </c>
      <c r="G215" s="222">
        <v>21.4</v>
      </c>
      <c r="H215" s="222">
        <v>9.5299999999999994</v>
      </c>
      <c r="I215" s="222">
        <v>3.31</v>
      </c>
      <c r="J215" s="237">
        <v>1.21</v>
      </c>
    </row>
    <row r="216" spans="1:10" x14ac:dyDescent="0.2">
      <c r="A216" s="238" t="s">
        <v>354</v>
      </c>
      <c r="B216" s="217">
        <v>4.2699999999999996</v>
      </c>
      <c r="C216" s="217">
        <f t="shared" si="7"/>
        <v>4.2699999999999995E-2</v>
      </c>
      <c r="D216" s="217">
        <v>5.44</v>
      </c>
      <c r="E216" s="217">
        <v>67.900000000000006</v>
      </c>
      <c r="F216" s="217">
        <v>16</v>
      </c>
      <c r="G216" s="217">
        <v>13.6</v>
      </c>
      <c r="H216" s="217">
        <v>8</v>
      </c>
      <c r="I216" s="217">
        <v>3.53</v>
      </c>
      <c r="J216" s="234">
        <v>1.71</v>
      </c>
    </row>
    <row r="217" spans="1:10" x14ac:dyDescent="0.2">
      <c r="A217" s="238" t="s">
        <v>355</v>
      </c>
      <c r="B217" s="217">
        <v>6.31</v>
      </c>
      <c r="C217" s="217">
        <f t="shared" si="7"/>
        <v>6.3099999999999989E-2</v>
      </c>
      <c r="D217" s="217">
        <v>8.0399999999999991</v>
      </c>
      <c r="E217" s="217">
        <v>98</v>
      </c>
      <c r="F217" s="217">
        <v>22.5</v>
      </c>
      <c r="G217" s="217">
        <v>19.600000000000001</v>
      </c>
      <c r="H217" s="217">
        <v>11.3</v>
      </c>
      <c r="I217" s="217">
        <v>3.49</v>
      </c>
      <c r="J217" s="234">
        <v>1.67</v>
      </c>
    </row>
    <row r="218" spans="1:10" x14ac:dyDescent="0.2">
      <c r="A218" s="238" t="s">
        <v>356</v>
      </c>
      <c r="B218" s="217">
        <v>8.32</v>
      </c>
      <c r="C218" s="217">
        <f t="shared" si="7"/>
        <v>8.3199999999999996E-2</v>
      </c>
      <c r="D218" s="217">
        <v>10.6</v>
      </c>
      <c r="E218" s="217">
        <v>126</v>
      </c>
      <c r="F218" s="217">
        <v>28.2</v>
      </c>
      <c r="G218" s="217">
        <v>25.2</v>
      </c>
      <c r="H218" s="217">
        <v>14.1</v>
      </c>
      <c r="I218" s="217">
        <v>3.45</v>
      </c>
      <c r="J218" s="234">
        <v>1.63</v>
      </c>
    </row>
    <row r="219" spans="1:10" x14ac:dyDescent="0.2">
      <c r="A219" s="239" t="s">
        <v>357</v>
      </c>
      <c r="B219" s="222">
        <v>4.58</v>
      </c>
      <c r="C219" s="217">
        <f t="shared" si="7"/>
        <v>4.58E-2</v>
      </c>
      <c r="D219" s="222">
        <v>5.84</v>
      </c>
      <c r="E219" s="222">
        <v>77.5</v>
      </c>
      <c r="F219" s="222">
        <v>26.3</v>
      </c>
      <c r="G219" s="222">
        <v>15.5</v>
      </c>
      <c r="H219" s="222">
        <v>10.5</v>
      </c>
      <c r="I219" s="222">
        <v>3.64</v>
      </c>
      <c r="J219" s="237">
        <v>2.12</v>
      </c>
    </row>
    <row r="220" spans="1:10" x14ac:dyDescent="0.2">
      <c r="A220" s="239" t="s">
        <v>358</v>
      </c>
      <c r="B220" s="222">
        <v>6.78</v>
      </c>
      <c r="C220" s="217">
        <f t="shared" si="7"/>
        <v>6.7799999999999999E-2</v>
      </c>
      <c r="D220" s="222">
        <v>8.64</v>
      </c>
      <c r="E220" s="222">
        <v>112</v>
      </c>
      <c r="F220" s="222">
        <v>37.700000000000003</v>
      </c>
      <c r="G220" s="222">
        <v>22.4</v>
      </c>
      <c r="H220" s="222">
        <v>15.1</v>
      </c>
      <c r="I220" s="222">
        <v>3.6</v>
      </c>
      <c r="J220" s="237">
        <v>2.09</v>
      </c>
    </row>
    <row r="221" spans="1:10" x14ac:dyDescent="0.2">
      <c r="A221" s="239" t="s">
        <v>359</v>
      </c>
      <c r="B221" s="222">
        <v>7.85</v>
      </c>
      <c r="C221" s="217">
        <f t="shared" si="7"/>
        <v>7.85E-2</v>
      </c>
      <c r="D221" s="222">
        <v>10</v>
      </c>
      <c r="E221" s="222">
        <v>128</v>
      </c>
      <c r="F221" s="222">
        <v>42.6</v>
      </c>
      <c r="G221" s="222">
        <v>25.6</v>
      </c>
      <c r="H221" s="222">
        <v>17</v>
      </c>
      <c r="I221" s="222">
        <v>3.58</v>
      </c>
      <c r="J221" s="237">
        <v>2.06</v>
      </c>
    </row>
    <row r="222" spans="1:10" x14ac:dyDescent="0.2">
      <c r="A222" s="239" t="s">
        <v>360</v>
      </c>
      <c r="B222" s="222">
        <v>8.9499999999999993</v>
      </c>
      <c r="C222" s="217">
        <f t="shared" si="7"/>
        <v>8.9499999999999996E-2</v>
      </c>
      <c r="D222" s="222">
        <v>11.4</v>
      </c>
      <c r="E222" s="222">
        <v>144</v>
      </c>
      <c r="F222" s="222">
        <v>47.4</v>
      </c>
      <c r="G222" s="222">
        <v>28.8</v>
      </c>
      <c r="H222" s="222">
        <v>18.899999999999999</v>
      </c>
      <c r="I222" s="222">
        <v>3.56</v>
      </c>
      <c r="J222" s="237">
        <v>2.04</v>
      </c>
    </row>
    <row r="223" spans="1:10" x14ac:dyDescent="0.2">
      <c r="A223" s="238" t="s">
        <v>361</v>
      </c>
      <c r="B223" s="217">
        <v>4.9000000000000004</v>
      </c>
      <c r="C223" s="217">
        <f t="shared" si="7"/>
        <v>4.9000000000000002E-2</v>
      </c>
      <c r="D223" s="217">
        <v>6.24</v>
      </c>
      <c r="E223" s="217">
        <v>108</v>
      </c>
      <c r="F223" s="217">
        <v>18.899999999999999</v>
      </c>
      <c r="G223" s="217">
        <v>18</v>
      </c>
      <c r="H223" s="217">
        <v>9.4499999999999993</v>
      </c>
      <c r="I223" s="217">
        <v>4.16</v>
      </c>
      <c r="J223" s="234">
        <v>1.74</v>
      </c>
    </row>
    <row r="224" spans="1:10" x14ac:dyDescent="0.2">
      <c r="A224" s="238" t="s">
        <v>362</v>
      </c>
      <c r="B224" s="217">
        <v>7.25</v>
      </c>
      <c r="C224" s="217">
        <f t="shared" si="7"/>
        <v>7.2499999999999995E-2</v>
      </c>
      <c r="D224" s="217">
        <v>9.24</v>
      </c>
      <c r="E224" s="217">
        <v>156</v>
      </c>
      <c r="F224" s="217">
        <v>26.7</v>
      </c>
      <c r="G224" s="217">
        <v>26</v>
      </c>
      <c r="H224" s="217">
        <v>13.4</v>
      </c>
      <c r="I224" s="217">
        <v>4.1100000000000003</v>
      </c>
      <c r="J224" s="234">
        <v>1.7</v>
      </c>
    </row>
    <row r="225" spans="1:10" x14ac:dyDescent="0.2">
      <c r="A225" s="238" t="s">
        <v>363</v>
      </c>
      <c r="B225" s="217">
        <v>9.58</v>
      </c>
      <c r="C225" s="217">
        <f t="shared" si="7"/>
        <v>9.5799999999999996E-2</v>
      </c>
      <c r="D225" s="217">
        <v>12.2</v>
      </c>
      <c r="E225" s="217">
        <v>201</v>
      </c>
      <c r="F225" s="217">
        <v>33.4</v>
      </c>
      <c r="G225" s="217">
        <v>33.5</v>
      </c>
      <c r="H225" s="217">
        <v>16.7</v>
      </c>
      <c r="I225" s="217">
        <v>4.0599999999999996</v>
      </c>
      <c r="J225" s="234">
        <v>1.65</v>
      </c>
    </row>
    <row r="226" spans="1:10" x14ac:dyDescent="0.2">
      <c r="A226" s="239" t="s">
        <v>364</v>
      </c>
      <c r="B226" s="222">
        <v>5.53</v>
      </c>
      <c r="C226" s="217">
        <f t="shared" si="7"/>
        <v>5.5300000000000002E-2</v>
      </c>
      <c r="D226" s="222">
        <v>7.04</v>
      </c>
      <c r="E226" s="222">
        <v>136</v>
      </c>
      <c r="F226" s="222">
        <v>46.2</v>
      </c>
      <c r="G226" s="222">
        <v>22.7</v>
      </c>
      <c r="H226" s="222">
        <v>15.4</v>
      </c>
      <c r="I226" s="222">
        <v>4.4000000000000004</v>
      </c>
      <c r="J226" s="237">
        <v>2.56</v>
      </c>
    </row>
    <row r="227" spans="1:10" x14ac:dyDescent="0.2">
      <c r="A227" s="239" t="s">
        <v>365</v>
      </c>
      <c r="B227" s="222">
        <v>8.16</v>
      </c>
      <c r="C227" s="217">
        <f t="shared" si="7"/>
        <v>8.1600000000000006E-2</v>
      </c>
      <c r="D227" s="222">
        <v>10.4</v>
      </c>
      <c r="E227" s="222">
        <v>197</v>
      </c>
      <c r="F227" s="222">
        <v>66.400000000000006</v>
      </c>
      <c r="G227" s="222">
        <v>32.799999999999997</v>
      </c>
      <c r="H227" s="222">
        <v>22.1</v>
      </c>
      <c r="I227" s="222">
        <v>4.3499999999999996</v>
      </c>
      <c r="J227" s="237">
        <v>2.5299999999999998</v>
      </c>
    </row>
    <row r="228" spans="1:10" x14ac:dyDescent="0.2">
      <c r="A228" s="239" t="s">
        <v>366</v>
      </c>
      <c r="B228" s="222">
        <v>9.5</v>
      </c>
      <c r="C228" s="217">
        <f t="shared" si="7"/>
        <v>9.5000000000000001E-2</v>
      </c>
      <c r="D228" s="222">
        <v>12.1</v>
      </c>
      <c r="E228" s="222">
        <v>227</v>
      </c>
      <c r="F228" s="222">
        <v>75.8</v>
      </c>
      <c r="G228" s="222">
        <v>37.799999999999997</v>
      </c>
      <c r="H228" s="222">
        <v>25.3</v>
      </c>
      <c r="I228" s="222">
        <v>4.33</v>
      </c>
      <c r="J228" s="237">
        <v>2.5</v>
      </c>
    </row>
    <row r="229" spans="1:10" x14ac:dyDescent="0.2">
      <c r="A229" s="239" t="s">
        <v>367</v>
      </c>
      <c r="B229" s="222">
        <v>10.8</v>
      </c>
      <c r="C229" s="217">
        <f t="shared" si="7"/>
        <v>0.10800000000000001</v>
      </c>
      <c r="D229" s="222">
        <v>13.8</v>
      </c>
      <c r="E229" s="222">
        <v>255</v>
      </c>
      <c r="F229" s="222">
        <v>84.8</v>
      </c>
      <c r="G229" s="222">
        <v>42.5</v>
      </c>
      <c r="H229" s="222">
        <v>28.3</v>
      </c>
      <c r="I229" s="222">
        <v>4.3</v>
      </c>
      <c r="J229" s="237">
        <v>2.48</v>
      </c>
    </row>
    <row r="230" spans="1:10" x14ac:dyDescent="0.2">
      <c r="A230" s="238" t="s">
        <v>368</v>
      </c>
      <c r="B230" s="217">
        <v>9.58</v>
      </c>
      <c r="C230" s="217">
        <f t="shared" si="7"/>
        <v>9.5799999999999996E-2</v>
      </c>
      <c r="D230" s="217">
        <v>12.2</v>
      </c>
      <c r="E230" s="217">
        <v>344</v>
      </c>
      <c r="F230" s="217">
        <v>81</v>
      </c>
      <c r="G230" s="217">
        <v>45.8</v>
      </c>
      <c r="H230" s="217">
        <v>27</v>
      </c>
      <c r="I230" s="217">
        <v>5.3</v>
      </c>
      <c r="J230" s="234">
        <v>2.57</v>
      </c>
    </row>
    <row r="231" spans="1:10" x14ac:dyDescent="0.2">
      <c r="A231" s="238" t="s">
        <v>369</v>
      </c>
      <c r="B231" s="217">
        <v>12.7</v>
      </c>
      <c r="C231" s="217">
        <f t="shared" si="7"/>
        <v>0.127</v>
      </c>
      <c r="D231" s="217">
        <v>16.2</v>
      </c>
      <c r="E231" s="217">
        <v>447</v>
      </c>
      <c r="F231" s="217">
        <v>104</v>
      </c>
      <c r="G231" s="217">
        <v>59.6</v>
      </c>
      <c r="H231" s="217">
        <v>34.5</v>
      </c>
      <c r="I231" s="217">
        <v>5.26</v>
      </c>
      <c r="J231" s="234">
        <v>2.5299999999999998</v>
      </c>
    </row>
    <row r="232" spans="1:10" x14ac:dyDescent="0.2">
      <c r="A232" s="238" t="s">
        <v>370</v>
      </c>
      <c r="B232" s="217">
        <v>15.7</v>
      </c>
      <c r="C232" s="217">
        <f>B232/100</f>
        <v>0.157</v>
      </c>
      <c r="D232" s="217">
        <v>20</v>
      </c>
      <c r="E232" s="217">
        <v>544</v>
      </c>
      <c r="F232" s="217">
        <v>124</v>
      </c>
      <c r="G232" s="217">
        <v>72.599999999999994</v>
      </c>
      <c r="H232" s="217">
        <v>41.4</v>
      </c>
      <c r="I232" s="217">
        <v>5.22</v>
      </c>
      <c r="J232" s="234">
        <v>2.4900000000000002</v>
      </c>
    </row>
    <row r="233" spans="1:10" x14ac:dyDescent="0.2">
      <c r="A233" s="239" t="s">
        <v>371</v>
      </c>
      <c r="B233" s="222">
        <v>10.5</v>
      </c>
      <c r="C233" s="217">
        <f>B233/100</f>
        <v>0.105</v>
      </c>
      <c r="D233" s="222">
        <v>13.4</v>
      </c>
      <c r="E233" s="222">
        <v>409</v>
      </c>
      <c r="F233" s="222">
        <v>154</v>
      </c>
      <c r="G233" s="222">
        <v>54.5</v>
      </c>
      <c r="H233" s="222">
        <v>38.5</v>
      </c>
      <c r="I233" s="222">
        <v>5.52</v>
      </c>
      <c r="J233" s="237">
        <v>3.39</v>
      </c>
    </row>
    <row r="234" spans="1:10" x14ac:dyDescent="0.2">
      <c r="A234" s="239" t="s">
        <v>372</v>
      </c>
      <c r="B234" s="222">
        <v>14</v>
      </c>
      <c r="C234" s="217">
        <f t="shared" ref="C234:C258" si="8">B234/100</f>
        <v>0.14000000000000001</v>
      </c>
      <c r="D234" s="222">
        <v>17.8</v>
      </c>
      <c r="E234" s="222">
        <v>532</v>
      </c>
      <c r="F234" s="222">
        <v>198</v>
      </c>
      <c r="G234" s="222">
        <v>70.900000000000006</v>
      </c>
      <c r="H234" s="222">
        <v>49.5</v>
      </c>
      <c r="I234" s="222">
        <v>5.47</v>
      </c>
      <c r="J234" s="237">
        <v>3.34</v>
      </c>
    </row>
    <row r="235" spans="1:10" x14ac:dyDescent="0.2">
      <c r="A235" s="239" t="s">
        <v>373</v>
      </c>
      <c r="B235" s="222">
        <v>17.3</v>
      </c>
      <c r="C235" s="217">
        <f t="shared" si="8"/>
        <v>0.17300000000000001</v>
      </c>
      <c r="D235" s="222">
        <v>22</v>
      </c>
      <c r="E235" s="222">
        <v>649</v>
      </c>
      <c r="F235" s="222">
        <v>240</v>
      </c>
      <c r="G235" s="222">
        <v>86.5</v>
      </c>
      <c r="H235" s="222">
        <v>60</v>
      </c>
      <c r="I235" s="222">
        <v>5.43</v>
      </c>
      <c r="J235" s="237">
        <v>3.3</v>
      </c>
    </row>
    <row r="236" spans="1:10" x14ac:dyDescent="0.2">
      <c r="A236" s="238" t="s">
        <v>374</v>
      </c>
      <c r="B236" s="217">
        <v>11.5</v>
      </c>
      <c r="C236" s="217">
        <f t="shared" si="8"/>
        <v>0.115</v>
      </c>
      <c r="D236" s="217">
        <v>14.6</v>
      </c>
      <c r="E236" s="217">
        <v>473</v>
      </c>
      <c r="F236" s="217">
        <v>253</v>
      </c>
      <c r="G236" s="217">
        <v>63.1</v>
      </c>
      <c r="H236" s="217">
        <v>50.6</v>
      </c>
      <c r="I236" s="217">
        <v>5.69</v>
      </c>
      <c r="J236" s="234">
        <v>4.16</v>
      </c>
    </row>
    <row r="237" spans="1:10" x14ac:dyDescent="0.2">
      <c r="A237" s="238" t="s">
        <v>375</v>
      </c>
      <c r="B237" s="217">
        <v>15.2</v>
      </c>
      <c r="C237" s="217">
        <f t="shared" si="8"/>
        <v>0.152</v>
      </c>
      <c r="D237" s="217">
        <v>19.399999999999999</v>
      </c>
      <c r="E237" s="217">
        <v>617</v>
      </c>
      <c r="F237" s="217">
        <v>329</v>
      </c>
      <c r="G237" s="217">
        <v>82.3</v>
      </c>
      <c r="H237" s="217">
        <v>65.8</v>
      </c>
      <c r="I237" s="217">
        <v>5.64</v>
      </c>
      <c r="J237" s="234">
        <v>4.12</v>
      </c>
    </row>
    <row r="238" spans="1:10" x14ac:dyDescent="0.2">
      <c r="A238" s="238" t="s">
        <v>376</v>
      </c>
      <c r="B238" s="217">
        <v>18.8</v>
      </c>
      <c r="C238" s="217">
        <f t="shared" si="8"/>
        <v>0.188</v>
      </c>
      <c r="D238" s="217">
        <v>24</v>
      </c>
      <c r="E238" s="217">
        <v>754</v>
      </c>
      <c r="F238" s="217">
        <v>400</v>
      </c>
      <c r="G238" s="217">
        <v>101</v>
      </c>
      <c r="H238" s="217">
        <v>80</v>
      </c>
      <c r="I238" s="217">
        <v>5.61</v>
      </c>
      <c r="J238" s="234">
        <v>4.08</v>
      </c>
    </row>
    <row r="239" spans="1:10" x14ac:dyDescent="0.2">
      <c r="A239" s="239" t="s">
        <v>377</v>
      </c>
      <c r="B239" s="222">
        <v>12.4</v>
      </c>
      <c r="C239" s="217">
        <f t="shared" si="8"/>
        <v>0.124</v>
      </c>
      <c r="D239" s="222">
        <v>15.8</v>
      </c>
      <c r="E239" s="222">
        <v>686</v>
      </c>
      <c r="F239" s="222">
        <v>234</v>
      </c>
      <c r="G239" s="222">
        <v>76.2</v>
      </c>
      <c r="H239" s="222">
        <v>52</v>
      </c>
      <c r="I239" s="222">
        <v>6.59</v>
      </c>
      <c r="J239" s="237">
        <v>3.85</v>
      </c>
    </row>
    <row r="240" spans="1:10" x14ac:dyDescent="0.2">
      <c r="A240" s="239" t="s">
        <v>378</v>
      </c>
      <c r="B240" s="222">
        <v>16.5</v>
      </c>
      <c r="C240" s="217">
        <f t="shared" si="8"/>
        <v>0.16500000000000001</v>
      </c>
      <c r="D240" s="222">
        <v>21</v>
      </c>
      <c r="E240" s="222">
        <v>897</v>
      </c>
      <c r="F240" s="222">
        <v>303</v>
      </c>
      <c r="G240" s="222">
        <v>99.7</v>
      </c>
      <c r="H240" s="222">
        <v>67.3</v>
      </c>
      <c r="I240" s="222">
        <v>6.53</v>
      </c>
      <c r="J240" s="237">
        <v>3.8</v>
      </c>
    </row>
    <row r="241" spans="1:10" x14ac:dyDescent="0.2">
      <c r="A241" s="239" t="s">
        <v>379</v>
      </c>
      <c r="B241" s="222">
        <v>20.399999999999999</v>
      </c>
      <c r="C241" s="217">
        <f t="shared" si="8"/>
        <v>0.20399999999999999</v>
      </c>
      <c r="D241" s="222">
        <v>26</v>
      </c>
      <c r="E241" s="223">
        <v>1099</v>
      </c>
      <c r="F241" s="222">
        <v>368</v>
      </c>
      <c r="G241" s="222">
        <v>122</v>
      </c>
      <c r="H241" s="222">
        <v>81.8</v>
      </c>
      <c r="I241" s="222">
        <v>6.5</v>
      </c>
      <c r="J241" s="237">
        <v>3.76</v>
      </c>
    </row>
    <row r="242" spans="1:10" x14ac:dyDescent="0.2">
      <c r="A242" s="238" t="s">
        <v>380</v>
      </c>
      <c r="B242" s="217">
        <v>13.8</v>
      </c>
      <c r="C242" s="217">
        <f t="shared" si="8"/>
        <v>0.13800000000000001</v>
      </c>
      <c r="D242" s="217">
        <v>17.600000000000001</v>
      </c>
      <c r="E242" s="217">
        <v>947</v>
      </c>
      <c r="F242" s="217">
        <v>324</v>
      </c>
      <c r="G242" s="217">
        <v>94.7</v>
      </c>
      <c r="H242" s="217">
        <v>64.8</v>
      </c>
      <c r="I242" s="217">
        <v>7.33</v>
      </c>
      <c r="J242" s="234">
        <v>4.28</v>
      </c>
    </row>
    <row r="243" spans="1:10" x14ac:dyDescent="0.2">
      <c r="A243" s="238" t="s">
        <v>381</v>
      </c>
      <c r="B243" s="217">
        <v>18.399999999999999</v>
      </c>
      <c r="C243" s="217">
        <f t="shared" si="8"/>
        <v>0.184</v>
      </c>
      <c r="D243" s="217">
        <v>23.4</v>
      </c>
      <c r="E243" s="218">
        <v>1240</v>
      </c>
      <c r="F243" s="217">
        <v>421</v>
      </c>
      <c r="G243" s="217">
        <v>124</v>
      </c>
      <c r="H243" s="217">
        <v>84.2</v>
      </c>
      <c r="I243" s="217">
        <v>7.29</v>
      </c>
      <c r="J243" s="234">
        <v>4.24</v>
      </c>
    </row>
    <row r="244" spans="1:10" x14ac:dyDescent="0.2">
      <c r="A244" s="238" t="s">
        <v>382</v>
      </c>
      <c r="B244" s="217">
        <v>22.8</v>
      </c>
      <c r="C244" s="217">
        <f t="shared" si="8"/>
        <v>0.22800000000000001</v>
      </c>
      <c r="D244" s="217">
        <v>29</v>
      </c>
      <c r="E244" s="218">
        <v>1522</v>
      </c>
      <c r="F244" s="217">
        <v>512</v>
      </c>
      <c r="G244" s="217">
        <v>152</v>
      </c>
      <c r="H244" s="217">
        <v>102</v>
      </c>
      <c r="I244" s="217">
        <v>7.24</v>
      </c>
      <c r="J244" s="234">
        <v>4.2</v>
      </c>
    </row>
    <row r="245" spans="1:10" x14ac:dyDescent="0.2">
      <c r="A245" s="239" t="s">
        <v>383</v>
      </c>
      <c r="B245" s="222">
        <v>17.100000000000001</v>
      </c>
      <c r="C245" s="217">
        <f t="shared" si="8"/>
        <v>0.17100000000000001</v>
      </c>
      <c r="D245" s="222">
        <v>21.8</v>
      </c>
      <c r="E245" s="223">
        <v>1825</v>
      </c>
      <c r="F245" s="222">
        <v>588</v>
      </c>
      <c r="G245" s="222">
        <v>146</v>
      </c>
      <c r="H245" s="222">
        <v>98</v>
      </c>
      <c r="I245" s="222">
        <v>9.15</v>
      </c>
      <c r="J245" s="237">
        <v>5.19</v>
      </c>
    </row>
    <row r="246" spans="1:10" x14ac:dyDescent="0.2">
      <c r="A246" s="239" t="s">
        <v>384</v>
      </c>
      <c r="B246" s="222">
        <v>22.8</v>
      </c>
      <c r="C246" s="217">
        <f t="shared" si="8"/>
        <v>0.22800000000000001</v>
      </c>
      <c r="D246" s="222">
        <v>29</v>
      </c>
      <c r="E246" s="223">
        <v>2397</v>
      </c>
      <c r="F246" s="222">
        <v>767</v>
      </c>
      <c r="G246" s="222">
        <v>192</v>
      </c>
      <c r="H246" s="222">
        <v>128</v>
      </c>
      <c r="I246" s="222">
        <v>9.09</v>
      </c>
      <c r="J246" s="237">
        <v>5.14</v>
      </c>
    </row>
    <row r="247" spans="1:10" x14ac:dyDescent="0.2">
      <c r="A247" s="239" t="s">
        <v>385</v>
      </c>
      <c r="B247" s="222">
        <v>28.3</v>
      </c>
      <c r="C247" s="217">
        <f t="shared" si="8"/>
        <v>0.28300000000000003</v>
      </c>
      <c r="D247" s="222">
        <v>36</v>
      </c>
      <c r="E247" s="223">
        <v>2953</v>
      </c>
      <c r="F247" s="222">
        <v>938</v>
      </c>
      <c r="G247" s="222">
        <v>236</v>
      </c>
      <c r="H247" s="222">
        <v>156</v>
      </c>
      <c r="I247" s="222">
        <v>9.06</v>
      </c>
      <c r="J247" s="237">
        <v>5.0999999999999996</v>
      </c>
    </row>
    <row r="248" spans="1:10" x14ac:dyDescent="0.2">
      <c r="A248" s="238" t="s">
        <v>386</v>
      </c>
      <c r="B248" s="217">
        <v>18.5</v>
      </c>
      <c r="C248" s="217">
        <f t="shared" si="8"/>
        <v>0.185</v>
      </c>
      <c r="D248" s="217">
        <v>23.6</v>
      </c>
      <c r="E248" s="218">
        <v>2099</v>
      </c>
      <c r="F248" s="217">
        <v>960</v>
      </c>
      <c r="G248" s="217">
        <v>168</v>
      </c>
      <c r="H248" s="217">
        <v>128</v>
      </c>
      <c r="I248" s="217">
        <v>9.43</v>
      </c>
      <c r="J248" s="234">
        <v>6.38</v>
      </c>
    </row>
    <row r="249" spans="1:10" x14ac:dyDescent="0.2">
      <c r="A249" s="238" t="s">
        <v>387</v>
      </c>
      <c r="B249" s="217">
        <v>24.6</v>
      </c>
      <c r="C249" s="217">
        <f t="shared" si="8"/>
        <v>0.24600000000000002</v>
      </c>
      <c r="D249" s="217">
        <v>31.4</v>
      </c>
      <c r="E249" s="218">
        <v>2760</v>
      </c>
      <c r="F249" s="218">
        <v>1257</v>
      </c>
      <c r="G249" s="217">
        <v>221</v>
      </c>
      <c r="H249" s="217">
        <v>168</v>
      </c>
      <c r="I249" s="217">
        <v>9.3800000000000008</v>
      </c>
      <c r="J249" s="234">
        <v>6.33</v>
      </c>
    </row>
    <row r="250" spans="1:10" x14ac:dyDescent="0.2">
      <c r="A250" s="238" t="s">
        <v>388</v>
      </c>
      <c r="B250" s="217">
        <v>30.6</v>
      </c>
      <c r="C250" s="217">
        <f t="shared" si="8"/>
        <v>0.30599999999999999</v>
      </c>
      <c r="D250" s="217">
        <v>39</v>
      </c>
      <c r="E250" s="218">
        <v>3403</v>
      </c>
      <c r="F250" s="218">
        <v>1543</v>
      </c>
      <c r="G250" s="217">
        <v>272</v>
      </c>
      <c r="H250" s="217">
        <v>206</v>
      </c>
      <c r="I250" s="217">
        <v>9.34</v>
      </c>
      <c r="J250" s="234">
        <v>6.29</v>
      </c>
    </row>
    <row r="251" spans="1:10" x14ac:dyDescent="0.2">
      <c r="A251" s="239" t="s">
        <v>389</v>
      </c>
      <c r="B251" s="222">
        <v>24.6</v>
      </c>
      <c r="C251" s="217">
        <f t="shared" si="8"/>
        <v>0.24600000000000002</v>
      </c>
      <c r="D251" s="222">
        <v>31.4</v>
      </c>
      <c r="E251" s="223">
        <v>3412</v>
      </c>
      <c r="F251" s="222">
        <v>605</v>
      </c>
      <c r="G251" s="222">
        <v>227</v>
      </c>
      <c r="H251" s="222">
        <v>121</v>
      </c>
      <c r="I251" s="222">
        <v>10.4</v>
      </c>
      <c r="J251" s="237">
        <v>4.3899999999999997</v>
      </c>
    </row>
    <row r="252" spans="1:10" x14ac:dyDescent="0.2">
      <c r="A252" s="239" t="s">
        <v>390</v>
      </c>
      <c r="B252" s="222">
        <v>30.6</v>
      </c>
      <c r="C252" s="217">
        <f t="shared" si="8"/>
        <v>0.30599999999999999</v>
      </c>
      <c r="D252" s="222">
        <v>39</v>
      </c>
      <c r="E252" s="223">
        <v>4208</v>
      </c>
      <c r="F252" s="222">
        <v>738</v>
      </c>
      <c r="G252" s="222">
        <v>281</v>
      </c>
      <c r="H252" s="222">
        <v>148</v>
      </c>
      <c r="I252" s="222">
        <v>10.4</v>
      </c>
      <c r="J252" s="237">
        <v>4.3499999999999996</v>
      </c>
    </row>
    <row r="253" spans="1:10" x14ac:dyDescent="0.2">
      <c r="A253" s="239" t="s">
        <v>391</v>
      </c>
      <c r="B253" s="222">
        <v>36.6</v>
      </c>
      <c r="C253" s="217">
        <f t="shared" si="8"/>
        <v>0.36599999999999999</v>
      </c>
      <c r="D253" s="222">
        <v>46.6</v>
      </c>
      <c r="E253" s="223">
        <v>4982</v>
      </c>
      <c r="F253" s="222">
        <v>864</v>
      </c>
      <c r="G253" s="222">
        <v>332</v>
      </c>
      <c r="H253" s="222">
        <v>173</v>
      </c>
      <c r="I253" s="222">
        <v>10.3</v>
      </c>
      <c r="J253" s="237">
        <v>4.3099999999999996</v>
      </c>
    </row>
    <row r="254" spans="1:10" x14ac:dyDescent="0.2">
      <c r="A254" s="236" t="s">
        <v>392</v>
      </c>
      <c r="B254" s="222">
        <v>2.0099999999999998</v>
      </c>
      <c r="C254" s="217">
        <f t="shared" si="8"/>
        <v>2.0099999999999996E-2</v>
      </c>
      <c r="D254" s="222">
        <v>2.54</v>
      </c>
      <c r="E254" s="222">
        <v>3.09</v>
      </c>
      <c r="F254" s="222">
        <v>3.09</v>
      </c>
      <c r="G254" s="222">
        <v>1.84</v>
      </c>
      <c r="H254" s="222">
        <v>1.84</v>
      </c>
      <c r="I254" s="222">
        <v>1.1000000000000001</v>
      </c>
      <c r="J254" s="237">
        <v>1.1000000000000001</v>
      </c>
    </row>
    <row r="255" spans="1:10" x14ac:dyDescent="0.2">
      <c r="A255" s="236" t="s">
        <v>393</v>
      </c>
      <c r="B255" s="222">
        <v>2.2200000000000002</v>
      </c>
      <c r="C255" s="217">
        <f t="shared" si="8"/>
        <v>2.2200000000000001E-2</v>
      </c>
      <c r="D255" s="222">
        <v>2.81</v>
      </c>
      <c r="E255" s="222">
        <v>3.36</v>
      </c>
      <c r="F255" s="222">
        <v>3.36</v>
      </c>
      <c r="G255" s="222">
        <v>1.99</v>
      </c>
      <c r="H255" s="222">
        <v>1.99</v>
      </c>
      <c r="I255" s="222">
        <v>1.0900000000000001</v>
      </c>
      <c r="J255" s="237">
        <v>1.0900000000000001</v>
      </c>
    </row>
    <row r="256" spans="1:10" x14ac:dyDescent="0.2">
      <c r="A256" s="236" t="s">
        <v>394</v>
      </c>
      <c r="B256" s="222">
        <v>2.42</v>
      </c>
      <c r="C256" s="217">
        <f t="shared" si="8"/>
        <v>2.4199999999999999E-2</v>
      </c>
      <c r="D256" s="222">
        <v>3.07</v>
      </c>
      <c r="E256" s="222">
        <v>3.6</v>
      </c>
      <c r="F256" s="222">
        <v>3.6</v>
      </c>
      <c r="G256" s="222">
        <v>2.14</v>
      </c>
      <c r="H256" s="222">
        <v>2.14</v>
      </c>
      <c r="I256" s="222">
        <v>1.08</v>
      </c>
      <c r="J256" s="237">
        <v>1.08</v>
      </c>
    </row>
    <row r="257" spans="1:10" x14ac:dyDescent="0.2">
      <c r="A257" s="233" t="s">
        <v>395</v>
      </c>
      <c r="B257" s="217">
        <v>2.57</v>
      </c>
      <c r="C257" s="217">
        <f t="shared" si="8"/>
        <v>2.5699999999999997E-2</v>
      </c>
      <c r="D257" s="217">
        <v>3.25</v>
      </c>
      <c r="E257" s="217">
        <v>6.46</v>
      </c>
      <c r="F257" s="217">
        <v>6.46</v>
      </c>
      <c r="G257" s="217">
        <v>3.05</v>
      </c>
      <c r="H257" s="217">
        <v>3.05</v>
      </c>
      <c r="I257" s="217">
        <v>1.41</v>
      </c>
      <c r="J257" s="234">
        <v>1.41</v>
      </c>
    </row>
    <row r="258" spans="1:10" x14ac:dyDescent="0.2">
      <c r="A258" s="233" t="s">
        <v>396</v>
      </c>
      <c r="B258" s="217">
        <v>2.84</v>
      </c>
      <c r="C258" s="217">
        <f t="shared" si="8"/>
        <v>2.8399999999999998E-2</v>
      </c>
      <c r="D258" s="217">
        <v>3.6</v>
      </c>
      <c r="E258" s="217">
        <v>7.06</v>
      </c>
      <c r="F258" s="217">
        <v>7.06</v>
      </c>
      <c r="G258" s="217">
        <v>3.33</v>
      </c>
      <c r="H258" s="217">
        <v>3.33</v>
      </c>
      <c r="I258" s="217">
        <v>1.4</v>
      </c>
      <c r="J258" s="234">
        <v>1.4</v>
      </c>
    </row>
    <row r="259" spans="1:10" x14ac:dyDescent="0.2">
      <c r="A259" s="233" t="s">
        <v>397</v>
      </c>
      <c r="B259" s="217">
        <v>3.11</v>
      </c>
      <c r="C259" s="217">
        <f>B259/100</f>
        <v>3.1099999999999999E-2</v>
      </c>
      <c r="D259" s="217">
        <v>3.94</v>
      </c>
      <c r="E259" s="217">
        <v>7.62</v>
      </c>
      <c r="F259" s="217">
        <v>7.62</v>
      </c>
      <c r="G259" s="217">
        <v>3.59</v>
      </c>
      <c r="H259" s="217">
        <v>3.59</v>
      </c>
      <c r="I259" s="217">
        <v>1.39</v>
      </c>
      <c r="J259" s="234">
        <v>1.39</v>
      </c>
    </row>
    <row r="260" spans="1:10" x14ac:dyDescent="0.2">
      <c r="A260" s="236" t="s">
        <v>398</v>
      </c>
      <c r="B260" s="222">
        <v>2.95</v>
      </c>
      <c r="C260" s="217">
        <f>B260/100</f>
        <v>2.9500000000000002E-2</v>
      </c>
      <c r="D260" s="222">
        <v>3.73</v>
      </c>
      <c r="E260" s="222">
        <v>9.7799999999999994</v>
      </c>
      <c r="F260" s="222">
        <v>9.7799999999999994</v>
      </c>
      <c r="G260" s="222">
        <v>4.05</v>
      </c>
      <c r="H260" s="222">
        <v>4.05</v>
      </c>
      <c r="I260" s="222">
        <v>1.62</v>
      </c>
      <c r="J260" s="237">
        <v>1.62</v>
      </c>
    </row>
    <row r="261" spans="1:10" x14ac:dyDescent="0.2">
      <c r="A261" s="236" t="s">
        <v>399</v>
      </c>
      <c r="B261" s="222">
        <v>3.27</v>
      </c>
      <c r="C261" s="217">
        <f t="shared" ref="C261:C287" si="9">B261/100</f>
        <v>3.27E-2</v>
      </c>
      <c r="D261" s="222">
        <v>4.1399999999999997</v>
      </c>
      <c r="E261" s="222">
        <v>10.7</v>
      </c>
      <c r="F261" s="222">
        <v>10.7</v>
      </c>
      <c r="G261" s="222">
        <v>4.43</v>
      </c>
      <c r="H261" s="222">
        <v>4.43</v>
      </c>
      <c r="I261" s="222">
        <v>1.61</v>
      </c>
      <c r="J261" s="237">
        <v>1.61</v>
      </c>
    </row>
    <row r="262" spans="1:10" x14ac:dyDescent="0.2">
      <c r="A262" s="236" t="s">
        <v>400</v>
      </c>
      <c r="B262" s="222">
        <v>3.59</v>
      </c>
      <c r="C262" s="217">
        <f t="shared" si="9"/>
        <v>3.5900000000000001E-2</v>
      </c>
      <c r="D262" s="222">
        <v>4.53</v>
      </c>
      <c r="E262" s="222">
        <v>11.6</v>
      </c>
      <c r="F262" s="222">
        <v>11.6</v>
      </c>
      <c r="G262" s="222">
        <v>4.8</v>
      </c>
      <c r="H262" s="222">
        <v>4.8</v>
      </c>
      <c r="I262" s="222">
        <v>1.6</v>
      </c>
      <c r="J262" s="237">
        <v>1.6</v>
      </c>
    </row>
    <row r="263" spans="1:10" x14ac:dyDescent="0.2">
      <c r="A263" s="233" t="s">
        <v>401</v>
      </c>
      <c r="B263" s="217">
        <v>4.1399999999999997</v>
      </c>
      <c r="C263" s="217">
        <f t="shared" si="9"/>
        <v>4.1399999999999999E-2</v>
      </c>
      <c r="D263" s="217">
        <v>5.23</v>
      </c>
      <c r="E263" s="217">
        <v>21.6</v>
      </c>
      <c r="F263" s="217">
        <v>21.6</v>
      </c>
      <c r="G263" s="217">
        <v>7.16</v>
      </c>
      <c r="H263" s="217">
        <v>7.16</v>
      </c>
      <c r="I263" s="217">
        <v>2.0299999999999998</v>
      </c>
      <c r="J263" s="234">
        <v>2.0299999999999998</v>
      </c>
    </row>
    <row r="264" spans="1:10" x14ac:dyDescent="0.2">
      <c r="A264" s="233" t="s">
        <v>402</v>
      </c>
      <c r="B264" s="217">
        <v>4.54</v>
      </c>
      <c r="C264" s="217">
        <f t="shared" si="9"/>
        <v>4.5400000000000003E-2</v>
      </c>
      <c r="D264" s="217">
        <v>5.74</v>
      </c>
      <c r="E264" s="217">
        <v>23.5</v>
      </c>
      <c r="F264" s="217">
        <v>23.5</v>
      </c>
      <c r="G264" s="217">
        <v>7.78</v>
      </c>
      <c r="H264" s="217">
        <v>7.78</v>
      </c>
      <c r="I264" s="217">
        <v>2.02</v>
      </c>
      <c r="J264" s="234">
        <v>2.02</v>
      </c>
    </row>
    <row r="265" spans="1:10" x14ac:dyDescent="0.2">
      <c r="A265" s="233" t="s">
        <v>403</v>
      </c>
      <c r="B265" s="217">
        <v>5.07</v>
      </c>
      <c r="C265" s="217">
        <f t="shared" si="9"/>
        <v>5.0700000000000002E-2</v>
      </c>
      <c r="D265" s="217">
        <v>6.41</v>
      </c>
      <c r="E265" s="217">
        <v>25.9</v>
      </c>
      <c r="F265" s="217">
        <v>25.9</v>
      </c>
      <c r="G265" s="217">
        <v>8.58</v>
      </c>
      <c r="H265" s="217">
        <v>8.58</v>
      </c>
      <c r="I265" s="217">
        <v>2.0099999999999998</v>
      </c>
      <c r="J265" s="234">
        <v>2.0099999999999998</v>
      </c>
    </row>
    <row r="266" spans="1:10" x14ac:dyDescent="0.2">
      <c r="A266" s="236" t="s">
        <v>404</v>
      </c>
      <c r="B266" s="222">
        <v>4.75</v>
      </c>
      <c r="C266" s="217">
        <f t="shared" si="9"/>
        <v>4.7500000000000001E-2</v>
      </c>
      <c r="D266" s="222">
        <v>6</v>
      </c>
      <c r="E266" s="222">
        <v>40.6</v>
      </c>
      <c r="F266" s="222">
        <v>40.6</v>
      </c>
      <c r="G266" s="222">
        <v>10.7</v>
      </c>
      <c r="H266" s="222">
        <v>10.7</v>
      </c>
      <c r="I266" s="222">
        <v>2.6</v>
      </c>
      <c r="J266" s="237">
        <v>2.6</v>
      </c>
    </row>
    <row r="267" spans="1:10" x14ac:dyDescent="0.2">
      <c r="A267" s="236" t="s">
        <v>405</v>
      </c>
      <c r="B267" s="222">
        <v>5.28</v>
      </c>
      <c r="C267" s="217">
        <f t="shared" si="9"/>
        <v>5.28E-2</v>
      </c>
      <c r="D267" s="222">
        <v>6.67</v>
      </c>
      <c r="E267" s="222">
        <v>44.7</v>
      </c>
      <c r="F267" s="222">
        <v>44.7</v>
      </c>
      <c r="G267" s="222">
        <v>11.8</v>
      </c>
      <c r="H267" s="222">
        <v>11.8</v>
      </c>
      <c r="I267" s="222">
        <v>2.59</v>
      </c>
      <c r="J267" s="237">
        <v>2.59</v>
      </c>
    </row>
    <row r="268" spans="1:10" x14ac:dyDescent="0.2">
      <c r="A268" s="236" t="s">
        <v>406</v>
      </c>
      <c r="B268" s="222">
        <v>5.8</v>
      </c>
      <c r="C268" s="217">
        <f t="shared" si="9"/>
        <v>5.7999999999999996E-2</v>
      </c>
      <c r="D268" s="222">
        <v>7.33</v>
      </c>
      <c r="E268" s="222">
        <v>48.8</v>
      </c>
      <c r="F268" s="222">
        <v>48.8</v>
      </c>
      <c r="G268" s="222">
        <v>12.8</v>
      </c>
      <c r="H268" s="222">
        <v>12.8</v>
      </c>
      <c r="I268" s="222">
        <v>2.58</v>
      </c>
      <c r="J268" s="237">
        <v>2.58</v>
      </c>
    </row>
    <row r="269" spans="1:10" x14ac:dyDescent="0.2">
      <c r="A269" s="236" t="s">
        <v>407</v>
      </c>
      <c r="B269" s="222">
        <v>6.49</v>
      </c>
      <c r="C269" s="217">
        <f t="shared" si="9"/>
        <v>6.4899999999999999E-2</v>
      </c>
      <c r="D269" s="222">
        <v>8.1999999999999993</v>
      </c>
      <c r="E269" s="222">
        <v>54</v>
      </c>
      <c r="F269" s="222">
        <v>54</v>
      </c>
      <c r="G269" s="222">
        <v>14.2</v>
      </c>
      <c r="H269" s="222">
        <v>14.2</v>
      </c>
      <c r="I269" s="222">
        <v>2.57</v>
      </c>
      <c r="J269" s="237">
        <v>2.57</v>
      </c>
    </row>
    <row r="270" spans="1:10" x14ac:dyDescent="0.2">
      <c r="A270" s="233" t="s">
        <v>408</v>
      </c>
      <c r="B270" s="217">
        <v>5.57</v>
      </c>
      <c r="C270" s="217">
        <f t="shared" si="9"/>
        <v>5.57E-2</v>
      </c>
      <c r="D270" s="217">
        <v>7.05</v>
      </c>
      <c r="E270" s="217">
        <v>65.7</v>
      </c>
      <c r="F270" s="217">
        <v>65.7</v>
      </c>
      <c r="G270" s="217">
        <v>14.8</v>
      </c>
      <c r="H270" s="217">
        <v>14.8</v>
      </c>
      <c r="I270" s="217">
        <v>3.05</v>
      </c>
      <c r="J270" s="234">
        <v>3.05</v>
      </c>
    </row>
    <row r="271" spans="1:10" x14ac:dyDescent="0.2">
      <c r="A271" s="233" t="s">
        <v>409</v>
      </c>
      <c r="B271" s="217">
        <v>6.81</v>
      </c>
      <c r="C271" s="217">
        <f t="shared" si="9"/>
        <v>6.8099999999999994E-2</v>
      </c>
      <c r="D271" s="217">
        <v>8.6199999999999992</v>
      </c>
      <c r="E271" s="217">
        <v>79.2</v>
      </c>
      <c r="F271" s="217">
        <v>79.2</v>
      </c>
      <c r="G271" s="217">
        <v>17.8</v>
      </c>
      <c r="H271" s="217">
        <v>17.8</v>
      </c>
      <c r="I271" s="217">
        <v>3.03</v>
      </c>
      <c r="J271" s="234">
        <v>3.03</v>
      </c>
    </row>
    <row r="272" spans="1:10" x14ac:dyDescent="0.2">
      <c r="A272" s="233" t="s">
        <v>410</v>
      </c>
      <c r="B272" s="217">
        <v>7.63</v>
      </c>
      <c r="C272" s="217">
        <f t="shared" si="9"/>
        <v>7.6299999999999993E-2</v>
      </c>
      <c r="D272" s="217">
        <v>9.65</v>
      </c>
      <c r="E272" s="217">
        <v>87.9</v>
      </c>
      <c r="F272" s="217">
        <v>87.9</v>
      </c>
      <c r="G272" s="217">
        <v>19.8</v>
      </c>
      <c r="H272" s="217">
        <v>19.8</v>
      </c>
      <c r="I272" s="217">
        <v>3.02</v>
      </c>
      <c r="J272" s="234">
        <v>3.02</v>
      </c>
    </row>
    <row r="273" spans="1:10" x14ac:dyDescent="0.2">
      <c r="A273" s="233" t="s">
        <v>411</v>
      </c>
      <c r="B273" s="217">
        <v>8.43</v>
      </c>
      <c r="C273" s="217">
        <f t="shared" si="9"/>
        <v>8.43E-2</v>
      </c>
      <c r="D273" s="217">
        <v>10.7</v>
      </c>
      <c r="E273" s="217">
        <v>96.3</v>
      </c>
      <c r="F273" s="217">
        <v>96.3</v>
      </c>
      <c r="G273" s="217">
        <v>21.7</v>
      </c>
      <c r="H273" s="217">
        <v>21.7</v>
      </c>
      <c r="I273" s="217">
        <v>3</v>
      </c>
      <c r="J273" s="234">
        <v>3</v>
      </c>
    </row>
    <row r="274" spans="1:10" x14ac:dyDescent="0.2">
      <c r="A274" s="236" t="s">
        <v>412</v>
      </c>
      <c r="B274" s="222">
        <v>9.9</v>
      </c>
      <c r="C274" s="217">
        <f t="shared" si="9"/>
        <v>9.9000000000000005E-2</v>
      </c>
      <c r="D274" s="222">
        <v>12.5</v>
      </c>
      <c r="E274" s="222">
        <v>192</v>
      </c>
      <c r="F274" s="222">
        <v>192</v>
      </c>
      <c r="G274" s="222">
        <v>33.6</v>
      </c>
      <c r="H274" s="222">
        <v>33.6</v>
      </c>
      <c r="I274" s="222">
        <v>3.92</v>
      </c>
      <c r="J274" s="237">
        <v>3.92</v>
      </c>
    </row>
    <row r="275" spans="1:10" x14ac:dyDescent="0.2">
      <c r="A275" s="236" t="s">
        <v>413</v>
      </c>
      <c r="B275" s="222">
        <v>11</v>
      </c>
      <c r="C275" s="217">
        <f t="shared" si="9"/>
        <v>0.11</v>
      </c>
      <c r="D275" s="222">
        <v>13.9</v>
      </c>
      <c r="E275" s="222">
        <v>211</v>
      </c>
      <c r="F275" s="222">
        <v>211</v>
      </c>
      <c r="G275" s="222">
        <v>36.9</v>
      </c>
      <c r="H275" s="222">
        <v>36.9</v>
      </c>
      <c r="I275" s="222">
        <v>3.9</v>
      </c>
      <c r="J275" s="237">
        <v>3.9</v>
      </c>
    </row>
    <row r="276" spans="1:10" x14ac:dyDescent="0.2">
      <c r="A276" s="236" t="s">
        <v>414</v>
      </c>
      <c r="B276" s="222">
        <v>12.1</v>
      </c>
      <c r="C276" s="217">
        <f t="shared" si="9"/>
        <v>0.121</v>
      </c>
      <c r="D276" s="222">
        <v>15.5</v>
      </c>
      <c r="E276" s="222">
        <v>234</v>
      </c>
      <c r="F276" s="222">
        <v>234</v>
      </c>
      <c r="G276" s="222">
        <v>41</v>
      </c>
      <c r="H276" s="222">
        <v>41</v>
      </c>
      <c r="I276" s="222">
        <v>3.89</v>
      </c>
      <c r="J276" s="237">
        <v>3.89</v>
      </c>
    </row>
    <row r="277" spans="1:10" x14ac:dyDescent="0.2">
      <c r="A277" s="233" t="s">
        <v>415</v>
      </c>
      <c r="B277" s="217">
        <v>9.86</v>
      </c>
      <c r="C277" s="217">
        <f t="shared" si="9"/>
        <v>9.8599999999999993E-2</v>
      </c>
      <c r="D277" s="217">
        <v>12.5</v>
      </c>
      <c r="E277" s="217">
        <v>292</v>
      </c>
      <c r="F277" s="217">
        <v>292</v>
      </c>
      <c r="G277" s="217">
        <v>41.8</v>
      </c>
      <c r="H277" s="217">
        <v>41.8</v>
      </c>
      <c r="I277" s="217">
        <v>4.84</v>
      </c>
      <c r="J277" s="234">
        <v>4.84</v>
      </c>
    </row>
    <row r="278" spans="1:10" x14ac:dyDescent="0.2">
      <c r="A278" s="233" t="s">
        <v>416</v>
      </c>
      <c r="B278" s="217">
        <v>12.2</v>
      </c>
      <c r="C278" s="217">
        <f t="shared" si="9"/>
        <v>0.122</v>
      </c>
      <c r="D278" s="217">
        <v>15.4</v>
      </c>
      <c r="E278" s="217">
        <v>357</v>
      </c>
      <c r="F278" s="217">
        <v>357</v>
      </c>
      <c r="G278" s="217">
        <v>51.1</v>
      </c>
      <c r="H278" s="217">
        <v>51.1</v>
      </c>
      <c r="I278" s="217">
        <v>4.8099999999999996</v>
      </c>
      <c r="J278" s="234">
        <v>4.8099999999999996</v>
      </c>
    </row>
    <row r="279" spans="1:10" x14ac:dyDescent="0.2">
      <c r="A279" s="233" t="s">
        <v>417</v>
      </c>
      <c r="B279" s="217">
        <v>13.5</v>
      </c>
      <c r="C279" s="217">
        <f t="shared" si="9"/>
        <v>0.13500000000000001</v>
      </c>
      <c r="D279" s="217">
        <v>17.100000000000001</v>
      </c>
      <c r="E279" s="217">
        <v>393</v>
      </c>
      <c r="F279" s="217">
        <v>393</v>
      </c>
      <c r="G279" s="217">
        <v>56.2</v>
      </c>
      <c r="H279" s="217">
        <v>56.2</v>
      </c>
      <c r="I279" s="217">
        <v>4.8</v>
      </c>
      <c r="J279" s="234">
        <v>4.8</v>
      </c>
    </row>
    <row r="280" spans="1:10" x14ac:dyDescent="0.2">
      <c r="A280" s="233" t="s">
        <v>418</v>
      </c>
      <c r="B280" s="217">
        <v>14.9</v>
      </c>
      <c r="C280" s="217">
        <f t="shared" si="9"/>
        <v>0.14899999999999999</v>
      </c>
      <c r="D280" s="217">
        <v>19.100000000000001</v>
      </c>
      <c r="E280" s="217">
        <v>437</v>
      </c>
      <c r="F280" s="217">
        <v>437</v>
      </c>
      <c r="G280" s="217">
        <v>62.6</v>
      </c>
      <c r="H280" s="217">
        <v>62.6</v>
      </c>
      <c r="I280" s="217">
        <v>4.78</v>
      </c>
      <c r="J280" s="234">
        <v>4.78</v>
      </c>
    </row>
    <row r="281" spans="1:10" x14ac:dyDescent="0.2">
      <c r="A281" s="236" t="s">
        <v>419</v>
      </c>
      <c r="B281" s="222">
        <v>13.1</v>
      </c>
      <c r="C281" s="217">
        <f t="shared" si="9"/>
        <v>0.13100000000000001</v>
      </c>
      <c r="D281" s="222">
        <v>16.600000000000001</v>
      </c>
      <c r="E281" s="222">
        <v>566</v>
      </c>
      <c r="F281" s="222">
        <v>566</v>
      </c>
      <c r="G281" s="222">
        <v>67.2</v>
      </c>
      <c r="H281" s="222">
        <v>67.2</v>
      </c>
      <c r="I281" s="222">
        <v>5.84</v>
      </c>
      <c r="J281" s="237">
        <v>5.84</v>
      </c>
    </row>
    <row r="282" spans="1:10" x14ac:dyDescent="0.2">
      <c r="A282" s="236" t="s">
        <v>420</v>
      </c>
      <c r="B282" s="222">
        <v>16.3</v>
      </c>
      <c r="C282" s="217">
        <f t="shared" si="9"/>
        <v>0.16300000000000001</v>
      </c>
      <c r="D282" s="222">
        <v>20.6</v>
      </c>
      <c r="E282" s="222">
        <v>697</v>
      </c>
      <c r="F282" s="222">
        <v>697</v>
      </c>
      <c r="G282" s="222">
        <v>82.8</v>
      </c>
      <c r="H282" s="222">
        <v>82.8</v>
      </c>
      <c r="I282" s="222">
        <v>5.81</v>
      </c>
      <c r="J282" s="237">
        <v>5.81</v>
      </c>
    </row>
    <row r="283" spans="1:10" x14ac:dyDescent="0.2">
      <c r="A283" s="236" t="s">
        <v>421</v>
      </c>
      <c r="B283" s="222">
        <v>18.100000000000001</v>
      </c>
      <c r="C283" s="217">
        <f t="shared" si="9"/>
        <v>0.18100000000000002</v>
      </c>
      <c r="D283" s="222">
        <v>23.2</v>
      </c>
      <c r="E283" s="222">
        <v>777</v>
      </c>
      <c r="F283" s="222">
        <v>777</v>
      </c>
      <c r="G283" s="222">
        <v>92.4</v>
      </c>
      <c r="H283" s="222">
        <v>92.4</v>
      </c>
      <c r="I283" s="222">
        <v>5.79</v>
      </c>
      <c r="J283" s="237">
        <v>5.79</v>
      </c>
    </row>
    <row r="284" spans="1:10" x14ac:dyDescent="0.2">
      <c r="A284" s="236" t="s">
        <v>422</v>
      </c>
      <c r="B284" s="222">
        <v>20.100000000000001</v>
      </c>
      <c r="C284" s="217">
        <f t="shared" si="9"/>
        <v>0.20100000000000001</v>
      </c>
      <c r="D284" s="222">
        <v>25.7</v>
      </c>
      <c r="E284" s="222">
        <v>856</v>
      </c>
      <c r="F284" s="222">
        <v>856</v>
      </c>
      <c r="G284" s="222">
        <v>102</v>
      </c>
      <c r="H284" s="222">
        <v>102</v>
      </c>
      <c r="I284" s="222">
        <v>5.78</v>
      </c>
      <c r="J284" s="237">
        <v>5.78</v>
      </c>
    </row>
    <row r="285" spans="1:10" x14ac:dyDescent="0.2">
      <c r="A285" s="233" t="s">
        <v>423</v>
      </c>
      <c r="B285" s="217">
        <v>21.4</v>
      </c>
      <c r="C285" s="217">
        <f t="shared" si="9"/>
        <v>0.214</v>
      </c>
      <c r="D285" s="217">
        <v>27</v>
      </c>
      <c r="E285" s="218">
        <v>1564</v>
      </c>
      <c r="F285" s="218">
        <v>1564</v>
      </c>
      <c r="G285" s="217">
        <v>143</v>
      </c>
      <c r="H285" s="217">
        <v>143</v>
      </c>
      <c r="I285" s="217">
        <v>7.61</v>
      </c>
      <c r="J285" s="234">
        <v>7.61</v>
      </c>
    </row>
    <row r="286" spans="1:10" x14ac:dyDescent="0.2">
      <c r="A286" s="233" t="s">
        <v>424</v>
      </c>
      <c r="B286" s="217">
        <v>26.4</v>
      </c>
      <c r="C286" s="217">
        <f>B286/100</f>
        <v>0.26400000000000001</v>
      </c>
      <c r="D286" s="217">
        <v>33.6</v>
      </c>
      <c r="E286" s="218">
        <v>1928</v>
      </c>
      <c r="F286" s="218">
        <v>1928</v>
      </c>
      <c r="G286" s="217">
        <v>176</v>
      </c>
      <c r="H286" s="217">
        <v>176</v>
      </c>
      <c r="I286" s="217">
        <v>7.57</v>
      </c>
      <c r="J286" s="234">
        <v>7.57</v>
      </c>
    </row>
    <row r="287" spans="1:10" x14ac:dyDescent="0.2">
      <c r="A287" s="233" t="s">
        <v>425</v>
      </c>
      <c r="B287" s="217">
        <v>31</v>
      </c>
      <c r="C287" s="217">
        <f t="shared" si="9"/>
        <v>0.31</v>
      </c>
      <c r="D287" s="217">
        <v>39.5</v>
      </c>
      <c r="E287" s="218">
        <v>2247</v>
      </c>
      <c r="F287" s="218">
        <v>2247</v>
      </c>
      <c r="G287" s="217">
        <v>205</v>
      </c>
      <c r="H287" s="217">
        <v>205</v>
      </c>
      <c r="I287" s="217">
        <v>7.54</v>
      </c>
      <c r="J287" s="234">
        <v>7.54</v>
      </c>
    </row>
    <row r="288" spans="1:10" x14ac:dyDescent="0.2">
      <c r="A288" s="236" t="s">
        <v>426</v>
      </c>
      <c r="B288" s="222">
        <v>26.7</v>
      </c>
      <c r="C288" s="217">
        <f>B288/100</f>
        <v>0.26700000000000002</v>
      </c>
      <c r="D288" s="222">
        <v>33.799999999999997</v>
      </c>
      <c r="E288" s="223">
        <v>3058</v>
      </c>
      <c r="F288" s="223">
        <v>3058</v>
      </c>
      <c r="G288" s="222">
        <v>224</v>
      </c>
      <c r="H288" s="222">
        <v>224</v>
      </c>
      <c r="I288" s="222">
        <v>9.51</v>
      </c>
      <c r="J288" s="237">
        <v>9.51</v>
      </c>
    </row>
    <row r="289" spans="1:10" x14ac:dyDescent="0.2">
      <c r="A289" s="236" t="s">
        <v>427</v>
      </c>
      <c r="B289" s="222">
        <v>36.799999999999997</v>
      </c>
      <c r="C289" s="217">
        <f t="shared" ref="C289:C302" si="10">B289/100</f>
        <v>0.36799999999999999</v>
      </c>
      <c r="D289" s="222">
        <v>47</v>
      </c>
      <c r="E289" s="223">
        <v>4206</v>
      </c>
      <c r="F289" s="223">
        <v>4206</v>
      </c>
      <c r="G289" s="222">
        <v>308</v>
      </c>
      <c r="H289" s="222">
        <v>308</v>
      </c>
      <c r="I289" s="222">
        <v>9.4600000000000009</v>
      </c>
      <c r="J289" s="237">
        <v>9.4600000000000009</v>
      </c>
    </row>
    <row r="290" spans="1:10" x14ac:dyDescent="0.2">
      <c r="A290" s="236" t="s">
        <v>428</v>
      </c>
      <c r="B290" s="222">
        <v>41.6</v>
      </c>
      <c r="C290" s="217">
        <f t="shared" si="10"/>
        <v>0.41600000000000004</v>
      </c>
      <c r="D290" s="222">
        <v>52.8</v>
      </c>
      <c r="E290" s="223">
        <v>4696</v>
      </c>
      <c r="F290" s="223">
        <v>4696</v>
      </c>
      <c r="G290" s="222">
        <v>344</v>
      </c>
      <c r="H290" s="222">
        <v>344</v>
      </c>
      <c r="I290" s="222">
        <v>9.43</v>
      </c>
      <c r="J290" s="237">
        <v>9.43</v>
      </c>
    </row>
    <row r="291" spans="1:10" x14ac:dyDescent="0.2">
      <c r="A291" s="233" t="s">
        <v>429</v>
      </c>
      <c r="B291" s="217">
        <v>31.8</v>
      </c>
      <c r="C291" s="217">
        <f t="shared" si="10"/>
        <v>0.318</v>
      </c>
      <c r="D291" s="217">
        <v>40.200000000000003</v>
      </c>
      <c r="E291" s="218">
        <v>5144</v>
      </c>
      <c r="F291" s="218">
        <v>5144</v>
      </c>
      <c r="G291" s="217">
        <v>318</v>
      </c>
      <c r="H291" s="217">
        <v>318</v>
      </c>
      <c r="I291" s="217">
        <v>11.3</v>
      </c>
      <c r="J291" s="234">
        <v>11.3</v>
      </c>
    </row>
    <row r="292" spans="1:10" x14ac:dyDescent="0.2">
      <c r="A292" s="233" t="s">
        <v>430</v>
      </c>
      <c r="B292" s="217">
        <v>46.2</v>
      </c>
      <c r="C292" s="217">
        <f t="shared" si="10"/>
        <v>0.46200000000000002</v>
      </c>
      <c r="D292" s="217">
        <v>58.9</v>
      </c>
      <c r="E292" s="218">
        <v>7453</v>
      </c>
      <c r="F292" s="218">
        <v>7453</v>
      </c>
      <c r="G292" s="217">
        <v>460</v>
      </c>
      <c r="H292" s="217">
        <v>460</v>
      </c>
      <c r="I292" s="217">
        <v>11.2</v>
      </c>
      <c r="J292" s="234">
        <v>11.2</v>
      </c>
    </row>
    <row r="293" spans="1:10" x14ac:dyDescent="0.2">
      <c r="A293" s="233" t="s">
        <v>431</v>
      </c>
      <c r="B293" s="217">
        <v>55.6</v>
      </c>
      <c r="C293" s="217">
        <f t="shared" si="10"/>
        <v>0.55600000000000005</v>
      </c>
      <c r="D293" s="217">
        <v>70.7</v>
      </c>
      <c r="E293" s="218">
        <v>8869</v>
      </c>
      <c r="F293" s="218">
        <v>8869</v>
      </c>
      <c r="G293" s="217">
        <v>548</v>
      </c>
      <c r="H293" s="217">
        <v>548</v>
      </c>
      <c r="I293" s="217">
        <v>11.2</v>
      </c>
      <c r="J293" s="234">
        <v>11.2</v>
      </c>
    </row>
    <row r="294" spans="1:10" x14ac:dyDescent="0.2">
      <c r="A294" s="236" t="s">
        <v>432</v>
      </c>
      <c r="B294" s="222">
        <v>43.2</v>
      </c>
      <c r="C294" s="217">
        <f t="shared" si="10"/>
        <v>0.43200000000000005</v>
      </c>
      <c r="D294" s="222">
        <v>55.1</v>
      </c>
      <c r="E294" s="223">
        <v>8464</v>
      </c>
      <c r="F294" s="223">
        <v>8464</v>
      </c>
      <c r="G294" s="222">
        <v>476</v>
      </c>
      <c r="H294" s="222">
        <v>476</v>
      </c>
      <c r="I294" s="222">
        <v>12.4</v>
      </c>
      <c r="J294" s="237">
        <v>12.4</v>
      </c>
    </row>
    <row r="295" spans="1:10" x14ac:dyDescent="0.2">
      <c r="A295" s="236" t="s">
        <v>433</v>
      </c>
      <c r="B295" s="222">
        <v>54.5</v>
      </c>
      <c r="C295" s="217">
        <f t="shared" si="10"/>
        <v>0.54500000000000004</v>
      </c>
      <c r="D295" s="222">
        <v>69.099999999999994</v>
      </c>
      <c r="E295" s="223">
        <v>10547</v>
      </c>
      <c r="F295" s="223">
        <v>10547</v>
      </c>
      <c r="G295" s="222">
        <v>593</v>
      </c>
      <c r="H295" s="222">
        <v>593</v>
      </c>
      <c r="I295" s="222">
        <v>12.4</v>
      </c>
      <c r="J295" s="237">
        <v>12.4</v>
      </c>
    </row>
    <row r="296" spans="1:10" x14ac:dyDescent="0.2">
      <c r="A296" s="236" t="s">
        <v>434</v>
      </c>
      <c r="B296" s="222">
        <v>68.3</v>
      </c>
      <c r="C296" s="217">
        <f t="shared" si="10"/>
        <v>0.68299999999999994</v>
      </c>
      <c r="D296" s="222">
        <v>87.4</v>
      </c>
      <c r="E296" s="223">
        <v>13201</v>
      </c>
      <c r="F296" s="223">
        <v>13201</v>
      </c>
      <c r="G296" s="222">
        <v>742</v>
      </c>
      <c r="H296" s="222">
        <v>742</v>
      </c>
      <c r="I296" s="222">
        <v>12.3</v>
      </c>
      <c r="J296" s="237">
        <v>12.3</v>
      </c>
    </row>
    <row r="297" spans="1:10" x14ac:dyDescent="0.2">
      <c r="A297" s="233" t="s">
        <v>435</v>
      </c>
      <c r="B297" s="217">
        <v>49.5</v>
      </c>
      <c r="C297" s="217">
        <f t="shared" si="10"/>
        <v>0.495</v>
      </c>
      <c r="D297" s="217">
        <v>63.1</v>
      </c>
      <c r="E297" s="218">
        <v>12704</v>
      </c>
      <c r="F297" s="218">
        <v>12704</v>
      </c>
      <c r="G297" s="217">
        <v>625</v>
      </c>
      <c r="H297" s="217">
        <v>625</v>
      </c>
      <c r="I297" s="217">
        <v>14.2</v>
      </c>
      <c r="J297" s="234">
        <v>14.2</v>
      </c>
    </row>
    <row r="298" spans="1:10" x14ac:dyDescent="0.2">
      <c r="A298" s="233" t="s">
        <v>436</v>
      </c>
      <c r="B298" s="217">
        <v>62.4</v>
      </c>
      <c r="C298" s="217">
        <f t="shared" si="10"/>
        <v>0.624</v>
      </c>
      <c r="D298" s="217">
        <v>79.2</v>
      </c>
      <c r="E298" s="218">
        <v>15849</v>
      </c>
      <c r="F298" s="218">
        <v>15849</v>
      </c>
      <c r="G298" s="217">
        <v>780</v>
      </c>
      <c r="H298" s="217">
        <v>780</v>
      </c>
      <c r="I298" s="217">
        <v>14.1</v>
      </c>
      <c r="J298" s="234">
        <v>14.1</v>
      </c>
    </row>
    <row r="299" spans="1:10" x14ac:dyDescent="0.2">
      <c r="A299" s="233" t="s">
        <v>437</v>
      </c>
      <c r="B299" s="217">
        <v>70.099999999999994</v>
      </c>
      <c r="C299" s="217">
        <f t="shared" si="10"/>
        <v>0.70099999999999996</v>
      </c>
      <c r="D299" s="217">
        <v>89.1</v>
      </c>
      <c r="E299" s="218">
        <v>17756</v>
      </c>
      <c r="F299" s="218">
        <v>17756</v>
      </c>
      <c r="G299" s="217">
        <v>874</v>
      </c>
      <c r="H299" s="217">
        <v>874</v>
      </c>
      <c r="I299" s="217">
        <v>14.1</v>
      </c>
      <c r="J299" s="234">
        <v>14.1</v>
      </c>
    </row>
    <row r="300" spans="1:10" x14ac:dyDescent="0.2">
      <c r="A300" s="236" t="s">
        <v>438</v>
      </c>
      <c r="B300" s="222">
        <v>62.1</v>
      </c>
      <c r="C300" s="217">
        <f t="shared" si="10"/>
        <v>0.621</v>
      </c>
      <c r="D300" s="222">
        <v>79.5</v>
      </c>
      <c r="E300" s="223">
        <v>20312</v>
      </c>
      <c r="F300" s="223">
        <v>20312</v>
      </c>
      <c r="G300" s="222">
        <v>889</v>
      </c>
      <c r="H300" s="222">
        <v>889</v>
      </c>
      <c r="I300" s="222">
        <v>16</v>
      </c>
      <c r="J300" s="237">
        <v>16</v>
      </c>
    </row>
    <row r="301" spans="1:10" x14ac:dyDescent="0.2">
      <c r="A301" s="236" t="s">
        <v>439</v>
      </c>
      <c r="B301" s="222">
        <v>70.3</v>
      </c>
      <c r="C301" s="217">
        <f t="shared" si="10"/>
        <v>0.70299999999999996</v>
      </c>
      <c r="D301" s="222">
        <v>89.2</v>
      </c>
      <c r="E301" s="223">
        <v>22684</v>
      </c>
      <c r="F301" s="223">
        <v>22684</v>
      </c>
      <c r="G301" s="222">
        <v>992</v>
      </c>
      <c r="H301" s="222">
        <v>992</v>
      </c>
      <c r="I301" s="222">
        <v>15.9</v>
      </c>
      <c r="J301" s="237">
        <v>15.9</v>
      </c>
    </row>
    <row r="302" spans="1:10" x14ac:dyDescent="0.2">
      <c r="A302" s="239" t="s">
        <v>440</v>
      </c>
      <c r="B302" s="247">
        <v>88.2</v>
      </c>
      <c r="C302" s="248">
        <f t="shared" si="10"/>
        <v>0.88200000000000001</v>
      </c>
      <c r="D302" s="247">
        <v>113</v>
      </c>
      <c r="E302" s="249">
        <v>28484</v>
      </c>
      <c r="F302" s="249">
        <v>28484</v>
      </c>
      <c r="G302" s="249">
        <v>1246</v>
      </c>
      <c r="H302" s="249">
        <v>1246</v>
      </c>
      <c r="I302" s="247">
        <v>15.9</v>
      </c>
      <c r="J302" s="250">
        <v>15.9</v>
      </c>
    </row>
    <row r="303" spans="1:10" x14ac:dyDescent="0.2">
      <c r="A303" s="323"/>
      <c r="B303" s="132"/>
      <c r="C303" s="132"/>
      <c r="D303" s="132"/>
      <c r="E303" s="132"/>
      <c r="F303" s="132"/>
      <c r="G303" s="132"/>
      <c r="H303" s="132"/>
      <c r="I303" s="132"/>
      <c r="J303" s="132"/>
    </row>
  </sheetData>
  <sheetProtection sheet="1" objects="1" scenarios="1" selectLockedCells="1"/>
  <mergeCells count="3">
    <mergeCell ref="E1:F1"/>
    <mergeCell ref="G1:H1"/>
    <mergeCell ref="I1:J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ornaunodaacciaio">
                <anchor moveWithCells="1" sizeWithCells="1">
                  <from>
                    <xdr:col>10</xdr:col>
                    <xdr:colOff>76200</xdr:colOff>
                    <xdr:row>0</xdr:row>
                    <xdr:rowOff>19050</xdr:rowOff>
                  </from>
                  <to>
                    <xdr:col>11</xdr:col>
                    <xdr:colOff>476250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ornaduedaacciaio">
                <anchor moveWithCells="1" sizeWithCells="1">
                  <from>
                    <xdr:col>11</xdr:col>
                    <xdr:colOff>552450</xdr:colOff>
                    <xdr:row>0</xdr:row>
                    <xdr:rowOff>19050</xdr:rowOff>
                  </from>
                  <to>
                    <xdr:col>13</xdr:col>
                    <xdr:colOff>390525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Tornaatredaacciaio">
                <anchor moveWithCells="1" sizeWithCells="1">
                  <from>
                    <xdr:col>13</xdr:col>
                    <xdr:colOff>495300</xdr:colOff>
                    <xdr:row>0</xdr:row>
                    <xdr:rowOff>19050</xdr:rowOff>
                  </from>
                  <to>
                    <xdr:col>15</xdr:col>
                    <xdr:colOff>333375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Tornaaquattrodaacciaio">
                <anchor moveWithCells="1" sizeWithCells="1">
                  <from>
                    <xdr:col>15</xdr:col>
                    <xdr:colOff>447675</xdr:colOff>
                    <xdr:row>0</xdr:row>
                    <xdr:rowOff>19050</xdr:rowOff>
                  </from>
                  <to>
                    <xdr:col>17</xdr:col>
                    <xdr:colOff>285750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Foglio32"/>
  <dimension ref="A1:W28"/>
  <sheetViews>
    <sheetView topLeftCell="D1" workbookViewId="0">
      <selection activeCell="Q21" sqref="Q21"/>
    </sheetView>
  </sheetViews>
  <sheetFormatPr defaultRowHeight="15" x14ac:dyDescent="0.25"/>
  <sheetData>
    <row r="1" spans="1:23" x14ac:dyDescent="0.25">
      <c r="A1" s="290" t="s">
        <v>469</v>
      </c>
      <c r="B1" s="36"/>
      <c r="C1" s="36"/>
      <c r="D1" s="36"/>
      <c r="E1" s="291"/>
      <c r="G1" s="290" t="s">
        <v>470</v>
      </c>
      <c r="H1" s="36"/>
      <c r="I1" s="36"/>
      <c r="J1" s="36"/>
      <c r="K1" s="291"/>
      <c r="M1" s="290" t="s">
        <v>471</v>
      </c>
      <c r="N1" s="36"/>
      <c r="O1" s="36"/>
      <c r="P1" s="36"/>
      <c r="Q1" s="291"/>
      <c r="S1" s="290" t="s">
        <v>472</v>
      </c>
      <c r="T1" s="36"/>
      <c r="U1" s="36"/>
      <c r="V1" s="36"/>
      <c r="W1" s="291"/>
    </row>
    <row r="2" spans="1:23" x14ac:dyDescent="0.25">
      <c r="A2" s="290"/>
      <c r="B2" s="36"/>
      <c r="C2" s="36"/>
      <c r="D2" s="36"/>
      <c r="E2" s="291"/>
      <c r="G2" s="290"/>
      <c r="H2" s="36"/>
      <c r="I2" s="36"/>
      <c r="J2" s="36"/>
      <c r="K2" s="291"/>
      <c r="M2" s="290"/>
      <c r="N2" s="36"/>
      <c r="O2" s="36"/>
      <c r="P2" s="36"/>
      <c r="Q2" s="291"/>
      <c r="S2" s="290"/>
      <c r="T2" s="36"/>
      <c r="U2" s="36"/>
      <c r="V2" s="36"/>
      <c r="W2" s="291"/>
    </row>
    <row r="3" spans="1:23" x14ac:dyDescent="0.25">
      <c r="A3" s="293" t="s">
        <v>2</v>
      </c>
      <c r="B3" s="30" t="s">
        <v>5</v>
      </c>
      <c r="C3" s="36"/>
      <c r="D3" s="36"/>
      <c r="E3" s="291"/>
      <c r="G3" s="292" t="s">
        <v>2</v>
      </c>
      <c r="H3" s="33" t="s">
        <v>5</v>
      </c>
      <c r="I3" s="36"/>
      <c r="J3" s="36"/>
      <c r="K3" s="291"/>
      <c r="M3" s="292" t="s">
        <v>2</v>
      </c>
      <c r="N3" s="33" t="s">
        <v>5</v>
      </c>
      <c r="O3" s="36"/>
      <c r="P3" s="36"/>
      <c r="Q3" s="291"/>
      <c r="S3" s="292" t="s">
        <v>2</v>
      </c>
      <c r="T3" s="33" t="s">
        <v>5</v>
      </c>
      <c r="U3" s="36"/>
      <c r="V3" s="36"/>
      <c r="W3" s="291"/>
    </row>
    <row r="4" spans="1:23" x14ac:dyDescent="0.25">
      <c r="A4" s="293">
        <v>0</v>
      </c>
      <c r="B4" s="30">
        <v>0</v>
      </c>
      <c r="C4" s="36"/>
      <c r="D4" s="36"/>
      <c r="E4" s="291"/>
      <c r="G4" s="293">
        <v>0</v>
      </c>
      <c r="H4" s="30">
        <v>0</v>
      </c>
      <c r="I4" s="36"/>
      <c r="J4" s="36"/>
      <c r="K4" s="291"/>
      <c r="M4" s="293">
        <v>0</v>
      </c>
      <c r="N4" s="30">
        <v>0</v>
      </c>
      <c r="O4" s="36"/>
      <c r="P4" s="36"/>
      <c r="Q4" s="291"/>
      <c r="S4" s="293">
        <v>0</v>
      </c>
      <c r="T4" s="30">
        <v>0</v>
      </c>
      <c r="U4" s="36"/>
      <c r="V4" s="36"/>
      <c r="W4" s="291"/>
    </row>
    <row r="5" spans="1:23" x14ac:dyDescent="0.25">
      <c r="A5" s="293">
        <v>1</v>
      </c>
      <c r="B5" s="30">
        <v>0</v>
      </c>
      <c r="C5" s="36"/>
      <c r="D5" s="36"/>
      <c r="E5" s="291"/>
      <c r="G5" s="293">
        <v>1</v>
      </c>
      <c r="H5" s="30">
        <v>0</v>
      </c>
      <c r="I5" s="36"/>
      <c r="J5" s="36"/>
      <c r="K5" s="291"/>
      <c r="M5" s="293">
        <v>1</v>
      </c>
      <c r="N5" s="30">
        <v>0</v>
      </c>
      <c r="O5" s="36"/>
      <c r="P5" s="36"/>
      <c r="Q5" s="291"/>
      <c r="S5" s="293">
        <v>1</v>
      </c>
      <c r="T5" s="30">
        <v>0</v>
      </c>
      <c r="U5" s="36"/>
      <c r="V5" s="36"/>
      <c r="W5" s="291"/>
    </row>
    <row r="6" spans="1:23" x14ac:dyDescent="0.25">
      <c r="A6" s="293">
        <v>6</v>
      </c>
      <c r="B6" s="30">
        <v>0</v>
      </c>
      <c r="C6" s="36"/>
      <c r="D6" s="36"/>
      <c r="E6" s="291"/>
      <c r="G6" s="293">
        <v>6</v>
      </c>
      <c r="H6" s="30">
        <v>0</v>
      </c>
      <c r="I6" s="36"/>
      <c r="J6" s="36"/>
      <c r="K6" s="291"/>
      <c r="M6" s="293">
        <v>6</v>
      </c>
      <c r="N6" s="30">
        <v>0</v>
      </c>
      <c r="O6" s="36"/>
      <c r="P6" s="36"/>
      <c r="Q6" s="291"/>
      <c r="S6" s="293">
        <v>6</v>
      </c>
      <c r="T6" s="30">
        <v>0</v>
      </c>
      <c r="U6" s="36"/>
      <c r="V6" s="36"/>
      <c r="W6" s="291"/>
    </row>
    <row r="7" spans="1:23" x14ac:dyDescent="0.25">
      <c r="A7" s="293">
        <v>7</v>
      </c>
      <c r="B7" s="30">
        <v>0</v>
      </c>
      <c r="C7" s="36"/>
      <c r="D7" s="36"/>
      <c r="E7" s="291"/>
      <c r="G7" s="294">
        <v>11</v>
      </c>
      <c r="H7" s="289">
        <v>0</v>
      </c>
      <c r="I7" s="36"/>
      <c r="J7" s="36"/>
      <c r="K7" s="291"/>
      <c r="M7" s="294">
        <v>11</v>
      </c>
      <c r="N7" s="289">
        <v>0</v>
      </c>
      <c r="O7" s="36"/>
      <c r="P7" s="36"/>
      <c r="Q7" s="291"/>
      <c r="S7" s="294">
        <v>11</v>
      </c>
      <c r="T7" s="289">
        <v>0</v>
      </c>
      <c r="U7" s="36"/>
      <c r="V7" s="36"/>
      <c r="W7" s="291"/>
    </row>
    <row r="8" spans="1:23" x14ac:dyDescent="0.25">
      <c r="A8" s="290"/>
      <c r="B8" s="36"/>
      <c r="C8" s="36"/>
      <c r="D8" s="36"/>
      <c r="E8" s="291"/>
      <c r="G8" s="293">
        <v>12</v>
      </c>
      <c r="H8" s="30">
        <v>0</v>
      </c>
      <c r="I8" s="36"/>
      <c r="J8" s="36"/>
      <c r="K8" s="291"/>
      <c r="M8" s="293">
        <v>16</v>
      </c>
      <c r="N8" s="30">
        <v>0</v>
      </c>
      <c r="O8" s="36"/>
      <c r="P8" s="36"/>
      <c r="Q8" s="291"/>
      <c r="S8" s="293">
        <v>16</v>
      </c>
      <c r="T8" s="30">
        <v>0</v>
      </c>
      <c r="U8" s="36"/>
      <c r="V8" s="36"/>
      <c r="W8" s="291"/>
    </row>
    <row r="9" spans="1:23" x14ac:dyDescent="0.25">
      <c r="A9" s="290"/>
      <c r="B9" s="36"/>
      <c r="C9" s="36"/>
      <c r="D9" s="36"/>
      <c r="E9" s="291"/>
      <c r="G9" s="290"/>
      <c r="H9" s="36"/>
      <c r="I9" s="36"/>
      <c r="J9" s="36"/>
      <c r="K9" s="291"/>
      <c r="M9" s="293">
        <v>17</v>
      </c>
      <c r="N9" s="30">
        <v>0</v>
      </c>
      <c r="O9" s="36"/>
      <c r="P9" s="36"/>
      <c r="Q9" s="291"/>
      <c r="S9" s="293">
        <v>21</v>
      </c>
      <c r="T9" s="30">
        <v>0</v>
      </c>
      <c r="U9" s="36"/>
      <c r="V9" s="36"/>
      <c r="W9" s="291"/>
    </row>
    <row r="10" spans="1:23" x14ac:dyDescent="0.25">
      <c r="A10" s="290" t="s">
        <v>47</v>
      </c>
      <c r="B10" s="287">
        <v>0.25</v>
      </c>
      <c r="C10" s="36"/>
      <c r="D10" s="36" t="s">
        <v>48</v>
      </c>
      <c r="E10" s="291">
        <f>B10</f>
        <v>0.25</v>
      </c>
      <c r="G10" s="290"/>
      <c r="H10" s="36"/>
      <c r="I10" s="36"/>
      <c r="J10" s="36"/>
      <c r="K10" s="291"/>
      <c r="M10" s="290"/>
      <c r="N10" s="36"/>
      <c r="O10" s="36"/>
      <c r="P10" s="36"/>
      <c r="Q10" s="291"/>
      <c r="S10" s="293">
        <v>22</v>
      </c>
      <c r="T10" s="30">
        <v>0</v>
      </c>
      <c r="U10" s="36"/>
      <c r="V10" s="36"/>
      <c r="W10" s="291"/>
    </row>
    <row r="11" spans="1:23" x14ac:dyDescent="0.25">
      <c r="A11" s="293">
        <f>A5</f>
        <v>1</v>
      </c>
      <c r="B11" s="30">
        <v>0</v>
      </c>
      <c r="C11" s="36"/>
      <c r="D11" s="30">
        <f>A6</f>
        <v>6</v>
      </c>
      <c r="E11" s="295">
        <v>0</v>
      </c>
      <c r="G11" s="290" t="s">
        <v>47</v>
      </c>
      <c r="H11" s="287">
        <v>0.25</v>
      </c>
      <c r="I11" s="36"/>
      <c r="J11" s="36" t="s">
        <v>48</v>
      </c>
      <c r="K11" s="291">
        <f>H11</f>
        <v>0.25</v>
      </c>
      <c r="M11" s="290" t="s">
        <v>47</v>
      </c>
      <c r="N11" s="287">
        <v>0.25</v>
      </c>
      <c r="O11" s="36"/>
      <c r="P11" s="36" t="s">
        <v>48</v>
      </c>
      <c r="Q11" s="291">
        <f>N11</f>
        <v>0.25</v>
      </c>
      <c r="S11" s="290"/>
      <c r="T11" s="36"/>
      <c r="U11" s="36"/>
      <c r="V11" s="36"/>
      <c r="W11" s="291"/>
    </row>
    <row r="12" spans="1:23" x14ac:dyDescent="0.25">
      <c r="A12" s="293">
        <f>A11-B10</f>
        <v>0.75</v>
      </c>
      <c r="B12" s="30">
        <f>-B10</f>
        <v>-0.25</v>
      </c>
      <c r="C12" s="36"/>
      <c r="D12" s="30">
        <f>D11-E10</f>
        <v>5.75</v>
      </c>
      <c r="E12" s="295">
        <f>-E10</f>
        <v>-0.25</v>
      </c>
      <c r="G12" s="293">
        <f>G5</f>
        <v>1</v>
      </c>
      <c r="H12" s="30">
        <v>0</v>
      </c>
      <c r="I12" s="36"/>
      <c r="J12" s="30">
        <f>G6</f>
        <v>6</v>
      </c>
      <c r="K12" s="295">
        <v>0</v>
      </c>
      <c r="M12" s="293">
        <f>M5</f>
        <v>1</v>
      </c>
      <c r="N12" s="30">
        <v>0</v>
      </c>
      <c r="O12" s="36"/>
      <c r="P12" s="30">
        <f>M6</f>
        <v>6</v>
      </c>
      <c r="Q12" s="295">
        <v>0</v>
      </c>
      <c r="S12" s="290" t="s">
        <v>47</v>
      </c>
      <c r="T12" s="287">
        <v>0.25</v>
      </c>
      <c r="U12" s="36"/>
      <c r="V12" s="36" t="s">
        <v>48</v>
      </c>
      <c r="W12" s="291">
        <f>T12</f>
        <v>0.25</v>
      </c>
    </row>
    <row r="13" spans="1:23" x14ac:dyDescent="0.25">
      <c r="A13" s="293">
        <f>A5+B10</f>
        <v>1.25</v>
      </c>
      <c r="B13" s="30">
        <f>-B10</f>
        <v>-0.25</v>
      </c>
      <c r="C13" s="36"/>
      <c r="D13" s="30">
        <f>D11+E10</f>
        <v>6.25</v>
      </c>
      <c r="E13" s="295">
        <f>-E10</f>
        <v>-0.25</v>
      </c>
      <c r="G13" s="293">
        <f>G12-H11</f>
        <v>0.75</v>
      </c>
      <c r="H13" s="30">
        <f>-H11</f>
        <v>-0.25</v>
      </c>
      <c r="I13" s="36"/>
      <c r="J13" s="30">
        <f>J12-K11</f>
        <v>5.75</v>
      </c>
      <c r="K13" s="295">
        <f>-K11</f>
        <v>-0.25</v>
      </c>
      <c r="M13" s="293">
        <f>M12-N11</f>
        <v>0.75</v>
      </c>
      <c r="N13" s="30">
        <f>-N11</f>
        <v>-0.25</v>
      </c>
      <c r="O13" s="36"/>
      <c r="P13" s="30">
        <f>P12-Q11</f>
        <v>5.75</v>
      </c>
      <c r="Q13" s="295">
        <f>-Q11</f>
        <v>-0.25</v>
      </c>
      <c r="S13" s="293">
        <f>S5</f>
        <v>1</v>
      </c>
      <c r="T13" s="30">
        <v>0</v>
      </c>
      <c r="U13" s="36"/>
      <c r="V13" s="30">
        <f>S6</f>
        <v>6</v>
      </c>
      <c r="W13" s="295">
        <v>0</v>
      </c>
    </row>
    <row r="14" spans="1:23" x14ac:dyDescent="0.25">
      <c r="A14" s="293">
        <f>1</f>
        <v>1</v>
      </c>
      <c r="B14" s="30">
        <v>0</v>
      </c>
      <c r="C14" s="36"/>
      <c r="D14" s="30">
        <f>D11</f>
        <v>6</v>
      </c>
      <c r="E14" s="295">
        <v>0</v>
      </c>
      <c r="G14" s="293">
        <f>G5+H11</f>
        <v>1.25</v>
      </c>
      <c r="H14" s="30">
        <f>-H11</f>
        <v>-0.25</v>
      </c>
      <c r="I14" s="36"/>
      <c r="J14" s="30">
        <f>J12+K11</f>
        <v>6.25</v>
      </c>
      <c r="K14" s="295">
        <f>-K11</f>
        <v>-0.25</v>
      </c>
      <c r="M14" s="293">
        <f>M5+N11</f>
        <v>1.25</v>
      </c>
      <c r="N14" s="30">
        <f>-N11</f>
        <v>-0.25</v>
      </c>
      <c r="O14" s="36"/>
      <c r="P14" s="30">
        <f>P12+Q11</f>
        <v>6.25</v>
      </c>
      <c r="Q14" s="295">
        <f>-Q11</f>
        <v>-0.25</v>
      </c>
      <c r="S14" s="293">
        <f>S13-T12</f>
        <v>0.75</v>
      </c>
      <c r="T14" s="30">
        <f>-T12</f>
        <v>-0.25</v>
      </c>
      <c r="U14" s="36"/>
      <c r="V14" s="30">
        <f>V13-W12</f>
        <v>5.75</v>
      </c>
      <c r="W14" s="295">
        <f>-W12</f>
        <v>-0.25</v>
      </c>
    </row>
    <row r="15" spans="1:23" x14ac:dyDescent="0.25">
      <c r="A15" s="36"/>
      <c r="B15" s="36"/>
      <c r="C15" s="36"/>
      <c r="D15" s="36"/>
      <c r="E15" s="36"/>
      <c r="G15" s="293">
        <f>1</f>
        <v>1</v>
      </c>
      <c r="H15" s="30">
        <v>0</v>
      </c>
      <c r="I15" s="36"/>
      <c r="J15" s="30">
        <f>J12</f>
        <v>6</v>
      </c>
      <c r="K15" s="295">
        <v>0</v>
      </c>
      <c r="M15" s="293">
        <f>1</f>
        <v>1</v>
      </c>
      <c r="N15" s="30">
        <v>0</v>
      </c>
      <c r="O15" s="36"/>
      <c r="P15" s="30">
        <f>P12</f>
        <v>6</v>
      </c>
      <c r="Q15" s="295">
        <v>0</v>
      </c>
      <c r="S15" s="293">
        <f>S5+T12</f>
        <v>1.25</v>
      </c>
      <c r="T15" s="30">
        <f>-T12</f>
        <v>-0.25</v>
      </c>
      <c r="U15" s="36"/>
      <c r="V15" s="30">
        <f>V13+W12</f>
        <v>6.25</v>
      </c>
      <c r="W15" s="295">
        <f>-W12</f>
        <v>-0.25</v>
      </c>
    </row>
    <row r="16" spans="1:23" x14ac:dyDescent="0.25">
      <c r="A16" s="36"/>
      <c r="B16" s="36"/>
      <c r="C16" s="36"/>
      <c r="D16" s="36"/>
      <c r="E16" s="36"/>
      <c r="G16" s="290"/>
      <c r="H16" s="36"/>
      <c r="I16" s="36"/>
      <c r="J16" s="36"/>
      <c r="K16" s="291"/>
      <c r="M16" s="290"/>
      <c r="N16" s="36"/>
      <c r="O16" s="36"/>
      <c r="P16" s="36"/>
      <c r="Q16" s="291"/>
      <c r="S16" s="293">
        <f>1</f>
        <v>1</v>
      </c>
      <c r="T16" s="30">
        <v>0</v>
      </c>
      <c r="U16" s="36"/>
      <c r="V16" s="30">
        <f>V13</f>
        <v>6</v>
      </c>
      <c r="W16" s="295">
        <v>0</v>
      </c>
    </row>
    <row r="17" spans="1:23" x14ac:dyDescent="0.25">
      <c r="A17" s="36"/>
      <c r="B17" s="36"/>
      <c r="C17" s="36"/>
      <c r="D17" s="36"/>
      <c r="E17" s="36"/>
      <c r="G17" s="290" t="s">
        <v>85</v>
      </c>
      <c r="H17" s="36">
        <f>H11</f>
        <v>0.25</v>
      </c>
      <c r="I17" s="36"/>
      <c r="J17" s="36"/>
      <c r="K17" s="291"/>
      <c r="M17" s="290" t="s">
        <v>85</v>
      </c>
      <c r="N17" s="36">
        <f>N11</f>
        <v>0.25</v>
      </c>
      <c r="O17" s="36"/>
      <c r="P17" s="288" t="s">
        <v>105</v>
      </c>
      <c r="Q17" s="291">
        <f>N11</f>
        <v>0.25</v>
      </c>
      <c r="S17" s="290"/>
      <c r="T17" s="36"/>
      <c r="U17" s="36"/>
      <c r="V17" s="36"/>
      <c r="W17" s="291"/>
    </row>
    <row r="18" spans="1:23" x14ac:dyDescent="0.25">
      <c r="G18" s="293">
        <f>G7</f>
        <v>11</v>
      </c>
      <c r="H18" s="30">
        <v>0</v>
      </c>
      <c r="I18" s="36"/>
      <c r="J18" s="36"/>
      <c r="K18" s="291"/>
      <c r="M18" s="293">
        <f>M7</f>
        <v>11</v>
      </c>
      <c r="N18" s="30">
        <v>0</v>
      </c>
      <c r="O18" s="36"/>
      <c r="P18" s="30">
        <f>M8</f>
        <v>16</v>
      </c>
      <c r="Q18" s="295">
        <v>0</v>
      </c>
      <c r="S18" s="290" t="s">
        <v>85</v>
      </c>
      <c r="T18" s="36">
        <f>T12</f>
        <v>0.25</v>
      </c>
      <c r="U18" s="36"/>
      <c r="V18" s="288" t="s">
        <v>105</v>
      </c>
      <c r="W18" s="291">
        <f>T12</f>
        <v>0.25</v>
      </c>
    </row>
    <row r="19" spans="1:23" x14ac:dyDescent="0.25">
      <c r="G19" s="293">
        <f>G18-H17</f>
        <v>10.75</v>
      </c>
      <c r="H19" s="30">
        <f>-H17</f>
        <v>-0.25</v>
      </c>
      <c r="I19" s="36"/>
      <c r="J19" s="36"/>
      <c r="K19" s="291"/>
      <c r="M19" s="293">
        <f>M18-N17</f>
        <v>10.75</v>
      </c>
      <c r="N19" s="30">
        <f>-N17</f>
        <v>-0.25</v>
      </c>
      <c r="O19" s="36"/>
      <c r="P19" s="30">
        <f>P18-Q17</f>
        <v>15.75</v>
      </c>
      <c r="Q19" s="295">
        <f>-Q17</f>
        <v>-0.25</v>
      </c>
      <c r="S19" s="293">
        <f>S7</f>
        <v>11</v>
      </c>
      <c r="T19" s="30">
        <v>0</v>
      </c>
      <c r="U19" s="36"/>
      <c r="V19" s="30">
        <f>S8</f>
        <v>16</v>
      </c>
      <c r="W19" s="295">
        <v>0</v>
      </c>
    </row>
    <row r="20" spans="1:23" x14ac:dyDescent="0.25">
      <c r="G20" s="293">
        <f>G18+H17</f>
        <v>11.25</v>
      </c>
      <c r="H20" s="30">
        <f>-H17</f>
        <v>-0.25</v>
      </c>
      <c r="I20" s="36"/>
      <c r="J20" s="36"/>
      <c r="K20" s="291"/>
      <c r="M20" s="293">
        <f>M18+N17</f>
        <v>11.25</v>
      </c>
      <c r="N20" s="30">
        <f>-N17</f>
        <v>-0.25</v>
      </c>
      <c r="O20" s="36"/>
      <c r="P20" s="30">
        <f>P18+Q17</f>
        <v>16.25</v>
      </c>
      <c r="Q20" s="295">
        <f>-Q17</f>
        <v>-0.25</v>
      </c>
      <c r="S20" s="293">
        <f>S19-T18</f>
        <v>10.75</v>
      </c>
      <c r="T20" s="30">
        <f>-T18</f>
        <v>-0.25</v>
      </c>
      <c r="U20" s="36"/>
      <c r="V20" s="30">
        <f>V19-W18</f>
        <v>15.75</v>
      </c>
      <c r="W20" s="295">
        <f>-W18</f>
        <v>-0.25</v>
      </c>
    </row>
    <row r="21" spans="1:23" x14ac:dyDescent="0.25">
      <c r="G21" s="293">
        <f>G18</f>
        <v>11</v>
      </c>
      <c r="H21" s="30">
        <v>0</v>
      </c>
      <c r="I21" s="36"/>
      <c r="J21" s="36"/>
      <c r="K21" s="291"/>
      <c r="M21" s="293">
        <f>M18</f>
        <v>11</v>
      </c>
      <c r="N21" s="30">
        <v>0</v>
      </c>
      <c r="O21" s="36"/>
      <c r="P21" s="30">
        <f>P18</f>
        <v>16</v>
      </c>
      <c r="Q21" s="295">
        <v>0</v>
      </c>
      <c r="S21" s="293">
        <f>S19+T18</f>
        <v>11.25</v>
      </c>
      <c r="T21" s="30">
        <f>-T18</f>
        <v>-0.25</v>
      </c>
      <c r="U21" s="36"/>
      <c r="V21" s="30">
        <f>V19+W18</f>
        <v>16.25</v>
      </c>
      <c r="W21" s="295">
        <f>-W18</f>
        <v>-0.25</v>
      </c>
    </row>
    <row r="22" spans="1:23" x14ac:dyDescent="0.25">
      <c r="S22" s="293">
        <f>S19</f>
        <v>11</v>
      </c>
      <c r="T22" s="30">
        <v>0</v>
      </c>
      <c r="U22" s="36"/>
      <c r="V22" s="30">
        <f>V19</f>
        <v>16</v>
      </c>
      <c r="W22" s="295">
        <v>0</v>
      </c>
    </row>
    <row r="23" spans="1:23" x14ac:dyDescent="0.25">
      <c r="S23" s="290"/>
      <c r="T23" s="36"/>
      <c r="U23" s="36"/>
      <c r="V23" s="36"/>
      <c r="W23" s="291"/>
    </row>
    <row r="24" spans="1:23" x14ac:dyDescent="0.25">
      <c r="S24" s="290" t="s">
        <v>122</v>
      </c>
      <c r="T24" s="36">
        <f>T12</f>
        <v>0.25</v>
      </c>
      <c r="U24" s="36"/>
      <c r="V24" s="36"/>
      <c r="W24" s="291"/>
    </row>
    <row r="25" spans="1:23" x14ac:dyDescent="0.25">
      <c r="S25" s="293">
        <f>S9</f>
        <v>21</v>
      </c>
      <c r="T25" s="30">
        <v>0</v>
      </c>
      <c r="U25" s="36"/>
      <c r="V25" s="36"/>
      <c r="W25" s="291"/>
    </row>
    <row r="26" spans="1:23" x14ac:dyDescent="0.25">
      <c r="S26" s="293">
        <f>S25-T24</f>
        <v>20.75</v>
      </c>
      <c r="T26" s="30">
        <f>-T24</f>
        <v>-0.25</v>
      </c>
      <c r="U26" s="36"/>
      <c r="V26" s="36"/>
      <c r="W26" s="291"/>
    </row>
    <row r="27" spans="1:23" x14ac:dyDescent="0.25">
      <c r="S27" s="293">
        <f>S25+T24</f>
        <v>21.25</v>
      </c>
      <c r="T27" s="30">
        <f>-T24</f>
        <v>-0.25</v>
      </c>
      <c r="U27" s="36"/>
      <c r="V27" s="36"/>
      <c r="W27" s="291"/>
    </row>
    <row r="28" spans="1:23" x14ac:dyDescent="0.25">
      <c r="S28" s="293">
        <f>S25</f>
        <v>21</v>
      </c>
      <c r="T28" s="30">
        <v>0</v>
      </c>
      <c r="U28" s="36"/>
      <c r="V28" s="36"/>
      <c r="W28" s="29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34</vt:i4>
      </vt:variant>
      <vt:variant>
        <vt:lpstr>Intervalli denominati</vt:lpstr>
      </vt:variant>
      <vt:variant>
        <vt:i4>56</vt:i4>
      </vt:variant>
    </vt:vector>
  </HeadingPairs>
  <TitlesOfParts>
    <vt:vector size="90" baseType="lpstr">
      <vt:lpstr>Menu</vt:lpstr>
      <vt:lpstr>C-Trave</vt:lpstr>
      <vt:lpstr>C-car.1</vt:lpstr>
      <vt:lpstr>C-car.2</vt:lpstr>
      <vt:lpstr>C-car.3</vt:lpstr>
      <vt:lpstr>C-car.4</vt:lpstr>
      <vt:lpstr>C-car.5</vt:lpstr>
      <vt:lpstr>C-Vincoli trave</vt:lpstr>
      <vt:lpstr>CC-Trave</vt:lpstr>
      <vt:lpstr>CCC-Trave esterna (P1)</vt:lpstr>
      <vt:lpstr>CCC-Trave int1 (P1)</vt:lpstr>
      <vt:lpstr>CCC-Trave int2 (P1)</vt:lpstr>
      <vt:lpstr>CCCC-Trave</vt:lpstr>
      <vt:lpstr>CCCC-car.1</vt:lpstr>
      <vt:lpstr>CCCC-car.2</vt:lpstr>
      <vt:lpstr>CCCC-car.3</vt:lpstr>
      <vt:lpstr>CCCC-car.4</vt:lpstr>
      <vt:lpstr>CCCC-car.5</vt:lpstr>
      <vt:lpstr>CCCC-Vincoli trave</vt:lpstr>
      <vt:lpstr>CCC-car.1</vt:lpstr>
      <vt:lpstr>CCC-car.2</vt:lpstr>
      <vt:lpstr>CCC-car.3</vt:lpstr>
      <vt:lpstr>CCC-car.4</vt:lpstr>
      <vt:lpstr>CCC-car.5</vt:lpstr>
      <vt:lpstr>CCC-Vincoli trave</vt:lpstr>
      <vt:lpstr>CC-car.1</vt:lpstr>
      <vt:lpstr>CC-car.2</vt:lpstr>
      <vt:lpstr>CC-car.3</vt:lpstr>
      <vt:lpstr>CC-car.4</vt:lpstr>
      <vt:lpstr>CC-car.5</vt:lpstr>
      <vt:lpstr>CC-Vincoli trave</vt:lpstr>
      <vt:lpstr>Sezioni ca</vt:lpstr>
      <vt:lpstr>Sezioni acciaio</vt:lpstr>
      <vt:lpstr>Coordinate travi Menu</vt:lpstr>
      <vt:lpstr>acciaio</vt:lpstr>
      <vt:lpstr>'CCC-Trave esterna (P1)'!assente</vt:lpstr>
      <vt:lpstr>'CCC-Trave int1 (P1)'!assente</vt:lpstr>
      <vt:lpstr>'CCC-Trave int2 (P1)'!assente</vt:lpstr>
      <vt:lpstr>'CC-Trave'!assente</vt:lpstr>
      <vt:lpstr>'C-Trave'!assente</vt:lpstr>
      <vt:lpstr>assente</vt:lpstr>
      <vt:lpstr>ca</vt:lpstr>
      <vt:lpstr>matacciaio</vt:lpstr>
      <vt:lpstr>'CCCC-car.1'!matC</vt:lpstr>
      <vt:lpstr>'CCCC-car.2'!matC</vt:lpstr>
      <vt:lpstr>'CCCC-car.3'!matC</vt:lpstr>
      <vt:lpstr>'CCCC-car.4'!matC</vt:lpstr>
      <vt:lpstr>'CCCC-car.5'!matC</vt:lpstr>
      <vt:lpstr>matC</vt:lpstr>
      <vt:lpstr>matca</vt:lpstr>
      <vt:lpstr>matca1</vt:lpstr>
      <vt:lpstr>matCiinv</vt:lpstr>
      <vt:lpstr>'CCC-car.2'!matCinv</vt:lpstr>
      <vt:lpstr>'CCC-car.3'!matCinv</vt:lpstr>
      <vt:lpstr>'CCC-car.4'!matCinv</vt:lpstr>
      <vt:lpstr>'CCC-car.5'!matCinv</vt:lpstr>
      <vt:lpstr>'CCCC-car.1'!matCinv</vt:lpstr>
      <vt:lpstr>'CCCC-car.2'!matCinv</vt:lpstr>
      <vt:lpstr>'CCCC-car.3'!matCinv</vt:lpstr>
      <vt:lpstr>'CCCC-car.4'!matCinv</vt:lpstr>
      <vt:lpstr>'CCCC-car.5'!matCinv</vt:lpstr>
      <vt:lpstr>matCinv</vt:lpstr>
      <vt:lpstr>'CCCC-car.1'!matM</vt:lpstr>
      <vt:lpstr>'CCCC-car.2'!matM</vt:lpstr>
      <vt:lpstr>'CCCC-car.3'!matM</vt:lpstr>
      <vt:lpstr>'CCCC-car.4'!matM</vt:lpstr>
      <vt:lpstr>'CCCC-car.5'!matM</vt:lpstr>
      <vt:lpstr>matM</vt:lpstr>
      <vt:lpstr>'CCC-car.2'!matN</vt:lpstr>
      <vt:lpstr>'CCC-car.3'!matN</vt:lpstr>
      <vt:lpstr>'CCC-car.4'!matN</vt:lpstr>
      <vt:lpstr>'CCC-car.5'!matN</vt:lpstr>
      <vt:lpstr>'CCCC-car.1'!matN</vt:lpstr>
      <vt:lpstr>'CCCC-car.2'!matN</vt:lpstr>
      <vt:lpstr>'CCCC-car.3'!matN</vt:lpstr>
      <vt:lpstr>'CCCC-car.4'!matN</vt:lpstr>
      <vt:lpstr>'CCCC-car.5'!matN</vt:lpstr>
      <vt:lpstr>matN</vt:lpstr>
      <vt:lpstr>'CCC-Trave esterna (P1)'!No</vt:lpstr>
      <vt:lpstr>'CCC-Trave int1 (P1)'!No</vt:lpstr>
      <vt:lpstr>'CCC-Trave int2 (P1)'!No</vt:lpstr>
      <vt:lpstr>'CC-Trave'!No</vt:lpstr>
      <vt:lpstr>'C-Trave'!No</vt:lpstr>
      <vt:lpstr>NO</vt:lpstr>
      <vt:lpstr>'CCC-Trave esterna (P1)'!presente</vt:lpstr>
      <vt:lpstr>'CCC-Trave int1 (P1)'!presente</vt:lpstr>
      <vt:lpstr>'CCC-Trave int2 (P1)'!presente</vt:lpstr>
      <vt:lpstr>'CC-Trave'!presente</vt:lpstr>
      <vt:lpstr>'C-Trave'!presente</vt:lpstr>
      <vt:lpstr>presente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francesco</dc:creator>
  <cp:lastModifiedBy>domenico gaudioso</cp:lastModifiedBy>
  <cp:lastPrinted>2015-01-09T17:37:24Z</cp:lastPrinted>
  <dcterms:created xsi:type="dcterms:W3CDTF">2013-07-19T13:40:26Z</dcterms:created>
  <dcterms:modified xsi:type="dcterms:W3CDTF">2019-10-09T14:33:20Z</dcterms:modified>
</cp:coreProperties>
</file>