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69DCE452-AC01-4213-B3C4-7328B52D52A2}" xr6:coauthVersionLast="44" xr6:coauthVersionMax="44" xr10:uidLastSave="{00000000-0000-0000-0000-000000000000}"/>
  <bookViews>
    <workbookView xWindow="-120" yWindow="-120" windowWidth="20730" windowHeight="11160" xr2:uid="{5E673A9E-31E2-4464-A224-65AD1A465A18}"/>
  </bookViews>
  <sheets>
    <sheet name="As mi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5" i="1" l="1"/>
  <c r="H40" i="1" l="1"/>
  <c r="H41" i="1"/>
  <c r="H42" i="1"/>
  <c r="H43" i="1"/>
  <c r="H44" i="1"/>
  <c r="H45" i="1"/>
  <c r="H46" i="1"/>
  <c r="H47" i="1"/>
  <c r="H48" i="1"/>
  <c r="H39" i="1"/>
  <c r="H36" i="1"/>
  <c r="H35" i="1"/>
  <c r="H34" i="1"/>
  <c r="H33" i="1"/>
  <c r="H32" i="1"/>
  <c r="H31" i="1"/>
  <c r="H30" i="1"/>
  <c r="H29" i="1"/>
  <c r="H28" i="1"/>
  <c r="H27" i="1"/>
  <c r="H24" i="1"/>
  <c r="H23" i="1"/>
  <c r="H22" i="1"/>
  <c r="H21" i="1"/>
  <c r="H20" i="1"/>
  <c r="H19" i="1"/>
  <c r="H18" i="1"/>
  <c r="H17" i="1"/>
  <c r="H16" i="1"/>
  <c r="H15" i="1"/>
  <c r="H4" i="1"/>
  <c r="H5" i="1"/>
  <c r="H6" i="1"/>
  <c r="H7" i="1"/>
  <c r="H8" i="1"/>
  <c r="H9" i="1"/>
  <c r="H10" i="1"/>
  <c r="H11" i="1"/>
  <c r="H12" i="1"/>
  <c r="H3" i="1" l="1"/>
  <c r="B40" i="1"/>
  <c r="B41" i="1"/>
  <c r="B42" i="1"/>
  <c r="B43" i="1"/>
  <c r="B44" i="1"/>
  <c r="B45" i="1"/>
  <c r="B46" i="1"/>
  <c r="B47" i="1"/>
  <c r="B48" i="1"/>
  <c r="B39" i="1"/>
  <c r="B28" i="1"/>
  <c r="B29" i="1"/>
  <c r="B30" i="1"/>
  <c r="B31" i="1"/>
  <c r="B32" i="1"/>
  <c r="B33" i="1"/>
  <c r="B34" i="1"/>
  <c r="B35" i="1"/>
  <c r="B36" i="1"/>
  <c r="B27" i="1"/>
  <c r="B16" i="1"/>
  <c r="B17" i="1"/>
  <c r="B18" i="1"/>
  <c r="B19" i="1"/>
  <c r="B20" i="1"/>
  <c r="B21" i="1"/>
  <c r="B22" i="1"/>
  <c r="B23" i="1"/>
  <c r="B24" i="1"/>
  <c r="B15" i="1"/>
  <c r="B4" i="1"/>
  <c r="B5" i="1"/>
  <c r="B6" i="1"/>
  <c r="B7" i="1"/>
  <c r="B8" i="1"/>
  <c r="B9" i="1"/>
  <c r="B10" i="1"/>
  <c r="B11" i="1"/>
  <c r="B12" i="1"/>
  <c r="B3" i="1"/>
  <c r="I41" i="1" l="1"/>
  <c r="C44" i="1"/>
  <c r="C48" i="1"/>
  <c r="I47" i="1"/>
  <c r="C46" i="1"/>
  <c r="I45" i="1"/>
  <c r="I43" i="1"/>
  <c r="C42" i="1"/>
  <c r="C41" i="1"/>
  <c r="C40" i="1"/>
  <c r="C39" i="1"/>
  <c r="C28" i="1"/>
  <c r="C32" i="1"/>
  <c r="C36" i="1"/>
  <c r="C35" i="1"/>
  <c r="C34" i="1"/>
  <c r="C33" i="1"/>
  <c r="C31" i="1"/>
  <c r="C30" i="1"/>
  <c r="C29" i="1"/>
  <c r="I27" i="1"/>
  <c r="C16" i="1"/>
  <c r="C17" i="1"/>
  <c r="C24" i="1"/>
  <c r="I15" i="1"/>
  <c r="C19" i="1"/>
  <c r="C23" i="1"/>
  <c r="C20" i="1"/>
  <c r="C22" i="1"/>
  <c r="C21" i="1"/>
  <c r="C18" i="1"/>
  <c r="J41" i="1" l="1"/>
  <c r="C43" i="1"/>
  <c r="J43" i="1" s="1"/>
  <c r="C45" i="1"/>
  <c r="J45" i="1" s="1"/>
  <c r="C47" i="1"/>
  <c r="J47" i="1" s="1"/>
  <c r="I39" i="1"/>
  <c r="J39" i="1" s="1"/>
  <c r="I40" i="1"/>
  <c r="J40" i="1" s="1"/>
  <c r="I42" i="1"/>
  <c r="J42" i="1" s="1"/>
  <c r="I44" i="1"/>
  <c r="J44" i="1" s="1"/>
  <c r="I46" i="1"/>
  <c r="J46" i="1" s="1"/>
  <c r="I48" i="1"/>
  <c r="J48" i="1" s="1"/>
  <c r="I29" i="1"/>
  <c r="J29" i="1" s="1"/>
  <c r="I31" i="1"/>
  <c r="J31" i="1" s="1"/>
  <c r="C27" i="1"/>
  <c r="J27" i="1" s="1"/>
  <c r="I28" i="1"/>
  <c r="J28" i="1" s="1"/>
  <c r="I30" i="1"/>
  <c r="J30" i="1" s="1"/>
  <c r="I32" i="1"/>
  <c r="J32" i="1" s="1"/>
  <c r="I34" i="1"/>
  <c r="J34" i="1" s="1"/>
  <c r="I36" i="1"/>
  <c r="J36" i="1" s="1"/>
  <c r="I33" i="1"/>
  <c r="J33" i="1" s="1"/>
  <c r="I35" i="1"/>
  <c r="J35" i="1" s="1"/>
  <c r="I17" i="1"/>
  <c r="J17" i="1" s="1"/>
  <c r="I19" i="1"/>
  <c r="J19" i="1" s="1"/>
  <c r="I21" i="1"/>
  <c r="J21" i="1" s="1"/>
  <c r="I23" i="1"/>
  <c r="J23" i="1" s="1"/>
  <c r="C15" i="1"/>
  <c r="J15" i="1" s="1"/>
  <c r="I16" i="1"/>
  <c r="J16" i="1" s="1"/>
  <c r="I18" i="1"/>
  <c r="J18" i="1" s="1"/>
  <c r="I20" i="1"/>
  <c r="J20" i="1" s="1"/>
  <c r="I22" i="1"/>
  <c r="J22" i="1" s="1"/>
  <c r="I24" i="1"/>
  <c r="J24" i="1" s="1"/>
  <c r="C7" i="1" l="1"/>
  <c r="C11" i="1"/>
  <c r="C4" i="1"/>
  <c r="C5" i="1"/>
  <c r="I6" i="1"/>
  <c r="I7" i="1"/>
  <c r="C8" i="1"/>
  <c r="C9" i="1"/>
  <c r="I10" i="1"/>
  <c r="I11" i="1"/>
  <c r="C12" i="1"/>
  <c r="C3" i="1"/>
  <c r="J11" i="1" l="1"/>
  <c r="J7" i="1"/>
  <c r="I3" i="1"/>
  <c r="J3" i="1" s="1"/>
  <c r="I9" i="1"/>
  <c r="J9" i="1" s="1"/>
  <c r="I5" i="1"/>
  <c r="J5" i="1" s="1"/>
  <c r="C10" i="1"/>
  <c r="J10" i="1" s="1"/>
  <c r="C6" i="1"/>
  <c r="J6" i="1" s="1"/>
  <c r="I12" i="1"/>
  <c r="J12" i="1" s="1"/>
  <c r="I8" i="1"/>
  <c r="J8" i="1" s="1"/>
  <c r="I4" i="1"/>
  <c r="J4" i="1" s="1"/>
</calcChain>
</file>

<file path=xl/sharedStrings.xml><?xml version="1.0" encoding="utf-8"?>
<sst xmlns="http://schemas.openxmlformats.org/spreadsheetml/2006/main" count="72" uniqueCount="14">
  <si>
    <t>$A_{s,min}$</t>
  </si>
  <si>
    <t>mm^2</t>
  </si>
  <si>
    <t>$A_c$</t>
  </si>
  <si>
    <t>PIANO 1</t>
  </si>
  <si>
    <t>N.P</t>
  </si>
  <si>
    <t>$A_{s,max}$</t>
  </si>
  <si>
    <t>$\phi$</t>
  </si>
  <si>
    <t>N$\phi$</t>
  </si>
  <si>
    <t>$As^+$</t>
  </si>
  <si>
    <t>mm</t>
  </si>
  <si>
    <t>-</t>
  </si>
  <si>
    <t>PIANO 2</t>
  </si>
  <si>
    <t>PIANO 3</t>
  </si>
  <si>
    <t>PIANO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</si>
</sst>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ipartizione%20forze%20orizzontal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IFICHE GENERALI (SAP)"/>
      <sheetName val="VERIFICHE GENERALI"/>
      <sheetName val="PIANO 1"/>
      <sheetName val="PIANO 2"/>
      <sheetName val="PIANO 3"/>
      <sheetName val="PIANO 4"/>
    </sheetNames>
    <sheetDataSet>
      <sheetData sheetId="0"/>
      <sheetData sheetId="1"/>
      <sheetData sheetId="2">
        <row r="5">
          <cell r="B5">
            <v>550</v>
          </cell>
          <cell r="C5">
            <v>300</v>
          </cell>
        </row>
      </sheetData>
      <sheetData sheetId="3">
        <row r="5">
          <cell r="B5">
            <v>500</v>
          </cell>
          <cell r="C5">
            <v>300</v>
          </cell>
        </row>
      </sheetData>
      <sheetData sheetId="4">
        <row r="5">
          <cell r="B5">
            <v>450</v>
          </cell>
          <cell r="C5">
            <v>300</v>
          </cell>
        </row>
      </sheetData>
      <sheetData sheetId="5">
        <row r="5">
          <cell r="B5">
            <v>400</v>
          </cell>
          <cell r="C5">
            <v>300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B1F7-49F7-415B-897C-B34AA7E5A70E}">
  <dimension ref="A1:K48"/>
  <sheetViews>
    <sheetView tabSelected="1" topLeftCell="A4" zoomScale="70" zoomScaleNormal="70" workbookViewId="0">
      <selection activeCell="O34" sqref="O34"/>
    </sheetView>
  </sheetViews>
  <sheetFormatPr defaultRowHeight="15" x14ac:dyDescent="0.25"/>
  <cols>
    <col min="1" max="1" width="10" customWidth="1"/>
    <col min="2" max="2" width="13.7109375" customWidth="1"/>
    <col min="3" max="3" width="12.42578125" customWidth="1"/>
    <col min="7" max="7" width="12.85546875" customWidth="1"/>
    <col min="9" max="9" width="13" customWidth="1"/>
  </cols>
  <sheetData>
    <row r="1" spans="1:11" x14ac:dyDescent="0.25">
      <c r="A1" s="1" t="s">
        <v>3</v>
      </c>
      <c r="B1" s="1" t="s">
        <v>2</v>
      </c>
      <c r="C1" s="1" t="s">
        <v>0</v>
      </c>
      <c r="D1" s="1" t="s">
        <v>6</v>
      </c>
      <c r="E1" s="1" t="s">
        <v>7</v>
      </c>
      <c r="F1" s="1" t="s">
        <v>6</v>
      </c>
      <c r="G1" s="1" t="s">
        <v>7</v>
      </c>
      <c r="H1" s="1" t="s">
        <v>8</v>
      </c>
      <c r="I1" s="1" t="s">
        <v>5</v>
      </c>
    </row>
    <row r="2" spans="1:11" x14ac:dyDescent="0.25">
      <c r="A2" s="1" t="s">
        <v>4</v>
      </c>
      <c r="B2" s="1" t="s">
        <v>1</v>
      </c>
      <c r="C2" s="1" t="s">
        <v>1</v>
      </c>
      <c r="D2" s="1" t="s">
        <v>9</v>
      </c>
      <c r="E2" s="1" t="s">
        <v>10</v>
      </c>
      <c r="F2" s="1" t="s">
        <v>9</v>
      </c>
      <c r="G2" s="1" t="s">
        <v>10</v>
      </c>
      <c r="H2" s="2" t="s">
        <v>1</v>
      </c>
      <c r="I2" s="1" t="s">
        <v>1</v>
      </c>
    </row>
    <row r="3" spans="1:11" x14ac:dyDescent="0.25">
      <c r="A3" s="1">
        <v>1</v>
      </c>
      <c r="B3" s="3">
        <f>'[1]PIANO 1'!$B$5*'[1]PIANO 1'!$C$5</f>
        <v>165000</v>
      </c>
      <c r="C3" s="3">
        <f>(1/100)*B3</f>
        <v>1650</v>
      </c>
      <c r="D3" s="3">
        <v>18</v>
      </c>
      <c r="E3" s="3">
        <v>6</v>
      </c>
      <c r="F3" s="3">
        <v>20</v>
      </c>
      <c r="G3" s="3">
        <v>4</v>
      </c>
      <c r="H3" s="4">
        <f>E3*D3^2*PI()/4+G3*F3^2*PI()/4</f>
        <v>2783.4510910805566</v>
      </c>
      <c r="I3" s="3">
        <f t="shared" ref="I3:I12" si="0">(4/100)*B3</f>
        <v>6600</v>
      </c>
      <c r="J3" s="5" t="str">
        <f t="shared" ref="J3:J12" si="1">IF(AND(H3&gt;=C3,H3&lt;I3),"OK","NO")</f>
        <v>OK</v>
      </c>
    </row>
    <row r="4" spans="1:11" x14ac:dyDescent="0.25">
      <c r="A4" s="1">
        <v>2</v>
      </c>
      <c r="B4" s="3">
        <f>'[1]PIANO 1'!$B$5*'[1]PIANO 1'!$C$5</f>
        <v>165000</v>
      </c>
      <c r="C4" s="3">
        <f t="shared" ref="C4:C12" si="2">(1/100)*B4</f>
        <v>1650</v>
      </c>
      <c r="D4" s="3">
        <v>18</v>
      </c>
      <c r="E4" s="3">
        <v>6</v>
      </c>
      <c r="F4" s="3">
        <v>20</v>
      </c>
      <c r="G4" s="3">
        <v>4</v>
      </c>
      <c r="H4" s="4">
        <f t="shared" ref="H4:H12" si="3">E4*D4^2*PI()/4+G4*F4^2*PI()/4</f>
        <v>2783.4510910805566</v>
      </c>
      <c r="I4" s="3">
        <f t="shared" si="0"/>
        <v>6600</v>
      </c>
      <c r="J4" s="5" t="str">
        <f t="shared" si="1"/>
        <v>OK</v>
      </c>
    </row>
    <row r="5" spans="1:11" x14ac:dyDescent="0.25">
      <c r="A5" s="1">
        <v>3</v>
      </c>
      <c r="B5" s="3">
        <f>'[1]PIANO 1'!$B$5*'[1]PIANO 1'!$C$5</f>
        <v>165000</v>
      </c>
      <c r="C5" s="3">
        <f t="shared" si="2"/>
        <v>1650</v>
      </c>
      <c r="D5" s="3">
        <v>18</v>
      </c>
      <c r="E5" s="3">
        <v>6</v>
      </c>
      <c r="F5" s="3">
        <v>20</v>
      </c>
      <c r="G5" s="3">
        <v>4</v>
      </c>
      <c r="H5" s="4">
        <f t="shared" si="3"/>
        <v>2783.4510910805566</v>
      </c>
      <c r="I5" s="3">
        <f t="shared" si="0"/>
        <v>6600</v>
      </c>
      <c r="J5" s="5" t="str">
        <f t="shared" si="1"/>
        <v>OK</v>
      </c>
    </row>
    <row r="6" spans="1:11" x14ac:dyDescent="0.25">
      <c r="A6" s="1">
        <v>4</v>
      </c>
      <c r="B6" s="3">
        <f>'[1]PIANO 1'!$B$5*'[1]PIANO 1'!$C$5</f>
        <v>165000</v>
      </c>
      <c r="C6" s="3">
        <f t="shared" si="2"/>
        <v>1650</v>
      </c>
      <c r="D6" s="3">
        <v>18</v>
      </c>
      <c r="E6" s="3">
        <v>6</v>
      </c>
      <c r="F6" s="3">
        <v>20</v>
      </c>
      <c r="G6" s="3">
        <v>4</v>
      </c>
      <c r="H6" s="4">
        <f t="shared" si="3"/>
        <v>2783.4510910805566</v>
      </c>
      <c r="I6" s="3">
        <f t="shared" si="0"/>
        <v>6600</v>
      </c>
      <c r="J6" s="5" t="str">
        <f t="shared" si="1"/>
        <v>OK</v>
      </c>
    </row>
    <row r="7" spans="1:11" x14ac:dyDescent="0.25">
      <c r="A7" s="1">
        <v>5</v>
      </c>
      <c r="B7" s="3">
        <f>'[1]PIANO 1'!$B$5*'[1]PIANO 1'!$C$5</f>
        <v>165000</v>
      </c>
      <c r="C7" s="3">
        <f t="shared" si="2"/>
        <v>1650</v>
      </c>
      <c r="D7" s="3">
        <v>18</v>
      </c>
      <c r="E7" s="3">
        <v>6</v>
      </c>
      <c r="F7" s="3">
        <v>20</v>
      </c>
      <c r="G7" s="3">
        <v>4</v>
      </c>
      <c r="H7" s="4">
        <f t="shared" si="3"/>
        <v>2783.4510910805566</v>
      </c>
      <c r="I7" s="3">
        <f t="shared" si="0"/>
        <v>6600</v>
      </c>
      <c r="J7" s="5" t="str">
        <f t="shared" si="1"/>
        <v>OK</v>
      </c>
    </row>
    <row r="8" spans="1:11" x14ac:dyDescent="0.25">
      <c r="A8" s="1">
        <v>6</v>
      </c>
      <c r="B8" s="3">
        <f>'[1]PIANO 1'!$B$5*'[1]PIANO 1'!$C$5</f>
        <v>165000</v>
      </c>
      <c r="C8" s="3">
        <f t="shared" si="2"/>
        <v>1650</v>
      </c>
      <c r="D8" s="3">
        <v>18</v>
      </c>
      <c r="E8" s="3">
        <v>6</v>
      </c>
      <c r="F8" s="3">
        <v>20</v>
      </c>
      <c r="G8" s="3">
        <v>4</v>
      </c>
      <c r="H8" s="4">
        <f t="shared" si="3"/>
        <v>2783.4510910805566</v>
      </c>
      <c r="I8" s="3">
        <f t="shared" si="0"/>
        <v>6600</v>
      </c>
      <c r="J8" s="5" t="str">
        <f t="shared" si="1"/>
        <v>OK</v>
      </c>
    </row>
    <row r="9" spans="1:11" x14ac:dyDescent="0.25">
      <c r="A9" s="1">
        <v>7</v>
      </c>
      <c r="B9" s="3">
        <f>'[1]PIANO 1'!$B$5*'[1]PIANO 1'!$C$5</f>
        <v>165000</v>
      </c>
      <c r="C9" s="3">
        <f t="shared" si="2"/>
        <v>1650</v>
      </c>
      <c r="D9" s="3">
        <v>18</v>
      </c>
      <c r="E9" s="3">
        <v>6</v>
      </c>
      <c r="F9" s="3">
        <v>20</v>
      </c>
      <c r="G9" s="3">
        <v>4</v>
      </c>
      <c r="H9" s="4">
        <f t="shared" si="3"/>
        <v>2783.4510910805566</v>
      </c>
      <c r="I9" s="3">
        <f t="shared" si="0"/>
        <v>6600</v>
      </c>
      <c r="J9" s="5" t="str">
        <f t="shared" si="1"/>
        <v>OK</v>
      </c>
    </row>
    <row r="10" spans="1:11" x14ac:dyDescent="0.25">
      <c r="A10" s="1">
        <v>8</v>
      </c>
      <c r="B10" s="3">
        <f>'[1]PIANO 1'!$B$5*'[1]PIANO 1'!$C$5</f>
        <v>165000</v>
      </c>
      <c r="C10" s="3">
        <f t="shared" si="2"/>
        <v>1650</v>
      </c>
      <c r="D10" s="3">
        <v>18</v>
      </c>
      <c r="E10" s="3">
        <v>6</v>
      </c>
      <c r="F10" s="3">
        <v>20</v>
      </c>
      <c r="G10" s="3">
        <v>4</v>
      </c>
      <c r="H10" s="4">
        <f t="shared" si="3"/>
        <v>2783.4510910805566</v>
      </c>
      <c r="I10" s="3">
        <f t="shared" si="0"/>
        <v>6600</v>
      </c>
      <c r="J10" s="5" t="str">
        <f t="shared" si="1"/>
        <v>OK</v>
      </c>
    </row>
    <row r="11" spans="1:11" x14ac:dyDescent="0.25">
      <c r="A11" s="1">
        <v>9</v>
      </c>
      <c r="B11" s="3">
        <f>'[1]PIANO 1'!$B$5*'[1]PIANO 1'!$C$5</f>
        <v>165000</v>
      </c>
      <c r="C11" s="3">
        <f t="shared" si="2"/>
        <v>1650</v>
      </c>
      <c r="D11" s="3">
        <v>18</v>
      </c>
      <c r="E11" s="3">
        <v>6</v>
      </c>
      <c r="F11" s="3">
        <v>20</v>
      </c>
      <c r="G11" s="3">
        <v>4</v>
      </c>
      <c r="H11" s="4">
        <f t="shared" si="3"/>
        <v>2783.4510910805566</v>
      </c>
      <c r="I11" s="3">
        <f t="shared" si="0"/>
        <v>6600</v>
      </c>
      <c r="J11" s="5" t="str">
        <f t="shared" si="1"/>
        <v>OK</v>
      </c>
    </row>
    <row r="12" spans="1:11" x14ac:dyDescent="0.25">
      <c r="A12" s="1">
        <v>10</v>
      </c>
      <c r="B12" s="3">
        <f>'[1]PIANO 1'!$B$5*'[1]PIANO 1'!$C$5</f>
        <v>165000</v>
      </c>
      <c r="C12" s="3">
        <f t="shared" si="2"/>
        <v>1650</v>
      </c>
      <c r="D12" s="3">
        <v>18</v>
      </c>
      <c r="E12" s="3">
        <v>6</v>
      </c>
      <c r="F12" s="3">
        <v>20</v>
      </c>
      <c r="G12" s="3">
        <v>4</v>
      </c>
      <c r="H12" s="4">
        <f t="shared" si="3"/>
        <v>2783.4510910805566</v>
      </c>
      <c r="I12" s="3">
        <f t="shared" si="0"/>
        <v>6600</v>
      </c>
      <c r="J12" s="5" t="str">
        <f t="shared" si="1"/>
        <v>OK</v>
      </c>
    </row>
    <row r="13" spans="1:11" x14ac:dyDescent="0.25">
      <c r="A13" s="1" t="s">
        <v>11</v>
      </c>
      <c r="B13" s="1" t="s">
        <v>2</v>
      </c>
      <c r="C13" s="1" t="s">
        <v>0</v>
      </c>
      <c r="D13" s="1" t="s">
        <v>6</v>
      </c>
      <c r="E13" s="1" t="s">
        <v>7</v>
      </c>
      <c r="F13" s="1" t="s">
        <v>6</v>
      </c>
      <c r="G13" s="1" t="s">
        <v>7</v>
      </c>
      <c r="H13" s="1" t="s">
        <v>8</v>
      </c>
      <c r="I13" s="1" t="s">
        <v>5</v>
      </c>
    </row>
    <row r="14" spans="1:11" x14ac:dyDescent="0.25">
      <c r="A14" s="1" t="s">
        <v>4</v>
      </c>
      <c r="B14" s="1" t="s">
        <v>1</v>
      </c>
      <c r="C14" s="1" t="s">
        <v>1</v>
      </c>
      <c r="D14" s="1" t="s">
        <v>9</v>
      </c>
      <c r="E14" s="1" t="s">
        <v>10</v>
      </c>
      <c r="F14" s="1" t="s">
        <v>9</v>
      </c>
      <c r="G14" s="1" t="s">
        <v>10</v>
      </c>
      <c r="H14" s="2" t="s">
        <v>1</v>
      </c>
      <c r="I14" s="1" t="s">
        <v>1</v>
      </c>
    </row>
    <row r="15" spans="1:11" x14ac:dyDescent="0.25">
      <c r="A15" s="1">
        <v>1</v>
      </c>
      <c r="B15" s="3">
        <f>'[1]PIANO 2'!$B$5*'[1]PIANO 2'!$C$5</f>
        <v>150000</v>
      </c>
      <c r="C15" s="3">
        <f>(1/100)*B15</f>
        <v>1500</v>
      </c>
      <c r="D15" s="3">
        <v>18</v>
      </c>
      <c r="E15" s="3">
        <v>6</v>
      </c>
      <c r="F15" s="3">
        <v>20</v>
      </c>
      <c r="G15" s="3">
        <v>4</v>
      </c>
      <c r="H15" s="4">
        <f>E15*D15^2*PI()/4+G15*F15^2*PI()/4</f>
        <v>2783.4510910805566</v>
      </c>
      <c r="I15" s="3">
        <f t="shared" ref="I15:I24" si="4">(4/100)*B15</f>
        <v>6000</v>
      </c>
      <c r="J15" s="5" t="str">
        <f t="shared" ref="J15:J24" si="5">IF(AND(H15&gt;=C15,H15&lt;I15),"OK","NO")</f>
        <v>OK</v>
      </c>
      <c r="K15">
        <f>300*500</f>
        <v>150000</v>
      </c>
    </row>
    <row r="16" spans="1:11" x14ac:dyDescent="0.25">
      <c r="A16" s="1">
        <v>2</v>
      </c>
      <c r="B16" s="3">
        <f>'[1]PIANO 2'!$B$5*'[1]PIANO 2'!$C$5</f>
        <v>150000</v>
      </c>
      <c r="C16" s="3">
        <f t="shared" ref="C16:C24" si="6">(1/100)*B16</f>
        <v>1500</v>
      </c>
      <c r="D16" s="3">
        <v>18</v>
      </c>
      <c r="E16" s="3">
        <v>6</v>
      </c>
      <c r="F16" s="3">
        <v>20</v>
      </c>
      <c r="G16" s="3">
        <v>4</v>
      </c>
      <c r="H16" s="4">
        <f t="shared" ref="H16:H24" si="7">E16*D16^2*PI()/4+G16*F16^2*PI()/4</f>
        <v>2783.4510910805566</v>
      </c>
      <c r="I16" s="3">
        <f t="shared" si="4"/>
        <v>6000</v>
      </c>
      <c r="J16" s="5" t="str">
        <f t="shared" si="5"/>
        <v>OK</v>
      </c>
    </row>
    <row r="17" spans="1:10" x14ac:dyDescent="0.25">
      <c r="A17" s="1">
        <v>3</v>
      </c>
      <c r="B17" s="3">
        <f>'[1]PIANO 2'!$B$5*'[1]PIANO 2'!$C$5</f>
        <v>150000</v>
      </c>
      <c r="C17" s="3">
        <f t="shared" si="6"/>
        <v>1500</v>
      </c>
      <c r="D17" s="3">
        <v>18</v>
      </c>
      <c r="E17" s="3">
        <v>6</v>
      </c>
      <c r="F17" s="3">
        <v>20</v>
      </c>
      <c r="G17" s="3">
        <v>4</v>
      </c>
      <c r="H17" s="4">
        <f t="shared" si="7"/>
        <v>2783.4510910805566</v>
      </c>
      <c r="I17" s="3">
        <f t="shared" si="4"/>
        <v>6000</v>
      </c>
      <c r="J17" s="5" t="str">
        <f t="shared" si="5"/>
        <v>OK</v>
      </c>
    </row>
    <row r="18" spans="1:10" x14ac:dyDescent="0.25">
      <c r="A18" s="1">
        <v>4</v>
      </c>
      <c r="B18" s="3">
        <f>'[1]PIANO 2'!$B$5*'[1]PIANO 2'!$C$5</f>
        <v>150000</v>
      </c>
      <c r="C18" s="3">
        <f t="shared" si="6"/>
        <v>1500</v>
      </c>
      <c r="D18" s="3">
        <v>18</v>
      </c>
      <c r="E18" s="3">
        <v>6</v>
      </c>
      <c r="F18" s="3">
        <v>20</v>
      </c>
      <c r="G18" s="3">
        <v>4</v>
      </c>
      <c r="H18" s="4">
        <f t="shared" si="7"/>
        <v>2783.4510910805566</v>
      </c>
      <c r="I18" s="3">
        <f t="shared" si="4"/>
        <v>6000</v>
      </c>
      <c r="J18" s="5" t="str">
        <f t="shared" si="5"/>
        <v>OK</v>
      </c>
    </row>
    <row r="19" spans="1:10" x14ac:dyDescent="0.25">
      <c r="A19" s="1">
        <v>5</v>
      </c>
      <c r="B19" s="3">
        <f>'[1]PIANO 2'!$B$5*'[1]PIANO 2'!$C$5</f>
        <v>150000</v>
      </c>
      <c r="C19" s="3">
        <f t="shared" si="6"/>
        <v>1500</v>
      </c>
      <c r="D19" s="3">
        <v>18</v>
      </c>
      <c r="E19" s="3">
        <v>6</v>
      </c>
      <c r="F19" s="3">
        <v>20</v>
      </c>
      <c r="G19" s="3">
        <v>4</v>
      </c>
      <c r="H19" s="4">
        <f t="shared" si="7"/>
        <v>2783.4510910805566</v>
      </c>
      <c r="I19" s="3">
        <f t="shared" si="4"/>
        <v>6000</v>
      </c>
      <c r="J19" s="5" t="str">
        <f t="shared" si="5"/>
        <v>OK</v>
      </c>
    </row>
    <row r="20" spans="1:10" x14ac:dyDescent="0.25">
      <c r="A20" s="1">
        <v>6</v>
      </c>
      <c r="B20" s="3">
        <f>'[1]PIANO 2'!$B$5*'[1]PIANO 2'!$C$5</f>
        <v>150000</v>
      </c>
      <c r="C20" s="3">
        <f t="shared" si="6"/>
        <v>1500</v>
      </c>
      <c r="D20" s="3">
        <v>18</v>
      </c>
      <c r="E20" s="3">
        <v>6</v>
      </c>
      <c r="F20" s="3">
        <v>20</v>
      </c>
      <c r="G20" s="3">
        <v>4</v>
      </c>
      <c r="H20" s="4">
        <f t="shared" si="7"/>
        <v>2783.4510910805566</v>
      </c>
      <c r="I20" s="3">
        <f t="shared" si="4"/>
        <v>6000</v>
      </c>
      <c r="J20" s="5" t="str">
        <f t="shared" si="5"/>
        <v>OK</v>
      </c>
    </row>
    <row r="21" spans="1:10" x14ac:dyDescent="0.25">
      <c r="A21" s="1">
        <v>7</v>
      </c>
      <c r="B21" s="3">
        <f>'[1]PIANO 2'!$B$5*'[1]PIANO 2'!$C$5</f>
        <v>150000</v>
      </c>
      <c r="C21" s="3">
        <f t="shared" si="6"/>
        <v>1500</v>
      </c>
      <c r="D21" s="3">
        <v>18</v>
      </c>
      <c r="E21" s="3">
        <v>6</v>
      </c>
      <c r="F21" s="3">
        <v>20</v>
      </c>
      <c r="G21" s="3">
        <v>4</v>
      </c>
      <c r="H21" s="4">
        <f t="shared" si="7"/>
        <v>2783.4510910805566</v>
      </c>
      <c r="I21" s="3">
        <f t="shared" si="4"/>
        <v>6000</v>
      </c>
      <c r="J21" s="5" t="str">
        <f t="shared" si="5"/>
        <v>OK</v>
      </c>
    </row>
    <row r="22" spans="1:10" x14ac:dyDescent="0.25">
      <c r="A22" s="1">
        <v>8</v>
      </c>
      <c r="B22" s="3">
        <f>'[1]PIANO 2'!$B$5*'[1]PIANO 2'!$C$5</f>
        <v>150000</v>
      </c>
      <c r="C22" s="3">
        <f t="shared" si="6"/>
        <v>1500</v>
      </c>
      <c r="D22" s="3">
        <v>18</v>
      </c>
      <c r="E22" s="3">
        <v>6</v>
      </c>
      <c r="F22" s="3">
        <v>20</v>
      </c>
      <c r="G22" s="3">
        <v>4</v>
      </c>
      <c r="H22" s="4">
        <f t="shared" si="7"/>
        <v>2783.4510910805566</v>
      </c>
      <c r="I22" s="3">
        <f t="shared" si="4"/>
        <v>6000</v>
      </c>
      <c r="J22" s="5" t="str">
        <f t="shared" si="5"/>
        <v>OK</v>
      </c>
    </row>
    <row r="23" spans="1:10" x14ac:dyDescent="0.25">
      <c r="A23" s="1">
        <v>9</v>
      </c>
      <c r="B23" s="3">
        <f>'[1]PIANO 2'!$B$5*'[1]PIANO 2'!$C$5</f>
        <v>150000</v>
      </c>
      <c r="C23" s="3">
        <f t="shared" si="6"/>
        <v>1500</v>
      </c>
      <c r="D23" s="3">
        <v>18</v>
      </c>
      <c r="E23" s="3">
        <v>6</v>
      </c>
      <c r="F23" s="3">
        <v>20</v>
      </c>
      <c r="G23" s="3">
        <v>4</v>
      </c>
      <c r="H23" s="4">
        <f t="shared" si="7"/>
        <v>2783.4510910805566</v>
      </c>
      <c r="I23" s="3">
        <f t="shared" si="4"/>
        <v>6000</v>
      </c>
      <c r="J23" s="5" t="str">
        <f t="shared" si="5"/>
        <v>OK</v>
      </c>
    </row>
    <row r="24" spans="1:10" x14ac:dyDescent="0.25">
      <c r="A24" s="1">
        <v>10</v>
      </c>
      <c r="B24" s="3">
        <f>'[1]PIANO 2'!$B$5*'[1]PIANO 2'!$C$5</f>
        <v>150000</v>
      </c>
      <c r="C24" s="3">
        <f t="shared" si="6"/>
        <v>1500</v>
      </c>
      <c r="D24" s="3">
        <v>18</v>
      </c>
      <c r="E24" s="3">
        <v>6</v>
      </c>
      <c r="F24" s="3">
        <v>20</v>
      </c>
      <c r="G24" s="3">
        <v>4</v>
      </c>
      <c r="H24" s="4">
        <f t="shared" si="7"/>
        <v>2783.4510910805566</v>
      </c>
      <c r="I24" s="3">
        <f t="shared" si="4"/>
        <v>6000</v>
      </c>
      <c r="J24" s="5" t="str">
        <f t="shared" si="5"/>
        <v>OK</v>
      </c>
    </row>
    <row r="25" spans="1:10" x14ac:dyDescent="0.25">
      <c r="A25" s="1" t="s">
        <v>12</v>
      </c>
      <c r="B25" s="1" t="s">
        <v>2</v>
      </c>
      <c r="C25" s="1" t="s">
        <v>0</v>
      </c>
      <c r="D25" s="1" t="s">
        <v>6</v>
      </c>
      <c r="E25" s="1" t="s">
        <v>7</v>
      </c>
      <c r="F25" s="1" t="s">
        <v>6</v>
      </c>
      <c r="G25" s="1" t="s">
        <v>7</v>
      </c>
      <c r="H25" s="1" t="s">
        <v>8</v>
      </c>
      <c r="I25" s="1" t="s">
        <v>5</v>
      </c>
    </row>
    <row r="26" spans="1:10" x14ac:dyDescent="0.25">
      <c r="A26" s="1" t="s">
        <v>4</v>
      </c>
      <c r="B26" s="1" t="s">
        <v>1</v>
      </c>
      <c r="C26" s="1" t="s">
        <v>1</v>
      </c>
      <c r="D26" s="1" t="s">
        <v>9</v>
      </c>
      <c r="E26" s="1" t="s">
        <v>10</v>
      </c>
      <c r="F26" s="1" t="s">
        <v>9</v>
      </c>
      <c r="G26" s="1" t="s">
        <v>10</v>
      </c>
      <c r="H26" s="2" t="s">
        <v>1</v>
      </c>
      <c r="I26" s="1" t="s">
        <v>1</v>
      </c>
    </row>
    <row r="27" spans="1:10" x14ac:dyDescent="0.25">
      <c r="A27" s="1">
        <v>1</v>
      </c>
      <c r="B27" s="3">
        <f>'[1]PIANO 3'!$B$5*'[1]PIANO 3'!$C$5</f>
        <v>135000</v>
      </c>
      <c r="C27" s="3">
        <f>(1/100)*B27</f>
        <v>1350</v>
      </c>
      <c r="D27" s="3">
        <v>18</v>
      </c>
      <c r="E27" s="3">
        <v>6</v>
      </c>
      <c r="F27" s="3">
        <v>20</v>
      </c>
      <c r="G27" s="3">
        <v>4</v>
      </c>
      <c r="H27" s="4">
        <f>E27*D27^2*PI()/4+G27*F27^2*PI()/4</f>
        <v>2783.4510910805566</v>
      </c>
      <c r="I27" s="3">
        <f t="shared" ref="I27:I36" si="8">(4/100)*B27</f>
        <v>5400</v>
      </c>
      <c r="J27" s="5" t="str">
        <f t="shared" ref="J27:J36" si="9">IF(AND(H27&gt;=C27,H27&lt;I27),"OK","NO")</f>
        <v>OK</v>
      </c>
    </row>
    <row r="28" spans="1:10" x14ac:dyDescent="0.25">
      <c r="A28" s="1">
        <v>2</v>
      </c>
      <c r="B28" s="3">
        <f>'[1]PIANO 3'!$B$5*'[1]PIANO 3'!$C$5</f>
        <v>135000</v>
      </c>
      <c r="C28" s="3">
        <f t="shared" ref="C28:C36" si="10">(1/100)*B28</f>
        <v>1350</v>
      </c>
      <c r="D28" s="3">
        <v>18</v>
      </c>
      <c r="E28" s="3">
        <v>6</v>
      </c>
      <c r="F28" s="3">
        <v>20</v>
      </c>
      <c r="G28" s="3">
        <v>4</v>
      </c>
      <c r="H28" s="4">
        <f t="shared" ref="H28:H36" si="11">E28*D28^2*PI()/4+G28*F28^2*PI()/4</f>
        <v>2783.4510910805566</v>
      </c>
      <c r="I28" s="3">
        <f t="shared" si="8"/>
        <v>5400</v>
      </c>
      <c r="J28" s="5" t="str">
        <f t="shared" si="9"/>
        <v>OK</v>
      </c>
    </row>
    <row r="29" spans="1:10" x14ac:dyDescent="0.25">
      <c r="A29" s="1">
        <v>3</v>
      </c>
      <c r="B29" s="3">
        <f>'[1]PIANO 3'!$B$5*'[1]PIANO 3'!$C$5</f>
        <v>135000</v>
      </c>
      <c r="C29" s="3">
        <f t="shared" si="10"/>
        <v>1350</v>
      </c>
      <c r="D29" s="3">
        <v>18</v>
      </c>
      <c r="E29" s="3">
        <v>6</v>
      </c>
      <c r="F29" s="3">
        <v>20</v>
      </c>
      <c r="G29" s="3">
        <v>4</v>
      </c>
      <c r="H29" s="4">
        <f t="shared" si="11"/>
        <v>2783.4510910805566</v>
      </c>
      <c r="I29" s="3">
        <f t="shared" si="8"/>
        <v>5400</v>
      </c>
      <c r="J29" s="5" t="str">
        <f t="shared" si="9"/>
        <v>OK</v>
      </c>
    </row>
    <row r="30" spans="1:10" x14ac:dyDescent="0.25">
      <c r="A30" s="1">
        <v>4</v>
      </c>
      <c r="B30" s="3">
        <f>'[1]PIANO 3'!$B$5*'[1]PIANO 3'!$C$5</f>
        <v>135000</v>
      </c>
      <c r="C30" s="3">
        <f t="shared" si="10"/>
        <v>1350</v>
      </c>
      <c r="D30" s="3">
        <v>18</v>
      </c>
      <c r="E30" s="3">
        <v>6</v>
      </c>
      <c r="F30" s="3">
        <v>20</v>
      </c>
      <c r="G30" s="3">
        <v>4</v>
      </c>
      <c r="H30" s="4">
        <f t="shared" si="11"/>
        <v>2783.4510910805566</v>
      </c>
      <c r="I30" s="3">
        <f t="shared" si="8"/>
        <v>5400</v>
      </c>
      <c r="J30" s="5" t="str">
        <f t="shared" si="9"/>
        <v>OK</v>
      </c>
    </row>
    <row r="31" spans="1:10" x14ac:dyDescent="0.25">
      <c r="A31" s="1">
        <v>5</v>
      </c>
      <c r="B31" s="3">
        <f>'[1]PIANO 3'!$B$5*'[1]PIANO 3'!$C$5</f>
        <v>135000</v>
      </c>
      <c r="C31" s="3">
        <f t="shared" si="10"/>
        <v>1350</v>
      </c>
      <c r="D31" s="3">
        <v>18</v>
      </c>
      <c r="E31" s="3">
        <v>6</v>
      </c>
      <c r="F31" s="3">
        <v>20</v>
      </c>
      <c r="G31" s="3">
        <v>4</v>
      </c>
      <c r="H31" s="4">
        <f t="shared" si="11"/>
        <v>2783.4510910805566</v>
      </c>
      <c r="I31" s="3">
        <f t="shared" si="8"/>
        <v>5400</v>
      </c>
      <c r="J31" s="5" t="str">
        <f t="shared" si="9"/>
        <v>OK</v>
      </c>
    </row>
    <row r="32" spans="1:10" x14ac:dyDescent="0.25">
      <c r="A32" s="1">
        <v>6</v>
      </c>
      <c r="B32" s="3">
        <f>'[1]PIANO 3'!$B$5*'[1]PIANO 3'!$C$5</f>
        <v>135000</v>
      </c>
      <c r="C32" s="3">
        <f t="shared" si="10"/>
        <v>1350</v>
      </c>
      <c r="D32" s="3">
        <v>18</v>
      </c>
      <c r="E32" s="3">
        <v>6</v>
      </c>
      <c r="F32" s="3">
        <v>20</v>
      </c>
      <c r="G32" s="3">
        <v>4</v>
      </c>
      <c r="H32" s="4">
        <f t="shared" si="11"/>
        <v>2783.4510910805566</v>
      </c>
      <c r="I32" s="3">
        <f t="shared" si="8"/>
        <v>5400</v>
      </c>
      <c r="J32" s="5" t="str">
        <f t="shared" si="9"/>
        <v>OK</v>
      </c>
    </row>
    <row r="33" spans="1:10" x14ac:dyDescent="0.25">
      <c r="A33" s="1">
        <v>7</v>
      </c>
      <c r="B33" s="3">
        <f>'[1]PIANO 3'!$B$5*'[1]PIANO 3'!$C$5</f>
        <v>135000</v>
      </c>
      <c r="C33" s="3">
        <f t="shared" si="10"/>
        <v>1350</v>
      </c>
      <c r="D33" s="3">
        <v>18</v>
      </c>
      <c r="E33" s="3">
        <v>6</v>
      </c>
      <c r="F33" s="3">
        <v>20</v>
      </c>
      <c r="G33" s="3">
        <v>4</v>
      </c>
      <c r="H33" s="4">
        <f t="shared" si="11"/>
        <v>2783.4510910805566</v>
      </c>
      <c r="I33" s="3">
        <f t="shared" si="8"/>
        <v>5400</v>
      </c>
      <c r="J33" s="5" t="str">
        <f t="shared" si="9"/>
        <v>OK</v>
      </c>
    </row>
    <row r="34" spans="1:10" x14ac:dyDescent="0.25">
      <c r="A34" s="1">
        <v>8</v>
      </c>
      <c r="B34" s="3">
        <f>'[1]PIANO 3'!$B$5*'[1]PIANO 3'!$C$5</f>
        <v>135000</v>
      </c>
      <c r="C34" s="3">
        <f t="shared" si="10"/>
        <v>1350</v>
      </c>
      <c r="D34" s="3">
        <v>18</v>
      </c>
      <c r="E34" s="3">
        <v>6</v>
      </c>
      <c r="F34" s="3">
        <v>20</v>
      </c>
      <c r="G34" s="3">
        <v>4</v>
      </c>
      <c r="H34" s="4">
        <f t="shared" si="11"/>
        <v>2783.4510910805566</v>
      </c>
      <c r="I34" s="3">
        <f t="shared" si="8"/>
        <v>5400</v>
      </c>
      <c r="J34" s="5" t="str">
        <f t="shared" si="9"/>
        <v>OK</v>
      </c>
    </row>
    <row r="35" spans="1:10" x14ac:dyDescent="0.25">
      <c r="A35" s="1">
        <v>9</v>
      </c>
      <c r="B35" s="3">
        <f>'[1]PIANO 3'!$B$5*'[1]PIANO 3'!$C$5</f>
        <v>135000</v>
      </c>
      <c r="C35" s="3">
        <f t="shared" si="10"/>
        <v>1350</v>
      </c>
      <c r="D35" s="3">
        <v>18</v>
      </c>
      <c r="E35" s="3">
        <v>6</v>
      </c>
      <c r="F35" s="3">
        <v>20</v>
      </c>
      <c r="G35" s="3">
        <v>4</v>
      </c>
      <c r="H35" s="4">
        <f t="shared" si="11"/>
        <v>2783.4510910805566</v>
      </c>
      <c r="I35" s="3">
        <f t="shared" si="8"/>
        <v>5400</v>
      </c>
      <c r="J35" s="5" t="str">
        <f t="shared" si="9"/>
        <v>OK</v>
      </c>
    </row>
    <row r="36" spans="1:10" x14ac:dyDescent="0.25">
      <c r="A36" s="1">
        <v>10</v>
      </c>
      <c r="B36" s="3">
        <f>'[1]PIANO 3'!$B$5*'[1]PIANO 3'!$C$5</f>
        <v>135000</v>
      </c>
      <c r="C36" s="3">
        <f t="shared" si="10"/>
        <v>1350</v>
      </c>
      <c r="D36" s="3">
        <v>18</v>
      </c>
      <c r="E36" s="3">
        <v>6</v>
      </c>
      <c r="F36" s="3">
        <v>20</v>
      </c>
      <c r="G36" s="3">
        <v>4</v>
      </c>
      <c r="H36" s="4">
        <f t="shared" si="11"/>
        <v>2783.4510910805566</v>
      </c>
      <c r="I36" s="3">
        <f t="shared" si="8"/>
        <v>5400</v>
      </c>
      <c r="J36" s="5" t="str">
        <f t="shared" si="9"/>
        <v>OK</v>
      </c>
    </row>
    <row r="37" spans="1:10" x14ac:dyDescent="0.25">
      <c r="A37" s="1" t="s">
        <v>13</v>
      </c>
      <c r="B37" s="1" t="s">
        <v>2</v>
      </c>
      <c r="C37" s="1" t="s">
        <v>0</v>
      </c>
      <c r="D37" s="1" t="s">
        <v>6</v>
      </c>
      <c r="E37" s="1" t="s">
        <v>7</v>
      </c>
      <c r="F37" s="1" t="s">
        <v>6</v>
      </c>
      <c r="G37" s="1" t="s">
        <v>7</v>
      </c>
      <c r="H37" s="1" t="s">
        <v>8</v>
      </c>
      <c r="I37" s="1" t="s">
        <v>5</v>
      </c>
    </row>
    <row r="38" spans="1:10" x14ac:dyDescent="0.25">
      <c r="A38" s="1" t="s">
        <v>4</v>
      </c>
      <c r="B38" s="1" t="s">
        <v>1</v>
      </c>
      <c r="C38" s="1" t="s">
        <v>1</v>
      </c>
      <c r="D38" s="1" t="s">
        <v>9</v>
      </c>
      <c r="E38" s="1" t="s">
        <v>10</v>
      </c>
      <c r="F38" s="1" t="s">
        <v>9</v>
      </c>
      <c r="G38" s="1" t="s">
        <v>10</v>
      </c>
      <c r="H38" s="2" t="s">
        <v>1</v>
      </c>
      <c r="I38" s="1" t="s">
        <v>1</v>
      </c>
    </row>
    <row r="39" spans="1:10" x14ac:dyDescent="0.25">
      <c r="A39" s="1">
        <v>1</v>
      </c>
      <c r="B39" s="3">
        <f>'[1]PIANO 4'!$B$5*'[1]PIANO 4'!$C$5</f>
        <v>120000</v>
      </c>
      <c r="C39" s="3">
        <f>(1/100)*B39</f>
        <v>1200</v>
      </c>
      <c r="D39" s="3">
        <v>18</v>
      </c>
      <c r="E39" s="3">
        <v>6</v>
      </c>
      <c r="F39" s="3">
        <v>20</v>
      </c>
      <c r="G39" s="3">
        <v>4</v>
      </c>
      <c r="H39" s="4">
        <f>E39*D39^2*PI()/4+G39*F39^2*PI()/4</f>
        <v>2783.4510910805566</v>
      </c>
      <c r="I39" s="3">
        <f t="shared" ref="I39:I48" si="12">(4/100)*B39</f>
        <v>4800</v>
      </c>
      <c r="J39" s="5" t="str">
        <f t="shared" ref="J39:J48" si="13">IF(AND(H39&gt;=C39,H39&lt;I39),"OK","NO")</f>
        <v>OK</v>
      </c>
    </row>
    <row r="40" spans="1:10" x14ac:dyDescent="0.25">
      <c r="A40" s="1">
        <v>2</v>
      </c>
      <c r="B40" s="3">
        <f>'[1]PIANO 4'!$B$5*'[1]PIANO 4'!$C$5</f>
        <v>120000</v>
      </c>
      <c r="C40" s="3">
        <f t="shared" ref="C40:C48" si="14">(1/100)*B40</f>
        <v>1200</v>
      </c>
      <c r="D40" s="3">
        <v>18</v>
      </c>
      <c r="E40" s="3">
        <v>6</v>
      </c>
      <c r="F40" s="3">
        <v>20</v>
      </c>
      <c r="G40" s="3">
        <v>4</v>
      </c>
      <c r="H40" s="4">
        <f t="shared" ref="H40:H48" si="15">E40*D40^2*PI()/4+G40*F40^2*PI()/4</f>
        <v>2783.4510910805566</v>
      </c>
      <c r="I40" s="3">
        <f t="shared" si="12"/>
        <v>4800</v>
      </c>
      <c r="J40" s="5" t="str">
        <f t="shared" si="13"/>
        <v>OK</v>
      </c>
    </row>
    <row r="41" spans="1:10" x14ac:dyDescent="0.25">
      <c r="A41" s="1">
        <v>3</v>
      </c>
      <c r="B41" s="3">
        <f>'[1]PIANO 4'!$B$5*'[1]PIANO 4'!$C$5</f>
        <v>120000</v>
      </c>
      <c r="C41" s="3">
        <f t="shared" si="14"/>
        <v>1200</v>
      </c>
      <c r="D41" s="3">
        <v>18</v>
      </c>
      <c r="E41" s="3">
        <v>6</v>
      </c>
      <c r="F41" s="3">
        <v>20</v>
      </c>
      <c r="G41" s="3">
        <v>4</v>
      </c>
      <c r="H41" s="4">
        <f t="shared" si="15"/>
        <v>2783.4510910805566</v>
      </c>
      <c r="I41" s="3">
        <f t="shared" si="12"/>
        <v>4800</v>
      </c>
      <c r="J41" s="5" t="str">
        <f t="shared" si="13"/>
        <v>OK</v>
      </c>
    </row>
    <row r="42" spans="1:10" x14ac:dyDescent="0.25">
      <c r="A42" s="1">
        <v>4</v>
      </c>
      <c r="B42" s="3">
        <f>'[1]PIANO 4'!$B$5*'[1]PIANO 4'!$C$5</f>
        <v>120000</v>
      </c>
      <c r="C42" s="3">
        <f t="shared" si="14"/>
        <v>1200</v>
      </c>
      <c r="D42" s="3">
        <v>18</v>
      </c>
      <c r="E42" s="3">
        <v>6</v>
      </c>
      <c r="F42" s="3">
        <v>20</v>
      </c>
      <c r="G42" s="3">
        <v>4</v>
      </c>
      <c r="H42" s="4">
        <f t="shared" si="15"/>
        <v>2783.4510910805566</v>
      </c>
      <c r="I42" s="3">
        <f t="shared" si="12"/>
        <v>4800</v>
      </c>
      <c r="J42" s="5" t="str">
        <f t="shared" si="13"/>
        <v>OK</v>
      </c>
    </row>
    <row r="43" spans="1:10" x14ac:dyDescent="0.25">
      <c r="A43" s="1">
        <v>5</v>
      </c>
      <c r="B43" s="3">
        <f>'[1]PIANO 4'!$B$5*'[1]PIANO 4'!$C$5</f>
        <v>120000</v>
      </c>
      <c r="C43" s="3">
        <f t="shared" si="14"/>
        <v>1200</v>
      </c>
      <c r="D43" s="3">
        <v>18</v>
      </c>
      <c r="E43" s="3">
        <v>6</v>
      </c>
      <c r="F43" s="3">
        <v>20</v>
      </c>
      <c r="G43" s="3">
        <v>4</v>
      </c>
      <c r="H43" s="4">
        <f t="shared" si="15"/>
        <v>2783.4510910805566</v>
      </c>
      <c r="I43" s="3">
        <f t="shared" si="12"/>
        <v>4800</v>
      </c>
      <c r="J43" s="5" t="str">
        <f t="shared" si="13"/>
        <v>OK</v>
      </c>
    </row>
    <row r="44" spans="1:10" x14ac:dyDescent="0.25">
      <c r="A44" s="1">
        <v>6</v>
      </c>
      <c r="B44" s="3">
        <f>'[1]PIANO 4'!$B$5*'[1]PIANO 4'!$C$5</f>
        <v>120000</v>
      </c>
      <c r="C44" s="3">
        <f t="shared" si="14"/>
        <v>1200</v>
      </c>
      <c r="D44" s="3">
        <v>18</v>
      </c>
      <c r="E44" s="3">
        <v>6</v>
      </c>
      <c r="F44" s="3">
        <v>20</v>
      </c>
      <c r="G44" s="3">
        <v>4</v>
      </c>
      <c r="H44" s="4">
        <f t="shared" si="15"/>
        <v>2783.4510910805566</v>
      </c>
      <c r="I44" s="3">
        <f t="shared" si="12"/>
        <v>4800</v>
      </c>
      <c r="J44" s="5" t="str">
        <f t="shared" si="13"/>
        <v>OK</v>
      </c>
    </row>
    <row r="45" spans="1:10" x14ac:dyDescent="0.25">
      <c r="A45" s="1">
        <v>7</v>
      </c>
      <c r="B45" s="3">
        <f>'[1]PIANO 4'!$B$5*'[1]PIANO 4'!$C$5</f>
        <v>120000</v>
      </c>
      <c r="C45" s="3">
        <f t="shared" si="14"/>
        <v>1200</v>
      </c>
      <c r="D45" s="3">
        <v>18</v>
      </c>
      <c r="E45" s="3">
        <v>6</v>
      </c>
      <c r="F45" s="3">
        <v>20</v>
      </c>
      <c r="G45" s="3">
        <v>4</v>
      </c>
      <c r="H45" s="4">
        <f t="shared" si="15"/>
        <v>2783.4510910805566</v>
      </c>
      <c r="I45" s="3">
        <f t="shared" si="12"/>
        <v>4800</v>
      </c>
      <c r="J45" s="5" t="str">
        <f t="shared" si="13"/>
        <v>OK</v>
      </c>
    </row>
    <row r="46" spans="1:10" x14ac:dyDescent="0.25">
      <c r="A46" s="1">
        <v>8</v>
      </c>
      <c r="B46" s="3">
        <f>'[1]PIANO 4'!$B$5*'[1]PIANO 4'!$C$5</f>
        <v>120000</v>
      </c>
      <c r="C46" s="3">
        <f t="shared" si="14"/>
        <v>1200</v>
      </c>
      <c r="D46" s="3">
        <v>18</v>
      </c>
      <c r="E46" s="3">
        <v>6</v>
      </c>
      <c r="F46" s="3">
        <v>20</v>
      </c>
      <c r="G46" s="3">
        <v>4</v>
      </c>
      <c r="H46" s="4">
        <f t="shared" si="15"/>
        <v>2783.4510910805566</v>
      </c>
      <c r="I46" s="3">
        <f t="shared" si="12"/>
        <v>4800</v>
      </c>
      <c r="J46" s="5" t="str">
        <f t="shared" si="13"/>
        <v>OK</v>
      </c>
    </row>
    <row r="47" spans="1:10" x14ac:dyDescent="0.25">
      <c r="A47" s="1">
        <v>9</v>
      </c>
      <c r="B47" s="3">
        <f>'[1]PIANO 4'!$B$5*'[1]PIANO 4'!$C$5</f>
        <v>120000</v>
      </c>
      <c r="C47" s="3">
        <f t="shared" si="14"/>
        <v>1200</v>
      </c>
      <c r="D47" s="3">
        <v>18</v>
      </c>
      <c r="E47" s="3">
        <v>6</v>
      </c>
      <c r="F47" s="3">
        <v>20</v>
      </c>
      <c r="G47" s="3">
        <v>4</v>
      </c>
      <c r="H47" s="4">
        <f t="shared" si="15"/>
        <v>2783.4510910805566</v>
      </c>
      <c r="I47" s="3">
        <f t="shared" si="12"/>
        <v>4800</v>
      </c>
      <c r="J47" s="5" t="str">
        <f t="shared" si="13"/>
        <v>OK</v>
      </c>
    </row>
    <row r="48" spans="1:10" x14ac:dyDescent="0.25">
      <c r="A48" s="1">
        <v>10</v>
      </c>
      <c r="B48" s="3">
        <f>'[1]PIANO 4'!$B$5*'[1]PIANO 4'!$C$5</f>
        <v>120000</v>
      </c>
      <c r="C48" s="3">
        <f t="shared" si="14"/>
        <v>1200</v>
      </c>
      <c r="D48" s="3">
        <v>18</v>
      </c>
      <c r="E48" s="3">
        <v>6</v>
      </c>
      <c r="F48" s="3">
        <v>20</v>
      </c>
      <c r="G48" s="3">
        <v>4</v>
      </c>
      <c r="H48" s="4">
        <f t="shared" si="15"/>
        <v>2783.4510910805566</v>
      </c>
      <c r="I48" s="3">
        <f t="shared" si="12"/>
        <v>4800</v>
      </c>
      <c r="J48" s="5" t="str">
        <f t="shared" si="13"/>
        <v>OK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As 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2019-10-01T14:27:35Z</dcterms:created>
  <dcterms:modified xsi:type="dcterms:W3CDTF">2019-10-27T16:27:33Z</dcterms:modified>
</cp:coreProperties>
</file>