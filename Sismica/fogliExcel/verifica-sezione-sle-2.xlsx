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226AC99E-60E3-4743-8317-7123C073A195}" xr6:coauthVersionLast="44" xr6:coauthVersionMax="44" xr10:uidLastSave="{00000000-0000-0000-0000-000000000000}"/>
  <bookViews>
    <workbookView xWindow="-120" yWindow="-120" windowWidth="20730" windowHeight="11160" activeTab="1" xr2:uid="{00000000-000D-0000-FFFF-FFFF00000000}"/>
  </bookViews>
  <sheets>
    <sheet name="Istruzioni" sheetId="8" r:id="rId1"/>
    <sheet name="Verifica SLE" sheetId="5" r:id="rId2"/>
    <sheet name="Foglio1" sheetId="9" r:id="rId3"/>
    <sheet name="fessurazione semplific." sheetId="7" r:id="rId4"/>
    <sheet name="Foglio deposito" sheetId="6" state="hidden" r:id="rId5"/>
  </sheets>
  <externalReferences>
    <externalReference r:id="rId6"/>
  </externalReferences>
  <definedNames>
    <definedName name="ca">'Foglio deposito'!$D$2:$D$4</definedName>
    <definedName name="cari">'Foglio deposito'!$F$2:$F$4</definedName>
    <definedName name="clas">'Foglio deposito'!$M$10:$M$18</definedName>
    <definedName name="comb">'Foglio deposito'!$F$2:$F$3</definedName>
    <definedName name="fe">'Foglio deposito'!$P$10:$P$11</definedName>
    <definedName name="fes">'Foglio deposito'!$O$111:$O$113</definedName>
    <definedName name="sigc">'Foglio deposito'!$E$142:$E$143</definedName>
    <definedName name="sigs">'Foglio deposito'!$F$142:$F$143</definedName>
    <definedName name="SN">'Foglio deposito'!$B$2:$B$3</definedName>
    <definedName name="w">'[1]DATI NASCOSTI'!$C$105:$C$107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1" i="5" l="1"/>
  <c r="E55" i="5" l="1"/>
  <c r="D78" i="5" l="1"/>
  <c r="E17" i="5"/>
  <c r="E19" i="5"/>
  <c r="E18" i="5"/>
  <c r="D77" i="5" l="1"/>
  <c r="F32" i="5"/>
  <c r="F49" i="5"/>
  <c r="E49" i="5" l="1"/>
  <c r="F35" i="5"/>
  <c r="E54" i="5" s="1"/>
  <c r="F52" i="5"/>
  <c r="E122" i="5"/>
  <c r="E51" i="7"/>
  <c r="E55" i="7"/>
  <c r="Z5" i="6"/>
  <c r="Z6" i="6" s="1"/>
  <c r="Z7" i="6" s="1"/>
  <c r="Z8" i="6" s="1"/>
  <c r="Z9" i="6" s="1"/>
  <c r="Z10" i="6" s="1"/>
  <c r="Z11" i="6" s="1"/>
  <c r="Z12" i="6" s="1"/>
  <c r="Z13" i="6" s="1"/>
  <c r="Z14" i="6" s="1"/>
  <c r="Z15" i="6" s="1"/>
  <c r="Z16" i="6" s="1"/>
  <c r="Z17" i="6" s="1"/>
  <c r="Z18" i="6" s="1"/>
  <c r="Z19" i="6" s="1"/>
  <c r="Z20" i="6" s="1"/>
  <c r="Z21" i="6" s="1"/>
  <c r="D128" i="5" l="1"/>
  <c r="D155" i="5"/>
  <c r="E58" i="7"/>
  <c r="E57" i="7"/>
  <c r="G4" i="6"/>
  <c r="G3" i="6"/>
  <c r="G2" i="6"/>
  <c r="D91" i="5" s="1"/>
  <c r="H4" i="6"/>
  <c r="H3" i="6"/>
  <c r="H2" i="6"/>
  <c r="D92" i="5" s="1"/>
  <c r="D137" i="5"/>
  <c r="D136" i="5"/>
  <c r="D116" i="5"/>
  <c r="D115" i="5"/>
  <c r="AB13" i="6"/>
  <c r="L115" i="6"/>
  <c r="K115" i="6"/>
  <c r="J115" i="6"/>
  <c r="M114" i="6"/>
  <c r="L114" i="6"/>
  <c r="K114" i="6"/>
  <c r="J114" i="6"/>
  <c r="L112" i="6"/>
  <c r="K112" i="6"/>
  <c r="J112" i="6"/>
  <c r="M111" i="6"/>
  <c r="L111" i="6"/>
  <c r="K111" i="6"/>
  <c r="J111" i="6"/>
  <c r="K109" i="6"/>
  <c r="J109" i="6"/>
  <c r="G110" i="6" l="1"/>
  <c r="S11" i="6"/>
  <c r="AB21" i="6" s="1"/>
  <c r="S10" i="6"/>
  <c r="AB12" i="6" s="1"/>
  <c r="N10" i="6"/>
  <c r="AB19" i="6" l="1"/>
  <c r="C39" i="5"/>
  <c r="D104" i="5" l="1"/>
  <c r="P4" i="6"/>
  <c r="P3" i="6" l="1"/>
  <c r="J56" i="6"/>
  <c r="D74" i="5" l="1"/>
  <c r="AB10" i="6"/>
  <c r="AB9" i="6"/>
  <c r="C110" i="6" s="1"/>
  <c r="AB8" i="6"/>
  <c r="AB7" i="6"/>
  <c r="AB6" i="6"/>
  <c r="D72" i="5" l="1"/>
  <c r="W4" i="6"/>
  <c r="V19" i="6" s="1"/>
  <c r="W19" i="6" s="1"/>
  <c r="B36" i="6"/>
  <c r="M115" i="6"/>
  <c r="E39" i="5"/>
  <c r="E42" i="5"/>
  <c r="E45" i="5"/>
  <c r="V17" i="6" l="1"/>
  <c r="W17" i="6" s="1"/>
  <c r="W24" i="6" s="1"/>
  <c r="AB14" i="6" s="1"/>
  <c r="AB18" i="6" s="1"/>
  <c r="V21" i="6"/>
  <c r="W21" i="6" s="1"/>
  <c r="V10" i="6"/>
  <c r="W10" i="6" s="1"/>
  <c r="V12" i="6"/>
  <c r="W12" i="6" s="1"/>
  <c r="V8" i="6"/>
  <c r="W8" i="6" s="1"/>
  <c r="M112" i="6"/>
  <c r="AB4" i="6"/>
  <c r="AB5" i="6"/>
  <c r="D49" i="6"/>
  <c r="D26" i="6"/>
  <c r="D51" i="6"/>
  <c r="AB43" i="6"/>
  <c r="AB27" i="6" s="1"/>
  <c r="AB26" i="6" s="1"/>
  <c r="D24" i="6"/>
  <c r="D144" i="5" l="1"/>
  <c r="AB55" i="6"/>
  <c r="AB56" i="6" s="1"/>
  <c r="AB52" i="6"/>
  <c r="AB40" i="6"/>
  <c r="AB44" i="6"/>
  <c r="J58" i="6"/>
  <c r="J33" i="6" s="1"/>
  <c r="J54" i="6"/>
  <c r="B49" i="6"/>
  <c r="B24" i="6"/>
  <c r="B7" i="6" s="1"/>
  <c r="J29" i="6" l="1"/>
  <c r="J5" i="6" s="1"/>
  <c r="F110" i="6"/>
  <c r="F112" i="6" s="1"/>
  <c r="J9" i="6"/>
  <c r="G112" i="6"/>
  <c r="J31" i="6"/>
  <c r="J7" i="6" s="1"/>
  <c r="B26" i="6" l="1"/>
  <c r="F36" i="6"/>
  <c r="B28" i="6" l="1"/>
  <c r="B9" i="6"/>
  <c r="F61" i="6"/>
  <c r="B51" i="6"/>
  <c r="B11" i="6" l="1"/>
  <c r="B61" i="6"/>
  <c r="B53" i="6"/>
  <c r="C57" i="5"/>
  <c r="D99" i="5" l="1"/>
  <c r="D135" i="5"/>
  <c r="D123" i="5" l="1"/>
  <c r="D114" i="5"/>
  <c r="D90" i="5"/>
  <c r="F39" i="6" s="1"/>
  <c r="J3" i="6"/>
  <c r="E48" i="5"/>
  <c r="E51" i="5" s="1"/>
  <c r="B39" i="6" l="1"/>
  <c r="J4" i="6"/>
  <c r="D22" i="6"/>
  <c r="B64" i="6"/>
  <c r="F64" i="6"/>
  <c r="D149" i="5"/>
  <c r="D82" i="5"/>
  <c r="C58" i="5"/>
  <c r="C59" i="5"/>
  <c r="C63" i="5"/>
  <c r="J55" i="6" l="1"/>
  <c r="J30" i="6" s="1"/>
  <c r="J6" i="6" s="1"/>
  <c r="D47" i="6"/>
  <c r="D58" i="6" s="1"/>
  <c r="AB11" i="6"/>
  <c r="C60" i="5"/>
  <c r="AB16" i="6" s="1"/>
  <c r="AB15" i="6"/>
  <c r="D28" i="6"/>
  <c r="D36" i="6"/>
  <c r="J57" i="6"/>
  <c r="F33" i="6"/>
  <c r="F31" i="6" s="1"/>
  <c r="F58" i="6"/>
  <c r="F56" i="6" s="1"/>
  <c r="B58" i="6"/>
  <c r="B56" i="6" s="1"/>
  <c r="D53" i="6" l="1"/>
  <c r="D64" i="6" s="1"/>
  <c r="D56" i="6" s="1"/>
  <c r="D61" i="6"/>
  <c r="AB53" i="6"/>
  <c r="AB54" i="6" s="1"/>
  <c r="AD54" i="6" s="1"/>
  <c r="AB41" i="6"/>
  <c r="AB42" i="6" s="1"/>
  <c r="AB57" i="6"/>
  <c r="AB33" i="6" s="1"/>
  <c r="AB34" i="6" s="1"/>
  <c r="D138" i="5" s="1"/>
  <c r="F146" i="5" s="1"/>
  <c r="AB45" i="6"/>
  <c r="AB24" i="6" s="1"/>
  <c r="AB25" i="6" s="1"/>
  <c r="D75" i="5" s="1"/>
  <c r="F80" i="5" s="1"/>
  <c r="C61" i="5"/>
  <c r="AB17" i="6" s="1"/>
  <c r="B14" i="6"/>
  <c r="C14" i="6"/>
  <c r="D39" i="6"/>
  <c r="J32" i="6"/>
  <c r="J8" i="6" s="1"/>
  <c r="D14" i="6" s="1"/>
  <c r="B67" i="6"/>
  <c r="B68" i="6" s="1"/>
  <c r="F101" i="5" l="1"/>
  <c r="C142" i="5"/>
  <c r="D143" i="5"/>
  <c r="C143" i="5"/>
  <c r="AB58" i="6"/>
  <c r="C62" i="5"/>
  <c r="AD42" i="6"/>
  <c r="AB47" i="6"/>
  <c r="D67" i="6"/>
  <c r="D68" i="6" s="1"/>
  <c r="E14" i="6"/>
  <c r="B33" i="6"/>
  <c r="B31" i="6" s="1"/>
  <c r="B42" i="6" s="1"/>
  <c r="B43" i="6" s="1"/>
  <c r="D33" i="6"/>
  <c r="D31" i="6" s="1"/>
  <c r="D42" i="6" s="1"/>
  <c r="D43" i="6" s="1"/>
  <c r="C97" i="5" l="1"/>
  <c r="C121" i="5" s="1"/>
  <c r="C98" i="5"/>
  <c r="C122" i="5" s="1"/>
  <c r="AB46" i="6"/>
  <c r="C111" i="6" s="1"/>
  <c r="C109" i="6" s="1"/>
  <c r="C118" i="6" s="1"/>
  <c r="AD60" i="6"/>
  <c r="AB59" i="6" s="1"/>
  <c r="AD59" i="6"/>
  <c r="AB63" i="6"/>
  <c r="D73" i="5"/>
  <c r="D86" i="5" s="1"/>
  <c r="D76" i="5" l="1"/>
  <c r="D84" i="5"/>
  <c r="D85" i="5" s="1"/>
  <c r="D79" i="5"/>
  <c r="D94" i="5" s="1"/>
  <c r="D93" i="5"/>
  <c r="D117" i="5" s="1"/>
  <c r="D83" i="5"/>
  <c r="C110" i="5" l="1"/>
  <c r="D118" i="5"/>
  <c r="C130" i="5" s="1"/>
  <c r="D139" i="5"/>
  <c r="C87" i="5"/>
  <c r="D96" i="5" l="1"/>
  <c r="D95" i="5"/>
  <c r="D119" i="5" s="1"/>
  <c r="C157" i="5"/>
  <c r="D98" i="5" l="1"/>
  <c r="D122" i="5" s="1"/>
  <c r="D97" i="5"/>
  <c r="D121" i="5" s="1"/>
  <c r="D142" i="5"/>
  <c r="D140" i="5"/>
  <c r="C72" i="6" s="1"/>
  <c r="D120" i="5"/>
  <c r="B49" i="5"/>
  <c r="D100" i="5"/>
  <c r="F102" i="5" s="1"/>
  <c r="B52" i="5" l="1"/>
  <c r="D145" i="5"/>
  <c r="D141" i="5"/>
  <c r="D126" i="5"/>
  <c r="D125" i="5"/>
  <c r="AB48" i="6" s="1"/>
  <c r="D108" i="5"/>
  <c r="D106" i="5"/>
  <c r="D124" i="5"/>
  <c r="D103" i="5"/>
  <c r="D105" i="5" s="1"/>
  <c r="B144" i="6" l="1"/>
  <c r="F147" i="5"/>
  <c r="D148" i="5"/>
  <c r="D150" i="5" s="1"/>
  <c r="B145" i="6"/>
  <c r="C145" i="6"/>
  <c r="H143" i="6" s="1"/>
  <c r="C144" i="6"/>
  <c r="H142" i="6" s="1"/>
  <c r="D152" i="5" s="1"/>
  <c r="AB49" i="6"/>
  <c r="C119" i="6" s="1"/>
  <c r="C120" i="6" s="1"/>
  <c r="D107" i="5"/>
  <c r="D109" i="5"/>
  <c r="D127" i="5" l="1"/>
  <c r="D129" i="5" s="1"/>
  <c r="D151" i="5"/>
  <c r="AD48" i="6"/>
  <c r="D153" i="5"/>
  <c r="AD49" i="6"/>
  <c r="D119" i="6" s="1"/>
  <c r="D120" i="6" s="1"/>
  <c r="D154" i="5" l="1"/>
  <c r="D15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Nicla</author>
    <author>Davide Cicchini</author>
  </authors>
  <commentList>
    <comment ref="C7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Coefficiente di omogeneizzazione della sezione</t>
        </r>
      </text>
    </comment>
    <comment ref="C7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Posizione dell'asse neutro</t>
        </r>
      </text>
    </comment>
    <comment ref="C7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Modulo elastico del calcestruzzo giovane</t>
        </r>
      </text>
    </comment>
    <comment ref="C7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Davide Cicchini:
</t>
        </r>
        <r>
          <rPr>
            <sz val="9"/>
            <color indexed="81"/>
            <rFont val="Tahoma"/>
            <family val="2"/>
          </rPr>
          <t xml:space="preserve">Momento D'inerzia sezione totale (trascurando l'acciaio)
</t>
        </r>
      </text>
    </comment>
    <comment ref="C7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Modulo di resistenza a flessione della sezione totale (escluso acciaio)</t>
        </r>
      </text>
    </comment>
    <comment ref="C79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Momento di prima fessurazione</t>
        </r>
      </text>
    </comment>
    <comment ref="C80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Freccia elastica</t>
        </r>
      </text>
    </comment>
    <comment ref="C8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freccia di calcolo</t>
        </r>
      </text>
    </comment>
    <comment ref="C84" authorId="1" shapeId="0" xr:uid="{00000000-0006-0000-0100-000009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Tensione nel calcestruzzo</t>
        </r>
      </text>
    </comment>
    <comment ref="C86" authorId="1" shapeId="0" xr:uid="{00000000-0006-0000-0100-00000A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Tensione nell'acciaio</t>
        </r>
      </text>
    </comment>
    <comment ref="C90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Coefficiente di omogeneizzazione della sezione</t>
        </r>
      </text>
    </comment>
    <comment ref="C93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 xml:space="preserve">Davide Cicchini:
</t>
        </r>
        <r>
          <rPr>
            <sz val="9"/>
            <color indexed="81"/>
            <rFont val="Tahoma"/>
            <family val="2"/>
          </rPr>
          <t xml:space="preserve">Momento D'inerzia sezione totale (trascurando l'acciaio)
</t>
        </r>
      </text>
    </comment>
    <comment ref="C94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Momento di prima fessurazione</t>
        </r>
      </text>
    </comment>
    <comment ref="C95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Posizione dell'asse neutro</t>
        </r>
      </text>
    </comment>
    <comment ref="C9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Baricentro virtuale della armature e del cls della sezione a doppio T; Quando l'asse neutro è contenuto nella soletta questo valore indica il baricentro virtuale delle sole armature.</t>
        </r>
      </text>
    </comment>
    <comment ref="C99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Modulo elastico del calcestruzzo giovane</t>
        </r>
      </text>
    </comment>
    <comment ref="C100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Momento D'Inerzia della sezione parzializzata</t>
        </r>
      </text>
    </comment>
    <comment ref="C101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Freccia elastica</t>
        </r>
      </text>
    </comment>
    <comment ref="C102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freccia della sezione parzializzata</t>
        </r>
      </text>
    </comment>
    <comment ref="C103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freccia di calcolo</t>
        </r>
      </text>
    </comment>
    <comment ref="C106" authorId="1" shapeId="0" xr:uid="{00000000-0006-0000-0100-000015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Tensione nel calcestruzzo</t>
        </r>
      </text>
    </comment>
    <comment ref="C108" authorId="1" shapeId="0" xr:uid="{00000000-0006-0000-0100-000016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Tensione nell'acciaio</t>
        </r>
      </text>
    </comment>
    <comment ref="C114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Coefficiente di omogeneizzazione della sezione</t>
        </r>
      </text>
    </comment>
    <comment ref="C117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 xml:space="preserve">Davide Cicchini:
</t>
        </r>
        <r>
          <rPr>
            <sz val="9"/>
            <color indexed="81"/>
            <rFont val="Tahoma"/>
            <family val="2"/>
          </rPr>
          <t xml:space="preserve">Momento D'inerzia sezione totale (trascurando l'acciaio)
</t>
        </r>
      </text>
    </comment>
    <comment ref="C118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Momento di prima fessurazione</t>
        </r>
      </text>
    </comment>
    <comment ref="C119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Posizione dell'asse neutro</t>
        </r>
      </text>
    </comment>
    <comment ref="C120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Baricentro virtuale della armature e del cls della sezione a doppio T; Quando l'asse neutro è contenuto nella soletta questo valore indica il baricentro virtuale delle sole armature.</t>
        </r>
      </text>
    </comment>
    <comment ref="C123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Modulo elastico del calcestruzzo giovane</t>
        </r>
      </text>
    </comment>
    <comment ref="C124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Momento D'Inerzia della sezione parzializzata</t>
        </r>
      </text>
    </comment>
    <comment ref="C125" authorId="1" shapeId="0" xr:uid="{00000000-0006-0000-0100-00001E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Tensione nel calcestruzzo</t>
        </r>
      </text>
    </comment>
    <comment ref="C126" authorId="1" shapeId="0" xr:uid="{00000000-0006-0000-0100-00001F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Tensione nell'acciaio</t>
        </r>
      </text>
    </comment>
    <comment ref="C135" authorId="0" shapeId="0" xr:uid="{00000000-0006-0000-0100-000020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Coefficiente di omogeneizzazione della sezione</t>
        </r>
      </text>
    </comment>
    <comment ref="C138" authorId="0" shapeId="0" xr:uid="{00000000-0006-0000-0100-000021000000}">
      <text>
        <r>
          <rPr>
            <b/>
            <sz val="9"/>
            <color indexed="81"/>
            <rFont val="Tahoma"/>
            <family val="2"/>
          </rPr>
          <t xml:space="preserve">Davide Cicchini:
</t>
        </r>
        <r>
          <rPr>
            <sz val="9"/>
            <color indexed="81"/>
            <rFont val="Tahoma"/>
            <family val="2"/>
          </rPr>
          <t xml:space="preserve">Momento D'inerzia sezione totale (trascurando l'acciaio)
</t>
        </r>
      </text>
    </comment>
    <comment ref="C139" authorId="0" shapeId="0" xr:uid="{00000000-0006-0000-0100-000022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Momento di prima fessurazione</t>
        </r>
      </text>
    </comment>
    <comment ref="C140" authorId="0" shapeId="0" xr:uid="{00000000-0006-0000-0100-000023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Posizione dell'asse neutro</t>
        </r>
      </text>
    </comment>
    <comment ref="C141" authorId="0" shapeId="0" xr:uid="{00000000-0006-0000-0100-000024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Baricentro virtuale della armature e del cls della sezione a doppio T; Quando l'asse neutro è contenuto nella soletta questo valore indica il baricentro virtuale delle sole armature.</t>
        </r>
      </text>
    </comment>
    <comment ref="C144" authorId="0" shapeId="0" xr:uid="{00000000-0006-0000-0100-000025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Modulo di elasticità efficace (EM) del calcestruzzo </t>
        </r>
      </text>
    </comment>
    <comment ref="C145" authorId="0" shapeId="0" xr:uid="{00000000-0006-0000-0100-000026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Momento D'Inerzia della sezione parzializzata</t>
        </r>
      </text>
    </comment>
    <comment ref="C146" authorId="0" shapeId="0" xr:uid="{00000000-0006-0000-0100-000027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Freccia elastica</t>
        </r>
      </text>
    </comment>
    <comment ref="C147" authorId="0" shapeId="0" xr:uid="{00000000-0006-0000-0100-000028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freccia della sezione parzializzata</t>
        </r>
      </text>
    </comment>
    <comment ref="C148" authorId="0" shapeId="0" xr:uid="{00000000-0006-0000-0100-000029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freccia di calcolo</t>
        </r>
      </text>
    </comment>
    <comment ref="C151" authorId="1" shapeId="0" xr:uid="{00000000-0006-0000-0100-00002A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Tensione nel calcestruzzo</t>
        </r>
      </text>
    </comment>
    <comment ref="C153" authorId="1" shapeId="0" xr:uid="{00000000-0006-0000-0100-00002B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Tensione nell'acciaio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Davide Cicchini</author>
  </authors>
  <commentList>
    <comment ref="AB2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asse neutro sezione rettangolare</t>
        </r>
      </text>
    </comment>
    <comment ref="AB4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baricentro virtuale delle sole armature</t>
        </r>
      </text>
    </comment>
    <comment ref="AB42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asse neutro sezione rettangolare</t>
        </r>
      </text>
    </comment>
    <comment ref="AD42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 xml:space="preserve">Davide Cicchini:
</t>
        </r>
        <r>
          <rPr>
            <sz val="9"/>
            <color indexed="81"/>
            <rFont val="Tahoma"/>
            <family val="2"/>
          </rPr>
          <t>FALSO quando l'asse neutro esce dalla soletta e bisogna considerare la sezione aT</t>
        </r>
      </text>
    </comment>
    <comment ref="AB53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baricentro virtuale delle sole armature</t>
        </r>
      </text>
    </comment>
    <comment ref="AB54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Davide Cicchini:</t>
        </r>
        <r>
          <rPr>
            <sz val="9"/>
            <color indexed="81"/>
            <rFont val="Tahoma"/>
            <family val="2"/>
          </rPr>
          <t xml:space="preserve">
asse neutro sezione rettangolare</t>
        </r>
      </text>
    </comment>
    <comment ref="AD54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Davide Cicchini:
</t>
        </r>
        <r>
          <rPr>
            <sz val="9"/>
            <color indexed="81"/>
            <rFont val="Tahoma"/>
            <family val="2"/>
          </rPr>
          <t>FALSO quando l'asse neutro esce dalla soletta e bisogna considerare la sezione aT</t>
        </r>
      </text>
    </comment>
  </commentList>
</comments>
</file>

<file path=xl/sharedStrings.xml><?xml version="1.0" encoding="utf-8"?>
<sst xmlns="http://schemas.openxmlformats.org/spreadsheetml/2006/main" count="556" uniqueCount="308">
  <si>
    <t>L</t>
  </si>
  <si>
    <t>m</t>
  </si>
  <si>
    <t>kN/m</t>
  </si>
  <si>
    <t>Mpa</t>
  </si>
  <si>
    <t>mm</t>
  </si>
  <si>
    <t>kNm</t>
  </si>
  <si>
    <t>f</t>
  </si>
  <si>
    <r>
      <t>N/mm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</si>
  <si>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N/mm</t>
    </r>
    <r>
      <rPr>
        <vertAlign val="superscript"/>
        <sz val="11"/>
        <color theme="1"/>
        <rFont val="Calibri"/>
        <family val="2"/>
        <scheme val="minor"/>
      </rPr>
      <t>2</t>
    </r>
  </si>
  <si>
    <t>d</t>
  </si>
  <si>
    <t>Lunghezza della trave (app-app)</t>
  </si>
  <si>
    <t>↓</t>
  </si>
  <si>
    <r>
      <t>kN/m</t>
    </r>
    <r>
      <rPr>
        <vertAlign val="superscript"/>
        <sz val="11"/>
        <color theme="1"/>
        <rFont val="Calibri"/>
        <family val="2"/>
        <scheme val="minor"/>
      </rPr>
      <t>2</t>
    </r>
  </si>
  <si>
    <t>Spessore copriferro</t>
  </si>
  <si>
    <t>Carico folla</t>
  </si>
  <si>
    <t>Spessore dell'anima equivalente</t>
  </si>
  <si>
    <t>Altezza utile della sezione</t>
  </si>
  <si>
    <r>
      <t>f</t>
    </r>
    <r>
      <rPr>
        <b/>
        <sz val="8"/>
        <color theme="1"/>
        <rFont val="Calibri"/>
        <family val="2"/>
        <scheme val="minor"/>
      </rPr>
      <t>ctm</t>
    </r>
  </si>
  <si>
    <r>
      <t>G</t>
    </r>
    <r>
      <rPr>
        <b/>
        <sz val="8"/>
        <color theme="1"/>
        <rFont val="Calibri"/>
        <family val="2"/>
        <scheme val="minor"/>
      </rPr>
      <t>2</t>
    </r>
  </si>
  <si>
    <t>n</t>
  </si>
  <si>
    <t>b</t>
  </si>
  <si>
    <t>h</t>
  </si>
  <si>
    <t>d'</t>
  </si>
  <si>
    <r>
      <t>Q</t>
    </r>
    <r>
      <rPr>
        <sz val="8"/>
        <color theme="1"/>
        <rFont val="Calibri"/>
        <family val="2"/>
        <scheme val="minor"/>
      </rPr>
      <t>k</t>
    </r>
  </si>
  <si>
    <r>
      <t>b</t>
    </r>
    <r>
      <rPr>
        <vertAlign val="subscript"/>
        <sz val="8"/>
        <color theme="1"/>
        <rFont val="Calibri"/>
        <family val="2"/>
        <scheme val="minor"/>
      </rPr>
      <t>W</t>
    </r>
  </si>
  <si>
    <r>
      <t>Q</t>
    </r>
    <r>
      <rPr>
        <b/>
        <sz val="8"/>
        <color theme="1"/>
        <rFont val="Calibri"/>
        <family val="2"/>
        <scheme val="minor"/>
      </rPr>
      <t>k</t>
    </r>
  </si>
  <si>
    <r>
      <t>G</t>
    </r>
    <r>
      <rPr>
        <b/>
        <sz val="8"/>
        <color theme="1"/>
        <rFont val="Calibri"/>
        <family val="2"/>
        <scheme val="minor"/>
      </rPr>
      <t>1</t>
    </r>
  </si>
  <si>
    <r>
      <t>f</t>
    </r>
    <r>
      <rPr>
        <b/>
        <sz val="8"/>
        <color theme="1"/>
        <rFont val="Calibri"/>
        <family val="2"/>
        <scheme val="minor"/>
      </rPr>
      <t>ctk</t>
    </r>
  </si>
  <si>
    <r>
      <t>f</t>
    </r>
    <r>
      <rPr>
        <b/>
        <sz val="8"/>
        <color theme="1"/>
        <rFont val="Calibri"/>
        <family val="2"/>
        <scheme val="minor"/>
      </rPr>
      <t>bd</t>
    </r>
  </si>
  <si>
    <r>
      <t>f</t>
    </r>
    <r>
      <rPr>
        <b/>
        <sz val="8"/>
        <color theme="1"/>
        <rFont val="Calibri"/>
        <family val="2"/>
        <scheme val="minor"/>
      </rPr>
      <t>ck</t>
    </r>
  </si>
  <si>
    <r>
      <t>f</t>
    </r>
    <r>
      <rPr>
        <b/>
        <sz val="8"/>
        <color theme="1"/>
        <rFont val="Calibri"/>
        <family val="2"/>
        <scheme val="minor"/>
      </rPr>
      <t>cd</t>
    </r>
  </si>
  <si>
    <r>
      <t>f</t>
    </r>
    <r>
      <rPr>
        <b/>
        <sz val="8"/>
        <color theme="1"/>
        <rFont val="Calibri"/>
        <family val="2"/>
        <scheme val="minor"/>
      </rPr>
      <t>yd</t>
    </r>
  </si>
  <si>
    <t>-</t>
  </si>
  <si>
    <t>s</t>
  </si>
  <si>
    <r>
      <t>σ</t>
    </r>
    <r>
      <rPr>
        <b/>
        <sz val="8"/>
        <color theme="1"/>
        <rFont val="Calibri"/>
        <family val="2"/>
      </rPr>
      <t xml:space="preserve"> c</t>
    </r>
  </si>
  <si>
    <t>x</t>
  </si>
  <si>
    <t>Rck</t>
  </si>
  <si>
    <t>SI</t>
  </si>
  <si>
    <t>NO</t>
  </si>
  <si>
    <t>Calcestruzzo nuovo, sezione totalmente    reagente</t>
  </si>
  <si>
    <t xml:space="preserve"> La verifica è soddisfatta se il rapporto freccia luce è minore di 1/250.</t>
  </si>
  <si>
    <t>sezione totalmente reagente, stadio 1. Nell’ipotesi che il calcestruzzo sia giovane</t>
  </si>
  <si>
    <t>sezione parzializzata, stadio 2. Nell’ipotesi che il calcestruzzo sia giovane</t>
  </si>
  <si>
    <r>
      <t>f</t>
    </r>
    <r>
      <rPr>
        <sz val="8"/>
        <color theme="1"/>
        <rFont val="Arial"/>
        <family val="2"/>
      </rPr>
      <t>1</t>
    </r>
    <r>
      <rPr>
        <sz val="12"/>
        <color theme="1"/>
        <rFont val="Arial"/>
        <family val="2"/>
      </rPr>
      <t xml:space="preserve"> è la freccia massima calcolata per la trave appoggiata nella condizione di </t>
    </r>
  </si>
  <si>
    <r>
      <t>f</t>
    </r>
    <r>
      <rPr>
        <sz val="8"/>
        <color theme="1"/>
        <rFont val="Arial"/>
        <family val="2"/>
      </rPr>
      <t>2</t>
    </r>
    <r>
      <rPr>
        <sz val="12"/>
        <color theme="1"/>
        <rFont val="Arial"/>
        <family val="2"/>
      </rPr>
      <t xml:space="preserve"> è la freccia massima calcolata per la trave appoggiata nella condizione di </t>
    </r>
  </si>
  <si>
    <t>di breve durata e 0,5 per carichi di lunga durata o ciclici).</t>
  </si>
  <si>
    <t xml:space="preserve">Nel caso di mensole la freccia massima si calcola con la stessa relazione </t>
  </si>
  <si>
    <t>considerando però il doppio della lunghezza dello sbalzo.</t>
  </si>
  <si>
    <t>La verifica dell'ampiezza di fesseurazione per via indiretta, può riferirsi ai limiti</t>
  </si>
  <si>
    <t>di tensione nell'acciaio di armatura definiti nelle tabelle C.4.1.II e C.4.1.III.</t>
  </si>
  <si>
    <t>pertinente.</t>
  </si>
  <si>
    <t xml:space="preserve">sezione calcolata nella sezione parzializzata per la combinazione di carico </t>
  </si>
  <si>
    <r>
      <t>La tensione σ</t>
    </r>
    <r>
      <rPr>
        <sz val="8"/>
        <color theme="1"/>
        <rFont val="Arial"/>
        <family val="2"/>
      </rPr>
      <t xml:space="preserve">s </t>
    </r>
    <r>
      <rPr>
        <sz val="12"/>
        <color theme="1"/>
        <rFont val="Arial"/>
        <family val="2"/>
      </rPr>
      <t xml:space="preserve">è quella nell'acciaio d'armatura prossimo al lembo teso della </t>
    </r>
  </si>
  <si>
    <r>
      <t>w</t>
    </r>
    <r>
      <rPr>
        <sz val="8"/>
        <color theme="1"/>
        <rFont val="Calibri"/>
        <family val="2"/>
        <scheme val="minor"/>
      </rPr>
      <t>1</t>
    </r>
  </si>
  <si>
    <r>
      <t>w</t>
    </r>
    <r>
      <rPr>
        <sz val="8"/>
        <color theme="1"/>
        <rFont val="Calibri"/>
        <family val="2"/>
        <scheme val="minor"/>
      </rPr>
      <t>3</t>
    </r>
  </si>
  <si>
    <r>
      <t>w</t>
    </r>
    <r>
      <rPr>
        <sz val="8"/>
        <color theme="1"/>
        <rFont val="Calibri"/>
        <family val="2"/>
        <scheme val="minor"/>
      </rPr>
      <t>2</t>
    </r>
  </si>
  <si>
    <t>0,2 mm</t>
  </si>
  <si>
    <t>0,3 mm</t>
  </si>
  <si>
    <t>0,4 mm</t>
  </si>
  <si>
    <t xml:space="preserve">Lo stato limite di apertura delle fessure, riferito alla combinazione di azioni </t>
  </si>
  <si>
    <t xml:space="preserve">prescelta, è il valore limite di apertura della fessura calcolato al livello </t>
  </si>
  <si>
    <t>considerato. In particolare si assume pari ad uno dei seguenti valori nominali.</t>
  </si>
  <si>
    <t>Lo stato limite deve essere fissato in funzione delle condizioni ambientali e della</t>
  </si>
  <si>
    <t>sensibilità delle armature.</t>
  </si>
  <si>
    <t>Le armature utilizzate riportano le seguenti caratteristiche:</t>
  </si>
  <si>
    <t>La condizione ambientale è:</t>
  </si>
  <si>
    <t>ordinaria</t>
  </si>
  <si>
    <t>aggressiva</t>
  </si>
  <si>
    <t>molto aggressiva</t>
  </si>
  <si>
    <t>FESSURAZIONE IMPOSTA NELLA SEZIONE VECCHIA:</t>
  </si>
  <si>
    <r>
      <t>M</t>
    </r>
    <r>
      <rPr>
        <sz val="8"/>
        <color theme="1"/>
        <rFont val="Arial"/>
        <family val="2"/>
      </rPr>
      <t>cr</t>
    </r>
    <r>
      <rPr>
        <sz val="12"/>
        <color theme="1"/>
        <rFont val="Arial"/>
        <family val="2"/>
      </rPr>
      <t xml:space="preserve"> è il momento di prima fessurazione si calcola con la teoria elastica una</t>
    </r>
  </si>
  <si>
    <t xml:space="preserve"> Dall’ EC2 2004, La freccia massima si calcola:</t>
  </si>
  <si>
    <t>I pedici 1 e 2 indicano rispettivamente sezione reagente e parzializzata.</t>
  </si>
  <si>
    <t>I-Verifica di deformabilità</t>
  </si>
  <si>
    <t>II-Verifica delle tensioni di esercizio</t>
  </si>
  <si>
    <t>III-Verifica di fessurazione</t>
  </si>
  <si>
    <r>
      <rPr>
        <b/>
        <sz val="12"/>
        <color theme="1"/>
        <rFont val="Arial"/>
        <family val="2"/>
      </rPr>
      <t>n</t>
    </r>
    <r>
      <rPr>
        <sz val="12"/>
        <color theme="1"/>
        <rFont val="Arial"/>
        <family val="2"/>
      </rPr>
      <t xml:space="preserve"> è il coefficiente di omogeneizzazione della sezione.</t>
    </r>
  </si>
  <si>
    <t>FESSURAZIONE IMPOSTA NELLA SEZIONE GIOVANE:</t>
  </si>
  <si>
    <t>As, virtuale</t>
  </si>
  <si>
    <r>
      <t>A</t>
    </r>
    <r>
      <rPr>
        <b/>
        <sz val="8"/>
        <color theme="1"/>
        <rFont val="Calibri"/>
        <family val="2"/>
        <scheme val="minor"/>
      </rPr>
      <t>s,virt</t>
    </r>
  </si>
  <si>
    <t>d,virt</t>
  </si>
  <si>
    <t>xsoletta</t>
  </si>
  <si>
    <t>xfuori</t>
  </si>
  <si>
    <r>
      <t>d</t>
    </r>
    <r>
      <rPr>
        <b/>
        <sz val="8"/>
        <color theme="1"/>
        <rFont val="Calibri"/>
        <family val="2"/>
        <scheme val="minor"/>
      </rPr>
      <t>,virt</t>
    </r>
  </si>
  <si>
    <t>xsoletta,approx</t>
  </si>
  <si>
    <t>As</t>
  </si>
  <si>
    <r>
      <t>mm</t>
    </r>
    <r>
      <rPr>
        <sz val="11"/>
        <color theme="1"/>
        <rFont val="Calibri"/>
        <family val="2"/>
      </rPr>
      <t>²</t>
    </r>
  </si>
  <si>
    <t>d'inerzia della sezione.</t>
  </si>
  <si>
    <r>
      <t>P</t>
    </r>
    <r>
      <rPr>
        <b/>
        <sz val="8"/>
        <color theme="1"/>
        <rFont val="Calibri"/>
        <family val="2"/>
        <scheme val="minor"/>
      </rPr>
      <t>,sle quas. Perm</t>
    </r>
  </si>
  <si>
    <t>P,sle quas. Perm</t>
  </si>
  <si>
    <t>Massimo diametro utilizzato:</t>
  </si>
  <si>
    <t>As, inserita</t>
  </si>
  <si>
    <t>sol</t>
  </si>
  <si>
    <t>accsup</t>
  </si>
  <si>
    <t>accinf</t>
  </si>
  <si>
    <t>area tot eq</t>
  </si>
  <si>
    <t>j</t>
  </si>
  <si>
    <t>b0</t>
  </si>
  <si>
    <t>Atot,equival</t>
  </si>
  <si>
    <t>Si effettuano le seguenti verifiche, per la sezione di mezzeria:</t>
  </si>
  <si>
    <r>
      <t>G</t>
    </r>
    <r>
      <rPr>
        <b/>
        <sz val="8"/>
        <color indexed="8"/>
        <rFont val="Calibri"/>
        <family val="2"/>
      </rPr>
      <t>2</t>
    </r>
  </si>
  <si>
    <r>
      <t>G</t>
    </r>
    <r>
      <rPr>
        <b/>
        <sz val="8"/>
        <color indexed="8"/>
        <rFont val="Calibri"/>
        <family val="2"/>
      </rPr>
      <t xml:space="preserve">1 </t>
    </r>
  </si>
  <si>
    <t>A</t>
  </si>
  <si>
    <t>B</t>
  </si>
  <si>
    <t>C</t>
  </si>
  <si>
    <t>n,gio</t>
  </si>
  <si>
    <t>n,vec</t>
  </si>
  <si>
    <t>fyk=</t>
  </si>
  <si>
    <t>FeB450c</t>
  </si>
  <si>
    <t>b=</t>
  </si>
  <si>
    <t>h=</t>
  </si>
  <si>
    <t>d'=</t>
  </si>
  <si>
    <t>d=</t>
  </si>
  <si>
    <t>s=</t>
  </si>
  <si>
    <t>n=</t>
  </si>
  <si>
    <t>coeff. di omog. cls vecchio</t>
  </si>
  <si>
    <t>n'</t>
  </si>
  <si>
    <t>coeff. di omog. cls giovane</t>
  </si>
  <si>
    <t>jid1=</t>
  </si>
  <si>
    <r>
      <t>mm</t>
    </r>
    <r>
      <rPr>
        <vertAlign val="superscript"/>
        <sz val="11"/>
        <color theme="1"/>
        <rFont val="Calibri"/>
        <family val="2"/>
        <scheme val="minor"/>
      </rPr>
      <t>4</t>
    </r>
  </si>
  <si>
    <t>J,solo cls</t>
  </si>
  <si>
    <t>x,solo cls</t>
  </si>
  <si>
    <t>σ_c</t>
  </si>
  <si>
    <t>σ_s</t>
  </si>
  <si>
    <t>d0</t>
  </si>
  <si>
    <t>As*</t>
  </si>
  <si>
    <r>
      <t>mm</t>
    </r>
    <r>
      <rPr>
        <vertAlign val="superscript"/>
        <sz val="11"/>
        <color theme="1"/>
        <rFont val="Calibri"/>
        <family val="2"/>
        <scheme val="minor"/>
      </rPr>
      <t>2</t>
    </r>
  </si>
  <si>
    <t>d0*</t>
  </si>
  <si>
    <t>Jid=</t>
  </si>
  <si>
    <t>Mcr</t>
  </si>
  <si>
    <t>As=</t>
  </si>
  <si>
    <t>mm2</t>
  </si>
  <si>
    <t>A's=</t>
  </si>
  <si>
    <t>N/mm2</t>
  </si>
  <si>
    <t>b0=</t>
  </si>
  <si>
    <t>Ec=</t>
  </si>
  <si>
    <t>Es=</t>
  </si>
  <si>
    <t>Ec,eff=</t>
  </si>
  <si>
    <t>fck=</t>
  </si>
  <si>
    <t>fctm=</t>
  </si>
  <si>
    <t>fctk=</t>
  </si>
  <si>
    <t>STADIO 1 CLS GIOVANE</t>
  </si>
  <si>
    <t>STADIO 2 CLS VECCHIO</t>
  </si>
  <si>
    <r>
      <t>b</t>
    </r>
    <r>
      <rPr>
        <sz val="8"/>
        <color theme="1"/>
        <rFont val="Calibri"/>
        <family val="2"/>
        <scheme val="minor"/>
      </rPr>
      <t>w</t>
    </r>
  </si>
  <si>
    <t>Carico Permanente strutturale</t>
  </si>
  <si>
    <t>Carico Permanente non strutturale</t>
  </si>
  <si>
    <t>Armatura Superiore</t>
  </si>
  <si>
    <t>Armatura Inferiore</t>
  </si>
  <si>
    <t>Rete elettrosaldata</t>
  </si>
  <si>
    <t>Lunghezza trave:</t>
  </si>
  <si>
    <t>copriferro laterale:</t>
  </si>
  <si>
    <t>Passo medio delle armature:</t>
  </si>
  <si>
    <t>permanente</t>
  </si>
  <si>
    <t>C8/10</t>
  </si>
  <si>
    <t>C12/15</t>
  </si>
  <si>
    <t>C16/20</t>
  </si>
  <si>
    <t>C20/25</t>
  </si>
  <si>
    <t>C25/30</t>
  </si>
  <si>
    <t>C28/35</t>
  </si>
  <si>
    <t>C32/40</t>
  </si>
  <si>
    <t>C35/45</t>
  </si>
  <si>
    <t>C40/50</t>
  </si>
  <si>
    <t>C45/55</t>
  </si>
  <si>
    <t>C50/60</t>
  </si>
  <si>
    <t>Fe B450C</t>
  </si>
  <si>
    <t>Fe B44k</t>
  </si>
  <si>
    <t>Classe di resistenza del calcestruzzo</t>
  </si>
  <si>
    <t>Tipo Acciaio</t>
  </si>
  <si>
    <r>
      <t>M</t>
    </r>
    <r>
      <rPr>
        <b/>
        <sz val="8"/>
        <color theme="1"/>
        <rFont val="Calibri"/>
        <family val="2"/>
        <scheme val="minor"/>
      </rPr>
      <t xml:space="preserve">ed </t>
    </r>
    <r>
      <rPr>
        <b/>
        <sz val="11"/>
        <color theme="1"/>
        <rFont val="Calibri"/>
        <family val="2"/>
        <scheme val="minor"/>
      </rPr>
      <t>combinazione caratteristica</t>
    </r>
  </si>
  <si>
    <r>
      <t>M</t>
    </r>
    <r>
      <rPr>
        <b/>
        <sz val="8"/>
        <color theme="1"/>
        <rFont val="Calibri"/>
        <family val="2"/>
        <scheme val="minor"/>
      </rPr>
      <t xml:space="preserve">ed </t>
    </r>
    <r>
      <rPr>
        <b/>
        <sz val="11"/>
        <color theme="1"/>
        <rFont val="Calibri"/>
        <family val="2"/>
        <scheme val="minor"/>
      </rPr>
      <t>combinazione quasi permanente</t>
    </r>
  </si>
  <si>
    <t>Modulo elastico dell'acciaio</t>
  </si>
  <si>
    <r>
      <t>E</t>
    </r>
    <r>
      <rPr>
        <sz val="8"/>
        <color theme="1"/>
        <rFont val="Calibri"/>
        <family val="2"/>
        <scheme val="minor"/>
      </rPr>
      <t>s</t>
    </r>
  </si>
  <si>
    <r>
      <rPr>
        <sz val="16"/>
        <color theme="1"/>
        <rFont val="Calibri"/>
        <family val="2"/>
      </rPr>
      <t>ρ</t>
    </r>
    <r>
      <rPr>
        <sz val="10"/>
        <color theme="1"/>
        <rFont val="Calibri"/>
        <family val="2"/>
      </rPr>
      <t>p,eff</t>
    </r>
  </si>
  <si>
    <t>2,5 d'</t>
  </si>
  <si>
    <t>(h-x)/3</t>
  </si>
  <si>
    <t>k1</t>
  </si>
  <si>
    <t>k2</t>
  </si>
  <si>
    <t>k3</t>
  </si>
  <si>
    <t>k4</t>
  </si>
  <si>
    <t>kt</t>
  </si>
  <si>
    <t>Sr,max</t>
  </si>
  <si>
    <r>
      <rPr>
        <sz val="16"/>
        <color theme="1"/>
        <rFont val="Calibri"/>
        <family val="2"/>
      </rPr>
      <t>ε</t>
    </r>
    <r>
      <rPr>
        <sz val="10"/>
        <color theme="1"/>
        <rFont val="Calibri"/>
        <family val="2"/>
      </rPr>
      <t>sm-</t>
    </r>
    <r>
      <rPr>
        <sz val="16"/>
        <color theme="1"/>
        <rFont val="Calibri"/>
        <family val="2"/>
      </rPr>
      <t>ε</t>
    </r>
    <r>
      <rPr>
        <sz val="10"/>
        <color theme="1"/>
        <rFont val="Calibri"/>
        <family val="2"/>
      </rPr>
      <t>cm</t>
    </r>
  </si>
  <si>
    <t>wk</t>
  </si>
  <si>
    <t>STADIO 2 CLS GIOVANE</t>
  </si>
  <si>
    <t>5*(c-phi/2)</t>
  </si>
  <si>
    <t>Φ medio sup</t>
  </si>
  <si>
    <t>Φ medio inf</t>
  </si>
  <si>
    <r>
      <t>M</t>
    </r>
    <r>
      <rPr>
        <b/>
        <sz val="8"/>
        <color theme="1"/>
        <rFont val="Calibri"/>
        <family val="2"/>
        <scheme val="minor"/>
      </rPr>
      <t xml:space="preserve">ed </t>
    </r>
    <r>
      <rPr>
        <b/>
        <sz val="11"/>
        <color theme="1"/>
        <rFont val="Calibri"/>
        <family val="2"/>
        <scheme val="minor"/>
      </rPr>
      <t>combinazione frequente</t>
    </r>
  </si>
  <si>
    <r>
      <t>P</t>
    </r>
    <r>
      <rPr>
        <b/>
        <sz val="8"/>
        <color theme="1"/>
        <rFont val="Calibri"/>
        <family val="2"/>
        <scheme val="minor"/>
      </rPr>
      <t>,sle freq</t>
    </r>
  </si>
  <si>
    <t>freq</t>
  </si>
  <si>
    <t>comb freq</t>
  </si>
  <si>
    <t>Calcestruzzo vecchio</t>
  </si>
  <si>
    <t>Calcestruzzo nuovo</t>
  </si>
  <si>
    <t>vecchio</t>
  </si>
  <si>
    <t>nuovo</t>
  </si>
  <si>
    <t>comb quas perm</t>
  </si>
  <si>
    <t>tensioni</t>
  </si>
  <si>
    <r>
      <t>σ</t>
    </r>
    <r>
      <rPr>
        <sz val="8"/>
        <color theme="1"/>
        <rFont val="Calibri"/>
        <family val="2"/>
      </rPr>
      <t xml:space="preserve"> s,vecchio</t>
    </r>
  </si>
  <si>
    <r>
      <t>σ</t>
    </r>
    <r>
      <rPr>
        <sz val="8"/>
        <color theme="1"/>
        <rFont val="Calibri"/>
        <family val="2"/>
      </rPr>
      <t xml:space="preserve"> s, nuovo</t>
    </r>
  </si>
  <si>
    <r>
      <t xml:space="preserve">σ </t>
    </r>
    <r>
      <rPr>
        <sz val="8"/>
        <color theme="1"/>
        <rFont val="Calibri"/>
        <family val="2"/>
        <scheme val="minor"/>
      </rPr>
      <t>c,vecchio</t>
    </r>
  </si>
  <si>
    <r>
      <t xml:space="preserve">σ </t>
    </r>
    <r>
      <rPr>
        <sz val="8"/>
        <color theme="1"/>
        <rFont val="Calibri"/>
        <family val="2"/>
        <scheme val="minor"/>
      </rPr>
      <t>c,nuovo</t>
    </r>
  </si>
  <si>
    <t>σ c,nuovo</t>
  </si>
  <si>
    <t>σ s, nuovo</t>
  </si>
  <si>
    <r>
      <t>P</t>
    </r>
    <r>
      <rPr>
        <b/>
        <sz val="8"/>
        <color theme="1"/>
        <rFont val="Calibri"/>
        <family val="2"/>
        <scheme val="minor"/>
      </rPr>
      <t>,sle freq.</t>
    </r>
  </si>
  <si>
    <r>
      <t>P</t>
    </r>
    <r>
      <rPr>
        <b/>
        <sz val="8"/>
        <color theme="1"/>
        <rFont val="Calibri"/>
        <family val="2"/>
        <scheme val="minor"/>
      </rPr>
      <t>,sle carat.</t>
    </r>
  </si>
  <si>
    <t>P,sle carat.</t>
  </si>
  <si>
    <t>Verifica delle frecce differite.</t>
  </si>
  <si>
    <t>Si riportano anche valori tensionali di interesse progettuale e i valori del momento d'inerzia</t>
  </si>
  <si>
    <t>di tutte le sezioni in relazione allo stadio di esercizio, per la combinazione rara.</t>
  </si>
  <si>
    <t>La verifica delle tensioni consiste nel confrontare le tensioni che si attingono nei materiali in</t>
  </si>
  <si>
    <t xml:space="preserve"> condizioni di esercizio con i valori limite fissati dalla normativa per contenere i fenomeni di</t>
  </si>
  <si>
    <t xml:space="preserve"> microfessurazione  e di viscosità nel calcestruzzo compresso e lo snervamento dell’acciaio.</t>
  </si>
  <si>
    <t xml:space="preserve">Al fine di preservare la durabilità strutturale nelle condizioni ambientali maggiormente onerose le </t>
  </si>
  <si>
    <t>NTC prescrivono che la massima tensione di compressione nel calcestruzzo debba rispettare:</t>
  </si>
  <si>
    <t xml:space="preserve">Per quanto attiene la massima trazione nell’acciaio: </t>
  </si>
  <si>
    <t>Le massime tensioni sono state calcolate con la teoria elastica.</t>
  </si>
  <si>
    <t xml:space="preserve">Il calcolo tecnico dell’apertura delle fessure viene eseguito per la combinazione frequente e quasi </t>
  </si>
  <si>
    <t>permanente.</t>
  </si>
  <si>
    <t>Il valore di calcolo dell’apertura delle fessure wd può essere ottenuto con l’espressione:</t>
  </si>
  <si>
    <t xml:space="preserve"> </t>
  </si>
  <si>
    <t>Si fa l'ipotesi che l’armatura sia disposta con una spaziatura non superiore a 5(c + φ/2 ), in cui</t>
  </si>
  <si>
    <t>il diametro nel caso fossero presenti tondi diversi, è stabilito attraverso una media pesata.</t>
  </si>
  <si>
    <r>
      <rPr>
        <sz val="14"/>
        <color theme="1"/>
        <rFont val="Arial "/>
      </rPr>
      <t>S</t>
    </r>
    <r>
      <rPr>
        <sz val="12"/>
        <color theme="1"/>
        <rFont val="Arial "/>
      </rPr>
      <t>i riportano le verifiche condotte per ogni stato limite di esercizio, in particolare:</t>
    </r>
  </si>
  <si>
    <r>
      <rPr>
        <b/>
        <sz val="12"/>
        <color theme="1"/>
        <rFont val="Arial "/>
      </rPr>
      <t>Combinazione Rara:</t>
    </r>
    <r>
      <rPr>
        <sz val="12"/>
        <color theme="1"/>
        <rFont val="Arial "/>
      </rPr>
      <t xml:space="preserve"> Verifica alle tensioni e Verifica alle frecce istantanee;</t>
    </r>
  </si>
  <si>
    <r>
      <rPr>
        <b/>
        <sz val="12"/>
        <color theme="1"/>
        <rFont val="Arial "/>
      </rPr>
      <t>Combinazione Frequente:</t>
    </r>
    <r>
      <rPr>
        <sz val="12"/>
        <color theme="1"/>
        <rFont val="Arial "/>
      </rPr>
      <t xml:space="preserve"> Verifica all'apertura delle lesioni;</t>
    </r>
  </si>
  <si>
    <r>
      <rPr>
        <b/>
        <sz val="12"/>
        <color theme="1"/>
        <rFont val="Arial "/>
      </rPr>
      <t>Combinazione Quasi Permanente:</t>
    </r>
    <r>
      <rPr>
        <sz val="12"/>
        <color theme="1"/>
        <rFont val="Arial "/>
      </rPr>
      <t xml:space="preserve"> Verifica alle tensioni, Verifica all'apertura delle lesioni e</t>
    </r>
  </si>
  <si>
    <t>volta attinta la tensione massima a trazione del calcestruzzo maggiorata del 20% .</t>
  </si>
  <si>
    <t>quas perm</t>
  </si>
  <si>
    <t>Il foglio di calcolo esegue le verifiche allo stato limite di esercizio per le sezioni a "T" e per le</t>
  </si>
  <si>
    <t>Ing. Davide Cicchini</t>
  </si>
  <si>
    <t>www.davidecicchini.it</t>
  </si>
  <si>
    <t>sezioni rettangolari (per verificare una sezione rettangolare basta inserire bw=b).</t>
  </si>
  <si>
    <t>σc-=</t>
  </si>
  <si>
    <t>ϕ</t>
  </si>
  <si>
    <t>h0</t>
  </si>
  <si>
    <t>kh</t>
  </si>
  <si>
    <t>ho</t>
  </si>
  <si>
    <t>I2s</t>
  </si>
  <si>
    <t>I2n</t>
  </si>
  <si>
    <t>STADIO 1 CLS VECCHIO</t>
  </si>
  <si>
    <t>mm4</t>
  </si>
  <si>
    <t>Verifica della fessurazione senza calcolo diretto, in combinazione quasi</t>
  </si>
  <si>
    <t>ηs</t>
  </si>
  <si>
    <t>ηn</t>
  </si>
  <si>
    <t>y</t>
  </si>
  <si>
    <t>versione 1.1</t>
  </si>
  <si>
    <t>Larghezza della base superiore</t>
  </si>
  <si>
    <t>Larghezza della base inferiore</t>
  </si>
  <si>
    <t>Altezza della sezione</t>
  </si>
  <si>
    <t>Spessore dell'alla</t>
  </si>
  <si>
    <t xml:space="preserve">"c" è un coefficiente che tiene conto dei carichi di lunga durata ( vale 1 per carichi </t>
  </si>
  <si>
    <r>
      <rPr>
        <b/>
        <sz val="12"/>
        <color theme="1"/>
        <rFont val="Arial"/>
        <family val="2"/>
      </rPr>
      <t>y</t>
    </r>
    <r>
      <rPr>
        <sz val="12"/>
        <color theme="1"/>
        <rFont val="Arial"/>
        <family val="2"/>
      </rPr>
      <t xml:space="preserve"> Indica la posizione dell'asse neutro, mentre J rappresenta il momento</t>
    </r>
  </si>
  <si>
    <t>Lo stesso calcolo viene eseguito considerando i fenomeni lenti del calcestruzzo</t>
  </si>
  <si>
    <t xml:space="preserve">calcolando il modulo elastico efficace con il metodo EM (effective modulus) </t>
  </si>
  <si>
    <t xml:space="preserve">utilizzando il coefficiente di viscosità. Il coefficiente di viscosità valutato a tempo </t>
  </si>
  <si>
    <t xml:space="preserve">infinito è fornito in forma tabellare dalla Normativa Italiana al paragrafo 11.2.10.7. </t>
  </si>
  <si>
    <t>Questa verifica è condotta per lo stato limite di esercizio quasi permanente.</t>
  </si>
  <si>
    <t>4-Resistenze dei materiali</t>
  </si>
  <si>
    <t>5-Verifiche allo stato limite di esercizio</t>
  </si>
  <si>
    <t>5.2-Verifiche per il calcestruzzo Giovane, in combinazione caratteristica</t>
  </si>
  <si>
    <t>5.5-Cenni Teorici</t>
  </si>
  <si>
    <t>1-Geometria, definizione dei carichi e dei materiali utilizzati.</t>
  </si>
  <si>
    <t>2-Armature utilizzate</t>
  </si>
  <si>
    <t>3-Riepilogo</t>
  </si>
  <si>
    <r>
      <t>N/mm</t>
    </r>
    <r>
      <rPr>
        <b/>
        <vertAlign val="superscript"/>
        <sz val="12"/>
        <color theme="1"/>
        <rFont val="Calibri"/>
        <family val="2"/>
        <scheme val="minor"/>
      </rPr>
      <t>2</t>
    </r>
  </si>
  <si>
    <t>Si possono modificare solo le sezioni con il bordo doppio.</t>
  </si>
  <si>
    <t>Salvando in formato pdf la scheda verifica sle si può ricavare la relazione, la stampa è</t>
  </si>
  <si>
    <t>stata ottimizzata per un risultato ottimale.</t>
  </si>
  <si>
    <t xml:space="preserve">Verifica trave SLE </t>
  </si>
  <si>
    <r>
      <t>P_{</t>
    </r>
    <r>
      <rPr>
        <b/>
        <sz val="8"/>
        <color theme="1"/>
        <rFont val="Calibri"/>
        <family val="2"/>
        <scheme val="minor"/>
      </rPr>
      <t>sle carat.}</t>
    </r>
  </si>
  <si>
    <t>M_{ed}</t>
  </si>
  <si>
    <r>
      <t>J_</t>
    </r>
    <r>
      <rPr>
        <b/>
        <sz val="8"/>
        <color theme="1"/>
        <rFont val="Calibri"/>
        <family val="2"/>
        <scheme val="minor"/>
      </rPr>
      <t>1</t>
    </r>
  </si>
  <si>
    <r>
      <t>E_</t>
    </r>
    <r>
      <rPr>
        <b/>
        <sz val="8"/>
        <color theme="1"/>
        <rFont val="Calibri"/>
        <family val="2"/>
        <scheme val="minor"/>
      </rPr>
      <t>c</t>
    </r>
  </si>
  <si>
    <r>
      <t>W_</t>
    </r>
    <r>
      <rPr>
        <b/>
        <sz val="8"/>
        <color theme="1"/>
        <rFont val="Calibri"/>
        <family val="2"/>
        <scheme val="minor"/>
      </rPr>
      <t>1</t>
    </r>
  </si>
  <si>
    <r>
      <t>f_</t>
    </r>
    <r>
      <rPr>
        <b/>
        <sz val="8"/>
        <color theme="1"/>
        <rFont val="Calibri"/>
        <family val="2"/>
        <scheme val="minor"/>
      </rPr>
      <t>1</t>
    </r>
  </si>
  <si>
    <r>
      <t>M</t>
    </r>
    <r>
      <rPr>
        <b/>
        <sz val="8"/>
        <color theme="1"/>
        <rFont val="Calibri"/>
        <family val="2"/>
        <scheme val="minor"/>
      </rPr>
      <t>_{cr}</t>
    </r>
  </si>
  <si>
    <r>
      <t>f_{</t>
    </r>
    <r>
      <rPr>
        <b/>
        <sz val="8"/>
        <color theme="1"/>
        <rFont val="Calibri"/>
        <family val="2"/>
        <scheme val="minor"/>
      </rPr>
      <t>max}</t>
    </r>
  </si>
  <si>
    <r>
      <t xml:space="preserve">f </t>
    </r>
    <r>
      <rPr>
        <b/>
        <sz val="11"/>
        <color theme="1"/>
        <rFont val="Calibri"/>
        <family val="2"/>
      </rPr>
      <t>≤ f_{</t>
    </r>
    <r>
      <rPr>
        <b/>
        <sz val="8"/>
        <color theme="1"/>
        <rFont val="Calibri"/>
        <family val="2"/>
      </rPr>
      <t>max}</t>
    </r>
  </si>
  <si>
    <r>
      <t>σ_</t>
    </r>
    <r>
      <rPr>
        <b/>
        <sz val="8"/>
        <color theme="1"/>
        <rFont val="Calibri"/>
        <family val="2"/>
      </rPr>
      <t xml:space="preserve"> c</t>
    </r>
  </si>
  <si>
    <r>
      <t>σ _</t>
    </r>
    <r>
      <rPr>
        <b/>
        <sz val="8"/>
        <color theme="1"/>
        <rFont val="Calibri"/>
        <family val="2"/>
      </rPr>
      <t xml:space="preserve">c </t>
    </r>
    <r>
      <rPr>
        <b/>
        <sz val="11"/>
        <color theme="1"/>
        <rFont val="Calibri"/>
        <family val="2"/>
      </rPr>
      <t>≤ 0,6 f_{</t>
    </r>
    <r>
      <rPr>
        <b/>
        <sz val="8"/>
        <color theme="1"/>
        <rFont val="Calibri"/>
        <family val="2"/>
      </rPr>
      <t>ck}</t>
    </r>
  </si>
  <si>
    <r>
      <t>σ_</t>
    </r>
    <r>
      <rPr>
        <b/>
        <sz val="8"/>
        <color theme="1"/>
        <rFont val="Calibri"/>
        <family val="2"/>
      </rPr>
      <t xml:space="preserve"> s</t>
    </r>
  </si>
  <si>
    <r>
      <t>cm^</t>
    </r>
    <r>
      <rPr>
        <sz val="11"/>
        <color theme="1"/>
        <rFont val="Calibri"/>
        <family val="2"/>
      </rPr>
      <t>⁴</t>
    </r>
  </si>
  <si>
    <r>
      <t>cm^</t>
    </r>
    <r>
      <rPr>
        <sz val="11"/>
        <color theme="1"/>
        <rFont val="Calibri"/>
        <family val="2"/>
      </rPr>
      <t>³</t>
    </r>
  </si>
  <si>
    <r>
      <t>M_{</t>
    </r>
    <r>
      <rPr>
        <b/>
        <sz val="8"/>
        <color theme="1"/>
        <rFont val="Calibri"/>
        <family val="2"/>
        <scheme val="minor"/>
      </rPr>
      <t>ed}</t>
    </r>
  </si>
  <si>
    <r>
      <t>J_</t>
    </r>
    <r>
      <rPr>
        <b/>
        <sz val="8"/>
        <color theme="1"/>
        <rFont val="Calibri"/>
        <family val="2"/>
        <scheme val="minor"/>
      </rPr>
      <t>2</t>
    </r>
  </si>
  <si>
    <r>
      <t>f_</t>
    </r>
    <r>
      <rPr>
        <b/>
        <sz val="8"/>
        <color theme="1"/>
        <rFont val="Calibri"/>
        <family val="2"/>
        <scheme val="minor"/>
      </rPr>
      <t>2</t>
    </r>
  </si>
  <si>
    <r>
      <t xml:space="preserve">f </t>
    </r>
    <r>
      <rPr>
        <b/>
        <sz val="11"/>
        <color theme="1"/>
        <rFont val="Calibri"/>
        <family val="2"/>
      </rPr>
      <t>≤f_{max}</t>
    </r>
  </si>
  <si>
    <r>
      <t>σ</t>
    </r>
    <r>
      <rPr>
        <b/>
        <sz val="8"/>
        <color theme="1"/>
        <rFont val="Calibri"/>
        <family val="2"/>
      </rPr>
      <t xml:space="preserve"> _s</t>
    </r>
  </si>
  <si>
    <r>
      <t xml:space="preserve">σ_ </t>
    </r>
    <r>
      <rPr>
        <b/>
        <sz val="8"/>
        <color theme="1"/>
        <rFont val="Calibri"/>
        <family val="2"/>
      </rPr>
      <t xml:space="preserve">s </t>
    </r>
    <r>
      <rPr>
        <b/>
        <sz val="11"/>
        <color theme="1"/>
        <rFont val="Calibri"/>
        <family val="2"/>
      </rPr>
      <t>≤ 0,8 f_{y</t>
    </r>
    <r>
      <rPr>
        <b/>
        <sz val="8"/>
        <color theme="1"/>
        <rFont val="Calibri"/>
        <family val="2"/>
      </rPr>
      <t>k}</t>
    </r>
  </si>
  <si>
    <r>
      <t>mm^</t>
    </r>
    <r>
      <rPr>
        <sz val="11"/>
        <color theme="1"/>
        <rFont val="Calibri"/>
        <family val="2"/>
      </rPr>
      <t>²</t>
    </r>
  </si>
  <si>
    <r>
      <t>M_{</t>
    </r>
    <r>
      <rPr>
        <b/>
        <sz val="8"/>
        <color theme="1"/>
        <rFont val="Calibri"/>
        <family val="2"/>
        <scheme val="minor"/>
      </rPr>
      <t>cr}</t>
    </r>
  </si>
  <si>
    <t>_{virt}</t>
  </si>
  <si>
    <r>
      <t>w_</t>
    </r>
    <r>
      <rPr>
        <b/>
        <sz val="8"/>
        <color theme="1"/>
        <rFont val="Calibri"/>
        <family val="2"/>
      </rPr>
      <t>d</t>
    </r>
  </si>
  <si>
    <r>
      <t>w_{</t>
    </r>
    <r>
      <rPr>
        <b/>
        <sz val="8"/>
        <color theme="1"/>
        <rFont val="Calibri"/>
        <family val="2"/>
      </rPr>
      <t>lim}</t>
    </r>
  </si>
  <si>
    <r>
      <t>w_</t>
    </r>
    <r>
      <rPr>
        <b/>
        <sz val="8"/>
        <color theme="1"/>
        <rFont val="Calibri"/>
        <family val="2"/>
      </rPr>
      <t>d</t>
    </r>
    <r>
      <rPr>
        <b/>
        <sz val="11"/>
        <color theme="1"/>
        <rFont val="Calibri"/>
        <family val="2"/>
      </rPr>
      <t xml:space="preserve"> ≤ w_{</t>
    </r>
    <r>
      <rPr>
        <b/>
        <sz val="8"/>
        <color theme="1"/>
        <rFont val="Calibri"/>
        <family val="2"/>
      </rPr>
      <t>lim}</t>
    </r>
  </si>
  <si>
    <t>w_d</t>
  </si>
  <si>
    <r>
      <t>σ _</t>
    </r>
    <r>
      <rPr>
        <b/>
        <sz val="8"/>
        <color theme="1"/>
        <rFont val="Calibri"/>
        <family val="2"/>
      </rPr>
      <t xml:space="preserve">c </t>
    </r>
    <r>
      <rPr>
        <b/>
        <sz val="11"/>
        <color theme="1"/>
        <rFont val="Calibri"/>
        <family val="2"/>
      </rPr>
      <t>≤ 0,45 f_{</t>
    </r>
    <r>
      <rPr>
        <b/>
        <sz val="8"/>
        <color theme="1"/>
        <rFont val="Calibri"/>
        <family val="2"/>
      </rPr>
      <t>ck}</t>
    </r>
  </si>
  <si>
    <r>
      <t>E_{</t>
    </r>
    <r>
      <rPr>
        <b/>
        <sz val="8"/>
        <color theme="1"/>
        <rFont val="Calibri"/>
        <family val="2"/>
        <scheme val="minor"/>
      </rPr>
      <t>c,vec}</t>
    </r>
  </si>
  <si>
    <r>
      <t>d</t>
    </r>
    <r>
      <rPr>
        <b/>
        <sz val="8"/>
        <color theme="1"/>
        <rFont val="Calibri"/>
        <family val="2"/>
        <scheme val="minor"/>
      </rPr>
      <t>_{virt}</t>
    </r>
  </si>
  <si>
    <r>
      <rPr>
        <b/>
        <sz val="11"/>
        <color theme="1"/>
        <rFont val="Calibri"/>
        <family val="2"/>
        <scheme val="minor"/>
      </rPr>
      <t>J_{</t>
    </r>
    <r>
      <rPr>
        <b/>
        <sz val="8"/>
        <color theme="1"/>
        <rFont val="Calibri"/>
        <family val="2"/>
        <scheme val="minor"/>
      </rPr>
      <t>1,vecchio}</t>
    </r>
  </si>
  <si>
    <t>mm^²</t>
  </si>
  <si>
    <t>sezione totalmente    reagente</t>
  </si>
  <si>
    <t xml:space="preserve"> in combinazione caratteristica</t>
  </si>
  <si>
    <t xml:space="preserve">Calcestruzzo nuovo </t>
  </si>
  <si>
    <t xml:space="preserve"> in combinazione frequente</t>
  </si>
  <si>
    <t xml:space="preserve">Calcestruzzo vecchio </t>
  </si>
  <si>
    <t xml:space="preserve"> in combinazione quasi permanente</t>
  </si>
  <si>
    <t>Cls nuovo sezione tot. reagente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</si>
</sst>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.0000"/>
    <numFmt numFmtId="165" formatCode="0.0"/>
    <numFmt numFmtId="166" formatCode="0.0\ &quot;cm&quot;"/>
    <numFmt numFmtId="167" formatCode="&quot;φ&quot;\ 0"/>
    <numFmt numFmtId="168" formatCode="&quot;/&quot;\ 0.0\ &quot;cm&quot;"/>
    <numFmt numFmtId="169" formatCode="0.0\ &quot;mmq&quot;"/>
    <numFmt numFmtId="170" formatCode="&quot;Asse neutro, sle cls vecchio&quot;\ 0\ &quot;mm&quot;"/>
    <numFmt numFmtId="171" formatCode="&quot;Asse neutro, sle cls giovane&quot;\ 0\ &quot;mm&quot;"/>
    <numFmt numFmtId="172" formatCode="0.000"/>
    <numFmt numFmtId="173" formatCode="0.0&quot; mm²&quot;"/>
    <numFmt numFmtId="174" formatCode="0\ &quot;cm²&quot;"/>
    <numFmt numFmtId="175" formatCode="0.00&quot; m&quot;"/>
    <numFmt numFmtId="176" formatCode="0\ &quot;mm&quot;"/>
    <numFmt numFmtId="177" formatCode="0\ &quot;cm&quot;"/>
  </numFmts>
  <fonts count="4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vertAlign val="subscript"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 "/>
    </font>
    <font>
      <b/>
      <sz val="11"/>
      <color theme="9" tint="-0.499984740745262"/>
      <name val="Arial"/>
      <family val="2"/>
    </font>
    <font>
      <b/>
      <sz val="12"/>
      <color theme="1"/>
      <name val="Arial"/>
      <family val="2"/>
    </font>
    <font>
      <b/>
      <sz val="12"/>
      <color theme="9" tint="-0.499984740745262"/>
      <name val="Arial"/>
      <family val="2"/>
    </font>
    <font>
      <b/>
      <sz val="11"/>
      <color indexed="8"/>
      <name val="Calibri"/>
      <family val="2"/>
    </font>
    <font>
      <b/>
      <sz val="8"/>
      <color indexed="8"/>
      <name val="Calibri"/>
      <family val="2"/>
    </font>
    <font>
      <sz val="11"/>
      <color indexed="8"/>
      <name val="Calibri"/>
      <family val="2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6"/>
      <color theme="1"/>
      <name val="Calibri"/>
      <family val="2"/>
      <scheme val="minor"/>
    </font>
    <font>
      <u/>
      <sz val="12"/>
      <color theme="1"/>
      <name val="Arial "/>
    </font>
    <font>
      <sz val="14"/>
      <color theme="1"/>
      <name val="Arial "/>
    </font>
    <font>
      <b/>
      <sz val="12"/>
      <color theme="1"/>
      <name val="Arial "/>
    </font>
    <font>
      <b/>
      <i/>
      <sz val="12"/>
      <color rgb="FF0070C0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i/>
      <sz val="18"/>
      <color rgb="FF00B050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trike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auto="1"/>
      </right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uble">
        <color auto="1"/>
      </right>
      <top style="dotted">
        <color auto="1"/>
      </top>
      <bottom style="dotted">
        <color auto="1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DotDot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indexed="64"/>
      </top>
      <bottom/>
      <diagonal/>
    </border>
    <border>
      <left/>
      <right/>
      <top style="thin">
        <color indexed="64"/>
      </top>
      <bottom style="dashDotDot">
        <color indexed="64"/>
      </bottom>
      <diagonal/>
    </border>
  </borders>
  <cellStyleXfs count="2">
    <xf numFmtId="0" fontId="0" fillId="0" borderId="0"/>
    <xf numFmtId="0" fontId="39" fillId="0" borderId="0" applyNumberFormat="0" applyFill="0" applyBorder="0" applyAlignment="0" applyProtection="0"/>
  </cellStyleXfs>
  <cellXfs count="27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Fill="1" applyBorder="1" applyAlignment="1" applyProtection="1">
      <alignment horizontal="center" vertical="center"/>
      <protection hidden="1"/>
    </xf>
    <xf numFmtId="1" fontId="0" fillId="0" borderId="0" xfId="0" applyNumberFormat="1" applyFill="1" applyBorder="1" applyAlignment="1" applyProtection="1">
      <alignment horizontal="center" vertical="center"/>
      <protection hidden="1"/>
    </xf>
    <xf numFmtId="0" fontId="0" fillId="0" borderId="13" xfId="0" applyBorder="1"/>
    <xf numFmtId="0" fontId="1" fillId="0" borderId="0" xfId="0" applyFont="1" applyAlignment="1">
      <alignment horizontal="left" vertical="center"/>
    </xf>
    <xf numFmtId="0" fontId="1" fillId="0" borderId="0" xfId="0" applyFont="1"/>
    <xf numFmtId="0" fontId="0" fillId="0" borderId="0" xfId="0" applyFill="1"/>
    <xf numFmtId="0" fontId="1" fillId="0" borderId="25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Alignment="1" applyProtection="1">
      <alignment horizontal="center" vertical="center"/>
      <protection hidden="1"/>
    </xf>
    <xf numFmtId="167" fontId="9" fillId="0" borderId="28" xfId="0" applyNumberFormat="1" applyFont="1" applyBorder="1" applyAlignment="1" applyProtection="1">
      <alignment horizontal="center" vertical="center"/>
      <protection locked="0"/>
    </xf>
    <xf numFmtId="0" fontId="22" fillId="0" borderId="0" xfId="0" applyFont="1" applyFill="1" applyAlignment="1" applyProtection="1">
      <protection hidden="1"/>
    </xf>
    <xf numFmtId="0" fontId="1" fillId="0" borderId="0" xfId="0" applyFont="1" applyBorder="1" applyAlignment="1">
      <alignment horizontal="center" vertical="center"/>
    </xf>
    <xf numFmtId="168" fontId="0" fillId="0" borderId="28" xfId="0" applyNumberFormat="1" applyBorder="1" applyAlignment="1" applyProtection="1">
      <alignment horizontal="center" vertical="center"/>
      <protection locked="0"/>
    </xf>
    <xf numFmtId="0" fontId="0" fillId="0" borderId="11" xfId="0" applyBorder="1"/>
    <xf numFmtId="0" fontId="0" fillId="0" borderId="24" xfId="0" applyFill="1" applyBorder="1"/>
    <xf numFmtId="0" fontId="0" fillId="0" borderId="24" xfId="0" applyBorder="1"/>
    <xf numFmtId="0" fontId="0" fillId="0" borderId="7" xfId="0" applyBorder="1"/>
    <xf numFmtId="0" fontId="0" fillId="0" borderId="25" xfId="0" applyFill="1" applyBorder="1"/>
    <xf numFmtId="0" fontId="0" fillId="0" borderId="0" xfId="0" applyFill="1" applyBorder="1"/>
    <xf numFmtId="0" fontId="0" fillId="0" borderId="26" xfId="0" applyBorder="1"/>
    <xf numFmtId="0" fontId="0" fillId="0" borderId="25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/>
    <xf numFmtId="2" fontId="0" fillId="0" borderId="0" xfId="0" applyNumberFormat="1"/>
    <xf numFmtId="173" fontId="0" fillId="0" borderId="0" xfId="0" applyNumberFormat="1" applyFill="1"/>
    <xf numFmtId="172" fontId="0" fillId="0" borderId="0" xfId="0" applyNumberFormat="1"/>
    <xf numFmtId="172" fontId="0" fillId="0" borderId="0" xfId="0" applyNumberFormat="1" applyFill="1" applyBorder="1"/>
    <xf numFmtId="2" fontId="0" fillId="0" borderId="0" xfId="0" applyNumberFormat="1" applyFill="1" applyBorder="1"/>
    <xf numFmtId="2" fontId="0" fillId="0" borderId="25" xfId="0" applyNumberFormat="1" applyBorder="1"/>
    <xf numFmtId="2" fontId="0" fillId="0" borderId="0" xfId="0" applyNumberFormat="1" applyBorder="1"/>
    <xf numFmtId="1" fontId="0" fillId="0" borderId="0" xfId="0" applyNumberFormat="1"/>
    <xf numFmtId="172" fontId="0" fillId="0" borderId="0" xfId="0" applyNumberFormat="1" applyAlignment="1">
      <alignment horizontal="center" vertical="center"/>
    </xf>
    <xf numFmtId="167" fontId="9" fillId="0" borderId="28" xfId="0" applyNumberFormat="1" applyFont="1" applyFill="1" applyBorder="1" applyAlignment="1" applyProtection="1">
      <alignment horizontal="center" vertical="center"/>
      <protection locked="0"/>
    </xf>
    <xf numFmtId="1" fontId="0" fillId="0" borderId="28" xfId="0" applyNumberFormat="1" applyFill="1" applyBorder="1" applyAlignment="1" applyProtection="1">
      <alignment horizontal="center"/>
      <protection locked="0"/>
    </xf>
    <xf numFmtId="2" fontId="0" fillId="0" borderId="28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/>
    <xf numFmtId="0" fontId="0" fillId="0" borderId="37" xfId="0" applyBorder="1"/>
    <xf numFmtId="0" fontId="0" fillId="0" borderId="0" xfId="0" applyFont="1" applyBorder="1" applyAlignment="1">
      <alignment horizontal="left" vertical="center"/>
    </xf>
    <xf numFmtId="1" fontId="0" fillId="0" borderId="0" xfId="0" applyNumberFormat="1" applyFont="1" applyBorder="1" applyAlignment="1">
      <alignment horizontal="right" vertical="center"/>
    </xf>
    <xf numFmtId="0" fontId="0" fillId="0" borderId="4" xfId="0" applyBorder="1"/>
    <xf numFmtId="2" fontId="0" fillId="0" borderId="4" xfId="0" applyNumberFormat="1" applyBorder="1"/>
    <xf numFmtId="0" fontId="0" fillId="0" borderId="4" xfId="0" applyBorder="1" applyAlignment="1">
      <alignment horizontal="center"/>
    </xf>
    <xf numFmtId="0" fontId="27" fillId="0" borderId="22" xfId="0" applyFont="1" applyBorder="1"/>
    <xf numFmtId="0" fontId="0" fillId="0" borderId="22" xfId="0" applyBorder="1"/>
    <xf numFmtId="0" fontId="27" fillId="0" borderId="4" xfId="0" applyFont="1" applyFill="1" applyBorder="1"/>
    <xf numFmtId="0" fontId="0" fillId="0" borderId="4" xfId="0" applyFill="1" applyBorder="1"/>
    <xf numFmtId="0" fontId="0" fillId="0" borderId="4" xfId="0" applyFill="1" applyBorder="1" applyAlignment="1"/>
    <xf numFmtId="0" fontId="0" fillId="0" borderId="0" xfId="0" applyFill="1" applyBorder="1" applyAlignment="1"/>
    <xf numFmtId="0" fontId="0" fillId="0" borderId="20" xfId="0" applyBorder="1"/>
    <xf numFmtId="0" fontId="0" fillId="0" borderId="20" xfId="0" applyFill="1" applyBorder="1"/>
    <xf numFmtId="0" fontId="0" fillId="4" borderId="38" xfId="0" applyFill="1" applyBorder="1" applyAlignment="1">
      <alignment horizontal="center"/>
    </xf>
    <xf numFmtId="1" fontId="0" fillId="4" borderId="27" xfId="0" applyNumberFormat="1" applyFill="1" applyBorder="1"/>
    <xf numFmtId="0" fontId="0" fillId="4" borderId="35" xfId="0" applyFill="1" applyBorder="1"/>
    <xf numFmtId="0" fontId="0" fillId="0" borderId="37" xfId="0" applyBorder="1" applyAlignment="1">
      <alignment horizontal="center"/>
    </xf>
    <xf numFmtId="1" fontId="0" fillId="0" borderId="0" xfId="0" applyNumberFormat="1" applyBorder="1"/>
    <xf numFmtId="0" fontId="9" fillId="0" borderId="12" xfId="0" applyFont="1" applyFill="1" applyBorder="1"/>
    <xf numFmtId="1" fontId="0" fillId="0" borderId="2" xfId="0" applyNumberFormat="1" applyFill="1" applyBorder="1"/>
    <xf numFmtId="0" fontId="0" fillId="0" borderId="13" xfId="0" applyFill="1" applyBorder="1"/>
    <xf numFmtId="0" fontId="9" fillId="0" borderId="37" xfId="0" applyFont="1" applyBorder="1"/>
    <xf numFmtId="165" fontId="0" fillId="0" borderId="0" xfId="0" applyNumberFormat="1" applyBorder="1"/>
    <xf numFmtId="0" fontId="9" fillId="0" borderId="12" xfId="0" applyFont="1" applyBorder="1"/>
    <xf numFmtId="165" fontId="0" fillId="0" borderId="2" xfId="0" applyNumberFormat="1" applyBorder="1"/>
    <xf numFmtId="0" fontId="9" fillId="0" borderId="0" xfId="0" applyFont="1" applyFill="1" applyBorder="1"/>
    <xf numFmtId="1" fontId="0" fillId="0" borderId="0" xfId="0" applyNumberFormat="1" applyFill="1" applyBorder="1"/>
    <xf numFmtId="0" fontId="0" fillId="0" borderId="9" xfId="0" applyBorder="1" applyAlignment="1">
      <alignment horizontal="center"/>
    </xf>
    <xf numFmtId="1" fontId="0" fillId="0" borderId="5" xfId="0" applyNumberFormat="1" applyBorder="1"/>
    <xf numFmtId="0" fontId="0" fillId="0" borderId="39" xfId="0" applyBorder="1"/>
    <xf numFmtId="0" fontId="0" fillId="0" borderId="12" xfId="0" applyBorder="1" applyAlignment="1">
      <alignment horizontal="center"/>
    </xf>
    <xf numFmtId="1" fontId="0" fillId="0" borderId="2" xfId="0" applyNumberFormat="1" applyBorder="1"/>
    <xf numFmtId="0" fontId="0" fillId="5" borderId="0" xfId="0" applyFill="1" applyBorder="1"/>
    <xf numFmtId="0" fontId="0" fillId="4" borderId="12" xfId="0" applyFill="1" applyBorder="1" applyAlignment="1">
      <alignment horizontal="center"/>
    </xf>
    <xf numFmtId="1" fontId="0" fillId="4" borderId="2" xfId="0" applyNumberFormat="1" applyFill="1" applyBorder="1"/>
    <xf numFmtId="0" fontId="0" fillId="4" borderId="13" xfId="0" applyFill="1" applyBorder="1"/>
    <xf numFmtId="0" fontId="0" fillId="0" borderId="9" xfId="0" applyBorder="1"/>
    <xf numFmtId="0" fontId="9" fillId="0" borderId="38" xfId="0" applyFont="1" applyBorder="1"/>
    <xf numFmtId="165" fontId="0" fillId="0" borderId="27" xfId="0" applyNumberFormat="1" applyBorder="1"/>
    <xf numFmtId="0" fontId="0" fillId="0" borderId="35" xfId="0" applyFill="1" applyBorder="1"/>
    <xf numFmtId="1" fontId="0" fillId="0" borderId="4" xfId="0" applyNumberFormat="1" applyBorder="1"/>
    <xf numFmtId="0" fontId="1" fillId="0" borderId="2" xfId="0" applyFont="1" applyFill="1" applyBorder="1"/>
    <xf numFmtId="0" fontId="0" fillId="0" borderId="28" xfId="0" applyFill="1" applyBorder="1" applyAlignment="1" applyProtection="1">
      <alignment horizontal="center" vertical="center"/>
      <protection locked="0"/>
    </xf>
    <xf numFmtId="1" fontId="0" fillId="0" borderId="28" xfId="0" applyNumberFormat="1" applyFill="1" applyBorder="1" applyAlignment="1" applyProtection="1">
      <alignment horizontal="center" vertical="center"/>
      <protection locked="0"/>
    </xf>
    <xf numFmtId="0" fontId="0" fillId="0" borderId="0" xfId="0" applyProtection="1"/>
    <xf numFmtId="0" fontId="23" fillId="0" borderId="0" xfId="0" applyFont="1" applyFill="1" applyAlignment="1" applyProtection="1"/>
    <xf numFmtId="0" fontId="6" fillId="0" borderId="0" xfId="0" applyFont="1" applyFill="1" applyAlignment="1" applyProtection="1"/>
    <xf numFmtId="0" fontId="0" fillId="0" borderId="0" xfId="0" applyFill="1" applyAlignment="1" applyProtection="1"/>
    <xf numFmtId="0" fontId="6" fillId="0" borderId="0" xfId="0" applyFont="1" applyAlignment="1" applyProtection="1"/>
    <xf numFmtId="0" fontId="5" fillId="0" borderId="0" xfId="0" applyFont="1" applyAlignment="1" applyProtection="1">
      <alignment horizontal="center" vertical="center"/>
    </xf>
    <xf numFmtId="0" fontId="1" fillId="0" borderId="30" xfId="0" applyFont="1" applyBorder="1" applyAlignment="1" applyProtection="1">
      <alignment horizontal="left" vertical="center"/>
    </xf>
    <xf numFmtId="0" fontId="0" fillId="0" borderId="30" xfId="0" applyBorder="1" applyProtection="1"/>
    <xf numFmtId="0" fontId="0" fillId="0" borderId="31" xfId="0" applyBorder="1" applyAlignment="1" applyProtection="1">
      <alignment horizontal="center"/>
    </xf>
    <xf numFmtId="0" fontId="0" fillId="0" borderId="0" xfId="0" applyAlignment="1" applyProtection="1">
      <alignment horizontal="center" vertical="center"/>
    </xf>
    <xf numFmtId="0" fontId="0" fillId="0" borderId="31" xfId="0" applyFont="1" applyBorder="1" applyAlignment="1" applyProtection="1">
      <alignment horizontal="center" vertical="center"/>
    </xf>
    <xf numFmtId="0" fontId="0" fillId="0" borderId="30" xfId="0" applyBorder="1" applyAlignment="1" applyProtection="1">
      <alignment horizontal="center" vertical="center"/>
    </xf>
    <xf numFmtId="0" fontId="0" fillId="0" borderId="30" xfId="0" applyBorder="1" applyAlignment="1" applyProtection="1">
      <alignment horizontal="left"/>
    </xf>
    <xf numFmtId="0" fontId="0" fillId="0" borderId="0" xfId="0" applyBorder="1" applyAlignment="1" applyProtection="1">
      <alignment horizontal="center" vertical="center"/>
    </xf>
    <xf numFmtId="0" fontId="1" fillId="0" borderId="30" xfId="0" applyFont="1" applyBorder="1" applyAlignment="1" applyProtection="1">
      <alignment horizontal="left"/>
    </xf>
    <xf numFmtId="0" fontId="0" fillId="0" borderId="30" xfId="0" applyBorder="1" applyAlignment="1" applyProtection="1">
      <alignment horizontal="center"/>
    </xf>
    <xf numFmtId="0" fontId="0" fillId="0" borderId="34" xfId="0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0" fontId="1" fillId="0" borderId="0" xfId="0" applyFont="1" applyBorder="1" applyAlignment="1" applyProtection="1">
      <alignment horizontal="center" vertical="center"/>
    </xf>
    <xf numFmtId="167" fontId="9" fillId="0" borderId="34" xfId="0" applyNumberFormat="1" applyFont="1" applyFill="1" applyBorder="1" applyAlignment="1" applyProtection="1">
      <alignment horizontal="center" vertical="center"/>
    </xf>
    <xf numFmtId="168" fontId="0" fillId="0" borderId="34" xfId="0" applyNumberFormat="1" applyBorder="1" applyAlignment="1" applyProtection="1">
      <alignment horizontal="center" vertical="center"/>
    </xf>
    <xf numFmtId="0" fontId="10" fillId="0" borderId="4" xfId="0" applyFont="1" applyFill="1" applyBorder="1" applyAlignment="1" applyProtection="1">
      <alignment horizontal="center" vertical="center"/>
    </xf>
    <xf numFmtId="173" fontId="0" fillId="0" borderId="3" xfId="0" applyNumberFormat="1" applyFill="1" applyBorder="1" applyAlignment="1" applyProtection="1">
      <alignment horizontal="center" vertical="center"/>
    </xf>
    <xf numFmtId="1" fontId="0" fillId="0" borderId="0" xfId="0" applyNumberFormat="1" applyFill="1" applyBorder="1" applyAlignment="1" applyProtection="1">
      <alignment horizontal="center"/>
    </xf>
    <xf numFmtId="173" fontId="0" fillId="0" borderId="0" xfId="0" applyNumberFormat="1" applyFill="1" applyBorder="1" applyAlignment="1" applyProtection="1">
      <alignment horizontal="center" vertical="center"/>
    </xf>
    <xf numFmtId="0" fontId="22" fillId="0" borderId="0" xfId="0" applyFont="1" applyFill="1" applyAlignment="1" applyProtection="1"/>
    <xf numFmtId="2" fontId="0" fillId="0" borderId="0" xfId="0" applyNumberFormat="1" applyBorder="1" applyAlignment="1" applyProtection="1">
      <alignment horizontal="center" vertical="center"/>
    </xf>
    <xf numFmtId="2" fontId="0" fillId="0" borderId="0" xfId="0" applyNumberFormat="1" applyAlignment="1" applyProtection="1">
      <alignment horizontal="center" vertical="center"/>
    </xf>
    <xf numFmtId="0" fontId="0" fillId="0" borderId="0" xfId="0" applyFill="1" applyProtection="1"/>
    <xf numFmtId="2" fontId="0" fillId="0" borderId="0" xfId="0" applyNumberFormat="1" applyFont="1" applyBorder="1" applyAlignment="1" applyProtection="1">
      <alignment horizontal="center" vertical="center"/>
    </xf>
    <xf numFmtId="0" fontId="19" fillId="0" borderId="0" xfId="0" applyFont="1" applyBorder="1" applyProtection="1"/>
    <xf numFmtId="0" fontId="0" fillId="0" borderId="4" xfId="0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40" xfId="0" applyFont="1" applyBorder="1" applyAlignment="1" applyProtection="1">
      <alignment horizontal="center" vertical="center"/>
    </xf>
    <xf numFmtId="0" fontId="9" fillId="0" borderId="0" xfId="0" applyFont="1"/>
    <xf numFmtId="0" fontId="10" fillId="0" borderId="0" xfId="0" applyFont="1"/>
    <xf numFmtId="2" fontId="1" fillId="0" borderId="0" xfId="0" applyNumberFormat="1" applyFont="1"/>
    <xf numFmtId="0" fontId="0" fillId="0" borderId="4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2" fontId="0" fillId="0" borderId="28" xfId="0" applyNumberFormat="1" applyBorder="1" applyAlignment="1" applyProtection="1">
      <alignment horizontal="center" vertical="center"/>
      <protection locked="0"/>
    </xf>
    <xf numFmtId="2" fontId="0" fillId="0" borderId="0" xfId="0" applyNumberFormat="1" applyFill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172" fontId="0" fillId="0" borderId="28" xfId="0" applyNumberFormat="1" applyFill="1" applyBorder="1" applyAlignment="1" applyProtection="1">
      <alignment horizontal="center" vertical="center"/>
      <protection locked="0"/>
    </xf>
    <xf numFmtId="2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1" fillId="0" borderId="0" xfId="0" applyFont="1" applyProtection="1">
      <protection hidden="1"/>
    </xf>
    <xf numFmtId="0" fontId="0" fillId="0" borderId="0" xfId="0" applyProtection="1">
      <protection hidden="1"/>
    </xf>
    <xf numFmtId="0" fontId="19" fillId="0" borderId="0" xfId="0" applyFont="1" applyProtection="1">
      <protection hidden="1"/>
    </xf>
    <xf numFmtId="0" fontId="23" fillId="0" borderId="0" xfId="0" applyFont="1" applyFill="1" applyAlignment="1" applyProtection="1">
      <protection hidden="1"/>
    </xf>
    <xf numFmtId="0" fontId="1" fillId="0" borderId="0" xfId="0" applyFont="1" applyFill="1" applyBorder="1" applyProtection="1">
      <protection hidden="1"/>
    </xf>
    <xf numFmtId="0" fontId="1" fillId="0" borderId="14" xfId="0" applyFont="1" applyFill="1" applyBorder="1" applyAlignment="1" applyProtection="1">
      <alignment horizontal="right"/>
      <protection hidden="1"/>
    </xf>
    <xf numFmtId="2" fontId="1" fillId="0" borderId="15" xfId="0" applyNumberFormat="1" applyFont="1" applyFill="1" applyBorder="1" applyAlignment="1" applyProtection="1">
      <alignment horizontal="center" vertical="center"/>
      <protection hidden="1"/>
    </xf>
    <xf numFmtId="0" fontId="1" fillId="0" borderId="16" xfId="0" applyFont="1" applyFill="1" applyBorder="1" applyProtection="1">
      <protection hidden="1"/>
    </xf>
    <xf numFmtId="0" fontId="9" fillId="0" borderId="0" xfId="0" applyFont="1" applyFill="1" applyBorder="1" applyAlignment="1" applyProtection="1">
      <alignment horizontal="center" vertical="center"/>
      <protection hidden="1"/>
    </xf>
    <xf numFmtId="0" fontId="9" fillId="0" borderId="17" xfId="0" applyFont="1" applyFill="1" applyBorder="1" applyAlignment="1" applyProtection="1">
      <alignment horizontal="center" vertical="center"/>
      <protection hidden="1"/>
    </xf>
    <xf numFmtId="0" fontId="9" fillId="0" borderId="18" xfId="0" applyFont="1" applyFill="1" applyBorder="1" applyAlignment="1" applyProtection="1">
      <alignment horizontal="center" vertical="center"/>
      <protection hidden="1"/>
    </xf>
    <xf numFmtId="0" fontId="9" fillId="0" borderId="19" xfId="0" applyFont="1" applyFill="1" applyBorder="1" applyAlignment="1" applyProtection="1">
      <alignment horizontal="center" vertical="center"/>
      <protection hidden="1"/>
    </xf>
    <xf numFmtId="0" fontId="0" fillId="0" borderId="0" xfId="0" applyBorder="1" applyProtection="1">
      <protection hidden="1"/>
    </xf>
    <xf numFmtId="165" fontId="1" fillId="0" borderId="15" xfId="0" applyNumberFormat="1" applyFont="1" applyFill="1" applyBorder="1" applyAlignment="1" applyProtection="1">
      <alignment horizontal="center" vertical="center"/>
      <protection hidden="1"/>
    </xf>
    <xf numFmtId="166" fontId="0" fillId="0" borderId="0" xfId="0" applyNumberFormat="1" applyAlignment="1" applyProtection="1">
      <alignment horizontal="center" vertical="center"/>
      <protection hidden="1"/>
    </xf>
    <xf numFmtId="0" fontId="0" fillId="0" borderId="0" xfId="0" applyFill="1" applyBorder="1" applyProtection="1">
      <protection hidden="1"/>
    </xf>
    <xf numFmtId="166" fontId="0" fillId="0" borderId="0" xfId="0" applyNumberFormat="1" applyBorder="1" applyAlignment="1" applyProtection="1">
      <alignment horizontal="center" vertical="center"/>
      <protection hidden="1"/>
    </xf>
    <xf numFmtId="0" fontId="18" fillId="0" borderId="0" xfId="0" applyFont="1" applyBorder="1" applyAlignment="1" applyProtection="1">
      <alignment horizontal="right" vertical="center"/>
      <protection hidden="1"/>
    </xf>
    <xf numFmtId="0" fontId="18" fillId="0" borderId="0" xfId="0" applyFont="1" applyBorder="1" applyAlignment="1" applyProtection="1">
      <alignment horizontal="center" vertical="center"/>
      <protection hidden="1"/>
    </xf>
    <xf numFmtId="2" fontId="1" fillId="0" borderId="4" xfId="0" applyNumberFormat="1" applyFont="1" applyBorder="1" applyAlignment="1" applyProtection="1">
      <alignment horizontal="center" vertical="center"/>
      <protection hidden="1"/>
    </xf>
    <xf numFmtId="0" fontId="24" fillId="0" borderId="0" xfId="0" applyFont="1" applyFill="1" applyAlignment="1" applyProtection="1">
      <protection hidden="1"/>
    </xf>
    <xf numFmtId="0" fontId="35" fillId="0" borderId="0" xfId="0" applyFont="1" applyProtection="1">
      <protection hidden="1"/>
    </xf>
    <xf numFmtId="0" fontId="1" fillId="0" borderId="25" xfId="0" applyFont="1" applyBorder="1" applyAlignment="1" applyProtection="1">
      <alignment horizontal="center" vertical="center"/>
      <protection hidden="1"/>
    </xf>
    <xf numFmtId="0" fontId="0" fillId="0" borderId="26" xfId="0" applyBorder="1" applyAlignment="1" applyProtection="1">
      <alignment horizontal="center" vertical="center"/>
      <protection hidden="1"/>
    </xf>
    <xf numFmtId="2" fontId="0" fillId="0" borderId="0" xfId="0" applyNumberFormat="1" applyBorder="1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13" fillId="0" borderId="0" xfId="0" applyFont="1" applyBorder="1" applyAlignment="1" applyProtection="1">
      <alignment horizontal="center" vertical="center" textRotation="90" wrapText="1"/>
      <protection hidden="1"/>
    </xf>
    <xf numFmtId="0" fontId="1" fillId="0" borderId="0" xfId="0" applyFont="1" applyBorder="1" applyAlignment="1" applyProtection="1">
      <alignment horizontal="center" vertical="center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164" fontId="0" fillId="0" borderId="0" xfId="0" applyNumberFormat="1" applyFill="1" applyAlignment="1" applyProtection="1">
      <alignment horizontal="center" vertical="center"/>
      <protection hidden="1"/>
    </xf>
    <xf numFmtId="0" fontId="0" fillId="0" borderId="0" xfId="0" applyFill="1" applyProtection="1">
      <protection hidden="1"/>
    </xf>
    <xf numFmtId="0" fontId="1" fillId="0" borderId="0" xfId="0" applyFont="1" applyBorder="1" applyAlignment="1" applyProtection="1">
      <alignment horizontal="center" vertical="center" wrapText="1"/>
      <protection hidden="1"/>
    </xf>
    <xf numFmtId="1" fontId="0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Fill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19" fillId="0" borderId="0" xfId="0" applyFont="1" applyBorder="1" applyProtection="1">
      <protection hidden="1"/>
    </xf>
    <xf numFmtId="1" fontId="0" fillId="0" borderId="0" xfId="0" applyNumberFormat="1" applyFill="1" applyBorder="1" applyAlignment="1" applyProtection="1">
      <alignment horizontal="center"/>
      <protection hidden="1"/>
    </xf>
    <xf numFmtId="0" fontId="19" fillId="0" borderId="0" xfId="0" applyFont="1" applyBorder="1" applyAlignment="1" applyProtection="1">
      <protection hidden="1"/>
    </xf>
    <xf numFmtId="0" fontId="25" fillId="0" borderId="0" xfId="0" applyFont="1" applyFill="1" applyBorder="1" applyAlignment="1" applyProtection="1">
      <alignment horizontal="center" vertical="center"/>
      <protection hidden="1"/>
    </xf>
    <xf numFmtId="0" fontId="0" fillId="0" borderId="11" xfId="0" applyFill="1" applyBorder="1"/>
    <xf numFmtId="165" fontId="0" fillId="0" borderId="4" xfId="0" applyNumberFormat="1" applyBorder="1"/>
    <xf numFmtId="2" fontId="9" fillId="0" borderId="4" xfId="0" applyNumberFormat="1" applyFon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6" borderId="4" xfId="0" applyNumberFormat="1" applyFill="1" applyBorder="1" applyAlignment="1">
      <alignment horizontal="center" vertical="center"/>
    </xf>
    <xf numFmtId="2" fontId="0" fillId="6" borderId="4" xfId="0" applyNumberFormat="1" applyFill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7" borderId="4" xfId="0" applyNumberFormat="1" applyFill="1" applyBorder="1" applyAlignment="1">
      <alignment horizontal="center" vertical="center"/>
    </xf>
    <xf numFmtId="2" fontId="0" fillId="0" borderId="4" xfId="0" applyNumberFormat="1" applyFill="1" applyBorder="1" applyAlignment="1">
      <alignment horizontal="center" vertical="center"/>
    </xf>
    <xf numFmtId="1" fontId="0" fillId="4" borderId="27" xfId="0" applyNumberForma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44" xfId="0" applyNumberForma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Protection="1">
      <protection hidden="1"/>
    </xf>
    <xf numFmtId="0" fontId="0" fillId="0" borderId="0" xfId="0" applyFont="1" applyProtection="1">
      <protection hidden="1"/>
    </xf>
    <xf numFmtId="176" fontId="0" fillId="0" borderId="4" xfId="0" applyNumberFormat="1" applyFont="1" applyBorder="1" applyAlignment="1" applyProtection="1">
      <alignment horizontal="center" vertical="center"/>
      <protection hidden="1"/>
    </xf>
    <xf numFmtId="167" fontId="9" fillId="0" borderId="4" xfId="0" applyNumberFormat="1" applyFont="1" applyBorder="1" applyAlignment="1" applyProtection="1">
      <alignment horizontal="center" vertical="center"/>
      <protection hidden="1"/>
    </xf>
    <xf numFmtId="0" fontId="9" fillId="0" borderId="9" xfId="0" applyFont="1" applyBorder="1" applyAlignment="1">
      <alignment horizontal="center"/>
    </xf>
    <xf numFmtId="166" fontId="0" fillId="0" borderId="0" xfId="0" applyNumberFormat="1" applyAlignment="1" applyProtection="1">
      <alignment horizontal="center"/>
      <protection hidden="1"/>
    </xf>
    <xf numFmtId="0" fontId="4" fillId="0" borderId="4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175" fontId="18" fillId="0" borderId="0" xfId="0" applyNumberFormat="1" applyFont="1" applyBorder="1" applyAlignment="1" applyProtection="1">
      <alignment horizontal="left" vertical="center"/>
      <protection hidden="1"/>
    </xf>
    <xf numFmtId="0" fontId="19" fillId="0" borderId="0" xfId="0" applyFont="1" applyFill="1" applyBorder="1" applyProtection="1">
      <protection hidden="1"/>
    </xf>
    <xf numFmtId="174" fontId="28" fillId="3" borderId="23" xfId="0" applyNumberFormat="1" applyFont="1" applyFill="1" applyBorder="1" applyAlignment="1" applyProtection="1">
      <alignment horizontal="center" vertical="center"/>
      <protection hidden="1"/>
    </xf>
    <xf numFmtId="0" fontId="0" fillId="3" borderId="46" xfId="0" applyFill="1" applyBorder="1" applyProtection="1">
      <protection hidden="1"/>
    </xf>
    <xf numFmtId="177" fontId="0" fillId="0" borderId="0" xfId="0" applyNumberFormat="1" applyFill="1" applyBorder="1" applyAlignment="1" applyProtection="1">
      <alignment horizontal="center" vertical="center"/>
      <protection hidden="1"/>
    </xf>
    <xf numFmtId="0" fontId="0" fillId="0" borderId="26" xfId="0" applyBorder="1" applyProtection="1">
      <protection hidden="1"/>
    </xf>
    <xf numFmtId="173" fontId="29" fillId="3" borderId="47" xfId="0" applyNumberFormat="1" applyFont="1" applyFill="1" applyBorder="1" applyAlignment="1" applyProtection="1">
      <alignment horizontal="center" vertical="center"/>
      <protection hidden="1"/>
    </xf>
    <xf numFmtId="173" fontId="43" fillId="3" borderId="3" xfId="0" applyNumberFormat="1" applyFont="1" applyFill="1" applyBorder="1" applyAlignment="1" applyProtection="1">
      <alignment horizontal="center" vertical="center"/>
      <protection hidden="1"/>
    </xf>
    <xf numFmtId="0" fontId="0" fillId="3" borderId="23" xfId="0" applyFill="1" applyBorder="1" applyProtection="1">
      <protection hidden="1"/>
    </xf>
    <xf numFmtId="173" fontId="43" fillId="3" borderId="48" xfId="0" applyNumberFormat="1" applyFont="1" applyFill="1" applyBorder="1" applyAlignment="1" applyProtection="1">
      <alignment horizontal="center" vertical="center"/>
      <protection hidden="1"/>
    </xf>
    <xf numFmtId="0" fontId="39" fillId="0" borderId="0" xfId="1" applyFill="1" applyBorder="1" applyAlignment="1" applyProtection="1">
      <alignment horizontal="center" vertical="center"/>
      <protection hidden="1"/>
    </xf>
    <xf numFmtId="0" fontId="40" fillId="0" borderId="0" xfId="0" applyFont="1" applyFill="1" applyBorder="1" applyAlignment="1" applyProtection="1">
      <alignment horizontal="center" vertical="center"/>
      <protection hidden="1"/>
    </xf>
    <xf numFmtId="0" fontId="39" fillId="0" borderId="0" xfId="1" applyFill="1" applyBorder="1" applyAlignment="1" applyProtection="1">
      <alignment horizontal="center" vertical="center"/>
      <protection locked="0"/>
    </xf>
    <xf numFmtId="0" fontId="38" fillId="3" borderId="0" xfId="0" applyFont="1" applyFill="1" applyAlignment="1" applyProtection="1">
      <alignment horizontal="center"/>
      <protection hidden="1"/>
    </xf>
    <xf numFmtId="0" fontId="1" fillId="0" borderId="20" xfId="0" applyFont="1" applyBorder="1" applyAlignment="1" applyProtection="1">
      <alignment horizontal="center" vertical="center" wrapText="1"/>
      <protection hidden="1"/>
    </xf>
    <xf numFmtId="0" fontId="1" fillId="0" borderId="21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9" fillId="0" borderId="0" xfId="0" applyFont="1" applyBorder="1" applyAlignment="1" applyProtection="1">
      <alignment horizontal="left"/>
      <protection hidden="1"/>
    </xf>
    <xf numFmtId="0" fontId="19" fillId="0" borderId="0" xfId="0" applyFont="1" applyBorder="1" applyAlignment="1" applyProtection="1">
      <alignment horizontal="left" vertical="center"/>
      <protection hidden="1"/>
    </xf>
    <xf numFmtId="0" fontId="30" fillId="0" borderId="10" xfId="0" applyFont="1" applyBorder="1" applyAlignment="1" applyProtection="1">
      <alignment horizontal="center" vertical="center" wrapText="1"/>
      <protection hidden="1"/>
    </xf>
    <xf numFmtId="0" fontId="30" fillId="0" borderId="1" xfId="0" applyFont="1" applyBorder="1" applyAlignment="1" applyProtection="1">
      <alignment horizontal="center" vertical="center" wrapText="1"/>
      <protection hidden="1"/>
    </xf>
    <xf numFmtId="0" fontId="30" fillId="0" borderId="6" xfId="0" applyFont="1" applyBorder="1" applyAlignment="1" applyProtection="1">
      <alignment horizontal="center" vertical="center" wrapText="1"/>
      <protection hidden="1"/>
    </xf>
    <xf numFmtId="0" fontId="34" fillId="0" borderId="22" xfId="0" applyFont="1" applyBorder="1" applyAlignment="1" applyProtection="1">
      <alignment horizontal="center" vertical="center" textRotation="90" wrapText="1"/>
      <protection hidden="1"/>
    </xf>
    <xf numFmtId="0" fontId="34" fillId="0" borderId="23" xfId="0" applyFont="1" applyBorder="1" applyAlignment="1" applyProtection="1">
      <alignment horizontal="center" vertical="center" textRotation="90" wrapText="1"/>
      <protection hidden="1"/>
    </xf>
    <xf numFmtId="0" fontId="34" fillId="0" borderId="3" xfId="0" applyFont="1" applyBorder="1" applyAlignment="1" applyProtection="1">
      <alignment horizontal="center" vertical="center" textRotation="90" wrapText="1"/>
      <protection hidden="1"/>
    </xf>
    <xf numFmtId="0" fontId="34" fillId="0" borderId="22" xfId="0" applyFont="1" applyFill="1" applyBorder="1" applyAlignment="1" applyProtection="1">
      <alignment horizontal="center" vertical="center" textRotation="90" wrapText="1"/>
      <protection hidden="1"/>
    </xf>
    <xf numFmtId="0" fontId="34" fillId="0" borderId="23" xfId="0" applyFont="1" applyFill="1" applyBorder="1" applyAlignment="1" applyProtection="1">
      <alignment horizontal="center" vertical="center" textRotation="90" wrapText="1"/>
      <protection hidden="1"/>
    </xf>
    <xf numFmtId="0" fontId="34" fillId="0" borderId="3" xfId="0" applyFont="1" applyFill="1" applyBorder="1" applyAlignment="1" applyProtection="1">
      <alignment horizontal="center" vertical="center" textRotation="90" wrapText="1"/>
      <protection hidden="1"/>
    </xf>
    <xf numFmtId="0" fontId="30" fillId="0" borderId="11" xfId="0" applyFont="1" applyBorder="1" applyAlignment="1" applyProtection="1">
      <alignment horizontal="center" vertical="center" wrapText="1"/>
      <protection hidden="1"/>
    </xf>
    <xf numFmtId="0" fontId="30" fillId="0" borderId="24" xfId="0" applyFont="1" applyBorder="1" applyAlignment="1" applyProtection="1">
      <alignment horizontal="center" vertical="center" wrapText="1"/>
      <protection hidden="1"/>
    </xf>
    <xf numFmtId="0" fontId="30" fillId="0" borderId="7" xfId="0" applyFont="1" applyBorder="1" applyAlignment="1" applyProtection="1">
      <alignment horizontal="center" vertical="center" wrapText="1"/>
      <protection hidden="1"/>
    </xf>
    <xf numFmtId="0" fontId="1" fillId="0" borderId="40" xfId="0" applyFont="1" applyBorder="1" applyAlignment="1" applyProtection="1">
      <alignment horizontal="center" vertical="center"/>
    </xf>
    <xf numFmtId="0" fontId="1" fillId="0" borderId="29" xfId="0" applyFont="1" applyBorder="1" applyAlignment="1" applyProtection="1">
      <alignment horizontal="center" vertical="center"/>
    </xf>
    <xf numFmtId="0" fontId="30" fillId="0" borderId="4" xfId="0" applyFont="1" applyBorder="1" applyAlignment="1" applyProtection="1">
      <alignment horizontal="center" vertical="center" wrapText="1"/>
      <protection hidden="1"/>
    </xf>
    <xf numFmtId="0" fontId="30" fillId="0" borderId="4" xfId="0" applyFont="1" applyBorder="1" applyAlignment="1" applyProtection="1">
      <alignment horizontal="center" vertical="center"/>
      <protection hidden="1"/>
    </xf>
    <xf numFmtId="0" fontId="0" fillId="0" borderId="33" xfId="0" applyFont="1" applyBorder="1" applyAlignment="1" applyProtection="1">
      <alignment horizontal="center"/>
      <protection locked="0"/>
    </xf>
    <xf numFmtId="0" fontId="0" fillId="0" borderId="32" xfId="0" applyFont="1" applyBorder="1" applyAlignment="1" applyProtection="1">
      <alignment horizontal="center"/>
      <protection locked="0"/>
    </xf>
    <xf numFmtId="0" fontId="41" fillId="0" borderId="0" xfId="0" applyFont="1" applyAlignment="1" applyProtection="1">
      <alignment horizontal="center"/>
    </xf>
    <xf numFmtId="171" fontId="17" fillId="0" borderId="0" xfId="0" applyNumberFormat="1" applyFont="1" applyBorder="1" applyAlignment="1" applyProtection="1">
      <alignment horizontal="center" vertical="center"/>
      <protection hidden="1"/>
    </xf>
    <xf numFmtId="170" fontId="17" fillId="0" borderId="0" xfId="0" applyNumberFormat="1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/>
      <protection hidden="1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0" fillId="0" borderId="0" xfId="0" applyAlignment="1" applyProtection="1">
      <alignment horizontal="center"/>
    </xf>
    <xf numFmtId="0" fontId="13" fillId="0" borderId="20" xfId="0" applyFont="1" applyBorder="1" applyAlignment="1" applyProtection="1">
      <alignment horizontal="center" vertical="center" textRotation="90" wrapText="1"/>
      <protection hidden="1"/>
    </xf>
    <xf numFmtId="0" fontId="1" fillId="0" borderId="4" xfId="0" applyFont="1" applyFill="1" applyBorder="1" applyAlignment="1" applyProtection="1">
      <alignment horizontal="center" vertical="center"/>
      <protection hidden="1"/>
    </xf>
    <xf numFmtId="165" fontId="0" fillId="0" borderId="4" xfId="0" applyNumberFormat="1" applyFont="1" applyBorder="1" applyAlignment="1" applyProtection="1">
      <alignment horizontal="center" vertical="center"/>
      <protection hidden="1"/>
    </xf>
    <xf numFmtId="1" fontId="0" fillId="0" borderId="4" xfId="0" applyNumberFormat="1" applyBorder="1" applyAlignment="1" applyProtection="1">
      <alignment horizontal="center" vertical="center"/>
      <protection hidden="1"/>
    </xf>
    <xf numFmtId="2" fontId="0" fillId="0" borderId="4" xfId="0" applyNumberFormat="1" applyBorder="1" applyAlignment="1" applyProtection="1">
      <alignment horizontal="center" vertical="center"/>
      <protection hidden="1"/>
    </xf>
    <xf numFmtId="165" fontId="0" fillId="0" borderId="4" xfId="0" applyNumberFormat="1" applyBorder="1" applyAlignment="1" applyProtection="1">
      <alignment horizontal="center" vertical="center"/>
      <protection hidden="1"/>
    </xf>
    <xf numFmtId="165" fontId="4" fillId="0" borderId="4" xfId="0" applyNumberFormat="1" applyFont="1" applyBorder="1" applyAlignment="1" applyProtection="1">
      <alignment horizontal="center" vertical="center"/>
      <protection hidden="1"/>
    </xf>
    <xf numFmtId="0" fontId="16" fillId="0" borderId="4" xfId="0" applyFont="1" applyBorder="1" applyAlignment="1" applyProtection="1">
      <alignment horizontal="center" vertical="center"/>
      <protection hidden="1"/>
    </xf>
    <xf numFmtId="165" fontId="1" fillId="2" borderId="4" xfId="0" applyNumberFormat="1" applyFont="1" applyFill="1" applyBorder="1" applyAlignment="1" applyProtection="1">
      <alignment horizontal="center" vertical="center"/>
      <protection hidden="1"/>
    </xf>
    <xf numFmtId="0" fontId="10" fillId="0" borderId="4" xfId="0" applyFont="1" applyBorder="1" applyAlignment="1" applyProtection="1">
      <alignment horizontal="center" vertical="center"/>
      <protection hidden="1"/>
    </xf>
    <xf numFmtId="2" fontId="9" fillId="0" borderId="4" xfId="0" applyNumberFormat="1" applyFont="1" applyBorder="1" applyAlignment="1" applyProtection="1">
      <alignment horizontal="center" vertical="center"/>
      <protection hidden="1"/>
    </xf>
    <xf numFmtId="0" fontId="22" fillId="0" borderId="1" xfId="0" applyFont="1" applyFill="1" applyBorder="1" applyAlignment="1" applyProtection="1">
      <alignment horizontal="center"/>
      <protection hidden="1"/>
    </xf>
    <xf numFmtId="0" fontId="22" fillId="0" borderId="4" xfId="0" applyFont="1" applyFill="1" applyBorder="1" applyAlignment="1" applyProtection="1">
      <alignment horizontal="center"/>
      <protection hidden="1"/>
    </xf>
    <xf numFmtId="0" fontId="22" fillId="0" borderId="4" xfId="0" applyFont="1" applyBorder="1" applyAlignment="1">
      <alignment horizontal="center"/>
    </xf>
    <xf numFmtId="165" fontId="0" fillId="0" borderId="4" xfId="0" applyNumberFormat="1" applyFont="1" applyFill="1" applyBorder="1" applyAlignment="1" applyProtection="1">
      <alignment horizontal="center" vertical="center"/>
      <protection hidden="1"/>
    </xf>
    <xf numFmtId="0" fontId="11" fillId="0" borderId="4" xfId="0" applyFont="1" applyBorder="1" applyAlignment="1" applyProtection="1">
      <alignment horizontal="center" vertical="center"/>
      <protection locked="0"/>
    </xf>
    <xf numFmtId="2" fontId="0" fillId="0" borderId="4" xfId="0" applyNumberFormat="1" applyFont="1" applyBorder="1" applyAlignment="1" applyProtection="1">
      <alignment horizontal="center" vertical="center"/>
      <protection hidden="1"/>
    </xf>
    <xf numFmtId="1" fontId="0" fillId="0" borderId="4" xfId="0" applyNumberFormat="1" applyFill="1" applyBorder="1" applyAlignment="1" applyProtection="1">
      <alignment horizontal="center" vertical="center"/>
      <protection hidden="1"/>
    </xf>
    <xf numFmtId="2" fontId="0" fillId="0" borderId="4" xfId="0" applyNumberFormat="1" applyFont="1" applyFill="1" applyBorder="1" applyAlignment="1" applyProtection="1">
      <alignment horizontal="center" vertical="center"/>
      <protection hidden="1"/>
    </xf>
    <xf numFmtId="0" fontId="11" fillId="0" borderId="4" xfId="0" applyFont="1" applyBorder="1" applyAlignment="1" applyProtection="1">
      <alignment horizontal="center" vertical="center"/>
      <protection hidden="1"/>
    </xf>
    <xf numFmtId="0" fontId="10" fillId="0" borderId="4" xfId="0" applyFont="1" applyFill="1" applyBorder="1" applyAlignment="1" applyProtection="1">
      <alignment horizontal="center" vertical="center"/>
      <protection hidden="1"/>
    </xf>
    <xf numFmtId="1" fontId="0" fillId="0" borderId="4" xfId="0" applyNumberFormat="1" applyFont="1" applyFill="1" applyBorder="1" applyAlignment="1" applyProtection="1">
      <alignment horizontal="center" vertical="center"/>
      <protection hidden="1"/>
    </xf>
    <xf numFmtId="1" fontId="0" fillId="0" borderId="4" xfId="0" applyNumberFormat="1" applyFont="1" applyBorder="1" applyAlignment="1" applyProtection="1">
      <alignment horizontal="center" vertical="center"/>
      <protection hidden="1"/>
    </xf>
    <xf numFmtId="0" fontId="10" fillId="0" borderId="4" xfId="0" applyFont="1" applyBorder="1" applyAlignment="1" applyProtection="1">
      <alignment horizontal="center" vertical="center"/>
      <protection locked="0"/>
    </xf>
    <xf numFmtId="2" fontId="1" fillId="0" borderId="4" xfId="0" applyNumberFormat="1" applyFont="1" applyFill="1" applyBorder="1" applyAlignment="1" applyProtection="1">
      <alignment horizontal="center" vertical="center"/>
      <protection hidden="1"/>
    </xf>
    <xf numFmtId="165" fontId="1" fillId="2" borderId="20" xfId="0" applyNumberFormat="1" applyFont="1" applyFill="1" applyBorder="1" applyAlignment="1" applyProtection="1">
      <alignment horizontal="center" vertical="center"/>
      <protection hidden="1"/>
    </xf>
    <xf numFmtId="165" fontId="1" fillId="2" borderId="8" xfId="0" applyNumberFormat="1" applyFont="1" applyFill="1" applyBorder="1" applyAlignment="1" applyProtection="1">
      <alignment horizontal="center" vertical="center"/>
      <protection hidden="1"/>
    </xf>
    <xf numFmtId="0" fontId="22" fillId="0" borderId="20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20" xfId="0" applyFont="1" applyFill="1" applyBorder="1" applyAlignment="1" applyProtection="1">
      <alignment horizontal="center"/>
      <protection hidden="1"/>
    </xf>
    <xf numFmtId="0" fontId="22" fillId="0" borderId="21" xfId="0" applyFont="1" applyFill="1" applyBorder="1" applyAlignment="1" applyProtection="1">
      <alignment horizontal="center"/>
      <protection hidden="1"/>
    </xf>
    <xf numFmtId="0" fontId="22" fillId="0" borderId="8" xfId="0" applyFont="1" applyFill="1" applyBorder="1" applyAlignment="1" applyProtection="1">
      <alignment horizontal="center"/>
      <protection hidden="1"/>
    </xf>
  </cellXfs>
  <cellStyles count="2">
    <cellStyle name="Collegamento ipertestuale" xfId="1" builtinId="8"/>
    <cellStyle name="Normale" xfId="0" builtinId="0"/>
  </cellStyles>
  <dxfs count="4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auto="1"/>
        </left>
        <right style="thin">
          <color auto="1"/>
        </right>
        <vertical/>
        <horizontal/>
      </border>
    </dxf>
    <dxf>
      <font>
        <b val="0"/>
        <i val="0"/>
      </font>
      <fill>
        <patternFill>
          <bgColor theme="0" tint="-0.14996795556505021"/>
        </patternFill>
      </fill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</font>
      <fill>
        <patternFill>
          <bgColor theme="0" tint="-0.14996795556505021"/>
        </patternFill>
      </fill>
      <border>
        <left style="thin">
          <color auto="1"/>
        </lef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63233660209653"/>
          <c:y val="4.1431261770244823E-2"/>
          <c:w val="0.82814240812491036"/>
          <c:h val="0.85986802497145487"/>
        </c:manualLayout>
      </c:layout>
      <c:scatterChart>
        <c:scatterStyle val="lineMarker"/>
        <c:varyColors val="0"/>
        <c:ser>
          <c:idx val="0"/>
          <c:order val="0"/>
          <c:tx>
            <c:v>ved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Foglio1!#REF!</c:f>
            </c:numRef>
          </c:xVal>
          <c:yVal>
            <c:numRef>
              <c:f>Foglio1!#REF!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A3-46D2-A70C-1E84FDD79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9404912"/>
        <c:axId val="2019408720"/>
      </c:scatterChart>
      <c:scatterChart>
        <c:scatterStyle val="smoothMarker"/>
        <c:varyColors val="0"/>
        <c:ser>
          <c:idx val="1"/>
          <c:order val="1"/>
          <c:tx>
            <c:v>vrd sup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Foglio1!#REF!</c:f>
            </c:numRef>
          </c:xVal>
          <c:yVal>
            <c:numRef>
              <c:f>Foglio1!#REF!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A3-46D2-A70C-1E84FDD79B95}"/>
            </c:ext>
          </c:extLst>
        </c:ser>
        <c:ser>
          <c:idx val="2"/>
          <c:order val="2"/>
          <c:tx>
            <c:v>vrd inf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Foglio1!#REF!</c:f>
            </c:numRef>
          </c:xVal>
          <c:yVal>
            <c:numRef>
              <c:f>Foglio1!#REF!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3A3-46D2-A70C-1E84FDD79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9404912"/>
        <c:axId val="2019408720"/>
      </c:scatterChart>
      <c:valAx>
        <c:axId val="201940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baseline="0">
                    <a:effectLst/>
                  </a:rPr>
                  <a:t>Lunghezza trave [m]</a:t>
                </a:r>
                <a:endParaRPr lang="it-IT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9408720"/>
        <c:crosses val="autoZero"/>
        <c:crossBetween val="midCat"/>
      </c:valAx>
      <c:valAx>
        <c:axId val="201940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Taglio</a:t>
                </a:r>
                <a:r>
                  <a:rPr lang="it-IT" baseline="0"/>
                  <a:t> [kN]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9404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600075</xdr:colOff>
      <xdr:row>4</xdr:row>
      <xdr:rowOff>19051</xdr:rowOff>
    </xdr:to>
    <xdr:pic>
      <xdr:nvPicPr>
        <xdr:cNvPr id="2" name="Immagine 1" descr="Cattura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9550" y="190500"/>
          <a:ext cx="6086475" cy="5905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233892</xdr:colOff>
      <xdr:row>221</xdr:row>
      <xdr:rowOff>42333</xdr:rowOff>
    </xdr:from>
    <xdr:ext cx="1510242" cy="4010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asellaDiTesto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 txBox="1"/>
          </xdr:nvSpPr>
          <xdr:spPr>
            <a:xfrm>
              <a:off x="392642" y="42301583"/>
              <a:ext cx="1510242" cy="4010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2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it-IT" sz="12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it-IT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t-IT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t-IT" sz="1200" b="0" i="1">
                            <a:latin typeface="Cambria Math" panose="02040503050406030204" pitchFamily="18" charset="0"/>
                          </a:rPr>
                          <m:t>5</m:t>
                        </m:r>
                      </m:num>
                      <m:den>
                        <m:r>
                          <a:rPr lang="it-IT" sz="1200" b="0" i="1">
                            <a:latin typeface="Cambria Math" panose="02040503050406030204" pitchFamily="18" charset="0"/>
                          </a:rPr>
                          <m:t>384</m:t>
                        </m:r>
                      </m:den>
                    </m:f>
                    <m:r>
                      <a:rPr lang="it-IT" sz="1200" b="0" i="1">
                        <a:latin typeface="Cambria Math" panose="02040503050406030204" pitchFamily="18" charset="0"/>
                      </a:rPr>
                      <m:t> </m:t>
                    </m:r>
                    <m:f>
                      <m:fPr>
                        <m:ctrlPr>
                          <a:rPr lang="it-IT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t-IT" sz="1200" b="0" i="1">
                            <a:latin typeface="Cambria Math" panose="02040503050406030204" pitchFamily="18" charset="0"/>
                          </a:rPr>
                          <m:t>𝑞</m:t>
                        </m:r>
                        <m:r>
                          <a:rPr lang="it-IT" sz="1200" b="0" i="1">
                            <a:latin typeface="Cambria Math" panose="02040503050406030204" pitchFamily="18" charset="0"/>
                          </a:rPr>
                          <m:t> </m:t>
                        </m:r>
                        <m:sSup>
                          <m:sSupPr>
                            <m:ctrlPr>
                              <a:rPr lang="it-IT" sz="12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it-IT" sz="1200" b="0" i="1">
                                <a:latin typeface="Cambria Math" panose="02040503050406030204" pitchFamily="18" charset="0"/>
                              </a:rPr>
                              <m:t>𝑙</m:t>
                            </m:r>
                          </m:e>
                          <m:sup>
                            <m:r>
                              <a:rPr lang="it-IT" sz="12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num>
                      <m:den>
                        <m:sSub>
                          <m:sSubPr>
                            <m:ctrlPr>
                              <a:rPr lang="it-IT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2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it-IT" sz="12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sub>
                        </m:sSub>
                        <m:sSub>
                          <m:sSubPr>
                            <m:ctrlPr>
                              <a:rPr lang="it-IT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2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it-IT" sz="1200" b="0" i="1">
                                <a:latin typeface="Cambria Math" panose="02040503050406030204" pitchFamily="18" charset="0"/>
                              </a:rPr>
                              <m:t>𝐽</m:t>
                            </m:r>
                          </m:e>
                          <m:sub>
                            <m:r>
                              <a:rPr lang="it-IT" sz="12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den>
                    </m:f>
                    <m:r>
                      <a:rPr lang="it-IT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it-IT" sz="12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it-IT" sz="1200"/>
            </a:p>
          </xdr:txBody>
        </xdr:sp>
      </mc:Choice>
      <mc:Fallback xmlns="">
        <xdr:sp macro="" textlink="">
          <xdr:nvSpPr>
            <xdr:cNvPr id="7" name="CasellaDiTesto 6"/>
            <xdr:cNvSpPr txBox="1"/>
          </xdr:nvSpPr>
          <xdr:spPr>
            <a:xfrm>
              <a:off x="392642" y="42301583"/>
              <a:ext cx="1510242" cy="4010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t-IT" sz="1200" b="0" i="0">
                  <a:latin typeface="Cambria Math" panose="02040503050406030204" pitchFamily="18" charset="0"/>
                </a:rPr>
                <a:t>𝑓_1=5/384   (𝑞 𝑙^4)/(𝐸_𝑐 〖 𝐽〗_1 )</a:t>
              </a:r>
              <a:r>
                <a:rPr lang="it-IT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it-IT" sz="1200" b="0" i="0">
                  <a:latin typeface="Cambria Math" panose="02040503050406030204" pitchFamily="18" charset="0"/>
                </a:rPr>
                <a:t> </a:t>
              </a:r>
              <a:endParaRPr lang="it-IT" sz="1200"/>
            </a:p>
          </xdr:txBody>
        </xdr:sp>
      </mc:Fallback>
    </mc:AlternateContent>
    <xdr:clientData/>
  </xdr:oneCellAnchor>
  <xdr:oneCellAnchor>
    <xdr:from>
      <xdr:col>1</xdr:col>
      <xdr:colOff>1780117</xdr:colOff>
      <xdr:row>221</xdr:row>
      <xdr:rowOff>73025</xdr:rowOff>
    </xdr:from>
    <xdr:ext cx="1281642" cy="4857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asellaDiTesto 7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 txBox="1"/>
          </xdr:nvSpPr>
          <xdr:spPr>
            <a:xfrm>
              <a:off x="1938867" y="42332275"/>
              <a:ext cx="1281642" cy="4857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2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it-IT" sz="12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it-IT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t-IT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t-IT" sz="1200" b="0" i="1">
                            <a:latin typeface="Cambria Math" panose="02040503050406030204" pitchFamily="18" charset="0"/>
                          </a:rPr>
                          <m:t>5</m:t>
                        </m:r>
                      </m:num>
                      <m:den>
                        <m:r>
                          <a:rPr lang="it-IT" sz="1200" b="0" i="1">
                            <a:latin typeface="Cambria Math" panose="02040503050406030204" pitchFamily="18" charset="0"/>
                          </a:rPr>
                          <m:t>384</m:t>
                        </m:r>
                      </m:den>
                    </m:f>
                    <m:r>
                      <a:rPr lang="it-IT" sz="1200" b="0" i="1">
                        <a:latin typeface="Cambria Math" panose="02040503050406030204" pitchFamily="18" charset="0"/>
                      </a:rPr>
                      <m:t> </m:t>
                    </m:r>
                    <m:f>
                      <m:fPr>
                        <m:ctrlPr>
                          <a:rPr lang="it-IT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t-IT" sz="1200" b="0" i="1">
                            <a:latin typeface="Cambria Math" panose="02040503050406030204" pitchFamily="18" charset="0"/>
                          </a:rPr>
                          <m:t>𝑞</m:t>
                        </m:r>
                        <m:r>
                          <a:rPr lang="it-IT" sz="1200" b="0" i="1">
                            <a:latin typeface="Cambria Math" panose="02040503050406030204" pitchFamily="18" charset="0"/>
                          </a:rPr>
                          <m:t> </m:t>
                        </m:r>
                        <m:sSup>
                          <m:sSupPr>
                            <m:ctrlPr>
                              <a:rPr lang="it-IT" sz="12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it-IT" sz="1200" b="0" i="1">
                                <a:latin typeface="Cambria Math" panose="02040503050406030204" pitchFamily="18" charset="0"/>
                              </a:rPr>
                              <m:t>𝑙</m:t>
                            </m:r>
                          </m:e>
                          <m:sup>
                            <m:r>
                              <a:rPr lang="it-IT" sz="12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num>
                      <m:den>
                        <m:sSub>
                          <m:sSubPr>
                            <m:ctrlPr>
                              <a:rPr lang="it-IT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2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it-IT" sz="12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sub>
                        </m:sSub>
                        <m:sSub>
                          <m:sSubPr>
                            <m:ctrlPr>
                              <a:rPr lang="it-IT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2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it-IT" sz="1200" b="0" i="1">
                                <a:latin typeface="Cambria Math" panose="02040503050406030204" pitchFamily="18" charset="0"/>
                              </a:rPr>
                              <m:t>𝐽</m:t>
                            </m:r>
                          </m:e>
                          <m:sub>
                            <m:r>
                              <a:rPr lang="it-IT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  <m:r>
                      <a:rPr lang="it-IT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it-IT" sz="12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it-IT" sz="1200"/>
            </a:p>
          </xdr:txBody>
        </xdr:sp>
      </mc:Choice>
      <mc:Fallback xmlns="">
        <xdr:sp macro="" textlink="">
          <xdr:nvSpPr>
            <xdr:cNvPr id="8" name="CasellaDiTesto 7"/>
            <xdr:cNvSpPr txBox="1"/>
          </xdr:nvSpPr>
          <xdr:spPr>
            <a:xfrm>
              <a:off x="1938867" y="42332275"/>
              <a:ext cx="1281642" cy="4857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it-IT" sz="1200" b="0" i="0">
                  <a:latin typeface="Cambria Math" panose="02040503050406030204" pitchFamily="18" charset="0"/>
                </a:rPr>
                <a:t>𝑓_2=5/384   (𝑞 𝑙^4)/(𝐸_𝑐 〖 𝐽〗_2 )</a:t>
              </a:r>
              <a:r>
                <a:rPr lang="it-IT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it-IT" sz="1200" b="0" i="0">
                  <a:latin typeface="Cambria Math" panose="02040503050406030204" pitchFamily="18" charset="0"/>
                </a:rPr>
                <a:t> </a:t>
              </a:r>
              <a:endParaRPr lang="it-IT" sz="1200"/>
            </a:p>
          </xdr:txBody>
        </xdr:sp>
      </mc:Fallback>
    </mc:AlternateContent>
    <xdr:clientData/>
  </xdr:oneCellAnchor>
  <xdr:oneCellAnchor>
    <xdr:from>
      <xdr:col>3</xdr:col>
      <xdr:colOff>35983</xdr:colOff>
      <xdr:row>221</xdr:row>
      <xdr:rowOff>102658</xdr:rowOff>
    </xdr:from>
    <xdr:ext cx="1657350" cy="4095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asellaDiTesto 10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SpPr txBox="1"/>
          </xdr:nvSpPr>
          <xdr:spPr>
            <a:xfrm>
              <a:off x="3359150" y="42361908"/>
              <a:ext cx="1657350" cy="409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t-IT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</m:t>
                        </m:r>
                      </m:e>
                      <m:sub>
                        <m:r>
                          <a:rPr lang="it-IT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𝑐𝑟</m:t>
                        </m:r>
                      </m:sub>
                    </m:sSub>
                    <m:r>
                      <a:rPr lang="it-IT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it-IT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it-IT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1,2 </m:t>
                        </m:r>
                        <m:sSub>
                          <m:sSubPr>
                            <m:ctrlPr>
                              <a:rPr lang="it-IT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it-IT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𝑓</m:t>
                            </m:r>
                          </m:e>
                          <m:sub>
                            <m:r>
                              <a:rPr lang="it-IT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𝑐𝑡𝑚</m:t>
                            </m:r>
                          </m:sub>
                        </m:sSub>
                        <m:r>
                          <a:rPr lang="it-IT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b>
                          <m:sSubPr>
                            <m:ctrlPr>
                              <a:rPr lang="it-IT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it-IT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it-IT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𝐽</m:t>
                            </m:r>
                          </m:e>
                          <m:sub>
                            <m:r>
                              <a:rPr lang="it-IT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num>
                      <m:den>
                        <m:r>
                          <a:rPr lang="it-IT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  <m:r>
                          <a:rPr lang="it-IT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it-IT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den>
                    </m:f>
                  </m:oMath>
                </m:oMathPara>
              </a14:m>
              <a:endParaRPr lang="it-IT" sz="1200"/>
            </a:p>
          </xdr:txBody>
        </xdr:sp>
      </mc:Choice>
      <mc:Fallback xmlns="">
        <xdr:sp macro="" textlink="">
          <xdr:nvSpPr>
            <xdr:cNvPr id="11" name="CasellaDiTesto 10"/>
            <xdr:cNvSpPr txBox="1"/>
          </xdr:nvSpPr>
          <xdr:spPr>
            <a:xfrm>
              <a:off x="3359150" y="42361908"/>
              <a:ext cx="1657350" cy="409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it-IT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𝑀_𝑐𝑟=(1,2 𝑓_𝑐𝑡𝑚  〖 𝐽〗_1)/(ℎ−𝑥)</a:t>
              </a:r>
              <a:endParaRPr lang="it-IT" sz="1200"/>
            </a:p>
          </xdr:txBody>
        </xdr:sp>
      </mc:Fallback>
    </mc:AlternateContent>
    <xdr:clientData/>
  </xdr:oneCellAnchor>
  <xdr:oneCellAnchor>
    <xdr:from>
      <xdr:col>1</xdr:col>
      <xdr:colOff>1323976</xdr:colOff>
      <xdr:row>214</xdr:row>
      <xdr:rowOff>66675</xdr:rowOff>
    </xdr:from>
    <xdr:ext cx="2590800" cy="4431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asellaDiTesto 19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 txBox="1"/>
          </xdr:nvSpPr>
          <xdr:spPr>
            <a:xfrm>
              <a:off x="1485901" y="40414575"/>
              <a:ext cx="2590800" cy="4431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it-IT" sz="11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it-IT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it-IT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it-IT" sz="1100" b="0" i="1">
                        <a:latin typeface="Cambria Math" panose="02040503050406030204" pitchFamily="18" charset="0"/>
                      </a:rPr>
                      <m:t>𝑐</m:t>
                    </m:r>
                    <m:r>
                      <a:rPr lang="it-IT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sSup>
                      <m:sSupPr>
                        <m:ctrlPr>
                          <a:rPr lang="it-IT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it-IT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it-IT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it-IT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it-IT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𝑀</m:t>
                                    </m:r>
                                  </m:e>
                                  <m:sub>
                                    <m:r>
                                      <a:rPr lang="it-IT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𝑐𝑟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it-IT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it-IT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𝑀</m:t>
                                    </m:r>
                                  </m:e>
                                  <m:sub>
                                    <m:r>
                                      <a:rPr lang="it-IT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𝑠𝑑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p>
                        <m:r>
                          <a:rPr lang="it-IT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it-IT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it-IT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t-IT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it-IT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it-IT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d>
                      <m:dPr>
                        <m:begChr m:val="["/>
                        <m:endChr m:val="]"/>
                        <m:ctrlPr>
                          <a:rPr lang="it-IT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it-IT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1−</m:t>
                        </m:r>
                        <m:r>
                          <a:rPr lang="it-IT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</m:t>
                        </m:r>
                        <m:sSup>
                          <m:sSupPr>
                            <m:ctrlPr>
                              <a:rPr lang="it-IT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it-IT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it-IT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it-IT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it-IT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it-IT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𝑐𝑟</m:t>
                                        </m:r>
                                      </m:sub>
                                    </m:sSub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it-IT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it-IT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it-IT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𝑠𝑑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it-IT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d>
                    <m:r>
                      <a:rPr lang="it-IT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it-IT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it-IT" sz="1200"/>
            </a:p>
          </xdr:txBody>
        </xdr:sp>
      </mc:Choice>
      <mc:Fallback xmlns="">
        <xdr:sp macro="" textlink="">
          <xdr:nvSpPr>
            <xdr:cNvPr id="20" name="CasellaDiTesto 19"/>
            <xdr:cNvSpPr txBox="1"/>
          </xdr:nvSpPr>
          <xdr:spPr>
            <a:xfrm>
              <a:off x="1485901" y="40414575"/>
              <a:ext cx="2590800" cy="4431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it-IT" sz="1100" b="0" i="0">
                  <a:latin typeface="Cambria Math" panose="02040503050406030204" pitchFamily="18" charset="0"/>
                </a:rPr>
                <a:t>𝑓= 𝑓_1  𝑐</a:t>
              </a:r>
              <a:r>
                <a:rPr lang="it-I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(𝑀_𝑐𝑟/𝑀_𝑠𝑑 )^2+𝑓_2  [1−𝑐(𝑀_𝑐𝑟/𝑀_𝑠𝑑 )^2 ]  </a:t>
              </a:r>
              <a:r>
                <a:rPr lang="it-IT" sz="1100" b="0" i="0">
                  <a:latin typeface="Cambria Math" panose="02040503050406030204" pitchFamily="18" charset="0"/>
                </a:rPr>
                <a:t> </a:t>
              </a:r>
              <a:endParaRPr lang="it-IT" sz="1200"/>
            </a:p>
          </xdr:txBody>
        </xdr:sp>
      </mc:Fallback>
    </mc:AlternateContent>
    <xdr:clientData/>
  </xdr:oneCellAnchor>
  <xdr:oneCellAnchor>
    <xdr:from>
      <xdr:col>6</xdr:col>
      <xdr:colOff>0</xdr:colOff>
      <xdr:row>63</xdr:row>
      <xdr:rowOff>0</xdr:rowOff>
    </xdr:from>
    <xdr:ext cx="65" cy="172227"/>
    <xdr:sp macro="" textlink="">
      <xdr:nvSpPr>
        <xdr:cNvPr id="27" name="CasellaDiTesto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6746875" y="105251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0</xdr:col>
      <xdr:colOff>152400</xdr:colOff>
      <xdr:row>63</xdr:row>
      <xdr:rowOff>0</xdr:rowOff>
    </xdr:from>
    <xdr:to>
      <xdr:col>5</xdr:col>
      <xdr:colOff>762000</xdr:colOff>
      <xdr:row>63</xdr:row>
      <xdr:rowOff>0</xdr:rowOff>
    </xdr:to>
    <xdr:graphicFrame macro="">
      <xdr:nvGraphicFramePr>
        <xdr:cNvPr id="32" name="Grafico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48683</xdr:colOff>
      <xdr:row>175</xdr:row>
      <xdr:rowOff>166246</xdr:rowOff>
    </xdr:from>
    <xdr:to>
      <xdr:col>2</xdr:col>
      <xdr:colOff>508000</xdr:colOff>
      <xdr:row>176</xdr:row>
      <xdr:rowOff>142875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608" y="34513396"/>
          <a:ext cx="2069042" cy="176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27517</xdr:colOff>
      <xdr:row>177</xdr:row>
      <xdr:rowOff>82832</xdr:rowOff>
    </xdr:from>
    <xdr:to>
      <xdr:col>3</xdr:col>
      <xdr:colOff>127000</xdr:colOff>
      <xdr:row>178</xdr:row>
      <xdr:rowOff>76200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442" y="34830032"/>
          <a:ext cx="2737908" cy="193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99484</xdr:colOff>
      <xdr:row>180</xdr:row>
      <xdr:rowOff>161925</xdr:rowOff>
    </xdr:from>
    <xdr:to>
      <xdr:col>1</xdr:col>
      <xdr:colOff>894727</xdr:colOff>
      <xdr:row>181</xdr:row>
      <xdr:rowOff>190500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409" y="35509200"/>
          <a:ext cx="795243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78317</xdr:colOff>
      <xdr:row>187</xdr:row>
      <xdr:rowOff>42334</xdr:rowOff>
    </xdr:from>
    <xdr:to>
      <xdr:col>1</xdr:col>
      <xdr:colOff>1257301</xdr:colOff>
      <xdr:row>188</xdr:row>
      <xdr:rowOff>57150</xdr:rowOff>
    </xdr:to>
    <xdr:pic>
      <xdr:nvPicPr>
        <xdr:cNvPr id="23" name="Immagin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242" y="36789784"/>
          <a:ext cx="1178984" cy="2053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65617</xdr:colOff>
      <xdr:row>189</xdr:row>
      <xdr:rowOff>57150</xdr:rowOff>
    </xdr:from>
    <xdr:to>
      <xdr:col>2</xdr:col>
      <xdr:colOff>897467</xdr:colOff>
      <xdr:row>192</xdr:row>
      <xdr:rowOff>84666</xdr:rowOff>
    </xdr:to>
    <xdr:pic>
      <xdr:nvPicPr>
        <xdr:cNvPr id="24" name="Immagin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542" y="37185600"/>
          <a:ext cx="2441575" cy="599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133349</xdr:colOff>
      <xdr:row>196</xdr:row>
      <xdr:rowOff>19050</xdr:rowOff>
    </xdr:from>
    <xdr:to>
      <xdr:col>2</xdr:col>
      <xdr:colOff>128271</xdr:colOff>
      <xdr:row>198</xdr:row>
      <xdr:rowOff>38100</xdr:rowOff>
    </xdr:to>
    <xdr:pic>
      <xdr:nvPicPr>
        <xdr:cNvPr id="25" name="Immagin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4" y="38509575"/>
          <a:ext cx="1604647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199</xdr:row>
      <xdr:rowOff>0</xdr:rowOff>
    </xdr:from>
    <xdr:ext cx="6237324" cy="1672166"/>
    <xdr:pic>
      <xdr:nvPicPr>
        <xdr:cNvPr id="28" name="Immagin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6"/>
        <a:stretch/>
      </xdr:blipFill>
      <xdr:spPr>
        <a:xfrm>
          <a:off x="158750" y="40534167"/>
          <a:ext cx="6237324" cy="1672166"/>
        </a:xfrm>
        <a:prstGeom prst="rect">
          <a:avLst/>
        </a:prstGeom>
      </xdr:spPr>
    </xdr:pic>
    <xdr:clientData/>
  </xdr:oneCellAnchor>
  <xdr:twoCellAnchor editAs="oneCell">
    <xdr:from>
      <xdr:col>1</xdr:col>
      <xdr:colOff>628650</xdr:colOff>
      <xdr:row>235</xdr:row>
      <xdr:rowOff>57150</xdr:rowOff>
    </xdr:from>
    <xdr:to>
      <xdr:col>4</xdr:col>
      <xdr:colOff>257174</xdr:colOff>
      <xdr:row>237</xdr:row>
      <xdr:rowOff>190500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12922" b="6671"/>
        <a:stretch/>
      </xdr:blipFill>
      <xdr:spPr>
        <a:xfrm>
          <a:off x="790575" y="47977425"/>
          <a:ext cx="3295649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19</xdr:row>
      <xdr:rowOff>8361</xdr:rowOff>
    </xdr:from>
    <xdr:ext cx="5086350" cy="1363601"/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6"/>
        <a:stretch/>
      </xdr:blipFill>
      <xdr:spPr>
        <a:xfrm>
          <a:off x="171450" y="43509036"/>
          <a:ext cx="5086350" cy="1363601"/>
        </a:xfrm>
        <a:prstGeom prst="rect">
          <a:avLst/>
        </a:prstGeom>
      </xdr:spPr>
    </xdr:pic>
    <xdr:clientData/>
  </xdr:oneCellAnchor>
  <xdr:oneCellAnchor>
    <xdr:from>
      <xdr:col>1</xdr:col>
      <xdr:colOff>38099</xdr:colOff>
      <xdr:row>26</xdr:row>
      <xdr:rowOff>179850</xdr:rowOff>
    </xdr:from>
    <xdr:ext cx="5038726" cy="2077576"/>
    <xdr:pic>
      <xdr:nvPicPr>
        <xdr:cNvPr id="3" name="Immag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4" y="45014025"/>
          <a:ext cx="5038726" cy="2077576"/>
        </a:xfrm>
        <a:prstGeom prst="rect">
          <a:avLst/>
        </a:prstGeom>
      </xdr:spPr>
    </xdr:pic>
    <xdr:clientData/>
  </xdr:oneCellAnchor>
  <xdr:oneCellAnchor>
    <xdr:from>
      <xdr:col>1</xdr:col>
      <xdr:colOff>85724</xdr:colOff>
      <xdr:row>38</xdr:row>
      <xdr:rowOff>115577</xdr:rowOff>
    </xdr:from>
    <xdr:ext cx="5000626" cy="2055966"/>
    <xdr:pic>
      <xdr:nvPicPr>
        <xdr:cNvPr id="4" name="Immag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49" y="47235752"/>
          <a:ext cx="5000626" cy="205596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400050</xdr:colOff>
      <xdr:row>64</xdr:row>
      <xdr:rowOff>100012</xdr:rowOff>
    </xdr:from>
    <xdr:ext cx="65" cy="172227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1507450" y="1312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t-IT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tecnico\f\Users\Nicla\Documents\6.VARIE%20PER%20LA%20PROFESSIONE\PROGRAMMI%20UTILI\PROGETTO%20SOLAIO%20BAUSTA\CALCOLO%20SOLAIO%20SLU+S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ica e caratt (4)"/>
      <sheetName val="Comb. 1 (4)"/>
      <sheetName val="Comb. 2 (4)"/>
      <sheetName val="Comb. 3 (4)"/>
      <sheetName val="Comb. 4 (4)"/>
      <sheetName val="Comb. 5  (4)"/>
      <sheetName val="Comb. 6 (4)"/>
      <sheetName val="Comb. 7 (4)"/>
      <sheetName val="Comb. 8 (4)"/>
      <sheetName val="Comb. 9 (4)"/>
      <sheetName val="Comb. 10 (4)"/>
      <sheetName val="TABULATI (4)"/>
      <sheetName val="Manuale"/>
      <sheetName val="riepilogo carichi"/>
      <sheetName val="Inviluppo taglio (4)"/>
      <sheetName val="Inviluppo momento (4)"/>
      <sheetName val="DATI NASCOSTI"/>
      <sheetName val="1-Definizione Carichi"/>
      <sheetName val="Definizione Carichi (2)"/>
      <sheetName val="Definizione Carichi (3)"/>
      <sheetName val="logica e caratt (3)"/>
      <sheetName val="Definizione Carichi (4)"/>
      <sheetName val="OUTPUT SOLLECITAZIONE"/>
      <sheetName val="Comb. 1 (3)"/>
      <sheetName val="Comb. 2 (3)"/>
      <sheetName val="Comb. 3 (3)"/>
      <sheetName val="Comb. 4 (3)"/>
      <sheetName val="Comb. 5  (3)"/>
      <sheetName val="Comb. 6 (3)"/>
      <sheetName val="Comb. 7 (3)"/>
      <sheetName val="Comb. 8 (3)"/>
      <sheetName val="Comb. 9 (3)"/>
      <sheetName val="Comb. 10 (3)"/>
      <sheetName val="TABULATI (3)"/>
      <sheetName val="M TRASLATO"/>
      <sheetName val="2-Progetto Solaio"/>
      <sheetName val="INPUT SOLLEC. ARMATURE"/>
      <sheetName val="Diagramma Mrd"/>
      <sheetName val="DATI NASCOSTI ARMATURA"/>
      <sheetName val="OUTPUT PROGETTO SOLAIO"/>
      <sheetName val="Sollecitazioni SLE"/>
      <sheetName val="OUTPUT VERIFICHE SLE"/>
      <sheetName val="Verifiche COMB RARA"/>
      <sheetName val="Verifiche COMB FREQ"/>
      <sheetName val="Verifiche COMB QUAS PERM"/>
      <sheetName val="M TRASLATO (2)"/>
      <sheetName val="M TRASLATO (3)"/>
      <sheetName val="Inviluppo taglio (3)"/>
      <sheetName val="Inviluppo momento (3)"/>
      <sheetName val="logica e caratt (2)"/>
      <sheetName val="Comb. 1 (2)"/>
      <sheetName val="Comb. 2 (2)"/>
      <sheetName val="Comb. 3 (2)"/>
      <sheetName val="Comb. 4 (2)"/>
      <sheetName val="Comb. 5  (2)"/>
      <sheetName val="Comb. 6 (2)"/>
      <sheetName val="Comb. 7 (2)"/>
      <sheetName val="Comb. 8 (2)"/>
      <sheetName val="Comb. 9 (2)"/>
      <sheetName val="Comb. 10 (2)"/>
      <sheetName val="TABULATI (2)"/>
      <sheetName val="Inviluppo taglio (2)"/>
      <sheetName val="Inviluppo momento (2)"/>
      <sheetName val="M TRASLATO (4)"/>
      <sheetName val="logica e caratt"/>
      <sheetName val="Comb. 1"/>
      <sheetName val="Comb. 2"/>
      <sheetName val="Comb. 3"/>
      <sheetName val="Comb. 4"/>
      <sheetName val="Comb. 5 "/>
      <sheetName val="Comb. 6"/>
      <sheetName val="Comb. 7"/>
      <sheetName val="Comb. 8"/>
      <sheetName val="Comb. 9"/>
      <sheetName val="Comb. 10"/>
      <sheetName val="TABULATI"/>
      <sheetName val="Inviluppo taglio"/>
      <sheetName val="Inviluppo momen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05">
          <cell r="B105" t="str">
            <v>si</v>
          </cell>
          <cell r="C105">
            <v>0.2</v>
          </cell>
        </row>
        <row r="106">
          <cell r="C106">
            <v>0.3</v>
          </cell>
        </row>
        <row r="107">
          <cell r="C107">
            <v>0.4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davidecicchini.it/" TargetMode="External"/><Relationship Id="rId1" Type="http://schemas.openxmlformats.org/officeDocument/2006/relationships/hyperlink" Target="http://www.davidecicchini.it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B6:K17"/>
  <sheetViews>
    <sheetView showGridLines="0" showRowColHeaders="0" topLeftCell="A19" workbookViewId="0">
      <selection activeCell="I15" sqref="I15:K15"/>
    </sheetView>
  </sheetViews>
  <sheetFormatPr defaultRowHeight="15"/>
  <cols>
    <col min="1" max="1" width="3.140625" customWidth="1"/>
  </cols>
  <sheetData>
    <row r="6" spans="2:11" ht="15.75">
      <c r="B6" s="169" t="s">
        <v>228</v>
      </c>
    </row>
    <row r="7" spans="2:11" ht="15.75">
      <c r="B7" s="169" t="s">
        <v>231</v>
      </c>
    </row>
    <row r="8" spans="2:11" ht="15.75">
      <c r="B8" s="169" t="s">
        <v>265</v>
      </c>
    </row>
    <row r="9" spans="2:11" ht="15.75">
      <c r="B9" s="169" t="s">
        <v>266</v>
      </c>
    </row>
    <row r="10" spans="2:11" ht="15.75">
      <c r="B10" s="203" t="s">
        <v>267</v>
      </c>
    </row>
    <row r="11" spans="2:11" ht="15.75">
      <c r="B11" s="203"/>
    </row>
    <row r="12" spans="2:11" ht="15.75">
      <c r="B12" s="215" t="s">
        <v>245</v>
      </c>
      <c r="C12" s="215"/>
      <c r="D12" s="215"/>
      <c r="E12" s="135"/>
      <c r="F12" s="135"/>
      <c r="G12" s="172"/>
      <c r="H12" s="172"/>
      <c r="I12" s="172"/>
    </row>
    <row r="13" spans="2:11">
      <c r="B13" s="212" t="s">
        <v>230</v>
      </c>
      <c r="C13" s="212"/>
      <c r="D13" s="212"/>
      <c r="E13" s="135"/>
      <c r="F13" s="135"/>
      <c r="G13" s="172"/>
      <c r="H13" s="172"/>
      <c r="I13" s="172"/>
      <c r="J13" s="172"/>
      <c r="K13" s="172"/>
    </row>
    <row r="14" spans="2:11" ht="15.75">
      <c r="B14" s="135"/>
      <c r="C14" s="135"/>
      <c r="D14" s="135"/>
      <c r="E14" s="135"/>
      <c r="F14" s="135"/>
      <c r="I14" s="213" t="s">
        <v>229</v>
      </c>
      <c r="J14" s="213"/>
      <c r="K14" s="213"/>
    </row>
    <row r="15" spans="2:11">
      <c r="B15" s="135"/>
      <c r="C15" s="135"/>
      <c r="D15" s="135"/>
      <c r="E15" s="135"/>
      <c r="F15" s="135"/>
      <c r="I15" s="214" t="s">
        <v>230</v>
      </c>
      <c r="J15" s="214"/>
      <c r="K15" s="214"/>
    </row>
    <row r="16" spans="2:11">
      <c r="B16" s="135"/>
      <c r="C16" s="135"/>
      <c r="D16" s="135"/>
      <c r="E16" s="135"/>
      <c r="F16" s="135"/>
    </row>
    <row r="17" spans="2:6">
      <c r="B17" s="135"/>
      <c r="C17" s="135"/>
      <c r="D17" s="135"/>
      <c r="E17" s="135"/>
      <c r="F17" s="135"/>
    </row>
  </sheetData>
  <sheetProtection selectLockedCells="1"/>
  <mergeCells count="4">
    <mergeCell ref="B13:D13"/>
    <mergeCell ref="I14:K14"/>
    <mergeCell ref="I15:K15"/>
    <mergeCell ref="B12:D12"/>
  </mergeCells>
  <hyperlinks>
    <hyperlink ref="I15" r:id="rId1" xr:uid="{00000000-0004-0000-0000-000000000000}"/>
    <hyperlink ref="B13" r:id="rId2" xr:uid="{00000000-0004-0000-0000-000001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>
    <pageSetUpPr fitToPage="1"/>
  </sheetPr>
  <dimension ref="B1:K278"/>
  <sheetViews>
    <sheetView tabSelected="1" topLeftCell="A100" zoomScaleNormal="100" workbookViewId="0">
      <selection activeCell="E158" sqref="B112:E158"/>
    </sheetView>
  </sheetViews>
  <sheetFormatPr defaultRowHeight="15"/>
  <cols>
    <col min="1" max="1" width="2.42578125" customWidth="1"/>
    <col min="2" max="2" width="24.140625" customWidth="1"/>
    <col min="3" max="4" width="15.42578125" customWidth="1"/>
    <col min="5" max="5" width="14.140625" customWidth="1"/>
    <col min="6" max="6" width="15.42578125" customWidth="1"/>
    <col min="7" max="14" width="9.140625" customWidth="1"/>
  </cols>
  <sheetData>
    <row r="1" spans="2:6" ht="23.25">
      <c r="B1" s="239" t="s">
        <v>268</v>
      </c>
      <c r="C1" s="239"/>
      <c r="D1" s="239"/>
      <c r="E1" s="239"/>
      <c r="F1" s="239"/>
    </row>
    <row r="2" spans="2:6" ht="7.5" customHeight="1">
      <c r="B2" s="85"/>
      <c r="C2" s="85"/>
      <c r="D2" s="85"/>
      <c r="E2" s="85"/>
      <c r="F2" s="85"/>
    </row>
    <row r="3" spans="2:6" ht="18">
      <c r="B3" s="86" t="s">
        <v>261</v>
      </c>
      <c r="C3" s="87"/>
      <c r="D3" s="87"/>
      <c r="E3" s="88"/>
      <c r="F3" s="85"/>
    </row>
    <row r="4" spans="2:6" ht="18" customHeight="1" thickBot="1">
      <c r="B4" s="85"/>
      <c r="C4" s="89"/>
      <c r="D4" s="89"/>
      <c r="E4" s="90"/>
      <c r="F4" s="85"/>
    </row>
    <row r="5" spans="2:6" ht="18.75" customHeight="1" thickTop="1" thickBot="1">
      <c r="B5" s="91" t="s">
        <v>246</v>
      </c>
      <c r="C5" s="92"/>
      <c r="D5" s="93" t="s">
        <v>20</v>
      </c>
      <c r="E5" s="83">
        <v>500</v>
      </c>
      <c r="F5" s="94" t="s">
        <v>4</v>
      </c>
    </row>
    <row r="6" spans="2:6" ht="18.75" customHeight="1" thickTop="1" thickBot="1">
      <c r="B6" s="91" t="s">
        <v>247</v>
      </c>
      <c r="C6" s="92"/>
      <c r="D6" s="95" t="s">
        <v>143</v>
      </c>
      <c r="E6" s="84">
        <v>100</v>
      </c>
      <c r="F6" s="94" t="s">
        <v>4</v>
      </c>
    </row>
    <row r="7" spans="2:6" ht="18.75" customHeight="1" thickTop="1" thickBot="1">
      <c r="B7" s="91" t="s">
        <v>248</v>
      </c>
      <c r="C7" s="96"/>
      <c r="D7" s="93" t="s">
        <v>21</v>
      </c>
      <c r="E7" s="83">
        <v>220</v>
      </c>
      <c r="F7" s="94" t="s">
        <v>4</v>
      </c>
    </row>
    <row r="8" spans="2:6" ht="18.75" customHeight="1" thickTop="1" thickBot="1">
      <c r="B8" s="91" t="s">
        <v>249</v>
      </c>
      <c r="C8" s="97"/>
      <c r="D8" s="93" t="s">
        <v>33</v>
      </c>
      <c r="E8" s="83">
        <v>40</v>
      </c>
      <c r="F8" s="94" t="s">
        <v>4</v>
      </c>
    </row>
    <row r="9" spans="2:6" ht="18.75" customHeight="1" thickTop="1" thickBot="1">
      <c r="B9" s="91" t="s">
        <v>13</v>
      </c>
      <c r="C9" s="92"/>
      <c r="D9" s="93" t="s">
        <v>22</v>
      </c>
      <c r="E9" s="83">
        <v>30</v>
      </c>
      <c r="F9" s="94" t="s">
        <v>4</v>
      </c>
    </row>
    <row r="10" spans="2:6" ht="13.5" customHeight="1" thickTop="1" thickBot="1">
      <c r="B10" s="85"/>
      <c r="C10" s="85"/>
      <c r="D10" s="85"/>
      <c r="E10" s="85"/>
      <c r="F10" s="94"/>
    </row>
    <row r="11" spans="2:6" ht="18.75" customHeight="1" thickTop="1" thickBot="1">
      <c r="B11" s="91" t="s">
        <v>166</v>
      </c>
      <c r="C11" s="92"/>
      <c r="D11" s="93"/>
      <c r="E11" s="83" t="s">
        <v>157</v>
      </c>
      <c r="F11" s="94"/>
    </row>
    <row r="12" spans="2:6" ht="18.75" customHeight="1" thickTop="1" thickBot="1">
      <c r="B12" s="91" t="s">
        <v>167</v>
      </c>
      <c r="C12" s="92"/>
      <c r="D12" s="93"/>
      <c r="E12" s="83" t="s">
        <v>164</v>
      </c>
      <c r="F12" s="94"/>
    </row>
    <row r="13" spans="2:6" ht="18.75" customHeight="1" thickTop="1" thickBot="1">
      <c r="B13" s="91" t="s">
        <v>170</v>
      </c>
      <c r="C13" s="92"/>
      <c r="D13" s="93" t="s">
        <v>171</v>
      </c>
      <c r="E13" s="83">
        <v>210000</v>
      </c>
      <c r="F13" s="94" t="s">
        <v>3</v>
      </c>
    </row>
    <row r="14" spans="2:6" ht="13.5" customHeight="1" thickTop="1" thickBot="1">
      <c r="B14" s="85"/>
      <c r="C14" s="85"/>
      <c r="D14" s="85"/>
      <c r="E14" s="85"/>
      <c r="F14" s="85"/>
    </row>
    <row r="15" spans="2:6" ht="18.75" customHeight="1" thickTop="1" thickBot="1">
      <c r="B15" s="91" t="s">
        <v>10</v>
      </c>
      <c r="C15" s="92"/>
      <c r="D15" s="93" t="s">
        <v>0</v>
      </c>
      <c r="E15" s="83">
        <v>5.5</v>
      </c>
      <c r="F15" s="94" t="s">
        <v>1</v>
      </c>
    </row>
    <row r="16" spans="2:6" ht="13.5" customHeight="1" thickTop="1" thickBot="1">
      <c r="B16" s="91"/>
      <c r="C16" s="92"/>
      <c r="D16" s="100"/>
      <c r="E16" s="101"/>
      <c r="F16" s="94"/>
    </row>
    <row r="17" spans="2:6" ht="18.75" customHeight="1" thickTop="1" thickBot="1">
      <c r="B17" s="91" t="s">
        <v>144</v>
      </c>
      <c r="C17" s="92"/>
      <c r="D17" s="93" t="s">
        <v>101</v>
      </c>
      <c r="E17" s="131">
        <f>1.9*0.5</f>
        <v>0.95</v>
      </c>
      <c r="F17" s="94" t="s">
        <v>12</v>
      </c>
    </row>
    <row r="18" spans="2:6" ht="18.75" customHeight="1" thickTop="1" thickBot="1">
      <c r="B18" s="91" t="s">
        <v>145</v>
      </c>
      <c r="C18" s="92"/>
      <c r="D18" s="93" t="s">
        <v>100</v>
      </c>
      <c r="E18" s="131">
        <f>5.92*0.5</f>
        <v>2.96</v>
      </c>
      <c r="F18" s="94" t="s">
        <v>12</v>
      </c>
    </row>
    <row r="19" spans="2:6" ht="18.75" customHeight="1" thickTop="1" thickBot="1">
      <c r="B19" s="99" t="s">
        <v>14</v>
      </c>
      <c r="C19" s="99"/>
      <c r="D19" s="93" t="s">
        <v>23</v>
      </c>
      <c r="E19" s="131">
        <f>2*0.5</f>
        <v>1</v>
      </c>
      <c r="F19" s="94" t="s">
        <v>12</v>
      </c>
    </row>
    <row r="20" spans="2:6" ht="13.5" customHeight="1" thickTop="1" thickBot="1">
      <c r="B20" s="85"/>
      <c r="C20" s="85"/>
      <c r="D20" s="85"/>
      <c r="E20" s="85"/>
      <c r="F20" s="85"/>
    </row>
    <row r="21" spans="2:6" ht="18.75" customHeight="1" thickTop="1" thickBot="1">
      <c r="B21" s="99" t="s">
        <v>168</v>
      </c>
      <c r="C21" s="99"/>
      <c r="D21" s="93"/>
      <c r="E21" s="38">
        <v>12.03</v>
      </c>
      <c r="F21" s="94" t="s">
        <v>12</v>
      </c>
    </row>
    <row r="22" spans="2:6" ht="18.75" customHeight="1" thickTop="1" thickBot="1">
      <c r="B22" s="99" t="s">
        <v>187</v>
      </c>
      <c r="C22" s="99"/>
      <c r="D22" s="93"/>
      <c r="E22" s="128">
        <v>9.82</v>
      </c>
      <c r="F22" s="94" t="s">
        <v>12</v>
      </c>
    </row>
    <row r="23" spans="2:6" ht="18.75" thickTop="1" thickBot="1">
      <c r="B23" s="99" t="s">
        <v>169</v>
      </c>
      <c r="C23" s="99"/>
      <c r="D23" s="93"/>
      <c r="E23" s="128">
        <v>8.93</v>
      </c>
      <c r="F23" s="94" t="s">
        <v>12</v>
      </c>
    </row>
    <row r="24" spans="2:6" ht="13.5" customHeight="1" thickTop="1" thickBot="1">
      <c r="B24" s="102"/>
      <c r="C24" s="102"/>
      <c r="D24" s="103"/>
      <c r="E24" s="158"/>
      <c r="F24" s="94"/>
    </row>
    <row r="25" spans="2:6" ht="16.5" thickTop="1" thickBot="1">
      <c r="B25" s="99" t="s">
        <v>65</v>
      </c>
      <c r="C25" s="99"/>
      <c r="D25" s="237" t="s">
        <v>66</v>
      </c>
      <c r="E25" s="238"/>
      <c r="F25" s="94"/>
    </row>
    <row r="26" spans="2:6" ht="15.75" thickTop="1">
      <c r="B26" s="102"/>
      <c r="C26" s="102"/>
      <c r="D26" s="103"/>
      <c r="E26" s="98"/>
      <c r="F26" s="94"/>
    </row>
    <row r="27" spans="2:6" ht="15.75">
      <c r="B27" s="86" t="s">
        <v>262</v>
      </c>
      <c r="C27" s="102"/>
      <c r="D27" s="103"/>
      <c r="E27" s="98"/>
      <c r="F27" s="94"/>
    </row>
    <row r="28" spans="2:6" ht="12" customHeight="1" thickBot="1">
      <c r="B28" s="86"/>
      <c r="C28" s="102"/>
      <c r="D28" s="103"/>
      <c r="E28" s="98"/>
      <c r="F28" s="94"/>
    </row>
    <row r="29" spans="2:6" ht="16.5" thickTop="1" thickBot="1">
      <c r="B29" s="120" t="s">
        <v>148</v>
      </c>
      <c r="C29" s="36">
        <v>0</v>
      </c>
      <c r="D29" s="16">
        <v>20</v>
      </c>
      <c r="E29" s="98"/>
      <c r="F29" s="94"/>
    </row>
    <row r="30" spans="2:6" ht="9.75" customHeight="1" thickTop="1" thickBot="1">
      <c r="B30" s="104"/>
      <c r="C30" s="105"/>
      <c r="D30" s="106"/>
      <c r="E30" s="98"/>
      <c r="F30" s="94"/>
    </row>
    <row r="31" spans="2:6" ht="16.5" thickTop="1" thickBot="1">
      <c r="B31" s="233" t="s">
        <v>146</v>
      </c>
      <c r="C31" s="13">
        <v>10</v>
      </c>
      <c r="D31" s="13">
        <v>12</v>
      </c>
      <c r="E31" s="13">
        <v>14</v>
      </c>
      <c r="F31" s="107" t="s">
        <v>91</v>
      </c>
    </row>
    <row r="32" spans="2:6" ht="16.5" thickTop="1" thickBot="1">
      <c r="B32" s="234"/>
      <c r="C32" s="37"/>
      <c r="D32" s="37">
        <v>3</v>
      </c>
      <c r="E32" s="37"/>
      <c r="F32" s="108">
        <f>E32*(E31/2)^2*PI()+C32*(C31/2)^2*PI()+D32*(D31/2)^2*PI()+(C29/2)^2*PI()*E5/(D29*10)</f>
        <v>339.29200658769764</v>
      </c>
    </row>
    <row r="33" spans="2:6" ht="12" customHeight="1" thickTop="1" thickBot="1">
      <c r="B33" s="85"/>
      <c r="C33" s="102"/>
      <c r="D33" s="103"/>
      <c r="E33" s="98"/>
      <c r="F33" s="94"/>
    </row>
    <row r="34" spans="2:6" ht="16.5" thickTop="1" thickBot="1">
      <c r="B34" s="233" t="s">
        <v>147</v>
      </c>
      <c r="C34" s="13">
        <v>10</v>
      </c>
      <c r="D34" s="13">
        <v>12</v>
      </c>
      <c r="E34" s="13">
        <v>14</v>
      </c>
      <c r="F34" s="107" t="s">
        <v>91</v>
      </c>
    </row>
    <row r="35" spans="2:6" ht="16.5" thickTop="1" thickBot="1">
      <c r="B35" s="234"/>
      <c r="C35" s="37"/>
      <c r="D35" s="37">
        <v>2</v>
      </c>
      <c r="E35" s="37"/>
      <c r="F35" s="108">
        <f>E35*(E34/2)^2*PI()+C35*(C34/2)^2*PI()+D35*(D34/2)^2*PI()</f>
        <v>226.1946710584651</v>
      </c>
    </row>
    <row r="36" spans="2:6" ht="12.75" customHeight="1" thickTop="1">
      <c r="B36" s="104"/>
      <c r="C36" s="109"/>
      <c r="D36" s="109"/>
      <c r="E36" s="109"/>
      <c r="F36" s="110"/>
    </row>
    <row r="37" spans="2:6" ht="18.75" customHeight="1">
      <c r="B37" s="137" t="s">
        <v>263</v>
      </c>
      <c r="C37" s="135"/>
      <c r="D37" s="3"/>
      <c r="E37" s="4"/>
      <c r="F37" s="12"/>
    </row>
    <row r="38" spans="2:6">
      <c r="B38" s="135"/>
      <c r="C38" s="135"/>
      <c r="D38" s="135"/>
      <c r="E38" s="135"/>
      <c r="F38" s="135"/>
    </row>
    <row r="39" spans="2:6">
      <c r="B39" s="151" t="s">
        <v>149</v>
      </c>
      <c r="C39" s="202">
        <f>'Verifica SLE'!E15</f>
        <v>5.5</v>
      </c>
      <c r="D39" s="139" t="s">
        <v>25</v>
      </c>
      <c r="E39" s="140">
        <f>E19</f>
        <v>1</v>
      </c>
      <c r="F39" s="141" t="s">
        <v>2</v>
      </c>
    </row>
    <row r="40" spans="2:6">
      <c r="B40" s="135"/>
      <c r="C40" s="142"/>
      <c r="D40" s="143" t="s">
        <v>11</v>
      </c>
      <c r="E40" s="144" t="s">
        <v>11</v>
      </c>
      <c r="F40" s="145" t="s">
        <v>11</v>
      </c>
    </row>
    <row r="41" spans="2:6">
      <c r="B41" s="135"/>
      <c r="C41" s="146"/>
      <c r="D41" s="135"/>
      <c r="E41" s="135"/>
      <c r="F41" s="135"/>
    </row>
    <row r="42" spans="2:6">
      <c r="B42" s="135"/>
      <c r="C42" s="138"/>
      <c r="D42" s="139" t="s">
        <v>18</v>
      </c>
      <c r="E42" s="147">
        <f>E18</f>
        <v>2.96</v>
      </c>
      <c r="F42" s="141" t="s">
        <v>2</v>
      </c>
    </row>
    <row r="43" spans="2:6">
      <c r="B43" s="135"/>
      <c r="C43" s="142"/>
      <c r="D43" s="143" t="s">
        <v>11</v>
      </c>
      <c r="E43" s="144" t="s">
        <v>11</v>
      </c>
      <c r="F43" s="145" t="s">
        <v>11</v>
      </c>
    </row>
    <row r="44" spans="2:6">
      <c r="B44" s="135"/>
      <c r="C44" s="146"/>
      <c r="D44" s="135"/>
      <c r="E44" s="135"/>
      <c r="F44" s="135"/>
    </row>
    <row r="45" spans="2:6">
      <c r="B45" s="135"/>
      <c r="C45" s="138"/>
      <c r="D45" s="139" t="s">
        <v>26</v>
      </c>
      <c r="E45" s="147">
        <f>E17</f>
        <v>0.95</v>
      </c>
      <c r="F45" s="141" t="s">
        <v>2</v>
      </c>
    </row>
    <row r="46" spans="2:6">
      <c r="B46" s="135"/>
      <c r="C46" s="142"/>
      <c r="D46" s="143" t="s">
        <v>11</v>
      </c>
      <c r="E46" s="144" t="s">
        <v>11</v>
      </c>
      <c r="F46" s="145" t="s">
        <v>11</v>
      </c>
    </row>
    <row r="47" spans="2:6">
      <c r="B47" s="135"/>
      <c r="C47" s="135"/>
      <c r="D47" s="135"/>
      <c r="E47" s="135"/>
      <c r="F47" s="135"/>
    </row>
    <row r="48" spans="2:6">
      <c r="B48" s="135"/>
      <c r="C48" s="135"/>
      <c r="D48" s="135"/>
      <c r="E48" s="148">
        <f>E5/10</f>
        <v>50</v>
      </c>
      <c r="F48" s="135"/>
    </row>
    <row r="49" spans="2:6">
      <c r="B49" s="240">
        <f>IF(C87="LA SEZIONE SI FESSURA (STADIO 2)",D95,D73)</f>
        <v>30.878075373138604</v>
      </c>
      <c r="C49" s="240"/>
      <c r="D49" s="149"/>
      <c r="E49" s="211">
        <f>F32</f>
        <v>339.29200658769764</v>
      </c>
      <c r="F49" s="206">
        <f>IF(E6=E5,"",E8/10)</f>
        <v>4</v>
      </c>
    </row>
    <row r="50" spans="2:6">
      <c r="B50" s="135"/>
      <c r="C50" s="146"/>
      <c r="D50" s="146"/>
      <c r="E50" s="210"/>
      <c r="F50" s="146"/>
    </row>
    <row r="51" spans="2:6">
      <c r="B51" s="135"/>
      <c r="C51" s="146"/>
      <c r="D51" s="135"/>
      <c r="E51" s="204">
        <f>IF(F49="",0,F49)*E48+F52*E55</f>
        <v>380</v>
      </c>
      <c r="F51" s="135"/>
    </row>
    <row r="52" spans="2:6">
      <c r="B52" s="241">
        <f>D140</f>
        <v>50.247861495343251</v>
      </c>
      <c r="C52" s="241"/>
      <c r="D52" s="207"/>
      <c r="E52" s="205"/>
      <c r="F52" s="199">
        <f>(E7-E8)/10</f>
        <v>18</v>
      </c>
    </row>
    <row r="53" spans="2:6">
      <c r="B53" s="135"/>
      <c r="C53" s="135"/>
      <c r="D53" s="135"/>
      <c r="E53" s="208"/>
      <c r="F53" s="135"/>
    </row>
    <row r="54" spans="2:6">
      <c r="B54" s="135"/>
      <c r="C54" s="146"/>
      <c r="D54" s="146"/>
      <c r="E54" s="209">
        <f>F35</f>
        <v>226.1946710584651</v>
      </c>
      <c r="F54" s="146"/>
    </row>
    <row r="55" spans="2:6">
      <c r="D55" s="149"/>
      <c r="E55" s="150">
        <f>(E6)/10</f>
        <v>10</v>
      </c>
      <c r="F55" s="149"/>
    </row>
    <row r="56" spans="2:6" ht="15.75">
      <c r="B56" s="137" t="s">
        <v>257</v>
      </c>
      <c r="C56" s="152"/>
      <c r="D56" s="152"/>
      <c r="E56" s="135"/>
      <c r="F56" s="135"/>
    </row>
    <row r="57" spans="2:6" ht="18">
      <c r="B57" s="200" t="s">
        <v>36</v>
      </c>
      <c r="C57" s="200">
        <f>'Foglio deposito'!S10</f>
        <v>30</v>
      </c>
      <c r="D57" s="200" t="s">
        <v>264</v>
      </c>
      <c r="F57" s="135"/>
    </row>
    <row r="58" spans="2:6" ht="17.25">
      <c r="B58" s="201" t="s">
        <v>29</v>
      </c>
      <c r="C58" s="153">
        <f>'Foglio deposito'!S10*0.83</f>
        <v>24.9</v>
      </c>
      <c r="D58" s="201" t="s">
        <v>7</v>
      </c>
      <c r="F58" s="135"/>
    </row>
    <row r="59" spans="2:6" ht="17.25">
      <c r="B59" s="201" t="s">
        <v>30</v>
      </c>
      <c r="C59" s="153">
        <f>(0.83*'Foglio deposito'!S10)/1.5</f>
        <v>16.599999999999998</v>
      </c>
      <c r="D59" s="201" t="s">
        <v>7</v>
      </c>
      <c r="F59" s="135"/>
    </row>
    <row r="60" spans="2:6" ht="17.25">
      <c r="B60" s="153" t="s">
        <v>17</v>
      </c>
      <c r="C60" s="153">
        <f>0.3*C58^(2/3)</f>
        <v>2.5581194481669618</v>
      </c>
      <c r="D60" s="201" t="s">
        <v>7</v>
      </c>
      <c r="F60" s="135"/>
    </row>
    <row r="61" spans="2:6" ht="17.25">
      <c r="B61" s="201" t="s">
        <v>27</v>
      </c>
      <c r="C61" s="153">
        <f>0.7*C60</f>
        <v>1.7906836137168731</v>
      </c>
      <c r="D61" s="201" t="s">
        <v>7</v>
      </c>
      <c r="F61" s="135"/>
    </row>
    <row r="62" spans="2:6" ht="17.25">
      <c r="B62" s="201" t="s">
        <v>28</v>
      </c>
      <c r="C62" s="153">
        <f>(2.25*C61)/1.5</f>
        <v>2.68602542057531</v>
      </c>
      <c r="D62" s="201" t="s">
        <v>7</v>
      </c>
      <c r="F62" s="135"/>
    </row>
    <row r="63" spans="2:6" ht="17.25">
      <c r="B63" s="201" t="s">
        <v>31</v>
      </c>
      <c r="C63" s="153">
        <f>'Foglio deposito'!S11/1.15</f>
        <v>391.304347826087</v>
      </c>
      <c r="D63" s="201" t="s">
        <v>7</v>
      </c>
      <c r="F63" s="135"/>
    </row>
    <row r="64" spans="2:6">
      <c r="B64" s="135"/>
      <c r="C64" s="135"/>
      <c r="D64" s="135"/>
      <c r="E64" s="135"/>
      <c r="F64" s="135"/>
    </row>
    <row r="65" spans="2:11" ht="15.75">
      <c r="B65" s="154" t="s">
        <v>258</v>
      </c>
      <c r="C65" s="135"/>
      <c r="D65" s="135"/>
      <c r="E65" s="135"/>
      <c r="F65" s="135"/>
    </row>
    <row r="66" spans="2:11" ht="15.75">
      <c r="B66" s="155" t="s">
        <v>99</v>
      </c>
      <c r="C66" s="135"/>
      <c r="D66" s="135"/>
      <c r="E66" s="135"/>
      <c r="F66" s="135"/>
    </row>
    <row r="67" spans="2:11" ht="15.75">
      <c r="B67" s="134" t="s">
        <v>73</v>
      </c>
      <c r="C67" s="135"/>
      <c r="D67" s="135"/>
      <c r="E67" s="135"/>
      <c r="F67" s="135"/>
    </row>
    <row r="68" spans="2:11" ht="15.75">
      <c r="B68" s="134" t="s">
        <v>74</v>
      </c>
      <c r="C68" s="135"/>
      <c r="D68" s="135"/>
      <c r="E68" s="135"/>
      <c r="F68" s="135"/>
    </row>
    <row r="69" spans="2:11" ht="15.75">
      <c r="B69" s="134" t="s">
        <v>75</v>
      </c>
      <c r="C69" s="135"/>
      <c r="D69" s="135"/>
      <c r="E69" s="135"/>
      <c r="F69" s="135"/>
    </row>
    <row r="70" spans="2:11">
      <c r="B70" s="135"/>
      <c r="C70" s="258" t="s">
        <v>192</v>
      </c>
      <c r="D70" s="258"/>
      <c r="E70" s="258"/>
      <c r="F70" s="135"/>
    </row>
    <row r="71" spans="2:11">
      <c r="C71" s="259" t="s">
        <v>301</v>
      </c>
      <c r="D71" s="259"/>
      <c r="E71" s="259"/>
      <c r="F71" s="135"/>
    </row>
    <row r="72" spans="2:11">
      <c r="B72" s="246" t="s">
        <v>39</v>
      </c>
      <c r="C72" s="247" t="s">
        <v>19</v>
      </c>
      <c r="D72" s="248">
        <f>E13/D74</f>
        <v>6.6778682203495379</v>
      </c>
      <c r="E72" s="201" t="s">
        <v>32</v>
      </c>
      <c r="F72" s="12"/>
    </row>
    <row r="73" spans="2:11" ht="15" customHeight="1">
      <c r="B73" s="246"/>
      <c r="C73" s="201" t="s">
        <v>244</v>
      </c>
      <c r="D73" s="249">
        <f>'Foglio deposito'!AB24</f>
        <v>74.084375946913013</v>
      </c>
      <c r="E73" s="168" t="s">
        <v>4</v>
      </c>
      <c r="F73" s="12"/>
    </row>
    <row r="74" spans="2:11">
      <c r="B74" s="246"/>
      <c r="C74" s="201" t="s">
        <v>272</v>
      </c>
      <c r="D74" s="249">
        <f>22000*(('Foglio deposito'!S10*0.83+8)/10)^0.3</f>
        <v>31447.161439943484</v>
      </c>
      <c r="E74" s="168" t="s">
        <v>3</v>
      </c>
      <c r="F74" s="12"/>
    </row>
    <row r="75" spans="2:11">
      <c r="B75" s="246"/>
      <c r="C75" s="201" t="s">
        <v>271</v>
      </c>
      <c r="D75" s="249">
        <f>'Foglio deposito'!AB25*10^-4</f>
        <v>19074.611989057496</v>
      </c>
      <c r="E75" s="168" t="s">
        <v>281</v>
      </c>
      <c r="F75" s="12"/>
    </row>
    <row r="76" spans="2:11">
      <c r="B76" s="246"/>
      <c r="C76" s="201" t="s">
        <v>273</v>
      </c>
      <c r="D76" s="249">
        <f>D75/D73</f>
        <v>257.47145393687163</v>
      </c>
      <c r="E76" s="168" t="s">
        <v>282</v>
      </c>
      <c r="F76" s="12"/>
    </row>
    <row r="77" spans="2:11">
      <c r="B77" s="246"/>
      <c r="C77" s="201" t="s">
        <v>269</v>
      </c>
      <c r="D77" s="250">
        <f>E17+E18+E19</f>
        <v>4.91</v>
      </c>
      <c r="E77" s="168" t="s">
        <v>2</v>
      </c>
      <c r="F77" s="12"/>
      <c r="K77" s="11"/>
    </row>
    <row r="78" spans="2:11">
      <c r="B78" s="246"/>
      <c r="C78" s="201" t="s">
        <v>270</v>
      </c>
      <c r="D78" s="250">
        <f>E21</f>
        <v>12.03</v>
      </c>
      <c r="E78" s="168" t="s">
        <v>5</v>
      </c>
      <c r="F78" s="12"/>
    </row>
    <row r="79" spans="2:11">
      <c r="B79" s="246"/>
      <c r="C79" s="201" t="s">
        <v>275</v>
      </c>
      <c r="D79" s="250">
        <f>(1.2*C60*D75*10^4)/(E7-D73)*10^-6</f>
        <v>4.0128782270247392</v>
      </c>
      <c r="E79" s="168" t="s">
        <v>5</v>
      </c>
      <c r="F79" s="12"/>
    </row>
    <row r="80" spans="2:11">
      <c r="B80" s="246"/>
      <c r="C80" s="201" t="s">
        <v>274</v>
      </c>
      <c r="D80" s="251">
        <v>2.86</v>
      </c>
      <c r="E80" s="168" t="s">
        <v>4</v>
      </c>
      <c r="F80" s="12">
        <f>5/384*(D77*'Verifica SLE'!C39^4/(D74*(10^3)*D75*(10^-8)))*10^3</f>
        <v>9.7529021601834387</v>
      </c>
    </row>
    <row r="81" spans="2:10" ht="15.75">
      <c r="B81" s="246"/>
      <c r="C81" s="200" t="s">
        <v>6</v>
      </c>
      <c r="D81" s="252">
        <f>D80</f>
        <v>2.86</v>
      </c>
      <c r="E81" s="253" t="s">
        <v>4</v>
      </c>
      <c r="F81" s="12"/>
    </row>
    <row r="82" spans="2:10" ht="15" customHeight="1">
      <c r="B82" s="246"/>
      <c r="C82" s="201" t="s">
        <v>276</v>
      </c>
      <c r="D82" s="251">
        <f>'Verifica SLE'!C39*1000/250</f>
        <v>22</v>
      </c>
      <c r="E82" s="168" t="s">
        <v>4</v>
      </c>
      <c r="F82" s="135"/>
    </row>
    <row r="83" spans="2:10">
      <c r="B83" s="246"/>
      <c r="C83" s="201" t="s">
        <v>277</v>
      </c>
      <c r="D83" s="254" t="str">
        <f>IF(D81&lt;=D82,"verificato 1/250","non verificato 1/250")</f>
        <v>verificato 1/250</v>
      </c>
      <c r="E83" s="254"/>
      <c r="F83" s="159"/>
    </row>
    <row r="84" spans="2:10">
      <c r="B84" s="246"/>
      <c r="C84" s="255" t="s">
        <v>278</v>
      </c>
      <c r="D84" s="256">
        <f>-D78/(D75)*10^2*D73</f>
        <v>-4.6723626312956563</v>
      </c>
      <c r="E84" s="168" t="s">
        <v>3</v>
      </c>
      <c r="F84" s="159"/>
    </row>
    <row r="85" spans="2:10">
      <c r="B85" s="246"/>
      <c r="C85" s="255" t="s">
        <v>279</v>
      </c>
      <c r="D85" s="254" t="str">
        <f>IF(D84&lt;=0.6*C58," VERIFICATO","NON VERIFICATO!")</f>
        <v xml:space="preserve"> VERIFICATO</v>
      </c>
      <c r="E85" s="254"/>
      <c r="F85" s="159"/>
    </row>
    <row r="86" spans="2:10">
      <c r="B86" s="246"/>
      <c r="C86" s="255" t="s">
        <v>280</v>
      </c>
      <c r="D86" s="250">
        <f>D78/(D75)*10^2*(E7-E9-D73)*D72</f>
        <v>48.819096443368508</v>
      </c>
      <c r="E86" s="168" t="s">
        <v>3</v>
      </c>
      <c r="F86" s="159"/>
    </row>
    <row r="87" spans="2:10" ht="30" customHeight="1">
      <c r="B87" s="246"/>
      <c r="C87" s="236" t="str">
        <f>IF(D78&gt;D79,"LA SEZIONE SI FESSURA (STADIO 2)","LA SEZIONE NON SI FESSURA (STADIO 1)")</f>
        <v>LA SEZIONE SI FESSURA (STADIO 2)</v>
      </c>
      <c r="D87" s="236"/>
      <c r="E87" s="236"/>
      <c r="F87" s="159"/>
    </row>
    <row r="88" spans="2:10" ht="13.5" customHeight="1">
      <c r="B88" s="160"/>
      <c r="C88" s="258" t="s">
        <v>307</v>
      </c>
      <c r="D88" s="277"/>
      <c r="E88" s="278"/>
      <c r="F88" s="159"/>
    </row>
    <row r="89" spans="2:10" ht="18" customHeight="1">
      <c r="B89" s="14"/>
      <c r="C89" s="273" t="s">
        <v>302</v>
      </c>
      <c r="D89" s="274"/>
      <c r="E89" s="275"/>
      <c r="F89" s="159"/>
      <c r="H89" s="257" t="s">
        <v>259</v>
      </c>
      <c r="I89" s="257"/>
      <c r="J89" s="257"/>
    </row>
    <row r="90" spans="2:10" ht="15" customHeight="1">
      <c r="B90" s="224" t="s">
        <v>192</v>
      </c>
      <c r="C90" s="247" t="s">
        <v>19</v>
      </c>
      <c r="D90" s="260">
        <f>E13/D99</f>
        <v>6.6778682203495379</v>
      </c>
      <c r="E90" s="247" t="s">
        <v>32</v>
      </c>
      <c r="F90" s="135"/>
    </row>
    <row r="91" spans="2:10" ht="15" customHeight="1">
      <c r="B91" s="225"/>
      <c r="C91" s="261" t="s">
        <v>205</v>
      </c>
      <c r="D91" s="250">
        <f>VLOOKUP(C91,'Foglio deposito'!F2:H4,2,)</f>
        <v>4.91</v>
      </c>
      <c r="E91" s="168" t="s">
        <v>2</v>
      </c>
      <c r="F91" s="135"/>
    </row>
    <row r="92" spans="2:10">
      <c r="B92" s="225"/>
      <c r="C92" s="201" t="s">
        <v>283</v>
      </c>
      <c r="D92" s="250">
        <f>VLOOKUP(C91,'Foglio deposito'!F2:H4,3,)</f>
        <v>12.03</v>
      </c>
      <c r="E92" s="168" t="s">
        <v>5</v>
      </c>
      <c r="F92" s="135"/>
    </row>
    <row r="93" spans="2:10">
      <c r="B93" s="225"/>
      <c r="C93" s="201" t="s">
        <v>271</v>
      </c>
      <c r="D93" s="249">
        <f>D75</f>
        <v>19074.611989057496</v>
      </c>
      <c r="E93" s="168" t="s">
        <v>281</v>
      </c>
      <c r="F93" s="135"/>
    </row>
    <row r="94" spans="2:10">
      <c r="B94" s="225"/>
      <c r="C94" s="201" t="s">
        <v>275</v>
      </c>
      <c r="D94" s="262">
        <f>D79</f>
        <v>4.0128782270247392</v>
      </c>
      <c r="E94" s="168" t="s">
        <v>5</v>
      </c>
      <c r="F94" s="135"/>
    </row>
    <row r="95" spans="2:10">
      <c r="B95" s="225"/>
      <c r="C95" s="201" t="s">
        <v>244</v>
      </c>
      <c r="D95" s="263">
        <f>IF(C110="LA SEZIONE NON SI FESSURA (STADIO 1)",D73,'Foglio deposito'!AB46)</f>
        <v>30.878075373138604</v>
      </c>
      <c r="E95" s="168" t="s">
        <v>4</v>
      </c>
      <c r="F95" s="135"/>
    </row>
    <row r="96" spans="2:10">
      <c r="B96" s="225"/>
      <c r="C96" s="201" t="s">
        <v>83</v>
      </c>
      <c r="D96" s="263">
        <f>IF(C110="LA SEZIONE NON SI FESSURA (STADIO 1)","",IF('Foglio deposito'!AD42=TRUE,'Foglio deposito'!AB41,'Foglio deposito'!AB45))</f>
        <v>94</v>
      </c>
      <c r="E96" s="168" t="s">
        <v>4</v>
      </c>
      <c r="F96" s="135"/>
    </row>
    <row r="97" spans="2:6">
      <c r="B97" s="225"/>
      <c r="C97" s="201" t="str">
        <f>IF('Foglio deposito'!AD42=TRUE,'Foglio deposito'!AA40,'Foglio deposito'!AA44)</f>
        <v>ηs</v>
      </c>
      <c r="D97" s="263">
        <f>IF('Verifica SLE'!C157="LA SEZIONE NON SI FESSURA (STADIO 1)","",IF('Foglio deposito'!AD42=TRUE,'Foglio deposito'!AB40,'Foglio deposito'!AB44))</f>
        <v>7.5524910273687071</v>
      </c>
      <c r="E97" s="168" t="s">
        <v>4</v>
      </c>
      <c r="F97" s="135"/>
    </row>
    <row r="98" spans="2:6">
      <c r="B98" s="225"/>
      <c r="C98" s="201" t="str">
        <f>IF('Foglio deposito'!AD42=TRUE,'Foglio deposito'!Z43,'Foglio deposito'!AA43)</f>
        <v>As</v>
      </c>
      <c r="D98" s="263">
        <f>IF('Verifica SLE'!C157="LA SEZIONE NON SI FESSURA (STADIO 1)","",IF('Foglio deposito'!AD42=TRUE,F32+F35,'Foglio deposito'!AB43))</f>
        <v>565.48667764616278</v>
      </c>
      <c r="E98" s="168" t="s">
        <v>289</v>
      </c>
      <c r="F98" s="135"/>
    </row>
    <row r="99" spans="2:6" ht="15" customHeight="1">
      <c r="B99" s="225"/>
      <c r="C99" s="201" t="s">
        <v>272</v>
      </c>
      <c r="D99" s="249">
        <f>D74</f>
        <v>31447.161439943484</v>
      </c>
      <c r="E99" s="168" t="s">
        <v>3</v>
      </c>
      <c r="F99" s="135"/>
    </row>
    <row r="100" spans="2:6">
      <c r="B100" s="225"/>
      <c r="C100" s="201" t="s">
        <v>284</v>
      </c>
      <c r="D100" s="263">
        <f>IF(C110="LA SEZIONE NON SI FESSURA (STADIO 1)","",IF(D95&lt;=E8,'Foglio deposito'!B43,'Foglio deposito'!D43))</f>
        <v>4315.405159748062</v>
      </c>
      <c r="E100" s="168" t="s">
        <v>281</v>
      </c>
      <c r="F100" s="12"/>
    </row>
    <row r="101" spans="2:6">
      <c r="B101" s="225"/>
      <c r="C101" s="201" t="s">
        <v>274</v>
      </c>
      <c r="D101" s="251">
        <v>2.86</v>
      </c>
      <c r="E101" s="168" t="s">
        <v>4</v>
      </c>
      <c r="F101" s="12">
        <f>5/384*(D91*'Verifica SLE'!C39^4/(D99*(10^3)*D75*(10^-8)))*10^3</f>
        <v>9.7529021601834387</v>
      </c>
    </row>
    <row r="102" spans="2:6">
      <c r="B102" s="225"/>
      <c r="C102" s="201" t="s">
        <v>285</v>
      </c>
      <c r="D102" s="251">
        <v>10.26</v>
      </c>
      <c r="E102" s="168" t="s">
        <v>4</v>
      </c>
      <c r="F102" s="12">
        <f>IF(C110="LA SEZIONE NON SI FESSURA (STADIO 1)","",5/384*(D91*'Verifica SLE'!C39^4/(D99*(10^3)*D100*(10^-8)))*10^3)</f>
        <v>43.109005431972129</v>
      </c>
    </row>
    <row r="103" spans="2:6" ht="15.75">
      <c r="B103" s="225"/>
      <c r="C103" s="200" t="s">
        <v>6</v>
      </c>
      <c r="D103" s="252">
        <f>IF(E111="SI",D102,IF(D79/D92&gt;1,D101,D101*1*(D79/D92)^2+D102*(1-1*(D79/D92)^2)))</f>
        <v>9.4365970338736407</v>
      </c>
      <c r="E103" s="253" t="s">
        <v>4</v>
      </c>
      <c r="F103" s="12"/>
    </row>
    <row r="104" spans="2:6">
      <c r="B104" s="225"/>
      <c r="C104" s="201" t="s">
        <v>276</v>
      </c>
      <c r="D104" s="168">
        <f>'Verifica SLE'!C39*1000/250</f>
        <v>22</v>
      </c>
      <c r="E104" s="168" t="s">
        <v>4</v>
      </c>
      <c r="F104" s="12"/>
    </row>
    <row r="105" spans="2:6">
      <c r="B105" s="225"/>
      <c r="C105" s="201" t="s">
        <v>286</v>
      </c>
      <c r="D105" s="271" t="str">
        <f>IF(D103&lt;=D104,"verificato 1/250","non verificato 1/250")</f>
        <v>verificato 1/250</v>
      </c>
      <c r="E105" s="272"/>
      <c r="F105" s="12"/>
    </row>
    <row r="106" spans="2:6">
      <c r="B106" s="225"/>
      <c r="C106" s="255" t="s">
        <v>278</v>
      </c>
      <c r="D106" s="264">
        <f>IF(E111="si",-D92/D100*10^2*D95,IF(D94/D92&gt;1,-D92/D93*10^2*D95,-D92/D100*10^2*D95))</f>
        <v>-8.6078417434284162</v>
      </c>
      <c r="E106" s="168" t="s">
        <v>3</v>
      </c>
      <c r="F106" s="163"/>
    </row>
    <row r="107" spans="2:6">
      <c r="B107" s="225"/>
      <c r="C107" s="255" t="s">
        <v>279</v>
      </c>
      <c r="D107" s="271" t="str">
        <f>IF(ABS(D106)&lt;=0.6*C58," VERIFICATO","NON VERIFICATO!")</f>
        <v xml:space="preserve"> VERIFICATO</v>
      </c>
      <c r="E107" s="272"/>
      <c r="F107" s="164"/>
    </row>
    <row r="108" spans="2:6">
      <c r="B108" s="225"/>
      <c r="C108" s="255" t="s">
        <v>287</v>
      </c>
      <c r="D108" s="264">
        <f>IF(E111="si",D92/D100*10^2*('Foglio deposito'!P4-D95)*D90,IF(D94/D92&gt;1,D92/D93*10^2*('Foglio deposito'!P4-D95)*D90,D92/D100*10^2*('Foglio deposito'!P4-D95)*D90))</f>
        <v>296.2183226748042</v>
      </c>
      <c r="E108" s="168" t="s">
        <v>3</v>
      </c>
      <c r="F108" s="164"/>
    </row>
    <row r="109" spans="2:6">
      <c r="B109" s="225"/>
      <c r="C109" s="255" t="s">
        <v>288</v>
      </c>
      <c r="D109" s="271" t="str">
        <f>IF(D108&lt;=0.8*'Foglio deposito'!S11," VERIFICATO","NON VERIFICATO!")</f>
        <v xml:space="preserve"> VERIFICATO</v>
      </c>
      <c r="E109" s="272"/>
      <c r="F109" s="164"/>
    </row>
    <row r="110" spans="2:6" ht="30" customHeight="1">
      <c r="B110" s="226"/>
      <c r="C110" s="235" t="str">
        <f>IF(E111="si", "FESSURAZIONE IMPOSTA (STADIO 2)",IF(D94/D92&lt;1,"LA SEZIONE SI FESSURA (STADIO 2)","LA SEZIONE NON SI FESSURA (STADIO 1)"))</f>
        <v>LA SEZIONE SI FESSURA (STADIO 2)</v>
      </c>
      <c r="D110" s="235"/>
      <c r="E110" s="235"/>
      <c r="F110" s="164"/>
    </row>
    <row r="111" spans="2:6" ht="13.5" customHeight="1">
      <c r="B111" s="216" t="s">
        <v>77</v>
      </c>
      <c r="C111" s="217"/>
      <c r="D111" s="218"/>
      <c r="E111" s="118" t="s">
        <v>38</v>
      </c>
      <c r="F111" s="164"/>
    </row>
    <row r="112" spans="2:6" ht="13.5" customHeight="1">
      <c r="B112" s="165"/>
      <c r="C112" s="258" t="s">
        <v>303</v>
      </c>
      <c r="D112" s="277"/>
      <c r="E112" s="278"/>
    </row>
    <row r="113" spans="2:6" ht="13.5" customHeight="1">
      <c r="B113" s="14"/>
      <c r="C113" s="259" t="s">
        <v>304</v>
      </c>
      <c r="D113" s="274"/>
      <c r="E113" s="275"/>
    </row>
    <row r="114" spans="2:6" ht="13.5" customHeight="1">
      <c r="B114" s="224" t="s">
        <v>192</v>
      </c>
      <c r="C114" s="247" t="s">
        <v>19</v>
      </c>
      <c r="D114" s="260">
        <f>E13/D99</f>
        <v>6.6778682203495379</v>
      </c>
      <c r="E114" s="247" t="s">
        <v>32</v>
      </c>
      <c r="F114" s="164"/>
    </row>
    <row r="115" spans="2:6" ht="13.5" customHeight="1">
      <c r="B115" s="225"/>
      <c r="C115" s="201" t="s">
        <v>188</v>
      </c>
      <c r="D115" s="250">
        <f>E17+E18+0.5*E19</f>
        <v>4.41</v>
      </c>
      <c r="E115" s="168" t="s">
        <v>2</v>
      </c>
      <c r="F115" s="164"/>
    </row>
    <row r="116" spans="2:6" ht="13.5" customHeight="1">
      <c r="B116" s="225"/>
      <c r="C116" s="201" t="s">
        <v>283</v>
      </c>
      <c r="D116" s="250">
        <f>E22</f>
        <v>9.82</v>
      </c>
      <c r="E116" s="168" t="s">
        <v>5</v>
      </c>
      <c r="F116" s="164"/>
    </row>
    <row r="117" spans="2:6" ht="13.5" customHeight="1">
      <c r="B117" s="225"/>
      <c r="C117" s="201" t="s">
        <v>271</v>
      </c>
      <c r="D117" s="249">
        <f>D93</f>
        <v>19074.611989057496</v>
      </c>
      <c r="E117" s="168" t="s">
        <v>281</v>
      </c>
      <c r="F117" s="164"/>
    </row>
    <row r="118" spans="2:6" ht="13.5" customHeight="1">
      <c r="B118" s="225"/>
      <c r="C118" s="201" t="s">
        <v>290</v>
      </c>
      <c r="D118" s="250">
        <f>D94</f>
        <v>4.0128782270247392</v>
      </c>
      <c r="E118" s="168" t="s">
        <v>5</v>
      </c>
      <c r="F118" s="164"/>
    </row>
    <row r="119" spans="2:6" ht="13.5" customHeight="1">
      <c r="B119" s="225"/>
      <c r="C119" s="201" t="s">
        <v>244</v>
      </c>
      <c r="D119" s="249">
        <f>D95</f>
        <v>30.878075373138604</v>
      </c>
      <c r="E119" s="168" t="s">
        <v>4</v>
      </c>
      <c r="F119" s="164"/>
    </row>
    <row r="120" spans="2:6" ht="13.5" customHeight="1">
      <c r="B120" s="225"/>
      <c r="C120" s="265" t="s">
        <v>291</v>
      </c>
      <c r="D120" s="249">
        <f>D96</f>
        <v>94</v>
      </c>
      <c r="E120" s="168" t="s">
        <v>4</v>
      </c>
      <c r="F120" s="164"/>
    </row>
    <row r="121" spans="2:6" ht="13.5" customHeight="1">
      <c r="B121" s="225"/>
      <c r="C121" s="201" t="str">
        <f>C97</f>
        <v>ηs</v>
      </c>
      <c r="D121" s="249">
        <f>'Verifica SLE'!D97</f>
        <v>7.5524910273687071</v>
      </c>
      <c r="E121" s="168" t="s">
        <v>4</v>
      </c>
      <c r="F121" s="164"/>
    </row>
    <row r="122" spans="2:6" ht="13.5" customHeight="1">
      <c r="B122" s="225"/>
      <c r="C122" s="201" t="str">
        <f>C98</f>
        <v>As</v>
      </c>
      <c r="D122" s="263">
        <f>D98</f>
        <v>565.48667764616278</v>
      </c>
      <c r="E122" s="168" t="str">
        <f>E98</f>
        <v>mm^²</v>
      </c>
      <c r="F122" s="164"/>
    </row>
    <row r="123" spans="2:6" ht="13.5" customHeight="1">
      <c r="B123" s="225"/>
      <c r="C123" s="201" t="s">
        <v>272</v>
      </c>
      <c r="D123" s="249">
        <f>D99</f>
        <v>31447.161439943484</v>
      </c>
      <c r="E123" s="168" t="s">
        <v>3</v>
      </c>
      <c r="F123" s="164"/>
    </row>
    <row r="124" spans="2:6" ht="13.5" customHeight="1">
      <c r="B124" s="225"/>
      <c r="C124" s="201" t="s">
        <v>284</v>
      </c>
      <c r="D124" s="249">
        <f>D100</f>
        <v>4315.405159748062</v>
      </c>
      <c r="E124" s="168" t="s">
        <v>281</v>
      </c>
      <c r="F124" s="164"/>
    </row>
    <row r="125" spans="2:6" ht="13.5" customHeight="1">
      <c r="B125" s="225"/>
      <c r="C125" s="255" t="s">
        <v>34</v>
      </c>
      <c r="D125" s="250">
        <f>IF(E132="si",-D116/D100*10^2*D95,IF(D94/D116&gt;1,-D116/D93*10^2*D95,-D116/D100*10^2*D95))</f>
        <v>-7.0265175328734033</v>
      </c>
      <c r="E125" s="168" t="s">
        <v>3</v>
      </c>
      <c r="F125" s="164"/>
    </row>
    <row r="126" spans="2:6" ht="13.5" customHeight="1">
      <c r="B126" s="225"/>
      <c r="C126" s="255" t="s">
        <v>287</v>
      </c>
      <c r="D126" s="264">
        <f>IF(E132="si",D116/D100*10^2*('Foglio deposito'!P4-D95)*D90,IF(D94/D116&gt;1,D116/D93*10^2*('Foglio deposito'!P4-D95)*D90,D116/D100*10^2*('Foglio deposito'!P4-D95)*D90))</f>
        <v>241.8008253255675</v>
      </c>
      <c r="E126" s="168" t="s">
        <v>3</v>
      </c>
      <c r="F126" s="164"/>
    </row>
    <row r="127" spans="2:6" ht="13.5" customHeight="1">
      <c r="B127" s="225"/>
      <c r="C127" s="266" t="s">
        <v>292</v>
      </c>
      <c r="D127" s="250">
        <f>IF(C130="LA SEZIONE NON SI FESSURA (STADIO 1)",0,'Foglio deposito'!C120)</f>
        <v>0.15616934468504884</v>
      </c>
      <c r="E127" s="168" t="s">
        <v>4</v>
      </c>
      <c r="F127" s="164"/>
    </row>
    <row r="128" spans="2:6" ht="13.5" customHeight="1">
      <c r="B128" s="225"/>
      <c r="C128" s="266" t="s">
        <v>293</v>
      </c>
      <c r="D128" s="250">
        <f>VLOOKUP(D25,'Foglio deposito'!J121:L123,2,)</f>
        <v>0.4</v>
      </c>
      <c r="E128" s="168" t="s">
        <v>4</v>
      </c>
      <c r="F128" s="164"/>
    </row>
    <row r="129" spans="2:6" ht="13.5" customHeight="1">
      <c r="B129" s="225"/>
      <c r="C129" s="266" t="s">
        <v>294</v>
      </c>
      <c r="D129" s="254" t="str">
        <f>IF(D127&lt;=D128," VERIFICATO","NON VERIFICATO!")</f>
        <v xml:space="preserve"> VERIFICATO</v>
      </c>
      <c r="E129" s="254"/>
      <c r="F129" s="164"/>
    </row>
    <row r="130" spans="2:6" ht="13.5" customHeight="1">
      <c r="B130" s="225"/>
      <c r="C130" s="230" t="str">
        <f>IF(E132="si", "FESSURAZIONE IMPOSTA (STADIO 2)",IF(D118/D116&lt;1,"LA SEZIONE SI FESSURA (STADIO 2)","LA SEZIONE NON SI FESSURA (STADIO 1)"))</f>
        <v>LA SEZIONE SI FESSURA (STADIO 2)</v>
      </c>
      <c r="D130" s="231"/>
      <c r="E130" s="232"/>
      <c r="F130" s="164"/>
    </row>
    <row r="131" spans="2:6" ht="13.5" customHeight="1">
      <c r="B131" s="226"/>
      <c r="C131" s="221"/>
      <c r="D131" s="222"/>
      <c r="E131" s="223"/>
      <c r="F131" s="164"/>
    </row>
    <row r="132" spans="2:6" ht="13.5" customHeight="1">
      <c r="B132" s="216" t="s">
        <v>77</v>
      </c>
      <c r="C132" s="217"/>
      <c r="D132" s="218"/>
      <c r="E132" s="118" t="s">
        <v>38</v>
      </c>
      <c r="F132" s="164"/>
    </row>
    <row r="133" spans="2:6" ht="13.5" customHeight="1">
      <c r="B133" s="165"/>
      <c r="C133" s="276" t="s">
        <v>305</v>
      </c>
      <c r="D133" s="277"/>
      <c r="E133" s="278"/>
    </row>
    <row r="134" spans="2:6" ht="15" customHeight="1">
      <c r="B134" s="14"/>
      <c r="C134" s="273" t="s">
        <v>306</v>
      </c>
      <c r="D134" s="274"/>
      <c r="E134" s="275"/>
    </row>
    <row r="135" spans="2:6" ht="15" customHeight="1">
      <c r="B135" s="227" t="s">
        <v>191</v>
      </c>
      <c r="C135" s="247" t="s">
        <v>19</v>
      </c>
      <c r="D135" s="260">
        <f>E13/D144</f>
        <v>24.663593293824295</v>
      </c>
      <c r="E135" s="247" t="s">
        <v>32</v>
      </c>
      <c r="F135" s="164"/>
    </row>
    <row r="136" spans="2:6" ht="15" customHeight="1">
      <c r="B136" s="228"/>
      <c r="C136" s="265" t="s">
        <v>89</v>
      </c>
      <c r="D136" s="250">
        <f>E17+E18+0.3*E19</f>
        <v>4.21</v>
      </c>
      <c r="E136" s="168" t="s">
        <v>2</v>
      </c>
      <c r="F136" s="164"/>
    </row>
    <row r="137" spans="2:6">
      <c r="B137" s="228"/>
      <c r="C137" s="201" t="s">
        <v>283</v>
      </c>
      <c r="D137" s="250">
        <f>E23</f>
        <v>8.93</v>
      </c>
      <c r="E137" s="168" t="s">
        <v>5</v>
      </c>
      <c r="F137" s="164"/>
    </row>
    <row r="138" spans="2:6">
      <c r="B138" s="228"/>
      <c r="C138" s="265" t="s">
        <v>299</v>
      </c>
      <c r="D138" s="249">
        <f>'Foglio deposito'!AB34*10^-4</f>
        <v>25647.902674428195</v>
      </c>
      <c r="E138" s="168" t="s">
        <v>281</v>
      </c>
      <c r="F138" s="164"/>
    </row>
    <row r="139" spans="2:6" ht="15" customHeight="1">
      <c r="B139" s="228"/>
      <c r="C139" s="201" t="s">
        <v>290</v>
      </c>
      <c r="D139" s="262">
        <f>D94</f>
        <v>4.0128782270247392</v>
      </c>
      <c r="E139" s="168" t="s">
        <v>5</v>
      </c>
      <c r="F139" s="164"/>
    </row>
    <row r="140" spans="2:6">
      <c r="B140" s="228"/>
      <c r="C140" s="201" t="s">
        <v>244</v>
      </c>
      <c r="D140" s="267">
        <f>IF(C157="LA SEZIONE NON SI FESSURA (STADIO 1)",D73,IF('Foglio deposito'!B56&lt;E8,'Foglio deposito'!B56,'Foglio deposito'!D56))</f>
        <v>50.247861495343251</v>
      </c>
      <c r="E140" s="168" t="s">
        <v>4</v>
      </c>
      <c r="F140" s="164"/>
    </row>
    <row r="141" spans="2:6" ht="15" customHeight="1">
      <c r="B141" s="228"/>
      <c r="C141" s="201" t="s">
        <v>298</v>
      </c>
      <c r="D141" s="267">
        <f>IF(C157="LA SEZIONE NON SI FESSURA (STADIO 1)","",IF(D140='Foglio deposito'!B56,'Foglio deposito'!B58,'Foglio deposito'!D58))</f>
        <v>54.463397604760523</v>
      </c>
      <c r="E141" s="168" t="s">
        <v>4</v>
      </c>
      <c r="F141" s="164"/>
    </row>
    <row r="142" spans="2:6" ht="15" customHeight="1">
      <c r="B142" s="228"/>
      <c r="C142" s="201" t="str">
        <f>IF('Foglio deposito'!AD54=TRUE,'Foglio deposito'!AA52,'Foglio deposito'!AA56)</f>
        <v>ηn</v>
      </c>
      <c r="D142" s="267">
        <f>IF('Verifica SLE'!C157="LA SEZIONE NON SI FESSURA (STADIO 1)","",IF('Foglio deposito'!AD54=TRUE,'Foglio deposito'!AB52,'Foglio deposito'!AB56))</f>
        <v>299.46933430540878</v>
      </c>
      <c r="E142" s="168" t="s">
        <v>4</v>
      </c>
      <c r="F142" s="164"/>
    </row>
    <row r="143" spans="2:6" ht="15" customHeight="1">
      <c r="B143" s="228"/>
      <c r="C143" s="201" t="str">
        <f>IF('Foglio deposito'!AD54=TRUE,'Foglio deposito'!Z55,'Foglio deposito'!AA55)</f>
        <v>As*</v>
      </c>
      <c r="D143" s="267">
        <f>IF('Foglio deposito'!AD54=TRUE,'Verifica SLE'!F32+'Verifica SLE'!F35,'Foglio deposito'!AB55)</f>
        <v>648.72947787402745</v>
      </c>
      <c r="E143" s="168" t="s">
        <v>300</v>
      </c>
      <c r="F143" s="164"/>
    </row>
    <row r="144" spans="2:6">
      <c r="B144" s="228"/>
      <c r="C144" s="201" t="s">
        <v>297</v>
      </c>
      <c r="D144" s="268">
        <f>'Foglio deposito'!AB14</f>
        <v>8514.5743970966105</v>
      </c>
      <c r="E144" s="168" t="s">
        <v>3</v>
      </c>
      <c r="F144" s="167"/>
    </row>
    <row r="145" spans="2:6">
      <c r="B145" s="228"/>
      <c r="C145" s="201" t="s">
        <v>284</v>
      </c>
      <c r="D145" s="267">
        <f>IF(C110="LA SEZIONE SI FESSURA (STADIO 2)",IF(D140&lt;=E8,'Foglio deposito'!B68,'Foglio deposito'!D68),IF(E158="SI",IF(D140&lt;=E8,'Foglio deposito'!B68,'Foglio deposito'!D68),""))</f>
        <v>13338.90741275381</v>
      </c>
      <c r="E145" s="168" t="s">
        <v>281</v>
      </c>
      <c r="F145" s="167"/>
    </row>
    <row r="146" spans="2:6">
      <c r="B146" s="228"/>
      <c r="C146" s="201" t="s">
        <v>274</v>
      </c>
      <c r="D146" s="251">
        <v>6.73</v>
      </c>
      <c r="E146" s="168" t="s">
        <v>4</v>
      </c>
      <c r="F146" s="167">
        <f>5/384*(D136*'Verifica SLE'!C39^4/(D144*(10^3)*D138*(10^-8)))*10^3</f>
        <v>22.969779820882909</v>
      </c>
    </row>
    <row r="147" spans="2:6">
      <c r="B147" s="228"/>
      <c r="C147" s="201" t="s">
        <v>285</v>
      </c>
      <c r="D147" s="251">
        <v>12.9</v>
      </c>
      <c r="E147" s="168" t="s">
        <v>4</v>
      </c>
      <c r="F147" s="167">
        <f>IF(C110="LA SEZIONE SI FESSURA (STADIO 2)",5/384*(D136*'Verifica SLE'!C39^4/(D144*(10^3)*D145*(10^-8)))*10^3,IF(E158="SI",5/384*(D136*'Verifica SLE'!C39^4/(D144*(10^3)*D145*(10^-8)))*10^3,""))</f>
        <v>44.166036922616641</v>
      </c>
    </row>
    <row r="148" spans="2:6" ht="15.75">
      <c r="B148" s="228"/>
      <c r="C148" s="200" t="s">
        <v>6</v>
      </c>
      <c r="D148" s="252">
        <f>IF(E158="si",D147,IF(D139/D137&gt;1,D146,D146*0.5*(D139/D137)^2+D147*(1-0.5*(D139/D137)^2)))</f>
        <v>12.9</v>
      </c>
      <c r="E148" s="253" t="s">
        <v>4</v>
      </c>
      <c r="F148" s="163"/>
    </row>
    <row r="149" spans="2:6">
      <c r="B149" s="228"/>
      <c r="C149" s="201" t="s">
        <v>276</v>
      </c>
      <c r="D149" s="168">
        <f>'Verifica SLE'!C39*1000/250</f>
        <v>22</v>
      </c>
      <c r="E149" s="168" t="s">
        <v>4</v>
      </c>
      <c r="F149" s="164"/>
    </row>
    <row r="150" spans="2:6">
      <c r="B150" s="228"/>
      <c r="C150" s="201" t="s">
        <v>277</v>
      </c>
      <c r="D150" s="254" t="str">
        <f>IF(D148&lt;=D149,"verificato 1/250","non verificato 1/250")</f>
        <v>verificato 1/250</v>
      </c>
      <c r="E150" s="254"/>
      <c r="F150" s="135"/>
    </row>
    <row r="151" spans="2:6">
      <c r="B151" s="228"/>
      <c r="C151" s="269" t="s">
        <v>201</v>
      </c>
      <c r="D151" s="250">
        <f>'Foglio deposito'!H142</f>
        <v>-6.3896946607494387</v>
      </c>
      <c r="E151" s="168" t="s">
        <v>3</v>
      </c>
      <c r="F151" s="135"/>
    </row>
    <row r="152" spans="2:6">
      <c r="B152" s="228"/>
      <c r="C152" s="255" t="s">
        <v>296</v>
      </c>
      <c r="D152" s="254" t="str">
        <f>IF(ABS('Foglio deposito'!H142)&lt;=0.45*C58," VERIFICATO","NON VERIFICATO!")</f>
        <v xml:space="preserve"> VERIFICATO</v>
      </c>
      <c r="E152" s="254"/>
      <c r="F152" s="135"/>
    </row>
    <row r="153" spans="2:6">
      <c r="B153" s="228"/>
      <c r="C153" s="269" t="s">
        <v>202</v>
      </c>
      <c r="D153" s="250">
        <f>'Foglio deposito'!H143</f>
        <v>219.88608657406493</v>
      </c>
      <c r="E153" s="168" t="s">
        <v>3</v>
      </c>
      <c r="F153" s="164"/>
    </row>
    <row r="154" spans="2:6">
      <c r="B154" s="228"/>
      <c r="C154" s="266" t="s">
        <v>295</v>
      </c>
      <c r="D154" s="270">
        <f>IF(C157="LA SEZIONE NON SI FESSURA (STADIO 1)",0,'Foglio deposito'!D120)</f>
        <v>0.13959189167647199</v>
      </c>
      <c r="E154" s="168" t="s">
        <v>4</v>
      </c>
      <c r="F154" s="164"/>
    </row>
    <row r="155" spans="2:6">
      <c r="B155" s="228"/>
      <c r="C155" s="266" t="s">
        <v>293</v>
      </c>
      <c r="D155" s="250">
        <f>VLOOKUP(D25,'Foglio deposito'!J121:L123,3,)</f>
        <v>0.3</v>
      </c>
      <c r="E155" s="168" t="s">
        <v>4</v>
      </c>
      <c r="F155" s="164"/>
    </row>
    <row r="156" spans="2:6">
      <c r="B156" s="228"/>
      <c r="C156" s="266" t="s">
        <v>294</v>
      </c>
      <c r="D156" s="254" t="str">
        <f>IF(D154&lt;=D155," VERIFICATO","NON VERIFICATO!")</f>
        <v xml:space="preserve"> VERIFICATO</v>
      </c>
      <c r="E156" s="254"/>
      <c r="F156" s="164"/>
    </row>
    <row r="157" spans="2:6" ht="30" customHeight="1">
      <c r="B157" s="229"/>
      <c r="C157" s="221" t="str">
        <f>IF(E158="si","FESSURAZIONE IMPOSTA (STADIO 2)",IF(D139/D137&lt;1,"LA SEZIONE SI FESSURA (STADIO 2)","LA SEZIONE NON SI FESSURA (STADIO 1)"))</f>
        <v>FESSURAZIONE IMPOSTA (STADIO 2)</v>
      </c>
      <c r="D157" s="222"/>
      <c r="E157" s="223"/>
      <c r="F157" s="135"/>
    </row>
    <row r="158" spans="2:6" ht="13.5" customHeight="1">
      <c r="B158" s="216" t="s">
        <v>69</v>
      </c>
      <c r="C158" s="217"/>
      <c r="D158" s="218"/>
      <c r="E158" s="118" t="s">
        <v>37</v>
      </c>
      <c r="F158" s="135"/>
    </row>
    <row r="159" spans="2:6" ht="13.5" customHeight="1">
      <c r="B159" s="165"/>
      <c r="C159" s="165"/>
      <c r="D159" s="165"/>
      <c r="E159" s="161"/>
      <c r="F159" s="135"/>
    </row>
    <row r="160" spans="2:6" ht="13.5" customHeight="1">
      <c r="B160" s="14" t="s">
        <v>260</v>
      </c>
      <c r="C160" s="165"/>
      <c r="D160" s="165"/>
      <c r="E160" s="161"/>
      <c r="F160" s="135"/>
    </row>
    <row r="161" spans="2:6" ht="7.5" customHeight="1">
      <c r="B161" s="135"/>
      <c r="C161" s="135"/>
      <c r="D161" s="135"/>
      <c r="E161" s="135"/>
      <c r="F161" s="135"/>
    </row>
    <row r="162" spans="2:6" ht="18">
      <c r="B162" s="134" t="s">
        <v>222</v>
      </c>
      <c r="C162" s="134"/>
      <c r="D162" s="134"/>
      <c r="E162" s="134"/>
      <c r="F162" s="134"/>
    </row>
    <row r="163" spans="2:6" ht="8.25" customHeight="1">
      <c r="B163" s="134"/>
      <c r="C163" s="134"/>
      <c r="D163" s="134"/>
      <c r="E163" s="134"/>
      <c r="F163" s="134"/>
    </row>
    <row r="164" spans="2:6" ht="15.75">
      <c r="B164" s="134" t="s">
        <v>223</v>
      </c>
      <c r="C164" s="134"/>
      <c r="D164" s="134"/>
      <c r="E164" s="134"/>
      <c r="F164" s="134"/>
    </row>
    <row r="165" spans="2:6" ht="15.75">
      <c r="B165" s="134" t="s">
        <v>224</v>
      </c>
      <c r="C165" s="134"/>
      <c r="D165" s="134"/>
      <c r="E165" s="134"/>
      <c r="F165" s="134"/>
    </row>
    <row r="166" spans="2:6" ht="15.75">
      <c r="B166" s="134" t="s">
        <v>225</v>
      </c>
      <c r="C166" s="134"/>
      <c r="D166" s="134"/>
      <c r="E166" s="134"/>
      <c r="F166" s="134"/>
    </row>
    <row r="167" spans="2:6" ht="15.75">
      <c r="B167" s="134" t="s">
        <v>206</v>
      </c>
      <c r="C167" s="134"/>
      <c r="D167" s="134"/>
      <c r="E167" s="134"/>
      <c r="F167" s="134"/>
    </row>
    <row r="168" spans="2:6" ht="10.5" customHeight="1">
      <c r="B168" s="134"/>
      <c r="C168" s="134"/>
      <c r="D168" s="134"/>
      <c r="E168" s="134"/>
      <c r="F168" s="134"/>
    </row>
    <row r="169" spans="2:6" ht="15.75">
      <c r="B169" s="134" t="s">
        <v>207</v>
      </c>
      <c r="C169" s="134"/>
      <c r="D169" s="134"/>
      <c r="E169" s="134"/>
      <c r="F169" s="134"/>
    </row>
    <row r="170" spans="2:6" ht="15.75">
      <c r="B170" s="134" t="s">
        <v>208</v>
      </c>
      <c r="C170" s="134"/>
      <c r="D170" s="134"/>
      <c r="E170" s="134"/>
      <c r="F170" s="134"/>
    </row>
    <row r="171" spans="2:6" ht="15.75">
      <c r="B171" s="134" t="s">
        <v>209</v>
      </c>
      <c r="C171" s="134"/>
      <c r="D171" s="134"/>
      <c r="E171" s="134"/>
      <c r="F171" s="134"/>
    </row>
    <row r="172" spans="2:6" ht="15.75">
      <c r="B172" s="134" t="s">
        <v>210</v>
      </c>
      <c r="C172" s="134"/>
      <c r="D172" s="134"/>
      <c r="E172" s="134"/>
      <c r="F172" s="134"/>
    </row>
    <row r="173" spans="2:6" ht="15.75">
      <c r="B173" s="134" t="s">
        <v>211</v>
      </c>
      <c r="C173" s="134"/>
      <c r="D173" s="134"/>
      <c r="E173" s="134"/>
      <c r="F173" s="134"/>
    </row>
    <row r="174" spans="2:6" ht="15.75">
      <c r="B174" s="134" t="s">
        <v>212</v>
      </c>
      <c r="C174" s="134"/>
      <c r="D174" s="134"/>
      <c r="E174" s="134"/>
      <c r="F174" s="134"/>
    </row>
    <row r="175" spans="2:6" ht="15.75">
      <c r="B175" s="134" t="s">
        <v>213</v>
      </c>
      <c r="C175" s="134"/>
      <c r="D175" s="134"/>
      <c r="E175" s="134"/>
      <c r="F175" s="134"/>
    </row>
    <row r="176" spans="2:6" ht="15.75">
      <c r="B176" s="134"/>
      <c r="C176" s="134"/>
      <c r="D176" s="134"/>
      <c r="E176" s="134"/>
      <c r="F176" s="134"/>
    </row>
    <row r="177" spans="2:6" ht="15.75">
      <c r="B177" s="134"/>
      <c r="C177" s="134"/>
      <c r="D177" s="134"/>
      <c r="E177" s="134"/>
      <c r="F177" s="134"/>
    </row>
    <row r="178" spans="2:6" ht="15.75">
      <c r="B178" s="135"/>
      <c r="C178" s="134"/>
      <c r="D178" s="134"/>
      <c r="E178" s="134"/>
      <c r="F178" s="134"/>
    </row>
    <row r="179" spans="2:6" ht="15.75">
      <c r="B179" s="135"/>
      <c r="C179" s="134"/>
      <c r="D179" s="134"/>
      <c r="E179" s="134"/>
      <c r="F179" s="134"/>
    </row>
    <row r="180" spans="2:6" ht="15.75">
      <c r="B180" s="136" t="s">
        <v>214</v>
      </c>
      <c r="C180" s="134"/>
      <c r="D180" s="134"/>
      <c r="E180" s="134"/>
      <c r="F180" s="134"/>
    </row>
    <row r="181" spans="2:6" ht="15.75">
      <c r="B181" s="135"/>
      <c r="C181" s="134"/>
      <c r="D181" s="134"/>
      <c r="E181" s="134"/>
      <c r="F181" s="134"/>
    </row>
    <row r="182" spans="2:6" ht="15.75">
      <c r="B182" s="135"/>
      <c r="C182" s="134"/>
      <c r="D182" s="134"/>
      <c r="E182" s="134"/>
      <c r="F182" s="134"/>
    </row>
    <row r="183" spans="2:6" ht="15.75">
      <c r="B183" s="134" t="s">
        <v>215</v>
      </c>
      <c r="C183" s="134"/>
      <c r="D183" s="134"/>
      <c r="E183" s="134"/>
      <c r="F183" s="134"/>
    </row>
    <row r="184" spans="2:6" ht="15.75">
      <c r="B184" s="134" t="s">
        <v>216</v>
      </c>
      <c r="C184" s="134"/>
      <c r="D184" s="134"/>
      <c r="E184" s="134"/>
      <c r="F184" s="134"/>
    </row>
    <row r="185" spans="2:6" ht="15.75">
      <c r="B185" s="134" t="s">
        <v>217</v>
      </c>
      <c r="C185" s="134"/>
      <c r="D185" s="134"/>
      <c r="E185" s="134"/>
      <c r="F185" s="134"/>
    </row>
    <row r="186" spans="2:6" ht="15.75">
      <c r="B186" s="134" t="s">
        <v>218</v>
      </c>
      <c r="C186" s="134"/>
      <c r="D186" s="134"/>
      <c r="E186" s="134"/>
      <c r="F186" s="134"/>
    </row>
    <row r="187" spans="2:6" ht="15.75">
      <c r="B187" s="135"/>
      <c r="C187" s="134"/>
      <c r="D187" s="134"/>
      <c r="E187" s="134"/>
      <c r="F187" s="134"/>
    </row>
    <row r="188" spans="2:6">
      <c r="B188" s="135"/>
      <c r="C188" s="135"/>
      <c r="D188" s="135"/>
      <c r="E188" s="135"/>
      <c r="F188" s="135"/>
    </row>
    <row r="189" spans="2:6">
      <c r="B189" s="135" t="s">
        <v>219</v>
      </c>
      <c r="C189" s="135"/>
      <c r="D189" s="135"/>
      <c r="E189" s="135"/>
      <c r="F189" s="135"/>
    </row>
    <row r="190" spans="2:6">
      <c r="B190" s="135"/>
      <c r="C190" s="135"/>
      <c r="D190" s="135"/>
      <c r="E190" s="135"/>
      <c r="F190" s="135"/>
    </row>
    <row r="191" spans="2:6">
      <c r="B191" s="135"/>
      <c r="C191" s="135"/>
      <c r="D191" s="135"/>
      <c r="E191" s="135"/>
      <c r="F191" s="135"/>
    </row>
    <row r="192" spans="2:6">
      <c r="B192" s="135"/>
      <c r="C192" s="135"/>
      <c r="D192" s="135"/>
      <c r="E192" s="135"/>
      <c r="F192" s="135"/>
    </row>
    <row r="193" spans="2:6">
      <c r="B193" s="135"/>
      <c r="C193" s="135"/>
      <c r="D193" s="135"/>
      <c r="E193" s="135"/>
      <c r="F193" s="135"/>
    </row>
    <row r="194" spans="2:6" ht="15.75">
      <c r="B194" s="136" t="s">
        <v>220</v>
      </c>
      <c r="C194" s="135"/>
      <c r="D194" s="135"/>
      <c r="E194" s="135"/>
      <c r="F194" s="135"/>
    </row>
    <row r="195" spans="2:6" ht="15.75">
      <c r="B195" s="136" t="s">
        <v>221</v>
      </c>
      <c r="C195" s="135"/>
      <c r="D195" s="135"/>
      <c r="E195" s="135"/>
      <c r="F195" s="135"/>
    </row>
    <row r="196" spans="2:6" ht="15.75">
      <c r="B196" s="136"/>
      <c r="C196" s="135"/>
      <c r="D196" s="135"/>
      <c r="E196" s="135"/>
      <c r="F196" s="135"/>
    </row>
    <row r="197" spans="2:6">
      <c r="B197" s="135"/>
      <c r="C197" s="135"/>
      <c r="D197" s="135"/>
      <c r="E197" s="135"/>
      <c r="F197" s="135"/>
    </row>
    <row r="198" spans="2:6">
      <c r="B198" s="135"/>
      <c r="C198" s="135"/>
      <c r="D198" s="135"/>
      <c r="E198" s="135"/>
      <c r="F198" s="135"/>
    </row>
    <row r="199" spans="2:6">
      <c r="B199" s="135"/>
      <c r="C199" s="135"/>
      <c r="D199" s="135"/>
      <c r="E199" s="135"/>
      <c r="F199" s="135"/>
    </row>
    <row r="200" spans="2:6">
      <c r="B200" s="135"/>
      <c r="C200" s="135"/>
      <c r="D200" s="135"/>
      <c r="E200" s="135"/>
      <c r="F200" s="135"/>
    </row>
    <row r="201" spans="2:6">
      <c r="B201" s="135"/>
      <c r="C201" s="135"/>
      <c r="D201" s="135"/>
      <c r="E201" s="135"/>
      <c r="F201" s="135"/>
    </row>
    <row r="202" spans="2:6">
      <c r="B202" s="135"/>
      <c r="C202" s="135"/>
      <c r="D202" s="135"/>
      <c r="E202" s="135"/>
      <c r="F202" s="135"/>
    </row>
    <row r="203" spans="2:6">
      <c r="B203" s="135"/>
      <c r="C203" s="135"/>
      <c r="D203" s="135"/>
      <c r="E203" s="135"/>
      <c r="F203" s="135"/>
    </row>
    <row r="204" spans="2:6">
      <c r="B204" s="135"/>
      <c r="C204" s="135"/>
      <c r="D204" s="135"/>
      <c r="E204" s="135"/>
      <c r="F204" s="135"/>
    </row>
    <row r="205" spans="2:6">
      <c r="B205" s="135"/>
      <c r="C205" s="135"/>
      <c r="D205" s="135"/>
      <c r="E205" s="135"/>
      <c r="F205" s="135"/>
    </row>
    <row r="206" spans="2:6">
      <c r="B206" s="135"/>
      <c r="C206" s="135"/>
      <c r="D206" s="135"/>
      <c r="E206" s="135"/>
      <c r="F206" s="135"/>
    </row>
    <row r="207" spans="2:6">
      <c r="B207" s="135"/>
      <c r="C207" s="135"/>
      <c r="D207" s="135"/>
      <c r="E207" s="135"/>
      <c r="F207" s="135"/>
    </row>
    <row r="208" spans="2:6">
      <c r="B208" s="135"/>
      <c r="C208" s="135"/>
      <c r="D208" s="135"/>
      <c r="E208" s="135"/>
      <c r="F208" s="135"/>
    </row>
    <row r="209" spans="2:6">
      <c r="B209" s="135"/>
      <c r="C209" s="135"/>
      <c r="D209" s="135"/>
      <c r="E209" s="135"/>
      <c r="F209" s="135"/>
    </row>
    <row r="210" spans="2:6">
      <c r="B210" s="135"/>
      <c r="C210" s="168" t="s">
        <v>53</v>
      </c>
      <c r="D210" s="168" t="s">
        <v>56</v>
      </c>
      <c r="E210" s="135"/>
      <c r="F210" s="135"/>
    </row>
    <row r="211" spans="2:6">
      <c r="B211" s="135"/>
      <c r="C211" s="168" t="s">
        <v>55</v>
      </c>
      <c r="D211" s="168" t="s">
        <v>57</v>
      </c>
      <c r="E211" s="135"/>
      <c r="F211" s="135"/>
    </row>
    <row r="212" spans="2:6">
      <c r="B212" s="135"/>
      <c r="C212" s="168" t="s">
        <v>54</v>
      </c>
      <c r="D212" s="168" t="s">
        <v>58</v>
      </c>
      <c r="E212" s="135"/>
      <c r="F212" s="135"/>
    </row>
    <row r="213" spans="2:6">
      <c r="B213" s="135"/>
      <c r="C213" s="135"/>
      <c r="D213" s="135"/>
      <c r="E213" s="135"/>
      <c r="F213" s="135"/>
    </row>
    <row r="214" spans="2:6" ht="15.75">
      <c r="B214" s="169" t="s">
        <v>71</v>
      </c>
      <c r="C214" s="169"/>
      <c r="D214" s="146"/>
      <c r="E214" s="146"/>
      <c r="F214" s="146"/>
    </row>
    <row r="215" spans="2:6" ht="15.75">
      <c r="B215" s="169"/>
      <c r="C215" s="169"/>
      <c r="D215" s="146"/>
      <c r="E215" s="146"/>
      <c r="F215" s="146"/>
    </row>
    <row r="216" spans="2:6" ht="15.75">
      <c r="B216" s="169"/>
      <c r="C216" s="169"/>
      <c r="D216" s="170"/>
      <c r="E216" s="146"/>
      <c r="F216" s="146"/>
    </row>
    <row r="217" spans="2:6" ht="15.75">
      <c r="B217" s="169"/>
      <c r="C217" s="169"/>
      <c r="D217" s="170"/>
      <c r="E217" s="146"/>
      <c r="F217" s="146"/>
    </row>
    <row r="218" spans="2:6">
      <c r="B218" s="220" t="s">
        <v>43</v>
      </c>
      <c r="C218" s="220"/>
      <c r="D218" s="220"/>
      <c r="E218" s="220"/>
      <c r="F218" s="220"/>
    </row>
    <row r="219" spans="2:6" ht="15.75">
      <c r="B219" s="169" t="s">
        <v>41</v>
      </c>
      <c r="C219" s="169"/>
      <c r="D219" s="170"/>
      <c r="E219" s="146"/>
      <c r="F219" s="146"/>
    </row>
    <row r="220" spans="2:6" ht="15.75">
      <c r="B220" s="169" t="s">
        <v>44</v>
      </c>
      <c r="C220" s="169"/>
      <c r="D220" s="146"/>
      <c r="E220" s="146"/>
      <c r="F220" s="146"/>
    </row>
    <row r="221" spans="2:6" ht="15.75">
      <c r="B221" s="169" t="s">
        <v>42</v>
      </c>
      <c r="C221" s="169"/>
      <c r="D221" s="146"/>
      <c r="E221" s="146"/>
      <c r="F221" s="146"/>
    </row>
    <row r="222" spans="2:6" ht="15.75">
      <c r="B222" s="146"/>
      <c r="C222" s="169"/>
      <c r="D222" s="146"/>
      <c r="E222" s="146"/>
      <c r="F222" s="146"/>
    </row>
    <row r="223" spans="2:6" ht="15.75">
      <c r="B223" s="169"/>
      <c r="C223" s="169"/>
      <c r="D223" s="146"/>
      <c r="E223" s="146"/>
      <c r="F223" s="146"/>
    </row>
    <row r="224" spans="2:6" ht="15.75">
      <c r="B224" s="169"/>
      <c r="C224" s="169"/>
      <c r="D224" s="146"/>
      <c r="E224" s="146"/>
      <c r="F224" s="146"/>
    </row>
    <row r="225" spans="2:6" ht="15.75">
      <c r="B225" s="219" t="s">
        <v>70</v>
      </c>
      <c r="C225" s="219"/>
      <c r="D225" s="219"/>
      <c r="E225" s="219"/>
      <c r="F225" s="219"/>
    </row>
    <row r="226" spans="2:6" ht="15.75">
      <c r="B226" s="171" t="s">
        <v>226</v>
      </c>
      <c r="C226" s="171"/>
      <c r="D226" s="171"/>
      <c r="E226" s="171"/>
      <c r="F226" s="171"/>
    </row>
    <row r="227" spans="2:6" ht="15.75">
      <c r="B227" s="169" t="s">
        <v>250</v>
      </c>
      <c r="C227" s="169"/>
      <c r="D227" s="162"/>
      <c r="E227" s="162"/>
      <c r="F227" s="146"/>
    </row>
    <row r="228" spans="2:6" ht="15.75">
      <c r="B228" s="169" t="s">
        <v>45</v>
      </c>
      <c r="C228" s="169"/>
      <c r="D228" s="158"/>
      <c r="E228" s="162"/>
      <c r="F228" s="146"/>
    </row>
    <row r="229" spans="2:6" ht="15.75">
      <c r="B229" s="169" t="s">
        <v>46</v>
      </c>
      <c r="C229" s="169"/>
      <c r="D229" s="146"/>
      <c r="E229" s="146"/>
      <c r="F229" s="146"/>
    </row>
    <row r="230" spans="2:6" ht="15.75">
      <c r="B230" s="169" t="s">
        <v>47</v>
      </c>
      <c r="C230" s="169"/>
      <c r="D230" s="146"/>
      <c r="E230" s="146"/>
      <c r="F230" s="146"/>
    </row>
    <row r="231" spans="2:6" ht="15.75">
      <c r="B231" s="169" t="s">
        <v>252</v>
      </c>
      <c r="C231" s="169"/>
      <c r="D231" s="146"/>
      <c r="E231" s="146"/>
      <c r="F231" s="146"/>
    </row>
    <row r="232" spans="2:6" ht="15.75" customHeight="1">
      <c r="B232" s="169" t="s">
        <v>253</v>
      </c>
      <c r="C232" s="169"/>
      <c r="D232" s="146"/>
      <c r="E232" s="146"/>
      <c r="F232" s="146"/>
    </row>
    <row r="233" spans="2:6" ht="15.75" customHeight="1">
      <c r="B233" s="169" t="s">
        <v>254</v>
      </c>
      <c r="C233" s="169"/>
      <c r="D233" s="146"/>
      <c r="E233" s="146"/>
      <c r="F233" s="146"/>
    </row>
    <row r="234" spans="2:6" ht="15.75" customHeight="1">
      <c r="B234" s="169" t="s">
        <v>255</v>
      </c>
      <c r="C234" s="169"/>
      <c r="D234" s="146"/>
      <c r="E234" s="146"/>
      <c r="F234" s="146"/>
    </row>
    <row r="235" spans="2:6" ht="15.75">
      <c r="B235" s="169" t="s">
        <v>256</v>
      </c>
      <c r="C235" s="169"/>
      <c r="D235" s="146"/>
      <c r="E235" s="146"/>
      <c r="F235" s="146"/>
    </row>
    <row r="236" spans="2:6" ht="15.75">
      <c r="B236" s="169"/>
      <c r="C236" s="169"/>
      <c r="D236" s="146"/>
      <c r="E236" s="146"/>
      <c r="F236" s="146"/>
    </row>
    <row r="237" spans="2:6" ht="15.75">
      <c r="B237" s="169"/>
      <c r="C237" s="169"/>
      <c r="D237" s="146"/>
      <c r="E237" s="146"/>
      <c r="F237" s="146"/>
    </row>
    <row r="238" spans="2:6" ht="15.75">
      <c r="B238" s="146"/>
      <c r="C238" s="169"/>
      <c r="D238" s="146"/>
      <c r="E238" s="146"/>
      <c r="F238" s="146"/>
    </row>
    <row r="239" spans="2:6" ht="15.75">
      <c r="B239" s="169" t="s">
        <v>40</v>
      </c>
      <c r="C239" s="169"/>
      <c r="D239" s="146"/>
      <c r="E239" s="146"/>
      <c r="F239" s="146"/>
    </row>
    <row r="240" spans="2:6" ht="15.75">
      <c r="B240" s="169" t="s">
        <v>251</v>
      </c>
      <c r="C240" s="169"/>
      <c r="D240" s="146"/>
      <c r="E240" s="146"/>
      <c r="F240" s="146"/>
    </row>
    <row r="241" spans="2:6" ht="15.75">
      <c r="B241" s="169" t="s">
        <v>87</v>
      </c>
      <c r="C241" s="169"/>
      <c r="D241" s="146"/>
      <c r="E241" s="146"/>
      <c r="F241" s="146"/>
    </row>
    <row r="242" spans="2:6" ht="15.75">
      <c r="B242" s="169" t="s">
        <v>72</v>
      </c>
      <c r="C242" s="135"/>
      <c r="D242" s="135"/>
      <c r="E242" s="135"/>
      <c r="F242" s="135"/>
    </row>
    <row r="243" spans="2:6" ht="15.75">
      <c r="B243" s="169" t="s">
        <v>76</v>
      </c>
      <c r="C243" s="135"/>
      <c r="D243" s="135"/>
      <c r="E243" s="135"/>
      <c r="F243" s="135"/>
    </row>
    <row r="244" spans="2:6">
      <c r="B244" s="135"/>
      <c r="C244" s="135"/>
      <c r="D244" s="135"/>
      <c r="E244" s="135"/>
      <c r="F244" s="135"/>
    </row>
    <row r="245" spans="2:6">
      <c r="B245" s="135"/>
      <c r="C245" s="135"/>
      <c r="D245" s="135"/>
      <c r="E245" s="135"/>
      <c r="F245" s="135"/>
    </row>
    <row r="246" spans="2:6">
      <c r="B246" s="85"/>
      <c r="C246" s="85"/>
      <c r="D246" s="85"/>
      <c r="E246" s="85"/>
      <c r="F246" s="85"/>
    </row>
    <row r="247" spans="2:6">
      <c r="B247" s="85"/>
      <c r="C247" s="85"/>
      <c r="D247" s="85"/>
      <c r="E247" s="85"/>
      <c r="F247" s="85"/>
    </row>
    <row r="248" spans="2:6">
      <c r="B248" s="85"/>
      <c r="C248" s="85"/>
      <c r="D248" s="85"/>
      <c r="E248" s="85"/>
      <c r="F248" s="85"/>
    </row>
    <row r="249" spans="2:6">
      <c r="B249" s="85"/>
      <c r="C249" s="85"/>
      <c r="D249" s="85"/>
      <c r="E249" s="85"/>
      <c r="F249" s="85"/>
    </row>
    <row r="250" spans="2:6">
      <c r="B250" s="85"/>
      <c r="C250" s="85"/>
      <c r="D250" s="85"/>
      <c r="E250" s="85"/>
      <c r="F250" s="85"/>
    </row>
    <row r="251" spans="2:6">
      <c r="B251" s="85"/>
      <c r="C251" s="85"/>
      <c r="D251" s="85"/>
      <c r="E251" s="85"/>
      <c r="F251" s="85"/>
    </row>
    <row r="252" spans="2:6">
      <c r="B252" s="85"/>
      <c r="C252" s="85"/>
      <c r="D252" s="85"/>
      <c r="E252" s="85"/>
      <c r="F252" s="85"/>
    </row>
    <row r="253" spans="2:6">
      <c r="B253" s="85"/>
      <c r="C253" s="85"/>
      <c r="D253" s="85"/>
      <c r="E253" s="85"/>
      <c r="F253" s="85"/>
    </row>
    <row r="254" spans="2:6">
      <c r="B254" s="85"/>
      <c r="C254" s="85"/>
      <c r="D254" s="85"/>
      <c r="E254" s="85"/>
      <c r="F254" s="85"/>
    </row>
    <row r="255" spans="2:6">
      <c r="B255" s="85"/>
      <c r="C255" s="85"/>
      <c r="D255" s="85"/>
      <c r="E255" s="85"/>
      <c r="F255" s="85"/>
    </row>
    <row r="256" spans="2:6">
      <c r="B256" s="85"/>
      <c r="C256" s="85"/>
      <c r="D256" s="85"/>
      <c r="E256" s="85"/>
      <c r="F256" s="85"/>
    </row>
    <row r="257" spans="2:6">
      <c r="B257" s="85"/>
      <c r="C257" s="85"/>
      <c r="D257" s="85"/>
      <c r="E257" s="85"/>
      <c r="F257" s="85"/>
    </row>
    <row r="258" spans="2:6">
      <c r="B258" s="85"/>
      <c r="C258" s="85"/>
      <c r="D258" s="85"/>
      <c r="E258" s="85"/>
      <c r="F258" s="85"/>
    </row>
    <row r="259" spans="2:6">
      <c r="B259" s="85"/>
      <c r="C259" s="85"/>
      <c r="D259" s="85"/>
      <c r="E259" s="85"/>
      <c r="F259" s="85"/>
    </row>
    <row r="260" spans="2:6">
      <c r="B260" s="85"/>
      <c r="C260" s="85"/>
      <c r="D260" s="85"/>
      <c r="E260" s="85"/>
      <c r="F260" s="85"/>
    </row>
    <row r="261" spans="2:6">
      <c r="B261" s="85"/>
      <c r="C261" s="85"/>
      <c r="D261" s="85"/>
      <c r="E261" s="85"/>
      <c r="F261" s="85"/>
    </row>
    <row r="262" spans="2:6">
      <c r="B262" s="85"/>
      <c r="C262" s="85"/>
      <c r="D262" s="85"/>
      <c r="E262" s="85"/>
      <c r="F262" s="85"/>
    </row>
    <row r="263" spans="2:6">
      <c r="B263" s="85"/>
      <c r="C263" s="85"/>
      <c r="D263" s="85"/>
      <c r="E263" s="85"/>
      <c r="F263" s="85"/>
    </row>
    <row r="264" spans="2:6">
      <c r="B264" s="85"/>
      <c r="C264" s="85"/>
      <c r="D264" s="85"/>
      <c r="E264" s="85"/>
      <c r="F264" s="85"/>
    </row>
    <row r="265" spans="2:6">
      <c r="B265" s="85"/>
      <c r="C265" s="85"/>
      <c r="D265" s="85"/>
      <c r="E265" s="85"/>
      <c r="F265" s="85"/>
    </row>
    <row r="266" spans="2:6">
      <c r="B266" s="85"/>
      <c r="C266" s="85"/>
      <c r="D266" s="85"/>
      <c r="E266" s="85"/>
      <c r="F266" s="85"/>
    </row>
    <row r="267" spans="2:6">
      <c r="B267" s="85"/>
      <c r="C267" s="85"/>
      <c r="D267" s="85"/>
      <c r="E267" s="85"/>
      <c r="F267" s="85"/>
    </row>
    <row r="268" spans="2:6">
      <c r="B268" s="85"/>
      <c r="C268" s="85"/>
      <c r="D268" s="85"/>
      <c r="E268" s="85"/>
      <c r="F268" s="85"/>
    </row>
    <row r="269" spans="2:6">
      <c r="B269" s="85"/>
      <c r="C269" s="85"/>
      <c r="D269" s="85"/>
      <c r="E269" s="85"/>
      <c r="F269" s="85"/>
    </row>
    <row r="270" spans="2:6">
      <c r="B270" s="85"/>
      <c r="C270" s="85"/>
      <c r="D270" s="85"/>
      <c r="E270" s="85"/>
      <c r="F270" s="85"/>
    </row>
    <row r="271" spans="2:6">
      <c r="F271" s="85"/>
    </row>
    <row r="272" spans="2:6">
      <c r="F272" s="85"/>
    </row>
    <row r="273" spans="6:6">
      <c r="F273" s="85"/>
    </row>
    <row r="274" spans="6:6">
      <c r="F274" s="85"/>
    </row>
    <row r="275" spans="6:6">
      <c r="F275" s="85"/>
    </row>
    <row r="276" spans="6:6" ht="11.25" customHeight="1">
      <c r="F276" s="85"/>
    </row>
    <row r="277" spans="6:6">
      <c r="F277" s="85"/>
    </row>
    <row r="278" spans="6:6">
      <c r="F278" s="85"/>
    </row>
  </sheetData>
  <sheetProtection selectLockedCells="1"/>
  <protectedRanges>
    <protectedRange sqref="E5 E37 E7:E9" name="Intervallo1_3"/>
    <protectedRange sqref="C32:E32 B216:D219 C35:E36" name="Intervallo2_3"/>
    <protectedRange sqref="E17:E19 E21" name="Intervallo1"/>
  </protectedRanges>
  <mergeCells count="37">
    <mergeCell ref="C134:E134"/>
    <mergeCell ref="C133:E133"/>
    <mergeCell ref="D156:E156"/>
    <mergeCell ref="D150:E150"/>
    <mergeCell ref="D152:E152"/>
    <mergeCell ref="D25:E25"/>
    <mergeCell ref="B1:F1"/>
    <mergeCell ref="B49:C49"/>
    <mergeCell ref="B52:C52"/>
    <mergeCell ref="D83:E83"/>
    <mergeCell ref="C70:E70"/>
    <mergeCell ref="C71:E71"/>
    <mergeCell ref="D105:E105"/>
    <mergeCell ref="B31:B32"/>
    <mergeCell ref="B34:B35"/>
    <mergeCell ref="D85:E85"/>
    <mergeCell ref="B90:B110"/>
    <mergeCell ref="C110:E110"/>
    <mergeCell ref="D107:E107"/>
    <mergeCell ref="C87:E87"/>
    <mergeCell ref="B72:B87"/>
    <mergeCell ref="D109:E109"/>
    <mergeCell ref="H89:J89"/>
    <mergeCell ref="C88:E88"/>
    <mergeCell ref="C89:E89"/>
    <mergeCell ref="B111:D111"/>
    <mergeCell ref="B225:F225"/>
    <mergeCell ref="B218:F218"/>
    <mergeCell ref="C157:E157"/>
    <mergeCell ref="B158:D158"/>
    <mergeCell ref="B114:B131"/>
    <mergeCell ref="D129:E129"/>
    <mergeCell ref="B132:D132"/>
    <mergeCell ref="B135:B157"/>
    <mergeCell ref="C130:E131"/>
    <mergeCell ref="C112:E112"/>
    <mergeCell ref="C113:E113"/>
  </mergeCells>
  <conditionalFormatting sqref="D83:E83 D85 D107:D108 D154">
    <cfRule type="cellIs" dxfId="47" priority="64" operator="equal">
      <formula>"verificato 1/250"</formula>
    </cfRule>
    <cfRule type="cellIs" dxfId="46" priority="65" operator="equal">
      <formula>"verificato 1/250"</formula>
    </cfRule>
  </conditionalFormatting>
  <conditionalFormatting sqref="D150:E150">
    <cfRule type="cellIs" dxfId="45" priority="60" operator="equal">
      <formula>"verificato 1/250"</formula>
    </cfRule>
    <cfRule type="cellIs" dxfId="44" priority="61" operator="equal">
      <formula>"verificato 1/250"</formula>
    </cfRule>
  </conditionalFormatting>
  <conditionalFormatting sqref="D105:E105 D106">
    <cfRule type="cellIs" dxfId="43" priority="62" operator="equal">
      <formula>"verificato 1/250"</formula>
    </cfRule>
    <cfRule type="cellIs" dxfId="42" priority="63" operator="equal">
      <formula>"verificato 1/250"</formula>
    </cfRule>
  </conditionalFormatting>
  <conditionalFormatting sqref="D85:E85">
    <cfRule type="cellIs" dxfId="41" priority="58" operator="equal">
      <formula>" VERIFICATO"</formula>
    </cfRule>
    <cfRule type="cellIs" dxfId="40" priority="59" operator="equal">
      <formula>"VERIFICATO"</formula>
    </cfRule>
  </conditionalFormatting>
  <conditionalFormatting sqref="D152:E152">
    <cfRule type="cellIs" dxfId="39" priority="50" operator="equal">
      <formula>" VERIFICATO"</formula>
    </cfRule>
    <cfRule type="cellIs" dxfId="38" priority="51" operator="equal">
      <formula>"VERIFICATO"</formula>
    </cfRule>
  </conditionalFormatting>
  <conditionalFormatting sqref="D107:E107 D108">
    <cfRule type="cellIs" dxfId="37" priority="54" operator="equal">
      <formula>" VERIFICATO"</formula>
    </cfRule>
    <cfRule type="cellIs" dxfId="36" priority="55" operator="equal">
      <formula>"VERIFICATO"</formula>
    </cfRule>
  </conditionalFormatting>
  <conditionalFormatting sqref="D152">
    <cfRule type="cellIs" dxfId="35" priority="52" operator="equal">
      <formula>"verificato 1/250"</formula>
    </cfRule>
    <cfRule type="cellIs" dxfId="34" priority="53" operator="equal">
      <formula>"verificato 1/250"</formula>
    </cfRule>
  </conditionalFormatting>
  <conditionalFormatting sqref="D109:E109">
    <cfRule type="cellIs" dxfId="33" priority="42" operator="equal">
      <formula>" VERIFICATO"</formula>
    </cfRule>
    <cfRule type="cellIs" dxfId="32" priority="43" operator="equal">
      <formula>"VERIFICATO"</formula>
    </cfRule>
  </conditionalFormatting>
  <conditionalFormatting sqref="D154">
    <cfRule type="cellIs" dxfId="31" priority="46" operator="equal">
      <formula>" VERIFICATO"</formula>
    </cfRule>
    <cfRule type="cellIs" dxfId="30" priority="47" operator="equal">
      <formula>"VERIFICATO"</formula>
    </cfRule>
  </conditionalFormatting>
  <conditionalFormatting sqref="D109">
    <cfRule type="cellIs" dxfId="29" priority="44" operator="equal">
      <formula>"verificato 1/250"</formula>
    </cfRule>
    <cfRule type="cellIs" dxfId="28" priority="45" operator="equal">
      <formula>"verificato 1/250"</formula>
    </cfRule>
  </conditionalFormatting>
  <conditionalFormatting sqref="D126">
    <cfRule type="cellIs" dxfId="27" priority="31" operator="equal">
      <formula>"verificato 1/250"</formula>
    </cfRule>
    <cfRule type="cellIs" dxfId="26" priority="32" operator="equal">
      <formula>"verificato 1/250"</formula>
    </cfRule>
  </conditionalFormatting>
  <conditionalFormatting sqref="D126">
    <cfRule type="cellIs" dxfId="25" priority="27" operator="equal">
      <formula>" VERIFICATO"</formula>
    </cfRule>
    <cfRule type="cellIs" dxfId="24" priority="28" operator="equal">
      <formula>"VERIFICATO"</formula>
    </cfRule>
  </conditionalFormatting>
  <conditionalFormatting sqref="D129:E129">
    <cfRule type="cellIs" dxfId="23" priority="8" operator="equal">
      <formula>" VERIFICATO"</formula>
    </cfRule>
    <cfRule type="cellIs" dxfId="22" priority="9" operator="equal">
      <formula>"VERIFICATO"</formula>
    </cfRule>
  </conditionalFormatting>
  <conditionalFormatting sqref="D129">
    <cfRule type="cellIs" dxfId="21" priority="10" operator="equal">
      <formula>"verificato 1/250"</formula>
    </cfRule>
    <cfRule type="cellIs" dxfId="20" priority="11" operator="equal">
      <formula>"verificato 1/250"</formula>
    </cfRule>
  </conditionalFormatting>
  <conditionalFormatting sqref="D156:E156">
    <cfRule type="cellIs" dxfId="19" priority="4" operator="equal">
      <formula>" VERIFICATO"</formula>
    </cfRule>
    <cfRule type="cellIs" dxfId="18" priority="5" operator="equal">
      <formula>"VERIFICATO"</formula>
    </cfRule>
  </conditionalFormatting>
  <conditionalFormatting sqref="D156">
    <cfRule type="cellIs" dxfId="17" priority="6" operator="equal">
      <formula>"verificato 1/250"</formula>
    </cfRule>
    <cfRule type="cellIs" dxfId="16" priority="7" operator="equal">
      <formula>"verificato 1/250"</formula>
    </cfRule>
  </conditionalFormatting>
  <conditionalFormatting sqref="D49">
    <cfRule type="expression" dxfId="15" priority="3">
      <formula>IF($E$5=$E$6,FALSE,TRUE)</formula>
    </cfRule>
  </conditionalFormatting>
  <conditionalFormatting sqref="F49">
    <cfRule type="expression" dxfId="14" priority="2">
      <formula>IF($E$5=$E$6,FALSE,TRUE)</formula>
    </cfRule>
  </conditionalFormatting>
  <conditionalFormatting sqref="E49">
    <cfRule type="expression" dxfId="13" priority="1">
      <formula>IF($E$5=$E$6,TRUE,FALSE)</formula>
    </cfRule>
  </conditionalFormatting>
  <dataValidations count="7">
    <dataValidation type="list" allowBlank="1" showInputMessage="1" showErrorMessage="1" sqref="E158 E132 E111" xr:uid="{00000000-0002-0000-0100-000000000000}">
      <formula1>SN</formula1>
    </dataValidation>
    <dataValidation type="list" allowBlank="1" showInputMessage="1" showErrorMessage="1" sqref="C91" xr:uid="{00000000-0002-0000-0100-000001000000}">
      <formula1>cari</formula1>
    </dataValidation>
    <dataValidation type="list" allowBlank="1" showInputMessage="1" showErrorMessage="1" sqref="E11" xr:uid="{00000000-0002-0000-0100-000002000000}">
      <formula1>clas</formula1>
    </dataValidation>
    <dataValidation type="list" allowBlank="1" showInputMessage="1" showErrorMessage="1" sqref="E12" xr:uid="{00000000-0002-0000-0100-000003000000}">
      <formula1>fe</formula1>
    </dataValidation>
    <dataValidation type="list" allowBlank="1" showInputMessage="1" showErrorMessage="1" sqref="C151" xr:uid="{00000000-0002-0000-0100-000004000000}">
      <formula1>sigc</formula1>
    </dataValidation>
    <dataValidation type="list" allowBlank="1" showInputMessage="1" showErrorMessage="1" sqref="C153" xr:uid="{00000000-0002-0000-0100-000005000000}">
      <formula1>sigs</formula1>
    </dataValidation>
    <dataValidation type="list" allowBlank="1" showInputMessage="1" showErrorMessage="1" sqref="D25" xr:uid="{00000000-0002-0000-0100-000006000000}">
      <formula1>ca</formula1>
    </dataValidation>
  </dataValidations>
  <pageMargins left="0.25" right="0.25" top="0.75" bottom="0.75" header="0.3" footer="0.3"/>
  <pageSetup paperSize="9" scale="2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65CE8-1527-4E41-AE6F-5B8ABF62DAA6}">
  <dimension ref="A1"/>
  <sheetViews>
    <sheetView workbookViewId="0">
      <selection sqref="A1:C17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/>
  <dimension ref="B2:J62"/>
  <sheetViews>
    <sheetView showGridLines="0" showRowColHeaders="0" topLeftCell="A43" zoomScale="110" zoomScaleNormal="110" workbookViewId="0">
      <selection activeCell="E58" sqref="E58"/>
    </sheetView>
  </sheetViews>
  <sheetFormatPr defaultRowHeight="15"/>
  <cols>
    <col min="1" max="1" width="3.28515625" customWidth="1"/>
  </cols>
  <sheetData>
    <row r="2" spans="2:5">
      <c r="B2" s="111" t="s">
        <v>241</v>
      </c>
      <c r="C2" s="85"/>
      <c r="D2" s="85"/>
      <c r="E2" s="85"/>
    </row>
    <row r="3" spans="2:5">
      <c r="B3" s="111" t="s">
        <v>152</v>
      </c>
      <c r="C3" s="85"/>
      <c r="D3" s="85"/>
      <c r="E3" s="85"/>
    </row>
    <row r="4" spans="2:5">
      <c r="B4" s="111"/>
      <c r="C4" s="111"/>
      <c r="D4" s="111"/>
      <c r="E4" s="111"/>
    </row>
    <row r="5" spans="2:5" ht="15.75">
      <c r="B5" s="116" t="s">
        <v>48</v>
      </c>
      <c r="C5" s="85"/>
      <c r="D5" s="85"/>
      <c r="E5" s="85"/>
    </row>
    <row r="6" spans="2:5" ht="15.75">
      <c r="B6" s="116" t="s">
        <v>49</v>
      </c>
      <c r="C6" s="85"/>
      <c r="D6" s="85"/>
      <c r="E6" s="85"/>
    </row>
    <row r="7" spans="2:5" ht="15.75">
      <c r="B7" s="116" t="s">
        <v>52</v>
      </c>
      <c r="C7" s="85"/>
      <c r="D7" s="85"/>
      <c r="E7" s="85"/>
    </row>
    <row r="8" spans="2:5" ht="15.75">
      <c r="B8" s="116" t="s">
        <v>51</v>
      </c>
      <c r="C8" s="85"/>
      <c r="D8" s="85"/>
      <c r="E8" s="85"/>
    </row>
    <row r="9" spans="2:5" ht="15.75">
      <c r="B9" s="116" t="s">
        <v>50</v>
      </c>
      <c r="C9" s="85"/>
      <c r="D9" s="85"/>
      <c r="E9" s="85"/>
    </row>
    <row r="10" spans="2:5" ht="15.75">
      <c r="B10" s="116" t="s">
        <v>59</v>
      </c>
      <c r="C10" s="85"/>
      <c r="D10" s="85"/>
      <c r="E10" s="85"/>
    </row>
    <row r="11" spans="2:5" ht="15.75">
      <c r="B11" s="116" t="s">
        <v>60</v>
      </c>
      <c r="C11" s="85"/>
      <c r="D11" s="85"/>
      <c r="E11" s="85"/>
    </row>
    <row r="12" spans="2:5" ht="15.75">
      <c r="B12" s="116" t="s">
        <v>61</v>
      </c>
      <c r="C12" s="85"/>
      <c r="D12" s="85"/>
      <c r="E12" s="85"/>
    </row>
    <row r="13" spans="2:5" ht="15.75">
      <c r="B13" s="116" t="s">
        <v>62</v>
      </c>
      <c r="C13" s="85"/>
      <c r="D13" s="85"/>
      <c r="E13" s="85"/>
    </row>
    <row r="14" spans="2:5" ht="15.75">
      <c r="B14" s="116" t="s">
        <v>63</v>
      </c>
      <c r="C14" s="85"/>
      <c r="D14" s="85"/>
      <c r="E14" s="85"/>
    </row>
    <row r="15" spans="2:5" ht="15.75">
      <c r="B15" s="116"/>
      <c r="C15" s="85"/>
      <c r="D15" s="85"/>
      <c r="E15" s="85"/>
    </row>
    <row r="16" spans="2:5" ht="15.75">
      <c r="B16" s="116"/>
      <c r="C16" s="117" t="s">
        <v>53</v>
      </c>
      <c r="D16" s="117" t="s">
        <v>56</v>
      </c>
      <c r="E16" s="85"/>
    </row>
    <row r="17" spans="2:5" ht="15.75">
      <c r="B17" s="116"/>
      <c r="C17" s="117" t="s">
        <v>55</v>
      </c>
      <c r="D17" s="117" t="s">
        <v>57</v>
      </c>
      <c r="E17" s="85"/>
    </row>
    <row r="18" spans="2:5" ht="15.75">
      <c r="B18" s="116"/>
      <c r="C18" s="117" t="s">
        <v>54</v>
      </c>
      <c r="D18" s="117" t="s">
        <v>58</v>
      </c>
      <c r="E18" s="85"/>
    </row>
    <row r="19" spans="2:5" ht="15.75">
      <c r="B19" s="116"/>
      <c r="C19" s="98"/>
      <c r="D19" s="98"/>
      <c r="E19" s="85"/>
    </row>
    <row r="20" spans="2:5">
      <c r="B20" s="85"/>
      <c r="C20" s="85"/>
      <c r="D20" s="85"/>
      <c r="E20" s="85"/>
    </row>
    <row r="21" spans="2:5">
      <c r="B21" s="85"/>
      <c r="C21" s="85"/>
      <c r="D21" s="85"/>
      <c r="E21" s="85"/>
    </row>
    <row r="22" spans="2:5">
      <c r="B22" s="85"/>
      <c r="C22" s="85"/>
      <c r="D22" s="85"/>
      <c r="E22" s="85"/>
    </row>
    <row r="23" spans="2:5">
      <c r="B23" s="85"/>
      <c r="C23" s="85"/>
      <c r="D23" s="85"/>
      <c r="E23" s="85"/>
    </row>
    <row r="24" spans="2:5">
      <c r="B24" s="85"/>
      <c r="C24" s="85"/>
      <c r="D24" s="85"/>
      <c r="E24" s="85"/>
    </row>
    <row r="25" spans="2:5">
      <c r="B25" s="85"/>
      <c r="C25" s="85"/>
      <c r="D25" s="85"/>
      <c r="E25" s="85"/>
    </row>
    <row r="26" spans="2:5">
      <c r="B26" s="85"/>
      <c r="C26" s="85"/>
      <c r="D26" s="85"/>
      <c r="E26" s="85"/>
    </row>
    <row r="27" spans="2:5">
      <c r="B27" s="85"/>
      <c r="C27" s="85"/>
      <c r="D27" s="85"/>
      <c r="E27" s="85"/>
    </row>
    <row r="28" spans="2:5">
      <c r="B28" s="85"/>
      <c r="C28" s="85"/>
      <c r="D28" s="85"/>
      <c r="E28" s="85"/>
    </row>
    <row r="29" spans="2:5">
      <c r="B29" s="85"/>
      <c r="C29" s="85"/>
      <c r="D29" s="85"/>
      <c r="E29" s="85"/>
    </row>
    <row r="30" spans="2:5">
      <c r="B30" s="85"/>
      <c r="C30" s="85"/>
      <c r="D30" s="85"/>
      <c r="E30" s="85"/>
    </row>
    <row r="31" spans="2:5">
      <c r="B31" s="85"/>
      <c r="C31" s="85"/>
      <c r="D31" s="85"/>
      <c r="E31" s="85"/>
    </row>
    <row r="32" spans="2:5">
      <c r="B32" s="85"/>
      <c r="C32" s="85"/>
      <c r="D32" s="85"/>
      <c r="E32" s="85"/>
    </row>
    <row r="33" spans="2:5">
      <c r="B33" s="85"/>
      <c r="C33" s="85"/>
      <c r="D33" s="85"/>
      <c r="E33" s="85"/>
    </row>
    <row r="34" spans="2:5">
      <c r="B34" s="85"/>
      <c r="C34" s="85"/>
      <c r="D34" s="85"/>
      <c r="E34" s="85"/>
    </row>
    <row r="35" spans="2:5">
      <c r="B35" s="85"/>
      <c r="C35" s="85"/>
      <c r="D35" s="85"/>
      <c r="E35" s="85"/>
    </row>
    <row r="36" spans="2:5">
      <c r="B36" s="85"/>
      <c r="C36" s="85"/>
      <c r="D36" s="85"/>
      <c r="E36" s="85"/>
    </row>
    <row r="37" spans="2:5">
      <c r="B37" s="85"/>
      <c r="C37" s="85"/>
      <c r="D37" s="85"/>
      <c r="E37" s="85"/>
    </row>
    <row r="38" spans="2:5">
      <c r="B38" s="85"/>
      <c r="C38" s="85"/>
      <c r="D38" s="85"/>
      <c r="E38" s="85"/>
    </row>
    <row r="39" spans="2:5">
      <c r="B39" s="85"/>
      <c r="C39" s="85"/>
      <c r="D39" s="85"/>
      <c r="E39" s="85"/>
    </row>
    <row r="40" spans="2:5">
      <c r="B40" s="85"/>
      <c r="C40" s="85"/>
      <c r="D40" s="85"/>
      <c r="E40" s="85"/>
    </row>
    <row r="41" spans="2:5">
      <c r="B41" s="85"/>
      <c r="C41" s="85"/>
      <c r="D41" s="85"/>
      <c r="E41" s="85"/>
    </row>
    <row r="42" spans="2:5">
      <c r="B42" s="85"/>
      <c r="C42" s="85"/>
      <c r="D42" s="85"/>
      <c r="E42" s="85"/>
    </row>
    <row r="43" spans="2:5">
      <c r="B43" s="85"/>
      <c r="C43" s="85"/>
      <c r="D43" s="85"/>
      <c r="E43" s="85"/>
    </row>
    <row r="44" spans="2:5">
      <c r="B44" s="85"/>
      <c r="C44" s="85"/>
      <c r="D44" s="85"/>
      <c r="E44" s="85"/>
    </row>
    <row r="45" spans="2:5">
      <c r="B45" s="85"/>
      <c r="C45" s="85"/>
      <c r="D45" s="85"/>
      <c r="E45" s="85"/>
    </row>
    <row r="46" spans="2:5">
      <c r="B46" s="85"/>
      <c r="C46" s="85"/>
      <c r="D46" s="85"/>
      <c r="E46" s="85"/>
    </row>
    <row r="47" spans="2:5">
      <c r="B47" s="85"/>
      <c r="C47" s="85"/>
      <c r="D47" s="85"/>
      <c r="E47" s="85"/>
    </row>
    <row r="48" spans="2:5">
      <c r="B48" s="85"/>
      <c r="C48" s="85"/>
      <c r="D48" s="85"/>
      <c r="E48" s="85"/>
    </row>
    <row r="49" spans="2:10">
      <c r="B49" s="85"/>
      <c r="C49" s="85"/>
      <c r="D49" s="85"/>
      <c r="E49" s="85"/>
    </row>
    <row r="50" spans="2:10">
      <c r="B50" s="85"/>
      <c r="C50" s="85"/>
      <c r="D50" s="85"/>
      <c r="E50" s="85"/>
    </row>
    <row r="51" spans="2:10">
      <c r="B51" s="194" t="s">
        <v>65</v>
      </c>
      <c r="C51" s="135"/>
      <c r="D51" s="135"/>
      <c r="E51" s="242" t="str">
        <f>'Verifica SLE'!D25</f>
        <v>ordinaria</v>
      </c>
      <c r="F51" s="242"/>
      <c r="G51" s="242"/>
      <c r="H51" s="135"/>
      <c r="I51" s="135"/>
      <c r="J51" s="135"/>
    </row>
    <row r="52" spans="2:10">
      <c r="B52" s="135"/>
      <c r="C52" s="135"/>
      <c r="D52" s="135"/>
      <c r="E52" s="135"/>
      <c r="F52" s="135"/>
      <c r="G52" s="135"/>
      <c r="H52" s="135"/>
      <c r="I52" s="135"/>
      <c r="J52" s="135"/>
    </row>
    <row r="53" spans="2:10">
      <c r="B53" s="194" t="s">
        <v>64</v>
      </c>
      <c r="C53" s="135"/>
      <c r="D53" s="135"/>
      <c r="E53" s="135"/>
      <c r="F53" s="135"/>
      <c r="G53" s="135"/>
      <c r="H53" s="135"/>
      <c r="I53" s="135"/>
      <c r="J53" s="135"/>
    </row>
    <row r="54" spans="2:10">
      <c r="B54" s="194"/>
      <c r="C54" s="135"/>
      <c r="D54" s="135"/>
      <c r="E54" s="135"/>
      <c r="F54" s="135"/>
      <c r="G54" s="135"/>
      <c r="H54" s="135"/>
      <c r="I54" s="135"/>
      <c r="J54" s="135"/>
    </row>
    <row r="55" spans="2:10">
      <c r="B55" s="195" t="s">
        <v>150</v>
      </c>
      <c r="C55" s="135"/>
      <c r="D55" s="135"/>
      <c r="E55" s="196">
        <f>'Verifica SLE'!E9</f>
        <v>30</v>
      </c>
      <c r="F55" s="135"/>
      <c r="G55" s="135"/>
      <c r="H55" s="135"/>
      <c r="I55" s="135"/>
      <c r="J55" s="135"/>
    </row>
    <row r="56" spans="2:10">
      <c r="B56" s="135"/>
      <c r="C56" s="135"/>
      <c r="D56" s="135"/>
      <c r="E56" s="135"/>
      <c r="F56" s="135"/>
      <c r="G56" s="135"/>
      <c r="H56" s="135"/>
      <c r="I56" s="135"/>
      <c r="J56" s="135"/>
    </row>
    <row r="57" spans="2:10">
      <c r="B57" s="195" t="s">
        <v>151</v>
      </c>
      <c r="C57" s="135"/>
      <c r="D57" s="135"/>
      <c r="E57" s="196">
        <f>('Verifica SLE'!E6-2*E55-'Verifica SLE'!C35*'Verifica SLE'!C34-'Verifica SLE'!D35*'Verifica SLE'!D34-'Verifica SLE'!E35*'Verifica SLE'!E34)/('Verifica SLE'!C35+'Verifica SLE'!D35+'Verifica SLE'!E35)</f>
        <v>8</v>
      </c>
      <c r="F57" s="135"/>
      <c r="G57" s="135"/>
      <c r="H57" s="135"/>
      <c r="I57" s="135"/>
      <c r="J57" s="135"/>
    </row>
    <row r="58" spans="2:10">
      <c r="B58" s="195" t="s">
        <v>90</v>
      </c>
      <c r="C58" s="135"/>
      <c r="D58" s="135"/>
      <c r="E58" s="197">
        <f>MAXA(IF('Verifica SLE'!C35=0,0,'Verifica SLE'!C34),IF('Verifica SLE'!D35=0,0,'Verifica SLE'!D34),IF('Verifica SLE'!E35=0,0,'Verifica SLE'!E34))</f>
        <v>12</v>
      </c>
      <c r="F58" s="135"/>
      <c r="G58" s="135"/>
      <c r="H58" s="135"/>
      <c r="I58" s="135"/>
      <c r="J58" s="135"/>
    </row>
    <row r="59" spans="2:10">
      <c r="B59" s="135"/>
      <c r="C59" s="135"/>
      <c r="D59" s="135"/>
      <c r="E59" s="135"/>
      <c r="F59" s="135"/>
      <c r="G59" s="135"/>
      <c r="H59" s="135"/>
      <c r="I59" s="135"/>
      <c r="J59" s="135"/>
    </row>
    <row r="60" spans="2:10">
      <c r="B60" s="135"/>
      <c r="C60" s="135"/>
      <c r="D60" s="135"/>
      <c r="E60" s="135"/>
      <c r="F60" s="135"/>
      <c r="G60" s="135"/>
      <c r="H60" s="135"/>
      <c r="I60" s="135"/>
      <c r="J60" s="135"/>
    </row>
    <row r="61" spans="2:10">
      <c r="B61" s="135"/>
      <c r="C61" s="135"/>
      <c r="D61" s="135"/>
      <c r="E61" s="135"/>
      <c r="F61" s="135"/>
      <c r="G61" s="135"/>
      <c r="H61" s="135"/>
      <c r="I61" s="135"/>
      <c r="J61" s="135"/>
    </row>
    <row r="62" spans="2:10">
      <c r="B62" s="135"/>
      <c r="C62" s="135"/>
      <c r="D62" s="135"/>
      <c r="E62" s="135"/>
      <c r="F62" s="135"/>
      <c r="G62" s="135"/>
      <c r="H62" s="135"/>
      <c r="I62" s="135"/>
      <c r="J62" s="135"/>
    </row>
  </sheetData>
  <sheetProtection selectLockedCells="1" selectUnlockedCells="1"/>
  <mergeCells count="1">
    <mergeCell ref="E51:G51"/>
  </mergeCells>
  <dataValidations count="1">
    <dataValidation type="list" allowBlank="1" showInputMessage="1" showErrorMessage="1" sqref="E51:G51" xr:uid="{00000000-0002-0000-0200-000000000000}">
      <formula1>ca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4"/>
  <dimension ref="B2:AE146"/>
  <sheetViews>
    <sheetView workbookViewId="0">
      <selection activeCell="X65" sqref="X65"/>
    </sheetView>
  </sheetViews>
  <sheetFormatPr defaultRowHeight="15"/>
  <cols>
    <col min="2" max="8" width="14.7109375" customWidth="1"/>
    <col min="9" max="9" width="20.42578125" customWidth="1"/>
    <col min="10" max="13" width="10.42578125" customWidth="1"/>
    <col min="28" max="28" width="13.140625" customWidth="1"/>
    <col min="30" max="30" width="12" bestFit="1" customWidth="1"/>
  </cols>
  <sheetData>
    <row r="2" spans="2:30">
      <c r="B2" s="1" t="s">
        <v>37</v>
      </c>
      <c r="D2" t="s">
        <v>66</v>
      </c>
      <c r="F2" s="10" t="s">
        <v>204</v>
      </c>
      <c r="G2" s="126">
        <f>'Verifica SLE'!E17+'Verifica SLE'!E18+'Verifica SLE'!E19</f>
        <v>4.91</v>
      </c>
      <c r="H2" s="132">
        <f>'Verifica SLE'!E21</f>
        <v>12.03</v>
      </c>
      <c r="I2" s="15"/>
      <c r="J2" s="15"/>
      <c r="K2" s="15"/>
    </row>
    <row r="3" spans="2:30">
      <c r="B3" s="1" t="s">
        <v>38</v>
      </c>
      <c r="D3" t="s">
        <v>67</v>
      </c>
      <c r="F3" s="10" t="s">
        <v>203</v>
      </c>
      <c r="G3" s="133">
        <f>'Verifica SLE'!E17+'Verifica SLE'!E18+0.5*'Verifica SLE'!E19</f>
        <v>4.41</v>
      </c>
      <c r="H3" s="132">
        <f>'Verifica SLE'!E22</f>
        <v>9.82</v>
      </c>
      <c r="I3" s="41" t="s">
        <v>106</v>
      </c>
      <c r="J3" s="42">
        <f>'Verifica SLE'!D135</f>
        <v>24.663593293824295</v>
      </c>
      <c r="K3" s="15"/>
      <c r="M3" s="7" t="s">
        <v>15</v>
      </c>
      <c r="O3" s="3" t="s">
        <v>24</v>
      </c>
      <c r="P3" s="5">
        <f>'Verifica SLE'!E55*10</f>
        <v>100</v>
      </c>
      <c r="Q3" s="12" t="s">
        <v>4</v>
      </c>
    </row>
    <row r="4" spans="2:30">
      <c r="D4" t="s">
        <v>68</v>
      </c>
      <c r="F4" s="10" t="s">
        <v>88</v>
      </c>
      <c r="G4" s="133">
        <f>'Verifica SLE'!E17+'Verifica SLE'!E18+0.3*'Verifica SLE'!E19</f>
        <v>4.21</v>
      </c>
      <c r="H4" s="132">
        <f>'Verifica SLE'!E23</f>
        <v>8.93</v>
      </c>
      <c r="I4" s="41" t="s">
        <v>105</v>
      </c>
      <c r="J4" s="42">
        <f>'Verifica SLE'!D90</f>
        <v>6.6778682203495379</v>
      </c>
      <c r="K4" s="15"/>
      <c r="M4" s="8" t="s">
        <v>16</v>
      </c>
      <c r="O4" s="2" t="s">
        <v>9</v>
      </c>
      <c r="P4" s="4">
        <f>'Verifica SLE'!E7-'Verifica SLE'!E9</f>
        <v>190</v>
      </c>
      <c r="Q4" s="12" t="s">
        <v>4</v>
      </c>
      <c r="V4" s="1" t="s">
        <v>234</v>
      </c>
      <c r="W4" s="1">
        <f>(2*((AB6*AB10)+(AB7*(AB8-AB10))))/(AB6+AB7)</f>
        <v>126.66666666666667</v>
      </c>
      <c r="Z4">
        <v>1</v>
      </c>
      <c r="AA4" s="43" t="s">
        <v>130</v>
      </c>
      <c r="AB4" s="44">
        <f>'Verifica SLE'!F35</f>
        <v>226.1946710584651</v>
      </c>
      <c r="AC4" s="43" t="s">
        <v>131</v>
      </c>
      <c r="AD4" s="45"/>
    </row>
    <row r="5" spans="2:30">
      <c r="I5" t="s">
        <v>20</v>
      </c>
      <c r="J5">
        <f>J29</f>
        <v>500</v>
      </c>
      <c r="Z5">
        <f>1+Z4</f>
        <v>2</v>
      </c>
      <c r="AA5" s="43" t="s">
        <v>132</v>
      </c>
      <c r="AB5" s="27">
        <f>'Verifica SLE'!F32</f>
        <v>339.29200658769764</v>
      </c>
      <c r="AC5" s="43" t="s">
        <v>131</v>
      </c>
      <c r="AD5" s="45"/>
    </row>
    <row r="6" spans="2:30">
      <c r="B6" t="s">
        <v>93</v>
      </c>
      <c r="I6" t="s">
        <v>97</v>
      </c>
      <c r="J6">
        <f t="shared" ref="J6:J9" si="0">J30</f>
        <v>100</v>
      </c>
      <c r="V6" s="124" t="s">
        <v>234</v>
      </c>
      <c r="W6" s="124" t="s">
        <v>235</v>
      </c>
      <c r="Z6">
        <f t="shared" ref="Z6:Z21" si="1">1+Z5</f>
        <v>3</v>
      </c>
      <c r="AA6" s="48" t="s">
        <v>109</v>
      </c>
      <c r="AB6" s="43">
        <f>'Verifica SLE'!E5</f>
        <v>500</v>
      </c>
      <c r="AC6" s="49" t="s">
        <v>4</v>
      </c>
    </row>
    <row r="7" spans="2:30">
      <c r="B7" s="9">
        <f>B24</f>
        <v>339.29200658769764</v>
      </c>
      <c r="I7" t="s">
        <v>33</v>
      </c>
      <c r="J7">
        <f t="shared" si="0"/>
        <v>40</v>
      </c>
      <c r="V7" s="177">
        <v>10</v>
      </c>
      <c r="W7" s="176">
        <v>1</v>
      </c>
      <c r="Z7">
        <f t="shared" si="1"/>
        <v>4</v>
      </c>
      <c r="AA7" s="48" t="s">
        <v>134</v>
      </c>
      <c r="AB7" s="81">
        <f>'Verifica SLE'!E6</f>
        <v>100</v>
      </c>
      <c r="AC7" s="49" t="s">
        <v>4</v>
      </c>
    </row>
    <row r="8" spans="2:30">
      <c r="B8" t="s">
        <v>94</v>
      </c>
      <c r="I8" t="s">
        <v>9</v>
      </c>
      <c r="J8">
        <f t="shared" si="0"/>
        <v>190</v>
      </c>
      <c r="V8" s="178">
        <f>W4</f>
        <v>126.66666666666667</v>
      </c>
      <c r="W8" s="179">
        <f>-((W7-W9)/(V7-V9)*(V9-V8)-W9)</f>
        <v>0.9078947368421052</v>
      </c>
      <c r="Z8">
        <f t="shared" si="1"/>
        <v>5</v>
      </c>
      <c r="AA8" s="48" t="s">
        <v>110</v>
      </c>
      <c r="AB8" s="43">
        <f>'Verifica SLE'!E7</f>
        <v>220</v>
      </c>
      <c r="AC8" s="49" t="s">
        <v>4</v>
      </c>
    </row>
    <row r="9" spans="2:30" ht="15.75" thickBot="1">
      <c r="B9" s="9">
        <f>B26</f>
        <v>226.1946710584651</v>
      </c>
      <c r="I9" t="s">
        <v>22</v>
      </c>
      <c r="J9">
        <f t="shared" si="0"/>
        <v>30</v>
      </c>
      <c r="V9" s="177">
        <v>200</v>
      </c>
      <c r="W9" s="176">
        <v>0.85</v>
      </c>
      <c r="Z9">
        <f t="shared" si="1"/>
        <v>6</v>
      </c>
      <c r="AA9" s="48" t="s">
        <v>111</v>
      </c>
      <c r="AB9" s="43">
        <f>'Verifica SLE'!E9</f>
        <v>30</v>
      </c>
      <c r="AC9" s="49" t="s">
        <v>4</v>
      </c>
    </row>
    <row r="10" spans="2:30" ht="16.5" thickTop="1" thickBot="1">
      <c r="B10" t="s">
        <v>98</v>
      </c>
      <c r="M10" t="s">
        <v>153</v>
      </c>
      <c r="N10" s="1">
        <f>10</f>
        <v>10</v>
      </c>
      <c r="P10" t="s">
        <v>164</v>
      </c>
      <c r="Q10" s="1">
        <v>450</v>
      </c>
      <c r="S10" s="83">
        <f>VLOOKUP('Verifica SLE'!E11,'Foglio deposito'!M10:N21,2,)</f>
        <v>30</v>
      </c>
      <c r="V10" s="178">
        <f>W4</f>
        <v>126.66666666666667</v>
      </c>
      <c r="W10" s="179">
        <f>-((W9-W11)/(V9-V11)*(V11-V10)-W11)</f>
        <v>0.92333333333333334</v>
      </c>
      <c r="Z10">
        <f t="shared" si="1"/>
        <v>7</v>
      </c>
      <c r="AA10" s="48" t="s">
        <v>113</v>
      </c>
      <c r="AB10" s="43">
        <f>'Verifica SLE'!E8</f>
        <v>40</v>
      </c>
      <c r="AC10" s="49" t="s">
        <v>4</v>
      </c>
    </row>
    <row r="11" spans="2:30" ht="16.5" thickTop="1" thickBot="1">
      <c r="B11" s="29">
        <f>B7+B9</f>
        <v>565.48667764616278</v>
      </c>
      <c r="M11" t="s">
        <v>154</v>
      </c>
      <c r="N11" s="1">
        <v>15</v>
      </c>
      <c r="P11" t="s">
        <v>165</v>
      </c>
      <c r="Q11" s="1">
        <v>430</v>
      </c>
      <c r="S11" s="83">
        <f>VLOOKUP('Verifica SLE'!E12,'Foglio deposito'!P10:Q11,2,)</f>
        <v>450</v>
      </c>
      <c r="V11" s="177">
        <v>300</v>
      </c>
      <c r="W11" s="176">
        <v>0.75</v>
      </c>
      <c r="Z11">
        <f t="shared" si="1"/>
        <v>8</v>
      </c>
      <c r="AA11" s="48" t="s">
        <v>112</v>
      </c>
      <c r="AB11" s="43">
        <f>'Foglio deposito'!P4</f>
        <v>190</v>
      </c>
      <c r="AC11" s="49" t="s">
        <v>4</v>
      </c>
    </row>
    <row r="12" spans="2:30" ht="15.75" thickTop="1">
      <c r="B12" s="29"/>
      <c r="M12" t="s">
        <v>155</v>
      </c>
      <c r="N12" s="1">
        <v>20</v>
      </c>
      <c r="V12" s="178">
        <f>W4</f>
        <v>126.66666666666667</v>
      </c>
      <c r="W12" s="179">
        <f>-((W11-W13)/(V11-V13)*(V13-V12)-W13)</f>
        <v>0.79333333333333333</v>
      </c>
      <c r="Z12">
        <f t="shared" si="1"/>
        <v>9</v>
      </c>
      <c r="AA12" s="43" t="s">
        <v>135</v>
      </c>
      <c r="AB12" s="43">
        <f>22000*(('Foglio deposito'!S10*0.83+8)/10)^0.3</f>
        <v>31447.161439943484</v>
      </c>
      <c r="AC12" s="43" t="s">
        <v>133</v>
      </c>
    </row>
    <row r="13" spans="2:30">
      <c r="B13" s="35" t="s">
        <v>102</v>
      </c>
      <c r="C13" s="1" t="s">
        <v>103</v>
      </c>
      <c r="D13" s="1" t="s">
        <v>104</v>
      </c>
      <c r="E13" t="s">
        <v>35</v>
      </c>
      <c r="M13" t="s">
        <v>156</v>
      </c>
      <c r="N13" s="1">
        <v>25</v>
      </c>
      <c r="V13" s="177">
        <v>500</v>
      </c>
      <c r="W13" s="176">
        <v>0.7</v>
      </c>
      <c r="Z13">
        <f t="shared" si="1"/>
        <v>10</v>
      </c>
      <c r="AA13" s="43" t="s">
        <v>136</v>
      </c>
      <c r="AB13" s="43">
        <f>'Verifica SLE'!E13</f>
        <v>210000</v>
      </c>
      <c r="AC13" s="43" t="s">
        <v>133</v>
      </c>
    </row>
    <row r="14" spans="2:30">
      <c r="B14" s="1">
        <f>J6/2</f>
        <v>50</v>
      </c>
      <c r="C14" s="1">
        <f>(J5*J7+J6+J4*B7+J4*B9)</f>
        <v>23876.245513684353</v>
      </c>
      <c r="D14" s="1">
        <f>-J5*J7^2/2-J6*J8-J4*B7*J9-J4*B9*J8</f>
        <v>-773967.07828632928</v>
      </c>
      <c r="E14">
        <f>(-C14+(C14^2-4*B14*D14)^0.5)/(2*B14)</f>
        <v>30.471368051662648</v>
      </c>
      <c r="M14" t="s">
        <v>157</v>
      </c>
      <c r="N14" s="1">
        <v>30</v>
      </c>
      <c r="V14" s="180"/>
      <c r="W14" s="181"/>
      <c r="Z14">
        <f t="shared" si="1"/>
        <v>11</v>
      </c>
      <c r="AA14" s="43" t="s">
        <v>137</v>
      </c>
      <c r="AB14" s="43">
        <f>AB12/(1+W24)</f>
        <v>8514.5743970966105</v>
      </c>
      <c r="AC14" s="43" t="s">
        <v>133</v>
      </c>
    </row>
    <row r="15" spans="2:30">
      <c r="M15" t="s">
        <v>158</v>
      </c>
      <c r="N15" s="1">
        <v>35</v>
      </c>
      <c r="V15" s="176" t="s">
        <v>236</v>
      </c>
      <c r="W15" s="175" t="s">
        <v>233</v>
      </c>
      <c r="Z15">
        <f t="shared" si="1"/>
        <v>12</v>
      </c>
      <c r="AA15" s="43" t="s">
        <v>138</v>
      </c>
      <c r="AB15" s="44">
        <f>'Verifica SLE'!C58</f>
        <v>24.9</v>
      </c>
      <c r="AC15" s="43" t="s">
        <v>133</v>
      </c>
    </row>
    <row r="16" spans="2:30">
      <c r="M16" t="s">
        <v>159</v>
      </c>
      <c r="N16" s="1">
        <v>40</v>
      </c>
      <c r="V16" s="176">
        <v>75</v>
      </c>
      <c r="W16" s="176">
        <v>2.9</v>
      </c>
      <c r="Z16">
        <f t="shared" si="1"/>
        <v>13</v>
      </c>
      <c r="AA16" s="43" t="s">
        <v>139</v>
      </c>
      <c r="AB16" s="44">
        <f>'Verifica SLE'!C60</f>
        <v>2.5581194481669618</v>
      </c>
      <c r="AC16" s="43" t="s">
        <v>133</v>
      </c>
    </row>
    <row r="17" spans="2:30">
      <c r="M17" t="s">
        <v>160</v>
      </c>
      <c r="N17" s="1">
        <v>45</v>
      </c>
      <c r="V17" s="182">
        <f>W4</f>
        <v>126.66666666666667</v>
      </c>
      <c r="W17" s="182">
        <f>-((W16-W18)/(V16-V18)*(V18-V17)-W18)</f>
        <v>2.6933333333333334</v>
      </c>
      <c r="Z17">
        <f t="shared" si="1"/>
        <v>14</v>
      </c>
      <c r="AA17" s="43" t="s">
        <v>140</v>
      </c>
      <c r="AB17" s="44">
        <f>'Verifica SLE'!C61</f>
        <v>1.7906836137168731</v>
      </c>
      <c r="AC17" s="43" t="s">
        <v>133</v>
      </c>
    </row>
    <row r="18" spans="2:30">
      <c r="M18" t="s">
        <v>161</v>
      </c>
      <c r="N18" s="1">
        <v>50</v>
      </c>
      <c r="V18" s="183">
        <v>150</v>
      </c>
      <c r="W18" s="176">
        <v>2.6</v>
      </c>
      <c r="Z18">
        <f t="shared" si="1"/>
        <v>15</v>
      </c>
      <c r="AA18" s="50" t="s">
        <v>114</v>
      </c>
      <c r="AB18" s="174">
        <f>AB13/AB14</f>
        <v>24.663593293824295</v>
      </c>
      <c r="AC18" s="49" t="s">
        <v>115</v>
      </c>
    </row>
    <row r="19" spans="2:30">
      <c r="M19" t="s">
        <v>162</v>
      </c>
      <c r="N19" s="1">
        <v>55</v>
      </c>
      <c r="V19" s="182">
        <f>W4</f>
        <v>126.66666666666667</v>
      </c>
      <c r="W19" s="182">
        <f>-((W18-W20)/(V18-V20)*(V20-V19)-W20)</f>
        <v>2.6466666666666669</v>
      </c>
      <c r="Z19">
        <f t="shared" si="1"/>
        <v>16</v>
      </c>
      <c r="AA19" s="52" t="s">
        <v>116</v>
      </c>
      <c r="AB19" s="174">
        <f>AB13/AB12</f>
        <v>6.6778682203495379</v>
      </c>
      <c r="AC19" s="53" t="s">
        <v>117</v>
      </c>
      <c r="AD19" s="51"/>
    </row>
    <row r="20" spans="2:30">
      <c r="N20" s="1"/>
      <c r="V20" s="176">
        <v>300</v>
      </c>
      <c r="W20" s="176">
        <v>2.2999999999999998</v>
      </c>
      <c r="Z20">
        <f t="shared" si="1"/>
        <v>17</v>
      </c>
      <c r="AA20" s="17" t="s">
        <v>232</v>
      </c>
      <c r="AB20" s="43">
        <v>9.75</v>
      </c>
      <c r="AC20" s="173" t="s">
        <v>133</v>
      </c>
      <c r="AD20" s="51"/>
    </row>
    <row r="21" spans="2:30">
      <c r="D21" t="s">
        <v>92</v>
      </c>
      <c r="M21" t="s">
        <v>163</v>
      </c>
      <c r="N21" s="1">
        <v>60</v>
      </c>
      <c r="V21" s="182">
        <f>W4</f>
        <v>126.66666666666667</v>
      </c>
      <c r="W21" s="182">
        <f>-((W20-W22)/(V20-V22)*(V22-V21)-W22)</f>
        <v>2.3577777777777773</v>
      </c>
      <c r="Z21">
        <f t="shared" si="1"/>
        <v>18</v>
      </c>
      <c r="AA21" s="46" t="s">
        <v>107</v>
      </c>
      <c r="AB21" s="43">
        <f>S11</f>
        <v>450</v>
      </c>
      <c r="AC21" s="47" t="s">
        <v>133</v>
      </c>
      <c r="AD21" s="45" t="s">
        <v>108</v>
      </c>
    </row>
    <row r="22" spans="2:30">
      <c r="B22" s="9"/>
      <c r="D22" s="9">
        <f>('Verifica SLE'!E5-'Foglio deposito'!P3)/'Verifica SLE'!D90*'Verifica SLE'!E8</f>
        <v>2395.9742049480751</v>
      </c>
      <c r="V22" s="183">
        <v>600</v>
      </c>
      <c r="W22" s="176">
        <v>2.2000000000000002</v>
      </c>
    </row>
    <row r="23" spans="2:30" ht="15.75" thickBot="1">
      <c r="B23" t="s">
        <v>93</v>
      </c>
      <c r="D23" t="s">
        <v>93</v>
      </c>
      <c r="V23" s="27"/>
      <c r="W23" s="27"/>
      <c r="AA23" s="8" t="s">
        <v>141</v>
      </c>
    </row>
    <row r="24" spans="2:30" ht="15.75" thickBot="1">
      <c r="B24" s="9">
        <f>D24</f>
        <v>339.29200658769764</v>
      </c>
      <c r="D24" s="9">
        <f>'Verifica SLE'!F32</f>
        <v>339.29200658769764</v>
      </c>
      <c r="V24" s="175" t="s">
        <v>233</v>
      </c>
      <c r="W24" s="176">
        <f>IF(W4&lt;V18,W17,IF(W4&lt;V20,W19,W21))</f>
        <v>2.6933333333333334</v>
      </c>
      <c r="AA24" s="54" t="s">
        <v>35</v>
      </c>
      <c r="AB24" s="55">
        <f>(AB19*(AB43+AB4+AB5)*AB45+AB7*AB8^2/2)/(AB19*(AB43+AB4+AB5)+AB7*AB8)</f>
        <v>74.084375946913013</v>
      </c>
      <c r="AC24" s="56" t="s">
        <v>4</v>
      </c>
    </row>
    <row r="25" spans="2:30" ht="17.25">
      <c r="B25" t="s">
        <v>94</v>
      </c>
      <c r="D25" t="s">
        <v>94</v>
      </c>
      <c r="V25" s="175"/>
      <c r="W25" s="176"/>
      <c r="AA25" s="57" t="s">
        <v>118</v>
      </c>
      <c r="AB25" s="58">
        <f>AB6*AB10^3/12+AB6*AB10*(AB10/2-AB24)^2+AB7*(AB8-AB10)^3/12+AB7*(AB8-AB10)*((AB8-AB10)/2-(AB24-AB10))^2+AB19*AB5*(AB24-AB9)^2+AB19*AB4*(AB11-AB24)^2</f>
        <v>190746119.89057496</v>
      </c>
      <c r="AC25" s="39" t="s">
        <v>119</v>
      </c>
    </row>
    <row r="26" spans="2:30" ht="17.25">
      <c r="B26" s="28">
        <f>D26</f>
        <v>226.1946710584651</v>
      </c>
      <c r="D26" s="28">
        <f>'Verifica SLE'!F35</f>
        <v>226.1946710584651</v>
      </c>
      <c r="AA26" s="40" t="s">
        <v>120</v>
      </c>
      <c r="AB26" s="58">
        <f>AB6*AB10^3/12+AB6*AB10*(AB10/2-AB27)^2+AB7*(AB8-AB10)^3/12+AB7*(AB8-AB10)*((AB8-AB10)/2-(AB27-AB10))^2</f>
        <v>165898245.61403507</v>
      </c>
      <c r="AC26" s="39" t="s">
        <v>119</v>
      </c>
    </row>
    <row r="27" spans="2:30" ht="15.75" thickBot="1">
      <c r="B27" t="s">
        <v>98</v>
      </c>
      <c r="C27" s="9"/>
      <c r="D27" t="s">
        <v>98</v>
      </c>
      <c r="AA27" s="59" t="s">
        <v>121</v>
      </c>
      <c r="AB27" s="60">
        <f>(AB19*AB43*AB10/2+AB7*AB8^2/2)/(AB19*AB43+AB7*AB8)</f>
        <v>72.10526315789474</v>
      </c>
      <c r="AC27" s="61" t="s">
        <v>4</v>
      </c>
    </row>
    <row r="28" spans="2:30" ht="17.25">
      <c r="B28" s="29">
        <f>B24+B26</f>
        <v>565.48667764616278</v>
      </c>
      <c r="C28" s="9"/>
      <c r="D28" s="29">
        <f>D22+D24+D26</f>
        <v>2961.4608825942378</v>
      </c>
      <c r="AA28" s="62" t="s">
        <v>122</v>
      </c>
      <c r="AB28" s="63"/>
      <c r="AC28" s="39" t="s">
        <v>8</v>
      </c>
    </row>
    <row r="29" spans="2:30" ht="18" thickBot="1">
      <c r="B29" s="17"/>
      <c r="C29" s="18"/>
      <c r="D29" s="18"/>
      <c r="E29" s="18"/>
      <c r="F29" s="19"/>
      <c r="G29" s="20"/>
      <c r="I29" t="s">
        <v>20</v>
      </c>
      <c r="J29">
        <f>J54</f>
        <v>500</v>
      </c>
      <c r="AA29" s="64" t="s">
        <v>123</v>
      </c>
      <c r="AB29" s="65"/>
      <c r="AC29" s="6" t="s">
        <v>8</v>
      </c>
    </row>
    <row r="30" spans="2:30">
      <c r="B30" s="21" t="s">
        <v>81</v>
      </c>
      <c r="C30" s="11"/>
      <c r="D30" s="22" t="s">
        <v>82</v>
      </c>
      <c r="E30" s="22"/>
      <c r="F30" s="22" t="s">
        <v>84</v>
      </c>
      <c r="G30" s="23"/>
      <c r="I30" t="s">
        <v>97</v>
      </c>
      <c r="J30">
        <f>J55</f>
        <v>100</v>
      </c>
    </row>
    <row r="31" spans="2:30">
      <c r="B31" s="21">
        <f>B39*(-1+(1+2*B33/B39)^0.5)</f>
        <v>30.878075373138607</v>
      </c>
      <c r="C31" s="22"/>
      <c r="D31" s="22">
        <f>D39*(-1+(1+2*D33/D39)^0.5)</f>
        <v>31.604783647335587</v>
      </c>
      <c r="E31" s="22"/>
      <c r="F31" s="22">
        <f>F39*(-1+(1+2*F33/F39)^0.5)</f>
        <v>37.21179703264162</v>
      </c>
      <c r="G31" s="23"/>
      <c r="I31" t="s">
        <v>33</v>
      </c>
      <c r="J31">
        <f>J56</f>
        <v>40</v>
      </c>
    </row>
    <row r="32" spans="2:30" ht="15.75" thickBot="1">
      <c r="B32" s="21" t="s">
        <v>80</v>
      </c>
      <c r="C32" s="11"/>
      <c r="D32" s="22" t="s">
        <v>80</v>
      </c>
      <c r="E32" s="22"/>
      <c r="F32" s="11" t="s">
        <v>9</v>
      </c>
      <c r="G32" s="23"/>
      <c r="I32" t="s">
        <v>9</v>
      </c>
      <c r="J32">
        <f>J57</f>
        <v>190</v>
      </c>
      <c r="AA32" s="8" t="s">
        <v>239</v>
      </c>
    </row>
    <row r="33" spans="2:30" ht="15.75" thickBot="1">
      <c r="B33" s="21">
        <f>(B24*J33+B26*J32)/(B24+B26)</f>
        <v>94</v>
      </c>
      <c r="C33" s="11"/>
      <c r="D33" s="11">
        <f>(D22*J31/2+D24*J33+D26*J32)/D28</f>
        <v>34.130193105626631</v>
      </c>
      <c r="E33" s="22"/>
      <c r="F33" s="25">
        <f>'Foglio deposito'!P4</f>
        <v>190</v>
      </c>
      <c r="G33" s="23"/>
      <c r="I33" t="s">
        <v>22</v>
      </c>
      <c r="J33">
        <f>J58</f>
        <v>30</v>
      </c>
      <c r="AA33" s="54" t="s">
        <v>35</v>
      </c>
      <c r="AB33" s="184">
        <f>(AB18*(AB55+AB4+AB5)*AB57+AB7*AB8^2/2)/(AB18*(AB55+AB4+AB5)+AB7*AB8)</f>
        <v>77.983655144677968</v>
      </c>
      <c r="AC33" s="56" t="s">
        <v>4</v>
      </c>
    </row>
    <row r="34" spans="2:30">
      <c r="B34" s="24"/>
      <c r="C34" s="11"/>
      <c r="D34" s="22"/>
      <c r="E34" s="22"/>
      <c r="F34" s="11"/>
      <c r="G34" s="23"/>
      <c r="AA34" s="185" t="s">
        <v>118</v>
      </c>
      <c r="AB34" s="186">
        <f>AB6*AB10^3/12+AB6*AB10*(AB10/2-AB33)^2+AB7*(AB8-AB10)^3/12+AB7*(AB8-AB10)*((AB8-AB10)/2-(AB33-AB10))^2+AB18*AB5*(AB33-AB9)^2+AB18*AB4*(AB11-AB33)^2</f>
        <v>256479026.74428192</v>
      </c>
      <c r="AC34" s="187" t="s">
        <v>240</v>
      </c>
    </row>
    <row r="35" spans="2:30">
      <c r="B35" s="21" t="s">
        <v>78</v>
      </c>
      <c r="C35" s="11"/>
      <c r="D35" s="22" t="s">
        <v>78</v>
      </c>
      <c r="E35" s="22"/>
      <c r="F35" s="11" t="s">
        <v>85</v>
      </c>
      <c r="G35" s="23"/>
      <c r="AA35" s="188" t="s">
        <v>122</v>
      </c>
      <c r="AB35" s="189"/>
      <c r="AC35" s="190" t="s">
        <v>133</v>
      </c>
    </row>
    <row r="36" spans="2:30" ht="15.75" thickBot="1">
      <c r="B36" s="24">
        <f>((('Verifica SLE'!C29/2)^2*PI()*'Verifica SLE'!E5/200))+'Verifica SLE'!F32</f>
        <v>339.29200658769764</v>
      </c>
      <c r="C36" s="22"/>
      <c r="D36" s="30">
        <f>D22+D24+D26</f>
        <v>2961.4608825942378</v>
      </c>
      <c r="E36" s="22"/>
      <c r="F36" s="26">
        <f>'Verifica SLE'!F32</f>
        <v>339.29200658769764</v>
      </c>
      <c r="G36" s="23"/>
      <c r="AA36" s="191" t="s">
        <v>123</v>
      </c>
      <c r="AB36" s="192"/>
      <c r="AC36" s="193" t="s">
        <v>133</v>
      </c>
    </row>
    <row r="37" spans="2:30">
      <c r="B37" s="24"/>
      <c r="C37" s="22"/>
      <c r="D37" s="22"/>
      <c r="E37" s="22"/>
      <c r="F37" s="11"/>
      <c r="G37" s="23"/>
    </row>
    <row r="38" spans="2:30">
      <c r="B38" s="11" t="s">
        <v>6</v>
      </c>
      <c r="C38" s="11"/>
      <c r="D38" s="11" t="s">
        <v>6</v>
      </c>
      <c r="E38" s="11"/>
      <c r="F38" s="11" t="s">
        <v>6</v>
      </c>
      <c r="G38" s="11"/>
    </row>
    <row r="39" spans="2:30" ht="15.75" thickBot="1">
      <c r="B39">
        <f>'Verifica SLE'!D90/J29*B28</f>
        <v>7.552491027368708</v>
      </c>
      <c r="D39">
        <f>'Verifica SLE'!D90*D28/J30</f>
        <v>197.76245513684353</v>
      </c>
      <c r="F39">
        <f>'Verifica SLE'!D90/J29*F36</f>
        <v>4.5314946164212246</v>
      </c>
      <c r="AA39" s="8" t="s">
        <v>183</v>
      </c>
    </row>
    <row r="40" spans="2:30">
      <c r="AA40" s="198" t="s">
        <v>242</v>
      </c>
      <c r="AB40" s="69">
        <f>AB19*(AB4+AB5)/AB6</f>
        <v>7.5524910273687071</v>
      </c>
      <c r="AC40" s="70" t="s">
        <v>4</v>
      </c>
      <c r="AD40" s="11"/>
    </row>
    <row r="41" spans="2:30">
      <c r="B41" t="s">
        <v>96</v>
      </c>
      <c r="D41" s="9" t="s">
        <v>96</v>
      </c>
      <c r="AA41" s="57" t="s">
        <v>124</v>
      </c>
      <c r="AB41" s="58">
        <f>(AB4*AB11+AB5*AB9)/(AB4+AB5)</f>
        <v>94</v>
      </c>
      <c r="AC41" s="39" t="s">
        <v>4</v>
      </c>
      <c r="AD41" s="11"/>
    </row>
    <row r="42" spans="2:30" ht="15.75" thickBot="1">
      <c r="B42">
        <f>1/3*J29*B31^3+'Verifica SLE'!D90*(B26*(J32-B31)^2+B24*(B31-J33)^2)</f>
        <v>43154051.597480617</v>
      </c>
      <c r="D42">
        <f>J30*D31^3/3+(J29-J30)*J31^3/12+(J29-J30)*J31*(D31-J31/2)^2+'Verifica SLE'!D90*D24*(D31-J33)^2+'Verifica SLE'!D90*D26*(J32-D31)^2</f>
        <v>43243155.509243064</v>
      </c>
      <c r="AA42" s="71" t="s">
        <v>35</v>
      </c>
      <c r="AB42" s="72">
        <f>AB40*(-1+SQRT(1+2*AB41/AB40))</f>
        <v>30.878075373138604</v>
      </c>
      <c r="AC42" s="6" t="s">
        <v>4</v>
      </c>
      <c r="AD42" s="73" t="b">
        <f>IF(AB42&lt;$AB$10,TRUE,FALSE)</f>
        <v>1</v>
      </c>
    </row>
    <row r="43" spans="2:30" ht="17.25">
      <c r="B43">
        <f>B42*10^-4</f>
        <v>4315.405159748062</v>
      </c>
      <c r="D43">
        <f>D42*10^-4</f>
        <v>4324.315550924307</v>
      </c>
      <c r="Z43" t="s">
        <v>85</v>
      </c>
      <c r="AA43" s="68" t="s">
        <v>125</v>
      </c>
      <c r="AB43" s="69">
        <f>(AB6-AB7)/AB19*AB10</f>
        <v>2395.9742049480751</v>
      </c>
      <c r="AC43" s="70" t="s">
        <v>126</v>
      </c>
      <c r="AD43" s="11"/>
    </row>
    <row r="44" spans="2:30">
      <c r="B44" s="9"/>
      <c r="D44" s="9"/>
      <c r="AA44" s="57" t="s">
        <v>243</v>
      </c>
      <c r="AB44" s="58">
        <f>AB19*(AB5+AB4+AB43)/AB7</f>
        <v>197.76245513684353</v>
      </c>
      <c r="AC44" s="39" t="s">
        <v>4</v>
      </c>
      <c r="AD44" s="11"/>
    </row>
    <row r="45" spans="2:30">
      <c r="B45" s="9"/>
      <c r="C45" s="9"/>
      <c r="D45" s="9"/>
      <c r="AA45" s="57" t="s">
        <v>127</v>
      </c>
      <c r="AB45" s="58">
        <f>(AB5*AB9+AB4*AB11+AB43*AB10/2)/(AB5+AB4+AB43)</f>
        <v>34.130193105626631</v>
      </c>
      <c r="AC45" s="39" t="s">
        <v>4</v>
      </c>
      <c r="AD45" s="11"/>
    </row>
    <row r="46" spans="2:30" ht="15.75" thickBot="1">
      <c r="D46" t="s">
        <v>92</v>
      </c>
      <c r="AA46" s="74" t="s">
        <v>35</v>
      </c>
      <c r="AB46" s="75">
        <f>IF(AD42=TRUE,AB42,AB44*(-1+SQRT(1+2*AB45/AB44)))</f>
        <v>30.878075373138604</v>
      </c>
      <c r="AC46" s="76" t="s">
        <v>4</v>
      </c>
      <c r="AD46" s="11"/>
    </row>
    <row r="47" spans="2:30" ht="17.25">
      <c r="D47" s="27">
        <f>('Verifica SLE'!E5-'Foglio deposito'!P3)/'Verifica SLE'!D135*'Verifica SLE'!E8</f>
        <v>648.72947787402745</v>
      </c>
      <c r="AA47" s="77" t="s">
        <v>128</v>
      </c>
      <c r="AB47" s="69">
        <f>AB6*AB42^3/3+AB5*AB19*(AB42-AB9)^2+AB4*AB19*(AB11-AB42)^2</f>
        <v>43154051.597480617</v>
      </c>
      <c r="AC47" s="70" t="s">
        <v>119</v>
      </c>
      <c r="AD47" s="1" t="s">
        <v>190</v>
      </c>
    </row>
    <row r="48" spans="2:30" ht="17.25">
      <c r="B48" t="s">
        <v>93</v>
      </c>
      <c r="D48" t="s">
        <v>93</v>
      </c>
      <c r="AA48" s="62" t="s">
        <v>122</v>
      </c>
      <c r="AB48" s="63">
        <f>'Verifica SLE'!D125</f>
        <v>-7.0265175328734033</v>
      </c>
      <c r="AC48" s="39" t="s">
        <v>8</v>
      </c>
      <c r="AD48" s="125">
        <f>'Foglio deposito'!H142</f>
        <v>-6.3896946607494387</v>
      </c>
    </row>
    <row r="49" spans="2:30" ht="18" thickBot="1">
      <c r="B49" s="27">
        <f>D49</f>
        <v>339.29200658769764</v>
      </c>
      <c r="D49" s="27">
        <f>'Verifica SLE'!F32</f>
        <v>339.29200658769764</v>
      </c>
      <c r="AA49" s="64" t="s">
        <v>123</v>
      </c>
      <c r="AB49" s="65">
        <f>'Verifica SLE'!D126</f>
        <v>241.8008253255675</v>
      </c>
      <c r="AC49" s="6" t="s">
        <v>8</v>
      </c>
      <c r="AD49" s="125">
        <f>'Foglio deposito'!H143</f>
        <v>219.88608657406493</v>
      </c>
    </row>
    <row r="50" spans="2:30">
      <c r="B50" t="s">
        <v>94</v>
      </c>
      <c r="D50" t="s">
        <v>94</v>
      </c>
    </row>
    <row r="51" spans="2:30" ht="15.75" thickBot="1">
      <c r="B51" s="27">
        <f>D51</f>
        <v>226.1946710584651</v>
      </c>
      <c r="D51" s="27">
        <f>'Verifica SLE'!F35</f>
        <v>226.1946710584651</v>
      </c>
      <c r="AA51" s="82" t="s">
        <v>142</v>
      </c>
    </row>
    <row r="52" spans="2:30">
      <c r="B52" t="s">
        <v>95</v>
      </c>
      <c r="D52" t="s">
        <v>95</v>
      </c>
      <c r="AA52" s="198" t="s">
        <v>242</v>
      </c>
      <c r="AB52" s="69">
        <f>AB18*(AB4+AB5)/AB6</f>
        <v>27.893866861081761</v>
      </c>
      <c r="AC52" s="70" t="s">
        <v>4</v>
      </c>
      <c r="AD52" s="11"/>
    </row>
    <row r="53" spans="2:30">
      <c r="B53" s="27">
        <f>B49+B51</f>
        <v>565.48667764616278</v>
      </c>
      <c r="D53" s="27">
        <f>D47+D49+D51</f>
        <v>1214.2161555201901</v>
      </c>
      <c r="AA53" s="57" t="s">
        <v>124</v>
      </c>
      <c r="AB53" s="58">
        <f>(AB4*AB11+AB5*AB9)/(AB4+AB5)</f>
        <v>94</v>
      </c>
      <c r="AC53" s="39" t="s">
        <v>4</v>
      </c>
      <c r="AD53" s="11"/>
    </row>
    <row r="54" spans="2:30" ht="15.75" thickBot="1">
      <c r="B54" s="17"/>
      <c r="C54" s="18"/>
      <c r="D54" s="18"/>
      <c r="E54" s="18"/>
      <c r="F54" s="19"/>
      <c r="G54" s="20"/>
      <c r="I54" t="s">
        <v>20</v>
      </c>
      <c r="J54">
        <f>'Verifica SLE'!E5</f>
        <v>500</v>
      </c>
      <c r="AA54" s="71" t="s">
        <v>35</v>
      </c>
      <c r="AB54" s="72">
        <f>AB52*(-1+SQRT(1+2*AB53/AB52))</f>
        <v>49.708419048207837</v>
      </c>
      <c r="AC54" s="6" t="s">
        <v>4</v>
      </c>
      <c r="AD54" s="73" t="b">
        <f>IF(AB54&lt;$AB$10,TRUE,FALSE)</f>
        <v>0</v>
      </c>
    </row>
    <row r="55" spans="2:30" ht="17.25">
      <c r="B55" s="21" t="s">
        <v>81</v>
      </c>
      <c r="C55" s="11"/>
      <c r="D55" s="22" t="s">
        <v>82</v>
      </c>
      <c r="E55" s="22"/>
      <c r="F55" s="22" t="s">
        <v>84</v>
      </c>
      <c r="G55" s="23"/>
      <c r="I55" t="s">
        <v>97</v>
      </c>
      <c r="J55" s="34">
        <f>'Foglio deposito'!P3</f>
        <v>100</v>
      </c>
      <c r="Z55" t="s">
        <v>85</v>
      </c>
      <c r="AA55" s="68" t="s">
        <v>125</v>
      </c>
      <c r="AB55" s="69">
        <f>(AB6-AB7)/AB18*AB10</f>
        <v>648.72947787402745</v>
      </c>
      <c r="AC55" s="70" t="s">
        <v>126</v>
      </c>
      <c r="AD55" s="11"/>
    </row>
    <row r="56" spans="2:30">
      <c r="B56" s="21">
        <f>B64*(-1+(1+2*B58/B64)^0.5)</f>
        <v>49.708419048207837</v>
      </c>
      <c r="C56" s="22"/>
      <c r="D56" s="22">
        <f>D64*(-1+(1+2*D58/D64)^0.5)</f>
        <v>50.247861495343251</v>
      </c>
      <c r="E56" s="22"/>
      <c r="F56" s="22">
        <f>F64*(-1+(1+2*F58/B64)^0.5)</f>
        <v>31.509043868223138</v>
      </c>
      <c r="G56" s="23"/>
      <c r="H56" s="9"/>
      <c r="I56" t="s">
        <v>33</v>
      </c>
      <c r="J56">
        <f>'Verifica SLE'!E8</f>
        <v>40</v>
      </c>
      <c r="AA56" s="57" t="s">
        <v>243</v>
      </c>
      <c r="AB56" s="58">
        <f>AB18*(AB5+AB4+AB55)/AB7</f>
        <v>299.46933430540878</v>
      </c>
      <c r="AC56" s="39" t="s">
        <v>4</v>
      </c>
      <c r="AD56" s="11"/>
    </row>
    <row r="57" spans="2:30">
      <c r="B57" s="21" t="s">
        <v>80</v>
      </c>
      <c r="C57" s="11"/>
      <c r="D57" s="22" t="s">
        <v>80</v>
      </c>
      <c r="E57" s="22"/>
      <c r="F57" s="11" t="s">
        <v>9</v>
      </c>
      <c r="G57" s="23"/>
      <c r="I57" t="s">
        <v>9</v>
      </c>
      <c r="J57">
        <f>'Foglio deposito'!P4</f>
        <v>190</v>
      </c>
      <c r="AA57" s="57" t="s">
        <v>127</v>
      </c>
      <c r="AB57" s="58">
        <f>(AB5*AB9+AB4*AB11+AB55*AB10/2)/(AB5+AB4+AB55)</f>
        <v>54.463397604760523</v>
      </c>
      <c r="AC57" s="39" t="s">
        <v>4</v>
      </c>
      <c r="AD57" s="11"/>
    </row>
    <row r="58" spans="2:30" ht="15.75" thickBot="1">
      <c r="B58" s="21">
        <f>(B51*'Foglio deposito'!P4+'Verifica SLE'!E9*B49)/(B49+B51)</f>
        <v>94</v>
      </c>
      <c r="C58" s="11"/>
      <c r="D58" s="11">
        <f>(D47*'Verifica SLE'!E8/2+D51*'Foglio deposito'!P4+'Verifica SLE'!E9*D49)/(D49+D51+D47)</f>
        <v>54.463397604760523</v>
      </c>
      <c r="E58" s="22"/>
      <c r="F58" s="25">
        <f>'Foglio deposito'!P4</f>
        <v>190</v>
      </c>
      <c r="G58" s="23"/>
      <c r="I58" t="s">
        <v>22</v>
      </c>
      <c r="J58">
        <f>'Verifica SLE'!E9</f>
        <v>30</v>
      </c>
      <c r="AA58" s="74" t="s">
        <v>35</v>
      </c>
      <c r="AB58" s="75">
        <f>IF(AD54=TRUE,AB54,AB56*(-1+SQRT(1+2*AB57/AB56)))</f>
        <v>50.247861495343251</v>
      </c>
      <c r="AC58" s="76" t="s">
        <v>4</v>
      </c>
      <c r="AD58" s="11"/>
    </row>
    <row r="59" spans="2:30" ht="17.25">
      <c r="B59" s="24"/>
      <c r="C59" s="11"/>
      <c r="D59" s="22"/>
      <c r="E59" s="22"/>
      <c r="F59" s="11"/>
      <c r="G59" s="23"/>
      <c r="AA59" s="77" t="s">
        <v>128</v>
      </c>
      <c r="AB59" s="69">
        <f>IF(AD54=TRUE,AD59,AD60)</f>
        <v>133389074.12753808</v>
      </c>
      <c r="AC59" s="70" t="s">
        <v>119</v>
      </c>
      <c r="AD59">
        <f>AB6*AB58^3/3+AB5*AB18*(AB58-AB9)^2+AB4*AB18*(AB11-AB58)^2</f>
        <v>133532569.69229539</v>
      </c>
    </row>
    <row r="60" spans="2:30" ht="17.25">
      <c r="B60" s="21" t="s">
        <v>78</v>
      </c>
      <c r="C60" s="11"/>
      <c r="D60" s="22" t="s">
        <v>78</v>
      </c>
      <c r="E60" s="22"/>
      <c r="F60" s="11" t="s">
        <v>85</v>
      </c>
      <c r="G60" s="23"/>
      <c r="AA60" s="62" t="s">
        <v>122</v>
      </c>
      <c r="AB60" s="63"/>
      <c r="AC60" s="39" t="s">
        <v>8</v>
      </c>
      <c r="AD60">
        <f>1/3*AB6*AB58^3-1/3*(AB6-AB7)*(AB58-AB10)^3+AB18*(AB4*(AB11-AB58)^2+AB5*(AB58-AB9)^2)</f>
        <v>133389074.12753808</v>
      </c>
    </row>
    <row r="61" spans="2:30" ht="18" thickBot="1">
      <c r="B61" s="32">
        <f>B51+B49</f>
        <v>565.48667764616278</v>
      </c>
      <c r="C61" s="31"/>
      <c r="D61" s="31">
        <f>D47+D49+D51</f>
        <v>1214.2161555201901</v>
      </c>
      <c r="E61" s="31"/>
      <c r="F61" s="33">
        <f>D51</f>
        <v>226.1946710584651</v>
      </c>
      <c r="G61" s="23"/>
      <c r="AA61" s="64" t="s">
        <v>123</v>
      </c>
      <c r="AB61" s="65"/>
      <c r="AC61" s="6" t="s">
        <v>8</v>
      </c>
    </row>
    <row r="62" spans="2:30" ht="15.75" thickBot="1">
      <c r="B62" s="24"/>
      <c r="C62" s="22"/>
      <c r="D62" s="22"/>
      <c r="E62" s="22"/>
      <c r="F62" s="11"/>
      <c r="G62" s="23"/>
    </row>
    <row r="63" spans="2:30" ht="15.75" thickBot="1">
      <c r="B63" s="11" t="s">
        <v>6</v>
      </c>
      <c r="C63" s="11"/>
      <c r="D63" s="11" t="s">
        <v>6</v>
      </c>
      <c r="E63" s="11"/>
      <c r="F63" s="11" t="s">
        <v>6</v>
      </c>
      <c r="G63" s="11"/>
      <c r="AA63" s="78" t="s">
        <v>129</v>
      </c>
      <c r="AB63" s="79">
        <f>(1.2*AB16*AB25)/(AB8-AB24)*10^-6</f>
        <v>4.0128782270247392</v>
      </c>
      <c r="AC63" s="80" t="s">
        <v>5</v>
      </c>
    </row>
    <row r="64" spans="2:30">
      <c r="B64">
        <f>'Verifica SLE'!D135/'Verifica SLE'!E5*B53</f>
        <v>27.893866861081761</v>
      </c>
      <c r="D64">
        <f>'Verifica SLE'!D135/'Foglio deposito'!P3*D53</f>
        <v>299.46933430540878</v>
      </c>
      <c r="F64">
        <f>F61*'Verifica SLE'!D135/'Verifica SLE'!E5</f>
        <v>11.157546744432704</v>
      </c>
    </row>
    <row r="65" spans="2:31">
      <c r="AE65" t="s">
        <v>237</v>
      </c>
    </row>
    <row r="66" spans="2:31">
      <c r="B66" t="s">
        <v>96</v>
      </c>
      <c r="D66" t="s">
        <v>96</v>
      </c>
      <c r="AE66" t="s">
        <v>238</v>
      </c>
    </row>
    <row r="67" spans="2:31">
      <c r="B67">
        <f>1/3*J54*B56^3+'Verifica SLE'!D135*(B51*(J57-B56)^2+B49*(B56-J58)^2)</f>
        <v>133521252.46853866</v>
      </c>
      <c r="D67">
        <f>J55*D56^3/3+(J54-J55)*J56^3/12+(J54-J55)*J56*(D56-J56/2)^2+'Verifica SLE'!D135*D49*(D56-J58)^2+'Verifica SLE'!D135*D51*(J57-D56)^2</f>
        <v>133389074.12753808</v>
      </c>
    </row>
    <row r="68" spans="2:31">
      <c r="B68">
        <f>B67*10^-4</f>
        <v>13352.125246853866</v>
      </c>
      <c r="D68">
        <f>D67*10^-4</f>
        <v>13338.90741275381</v>
      </c>
    </row>
    <row r="72" spans="2:31">
      <c r="B72" s="156" t="s">
        <v>79</v>
      </c>
      <c r="C72" s="166">
        <f>IF('Verifica SLE'!C157="LA SEZIONE NON SI FESSURA (STADIO 1)","",IF('Verifica SLE'!D140='Foglio deposito'!B56,'Foglio deposito'!B61,'Foglio deposito'!D61))</f>
        <v>1214.2161555201901</v>
      </c>
      <c r="D72" s="157" t="s">
        <v>86</v>
      </c>
    </row>
    <row r="96" spans="2:4">
      <c r="B96" s="66"/>
      <c r="C96" s="67"/>
      <c r="D96" s="22"/>
    </row>
    <row r="108" spans="2:15" ht="15.75" thickBot="1">
      <c r="B108" s="66"/>
      <c r="C108" s="63"/>
      <c r="D108" s="11"/>
    </row>
    <row r="109" spans="2:15" ht="22.5" thickTop="1" thickBot="1">
      <c r="B109" s="121" t="s">
        <v>172</v>
      </c>
      <c r="C109">
        <f>AB4/(AB7*MIN(C110,C111))</f>
        <v>3.5880769218811906E-2</v>
      </c>
      <c r="F109" s="124" t="s">
        <v>185</v>
      </c>
      <c r="G109" s="124" t="s">
        <v>186</v>
      </c>
      <c r="I109" s="120" t="s">
        <v>148</v>
      </c>
      <c r="J109" s="36">
        <f>'Verifica SLE'!C29</f>
        <v>0</v>
      </c>
      <c r="K109" s="16">
        <f>'Verifica SLE'!D29</f>
        <v>20</v>
      </c>
      <c r="L109" s="98"/>
      <c r="M109" s="94"/>
    </row>
    <row r="110" spans="2:15" ht="16.5" thickTop="1" thickBot="1">
      <c r="B110" t="s">
        <v>173</v>
      </c>
      <c r="C110">
        <f>2.5*AB9</f>
        <v>75</v>
      </c>
      <c r="F110" s="125">
        <f>(J112*J111^2+K112*K111^2+L112*L111^2+J54/(K109*10)*J109^2)/(J112*J111+K112*K111+L112*L111+J54/(K109*10)*J109)</f>
        <v>12</v>
      </c>
      <c r="G110" s="1">
        <f>(J115*J114^2+K115*K114^2+L115*L114^2)/(J115*J114+K115*K114+L115*L114)</f>
        <v>12</v>
      </c>
      <c r="I110" s="104"/>
      <c r="J110" s="105"/>
      <c r="K110" s="106"/>
      <c r="L110" s="98"/>
      <c r="M110" s="94"/>
    </row>
    <row r="111" spans="2:15" ht="16.5" thickTop="1" thickBot="1">
      <c r="B111" t="s">
        <v>174</v>
      </c>
      <c r="C111">
        <f>(AB8-AB46)/3</f>
        <v>63.040641542287126</v>
      </c>
      <c r="F111" s="124" t="s">
        <v>184</v>
      </c>
      <c r="G111" s="124" t="s">
        <v>184</v>
      </c>
      <c r="I111" s="233" t="s">
        <v>146</v>
      </c>
      <c r="J111" s="13">
        <f>'Verifica SLE'!C31</f>
        <v>10</v>
      </c>
      <c r="K111" s="13">
        <f>'Verifica SLE'!D31</f>
        <v>12</v>
      </c>
      <c r="L111" s="13">
        <f>'Verifica SLE'!E31</f>
        <v>14</v>
      </c>
      <c r="M111" s="107" t="str">
        <f>'Verifica SLE'!F31</f>
        <v>As, inserita</v>
      </c>
      <c r="O111" s="1">
        <v>0.2</v>
      </c>
    </row>
    <row r="112" spans="2:15" ht="16.5" thickTop="1" thickBot="1">
      <c r="B112" t="s">
        <v>175</v>
      </c>
      <c r="C112">
        <v>0.8</v>
      </c>
      <c r="F112" s="127">
        <f>5*(J33-F110/2)</f>
        <v>120</v>
      </c>
      <c r="G112" s="127">
        <f>5*(J33-G110/2)</f>
        <v>120</v>
      </c>
      <c r="I112" s="234"/>
      <c r="J112" s="37">
        <f>'Verifica SLE'!C32</f>
        <v>0</v>
      </c>
      <c r="K112" s="37">
        <f>'Verifica SLE'!D32</f>
        <v>3</v>
      </c>
      <c r="L112" s="37">
        <f>'Verifica SLE'!E32</f>
        <v>0</v>
      </c>
      <c r="M112" s="108">
        <f>'Verifica SLE'!F32</f>
        <v>339.29200658769764</v>
      </c>
      <c r="O112" s="1">
        <v>0.3</v>
      </c>
    </row>
    <row r="113" spans="2:15" ht="16.5" thickTop="1" thickBot="1">
      <c r="B113" t="s">
        <v>176</v>
      </c>
      <c r="C113">
        <v>0.5</v>
      </c>
      <c r="I113" s="85"/>
      <c r="J113" s="102"/>
      <c r="K113" s="103"/>
      <c r="L113" s="98"/>
      <c r="M113" s="94"/>
      <c r="O113" s="1">
        <v>0.4</v>
      </c>
    </row>
    <row r="114" spans="2:15" ht="16.5" thickTop="1" thickBot="1">
      <c r="B114" t="s">
        <v>177</v>
      </c>
      <c r="C114">
        <v>3.4</v>
      </c>
      <c r="I114" s="233" t="s">
        <v>147</v>
      </c>
      <c r="J114" s="13">
        <f>'Verifica SLE'!C34</f>
        <v>10</v>
      </c>
      <c r="K114" s="13">
        <f>'Verifica SLE'!D34</f>
        <v>12</v>
      </c>
      <c r="L114" s="13">
        <f>'Verifica SLE'!E34</f>
        <v>14</v>
      </c>
      <c r="M114" s="107" t="str">
        <f>'Verifica SLE'!F34</f>
        <v>As, inserita</v>
      </c>
    </row>
    <row r="115" spans="2:15" ht="16.5" thickTop="1" thickBot="1">
      <c r="B115" t="s">
        <v>178</v>
      </c>
      <c r="C115">
        <v>0.42499999999999999</v>
      </c>
      <c r="I115" s="234"/>
      <c r="J115" s="37">
        <f>'Verifica SLE'!C35</f>
        <v>0</v>
      </c>
      <c r="K115" s="37">
        <f>'Verifica SLE'!D35</f>
        <v>2</v>
      </c>
      <c r="L115" s="37">
        <f>'Verifica SLE'!E35</f>
        <v>0</v>
      </c>
      <c r="M115" s="108">
        <f>'Verifica SLE'!F35</f>
        <v>226.1946710584651</v>
      </c>
    </row>
    <row r="116" spans="2:15" ht="15.75" thickTop="1">
      <c r="B116" t="s">
        <v>179</v>
      </c>
      <c r="C116">
        <v>0.4</v>
      </c>
    </row>
    <row r="118" spans="2:15">
      <c r="B118" t="s">
        <v>180</v>
      </c>
      <c r="C118">
        <f>C114*AB9+C112*C113*C115*G110/C109</f>
        <v>158.8549683971226</v>
      </c>
    </row>
    <row r="119" spans="2:15" ht="21">
      <c r="B119" s="121" t="s">
        <v>181</v>
      </c>
      <c r="C119">
        <f>IF((AB49/AB13-C116*(AB16/(AB13*C109)+AB16/AB12))&lt;=0.6*AB49/AB13,0.6*AB49/AB13,AB49/AB13-C116*(AB16/(AB13*C109)+AB16/AB12))</f>
        <v>9.83093863923979E-4</v>
      </c>
      <c r="D119">
        <f>IF((AD49/AB13-C116*(AB16/(AB13*C109)+AB16/AB12))&lt;=0.6*AD49/AB13,0.6*AD49/AB13,AD49/AB13-C116*(AB16/(AB13*C109)+AB16/AB12))</f>
        <v>8.7873796510730016E-4</v>
      </c>
    </row>
    <row r="120" spans="2:15" ht="15.75" thickBot="1">
      <c r="B120" s="122" t="s">
        <v>182</v>
      </c>
      <c r="C120" s="123">
        <f>C118*C119</f>
        <v>0.15616934468504884</v>
      </c>
      <c r="D120" s="123">
        <f>C118*D119</f>
        <v>0.13959189167647199</v>
      </c>
      <c r="J120" s="94"/>
      <c r="K120" s="94" t="s">
        <v>189</v>
      </c>
      <c r="L120" s="94" t="s">
        <v>227</v>
      </c>
    </row>
    <row r="121" spans="2:15" ht="17.25" thickTop="1" thickBot="1">
      <c r="B121" s="243"/>
      <c r="C121" s="244"/>
      <c r="J121" t="s">
        <v>66</v>
      </c>
      <c r="K121" s="94">
        <v>0.4</v>
      </c>
      <c r="L121" s="94">
        <v>0.3</v>
      </c>
    </row>
    <row r="122" spans="2:15" ht="15.75" thickTop="1">
      <c r="J122" t="s">
        <v>67</v>
      </c>
      <c r="K122" s="94">
        <v>0.3</v>
      </c>
      <c r="L122" s="94">
        <v>0.2</v>
      </c>
    </row>
    <row r="123" spans="2:15">
      <c r="J123" t="s">
        <v>68</v>
      </c>
      <c r="K123" s="94">
        <v>0.2</v>
      </c>
      <c r="L123" s="94">
        <v>0.2</v>
      </c>
    </row>
    <row r="141" spans="2:8">
      <c r="B141" s="245" t="s">
        <v>196</v>
      </c>
      <c r="C141" s="245"/>
      <c r="D141" s="85"/>
      <c r="E141" s="85"/>
      <c r="F141" s="85"/>
    </row>
    <row r="142" spans="2:8">
      <c r="B142" s="245" t="s">
        <v>195</v>
      </c>
      <c r="C142" s="245"/>
      <c r="D142" s="85"/>
      <c r="E142" s="85" t="s">
        <v>199</v>
      </c>
      <c r="F142" s="130" t="s">
        <v>197</v>
      </c>
      <c r="H142" s="115">
        <f>IF('Verifica SLE'!C151='Foglio deposito'!E142,'Foglio deposito'!B144,'Foglio deposito'!C144)</f>
        <v>-6.3896946607494387</v>
      </c>
    </row>
    <row r="143" spans="2:8">
      <c r="B143" s="85" t="s">
        <v>193</v>
      </c>
      <c r="C143" s="85" t="s">
        <v>194</v>
      </c>
      <c r="D143" s="119"/>
      <c r="E143" s="85" t="s">
        <v>200</v>
      </c>
      <c r="F143" s="130" t="s">
        <v>198</v>
      </c>
      <c r="H143" s="112">
        <f>IF('Verifica SLE'!C153='Foglio deposito'!F142,'Foglio deposito'!B145,'Foglio deposito'!C145)</f>
        <v>219.88608657406493</v>
      </c>
    </row>
    <row r="144" spans="2:8">
      <c r="B144" s="113">
        <f>IF('Verifica SLE'!E158="SI",-'Verifica SLE'!D137/'Verifica SLE'!D145*10^2*'Verifica SLE'!D140,IF('Verifica SLE'!D139/'Verifica SLE'!D137&gt;1,-'Verifica SLE'!D137/'Verifica SLE'!D138*10^2*'Verifica SLE'!D140,-'Verifica SLE'!D137/'Verifica SLE'!D145*10^2*'Verifica SLE'!D140))</f>
        <v>-3.3639442067375338</v>
      </c>
      <c r="C144" s="113">
        <f>IF('Verifica SLE'!E158="SI",-'Verifica SLE'!D137/'Verifica SLE'!D124*10^2*'Verifica SLE'!D119,IF('Verifica SLE'!D139/'Verifica SLE'!D137&gt;1,-'Verifica SLE'!D137/'Verifica SLE'!D138*10^2*'Verifica SLE'!D119,-'Verifica SLE'!D137/'Verifica SLE'!D124*10^2*'Verifica SLE'!D119))</f>
        <v>-6.3896946607494387</v>
      </c>
      <c r="D144" s="85"/>
      <c r="E144" s="85"/>
      <c r="F144" s="85"/>
    </row>
    <row r="145" spans="2:6">
      <c r="B145" s="129">
        <f>IF('Verifica SLE'!E158="si",'Verifica SLE'!D137/'Verifica SLE'!D145*10^2*('Foglio deposito'!P4-'Verifica SLE'!D140)*'Verifica SLE'!D135,IF('Verifica SLE'!D139/'Verifica SLE'!D137&gt;1,'Verifica SLE'!D137/'Verifica SLE'!D138*10^2*('Foglio deposito'!P4-'Verifica SLE'!D140)*'Verifica SLE'!D135,'Verifica SLE'!D137/'Verifica SLE'!D145*10^2*('Foglio deposito'!P4-'Verifica SLE'!D140)*'Verifica SLE'!D135))</f>
        <v>230.75228658786796</v>
      </c>
      <c r="C145" s="113">
        <f>IF('Verifica SLE'!E158="si",'Verifica SLE'!D137/'Verifica SLE'!D124*10^2*('Foglio deposito'!P4-'Verifica SLE'!D119)*'Verifica SLE'!D114,IF('Verifica SLE'!D139/'Verifica SLE'!D137&gt;1,'Verifica SLE'!D137/'Verifica SLE'!D138*10^2*('Foglio deposito'!P4-'Verifica SLE'!D119)*'Verifica SLE'!D114,'Verifica SLE'!D137/'Verifica SLE'!D124*10^2*('Foglio deposito'!P4-'Verifica SLE'!D119)*'Verifica SLE'!D114))</f>
        <v>219.88608657406493</v>
      </c>
      <c r="D145" s="85"/>
      <c r="E145" s="85"/>
      <c r="F145" s="85"/>
    </row>
    <row r="146" spans="2:6">
      <c r="B146" s="114"/>
      <c r="C146" s="85"/>
      <c r="D146" s="85"/>
      <c r="E146" s="85"/>
      <c r="F146" s="85"/>
    </row>
  </sheetData>
  <protectedRanges>
    <protectedRange sqref="P3:P4" name="Intervallo1_3"/>
    <protectedRange sqref="S10:S11" name="Intervallo1_3_1"/>
  </protectedRanges>
  <mergeCells count="5">
    <mergeCell ref="B121:C121"/>
    <mergeCell ref="I111:I112"/>
    <mergeCell ref="I114:I115"/>
    <mergeCell ref="B142:C142"/>
    <mergeCell ref="B141:C141"/>
  </mergeCells>
  <conditionalFormatting sqref="B121:C121">
    <cfRule type="cellIs" dxfId="0" priority="1" operator="equal">
      <formula>TRUE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9</vt:i4>
      </vt:variant>
    </vt:vector>
  </HeadingPairs>
  <TitlesOfParts>
    <vt:vector size="14" baseType="lpstr">
      <vt:lpstr>Istruzioni</vt:lpstr>
      <vt:lpstr>Verifica SLE</vt:lpstr>
      <vt:lpstr>Foglio1</vt:lpstr>
      <vt:lpstr>fessurazione semplific.</vt:lpstr>
      <vt:lpstr>Foglio deposito</vt:lpstr>
      <vt:lpstr>ca</vt:lpstr>
      <vt:lpstr>cari</vt:lpstr>
      <vt:lpstr>clas</vt:lpstr>
      <vt:lpstr>comb</vt:lpstr>
      <vt:lpstr>fe</vt:lpstr>
      <vt:lpstr>fes</vt:lpstr>
      <vt:lpstr>sigc</vt:lpstr>
      <vt:lpstr>sigs</vt:lpstr>
      <vt:lpstr>SN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Nicla</dc:creator>
  <cp:lastModifiedBy>domenico gaudioso</cp:lastModifiedBy>
  <cp:lastPrinted>2019-09-28T20:32:08Z</cp:lastPrinted>
  <dcterms:created xsi:type="dcterms:W3CDTF">2015-10-09T07:06:57Z</dcterms:created>
  <dcterms:modified xsi:type="dcterms:W3CDTF">2019-09-28T20:35:20Z</dcterms:modified>
</cp:coreProperties>
</file>