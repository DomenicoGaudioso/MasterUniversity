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y7\Desktop\Magistrale\Magistrale\SISMICA\"/>
    </mc:Choice>
  </mc:AlternateContent>
  <xr:revisionPtr revIDLastSave="0" documentId="13_ncr:1_{47CE89A3-C826-4ECD-A42D-49D9BF63FD1A}" xr6:coauthVersionLast="44" xr6:coauthVersionMax="44" xr10:uidLastSave="{00000000-0000-0000-0000-000000000000}"/>
  <bookViews>
    <workbookView xWindow="-120" yWindow="-120" windowWidth="20730" windowHeight="11160" firstSheet="2" activeTab="5" xr2:uid="{D0307B03-E38E-48C0-AE8F-8F5E0B80E4AA}"/>
  </bookViews>
  <sheets>
    <sheet name="PILASTRI" sheetId="6" r:id="rId1"/>
    <sheet name="M-Theta pilastri per SAP" sheetId="8" r:id="rId2"/>
    <sheet name="Theta pilastri VCA" sheetId="7" r:id="rId3"/>
    <sheet name="coeff alpha" sheetId="10" r:id="rId4"/>
    <sheet name="verifica duttilità" sheetId="9" r:id="rId5"/>
    <sheet name="TRAVI" sheetId="4" r:id="rId6"/>
    <sheet name="M-Theta travi per SAP" sheetId="5" r:id="rId7"/>
    <sheet name="Theta travi VCA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6" i="9" l="1"/>
  <c r="M7" i="9"/>
  <c r="N7" i="9"/>
  <c r="M8" i="9"/>
  <c r="N8" i="9"/>
  <c r="M9" i="9"/>
  <c r="N9" i="9"/>
  <c r="M10" i="9"/>
  <c r="N10" i="9"/>
  <c r="M11" i="9"/>
  <c r="N11" i="9"/>
  <c r="M12" i="9"/>
  <c r="N12" i="9"/>
  <c r="M13" i="9"/>
  <c r="N13" i="9"/>
  <c r="M14" i="9"/>
  <c r="N14" i="9"/>
  <c r="M15" i="9"/>
  <c r="N15" i="9"/>
  <c r="C3" i="10"/>
  <c r="C4" i="10"/>
  <c r="C5" i="10"/>
  <c r="C6" i="10"/>
  <c r="C7" i="10"/>
  <c r="C8" i="10"/>
  <c r="C9" i="10"/>
  <c r="C2" i="10"/>
  <c r="N6" i="9"/>
  <c r="M6" i="9"/>
  <c r="G22" i="9"/>
  <c r="G23" i="9"/>
  <c r="G24" i="9"/>
  <c r="G25" i="9"/>
  <c r="G26" i="9"/>
  <c r="G27" i="9"/>
  <c r="G28" i="9"/>
  <c r="G29" i="9"/>
  <c r="G30" i="9"/>
  <c r="G21" i="9"/>
  <c r="J29" i="9" l="1"/>
  <c r="J23" i="9"/>
  <c r="J27" i="9"/>
  <c r="J25" i="9"/>
  <c r="L25" i="9" s="1"/>
  <c r="J28" i="9"/>
  <c r="J26" i="9"/>
  <c r="J22" i="9"/>
  <c r="J30" i="9"/>
  <c r="L30" i="9" s="1"/>
  <c r="J24" i="9"/>
  <c r="K28" i="9"/>
  <c r="K24" i="9"/>
  <c r="K21" i="9"/>
  <c r="K27" i="9"/>
  <c r="L27" i="9" s="1"/>
  <c r="K23" i="9"/>
  <c r="L23" i="9" s="1"/>
  <c r="K30" i="9"/>
  <c r="K26" i="9"/>
  <c r="K22" i="9"/>
  <c r="L22" i="9" s="1"/>
  <c r="K29" i="9"/>
  <c r="K25" i="9"/>
  <c r="C10" i="10"/>
  <c r="L28" i="9"/>
  <c r="J21" i="9"/>
  <c r="L26" i="9" l="1"/>
  <c r="L29" i="9"/>
  <c r="L24" i="9"/>
  <c r="L21" i="9"/>
  <c r="I22" i="9" l="1"/>
  <c r="I23" i="9"/>
  <c r="I24" i="9"/>
  <c r="I25" i="9"/>
  <c r="I26" i="9"/>
  <c r="I27" i="9"/>
  <c r="I28" i="9"/>
  <c r="I29" i="9"/>
  <c r="I30" i="9"/>
  <c r="I21" i="9"/>
  <c r="E7" i="9"/>
  <c r="F7" i="9"/>
  <c r="G7" i="9"/>
  <c r="H7" i="9"/>
  <c r="O7" i="9"/>
  <c r="H22" i="9"/>
  <c r="M22" i="9" s="1"/>
  <c r="E8" i="9"/>
  <c r="F8" i="9"/>
  <c r="G8" i="9"/>
  <c r="H8" i="9"/>
  <c r="O8" i="9"/>
  <c r="H23" i="9"/>
  <c r="M23" i="9" s="1"/>
  <c r="E9" i="9"/>
  <c r="F9" i="9"/>
  <c r="G9" i="9"/>
  <c r="H9" i="9"/>
  <c r="O9" i="9"/>
  <c r="H24" i="9"/>
  <c r="M24" i="9" s="1"/>
  <c r="E10" i="9"/>
  <c r="F10" i="9"/>
  <c r="G10" i="9"/>
  <c r="H10" i="9"/>
  <c r="O10" i="9"/>
  <c r="H25" i="9"/>
  <c r="E11" i="9"/>
  <c r="F11" i="9"/>
  <c r="G11" i="9"/>
  <c r="H11" i="9"/>
  <c r="O11" i="9"/>
  <c r="H26" i="9"/>
  <c r="M26" i="9" s="1"/>
  <c r="E12" i="9"/>
  <c r="F12" i="9"/>
  <c r="G12" i="9"/>
  <c r="H12" i="9"/>
  <c r="O12" i="9"/>
  <c r="H27" i="9"/>
  <c r="M27" i="9" s="1"/>
  <c r="E13" i="9"/>
  <c r="F13" i="9"/>
  <c r="G13" i="9"/>
  <c r="H13" i="9"/>
  <c r="O13" i="9"/>
  <c r="H28" i="9"/>
  <c r="M28" i="9" s="1"/>
  <c r="E14" i="9"/>
  <c r="F14" i="9"/>
  <c r="G14" i="9"/>
  <c r="H14" i="9"/>
  <c r="O14" i="9"/>
  <c r="H29" i="9"/>
  <c r="E15" i="9"/>
  <c r="F15" i="9"/>
  <c r="G15" i="9"/>
  <c r="H15" i="9"/>
  <c r="O15" i="9"/>
  <c r="H30" i="9"/>
  <c r="M30" i="9" s="1"/>
  <c r="H21" i="9"/>
  <c r="M21" i="9" s="1"/>
  <c r="O6" i="9"/>
  <c r="H6" i="9"/>
  <c r="G6" i="9"/>
  <c r="E6" i="9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4" i="7"/>
  <c r="J5" i="7"/>
  <c r="J6" i="7"/>
  <c r="J7" i="7"/>
  <c r="J8" i="7"/>
  <c r="J9" i="7"/>
  <c r="J3" i="7"/>
  <c r="I15" i="9" l="1"/>
  <c r="I13" i="9"/>
  <c r="M29" i="9"/>
  <c r="I11" i="9"/>
  <c r="P11" i="9" s="1"/>
  <c r="N26" i="9" s="1"/>
  <c r="I9" i="9"/>
  <c r="I7" i="9"/>
  <c r="P7" i="9" s="1"/>
  <c r="N22" i="9" s="1"/>
  <c r="I14" i="9"/>
  <c r="P14" i="9" s="1"/>
  <c r="N29" i="9" s="1"/>
  <c r="M25" i="9"/>
  <c r="I6" i="9"/>
  <c r="P6" i="9" s="1"/>
  <c r="P13" i="9"/>
  <c r="N28" i="9" s="1"/>
  <c r="I12" i="9"/>
  <c r="P12" i="9" s="1"/>
  <c r="N27" i="9" s="1"/>
  <c r="I10" i="9"/>
  <c r="P10" i="9" s="1"/>
  <c r="I8" i="9"/>
  <c r="P8" i="9" s="1"/>
  <c r="N23" i="9" s="1"/>
  <c r="P15" i="9"/>
  <c r="N30" i="9" s="1"/>
  <c r="P9" i="9"/>
  <c r="N24" i="9" s="1"/>
  <c r="F44" i="8"/>
  <c r="F42" i="8"/>
  <c r="F40" i="8"/>
  <c r="F38" i="8"/>
  <c r="F36" i="8"/>
  <c r="F34" i="8"/>
  <c r="F32" i="8"/>
  <c r="F30" i="8"/>
  <c r="F28" i="8"/>
  <c r="F26" i="8"/>
  <c r="F24" i="8"/>
  <c r="F22" i="8"/>
  <c r="F20" i="8"/>
  <c r="F18" i="8"/>
  <c r="F16" i="8"/>
  <c r="F14" i="8"/>
  <c r="F12" i="8"/>
  <c r="F10" i="8"/>
  <c r="F8" i="8"/>
  <c r="F6" i="8"/>
  <c r="F4" i="8"/>
  <c r="F2" i="8"/>
  <c r="B50" i="8" a="1"/>
  <c r="B50" i="8" s="1"/>
  <c r="G45" i="8"/>
  <c r="F45" i="8"/>
  <c r="E45" i="8"/>
  <c r="D45" i="8"/>
  <c r="G44" i="8"/>
  <c r="E44" i="8"/>
  <c r="D44" i="8"/>
  <c r="G43" i="8"/>
  <c r="F43" i="8"/>
  <c r="E43" i="8"/>
  <c r="D43" i="8"/>
  <c r="G42" i="8"/>
  <c r="E42" i="8"/>
  <c r="D42" i="8"/>
  <c r="G41" i="8"/>
  <c r="F41" i="8"/>
  <c r="E41" i="8"/>
  <c r="D41" i="8"/>
  <c r="G40" i="8"/>
  <c r="E40" i="8"/>
  <c r="D40" i="8"/>
  <c r="G39" i="8"/>
  <c r="F39" i="8"/>
  <c r="E39" i="8"/>
  <c r="D39" i="8"/>
  <c r="G38" i="8"/>
  <c r="E38" i="8"/>
  <c r="D38" i="8"/>
  <c r="G37" i="8"/>
  <c r="F37" i="8"/>
  <c r="E37" i="8"/>
  <c r="D37" i="8"/>
  <c r="G36" i="8"/>
  <c r="E36" i="8"/>
  <c r="D36" i="8"/>
  <c r="G35" i="8"/>
  <c r="F35" i="8"/>
  <c r="E35" i="8"/>
  <c r="D35" i="8"/>
  <c r="G34" i="8"/>
  <c r="E34" i="8"/>
  <c r="D34" i="8"/>
  <c r="G33" i="8"/>
  <c r="F33" i="8"/>
  <c r="E33" i="8"/>
  <c r="D33" i="8"/>
  <c r="G32" i="8"/>
  <c r="E32" i="8"/>
  <c r="D32" i="8"/>
  <c r="G31" i="8"/>
  <c r="F31" i="8"/>
  <c r="E31" i="8"/>
  <c r="D31" i="8"/>
  <c r="G30" i="8"/>
  <c r="E30" i="8"/>
  <c r="D30" i="8"/>
  <c r="G29" i="8"/>
  <c r="F29" i="8"/>
  <c r="E29" i="8"/>
  <c r="D29" i="8"/>
  <c r="G28" i="8"/>
  <c r="E28" i="8"/>
  <c r="D28" i="8"/>
  <c r="G27" i="8"/>
  <c r="F27" i="8"/>
  <c r="E27" i="8"/>
  <c r="D27" i="8"/>
  <c r="G26" i="8"/>
  <c r="E26" i="8"/>
  <c r="D26" i="8"/>
  <c r="G25" i="8"/>
  <c r="F25" i="8"/>
  <c r="E25" i="8"/>
  <c r="D25" i="8"/>
  <c r="G24" i="8"/>
  <c r="E24" i="8"/>
  <c r="D24" i="8"/>
  <c r="G23" i="8"/>
  <c r="F23" i="8"/>
  <c r="E23" i="8"/>
  <c r="D23" i="8"/>
  <c r="G22" i="8"/>
  <c r="E22" i="8"/>
  <c r="D22" i="8"/>
  <c r="G21" i="8"/>
  <c r="F21" i="8"/>
  <c r="E21" i="8"/>
  <c r="D21" i="8"/>
  <c r="G20" i="8"/>
  <c r="E20" i="8"/>
  <c r="D20" i="8"/>
  <c r="G19" i="8"/>
  <c r="F19" i="8"/>
  <c r="E19" i="8"/>
  <c r="D19" i="8"/>
  <c r="G18" i="8"/>
  <c r="E18" i="8"/>
  <c r="D18" i="8"/>
  <c r="G17" i="8"/>
  <c r="F17" i="8"/>
  <c r="E17" i="8"/>
  <c r="D17" i="8"/>
  <c r="G16" i="8"/>
  <c r="E16" i="8"/>
  <c r="D16" i="8"/>
  <c r="G15" i="8"/>
  <c r="F15" i="8"/>
  <c r="E15" i="8"/>
  <c r="D15" i="8"/>
  <c r="G14" i="8"/>
  <c r="E14" i="8"/>
  <c r="D14" i="8"/>
  <c r="G13" i="8"/>
  <c r="F13" i="8"/>
  <c r="E13" i="8"/>
  <c r="D13" i="8"/>
  <c r="G12" i="8"/>
  <c r="E12" i="8"/>
  <c r="D12" i="8"/>
  <c r="G11" i="8"/>
  <c r="F11" i="8"/>
  <c r="E11" i="8"/>
  <c r="D11" i="8"/>
  <c r="G10" i="8"/>
  <c r="E10" i="8"/>
  <c r="D10" i="8"/>
  <c r="G9" i="8"/>
  <c r="F9" i="8"/>
  <c r="E9" i="8"/>
  <c r="D9" i="8"/>
  <c r="G8" i="8"/>
  <c r="E8" i="8"/>
  <c r="D8" i="8"/>
  <c r="G7" i="8"/>
  <c r="F7" i="8"/>
  <c r="E7" i="8"/>
  <c r="D7" i="8"/>
  <c r="G6" i="8"/>
  <c r="E6" i="8"/>
  <c r="D6" i="8"/>
  <c r="G5" i="8"/>
  <c r="F5" i="8"/>
  <c r="E5" i="8"/>
  <c r="D5" i="8"/>
  <c r="G4" i="8"/>
  <c r="E4" i="8"/>
  <c r="D4" i="8"/>
  <c r="G3" i="8"/>
  <c r="F3" i="8"/>
  <c r="E3" i="8"/>
  <c r="D3" i="8"/>
  <c r="G2" i="8"/>
  <c r="E2" i="8"/>
  <c r="D2" i="8"/>
  <c r="O4" i="6"/>
  <c r="P4" i="6"/>
  <c r="Q4" i="6" s="1"/>
  <c r="O5" i="6"/>
  <c r="P5" i="6"/>
  <c r="Q5" i="6"/>
  <c r="O6" i="6"/>
  <c r="P6" i="6"/>
  <c r="Q6" i="6" s="1"/>
  <c r="O7" i="6"/>
  <c r="P7" i="6"/>
  <c r="Q7" i="6"/>
  <c r="O8" i="6"/>
  <c r="P8" i="6"/>
  <c r="Q8" i="6" s="1"/>
  <c r="O9" i="6"/>
  <c r="P9" i="6"/>
  <c r="Q9" i="6"/>
  <c r="O10" i="6"/>
  <c r="P10" i="6"/>
  <c r="Q10" i="6" s="1"/>
  <c r="O11" i="6"/>
  <c r="P11" i="6"/>
  <c r="Q11" i="6"/>
  <c r="O12" i="6"/>
  <c r="P12" i="6"/>
  <c r="Q12" i="6" s="1"/>
  <c r="O13" i="6"/>
  <c r="P13" i="6"/>
  <c r="Q13" i="6"/>
  <c r="O14" i="6"/>
  <c r="P14" i="6"/>
  <c r="Q14" i="6" s="1"/>
  <c r="O15" i="6"/>
  <c r="P15" i="6"/>
  <c r="Q15" i="6"/>
  <c r="O16" i="6"/>
  <c r="P16" i="6"/>
  <c r="Q16" i="6" s="1"/>
  <c r="O17" i="6"/>
  <c r="P17" i="6"/>
  <c r="Q17" i="6"/>
  <c r="O18" i="6"/>
  <c r="P18" i="6"/>
  <c r="Q18" i="6" s="1"/>
  <c r="O19" i="6"/>
  <c r="P19" i="6"/>
  <c r="Q19" i="6"/>
  <c r="O20" i="6"/>
  <c r="P20" i="6"/>
  <c r="Q20" i="6" s="1"/>
  <c r="O21" i="6"/>
  <c r="P21" i="6"/>
  <c r="Q21" i="6"/>
  <c r="O22" i="6"/>
  <c r="P22" i="6"/>
  <c r="Q22" i="6" s="1"/>
  <c r="O23" i="6"/>
  <c r="P23" i="6"/>
  <c r="Q23" i="6"/>
  <c r="O24" i="6"/>
  <c r="P24" i="6"/>
  <c r="Q24" i="6" s="1"/>
  <c r="P3" i="6"/>
  <c r="O3" i="6"/>
  <c r="G4" i="6"/>
  <c r="H4" i="6"/>
  <c r="I4" i="6"/>
  <c r="J4" i="6"/>
  <c r="L4" i="6" s="1"/>
  <c r="M4" i="6" s="1"/>
  <c r="N4" i="6" s="1"/>
  <c r="K4" i="6"/>
  <c r="G5" i="6"/>
  <c r="H5" i="6"/>
  <c r="I5" i="6"/>
  <c r="J5" i="6"/>
  <c r="L5" i="6" s="1"/>
  <c r="K5" i="6"/>
  <c r="G6" i="6"/>
  <c r="H6" i="6"/>
  <c r="I6" i="6"/>
  <c r="J6" i="6"/>
  <c r="L6" i="6" s="1"/>
  <c r="K6" i="6"/>
  <c r="G7" i="6"/>
  <c r="H7" i="6"/>
  <c r="I7" i="6"/>
  <c r="J7" i="6"/>
  <c r="L7" i="6" s="1"/>
  <c r="K7" i="6"/>
  <c r="G8" i="6"/>
  <c r="H8" i="6"/>
  <c r="I8" i="6"/>
  <c r="J8" i="6"/>
  <c r="L8" i="6" s="1"/>
  <c r="M8" i="6" s="1"/>
  <c r="N8" i="6" s="1"/>
  <c r="K8" i="6"/>
  <c r="G9" i="6"/>
  <c r="H9" i="6"/>
  <c r="I9" i="6"/>
  <c r="J9" i="6"/>
  <c r="L9" i="6" s="1"/>
  <c r="K9" i="6"/>
  <c r="G10" i="6"/>
  <c r="H10" i="6"/>
  <c r="I10" i="6"/>
  <c r="J10" i="6"/>
  <c r="L10" i="6" s="1"/>
  <c r="K10" i="6"/>
  <c r="G11" i="6"/>
  <c r="H11" i="6"/>
  <c r="I11" i="6"/>
  <c r="J11" i="6"/>
  <c r="L11" i="6" s="1"/>
  <c r="K11" i="6"/>
  <c r="G12" i="6"/>
  <c r="H12" i="6"/>
  <c r="I12" i="6"/>
  <c r="J12" i="6"/>
  <c r="L12" i="6" s="1"/>
  <c r="M12" i="6" s="1"/>
  <c r="N12" i="6" s="1"/>
  <c r="K12" i="6"/>
  <c r="G13" i="6"/>
  <c r="H13" i="6"/>
  <c r="I13" i="6"/>
  <c r="J13" i="6"/>
  <c r="L13" i="6" s="1"/>
  <c r="K13" i="6"/>
  <c r="G14" i="6"/>
  <c r="H14" i="6"/>
  <c r="I14" i="6"/>
  <c r="J14" i="6"/>
  <c r="L14" i="6" s="1"/>
  <c r="K14" i="6"/>
  <c r="G15" i="6"/>
  <c r="H15" i="6"/>
  <c r="I15" i="6"/>
  <c r="J15" i="6"/>
  <c r="L15" i="6" s="1"/>
  <c r="K15" i="6"/>
  <c r="G16" i="6"/>
  <c r="H16" i="6"/>
  <c r="I16" i="6"/>
  <c r="J16" i="6"/>
  <c r="L16" i="6" s="1"/>
  <c r="M16" i="6" s="1"/>
  <c r="N16" i="6" s="1"/>
  <c r="K16" i="6"/>
  <c r="G17" i="6"/>
  <c r="H17" i="6"/>
  <c r="I17" i="6"/>
  <c r="J17" i="6"/>
  <c r="L17" i="6" s="1"/>
  <c r="K17" i="6"/>
  <c r="G18" i="6"/>
  <c r="H18" i="6"/>
  <c r="I18" i="6"/>
  <c r="J18" i="6"/>
  <c r="L18" i="6" s="1"/>
  <c r="K18" i="6"/>
  <c r="G19" i="6"/>
  <c r="H19" i="6"/>
  <c r="I19" i="6"/>
  <c r="J19" i="6"/>
  <c r="L19" i="6" s="1"/>
  <c r="K19" i="6"/>
  <c r="G20" i="6"/>
  <c r="H20" i="6"/>
  <c r="I20" i="6"/>
  <c r="J20" i="6"/>
  <c r="L20" i="6" s="1"/>
  <c r="M20" i="6" s="1"/>
  <c r="N20" i="6" s="1"/>
  <c r="K20" i="6"/>
  <c r="G21" i="6"/>
  <c r="H21" i="6"/>
  <c r="I21" i="6"/>
  <c r="J21" i="6"/>
  <c r="L21" i="6" s="1"/>
  <c r="K21" i="6"/>
  <c r="G22" i="6"/>
  <c r="H22" i="6"/>
  <c r="I22" i="6"/>
  <c r="J22" i="6"/>
  <c r="L22" i="6" s="1"/>
  <c r="K22" i="6"/>
  <c r="G23" i="6"/>
  <c r="H23" i="6"/>
  <c r="I23" i="6"/>
  <c r="J23" i="6"/>
  <c r="L23" i="6" s="1"/>
  <c r="K23" i="6"/>
  <c r="G24" i="6"/>
  <c r="H24" i="6"/>
  <c r="I24" i="6"/>
  <c r="J24" i="6"/>
  <c r="L24" i="6" s="1"/>
  <c r="M24" i="6" s="1"/>
  <c r="N24" i="6" s="1"/>
  <c r="K24" i="6"/>
  <c r="K3" i="6"/>
  <c r="J3" i="6"/>
  <c r="I3" i="6"/>
  <c r="F22" i="7"/>
  <c r="G22" i="7"/>
  <c r="F23" i="7"/>
  <c r="G23" i="7"/>
  <c r="F24" i="7"/>
  <c r="G24" i="7"/>
  <c r="G21" i="7"/>
  <c r="F21" i="7"/>
  <c r="F17" i="7"/>
  <c r="G17" i="7"/>
  <c r="F18" i="7"/>
  <c r="G18" i="7"/>
  <c r="F19" i="7"/>
  <c r="G19" i="7"/>
  <c r="F20" i="7"/>
  <c r="G20" i="7"/>
  <c r="G16" i="7"/>
  <c r="F16" i="7"/>
  <c r="F11" i="7"/>
  <c r="G11" i="7"/>
  <c r="F12" i="7"/>
  <c r="G12" i="7"/>
  <c r="F13" i="7"/>
  <c r="G13" i="7"/>
  <c r="F14" i="7"/>
  <c r="G14" i="7"/>
  <c r="F15" i="7"/>
  <c r="G15" i="7"/>
  <c r="G10" i="7"/>
  <c r="F10" i="7"/>
  <c r="G9" i="7"/>
  <c r="F9" i="7"/>
  <c r="G8" i="7"/>
  <c r="F8" i="7"/>
  <c r="F6" i="7"/>
  <c r="G6" i="7"/>
  <c r="F7" i="7"/>
  <c r="G7" i="7"/>
  <c r="F4" i="7"/>
  <c r="G4" i="7"/>
  <c r="F5" i="7"/>
  <c r="G5" i="7"/>
  <c r="G3" i="7"/>
  <c r="F3" i="7"/>
  <c r="Q3" i="6"/>
  <c r="H3" i="6"/>
  <c r="G3" i="6"/>
  <c r="N21" i="9" l="1"/>
  <c r="N25" i="9"/>
  <c r="AS55" i="8"/>
  <c r="AI55" i="8"/>
  <c r="T55" i="8"/>
  <c r="AQ54" i="8"/>
  <c r="U54" i="8"/>
  <c r="AR53" i="8"/>
  <c r="W53" i="8"/>
  <c r="AS52" i="8"/>
  <c r="X52" i="8"/>
  <c r="C52" i="8"/>
  <c r="U51" i="8"/>
  <c r="AG50" i="8"/>
  <c r="AO55" i="8"/>
  <c r="AE55" i="8"/>
  <c r="O55" i="8"/>
  <c r="AK54" i="8"/>
  <c r="P54" i="8"/>
  <c r="AM53" i="8"/>
  <c r="Q53" i="8"/>
  <c r="AN52" i="8"/>
  <c r="S52" i="8"/>
  <c r="AO51" i="8"/>
  <c r="M51" i="8"/>
  <c r="Y50" i="8"/>
  <c r="AN55" i="8"/>
  <c r="AC55" i="8"/>
  <c r="I55" i="8"/>
  <c r="AF54" i="8"/>
  <c r="K54" i="8"/>
  <c r="AG53" i="8"/>
  <c r="L53" i="8"/>
  <c r="AI52" i="8"/>
  <c r="M52" i="8"/>
  <c r="AJ51" i="8"/>
  <c r="E51" i="8"/>
  <c r="Q50" i="8"/>
  <c r="AJ55" i="8"/>
  <c r="Y55" i="8"/>
  <c r="D55" i="8"/>
  <c r="AA54" i="8"/>
  <c r="E54" i="8"/>
  <c r="AB53" i="8"/>
  <c r="G53" i="8"/>
  <c r="AC52" i="8"/>
  <c r="H52" i="8"/>
  <c r="AC51" i="8"/>
  <c r="AO50" i="8"/>
  <c r="I50" i="8"/>
  <c r="S55" i="8"/>
  <c r="Y54" i="8"/>
  <c r="P53" i="8"/>
  <c r="P50" i="8"/>
  <c r="AG55" i="8"/>
  <c r="AB55" i="8"/>
  <c r="W55" i="8"/>
  <c r="Q55" i="8"/>
  <c r="L55" i="8"/>
  <c r="AS54" i="8"/>
  <c r="AN54" i="8"/>
  <c r="AI54" i="8"/>
  <c r="AC54" i="8"/>
  <c r="X54" i="8"/>
  <c r="S54" i="8"/>
  <c r="M54" i="8"/>
  <c r="H54" i="8"/>
  <c r="C54" i="8"/>
  <c r="AO53" i="8"/>
  <c r="AJ53" i="8"/>
  <c r="AE53" i="8"/>
  <c r="Y53" i="8"/>
  <c r="T53" i="8"/>
  <c r="O53" i="8"/>
  <c r="I53" i="8"/>
  <c r="D53" i="8"/>
  <c r="AQ52" i="8"/>
  <c r="AK52" i="8"/>
  <c r="AF52" i="8"/>
  <c r="AA52" i="8"/>
  <c r="U52" i="8"/>
  <c r="P52" i="8"/>
  <c r="K52" i="8"/>
  <c r="E52" i="8"/>
  <c r="AR51" i="8"/>
  <c r="AM51" i="8"/>
  <c r="AG51" i="8"/>
  <c r="Y51" i="8"/>
  <c r="Q51" i="8"/>
  <c r="I51" i="8"/>
  <c r="AS50" i="8"/>
  <c r="AK50" i="8"/>
  <c r="AC50" i="8"/>
  <c r="U50" i="8"/>
  <c r="M50" i="8"/>
  <c r="E50" i="8"/>
  <c r="X55" i="8"/>
  <c r="M55" i="8"/>
  <c r="H55" i="8"/>
  <c r="C55" i="8"/>
  <c r="AO54" i="8"/>
  <c r="AJ54" i="8"/>
  <c r="AE54" i="8"/>
  <c r="T54" i="8"/>
  <c r="O54" i="8"/>
  <c r="I54" i="8"/>
  <c r="D54" i="8"/>
  <c r="AQ53" i="8"/>
  <c r="AK53" i="8"/>
  <c r="AF53" i="8"/>
  <c r="AA53" i="8"/>
  <c r="U53" i="8"/>
  <c r="K53" i="8"/>
  <c r="E53" i="8"/>
  <c r="AR52" i="8"/>
  <c r="AM52" i="8"/>
  <c r="AG52" i="8"/>
  <c r="AB52" i="8"/>
  <c r="W52" i="8"/>
  <c r="Q52" i="8"/>
  <c r="L52" i="8"/>
  <c r="G52" i="8"/>
  <c r="AS51" i="8"/>
  <c r="AN51" i="8"/>
  <c r="AI51" i="8"/>
  <c r="AB51" i="8"/>
  <c r="T51" i="8"/>
  <c r="L51" i="8"/>
  <c r="D51" i="8"/>
  <c r="AN50" i="8"/>
  <c r="AF50" i="8"/>
  <c r="X50" i="8"/>
  <c r="H50" i="8"/>
  <c r="AR55" i="8"/>
  <c r="AM55" i="8"/>
  <c r="G55" i="8"/>
  <c r="AQ55" i="8"/>
  <c r="AK55" i="8"/>
  <c r="AF55" i="8"/>
  <c r="AA55" i="8"/>
  <c r="U55" i="8"/>
  <c r="P55" i="8"/>
  <c r="K55" i="8"/>
  <c r="E55" i="8"/>
  <c r="AR54" i="8"/>
  <c r="AM54" i="8"/>
  <c r="AG54" i="8"/>
  <c r="AB54" i="8"/>
  <c r="W54" i="8"/>
  <c r="Q54" i="8"/>
  <c r="L54" i="8"/>
  <c r="G54" i="8"/>
  <c r="AS53" i="8"/>
  <c r="AN53" i="8"/>
  <c r="AI53" i="8"/>
  <c r="AC53" i="8"/>
  <c r="X53" i="8"/>
  <c r="S53" i="8"/>
  <c r="M53" i="8"/>
  <c r="H53" i="8"/>
  <c r="C53" i="8"/>
  <c r="AO52" i="8"/>
  <c r="AJ52" i="8"/>
  <c r="AE52" i="8"/>
  <c r="Y52" i="8"/>
  <c r="T52" i="8"/>
  <c r="O52" i="8"/>
  <c r="I52" i="8"/>
  <c r="D52" i="8"/>
  <c r="AQ51" i="8"/>
  <c r="AK51" i="8"/>
  <c r="AF51" i="8"/>
  <c r="X51" i="8"/>
  <c r="P51" i="8"/>
  <c r="H51" i="8"/>
  <c r="AR50" i="8"/>
  <c r="AJ50" i="8"/>
  <c r="AB50" i="8"/>
  <c r="T50" i="8"/>
  <c r="L50" i="8"/>
  <c r="D50" i="8"/>
  <c r="AE51" i="8"/>
  <c r="AA51" i="8"/>
  <c r="W51" i="8"/>
  <c r="S51" i="8"/>
  <c r="O51" i="8"/>
  <c r="K51" i="8"/>
  <c r="G51" i="8"/>
  <c r="C51" i="8"/>
  <c r="AQ50" i="8"/>
  <c r="AM50" i="8"/>
  <c r="AI50" i="8"/>
  <c r="AE50" i="8"/>
  <c r="AA50" i="8"/>
  <c r="W50" i="8"/>
  <c r="S50" i="8"/>
  <c r="O50" i="8"/>
  <c r="K50" i="8"/>
  <c r="G50" i="8"/>
  <c r="C50" i="8"/>
  <c r="AP55" i="8"/>
  <c r="AL55" i="8"/>
  <c r="AH55" i="8"/>
  <c r="AD55" i="8"/>
  <c r="Z55" i="8"/>
  <c r="V55" i="8"/>
  <c r="R55" i="8"/>
  <c r="N55" i="8"/>
  <c r="J55" i="8"/>
  <c r="F55" i="8"/>
  <c r="B55" i="8"/>
  <c r="AP54" i="8"/>
  <c r="AL54" i="8"/>
  <c r="AH54" i="8"/>
  <c r="AD54" i="8"/>
  <c r="Z54" i="8"/>
  <c r="V54" i="8"/>
  <c r="R54" i="8"/>
  <c r="N54" i="8"/>
  <c r="J54" i="8"/>
  <c r="F54" i="8"/>
  <c r="B54" i="8"/>
  <c r="AP53" i="8"/>
  <c r="AL53" i="8"/>
  <c r="AH53" i="8"/>
  <c r="AD53" i="8"/>
  <c r="Z53" i="8"/>
  <c r="V53" i="8"/>
  <c r="R53" i="8"/>
  <c r="N53" i="8"/>
  <c r="J53" i="8"/>
  <c r="F53" i="8"/>
  <c r="B53" i="8"/>
  <c r="AP52" i="8"/>
  <c r="AL52" i="8"/>
  <c r="AH52" i="8"/>
  <c r="AD52" i="8"/>
  <c r="Z52" i="8"/>
  <c r="V52" i="8"/>
  <c r="R52" i="8"/>
  <c r="N52" i="8"/>
  <c r="J52" i="8"/>
  <c r="F52" i="8"/>
  <c r="B52" i="8"/>
  <c r="AP51" i="8"/>
  <c r="AL51" i="8"/>
  <c r="AH51" i="8"/>
  <c r="AD51" i="8"/>
  <c r="Z51" i="8"/>
  <c r="V51" i="8"/>
  <c r="R51" i="8"/>
  <c r="N51" i="8"/>
  <c r="J51" i="8"/>
  <c r="F51" i="8"/>
  <c r="B51" i="8"/>
  <c r="AP50" i="8"/>
  <c r="AL50" i="8"/>
  <c r="AH50" i="8"/>
  <c r="AD50" i="8"/>
  <c r="Z50" i="8"/>
  <c r="V50" i="8"/>
  <c r="R50" i="8"/>
  <c r="N50" i="8"/>
  <c r="J50" i="8"/>
  <c r="F50" i="8"/>
  <c r="M13" i="6"/>
  <c r="N13" i="6" s="1"/>
  <c r="M9" i="6"/>
  <c r="N9" i="6" s="1"/>
  <c r="M5" i="6"/>
  <c r="N5" i="6" s="1"/>
  <c r="M22" i="6"/>
  <c r="N22" i="6" s="1"/>
  <c r="M18" i="6"/>
  <c r="N18" i="6" s="1"/>
  <c r="M14" i="6"/>
  <c r="N14" i="6" s="1"/>
  <c r="M10" i="6"/>
  <c r="N10" i="6" s="1"/>
  <c r="M6" i="6"/>
  <c r="N6" i="6" s="1"/>
  <c r="M21" i="6"/>
  <c r="N21" i="6" s="1"/>
  <c r="M17" i="6"/>
  <c r="N17" i="6" s="1"/>
  <c r="M23" i="6"/>
  <c r="N23" i="6" s="1"/>
  <c r="M19" i="6"/>
  <c r="N19" i="6" s="1"/>
  <c r="M15" i="6"/>
  <c r="N15" i="6" s="1"/>
  <c r="M11" i="6"/>
  <c r="N11" i="6" s="1"/>
  <c r="M7" i="6"/>
  <c r="N7" i="6" s="1"/>
  <c r="L3" i="6"/>
  <c r="M3" i="6" s="1"/>
  <c r="N3" i="6" s="1"/>
  <c r="C6" i="5"/>
  <c r="D6" i="5"/>
  <c r="E6" i="5"/>
  <c r="F6" i="5"/>
  <c r="H6" i="5"/>
  <c r="I6" i="5"/>
  <c r="J6" i="5"/>
  <c r="K6" i="5"/>
  <c r="C7" i="5"/>
  <c r="D7" i="5"/>
  <c r="E7" i="5"/>
  <c r="F7" i="5"/>
  <c r="H7" i="5"/>
  <c r="I7" i="5"/>
  <c r="J7" i="5"/>
  <c r="K7" i="5"/>
  <c r="C8" i="5"/>
  <c r="D8" i="5"/>
  <c r="E8" i="5"/>
  <c r="F8" i="5"/>
  <c r="H8" i="5"/>
  <c r="I8" i="5"/>
  <c r="J8" i="5"/>
  <c r="K8" i="5"/>
  <c r="C9" i="5"/>
  <c r="D9" i="5"/>
  <c r="E9" i="5"/>
  <c r="F9" i="5"/>
  <c r="H9" i="5"/>
  <c r="I9" i="5"/>
  <c r="J9" i="5"/>
  <c r="K9" i="5"/>
  <c r="C10" i="5"/>
  <c r="D10" i="5"/>
  <c r="E10" i="5"/>
  <c r="F10" i="5"/>
  <c r="H10" i="5"/>
  <c r="I10" i="5"/>
  <c r="J10" i="5"/>
  <c r="K10" i="5"/>
  <c r="C11" i="5"/>
  <c r="D11" i="5"/>
  <c r="E11" i="5"/>
  <c r="F11" i="5"/>
  <c r="H11" i="5"/>
  <c r="I11" i="5"/>
  <c r="J11" i="5"/>
  <c r="K11" i="5"/>
  <c r="C12" i="5"/>
  <c r="D12" i="5"/>
  <c r="E12" i="5"/>
  <c r="F12" i="5"/>
  <c r="H12" i="5"/>
  <c r="I12" i="5"/>
  <c r="J12" i="5"/>
  <c r="K12" i="5"/>
  <c r="C13" i="5"/>
  <c r="D13" i="5"/>
  <c r="E13" i="5"/>
  <c r="F13" i="5"/>
  <c r="H13" i="5"/>
  <c r="I13" i="5"/>
  <c r="J13" i="5"/>
  <c r="K13" i="5"/>
  <c r="C14" i="5"/>
  <c r="D14" i="5"/>
  <c r="E14" i="5"/>
  <c r="F14" i="5"/>
  <c r="H14" i="5"/>
  <c r="I14" i="5"/>
  <c r="J14" i="5"/>
  <c r="K14" i="5"/>
  <c r="C15" i="5"/>
  <c r="D15" i="5"/>
  <c r="E15" i="5"/>
  <c r="F15" i="5"/>
  <c r="H15" i="5"/>
  <c r="I15" i="5"/>
  <c r="J15" i="5"/>
  <c r="K15" i="5"/>
  <c r="C16" i="5"/>
  <c r="D16" i="5"/>
  <c r="E16" i="5"/>
  <c r="F16" i="5"/>
  <c r="H16" i="5"/>
  <c r="I16" i="5"/>
  <c r="J16" i="5"/>
  <c r="K16" i="5"/>
  <c r="C17" i="5"/>
  <c r="D17" i="5"/>
  <c r="E17" i="5"/>
  <c r="F17" i="5"/>
  <c r="H17" i="5"/>
  <c r="I17" i="5"/>
  <c r="J17" i="5"/>
  <c r="K17" i="5"/>
  <c r="C18" i="5"/>
  <c r="D18" i="5"/>
  <c r="E18" i="5"/>
  <c r="F18" i="5"/>
  <c r="H18" i="5"/>
  <c r="I18" i="5"/>
  <c r="J18" i="5"/>
  <c r="K18" i="5"/>
  <c r="C19" i="5"/>
  <c r="D19" i="5"/>
  <c r="E19" i="5"/>
  <c r="F19" i="5"/>
  <c r="H19" i="5"/>
  <c r="I19" i="5"/>
  <c r="J19" i="5"/>
  <c r="K19" i="5"/>
  <c r="C4" i="5"/>
  <c r="D4" i="5"/>
  <c r="E4" i="5"/>
  <c r="F4" i="5"/>
  <c r="H4" i="5"/>
  <c r="I4" i="5"/>
  <c r="J4" i="5"/>
  <c r="K4" i="5"/>
  <c r="C5" i="5"/>
  <c r="D5" i="5"/>
  <c r="E5" i="5"/>
  <c r="F5" i="5"/>
  <c r="H5" i="5"/>
  <c r="I5" i="5"/>
  <c r="J5" i="5"/>
  <c r="K5" i="5"/>
  <c r="E3" i="5"/>
  <c r="D3" i="5"/>
  <c r="C3" i="5"/>
  <c r="E2" i="5"/>
  <c r="D2" i="5"/>
  <c r="C2" i="5"/>
  <c r="K3" i="5"/>
  <c r="K2" i="5"/>
  <c r="J3" i="5"/>
  <c r="J2" i="5"/>
  <c r="I3" i="5"/>
  <c r="I2" i="5"/>
  <c r="H3" i="5"/>
  <c r="H2" i="5"/>
  <c r="F3" i="5"/>
  <c r="F2" i="5"/>
  <c r="Y4" i="4"/>
  <c r="Y5" i="4"/>
  <c r="Y6" i="4"/>
  <c r="Y7" i="4"/>
  <c r="Y12" i="4"/>
  <c r="Y13" i="4"/>
  <c r="Y14" i="4"/>
  <c r="Y15" i="4"/>
  <c r="Y16" i="4"/>
  <c r="Y17" i="4"/>
  <c r="Y18" i="4"/>
  <c r="Y19" i="4"/>
  <c r="Y3" i="4"/>
  <c r="O4" i="4"/>
  <c r="O5" i="4"/>
  <c r="O6" i="4"/>
  <c r="O7" i="4"/>
  <c r="O12" i="4"/>
  <c r="O13" i="4"/>
  <c r="O14" i="4"/>
  <c r="O15" i="4"/>
  <c r="O16" i="4"/>
  <c r="O17" i="4"/>
  <c r="O18" i="4"/>
  <c r="O19" i="4"/>
  <c r="O3" i="4"/>
  <c r="AB19" i="4"/>
  <c r="AB18" i="4"/>
  <c r="AB17" i="4"/>
  <c r="AB16" i="4"/>
  <c r="AB15" i="4"/>
  <c r="AB14" i="4"/>
  <c r="AB13" i="4"/>
  <c r="AB12" i="4"/>
  <c r="AB7" i="4"/>
  <c r="AB6" i="4"/>
  <c r="AB5" i="4"/>
  <c r="AB4" i="4"/>
  <c r="AB3" i="4"/>
  <c r="R4" i="4"/>
  <c r="R5" i="4"/>
  <c r="R6" i="4"/>
  <c r="R7" i="4"/>
  <c r="R12" i="4"/>
  <c r="R13" i="4"/>
  <c r="R14" i="4"/>
  <c r="R15" i="4"/>
  <c r="R16" i="4"/>
  <c r="R17" i="4"/>
  <c r="R18" i="4"/>
  <c r="R19" i="4"/>
  <c r="R3" i="4"/>
  <c r="Z3" i="4"/>
  <c r="P3" i="4"/>
  <c r="I4" i="3"/>
  <c r="S4" i="4" s="1"/>
  <c r="J4" i="3"/>
  <c r="I5" i="3"/>
  <c r="J5" i="3"/>
  <c r="I6" i="3"/>
  <c r="J6" i="3"/>
  <c r="I7" i="3"/>
  <c r="J7" i="3"/>
  <c r="I8" i="3"/>
  <c r="J8" i="3"/>
  <c r="I9" i="3"/>
  <c r="J9" i="3"/>
  <c r="I10" i="3"/>
  <c r="J10" i="3"/>
  <c r="I11" i="3"/>
  <c r="J11" i="3"/>
  <c r="I12" i="3"/>
  <c r="S12" i="4" s="1"/>
  <c r="J12" i="3"/>
  <c r="I13" i="3"/>
  <c r="J13" i="3"/>
  <c r="I14" i="3"/>
  <c r="J14" i="3"/>
  <c r="I15" i="3"/>
  <c r="J15" i="3"/>
  <c r="I16" i="3"/>
  <c r="J16" i="3"/>
  <c r="I17" i="3"/>
  <c r="J17" i="3"/>
  <c r="I18" i="3"/>
  <c r="J18" i="3"/>
  <c r="I19" i="3"/>
  <c r="J19" i="3"/>
  <c r="T19" i="4" s="1"/>
  <c r="J3" i="3"/>
  <c r="I3" i="3"/>
  <c r="E4" i="3"/>
  <c r="F4" i="3"/>
  <c r="E5" i="3"/>
  <c r="F5" i="3"/>
  <c r="J5" i="4" s="1"/>
  <c r="E6" i="3"/>
  <c r="F6" i="3"/>
  <c r="E7" i="3"/>
  <c r="F7" i="3"/>
  <c r="J7" i="4" s="1"/>
  <c r="E8" i="3"/>
  <c r="F8" i="3"/>
  <c r="E9" i="3"/>
  <c r="F9" i="3"/>
  <c r="E10" i="3"/>
  <c r="F10" i="3"/>
  <c r="E11" i="3"/>
  <c r="F11" i="3"/>
  <c r="E12" i="3"/>
  <c r="F12" i="3"/>
  <c r="E13" i="3"/>
  <c r="F13" i="3"/>
  <c r="E14" i="3"/>
  <c r="F14" i="3"/>
  <c r="E15" i="3"/>
  <c r="F15" i="3"/>
  <c r="J15" i="4" s="1"/>
  <c r="E16" i="3"/>
  <c r="F16" i="3"/>
  <c r="E17" i="3"/>
  <c r="F17" i="3"/>
  <c r="J17" i="4" s="1"/>
  <c r="E18" i="3"/>
  <c r="F18" i="3"/>
  <c r="E19" i="3"/>
  <c r="F19" i="3"/>
  <c r="F3" i="3"/>
  <c r="E3" i="3"/>
  <c r="I3" i="4" s="1"/>
  <c r="L3" i="4" s="1"/>
  <c r="T3" i="4"/>
  <c r="S3" i="4"/>
  <c r="U3" i="4" s="1"/>
  <c r="T4" i="4"/>
  <c r="S5" i="4"/>
  <c r="U5" i="4" s="1"/>
  <c r="T5" i="4"/>
  <c r="S6" i="4"/>
  <c r="U6" i="4" s="1"/>
  <c r="T6" i="4"/>
  <c r="S7" i="4"/>
  <c r="U7" i="4" s="1"/>
  <c r="T7" i="4"/>
  <c r="T12" i="4"/>
  <c r="S15" i="4"/>
  <c r="U15" i="4" s="1"/>
  <c r="T15" i="4"/>
  <c r="S17" i="4"/>
  <c r="U17" i="4" s="1"/>
  <c r="T17" i="4"/>
  <c r="S19" i="4"/>
  <c r="U19" i="4" s="1"/>
  <c r="I12" i="4"/>
  <c r="L12" i="4" s="1"/>
  <c r="I15" i="4"/>
  <c r="I4" i="4"/>
  <c r="L4" i="4" s="1"/>
  <c r="J4" i="4"/>
  <c r="I5" i="4"/>
  <c r="L5" i="4" s="1"/>
  <c r="I6" i="4"/>
  <c r="L6" i="4" s="1"/>
  <c r="J6" i="4"/>
  <c r="I7" i="4"/>
  <c r="L7" i="4" s="1"/>
  <c r="J12" i="4"/>
  <c r="I17" i="4"/>
  <c r="L17" i="4" s="1"/>
  <c r="I19" i="4"/>
  <c r="L19" i="4" s="1"/>
  <c r="J19" i="4"/>
  <c r="J3" i="4"/>
  <c r="G3" i="3"/>
  <c r="H19" i="4"/>
  <c r="G19" i="4"/>
  <c r="H17" i="4"/>
  <c r="G17" i="4"/>
  <c r="H15" i="4"/>
  <c r="G15" i="4"/>
  <c r="H12" i="4"/>
  <c r="G12" i="4"/>
  <c r="K7" i="4"/>
  <c r="H7" i="4"/>
  <c r="G7" i="4"/>
  <c r="K6" i="4"/>
  <c r="H6" i="4"/>
  <c r="G6" i="4"/>
  <c r="H5" i="4"/>
  <c r="G5" i="4"/>
  <c r="K4" i="4"/>
  <c r="H4" i="4"/>
  <c r="G4" i="4"/>
  <c r="H3" i="4"/>
  <c r="G3" i="4"/>
  <c r="W7" i="4" l="1"/>
  <c r="V6" i="4"/>
  <c r="X6" i="4" s="1"/>
  <c r="K5" i="4"/>
  <c r="M5" i="4" s="1"/>
  <c r="N4" i="4"/>
  <c r="N6" i="4"/>
  <c r="W6" i="4"/>
  <c r="U4" i="4"/>
  <c r="W4" i="4" s="1"/>
  <c r="V4" i="4"/>
  <c r="X4" i="4" s="1"/>
  <c r="W5" i="4"/>
  <c r="N5" i="4"/>
  <c r="N7" i="4"/>
  <c r="M7" i="4"/>
  <c r="U12" i="4"/>
  <c r="V12" i="4"/>
  <c r="N19" i="4"/>
  <c r="N17" i="4"/>
  <c r="N12" i="4"/>
  <c r="K19" i="4"/>
  <c r="M19" i="4" s="1"/>
  <c r="K17" i="4"/>
  <c r="M17" i="4" s="1"/>
  <c r="L15" i="4"/>
  <c r="N15" i="4" s="1"/>
  <c r="K15" i="4"/>
  <c r="M15" i="4" s="1"/>
  <c r="X12" i="4"/>
  <c r="W19" i="4"/>
  <c r="W15" i="4"/>
  <c r="W12" i="4"/>
  <c r="W17" i="4"/>
  <c r="K12" i="4"/>
  <c r="M12" i="4" s="1"/>
  <c r="V19" i="4"/>
  <c r="X19" i="4" s="1"/>
  <c r="V17" i="4"/>
  <c r="X17" i="4" s="1"/>
  <c r="V15" i="4"/>
  <c r="X15" i="4" s="1"/>
  <c r="V7" i="4"/>
  <c r="X7" i="4" s="1"/>
  <c r="V5" i="4"/>
  <c r="X5" i="4" s="1"/>
  <c r="W3" i="4"/>
  <c r="V3" i="4"/>
  <c r="X3" i="4" s="1"/>
  <c r="M4" i="4"/>
  <c r="M6" i="4"/>
  <c r="N3" i="4"/>
  <c r="K3" i="4"/>
  <c r="M3" i="4" s="1"/>
</calcChain>
</file>

<file path=xl/sharedStrings.xml><?xml version="1.0" encoding="utf-8"?>
<sst xmlns="http://schemas.openxmlformats.org/spreadsheetml/2006/main" count="324" uniqueCount="99">
  <si>
    <t>Sez.</t>
  </si>
  <si>
    <t>-</t>
  </si>
  <si>
    <t>Lv</t>
  </si>
  <si>
    <r>
      <t>d</t>
    </r>
    <r>
      <rPr>
        <b/>
        <vertAlign val="subscript"/>
        <sz val="11"/>
        <color theme="1"/>
        <rFont val="Calibri"/>
        <family val="2"/>
        <scheme val="minor"/>
      </rPr>
      <t>b</t>
    </r>
  </si>
  <si>
    <t>mm</t>
  </si>
  <si>
    <t>h</t>
  </si>
  <si>
    <r>
      <t>f</t>
    </r>
    <r>
      <rPr>
        <b/>
        <vertAlign val="subscript"/>
        <sz val="11"/>
        <color theme="1"/>
        <rFont val="Calibri"/>
        <family val="2"/>
        <scheme val="minor"/>
      </rPr>
      <t>yd</t>
    </r>
  </si>
  <si>
    <r>
      <t>f</t>
    </r>
    <r>
      <rPr>
        <b/>
        <vertAlign val="subscript"/>
        <sz val="11"/>
        <color theme="1"/>
        <rFont val="Calibri"/>
        <family val="2"/>
        <scheme val="minor"/>
      </rPr>
      <t>cd</t>
    </r>
  </si>
  <si>
    <r>
      <t>N/mm</t>
    </r>
    <r>
      <rPr>
        <vertAlign val="superscript"/>
        <sz val="11"/>
        <color theme="1"/>
        <rFont val="Calibri"/>
        <family val="2"/>
        <scheme val="minor"/>
      </rPr>
      <t>2</t>
    </r>
  </si>
  <si>
    <t>Lpl (EC8-A.9)</t>
  </si>
  <si>
    <t>Lpl (Circ)</t>
  </si>
  <si>
    <r>
      <t>mm</t>
    </r>
    <r>
      <rPr>
        <vertAlign val="superscript"/>
        <sz val="11"/>
        <color theme="1"/>
        <rFont val="Calibri"/>
        <family val="2"/>
        <scheme val="minor"/>
      </rPr>
      <t>-1</t>
    </r>
  </si>
  <si>
    <t>rad</t>
  </si>
  <si>
    <r>
      <t>φ</t>
    </r>
    <r>
      <rPr>
        <b/>
        <vertAlign val="subscript"/>
        <sz val="11"/>
        <color theme="1"/>
        <rFont val="Calibri"/>
        <family val="2"/>
      </rPr>
      <t>y</t>
    </r>
    <r>
      <rPr>
        <b/>
        <sz val="11"/>
        <color theme="1"/>
        <rFont val="Calibri"/>
        <family val="2"/>
      </rPr>
      <t>+</t>
    </r>
  </si>
  <si>
    <r>
      <t>φ</t>
    </r>
    <r>
      <rPr>
        <b/>
        <vertAlign val="subscript"/>
        <sz val="11"/>
        <color theme="1"/>
        <rFont val="Calibri"/>
        <family val="2"/>
      </rPr>
      <t>u</t>
    </r>
    <r>
      <rPr>
        <b/>
        <sz val="11"/>
        <color theme="1"/>
        <rFont val="Calibri"/>
        <family val="2"/>
      </rPr>
      <t>+</t>
    </r>
  </si>
  <si>
    <r>
      <t>φ</t>
    </r>
    <r>
      <rPr>
        <b/>
        <vertAlign val="subscript"/>
        <sz val="11"/>
        <color theme="1"/>
        <rFont val="Calibri"/>
        <family val="2"/>
      </rPr>
      <t>y</t>
    </r>
    <r>
      <rPr>
        <b/>
        <sz val="11"/>
        <color theme="1"/>
        <rFont val="Calibri"/>
        <family val="2"/>
      </rPr>
      <t>-</t>
    </r>
  </si>
  <si>
    <r>
      <t>φ</t>
    </r>
    <r>
      <rPr>
        <b/>
        <vertAlign val="subscript"/>
        <sz val="11"/>
        <color theme="1"/>
        <rFont val="Calibri"/>
        <family val="2"/>
      </rPr>
      <t>u</t>
    </r>
    <r>
      <rPr>
        <b/>
        <sz val="11"/>
        <color theme="1"/>
        <rFont val="Calibri"/>
        <family val="2"/>
      </rPr>
      <t>-</t>
    </r>
  </si>
  <si>
    <r>
      <t>φ</t>
    </r>
    <r>
      <rPr>
        <b/>
        <vertAlign val="subscript"/>
        <sz val="11"/>
        <color theme="1"/>
        <rFont val="Calibri"/>
        <family val="2"/>
      </rPr>
      <t>y</t>
    </r>
    <r>
      <rPr>
        <b/>
        <sz val="11"/>
        <color theme="1"/>
        <rFont val="Calibri"/>
        <family val="2"/>
      </rPr>
      <t>*h-</t>
    </r>
  </si>
  <si>
    <r>
      <t>φ</t>
    </r>
    <r>
      <rPr>
        <b/>
        <vertAlign val="subscript"/>
        <sz val="11"/>
        <color theme="1"/>
        <rFont val="Calibri"/>
        <family val="2"/>
      </rPr>
      <t>u</t>
    </r>
    <r>
      <rPr>
        <b/>
        <sz val="11"/>
        <color theme="1"/>
        <rFont val="Calibri"/>
        <family val="2"/>
      </rPr>
      <t>*h-</t>
    </r>
  </si>
  <si>
    <r>
      <t>φ</t>
    </r>
    <r>
      <rPr>
        <b/>
        <vertAlign val="subscript"/>
        <sz val="11"/>
        <color theme="1"/>
        <rFont val="Calibri"/>
        <family val="2"/>
      </rPr>
      <t>y</t>
    </r>
    <r>
      <rPr>
        <b/>
        <sz val="11"/>
        <color theme="1"/>
        <rFont val="Calibri"/>
        <family val="2"/>
      </rPr>
      <t>*h+</t>
    </r>
  </si>
  <si>
    <r>
      <t>φ</t>
    </r>
    <r>
      <rPr>
        <b/>
        <vertAlign val="subscript"/>
        <sz val="11"/>
        <color theme="1"/>
        <rFont val="Calibri"/>
        <family val="2"/>
      </rPr>
      <t>u</t>
    </r>
    <r>
      <rPr>
        <b/>
        <sz val="11"/>
        <color theme="1"/>
        <rFont val="Calibri"/>
        <family val="2"/>
      </rPr>
      <t>*h+</t>
    </r>
  </si>
  <si>
    <r>
      <t>θ</t>
    </r>
    <r>
      <rPr>
        <b/>
        <vertAlign val="subscript"/>
        <sz val="11"/>
        <color theme="1"/>
        <rFont val="Calibri"/>
        <family val="2"/>
      </rPr>
      <t>y</t>
    </r>
    <r>
      <rPr>
        <b/>
        <sz val="11"/>
        <color theme="1"/>
        <rFont val="Calibri"/>
        <family val="2"/>
      </rPr>
      <t xml:space="preserve"> +(CIR)</t>
    </r>
  </si>
  <si>
    <r>
      <t>θ</t>
    </r>
    <r>
      <rPr>
        <b/>
        <vertAlign val="subscript"/>
        <sz val="11"/>
        <color theme="1"/>
        <rFont val="Calibri"/>
        <family val="2"/>
      </rPr>
      <t>y</t>
    </r>
    <r>
      <rPr>
        <b/>
        <sz val="11"/>
        <color theme="1"/>
        <rFont val="Calibri"/>
        <family val="2"/>
      </rPr>
      <t xml:space="preserve"> +(EC)</t>
    </r>
  </si>
  <si>
    <r>
      <t>θ</t>
    </r>
    <r>
      <rPr>
        <b/>
        <vertAlign val="subscript"/>
        <sz val="11"/>
        <color theme="1"/>
        <rFont val="Calibri"/>
        <family val="2"/>
      </rPr>
      <t>u</t>
    </r>
    <r>
      <rPr>
        <b/>
        <sz val="11"/>
        <color theme="1"/>
        <rFont val="Calibri"/>
        <family val="2"/>
      </rPr>
      <t xml:space="preserve"> +(CIR)</t>
    </r>
  </si>
  <si>
    <r>
      <t>θ</t>
    </r>
    <r>
      <rPr>
        <b/>
        <vertAlign val="subscript"/>
        <sz val="11"/>
        <color theme="1"/>
        <rFont val="Calibri"/>
        <family val="2"/>
      </rPr>
      <t>u</t>
    </r>
    <r>
      <rPr>
        <b/>
        <sz val="11"/>
        <color theme="1"/>
        <rFont val="Calibri"/>
        <family val="2"/>
      </rPr>
      <t xml:space="preserve"> +(EC)</t>
    </r>
  </si>
  <si>
    <r>
      <t>φ</t>
    </r>
    <r>
      <rPr>
        <b/>
        <vertAlign val="subscript"/>
        <sz val="11"/>
        <color theme="1"/>
        <rFont val="Calibri"/>
        <family val="2"/>
      </rPr>
      <t>y-</t>
    </r>
  </si>
  <si>
    <r>
      <t>φ</t>
    </r>
    <r>
      <rPr>
        <b/>
        <vertAlign val="subscript"/>
        <sz val="11"/>
        <color theme="1"/>
        <rFont val="Calibri"/>
        <family val="2"/>
      </rPr>
      <t>u-</t>
    </r>
  </si>
  <si>
    <r>
      <t>θ</t>
    </r>
    <r>
      <rPr>
        <b/>
        <vertAlign val="subscript"/>
        <sz val="11"/>
        <color theme="1"/>
        <rFont val="Calibri"/>
        <family val="2"/>
      </rPr>
      <t>y</t>
    </r>
    <r>
      <rPr>
        <b/>
        <sz val="11"/>
        <color theme="1"/>
        <rFont val="Calibri"/>
        <family val="2"/>
      </rPr>
      <t xml:space="preserve"> -(CIR)</t>
    </r>
  </si>
  <si>
    <r>
      <t>θ</t>
    </r>
    <r>
      <rPr>
        <b/>
        <vertAlign val="subscript"/>
        <sz val="11"/>
        <color theme="1"/>
        <rFont val="Calibri"/>
        <family val="2"/>
      </rPr>
      <t>y</t>
    </r>
    <r>
      <rPr>
        <b/>
        <sz val="11"/>
        <color theme="1"/>
        <rFont val="Calibri"/>
        <family val="2"/>
      </rPr>
      <t xml:space="preserve"> -(EC)</t>
    </r>
  </si>
  <si>
    <r>
      <t>θ</t>
    </r>
    <r>
      <rPr>
        <b/>
        <vertAlign val="subscript"/>
        <sz val="11"/>
        <color theme="1"/>
        <rFont val="Calibri"/>
        <family val="2"/>
      </rPr>
      <t>u</t>
    </r>
    <r>
      <rPr>
        <b/>
        <sz val="11"/>
        <color theme="1"/>
        <rFont val="Calibri"/>
        <family val="2"/>
      </rPr>
      <t xml:space="preserve"> -(CIR)</t>
    </r>
  </si>
  <si>
    <r>
      <t>θ</t>
    </r>
    <r>
      <rPr>
        <b/>
        <vertAlign val="subscript"/>
        <sz val="11"/>
        <color theme="1"/>
        <rFont val="Calibri"/>
        <family val="2"/>
      </rPr>
      <t>u</t>
    </r>
    <r>
      <rPr>
        <b/>
        <sz val="11"/>
        <color theme="1"/>
        <rFont val="Calibri"/>
        <family val="2"/>
      </rPr>
      <t xml:space="preserve"> -(EC)</t>
    </r>
  </si>
  <si>
    <t>KNm</t>
  </si>
  <si>
    <r>
      <t>M</t>
    </r>
    <r>
      <rPr>
        <b/>
        <vertAlign val="subscript"/>
        <sz val="11"/>
        <color theme="1"/>
        <rFont val="Calibri"/>
        <family val="2"/>
      </rPr>
      <t>y</t>
    </r>
    <r>
      <rPr>
        <b/>
        <sz val="11"/>
        <color theme="1"/>
        <rFont val="Calibri"/>
        <family val="2"/>
      </rPr>
      <t>+</t>
    </r>
  </si>
  <si>
    <r>
      <t>M</t>
    </r>
    <r>
      <rPr>
        <b/>
        <vertAlign val="subscript"/>
        <sz val="11"/>
        <color theme="1"/>
        <rFont val="Calibri"/>
        <family val="2"/>
      </rPr>
      <t>u</t>
    </r>
    <r>
      <rPr>
        <b/>
        <sz val="11"/>
        <color theme="1"/>
        <rFont val="Calibri"/>
        <family val="2"/>
      </rPr>
      <t>+</t>
    </r>
  </si>
  <si>
    <r>
      <t>M</t>
    </r>
    <r>
      <rPr>
        <b/>
        <vertAlign val="subscript"/>
        <sz val="11"/>
        <color theme="1"/>
        <rFont val="Calibri"/>
        <family val="2"/>
      </rPr>
      <t>y</t>
    </r>
    <r>
      <rPr>
        <b/>
        <sz val="11"/>
        <color theme="1"/>
        <rFont val="Calibri"/>
        <family val="2"/>
      </rPr>
      <t>-</t>
    </r>
  </si>
  <si>
    <r>
      <t>M</t>
    </r>
    <r>
      <rPr>
        <b/>
        <vertAlign val="subscript"/>
        <sz val="11"/>
        <color theme="1"/>
        <rFont val="Calibri"/>
        <family val="2"/>
      </rPr>
      <t>u</t>
    </r>
    <r>
      <rPr>
        <b/>
        <sz val="11"/>
        <color theme="1"/>
        <rFont val="Calibri"/>
        <family val="2"/>
      </rPr>
      <t>-</t>
    </r>
  </si>
  <si>
    <t>30% Mu +</t>
  </si>
  <si>
    <t>30% Mu-</t>
  </si>
  <si>
    <r>
      <t>5% θ</t>
    </r>
    <r>
      <rPr>
        <b/>
        <vertAlign val="subscript"/>
        <sz val="11"/>
        <color theme="1"/>
        <rFont val="Calibri"/>
        <family val="2"/>
      </rPr>
      <t>u</t>
    </r>
    <r>
      <rPr>
        <b/>
        <sz val="11"/>
        <color theme="1"/>
        <rFont val="Calibri"/>
        <family val="2"/>
      </rPr>
      <t xml:space="preserve"> +</t>
    </r>
  </si>
  <si>
    <r>
      <t>5% θ</t>
    </r>
    <r>
      <rPr>
        <b/>
        <vertAlign val="subscript"/>
        <sz val="11"/>
        <color theme="1"/>
        <rFont val="Calibri"/>
        <family val="2"/>
      </rPr>
      <t>u</t>
    </r>
    <r>
      <rPr>
        <b/>
        <sz val="11"/>
        <color theme="1"/>
        <rFont val="Calibri"/>
        <family val="2"/>
      </rPr>
      <t xml:space="preserve"> -</t>
    </r>
  </si>
  <si>
    <t>M</t>
  </si>
  <si>
    <t>θ</t>
  </si>
  <si>
    <t>E</t>
  </si>
  <si>
    <t>D</t>
  </si>
  <si>
    <t>C</t>
  </si>
  <si>
    <t>B</t>
  </si>
  <si>
    <t>A</t>
  </si>
  <si>
    <t>B-</t>
  </si>
  <si>
    <t>C-</t>
  </si>
  <si>
    <t>D-</t>
  </si>
  <si>
    <t>E-</t>
  </si>
  <si>
    <t>SEZ</t>
  </si>
  <si>
    <t>SEZ 1</t>
  </si>
  <si>
    <t>SEZ 2</t>
  </si>
  <si>
    <t>SEZ 3</t>
  </si>
  <si>
    <t>SEZ 4</t>
  </si>
  <si>
    <t>SEZ 5</t>
  </si>
  <si>
    <t>SEZ 10</t>
  </si>
  <si>
    <t>SEZ 13</t>
  </si>
  <si>
    <t>SEZ 15</t>
  </si>
  <si>
    <t>SEZ 17</t>
  </si>
  <si>
    <t>NED</t>
  </si>
  <si>
    <t>KN</t>
  </si>
  <si>
    <r>
      <t>φ</t>
    </r>
    <r>
      <rPr>
        <b/>
        <vertAlign val="subscript"/>
        <sz val="11"/>
        <color theme="1"/>
        <rFont val="Calibri"/>
        <family val="2"/>
      </rPr>
      <t>y</t>
    </r>
    <r>
      <rPr>
        <b/>
        <sz val="11"/>
        <color theme="1"/>
        <rFont val="Calibri"/>
        <family val="2"/>
      </rPr>
      <t>*h</t>
    </r>
  </si>
  <si>
    <r>
      <t>φ</t>
    </r>
    <r>
      <rPr>
        <b/>
        <vertAlign val="subscript"/>
        <sz val="11"/>
        <color theme="1"/>
        <rFont val="Calibri"/>
        <family val="2"/>
      </rPr>
      <t>u</t>
    </r>
    <r>
      <rPr>
        <b/>
        <sz val="11"/>
        <color theme="1"/>
        <rFont val="Calibri"/>
        <family val="2"/>
      </rPr>
      <t>*h</t>
    </r>
  </si>
  <si>
    <r>
      <t>φ</t>
    </r>
    <r>
      <rPr>
        <b/>
        <vertAlign val="subscript"/>
        <sz val="11"/>
        <color theme="1"/>
        <rFont val="Calibri"/>
        <family val="2"/>
      </rPr>
      <t>y</t>
    </r>
  </si>
  <si>
    <r>
      <t>φ</t>
    </r>
    <r>
      <rPr>
        <b/>
        <vertAlign val="subscript"/>
        <sz val="11"/>
        <color theme="1"/>
        <rFont val="Calibri"/>
        <family val="2"/>
      </rPr>
      <t>u</t>
    </r>
  </si>
  <si>
    <r>
      <t>N</t>
    </r>
    <r>
      <rPr>
        <b/>
        <vertAlign val="subscript"/>
        <sz val="11"/>
        <color theme="1"/>
        <rFont val="Calibri"/>
        <family val="2"/>
        <scheme val="minor"/>
      </rPr>
      <t>ED</t>
    </r>
  </si>
  <si>
    <t>My</t>
  </si>
  <si>
    <t>Mu</t>
  </si>
  <si>
    <r>
      <t>θ</t>
    </r>
    <r>
      <rPr>
        <b/>
        <vertAlign val="subscript"/>
        <sz val="11"/>
        <color theme="1"/>
        <rFont val="Calibri"/>
        <family val="2"/>
      </rPr>
      <t>y</t>
    </r>
    <r>
      <rPr>
        <b/>
        <sz val="11"/>
        <color theme="1"/>
        <rFont val="Calibri"/>
        <family val="2"/>
      </rPr>
      <t xml:space="preserve"> (CIR)</t>
    </r>
  </si>
  <si>
    <t>Mu/My</t>
  </si>
  <si>
    <r>
      <t>N</t>
    </r>
    <r>
      <rPr>
        <vertAlign val="subscript"/>
        <sz val="11"/>
        <color theme="1"/>
        <rFont val="Calibri"/>
        <family val="2"/>
        <scheme val="minor"/>
      </rPr>
      <t>ED</t>
    </r>
  </si>
  <si>
    <t>sezione</t>
  </si>
  <si>
    <t>Nmax</t>
  </si>
  <si>
    <t>μφ</t>
  </si>
  <si>
    <t>Ast</t>
  </si>
  <si>
    <t>Lst</t>
  </si>
  <si>
    <t>Alg</t>
  </si>
  <si>
    <t>Llg</t>
  </si>
  <si>
    <t>Vst</t>
  </si>
  <si>
    <t>mm2</t>
  </si>
  <si>
    <t>Vnc</t>
  </si>
  <si>
    <t>s</t>
  </si>
  <si>
    <t>b</t>
  </si>
  <si>
    <t>bo</t>
  </si>
  <si>
    <t>ho</t>
  </si>
  <si>
    <r>
      <t>ω</t>
    </r>
    <r>
      <rPr>
        <vertAlign val="subscript"/>
        <sz val="11"/>
        <color theme="1"/>
        <rFont val="Calibri"/>
        <family val="2"/>
      </rPr>
      <t>wd</t>
    </r>
  </si>
  <si>
    <t>νd</t>
  </si>
  <si>
    <t>εsy,d</t>
  </si>
  <si>
    <t>α</t>
  </si>
  <si>
    <t>i</t>
  </si>
  <si>
    <t>bi [mm]</t>
  </si>
  <si>
    <r>
      <t>bi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[mm2]</t>
    </r>
  </si>
  <si>
    <t>αn</t>
  </si>
  <si>
    <t>αs</t>
  </si>
  <si>
    <r>
      <t>ω</t>
    </r>
    <r>
      <rPr>
        <vertAlign val="subscript"/>
        <sz val="11"/>
        <color theme="1"/>
        <rFont val="Calibri"/>
        <family val="2"/>
      </rPr>
      <t>wd</t>
    </r>
    <r>
      <rPr>
        <sz val="11"/>
        <color theme="1"/>
        <rFont val="Calibri"/>
        <family val="2"/>
      </rPr>
      <t>,</t>
    </r>
    <r>
      <rPr>
        <vertAlign val="subscript"/>
        <sz val="11"/>
        <color theme="1"/>
        <rFont val="Calibri"/>
        <family val="2"/>
      </rPr>
      <t>(min)</t>
    </r>
  </si>
  <si>
    <t>CALCOLO DELLA DOMANDA</t>
  </si>
  <si>
    <t>CALCOLO DELLA CAPACITA'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</si>
</sst>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0000"/>
    <numFmt numFmtId="167" formatCode="0.0000000"/>
    <numFmt numFmtId="168" formatCode="0.0000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vertAlign val="subscript"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166" fontId="0" fillId="0" borderId="1" xfId="0" applyNumberFormat="1" applyFill="1" applyBorder="1" applyAlignment="1">
      <alignment horizontal="center"/>
    </xf>
    <xf numFmtId="165" fontId="0" fillId="0" borderId="1" xfId="0" applyNumberFormat="1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" fontId="0" fillId="0" borderId="5" xfId="0" applyNumberFormat="1" applyFill="1" applyBorder="1" applyAlignment="1">
      <alignment horizontal="center"/>
    </xf>
    <xf numFmtId="166" fontId="0" fillId="0" borderId="6" xfId="0" applyNumberFormat="1" applyFill="1" applyBorder="1" applyAlignment="1">
      <alignment horizontal="center"/>
    </xf>
    <xf numFmtId="0" fontId="0" fillId="0" borderId="1" xfId="0" applyBorder="1"/>
    <xf numFmtId="168" fontId="0" fillId="0" borderId="1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3" borderId="0" xfId="0" applyFill="1"/>
    <xf numFmtId="2" fontId="0" fillId="0" borderId="0" xfId="0" applyNumberFormat="1" applyAlignment="1">
      <alignment horizontal="center"/>
    </xf>
    <xf numFmtId="0" fontId="0" fillId="7" borderId="5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2" xfId="0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/>
    </xf>
    <xf numFmtId="0" fontId="6" fillId="9" borderId="6" xfId="0" applyFont="1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6" fillId="9" borderId="10" xfId="0" applyFont="1" applyFill="1" applyBorder="1" applyAlignment="1">
      <alignment horizontal="center"/>
    </xf>
    <xf numFmtId="0" fontId="6" fillId="9" borderId="11" xfId="0" applyFont="1" applyFill="1" applyBorder="1" applyAlignment="1">
      <alignment horizontal="center"/>
    </xf>
    <xf numFmtId="0" fontId="6" fillId="9" borderId="12" xfId="0" applyFont="1" applyFill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166" fontId="0" fillId="0" borderId="18" xfId="0" applyNumberFormat="1" applyBorder="1" applyAlignment="1">
      <alignment horizontal="center"/>
    </xf>
    <xf numFmtId="2" fontId="0" fillId="0" borderId="19" xfId="0" applyNumberFormat="1" applyBorder="1" applyAlignment="1">
      <alignment horizontal="center"/>
    </xf>
    <xf numFmtId="0" fontId="0" fillId="9" borderId="9" xfId="0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0" fillId="0" borderId="5" xfId="0" applyNumberFormat="1" applyBorder="1" applyAlignment="1">
      <alignment horizontal="center"/>
    </xf>
    <xf numFmtId="3" fontId="6" fillId="0" borderId="5" xfId="0" applyNumberFormat="1" applyFont="1" applyBorder="1" applyAlignment="1">
      <alignment horizontal="center"/>
    </xf>
    <xf numFmtId="3" fontId="0" fillId="0" borderId="5" xfId="0" applyNumberFormat="1" applyBorder="1" applyAlignment="1">
      <alignment horizontal="center" vertical="center"/>
    </xf>
    <xf numFmtId="0" fontId="0" fillId="9" borderId="10" xfId="0" applyFill="1" applyBorder="1" applyAlignment="1">
      <alignment horizontal="center"/>
    </xf>
    <xf numFmtId="0" fontId="0" fillId="9" borderId="11" xfId="0" applyFill="1" applyBorder="1" applyAlignment="1">
      <alignment horizontal="center"/>
    </xf>
    <xf numFmtId="0" fontId="0" fillId="9" borderId="13" xfId="0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e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4CDBC-5C9A-46AE-9123-0737608A3931}">
  <sheetPr>
    <pageSetUpPr fitToPage="1"/>
  </sheetPr>
  <dimension ref="A1:Q24"/>
  <sheetViews>
    <sheetView zoomScale="85" zoomScaleNormal="85" workbookViewId="0">
      <pane xSplit="1" topLeftCell="G1" activePane="topRight" state="frozen"/>
      <selection pane="topRight" activeCell="K4" sqref="K4"/>
    </sheetView>
  </sheetViews>
  <sheetFormatPr defaultRowHeight="15" x14ac:dyDescent="0.25"/>
  <cols>
    <col min="1" max="1" width="9.28515625" style="1" bestFit="1" customWidth="1"/>
    <col min="2" max="2" width="9.140625" style="1" customWidth="1"/>
    <col min="3" max="3" width="10" style="1" bestFit="1" customWidth="1"/>
    <col min="4" max="4" width="11" style="1" bestFit="1" customWidth="1"/>
    <col min="5" max="5" width="9.140625" style="1" customWidth="1"/>
    <col min="8" max="8" width="13.85546875" customWidth="1"/>
    <col min="9" max="9" width="12.5703125" customWidth="1"/>
    <col min="15" max="15" width="10.85546875" customWidth="1"/>
    <col min="16" max="16" width="11.140625" customWidth="1"/>
    <col min="17" max="17" width="11" customWidth="1"/>
  </cols>
  <sheetData>
    <row r="1" spans="1:17" ht="18" x14ac:dyDescent="0.35">
      <c r="A1" s="2" t="s">
        <v>0</v>
      </c>
      <c r="B1" s="2" t="s">
        <v>6</v>
      </c>
      <c r="C1" s="2" t="s">
        <v>7</v>
      </c>
      <c r="D1" s="2" t="s">
        <v>5</v>
      </c>
      <c r="E1" s="2" t="s">
        <v>3</v>
      </c>
      <c r="F1" s="2" t="s">
        <v>2</v>
      </c>
      <c r="G1" s="2" t="s">
        <v>10</v>
      </c>
      <c r="H1" s="2" t="s">
        <v>9</v>
      </c>
      <c r="I1" s="2" t="s">
        <v>61</v>
      </c>
      <c r="J1" s="6" t="s">
        <v>65</v>
      </c>
      <c r="K1" s="6" t="s">
        <v>66</v>
      </c>
      <c r="L1" s="6" t="s">
        <v>70</v>
      </c>
      <c r="M1" s="6" t="s">
        <v>23</v>
      </c>
      <c r="N1" s="6" t="s">
        <v>38</v>
      </c>
      <c r="O1" s="6" t="s">
        <v>32</v>
      </c>
      <c r="P1" s="6" t="s">
        <v>33</v>
      </c>
      <c r="Q1" s="6" t="s">
        <v>36</v>
      </c>
    </row>
    <row r="2" spans="1:17" ht="17.25" x14ac:dyDescent="0.25">
      <c r="A2" s="3" t="s">
        <v>1</v>
      </c>
      <c r="B2" s="3" t="s">
        <v>8</v>
      </c>
      <c r="C2" s="3" t="s">
        <v>8</v>
      </c>
      <c r="D2" s="3" t="s">
        <v>4</v>
      </c>
      <c r="E2" s="3" t="s">
        <v>4</v>
      </c>
      <c r="F2" s="3" t="s">
        <v>4</v>
      </c>
      <c r="G2" s="3" t="s">
        <v>4</v>
      </c>
      <c r="H2" s="3" t="s">
        <v>4</v>
      </c>
      <c r="I2" s="3" t="s">
        <v>62</v>
      </c>
      <c r="J2" s="3" t="s">
        <v>11</v>
      </c>
      <c r="K2" s="3" t="s">
        <v>11</v>
      </c>
      <c r="L2" s="3" t="s">
        <v>12</v>
      </c>
      <c r="M2" s="3" t="s">
        <v>12</v>
      </c>
      <c r="N2" s="3" t="s">
        <v>12</v>
      </c>
      <c r="O2" s="3" t="s">
        <v>31</v>
      </c>
      <c r="P2" s="3" t="s">
        <v>31</v>
      </c>
      <c r="Q2" s="3" t="s">
        <v>31</v>
      </c>
    </row>
    <row r="3" spans="1:17" x14ac:dyDescent="0.25">
      <c r="A3" s="9">
        <v>1</v>
      </c>
      <c r="B3" s="18">
        <v>391</v>
      </c>
      <c r="C3" s="18">
        <v>17</v>
      </c>
      <c r="D3" s="19">
        <v>500</v>
      </c>
      <c r="E3" s="18">
        <v>18</v>
      </c>
      <c r="F3" s="18">
        <v>1500</v>
      </c>
      <c r="G3" s="20">
        <f>0.1*F3+0.17*D3+0.24*(E3*B3/(SQRT(C3)))</f>
        <v>644.67177496137072</v>
      </c>
      <c r="H3" s="27">
        <f>F3/30+0.2*D3+0.24*(E3*B3/SQRT(C3))</f>
        <v>559.67177496137072</v>
      </c>
      <c r="I3" s="13">
        <f>'Theta pilastri VCA'!B3</f>
        <v>0</v>
      </c>
      <c r="J3" s="28">
        <f>'Theta pilastri VCA'!F3</f>
        <v>6.1E-6</v>
      </c>
      <c r="K3" s="21">
        <f>'Theta pilastri VCA'!G3</f>
        <v>2.6109090909090907E-5</v>
      </c>
      <c r="L3" s="26">
        <f>J3*F3/3+0.0013*(1+1.5*D3/F3)+0.13*J3*(E3*B3/SQRT(C3))</f>
        <v>6.3536238231015289E-3</v>
      </c>
      <c r="M3" s="26">
        <f t="shared" ref="M3:M24" si="0">1/1.5*(L3+(K3-J3)*G3*(1-0.5*G3/F3))</f>
        <v>1.0987321728577668E-2</v>
      </c>
      <c r="N3" s="18">
        <f t="shared" ref="N3:N24" si="1">M3*5/100+M3</f>
        <v>1.1536687815006552E-2</v>
      </c>
      <c r="O3" s="18">
        <f>'Theta pilastri VCA'!H3</f>
        <v>246.2</v>
      </c>
      <c r="P3" s="18">
        <f>'Theta pilastri VCA'!I3</f>
        <v>328.9</v>
      </c>
      <c r="Q3" s="18">
        <f>30/100*P3</f>
        <v>98.669999999999987</v>
      </c>
    </row>
    <row r="4" spans="1:17" x14ac:dyDescent="0.25">
      <c r="B4" s="18">
        <v>391</v>
      </c>
      <c r="C4" s="18">
        <v>17</v>
      </c>
      <c r="D4" s="19">
        <v>500</v>
      </c>
      <c r="E4" s="18">
        <v>18</v>
      </c>
      <c r="F4" s="18">
        <v>1500</v>
      </c>
      <c r="G4" s="20">
        <f t="shared" ref="G4:G24" si="2">0.1*F4+0.17*D4+0.24*(E4*B4/(SQRT(C4)))</f>
        <v>644.67177496137072</v>
      </c>
      <c r="H4" s="27">
        <f t="shared" ref="H4:H24" si="3">F4/30+0.2*D4+0.24*(E4*B4/SQRT(C4))</f>
        <v>559.67177496137072</v>
      </c>
      <c r="I4" s="13">
        <f>'Theta pilastri VCA'!B4</f>
        <v>400</v>
      </c>
      <c r="J4" s="28">
        <f>'Theta pilastri VCA'!F4</f>
        <v>7.0109090909090906E-6</v>
      </c>
      <c r="K4" s="21">
        <f>'Theta pilastri VCA'!G4</f>
        <v>1.9309090909090908E-5</v>
      </c>
      <c r="L4" s="26">
        <f t="shared" ref="L4:L24" si="4">J4*F4/3+0.0013*(1+1.5*D4/F4)+0.13*J4*(E4*B4/SQRT(C4))</f>
        <v>7.0112141466108779E-3</v>
      </c>
      <c r="M4" s="26">
        <f t="shared" si="0"/>
        <v>8.823859845654581E-3</v>
      </c>
      <c r="N4" s="18">
        <f t="shared" si="1"/>
        <v>9.2650528379373091E-3</v>
      </c>
      <c r="O4" s="18">
        <f>'Theta pilastri VCA'!H4</f>
        <v>309</v>
      </c>
      <c r="P4" s="18">
        <f>'Theta pilastri VCA'!I4</f>
        <v>372.6</v>
      </c>
      <c r="Q4" s="18">
        <f t="shared" ref="Q4:Q24" si="5">30/100*P4</f>
        <v>111.78</v>
      </c>
    </row>
    <row r="5" spans="1:17" x14ac:dyDescent="0.25">
      <c r="B5" s="18">
        <v>391</v>
      </c>
      <c r="C5" s="18">
        <v>17</v>
      </c>
      <c r="D5" s="19">
        <v>500</v>
      </c>
      <c r="E5" s="18">
        <v>18</v>
      </c>
      <c r="F5" s="18">
        <v>1500</v>
      </c>
      <c r="G5" s="20">
        <f t="shared" si="2"/>
        <v>644.67177496137072</v>
      </c>
      <c r="H5" s="27">
        <f t="shared" si="3"/>
        <v>559.67177496137072</v>
      </c>
      <c r="I5" s="13">
        <f>'Theta pilastri VCA'!B5</f>
        <v>600</v>
      </c>
      <c r="J5" s="28">
        <f>'Theta pilastri VCA'!F5</f>
        <v>7.4872727272727278E-6</v>
      </c>
      <c r="K5" s="21">
        <f>'Theta pilastri VCA'!G5</f>
        <v>1.664727272727273E-5</v>
      </c>
      <c r="L5" s="26">
        <f t="shared" si="4"/>
        <v>7.3551036970289415E-3</v>
      </c>
      <c r="M5" s="26">
        <f t="shared" si="0"/>
        <v>7.9942177596776885E-3</v>
      </c>
      <c r="N5" s="18">
        <f t="shared" si="1"/>
        <v>8.3939286476615721E-3</v>
      </c>
      <c r="O5" s="18">
        <f>'Theta pilastri VCA'!H5</f>
        <v>337.6</v>
      </c>
      <c r="P5" s="18">
        <f>'Theta pilastri VCA'!I5</f>
        <v>392.1</v>
      </c>
      <c r="Q5" s="18">
        <f t="shared" si="5"/>
        <v>117.63</v>
      </c>
    </row>
    <row r="6" spans="1:17" x14ac:dyDescent="0.25">
      <c r="B6" s="18">
        <v>391</v>
      </c>
      <c r="C6" s="18">
        <v>17</v>
      </c>
      <c r="D6" s="19">
        <v>500</v>
      </c>
      <c r="E6" s="18">
        <v>18</v>
      </c>
      <c r="F6" s="18">
        <v>1500</v>
      </c>
      <c r="G6" s="20">
        <f t="shared" si="2"/>
        <v>644.67177496137072</v>
      </c>
      <c r="H6" s="27">
        <f t="shared" si="3"/>
        <v>559.67177496137072</v>
      </c>
      <c r="I6" s="13">
        <f>'Theta pilastri VCA'!B6</f>
        <v>700</v>
      </c>
      <c r="J6" s="28">
        <f>'Theta pilastri VCA'!F6</f>
        <v>7.7345454545454538E-6</v>
      </c>
      <c r="K6" s="21">
        <f>'Theta pilastri VCA'!G6</f>
        <v>1.5503636363636361E-5</v>
      </c>
      <c r="L6" s="26">
        <f t="shared" si="4"/>
        <v>7.5336112499177054E-3</v>
      </c>
      <c r="M6" s="26">
        <f t="shared" si="0"/>
        <v>7.6438949464516176E-3</v>
      </c>
      <c r="N6" s="18">
        <f t="shared" si="1"/>
        <v>8.026089693774198E-3</v>
      </c>
      <c r="O6" s="18">
        <f>'Theta pilastri VCA'!H6</f>
        <v>351.1</v>
      </c>
      <c r="P6" s="18">
        <f>'Theta pilastri VCA'!I6</f>
        <v>400.6</v>
      </c>
      <c r="Q6" s="18">
        <f t="shared" si="5"/>
        <v>120.18</v>
      </c>
    </row>
    <row r="7" spans="1:17" x14ac:dyDescent="0.25">
      <c r="B7" s="18">
        <v>391</v>
      </c>
      <c r="C7" s="18">
        <v>17</v>
      </c>
      <c r="D7" s="19">
        <v>500</v>
      </c>
      <c r="E7" s="18">
        <v>18</v>
      </c>
      <c r="F7" s="18">
        <v>1500</v>
      </c>
      <c r="G7" s="20">
        <f t="shared" si="2"/>
        <v>644.67177496137072</v>
      </c>
      <c r="H7" s="27">
        <f t="shared" si="3"/>
        <v>559.67177496137072</v>
      </c>
      <c r="I7" s="13">
        <f>'Theta pilastri VCA'!B7</f>
        <v>900</v>
      </c>
      <c r="J7" s="28">
        <f>'Theta pilastri VCA'!F7</f>
        <v>8.2563636363636372E-6</v>
      </c>
      <c r="K7" s="21">
        <f>'Theta pilastri VCA'!G7</f>
        <v>1.4165454545454547E-5</v>
      </c>
      <c r="L7" s="26">
        <f t="shared" si="4"/>
        <v>7.9103146887344392E-3</v>
      </c>
      <c r="M7" s="26">
        <f t="shared" si="0"/>
        <v>7.2674196063158367E-3</v>
      </c>
      <c r="N7" s="18">
        <f t="shared" si="1"/>
        <v>7.6307905866316288E-3</v>
      </c>
      <c r="O7" s="18">
        <f>'Theta pilastri VCA'!H7</f>
        <v>376.6</v>
      </c>
      <c r="P7" s="18">
        <f>'Theta pilastri VCA'!I7</f>
        <v>405.1</v>
      </c>
      <c r="Q7" s="18">
        <f t="shared" si="5"/>
        <v>121.53</v>
      </c>
    </row>
    <row r="8" spans="1:17" x14ac:dyDescent="0.25">
      <c r="B8" s="18">
        <v>391</v>
      </c>
      <c r="C8" s="18">
        <v>17</v>
      </c>
      <c r="D8" s="19">
        <v>500</v>
      </c>
      <c r="E8" s="18">
        <v>18</v>
      </c>
      <c r="F8" s="18">
        <v>1500</v>
      </c>
      <c r="G8" s="20">
        <f t="shared" si="2"/>
        <v>644.67177496137072</v>
      </c>
      <c r="H8" s="27">
        <f t="shared" si="3"/>
        <v>559.67177496137072</v>
      </c>
      <c r="I8" s="13">
        <f>'Theta pilastri VCA'!B8</f>
        <v>1200</v>
      </c>
      <c r="J8" s="28">
        <f>'Theta pilastri VCA'!F8</f>
        <v>9.3690909090909084E-6</v>
      </c>
      <c r="K8" s="21">
        <f>'Theta pilastri VCA'!G8</f>
        <v>1.236E-5</v>
      </c>
      <c r="L8" s="26">
        <f t="shared" si="4"/>
        <v>8.7135986767338837E-3</v>
      </c>
      <c r="M8" s="26">
        <f t="shared" si="0"/>
        <v>6.8182740338464196E-3</v>
      </c>
      <c r="N8" s="18">
        <f t="shared" si="1"/>
        <v>7.1591877355387402E-3</v>
      </c>
      <c r="O8" s="18">
        <f>'Theta pilastri VCA'!H8</f>
        <v>400.7</v>
      </c>
      <c r="P8" s="18">
        <f>'Theta pilastri VCA'!I8</f>
        <v>410</v>
      </c>
      <c r="Q8" s="18">
        <f t="shared" si="5"/>
        <v>123</v>
      </c>
    </row>
    <row r="9" spans="1:17" x14ac:dyDescent="0.25">
      <c r="B9" s="18">
        <v>391</v>
      </c>
      <c r="C9" s="18">
        <v>17</v>
      </c>
      <c r="D9" s="19">
        <v>500</v>
      </c>
      <c r="E9" s="18">
        <v>18</v>
      </c>
      <c r="F9" s="18">
        <v>1500</v>
      </c>
      <c r="G9" s="20">
        <f t="shared" si="2"/>
        <v>644.67177496137072</v>
      </c>
      <c r="H9" s="27">
        <f t="shared" si="3"/>
        <v>559.67177496137072</v>
      </c>
      <c r="I9" s="13">
        <f>'Theta pilastri VCA'!B9</f>
        <v>1400</v>
      </c>
      <c r="J9" s="28">
        <f>'Theta pilastri VCA'!F9</f>
        <v>1.0590909090909092E-5</v>
      </c>
      <c r="K9" s="21">
        <f>'Theta pilastri VCA'!G9</f>
        <v>1.1039999999999999E-5</v>
      </c>
      <c r="L9" s="26">
        <f t="shared" si="4"/>
        <v>9.5956359968901381E-3</v>
      </c>
      <c r="M9" s="26">
        <f t="shared" si="0"/>
        <v>6.5486252771108835E-3</v>
      </c>
      <c r="N9" s="18">
        <f t="shared" si="1"/>
        <v>6.8760565409664281E-3</v>
      </c>
      <c r="O9" s="18">
        <f>'Theta pilastri VCA'!H9</f>
        <v>410</v>
      </c>
      <c r="P9" s="18">
        <f>'Theta pilastri VCA'!I9</f>
        <v>411.2</v>
      </c>
      <c r="Q9" s="18">
        <f t="shared" si="5"/>
        <v>123.35999999999999</v>
      </c>
    </row>
    <row r="10" spans="1:17" x14ac:dyDescent="0.25">
      <c r="A10" s="9">
        <v>2</v>
      </c>
      <c r="B10" s="18">
        <v>391</v>
      </c>
      <c r="C10" s="18">
        <v>17</v>
      </c>
      <c r="D10" s="19">
        <v>500</v>
      </c>
      <c r="E10" s="18">
        <v>18</v>
      </c>
      <c r="F10" s="18">
        <v>1500</v>
      </c>
      <c r="G10" s="20">
        <f t="shared" si="2"/>
        <v>644.67177496137072</v>
      </c>
      <c r="H10" s="27">
        <f t="shared" si="3"/>
        <v>559.67177496137072</v>
      </c>
      <c r="I10" s="13">
        <f>'Theta pilastri VCA'!B10</f>
        <v>0</v>
      </c>
      <c r="J10" s="28">
        <f>'Theta pilastri VCA'!F10</f>
        <v>6.9160000000000004E-6</v>
      </c>
      <c r="K10" s="21">
        <f>'Theta pilastri VCA'!G10</f>
        <v>2.7480000000000001E-5</v>
      </c>
      <c r="L10" s="26">
        <f t="shared" si="4"/>
        <v>6.9426987476344558E-3</v>
      </c>
      <c r="M10" s="26">
        <f t="shared" si="0"/>
        <v>1.1567278683962625E-2</v>
      </c>
      <c r="N10" s="18">
        <f t="shared" si="1"/>
        <v>1.2145642618160755E-2</v>
      </c>
      <c r="O10" s="18">
        <f>'Theta pilastri VCA'!H10</f>
        <v>219.6</v>
      </c>
      <c r="P10" s="18">
        <f>'Theta pilastri VCA'!I10</f>
        <v>290.3</v>
      </c>
      <c r="Q10" s="18">
        <f t="shared" si="5"/>
        <v>87.09</v>
      </c>
    </row>
    <row r="11" spans="1:17" x14ac:dyDescent="0.25">
      <c r="B11" s="18">
        <v>391</v>
      </c>
      <c r="C11" s="18">
        <v>17</v>
      </c>
      <c r="D11" s="19">
        <v>500</v>
      </c>
      <c r="E11" s="18">
        <v>18</v>
      </c>
      <c r="F11" s="18">
        <v>1500</v>
      </c>
      <c r="G11" s="20">
        <f t="shared" si="2"/>
        <v>644.67177496137072</v>
      </c>
      <c r="H11" s="27">
        <f t="shared" si="3"/>
        <v>559.67177496137072</v>
      </c>
      <c r="I11" s="13">
        <f>'Theta pilastri VCA'!B11</f>
        <v>200</v>
      </c>
      <c r="J11" s="28">
        <f>'Theta pilastri VCA'!F11</f>
        <v>7.4540000000000001E-6</v>
      </c>
      <c r="K11" s="21">
        <f>'Theta pilastri VCA'!G11</f>
        <v>2.3479999999999999E-5</v>
      </c>
      <c r="L11" s="26">
        <f t="shared" si="4"/>
        <v>7.3310839307211143E-3</v>
      </c>
      <c r="M11" s="26">
        <f t="shared" si="0"/>
        <v>1.0294966352380752E-2</v>
      </c>
      <c r="N11" s="18">
        <f t="shared" si="1"/>
        <v>1.080971466999979E-2</v>
      </c>
      <c r="O11" s="18">
        <f>'Theta pilastri VCA'!H11</f>
        <v>248.2</v>
      </c>
      <c r="P11" s="18">
        <f>'Theta pilastri VCA'!I11</f>
        <v>309.89999999999998</v>
      </c>
      <c r="Q11" s="18">
        <f t="shared" si="5"/>
        <v>92.969999999999985</v>
      </c>
    </row>
    <row r="12" spans="1:17" x14ac:dyDescent="0.25">
      <c r="B12" s="18">
        <v>391</v>
      </c>
      <c r="C12" s="18">
        <v>17</v>
      </c>
      <c r="D12" s="19">
        <v>500</v>
      </c>
      <c r="E12" s="18">
        <v>18</v>
      </c>
      <c r="F12" s="18">
        <v>1500</v>
      </c>
      <c r="G12" s="20">
        <f t="shared" si="2"/>
        <v>644.67177496137072</v>
      </c>
      <c r="H12" s="27">
        <f t="shared" si="3"/>
        <v>559.67177496137072</v>
      </c>
      <c r="I12" s="13">
        <f>'Theta pilastri VCA'!B12</f>
        <v>400</v>
      </c>
      <c r="J12" s="28">
        <f>'Theta pilastri VCA'!F12</f>
        <v>7.9999999999999996E-6</v>
      </c>
      <c r="K12" s="21">
        <f>'Theta pilastri VCA'!G12</f>
        <v>2.0059999999999998E-5</v>
      </c>
      <c r="L12" s="26">
        <f t="shared" si="4"/>
        <v>7.7252443581659405E-3</v>
      </c>
      <c r="M12" s="26">
        <f t="shared" si="0"/>
        <v>9.2195114270160368E-3</v>
      </c>
      <c r="N12" s="18">
        <f t="shared" si="1"/>
        <v>9.6804869983668392E-3</v>
      </c>
      <c r="O12" s="18">
        <f>'Theta pilastri VCA'!H12</f>
        <v>275.2</v>
      </c>
      <c r="P12" s="18">
        <f>'Theta pilastri VCA'!I12</f>
        <v>328.5</v>
      </c>
      <c r="Q12" s="18">
        <f t="shared" si="5"/>
        <v>98.55</v>
      </c>
    </row>
    <row r="13" spans="1:17" x14ac:dyDescent="0.25">
      <c r="B13" s="18">
        <v>391</v>
      </c>
      <c r="C13" s="18">
        <v>17</v>
      </c>
      <c r="D13" s="19">
        <v>500</v>
      </c>
      <c r="E13" s="18">
        <v>18</v>
      </c>
      <c r="F13" s="18">
        <v>1500</v>
      </c>
      <c r="G13" s="20">
        <f t="shared" si="2"/>
        <v>644.67177496137072</v>
      </c>
      <c r="H13" s="27">
        <f t="shared" si="3"/>
        <v>559.67177496137072</v>
      </c>
      <c r="I13" s="13">
        <f>'Theta pilastri VCA'!B13</f>
        <v>600</v>
      </c>
      <c r="J13" s="28">
        <f>'Theta pilastri VCA'!F13</f>
        <v>8.5820000000000002E-6</v>
      </c>
      <c r="K13" s="21">
        <f>'Theta pilastri VCA'!G13</f>
        <v>1.7186000000000001E-5</v>
      </c>
      <c r="L13" s="26">
        <f t="shared" si="4"/>
        <v>8.1453933852225126E-3</v>
      </c>
      <c r="M13" s="26">
        <f t="shared" si="0"/>
        <v>8.3334691125037455E-3</v>
      </c>
      <c r="N13" s="18">
        <f t="shared" si="1"/>
        <v>8.7501425681289335E-3</v>
      </c>
      <c r="O13" s="18">
        <f>'Theta pilastri VCA'!H13</f>
        <v>300.3</v>
      </c>
      <c r="P13" s="18">
        <f>'Theta pilastri VCA'!I13</f>
        <v>345.1</v>
      </c>
      <c r="Q13" s="18">
        <f t="shared" si="5"/>
        <v>103.53</v>
      </c>
    </row>
    <row r="14" spans="1:17" x14ac:dyDescent="0.25">
      <c r="B14" s="18">
        <v>391</v>
      </c>
      <c r="C14" s="18">
        <v>17</v>
      </c>
      <c r="D14" s="19">
        <v>500</v>
      </c>
      <c r="E14" s="18">
        <v>18</v>
      </c>
      <c r="F14" s="18">
        <v>1500</v>
      </c>
      <c r="G14" s="20">
        <f t="shared" si="2"/>
        <v>644.67177496137072</v>
      </c>
      <c r="H14" s="27">
        <f t="shared" si="3"/>
        <v>559.67177496137072</v>
      </c>
      <c r="I14" s="13">
        <f>'Theta pilastri VCA'!B14</f>
        <v>800</v>
      </c>
      <c r="J14" s="28">
        <f>'Theta pilastri VCA'!F14</f>
        <v>9.1980000000000007E-6</v>
      </c>
      <c r="K14" s="21">
        <f>'Theta pilastri VCA'!G14</f>
        <v>1.5636000000000001E-5</v>
      </c>
      <c r="L14" s="26">
        <f t="shared" si="4"/>
        <v>8.5900872008012885E-3</v>
      </c>
      <c r="M14" s="26">
        <f t="shared" si="0"/>
        <v>7.8990685635425689E-3</v>
      </c>
      <c r="N14" s="18">
        <f t="shared" si="1"/>
        <v>8.2940219917196981E-3</v>
      </c>
      <c r="O14" s="18">
        <f>'Theta pilastri VCA'!H14</f>
        <v>323.39999999999998</v>
      </c>
      <c r="P14" s="18">
        <f>'Theta pilastri VCA'!I14</f>
        <v>349</v>
      </c>
      <c r="Q14" s="18">
        <f t="shared" si="5"/>
        <v>104.7</v>
      </c>
    </row>
    <row r="15" spans="1:17" x14ac:dyDescent="0.25">
      <c r="B15" s="18">
        <v>391</v>
      </c>
      <c r="C15" s="18">
        <v>17</v>
      </c>
      <c r="D15" s="19">
        <v>500</v>
      </c>
      <c r="E15" s="18">
        <v>18</v>
      </c>
      <c r="F15" s="18">
        <v>1500</v>
      </c>
      <c r="G15" s="20">
        <f t="shared" si="2"/>
        <v>644.67177496137072</v>
      </c>
      <c r="H15" s="27">
        <f t="shared" si="3"/>
        <v>559.67177496137072</v>
      </c>
      <c r="I15" s="13">
        <f>'Theta pilastri VCA'!B15</f>
        <v>1000</v>
      </c>
      <c r="J15" s="28">
        <f>'Theta pilastri VCA'!F15</f>
        <v>9.9839999999999996E-6</v>
      </c>
      <c r="K15" s="21">
        <f>'Theta pilastri VCA'!G15</f>
        <v>1.4215999999999999E-5</v>
      </c>
      <c r="L15" s="26">
        <f t="shared" si="4"/>
        <v>9.1575049589910935E-3</v>
      </c>
      <c r="M15" s="26">
        <f t="shared" si="0"/>
        <v>7.532986966300283E-3</v>
      </c>
      <c r="N15" s="18">
        <f t="shared" si="1"/>
        <v>7.9096363146152968E-3</v>
      </c>
      <c r="O15" s="18">
        <f>'Theta pilastri VCA'!H15</f>
        <v>341</v>
      </c>
      <c r="P15" s="18">
        <f>'Theta pilastri VCA'!I15</f>
        <v>352.1</v>
      </c>
      <c r="Q15" s="18">
        <f t="shared" si="5"/>
        <v>105.63000000000001</v>
      </c>
    </row>
    <row r="16" spans="1:17" x14ac:dyDescent="0.25">
      <c r="A16" s="9">
        <v>3</v>
      </c>
      <c r="B16" s="18">
        <v>391</v>
      </c>
      <c r="C16" s="18">
        <v>17</v>
      </c>
      <c r="D16" s="19">
        <v>500</v>
      </c>
      <c r="E16" s="18">
        <v>18</v>
      </c>
      <c r="F16" s="18">
        <v>1500</v>
      </c>
      <c r="G16" s="20">
        <f t="shared" si="2"/>
        <v>644.67177496137072</v>
      </c>
      <c r="H16" s="27">
        <f t="shared" si="3"/>
        <v>559.67177496137072</v>
      </c>
      <c r="I16" s="13">
        <f>'Theta pilastri VCA'!B16</f>
        <v>0</v>
      </c>
      <c r="J16" s="28">
        <f>'Theta pilastri VCA'!F16</f>
        <v>7.9688888888888886E-6</v>
      </c>
      <c r="K16" s="21">
        <f>'Theta pilastri VCA'!G16</f>
        <v>2.908888888888889E-5</v>
      </c>
      <c r="L16" s="26">
        <f t="shared" si="4"/>
        <v>7.7027850745508492E-3</v>
      </c>
      <c r="M16" s="26">
        <f t="shared" si="0"/>
        <v>1.2261611341209878E-2</v>
      </c>
      <c r="N16" s="18">
        <f t="shared" si="1"/>
        <v>1.2874691908270373E-2</v>
      </c>
      <c r="O16" s="18">
        <f>'Theta pilastri VCA'!H16</f>
        <v>193</v>
      </c>
      <c r="P16" s="18">
        <f>'Theta pilastri VCA'!I16</f>
        <v>252.5</v>
      </c>
      <c r="Q16" s="18">
        <f t="shared" si="5"/>
        <v>75.75</v>
      </c>
    </row>
    <row r="17" spans="1:17" x14ac:dyDescent="0.25">
      <c r="B17" s="18">
        <v>391</v>
      </c>
      <c r="C17" s="18">
        <v>17</v>
      </c>
      <c r="D17" s="19">
        <v>500</v>
      </c>
      <c r="E17" s="18">
        <v>18</v>
      </c>
      <c r="F17" s="18">
        <v>1500</v>
      </c>
      <c r="G17" s="20">
        <f t="shared" si="2"/>
        <v>644.67177496137072</v>
      </c>
      <c r="H17" s="27">
        <f t="shared" si="3"/>
        <v>559.67177496137072</v>
      </c>
      <c r="I17" s="13">
        <f>'Theta pilastri VCA'!B17</f>
        <v>200</v>
      </c>
      <c r="J17" s="28">
        <f>'Theta pilastri VCA'!F17</f>
        <v>8.6222222222222214E-6</v>
      </c>
      <c r="K17" s="21">
        <f>'Theta pilastri VCA'!G17</f>
        <v>2.4688888888888888E-5</v>
      </c>
      <c r="L17" s="26">
        <f t="shared" si="4"/>
        <v>8.1744300304677341E-3</v>
      </c>
      <c r="M17" s="26">
        <f t="shared" si="0"/>
        <v>1.0870919045733994E-2</v>
      </c>
      <c r="N17" s="18">
        <f t="shared" si="1"/>
        <v>1.1414464998020695E-2</v>
      </c>
      <c r="O17" s="18">
        <f>'Theta pilastri VCA'!H17</f>
        <v>218</v>
      </c>
      <c r="P17" s="18">
        <f>'Theta pilastri VCA'!I17</f>
        <v>269.39999999999998</v>
      </c>
      <c r="Q17" s="18">
        <f t="shared" si="5"/>
        <v>80.819999999999993</v>
      </c>
    </row>
    <row r="18" spans="1:17" x14ac:dyDescent="0.25">
      <c r="B18" s="18">
        <v>391</v>
      </c>
      <c r="C18" s="18">
        <v>17</v>
      </c>
      <c r="D18" s="19">
        <v>500</v>
      </c>
      <c r="E18" s="18">
        <v>18</v>
      </c>
      <c r="F18" s="18">
        <v>1500</v>
      </c>
      <c r="G18" s="20">
        <f t="shared" si="2"/>
        <v>644.67177496137072</v>
      </c>
      <c r="H18" s="27">
        <f t="shared" si="3"/>
        <v>559.67177496137072</v>
      </c>
      <c r="I18" s="13">
        <f>'Theta pilastri VCA'!B18</f>
        <v>400</v>
      </c>
      <c r="J18" s="28">
        <f>'Theta pilastri VCA'!F18</f>
        <v>9.2977777777777782E-6</v>
      </c>
      <c r="K18" s="21">
        <f>'Theta pilastri VCA'!G18</f>
        <v>2.0913333333333332E-5</v>
      </c>
      <c r="L18" s="26">
        <f t="shared" si="4"/>
        <v>8.6621173318239698E-3</v>
      </c>
      <c r="M18" s="26">
        <f t="shared" si="0"/>
        <v>9.6941266314347456E-3</v>
      </c>
      <c r="N18" s="18">
        <f t="shared" si="1"/>
        <v>1.0178832963006482E-2</v>
      </c>
      <c r="O18" s="18">
        <f>'Theta pilastri VCA'!H18</f>
        <v>241.5</v>
      </c>
      <c r="P18" s="18">
        <f>'Theta pilastri VCA'!I18</f>
        <v>285.2</v>
      </c>
      <c r="Q18" s="18">
        <f t="shared" si="5"/>
        <v>85.559999999999988</v>
      </c>
    </row>
    <row r="19" spans="1:17" x14ac:dyDescent="0.25">
      <c r="B19" s="18">
        <v>391</v>
      </c>
      <c r="C19" s="18">
        <v>17</v>
      </c>
      <c r="D19" s="19">
        <v>500</v>
      </c>
      <c r="E19" s="18">
        <v>18</v>
      </c>
      <c r="F19" s="18">
        <v>1500</v>
      </c>
      <c r="G19" s="20">
        <f t="shared" si="2"/>
        <v>644.67177496137072</v>
      </c>
      <c r="H19" s="27">
        <f t="shared" si="3"/>
        <v>559.67177496137072</v>
      </c>
      <c r="I19" s="13">
        <f>'Theta pilastri VCA'!B19</f>
        <v>600</v>
      </c>
      <c r="J19" s="28">
        <f>'Theta pilastri VCA'!F19</f>
        <v>1.0015555555555555E-5</v>
      </c>
      <c r="K19" s="21">
        <f>'Theta pilastri VCA'!G19</f>
        <v>1.8317777777777778E-5</v>
      </c>
      <c r="L19" s="26">
        <f t="shared" si="4"/>
        <v>9.1802850895149699E-3</v>
      </c>
      <c r="M19" s="26">
        <f t="shared" si="0"/>
        <v>8.921569473089818E-3</v>
      </c>
      <c r="N19" s="18">
        <f t="shared" si="1"/>
        <v>9.3676479467443095E-3</v>
      </c>
      <c r="O19" s="18">
        <f>'Theta pilastri VCA'!H19</f>
        <v>263.10000000000002</v>
      </c>
      <c r="P19" s="18">
        <f>'Theta pilastri VCA'!I19</f>
        <v>294.39999999999998</v>
      </c>
      <c r="Q19" s="18">
        <f t="shared" si="5"/>
        <v>88.32</v>
      </c>
    </row>
    <row r="20" spans="1:17" x14ac:dyDescent="0.25">
      <c r="B20" s="18">
        <v>391</v>
      </c>
      <c r="C20" s="18">
        <v>17</v>
      </c>
      <c r="D20" s="19">
        <v>500</v>
      </c>
      <c r="E20" s="18">
        <v>18</v>
      </c>
      <c r="F20" s="18">
        <v>1500</v>
      </c>
      <c r="G20" s="20">
        <f t="shared" si="2"/>
        <v>644.67177496137072</v>
      </c>
      <c r="H20" s="27">
        <f t="shared" si="3"/>
        <v>559.67177496137072</v>
      </c>
      <c r="I20" s="13">
        <f>'Theta pilastri VCA'!B20</f>
        <v>800</v>
      </c>
      <c r="J20" s="28">
        <f>'Theta pilastri VCA'!F20</f>
        <v>1.0784444444444444E-5</v>
      </c>
      <c r="K20" s="21">
        <f>'Theta pilastri VCA'!G20</f>
        <v>1.6593333333333333E-5</v>
      </c>
      <c r="L20" s="26">
        <f t="shared" si="4"/>
        <v>9.7353502417164735E-3</v>
      </c>
      <c r="M20" s="26">
        <f t="shared" si="0"/>
        <v>8.4502992831987488E-3</v>
      </c>
      <c r="N20" s="18">
        <f t="shared" si="1"/>
        <v>8.8728142473586871E-3</v>
      </c>
      <c r="O20" s="18">
        <f>'Theta pilastri VCA'!H20</f>
        <v>283</v>
      </c>
      <c r="P20" s="18">
        <f>'Theta pilastri VCA'!I20</f>
        <v>297.2</v>
      </c>
      <c r="Q20" s="18">
        <f t="shared" si="5"/>
        <v>89.16</v>
      </c>
    </row>
    <row r="21" spans="1:17" x14ac:dyDescent="0.25">
      <c r="A21" s="9">
        <v>4</v>
      </c>
      <c r="B21" s="18">
        <v>391</v>
      </c>
      <c r="C21" s="18">
        <v>17</v>
      </c>
      <c r="D21" s="19">
        <v>500</v>
      </c>
      <c r="E21" s="18">
        <v>18</v>
      </c>
      <c r="F21" s="18">
        <v>1500</v>
      </c>
      <c r="G21" s="20">
        <f t="shared" si="2"/>
        <v>644.67177496137072</v>
      </c>
      <c r="H21" s="27">
        <f t="shared" si="3"/>
        <v>559.67177496137072</v>
      </c>
      <c r="I21" s="13">
        <f>'Theta pilastri VCA'!B21</f>
        <v>0</v>
      </c>
      <c r="J21" s="28">
        <f>'Theta pilastri VCA'!F21</f>
        <v>9.034999999999999E-6</v>
      </c>
      <c r="K21" s="21">
        <f>'Theta pilastri VCA'!G21</f>
        <v>3.3525000000000002E-5</v>
      </c>
      <c r="L21" s="26">
        <f t="shared" si="4"/>
        <v>8.4724165970036583E-3</v>
      </c>
      <c r="M21" s="26">
        <f t="shared" si="0"/>
        <v>1.391182211718156E-2</v>
      </c>
      <c r="N21" s="18">
        <f t="shared" si="1"/>
        <v>1.4607413223040638E-2</v>
      </c>
      <c r="O21" s="18">
        <f>'Theta pilastri VCA'!H21</f>
        <v>140.6</v>
      </c>
      <c r="P21" s="18">
        <f>'Theta pilastri VCA'!I21</f>
        <v>185</v>
      </c>
      <c r="Q21" s="18">
        <f t="shared" si="5"/>
        <v>55.5</v>
      </c>
    </row>
    <row r="22" spans="1:17" x14ac:dyDescent="0.25">
      <c r="B22" s="18">
        <v>391</v>
      </c>
      <c r="C22" s="18">
        <v>17</v>
      </c>
      <c r="D22" s="19">
        <v>500</v>
      </c>
      <c r="E22" s="18">
        <v>18</v>
      </c>
      <c r="F22" s="18">
        <v>1500</v>
      </c>
      <c r="G22" s="20">
        <f t="shared" si="2"/>
        <v>644.67177496137072</v>
      </c>
      <c r="H22" s="27">
        <f t="shared" si="3"/>
        <v>559.67177496137072</v>
      </c>
      <c r="I22" s="13">
        <f>'Theta pilastri VCA'!B22</f>
        <v>100</v>
      </c>
      <c r="J22" s="28">
        <f>'Theta pilastri VCA'!F22</f>
        <v>9.4699999999999991E-6</v>
      </c>
      <c r="K22" s="21">
        <f>'Theta pilastri VCA'!G22</f>
        <v>3.0474999999999999E-5</v>
      </c>
      <c r="L22" s="26">
        <f t="shared" si="4"/>
        <v>8.7864455089789323E-3</v>
      </c>
      <c r="M22" s="26">
        <f t="shared" si="0"/>
        <v>1.294524772701593E-2</v>
      </c>
      <c r="N22" s="18">
        <f t="shared" si="1"/>
        <v>1.3592510113366726E-2</v>
      </c>
      <c r="O22" s="18">
        <f>'Theta pilastri VCA'!H22</f>
        <v>151.9</v>
      </c>
      <c r="P22" s="18">
        <f>'Theta pilastri VCA'!I22</f>
        <v>192.6</v>
      </c>
      <c r="Q22" s="18">
        <f t="shared" si="5"/>
        <v>57.779999999999994</v>
      </c>
    </row>
    <row r="23" spans="1:17" x14ac:dyDescent="0.25">
      <c r="B23" s="18">
        <v>391</v>
      </c>
      <c r="C23" s="18">
        <v>17</v>
      </c>
      <c r="D23" s="19">
        <v>500</v>
      </c>
      <c r="E23" s="18">
        <v>18</v>
      </c>
      <c r="F23" s="18">
        <v>1500</v>
      </c>
      <c r="G23" s="20">
        <f t="shared" si="2"/>
        <v>644.67177496137072</v>
      </c>
      <c r="H23" s="27">
        <f t="shared" si="3"/>
        <v>559.67177496137072</v>
      </c>
      <c r="I23" s="13">
        <f>'Theta pilastri VCA'!B23</f>
        <v>200</v>
      </c>
      <c r="J23" s="28">
        <f>'Theta pilastri VCA'!F23</f>
        <v>9.91E-6</v>
      </c>
      <c r="K23" s="21">
        <f>'Theta pilastri VCA'!G23</f>
        <v>2.7675000000000002E-5</v>
      </c>
      <c r="L23" s="26">
        <f t="shared" si="4"/>
        <v>9.1040839486780586E-3</v>
      </c>
      <c r="M23" s="26">
        <f t="shared" si="0"/>
        <v>1.2063748875049716E-2</v>
      </c>
      <c r="N23" s="18">
        <f t="shared" si="1"/>
        <v>1.2666936318802202E-2</v>
      </c>
      <c r="O23" s="18">
        <f>'Theta pilastri VCA'!H23</f>
        <v>162.69999999999999</v>
      </c>
      <c r="P23" s="18">
        <f>'Theta pilastri VCA'!I23</f>
        <v>200.1</v>
      </c>
      <c r="Q23" s="18">
        <f t="shared" si="5"/>
        <v>60.029999999999994</v>
      </c>
    </row>
    <row r="24" spans="1:17" x14ac:dyDescent="0.25">
      <c r="B24" s="18">
        <v>391</v>
      </c>
      <c r="C24" s="18">
        <v>17</v>
      </c>
      <c r="D24" s="19">
        <v>500</v>
      </c>
      <c r="E24" s="18">
        <v>18</v>
      </c>
      <c r="F24" s="18">
        <v>1500</v>
      </c>
      <c r="G24" s="20">
        <f t="shared" si="2"/>
        <v>644.67177496137072</v>
      </c>
      <c r="H24" s="27">
        <f t="shared" si="3"/>
        <v>559.67177496137072</v>
      </c>
      <c r="I24" s="13">
        <f>'Theta pilastri VCA'!B24</f>
        <v>300</v>
      </c>
      <c r="J24" s="28">
        <f>'Theta pilastri VCA'!F24</f>
        <v>1.0362499999999999E-5</v>
      </c>
      <c r="K24" s="21">
        <f>'Theta pilastri VCA'!G24</f>
        <v>2.5150000000000001E-5</v>
      </c>
      <c r="L24" s="26">
        <f t="shared" si="4"/>
        <v>9.4307462076868177E-3</v>
      </c>
      <c r="M24" s="26">
        <f t="shared" si="0"/>
        <v>1.1276840030891303E-2</v>
      </c>
      <c r="N24" s="18">
        <f t="shared" si="1"/>
        <v>1.1840682032435868E-2</v>
      </c>
      <c r="O24" s="18">
        <f>'Theta pilastri VCA'!H24</f>
        <v>173.1</v>
      </c>
      <c r="P24" s="18">
        <f>'Theta pilastri VCA'!I24</f>
        <v>207.2</v>
      </c>
      <c r="Q24" s="18">
        <f t="shared" si="5"/>
        <v>62.16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ED73C-EEBD-4A01-A14F-9202393A5D41}">
  <dimension ref="A1:BD55"/>
  <sheetViews>
    <sheetView showGridLines="0" topLeftCell="A24" zoomScale="70" zoomScaleNormal="70" workbookViewId="0">
      <pane xSplit="1" topLeftCell="AL1" activePane="topRight" state="frozen"/>
      <selection activeCell="A46" sqref="A46"/>
      <selection pane="topRight" activeCell="AO55" sqref="AO55"/>
    </sheetView>
  </sheetViews>
  <sheetFormatPr defaultRowHeight="15" x14ac:dyDescent="0.25"/>
  <cols>
    <col min="2" max="2" width="9.7109375" bestFit="1" customWidth="1"/>
  </cols>
  <sheetData>
    <row r="1" spans="1:13" x14ac:dyDescent="0.25">
      <c r="C1" s="16" t="s">
        <v>46</v>
      </c>
      <c r="D1" s="10" t="s">
        <v>45</v>
      </c>
      <c r="E1" s="9" t="s">
        <v>44</v>
      </c>
      <c r="F1" s="11" t="s">
        <v>43</v>
      </c>
      <c r="G1" s="12" t="s">
        <v>42</v>
      </c>
      <c r="I1" s="1" t="s">
        <v>46</v>
      </c>
      <c r="J1" s="1" t="s">
        <v>45</v>
      </c>
      <c r="K1" s="1" t="s">
        <v>44</v>
      </c>
      <c r="L1" s="1" t="s">
        <v>43</v>
      </c>
      <c r="M1" s="1" t="s">
        <v>42</v>
      </c>
    </row>
    <row r="2" spans="1:13" x14ac:dyDescent="0.25">
      <c r="A2" s="79">
        <v>0</v>
      </c>
      <c r="B2" s="13" t="s">
        <v>71</v>
      </c>
      <c r="C2" s="13">
        <v>0</v>
      </c>
      <c r="D2" s="13">
        <f>PILASTRI!O3/PILASTRI!O3</f>
        <v>1</v>
      </c>
      <c r="E2" s="35">
        <f>PILASTRI!P3/PILASTRI!O3</f>
        <v>1.3359057676685622</v>
      </c>
      <c r="F2" s="35">
        <f>PILASTRI!Q3/PILASTRI!O3</f>
        <v>0.40077173030056862</v>
      </c>
      <c r="G2" s="5">
        <f>PILASTRI!Q3/PILASTRI!O3</f>
        <v>0.40077173030056862</v>
      </c>
    </row>
    <row r="3" spans="1:13" x14ac:dyDescent="0.25">
      <c r="A3" s="79"/>
      <c r="B3" s="14" t="s">
        <v>41</v>
      </c>
      <c r="C3" s="13">
        <v>0</v>
      </c>
      <c r="D3" s="13">
        <f>PILASTRI!L3</f>
        <v>6.3536238231015289E-3</v>
      </c>
      <c r="E3" s="13">
        <f>PILASTRI!M3</f>
        <v>1.0987321728577668E-2</v>
      </c>
      <c r="F3" s="13">
        <f>PILASTRI!M3</f>
        <v>1.0987321728577668E-2</v>
      </c>
      <c r="G3" s="13">
        <f>PILASTRI!N3</f>
        <v>1.1536687815006552E-2</v>
      </c>
    </row>
    <row r="4" spans="1:13" x14ac:dyDescent="0.25">
      <c r="A4" s="79">
        <v>400</v>
      </c>
      <c r="B4" s="13" t="s">
        <v>71</v>
      </c>
      <c r="C4" s="13">
        <v>0</v>
      </c>
      <c r="D4" s="13">
        <f>PILASTRI!O4/PILASTRI!O4</f>
        <v>1</v>
      </c>
      <c r="E4" s="35">
        <f>PILASTRI!P4/PILASTRI!O4</f>
        <v>1.2058252427184466</v>
      </c>
      <c r="F4" s="5">
        <f>PILASTRI!Q4/PILASTRI!O4</f>
        <v>0.36174757281553399</v>
      </c>
      <c r="G4" s="5">
        <f>PILASTRI!Q4/PILASTRI!O4</f>
        <v>0.36174757281553399</v>
      </c>
    </row>
    <row r="5" spans="1:13" x14ac:dyDescent="0.25">
      <c r="A5" s="79"/>
      <c r="B5" s="14" t="s">
        <v>41</v>
      </c>
      <c r="C5" s="13">
        <v>0</v>
      </c>
      <c r="D5" s="13">
        <f>PILASTRI!L4</f>
        <v>7.0112141466108779E-3</v>
      </c>
      <c r="E5" s="13">
        <f>PILASTRI!M4</f>
        <v>8.823859845654581E-3</v>
      </c>
      <c r="F5" s="13">
        <f>PILASTRI!M4</f>
        <v>8.823859845654581E-3</v>
      </c>
      <c r="G5" s="13">
        <f>PILASTRI!N4</f>
        <v>9.2650528379373091E-3</v>
      </c>
    </row>
    <row r="6" spans="1:13" x14ac:dyDescent="0.25">
      <c r="A6" s="79">
        <v>600</v>
      </c>
      <c r="B6" s="13" t="s">
        <v>71</v>
      </c>
      <c r="C6" s="13">
        <v>0</v>
      </c>
      <c r="D6" s="13">
        <f>PILASTRI!O5/PILASTRI!O5</f>
        <v>1</v>
      </c>
      <c r="E6" s="35">
        <f>PILASTRI!P5/PILASTRI!O5</f>
        <v>1.1614336492890995</v>
      </c>
      <c r="F6" s="5">
        <f>PILASTRI!Q5/PILASTRI!O5</f>
        <v>0.34843009478672982</v>
      </c>
      <c r="G6" s="5">
        <f>PILASTRI!Q5/PILASTRI!O5</f>
        <v>0.34843009478672982</v>
      </c>
    </row>
    <row r="7" spans="1:13" x14ac:dyDescent="0.25">
      <c r="A7" s="79"/>
      <c r="B7" s="14" t="s">
        <v>41</v>
      </c>
      <c r="C7" s="13">
        <v>0</v>
      </c>
      <c r="D7" s="13">
        <f>PILASTRI!L5</f>
        <v>7.3551036970289415E-3</v>
      </c>
      <c r="E7" s="13">
        <f>PILASTRI!M5</f>
        <v>7.9942177596776885E-3</v>
      </c>
      <c r="F7" s="13">
        <f>PILASTRI!M5</f>
        <v>7.9942177596776885E-3</v>
      </c>
      <c r="G7" s="13">
        <f>PILASTRI!N5</f>
        <v>8.3939286476615721E-3</v>
      </c>
    </row>
    <row r="8" spans="1:13" x14ac:dyDescent="0.25">
      <c r="A8" s="79">
        <v>700</v>
      </c>
      <c r="B8" s="13" t="s">
        <v>71</v>
      </c>
      <c r="C8" s="13">
        <v>0</v>
      </c>
      <c r="D8" s="13">
        <f>PILASTRI!O6/PILASTRI!O6</f>
        <v>1</v>
      </c>
      <c r="E8" s="35">
        <f>PILASTRI!P6/PILASTRI!O6</f>
        <v>1.1409854742238679</v>
      </c>
      <c r="F8" s="5">
        <f>PILASTRI!Q6/PILASTRI!O6</f>
        <v>0.34229564226716036</v>
      </c>
      <c r="G8" s="5">
        <f>PILASTRI!Q6/PILASTRI!O6</f>
        <v>0.34229564226716036</v>
      </c>
    </row>
    <row r="9" spans="1:13" x14ac:dyDescent="0.25">
      <c r="A9" s="79"/>
      <c r="B9" s="14" t="s">
        <v>41</v>
      </c>
      <c r="C9" s="13">
        <v>0</v>
      </c>
      <c r="D9" s="13">
        <f>PILASTRI!L6</f>
        <v>7.5336112499177054E-3</v>
      </c>
      <c r="E9" s="13">
        <f>PILASTRI!M6</f>
        <v>7.6438949464516176E-3</v>
      </c>
      <c r="F9" s="13">
        <f>PILASTRI!M6</f>
        <v>7.6438949464516176E-3</v>
      </c>
      <c r="G9" s="13">
        <f>PILASTRI!N6</f>
        <v>8.026089693774198E-3</v>
      </c>
    </row>
    <row r="10" spans="1:13" x14ac:dyDescent="0.25">
      <c r="A10" s="79">
        <v>900</v>
      </c>
      <c r="B10" s="13" t="s">
        <v>71</v>
      </c>
      <c r="C10" s="13">
        <v>0</v>
      </c>
      <c r="D10" s="13">
        <f>PILASTRI!O7/PILASTRI!O7</f>
        <v>1</v>
      </c>
      <c r="E10" s="35">
        <f>PILASTRI!P7/PILASTRI!O7</f>
        <v>1.075677110993096</v>
      </c>
      <c r="F10" s="5">
        <f>PILASTRI!Q7/PILASTRI!O7</f>
        <v>0.32270313329792882</v>
      </c>
      <c r="G10" s="5">
        <f>PILASTRI!Q7/PILASTRI!O7</f>
        <v>0.32270313329792882</v>
      </c>
    </row>
    <row r="11" spans="1:13" x14ac:dyDescent="0.25">
      <c r="A11" s="79"/>
      <c r="B11" s="14" t="s">
        <v>41</v>
      </c>
      <c r="C11" s="13">
        <v>0</v>
      </c>
      <c r="D11" s="13">
        <f>PILASTRI!L7</f>
        <v>7.9103146887344392E-3</v>
      </c>
      <c r="E11" s="13">
        <f>PILASTRI!M7</f>
        <v>7.2674196063158367E-3</v>
      </c>
      <c r="F11" s="13">
        <f>PILASTRI!M7</f>
        <v>7.2674196063158367E-3</v>
      </c>
      <c r="G11" s="13">
        <f>PILASTRI!N7</f>
        <v>7.6307905866316288E-3</v>
      </c>
    </row>
    <row r="12" spans="1:13" x14ac:dyDescent="0.25">
      <c r="A12" s="80">
        <v>1200</v>
      </c>
      <c r="B12" s="13" t="s">
        <v>71</v>
      </c>
      <c r="C12" s="13">
        <v>0</v>
      </c>
      <c r="D12" s="13">
        <f>PILASTRI!O8/PILASTRI!O8</f>
        <v>1</v>
      </c>
      <c r="E12" s="35">
        <f>PILASTRI!P8/PILASTRI!O8</f>
        <v>1.0232093835787373</v>
      </c>
      <c r="F12" s="5">
        <f>PILASTRI!Q8/PILASTRI!O8</f>
        <v>0.30696281507362116</v>
      </c>
      <c r="G12" s="5">
        <f>PILASTRI!Q8/PILASTRI!O8</f>
        <v>0.30696281507362116</v>
      </c>
    </row>
    <row r="13" spans="1:13" x14ac:dyDescent="0.25">
      <c r="A13" s="80"/>
      <c r="B13" s="14" t="s">
        <v>41</v>
      </c>
      <c r="C13" s="13">
        <v>0</v>
      </c>
      <c r="D13" s="13">
        <f>PILASTRI!L8</f>
        <v>8.7135986767338837E-3</v>
      </c>
      <c r="E13" s="13">
        <f>PILASTRI!M8</f>
        <v>6.8182740338464196E-3</v>
      </c>
      <c r="F13" s="13">
        <f>PILASTRI!M8</f>
        <v>6.8182740338464196E-3</v>
      </c>
      <c r="G13" s="13">
        <f>PILASTRI!N8</f>
        <v>7.1591877355387402E-3</v>
      </c>
    </row>
    <row r="14" spans="1:13" x14ac:dyDescent="0.25">
      <c r="A14" s="79">
        <v>1400</v>
      </c>
      <c r="B14" s="13" t="s">
        <v>71</v>
      </c>
      <c r="C14" s="13">
        <v>0</v>
      </c>
      <c r="D14" s="13">
        <f>PILASTRI!O9/PILASTRI!O9</f>
        <v>1</v>
      </c>
      <c r="E14" s="35">
        <f>PILASTRI!P9/PILASTRI!O9</f>
        <v>1.0029268292682927</v>
      </c>
      <c r="F14" s="5">
        <f>PILASTRI!Q9/PILASTRI!O9</f>
        <v>0.30087804878048779</v>
      </c>
      <c r="G14" s="5">
        <f>PILASTRI!Q9/PILASTRI!O9</f>
        <v>0.30087804878048779</v>
      </c>
    </row>
    <row r="15" spans="1:13" x14ac:dyDescent="0.25">
      <c r="A15" s="79"/>
      <c r="B15" s="14" t="s">
        <v>41</v>
      </c>
      <c r="C15" s="13">
        <v>0</v>
      </c>
      <c r="D15" s="13">
        <f>PILASTRI!L9</f>
        <v>9.5956359968901381E-3</v>
      </c>
      <c r="E15" s="13">
        <f>PILASTRI!M9</f>
        <v>6.5486252771108835E-3</v>
      </c>
      <c r="F15" s="13">
        <f>PILASTRI!M9</f>
        <v>6.5486252771108835E-3</v>
      </c>
      <c r="G15" s="13">
        <f>PILASTRI!N9</f>
        <v>6.8760565409664281E-3</v>
      </c>
    </row>
    <row r="16" spans="1:13" x14ac:dyDescent="0.25">
      <c r="A16" s="79">
        <v>0</v>
      </c>
      <c r="B16" s="13" t="s">
        <v>71</v>
      </c>
      <c r="C16" s="13">
        <v>0</v>
      </c>
      <c r="D16" s="13">
        <f>PILASTRI!O10/PILASTRI!O10</f>
        <v>1</v>
      </c>
      <c r="E16" s="35">
        <f>PILASTRI!P10/PILASTRI!O10</f>
        <v>1.3219489981785064</v>
      </c>
      <c r="F16" s="5">
        <f>PILASTRI!Q10/PILASTRI!O10</f>
        <v>0.39658469945355196</v>
      </c>
      <c r="G16" s="5">
        <f>PILASTRI!Q10/PILASTRI!O10</f>
        <v>0.39658469945355196</v>
      </c>
    </row>
    <row r="17" spans="1:23" x14ac:dyDescent="0.25">
      <c r="A17" s="79"/>
      <c r="B17" s="14" t="s">
        <v>41</v>
      </c>
      <c r="C17" s="13">
        <v>0</v>
      </c>
      <c r="D17" s="13">
        <f>PILASTRI!L10</f>
        <v>6.9426987476344558E-3</v>
      </c>
      <c r="E17" s="13">
        <f>PILASTRI!M10</f>
        <v>1.1567278683962625E-2</v>
      </c>
      <c r="F17" s="13">
        <f>PILASTRI!M10</f>
        <v>1.1567278683962625E-2</v>
      </c>
      <c r="G17" s="13">
        <f>PILASTRI!N10</f>
        <v>1.2145642618160755E-2</v>
      </c>
    </row>
    <row r="18" spans="1:23" x14ac:dyDescent="0.25">
      <c r="A18" s="79">
        <v>200</v>
      </c>
      <c r="B18" s="13" t="s">
        <v>71</v>
      </c>
      <c r="C18" s="13">
        <v>0</v>
      </c>
      <c r="D18" s="13">
        <f>PILASTRI!O11/PILASTRI!O11</f>
        <v>1</v>
      </c>
      <c r="E18" s="35">
        <f>PILASTRI!P11/PILASTRI!O11</f>
        <v>1.2485898468976631</v>
      </c>
      <c r="F18" s="5">
        <f>PILASTRI!Q11/PILASTRI!O11</f>
        <v>0.37457695406929892</v>
      </c>
      <c r="G18" s="5">
        <f>PILASTRI!Q11/PILASTRI!O11</f>
        <v>0.37457695406929892</v>
      </c>
    </row>
    <row r="19" spans="1:23" x14ac:dyDescent="0.25">
      <c r="A19" s="79"/>
      <c r="B19" s="14" t="s">
        <v>41</v>
      </c>
      <c r="C19" s="13">
        <v>0</v>
      </c>
      <c r="D19" s="13">
        <f>PILASTRI!L11</f>
        <v>7.3310839307211143E-3</v>
      </c>
      <c r="E19" s="13">
        <f>PILASTRI!M11</f>
        <v>1.0294966352380752E-2</v>
      </c>
      <c r="F19" s="13">
        <f>PILASTRI!M11</f>
        <v>1.0294966352380752E-2</v>
      </c>
      <c r="G19" s="13">
        <f>PILASTRI!N11</f>
        <v>1.080971466999979E-2</v>
      </c>
    </row>
    <row r="20" spans="1:23" x14ac:dyDescent="0.25">
      <c r="A20" s="79">
        <v>400</v>
      </c>
      <c r="B20" s="13" t="s">
        <v>71</v>
      </c>
      <c r="C20" s="13">
        <v>0</v>
      </c>
      <c r="D20" s="13">
        <f>PILASTRI!O12/PILASTRI!O12</f>
        <v>1</v>
      </c>
      <c r="E20" s="35">
        <f>PILASTRI!P12/PILASTRI!O12</f>
        <v>1.1936773255813955</v>
      </c>
      <c r="F20" s="5">
        <f>PILASTRI!Q12/PILASTRI!O12</f>
        <v>0.35810319767441862</v>
      </c>
      <c r="G20" s="5">
        <f>PILASTRI!Q12/PILASTRI!O12</f>
        <v>0.35810319767441862</v>
      </c>
    </row>
    <row r="21" spans="1:23" x14ac:dyDescent="0.25">
      <c r="A21" s="79"/>
      <c r="B21" s="14" t="s">
        <v>41</v>
      </c>
      <c r="C21" s="13">
        <v>0</v>
      </c>
      <c r="D21" s="13">
        <f>PILASTRI!L12</f>
        <v>7.7252443581659405E-3</v>
      </c>
      <c r="E21" s="13">
        <f>PILASTRI!M12</f>
        <v>9.2195114270160368E-3</v>
      </c>
      <c r="F21" s="13">
        <f>PILASTRI!M12</f>
        <v>9.2195114270160368E-3</v>
      </c>
      <c r="G21" s="13">
        <f>PILASTRI!N12</f>
        <v>9.6804869983668392E-3</v>
      </c>
    </row>
    <row r="22" spans="1:23" x14ac:dyDescent="0.25">
      <c r="A22" s="79">
        <v>600</v>
      </c>
      <c r="B22" s="13" t="s">
        <v>71</v>
      </c>
      <c r="C22" s="13">
        <v>0</v>
      </c>
      <c r="D22" s="13">
        <f>PILASTRI!O13/PILASTRI!O13</f>
        <v>1</v>
      </c>
      <c r="E22" s="35">
        <f>PILASTRI!P13/PILASTRI!O13</f>
        <v>1.1491841491841492</v>
      </c>
      <c r="F22" s="5">
        <f>PILASTRI!Q13/PILASTRI!O13</f>
        <v>0.34475524475524477</v>
      </c>
      <c r="G22" s="5">
        <f>PILASTRI!Q13/PILASTRI!O13</f>
        <v>0.34475524475524477</v>
      </c>
    </row>
    <row r="23" spans="1:23" x14ac:dyDescent="0.25">
      <c r="A23" s="79"/>
      <c r="B23" s="14" t="s">
        <v>41</v>
      </c>
      <c r="C23" s="13">
        <v>0</v>
      </c>
      <c r="D23" s="13">
        <f>PILASTRI!L13</f>
        <v>8.1453933852225126E-3</v>
      </c>
      <c r="E23" s="13">
        <f>PILASTRI!M13</f>
        <v>8.3334691125037455E-3</v>
      </c>
      <c r="F23" s="13">
        <f>PILASTRI!M13</f>
        <v>8.3334691125037455E-3</v>
      </c>
      <c r="G23" s="13">
        <f>PILASTRI!N13</f>
        <v>8.7501425681289335E-3</v>
      </c>
    </row>
    <row r="24" spans="1:23" x14ac:dyDescent="0.25">
      <c r="A24" s="79">
        <v>800</v>
      </c>
      <c r="B24" s="13" t="s">
        <v>71</v>
      </c>
      <c r="C24" s="13">
        <v>0</v>
      </c>
      <c r="D24" s="13">
        <f>PILASTRI!O14/PILASTRI!O14</f>
        <v>1</v>
      </c>
      <c r="E24" s="35">
        <f>PILASTRI!P14/PILASTRI!O14</f>
        <v>1.0791589363017935</v>
      </c>
      <c r="F24" s="5">
        <f>PILASTRI!Q14/PILASTRI!O14</f>
        <v>0.32374768089053807</v>
      </c>
      <c r="G24" s="5">
        <f>PILASTRI!Q14/PILASTRI!O14</f>
        <v>0.32374768089053807</v>
      </c>
    </row>
    <row r="25" spans="1:23" x14ac:dyDescent="0.25">
      <c r="A25" s="79"/>
      <c r="B25" s="14" t="s">
        <v>41</v>
      </c>
      <c r="C25" s="13">
        <v>0</v>
      </c>
      <c r="D25" s="13">
        <f>PILASTRI!L14</f>
        <v>8.5900872008012885E-3</v>
      </c>
      <c r="E25" s="13">
        <f>PILASTRI!M14</f>
        <v>7.8990685635425689E-3</v>
      </c>
      <c r="F25" s="13">
        <f>PILASTRI!M14</f>
        <v>7.8990685635425689E-3</v>
      </c>
      <c r="G25" s="13">
        <f>PILASTRI!N14</f>
        <v>8.2940219917196981E-3</v>
      </c>
    </row>
    <row r="26" spans="1:23" x14ac:dyDescent="0.25">
      <c r="A26" s="79">
        <v>1000</v>
      </c>
      <c r="B26" s="13" t="s">
        <v>71</v>
      </c>
      <c r="C26" s="13">
        <v>0</v>
      </c>
      <c r="D26" s="13">
        <f>PILASTRI!O15/PILASTRI!O15</f>
        <v>1</v>
      </c>
      <c r="E26" s="35">
        <f>PILASTRI!P15/PILASTRI!O15</f>
        <v>1.032551319648094</v>
      </c>
      <c r="F26" s="5">
        <f>PILASTRI!Q15/PILASTRI!O15</f>
        <v>0.3097653958944282</v>
      </c>
      <c r="G26" s="5">
        <f>PILASTRI!Q15/PILASTRI!O15</f>
        <v>0.3097653958944282</v>
      </c>
      <c r="W26" s="36"/>
    </row>
    <row r="27" spans="1:23" x14ac:dyDescent="0.25">
      <c r="A27" s="79"/>
      <c r="B27" s="14" t="s">
        <v>41</v>
      </c>
      <c r="C27" s="13">
        <v>0</v>
      </c>
      <c r="D27" s="13">
        <f>PILASTRI!L15</f>
        <v>9.1575049589910935E-3</v>
      </c>
      <c r="E27" s="13">
        <f>PILASTRI!M15</f>
        <v>7.532986966300283E-3</v>
      </c>
      <c r="F27" s="13">
        <f>PILASTRI!M15</f>
        <v>7.532986966300283E-3</v>
      </c>
      <c r="G27" s="13">
        <f>PILASTRI!N15</f>
        <v>7.9096363146152968E-3</v>
      </c>
    </row>
    <row r="28" spans="1:23" x14ac:dyDescent="0.25">
      <c r="A28" s="79">
        <v>0</v>
      </c>
      <c r="B28" s="13" t="s">
        <v>71</v>
      </c>
      <c r="C28" s="13">
        <v>0</v>
      </c>
      <c r="D28" s="13">
        <f>PILASTRI!O16/PILASTRI!O16</f>
        <v>1</v>
      </c>
      <c r="E28" s="35">
        <f>PILASTRI!P16/PILASTRI!O16</f>
        <v>1.3082901554404145</v>
      </c>
      <c r="F28" s="5">
        <f>PILASTRI!Q16/PILASTRI!O16</f>
        <v>0.39248704663212436</v>
      </c>
      <c r="G28" s="5">
        <f>PILASTRI!Q16/PILASTRI!O16</f>
        <v>0.39248704663212436</v>
      </c>
    </row>
    <row r="29" spans="1:23" x14ac:dyDescent="0.25">
      <c r="A29" s="79"/>
      <c r="B29" s="14" t="s">
        <v>41</v>
      </c>
      <c r="C29" s="13">
        <v>0</v>
      </c>
      <c r="D29" s="13">
        <f>PILASTRI!L16</f>
        <v>7.7027850745508492E-3</v>
      </c>
      <c r="E29" s="13">
        <f>PILASTRI!M16</f>
        <v>1.2261611341209878E-2</v>
      </c>
      <c r="F29" s="13">
        <f>PILASTRI!M16</f>
        <v>1.2261611341209878E-2</v>
      </c>
      <c r="G29" s="13">
        <f>PILASTRI!N16</f>
        <v>1.2874691908270373E-2</v>
      </c>
    </row>
    <row r="30" spans="1:23" x14ac:dyDescent="0.25">
      <c r="A30" s="79">
        <v>200</v>
      </c>
      <c r="B30" s="13" t="s">
        <v>71</v>
      </c>
      <c r="C30" s="13">
        <v>0</v>
      </c>
      <c r="D30" s="13">
        <f>PILASTRI!O17/PILASTRI!O17</f>
        <v>1</v>
      </c>
      <c r="E30" s="35">
        <f>PILASTRI!P17/PILASTRI!O17</f>
        <v>1.2357798165137615</v>
      </c>
      <c r="F30" s="5">
        <f>PILASTRI!Q17/PILASTRI!O17</f>
        <v>0.37073394495412842</v>
      </c>
      <c r="G30" s="5">
        <f>PILASTRI!Q17/PILASTRI!O17</f>
        <v>0.37073394495412842</v>
      </c>
    </row>
    <row r="31" spans="1:23" x14ac:dyDescent="0.25">
      <c r="A31" s="79"/>
      <c r="B31" s="14" t="s">
        <v>41</v>
      </c>
      <c r="C31" s="13">
        <v>0</v>
      </c>
      <c r="D31" s="13">
        <f>PILASTRI!L17</f>
        <v>8.1744300304677341E-3</v>
      </c>
      <c r="E31" s="13">
        <f>PILASTRI!M17</f>
        <v>1.0870919045733994E-2</v>
      </c>
      <c r="F31" s="13">
        <f>PILASTRI!M17</f>
        <v>1.0870919045733994E-2</v>
      </c>
      <c r="G31" s="13">
        <f>PILASTRI!N17</f>
        <v>1.1414464998020695E-2</v>
      </c>
    </row>
    <row r="32" spans="1:23" x14ac:dyDescent="0.25">
      <c r="A32" s="79">
        <v>400</v>
      </c>
      <c r="B32" s="13" t="s">
        <v>71</v>
      </c>
      <c r="C32" s="13">
        <v>0</v>
      </c>
      <c r="D32" s="13">
        <f>PILASTRI!O18/PILASTRI!O18</f>
        <v>1</v>
      </c>
      <c r="E32" s="35">
        <f>PILASTRI!P18/PILASTRI!O18</f>
        <v>1.180952380952381</v>
      </c>
      <c r="F32" s="5">
        <f>PILASTRI!Q18/PILASTRI!O18</f>
        <v>0.35428571428571426</v>
      </c>
      <c r="G32" s="5">
        <f>PILASTRI!Q18/PILASTRI!O18</f>
        <v>0.35428571428571426</v>
      </c>
    </row>
    <row r="33" spans="1:11" x14ac:dyDescent="0.25">
      <c r="A33" s="79"/>
      <c r="B33" s="14" t="s">
        <v>41</v>
      </c>
      <c r="C33" s="13">
        <v>0</v>
      </c>
      <c r="D33" s="13">
        <f>PILASTRI!L18</f>
        <v>8.6621173318239698E-3</v>
      </c>
      <c r="E33" s="13">
        <f>PILASTRI!M18</f>
        <v>9.6941266314347456E-3</v>
      </c>
      <c r="F33" s="13">
        <f>PILASTRI!M18</f>
        <v>9.6941266314347456E-3</v>
      </c>
      <c r="G33" s="13">
        <f>PILASTRI!N18</f>
        <v>1.0178832963006482E-2</v>
      </c>
    </row>
    <row r="34" spans="1:11" x14ac:dyDescent="0.25">
      <c r="A34" s="79">
        <v>600</v>
      </c>
      <c r="B34" s="13" t="s">
        <v>71</v>
      </c>
      <c r="C34" s="13">
        <v>0</v>
      </c>
      <c r="D34" s="13">
        <f>PILASTRI!O19/PILASTRI!O19</f>
        <v>1</v>
      </c>
      <c r="E34" s="35">
        <f>PILASTRI!P19/PILASTRI!O19</f>
        <v>1.1189661725579625</v>
      </c>
      <c r="F34" s="5">
        <f>PILASTRI!Q19/PILASTRI!O19</f>
        <v>0.33568985176738875</v>
      </c>
      <c r="G34" s="5">
        <f>PILASTRI!Q19/PILASTRI!O19</f>
        <v>0.33568985176738875</v>
      </c>
    </row>
    <row r="35" spans="1:11" x14ac:dyDescent="0.25">
      <c r="A35" s="79"/>
      <c r="B35" s="14" t="s">
        <v>41</v>
      </c>
      <c r="C35" s="13">
        <v>0</v>
      </c>
      <c r="D35" s="13">
        <f>PILASTRI!L19</f>
        <v>9.1802850895149699E-3</v>
      </c>
      <c r="E35" s="13">
        <f>PILASTRI!M19</f>
        <v>8.921569473089818E-3</v>
      </c>
      <c r="F35" s="13">
        <f>PILASTRI!M19</f>
        <v>8.921569473089818E-3</v>
      </c>
      <c r="G35" s="13">
        <f>PILASTRI!N19</f>
        <v>9.3676479467443095E-3</v>
      </c>
    </row>
    <row r="36" spans="1:11" x14ac:dyDescent="0.25">
      <c r="A36" s="79">
        <v>800</v>
      </c>
      <c r="B36" s="13" t="s">
        <v>71</v>
      </c>
      <c r="C36" s="13">
        <v>0</v>
      </c>
      <c r="D36" s="13">
        <f>PILASTRI!O20/PILASTRI!O20</f>
        <v>1</v>
      </c>
      <c r="E36" s="35">
        <f>PILASTRI!P20/PILASTRI!O20</f>
        <v>1.0501766784452296</v>
      </c>
      <c r="F36" s="5">
        <f>PILASTRI!Q20/PILASTRI!O20</f>
        <v>0.31505300353356891</v>
      </c>
      <c r="G36" s="5">
        <f>PILASTRI!Q20/PILASTRI!O20</f>
        <v>0.31505300353356891</v>
      </c>
    </row>
    <row r="37" spans="1:11" x14ac:dyDescent="0.25">
      <c r="A37" s="79"/>
      <c r="B37" s="14" t="s">
        <v>41</v>
      </c>
      <c r="C37" s="13">
        <v>0</v>
      </c>
      <c r="D37" s="13">
        <f>PILASTRI!L20</f>
        <v>9.7353502417164735E-3</v>
      </c>
      <c r="E37" s="13">
        <f>PILASTRI!M20</f>
        <v>8.4502992831987488E-3</v>
      </c>
      <c r="F37" s="13">
        <f>PILASTRI!M20</f>
        <v>8.4502992831987488E-3</v>
      </c>
      <c r="G37" s="13">
        <f>PILASTRI!N20</f>
        <v>8.8728142473586871E-3</v>
      </c>
    </row>
    <row r="38" spans="1:11" x14ac:dyDescent="0.25">
      <c r="A38" s="79">
        <v>0</v>
      </c>
      <c r="B38" s="13" t="s">
        <v>71</v>
      </c>
      <c r="C38" s="13">
        <v>0</v>
      </c>
      <c r="D38" s="13">
        <f>PILASTRI!O21/PILASTRI!O21</f>
        <v>1</v>
      </c>
      <c r="E38" s="35">
        <f>PILASTRI!P21/PILASTRI!O21</f>
        <v>1.3157894736842106</v>
      </c>
      <c r="F38" s="5">
        <f>PILASTRI!Q21/PILASTRI!O21</f>
        <v>0.39473684210526316</v>
      </c>
      <c r="G38" s="5">
        <f>PILASTRI!Q21/PILASTRI!O21</f>
        <v>0.39473684210526316</v>
      </c>
    </row>
    <row r="39" spans="1:11" x14ac:dyDescent="0.25">
      <c r="A39" s="79"/>
      <c r="B39" s="14" t="s">
        <v>41</v>
      </c>
      <c r="C39" s="13">
        <v>0</v>
      </c>
      <c r="D39" s="13">
        <f>PILASTRI!L21</f>
        <v>8.4724165970036583E-3</v>
      </c>
      <c r="E39" s="13">
        <f>PILASTRI!M21</f>
        <v>1.391182211718156E-2</v>
      </c>
      <c r="F39" s="13">
        <f>PILASTRI!M21</f>
        <v>1.391182211718156E-2</v>
      </c>
      <c r="G39" s="13">
        <f>PILASTRI!N21</f>
        <v>1.4607413223040638E-2</v>
      </c>
    </row>
    <row r="40" spans="1:11" x14ac:dyDescent="0.25">
      <c r="A40" s="79">
        <v>100</v>
      </c>
      <c r="B40" s="13" t="s">
        <v>71</v>
      </c>
      <c r="C40" s="13">
        <v>0</v>
      </c>
      <c r="D40" s="13">
        <f>PILASTRI!O22/PILASTRI!O22</f>
        <v>1</v>
      </c>
      <c r="E40" s="35">
        <f>PILASTRI!P22/PILASTRI!O22</f>
        <v>1.2679394338380512</v>
      </c>
      <c r="F40" s="5">
        <f>PILASTRI!Q22/PILASTRI!O22</f>
        <v>0.38038183015141536</v>
      </c>
      <c r="G40" s="5">
        <f>PILASTRI!Q22/PILASTRI!O22</f>
        <v>0.38038183015141536</v>
      </c>
    </row>
    <row r="41" spans="1:11" x14ac:dyDescent="0.25">
      <c r="A41" s="79"/>
      <c r="B41" s="14" t="s">
        <v>41</v>
      </c>
      <c r="C41" s="13">
        <v>0</v>
      </c>
      <c r="D41" s="13">
        <f>PILASTRI!L22</f>
        <v>8.7864455089789323E-3</v>
      </c>
      <c r="E41" s="13">
        <f>PILASTRI!M22</f>
        <v>1.294524772701593E-2</v>
      </c>
      <c r="F41" s="13">
        <f>PILASTRI!M22</f>
        <v>1.294524772701593E-2</v>
      </c>
      <c r="G41" s="13">
        <f>PILASTRI!N22</f>
        <v>1.3592510113366726E-2</v>
      </c>
    </row>
    <row r="42" spans="1:11" x14ac:dyDescent="0.25">
      <c r="A42" s="79">
        <v>200</v>
      </c>
      <c r="B42" s="13" t="s">
        <v>71</v>
      </c>
      <c r="C42" s="13">
        <v>0</v>
      </c>
      <c r="D42" s="13">
        <f>PILASTRI!O23/PILASTRI!O23</f>
        <v>1</v>
      </c>
      <c r="E42" s="35">
        <f>PILASTRI!P23/PILASTRI!O23</f>
        <v>1.2298709280885065</v>
      </c>
      <c r="F42" s="5">
        <f>PILASTRI!Q23/PILASTRI!O23</f>
        <v>0.36896127842655191</v>
      </c>
      <c r="G42" s="5">
        <f>PILASTRI!Q23/PILASTRI!O23</f>
        <v>0.36896127842655191</v>
      </c>
    </row>
    <row r="43" spans="1:11" x14ac:dyDescent="0.25">
      <c r="A43" s="79"/>
      <c r="B43" s="14" t="s">
        <v>41</v>
      </c>
      <c r="C43" s="13">
        <v>0</v>
      </c>
      <c r="D43" s="13">
        <f>PILASTRI!L23</f>
        <v>9.1040839486780586E-3</v>
      </c>
      <c r="E43" s="13">
        <f>PILASTRI!M23</f>
        <v>1.2063748875049716E-2</v>
      </c>
      <c r="F43" s="13">
        <f>PILASTRI!M23</f>
        <v>1.2063748875049716E-2</v>
      </c>
      <c r="G43" s="13">
        <f>PILASTRI!N23</f>
        <v>1.2666936318802202E-2</v>
      </c>
    </row>
    <row r="44" spans="1:11" x14ac:dyDescent="0.25">
      <c r="A44" s="79">
        <v>300</v>
      </c>
      <c r="B44" s="13" t="s">
        <v>71</v>
      </c>
      <c r="C44" s="13">
        <v>0</v>
      </c>
      <c r="D44" s="13">
        <f>PILASTRI!O24/PILASTRI!O24</f>
        <v>1</v>
      </c>
      <c r="E44" s="35">
        <f>PILASTRI!P24/PILASTRI!O24</f>
        <v>1.196995956094743</v>
      </c>
      <c r="F44" s="5">
        <f>PILASTRI!Q24/PILASTRI!O24</f>
        <v>0.35909878682842289</v>
      </c>
      <c r="G44" s="5">
        <f>PILASTRI!Q24/PILASTRI!O24</f>
        <v>0.35909878682842289</v>
      </c>
    </row>
    <row r="45" spans="1:11" x14ac:dyDescent="0.25">
      <c r="A45" s="79"/>
      <c r="B45" s="14" t="s">
        <v>41</v>
      </c>
      <c r="C45" s="13">
        <v>0</v>
      </c>
      <c r="D45" s="13">
        <f>PILASTRI!L24</f>
        <v>9.4307462076868177E-3</v>
      </c>
      <c r="E45" s="13">
        <f>PILASTRI!M24</f>
        <v>1.1276840030891303E-2</v>
      </c>
      <c r="F45" s="13">
        <f>PILASTRI!M24</f>
        <v>1.1276840030891303E-2</v>
      </c>
      <c r="G45" s="13">
        <f>PILASTRI!N24</f>
        <v>1.1840682032435868E-2</v>
      </c>
    </row>
    <row r="47" spans="1:11" x14ac:dyDescent="0.25">
      <c r="D47" s="37"/>
      <c r="E47" s="1"/>
      <c r="F47" s="1"/>
      <c r="G47" s="37"/>
      <c r="H47" s="1"/>
      <c r="I47" s="1"/>
      <c r="J47" s="1"/>
      <c r="K47" s="1"/>
    </row>
    <row r="48" spans="1:11" x14ac:dyDescent="0.25">
      <c r="D48" s="37"/>
      <c r="E48" s="1"/>
      <c r="F48" s="1"/>
      <c r="G48" s="37"/>
      <c r="H48" s="1"/>
      <c r="I48" s="1"/>
      <c r="J48" s="1"/>
      <c r="K48" s="1"/>
    </row>
    <row r="49" spans="1:56" ht="18" x14ac:dyDescent="0.35">
      <c r="A49" s="44" t="s">
        <v>72</v>
      </c>
      <c r="B49" s="81">
        <v>0</v>
      </c>
      <c r="C49" s="81"/>
      <c r="D49" s="81">
        <v>400</v>
      </c>
      <c r="E49" s="81"/>
      <c r="F49" s="81">
        <v>600</v>
      </c>
      <c r="G49" s="81"/>
      <c r="H49" s="81">
        <v>700</v>
      </c>
      <c r="I49" s="81"/>
      <c r="J49" s="81">
        <v>900</v>
      </c>
      <c r="K49" s="81"/>
      <c r="L49" s="82">
        <v>1200</v>
      </c>
      <c r="M49" s="82"/>
      <c r="N49" s="81">
        <v>1400</v>
      </c>
      <c r="O49" s="81"/>
      <c r="P49" s="81">
        <v>0</v>
      </c>
      <c r="Q49" s="81"/>
      <c r="R49" s="81">
        <v>200</v>
      </c>
      <c r="S49" s="81"/>
      <c r="T49" s="81">
        <v>400</v>
      </c>
      <c r="U49" s="81"/>
      <c r="V49" s="81">
        <v>600</v>
      </c>
      <c r="W49" s="81"/>
      <c r="X49" s="81">
        <v>800</v>
      </c>
      <c r="Y49" s="81"/>
      <c r="Z49" s="81">
        <v>1000</v>
      </c>
      <c r="AA49" s="81"/>
      <c r="AB49" s="81">
        <v>0</v>
      </c>
      <c r="AC49" s="81"/>
      <c r="AD49" s="81">
        <v>200</v>
      </c>
      <c r="AE49" s="81"/>
      <c r="AF49" s="81">
        <v>400</v>
      </c>
      <c r="AG49" s="81"/>
      <c r="AH49" s="81">
        <v>600</v>
      </c>
      <c r="AI49" s="81"/>
      <c r="AJ49" s="81">
        <v>800</v>
      </c>
      <c r="AK49" s="81"/>
      <c r="AL49" s="81">
        <v>0</v>
      </c>
      <c r="AM49" s="81"/>
      <c r="AN49" s="81">
        <v>100</v>
      </c>
      <c r="AO49" s="81"/>
      <c r="AP49" s="81">
        <v>200</v>
      </c>
      <c r="AQ49" s="81"/>
      <c r="AR49" s="81">
        <v>300</v>
      </c>
      <c r="AS49" s="81"/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</row>
    <row r="50" spans="1:56" s="1" customFormat="1" x14ac:dyDescent="0.25">
      <c r="B50" s="13" t="str">
        <f t="array" ref="B50:AS55">TRANSPOSE(B2:G45)</f>
        <v>Mu/My</v>
      </c>
      <c r="C50" s="14" t="str">
        <v>θ</v>
      </c>
      <c r="D50" s="5" t="str">
        <v>Mu/My</v>
      </c>
      <c r="E50" s="13" t="str">
        <v>θ</v>
      </c>
      <c r="F50" s="13" t="str">
        <v>Mu/My</v>
      </c>
      <c r="G50" s="5" t="str">
        <v>θ</v>
      </c>
      <c r="H50" s="13" t="str">
        <v>Mu/My</v>
      </c>
      <c r="I50" s="13" t="str">
        <v>θ</v>
      </c>
      <c r="J50" s="13" t="str">
        <v>Mu/My</v>
      </c>
      <c r="K50" s="13" t="str">
        <v>θ</v>
      </c>
      <c r="L50" s="13" t="str">
        <v>Mu/My</v>
      </c>
      <c r="M50" s="13" t="str">
        <v>θ</v>
      </c>
      <c r="N50" s="13" t="str">
        <v>Mu/My</v>
      </c>
      <c r="O50" s="13" t="str">
        <v>θ</v>
      </c>
      <c r="P50" s="13" t="str">
        <v>Mu/My</v>
      </c>
      <c r="Q50" s="13" t="str">
        <v>θ</v>
      </c>
      <c r="R50" s="13" t="str">
        <v>Mu/My</v>
      </c>
      <c r="S50" s="13" t="str">
        <v>θ</v>
      </c>
      <c r="T50" s="13" t="str">
        <v>Mu/My</v>
      </c>
      <c r="U50" s="13" t="str">
        <v>θ</v>
      </c>
      <c r="V50" s="13" t="str">
        <v>Mu/My</v>
      </c>
      <c r="W50" s="13" t="str">
        <v>θ</v>
      </c>
      <c r="X50" s="13" t="str">
        <v>Mu/My</v>
      </c>
      <c r="Y50" s="13" t="str">
        <v>θ</v>
      </c>
      <c r="Z50" s="13" t="str">
        <v>Mu/My</v>
      </c>
      <c r="AA50" s="13" t="str">
        <v>θ</v>
      </c>
      <c r="AB50" s="13" t="str">
        <v>Mu/My</v>
      </c>
      <c r="AC50" s="13" t="str">
        <v>θ</v>
      </c>
      <c r="AD50" s="13" t="str">
        <v>Mu/My</v>
      </c>
      <c r="AE50" s="13" t="str">
        <v>θ</v>
      </c>
      <c r="AF50" s="13" t="str">
        <v>Mu/My</v>
      </c>
      <c r="AG50" s="13" t="str">
        <v>θ</v>
      </c>
      <c r="AH50" s="13" t="str">
        <v>Mu/My</v>
      </c>
      <c r="AI50" s="13" t="str">
        <v>θ</v>
      </c>
      <c r="AJ50" s="13" t="str">
        <v>Mu/My</v>
      </c>
      <c r="AK50" s="13" t="str">
        <v>θ</v>
      </c>
      <c r="AL50" s="13" t="str">
        <v>Mu/My</v>
      </c>
      <c r="AM50" s="13" t="str">
        <v>θ</v>
      </c>
      <c r="AN50" s="13" t="str">
        <v>Mu/My</v>
      </c>
      <c r="AO50" s="13" t="str">
        <v>θ</v>
      </c>
      <c r="AP50" s="13" t="str">
        <v>Mu/My</v>
      </c>
      <c r="AQ50" s="13" t="str">
        <v>θ</v>
      </c>
      <c r="AR50" s="13" t="str">
        <v>Mu/My</v>
      </c>
      <c r="AS50" s="13" t="str">
        <v>θ</v>
      </c>
    </row>
    <row r="51" spans="1:56" s="1" customFormat="1" x14ac:dyDescent="0.25">
      <c r="A51" s="38" t="s">
        <v>46</v>
      </c>
      <c r="B51" s="34">
        <v>0</v>
      </c>
      <c r="C51" s="34">
        <v>0</v>
      </c>
      <c r="D51" s="34">
        <v>0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  <c r="N51" s="34">
        <v>0</v>
      </c>
      <c r="O51" s="34">
        <v>0</v>
      </c>
      <c r="P51" s="34">
        <v>0</v>
      </c>
      <c r="Q51" s="34">
        <v>0</v>
      </c>
      <c r="R51" s="34">
        <v>0</v>
      </c>
      <c r="S51" s="34">
        <v>0</v>
      </c>
      <c r="T51" s="34">
        <v>0</v>
      </c>
      <c r="U51" s="34">
        <v>0</v>
      </c>
      <c r="V51" s="34">
        <v>0</v>
      </c>
      <c r="W51" s="34">
        <v>0</v>
      </c>
      <c r="X51" s="34">
        <v>0</v>
      </c>
      <c r="Y51" s="34">
        <v>0</v>
      </c>
      <c r="Z51" s="34">
        <v>0</v>
      </c>
      <c r="AA51" s="34">
        <v>0</v>
      </c>
      <c r="AB51" s="34">
        <v>0</v>
      </c>
      <c r="AC51" s="34">
        <v>0</v>
      </c>
      <c r="AD51" s="34">
        <v>0</v>
      </c>
      <c r="AE51" s="34">
        <v>0</v>
      </c>
      <c r="AF51" s="34">
        <v>0</v>
      </c>
      <c r="AG51" s="34">
        <v>0</v>
      </c>
      <c r="AH51" s="34">
        <v>0</v>
      </c>
      <c r="AI51" s="34">
        <v>0</v>
      </c>
      <c r="AJ51" s="34">
        <v>0</v>
      </c>
      <c r="AK51" s="34">
        <v>0</v>
      </c>
      <c r="AL51" s="34">
        <v>0</v>
      </c>
      <c r="AM51" s="34">
        <v>0</v>
      </c>
      <c r="AN51" s="34">
        <v>0</v>
      </c>
      <c r="AO51" s="34">
        <v>0</v>
      </c>
      <c r="AP51" s="34">
        <v>0</v>
      </c>
      <c r="AQ51" s="34">
        <v>0</v>
      </c>
      <c r="AR51" s="34">
        <v>0</v>
      </c>
      <c r="AS51" s="34">
        <v>0</v>
      </c>
    </row>
    <row r="52" spans="1:56" s="1" customFormat="1" x14ac:dyDescent="0.25">
      <c r="A52" s="39" t="s">
        <v>45</v>
      </c>
      <c r="B52" s="34">
        <v>1</v>
      </c>
      <c r="C52" s="34">
        <v>6.3536238231015289E-3</v>
      </c>
      <c r="D52" s="34">
        <v>1</v>
      </c>
      <c r="E52" s="34">
        <v>7.0112141466108779E-3</v>
      </c>
      <c r="F52" s="34">
        <v>1</v>
      </c>
      <c r="G52" s="34">
        <v>7.3551036970289415E-3</v>
      </c>
      <c r="H52" s="34">
        <v>1</v>
      </c>
      <c r="I52" s="34">
        <v>7.5336112499177054E-3</v>
      </c>
      <c r="J52" s="34">
        <v>1</v>
      </c>
      <c r="K52" s="34">
        <v>7.9103146887344392E-3</v>
      </c>
      <c r="L52" s="34">
        <v>1</v>
      </c>
      <c r="M52" s="34">
        <v>8.7135986767338837E-3</v>
      </c>
      <c r="N52" s="34">
        <v>1</v>
      </c>
      <c r="O52" s="34">
        <v>9.5956359968901381E-3</v>
      </c>
      <c r="P52" s="34">
        <v>1</v>
      </c>
      <c r="Q52" s="34">
        <v>6.9426987476344558E-3</v>
      </c>
      <c r="R52" s="34">
        <v>1</v>
      </c>
      <c r="S52" s="34">
        <v>7.3310839307211143E-3</v>
      </c>
      <c r="T52" s="34">
        <v>1</v>
      </c>
      <c r="U52" s="34">
        <v>7.7252443581659405E-3</v>
      </c>
      <c r="V52" s="34">
        <v>1</v>
      </c>
      <c r="W52" s="34">
        <v>8.1453933852225126E-3</v>
      </c>
      <c r="X52" s="34">
        <v>1</v>
      </c>
      <c r="Y52" s="34">
        <v>8.5900872008012885E-3</v>
      </c>
      <c r="Z52" s="34">
        <v>1</v>
      </c>
      <c r="AA52" s="34">
        <v>9.1575049589910935E-3</v>
      </c>
      <c r="AB52" s="34">
        <v>1</v>
      </c>
      <c r="AC52" s="34">
        <v>7.7027850745508492E-3</v>
      </c>
      <c r="AD52" s="34">
        <v>1</v>
      </c>
      <c r="AE52" s="34">
        <v>8.1744300304677341E-3</v>
      </c>
      <c r="AF52" s="34">
        <v>1</v>
      </c>
      <c r="AG52" s="34">
        <v>8.6621173318239698E-3</v>
      </c>
      <c r="AH52" s="34">
        <v>1</v>
      </c>
      <c r="AI52" s="34">
        <v>9.1802850895149699E-3</v>
      </c>
      <c r="AJ52" s="34">
        <v>1</v>
      </c>
      <c r="AK52" s="34">
        <v>9.7353502417164735E-3</v>
      </c>
      <c r="AL52" s="34">
        <v>1</v>
      </c>
      <c r="AM52" s="34">
        <v>8.4724165970036583E-3</v>
      </c>
      <c r="AN52" s="34">
        <v>1</v>
      </c>
      <c r="AO52" s="34">
        <v>8.7864455089789323E-3</v>
      </c>
      <c r="AP52" s="34">
        <v>1</v>
      </c>
      <c r="AQ52" s="34">
        <v>9.1040839486780586E-3</v>
      </c>
      <c r="AR52" s="34">
        <v>1</v>
      </c>
      <c r="AS52" s="34">
        <v>9.4307462076868177E-3</v>
      </c>
    </row>
    <row r="53" spans="1:56" s="1" customFormat="1" x14ac:dyDescent="0.25">
      <c r="A53" s="31" t="s">
        <v>44</v>
      </c>
      <c r="B53" s="34">
        <v>1.3359057676685622</v>
      </c>
      <c r="C53" s="34">
        <v>1.0987321728577668E-2</v>
      </c>
      <c r="D53" s="34">
        <v>1.2058252427184466</v>
      </c>
      <c r="E53" s="34">
        <v>8.823859845654581E-3</v>
      </c>
      <c r="F53" s="34">
        <v>1.1614336492890995</v>
      </c>
      <c r="G53" s="34">
        <v>7.9942177596776885E-3</v>
      </c>
      <c r="H53" s="34">
        <v>1.1409854742238679</v>
      </c>
      <c r="I53" s="34">
        <v>7.6438949464516176E-3</v>
      </c>
      <c r="J53" s="34">
        <v>1.075677110993096</v>
      </c>
      <c r="K53" s="34">
        <v>7.2674196063158367E-3</v>
      </c>
      <c r="L53" s="34">
        <v>1.0232093835787373</v>
      </c>
      <c r="M53" s="34">
        <v>6.8182740338464196E-3</v>
      </c>
      <c r="N53" s="34">
        <v>1.0029268292682927</v>
      </c>
      <c r="O53" s="34">
        <v>6.5486252771108835E-3</v>
      </c>
      <c r="P53" s="34">
        <v>1.3219489981785064</v>
      </c>
      <c r="Q53" s="34">
        <v>1.1567278683962625E-2</v>
      </c>
      <c r="R53" s="34">
        <v>1.2485898468976631</v>
      </c>
      <c r="S53" s="34">
        <v>1.0294966352380752E-2</v>
      </c>
      <c r="T53" s="34">
        <v>1.1936773255813955</v>
      </c>
      <c r="U53" s="34">
        <v>9.2195114270160368E-3</v>
      </c>
      <c r="V53" s="34">
        <v>1.1491841491841492</v>
      </c>
      <c r="W53" s="34">
        <v>8.3334691125037455E-3</v>
      </c>
      <c r="X53" s="34">
        <v>1.0791589363017935</v>
      </c>
      <c r="Y53" s="34">
        <v>7.8990685635425689E-3</v>
      </c>
      <c r="Z53" s="34">
        <v>1.032551319648094</v>
      </c>
      <c r="AA53" s="34">
        <v>7.532986966300283E-3</v>
      </c>
      <c r="AB53" s="34">
        <v>1.3082901554404145</v>
      </c>
      <c r="AC53" s="34">
        <v>1.2261611341209878E-2</v>
      </c>
      <c r="AD53" s="34">
        <v>1.2357798165137615</v>
      </c>
      <c r="AE53" s="34">
        <v>1.0870919045733994E-2</v>
      </c>
      <c r="AF53" s="34">
        <v>1.180952380952381</v>
      </c>
      <c r="AG53" s="34">
        <v>9.6941266314347456E-3</v>
      </c>
      <c r="AH53" s="34">
        <v>1.1189661725579625</v>
      </c>
      <c r="AI53" s="34">
        <v>8.921569473089818E-3</v>
      </c>
      <c r="AJ53" s="34">
        <v>1.0501766784452296</v>
      </c>
      <c r="AK53" s="34">
        <v>8.4502992831987488E-3</v>
      </c>
      <c r="AL53" s="34">
        <v>1.3157894736842106</v>
      </c>
      <c r="AM53" s="34">
        <v>1.391182211718156E-2</v>
      </c>
      <c r="AN53" s="34">
        <v>1.2679394338380512</v>
      </c>
      <c r="AO53" s="34">
        <v>1.294524772701593E-2</v>
      </c>
      <c r="AP53" s="34">
        <v>1.2298709280885065</v>
      </c>
      <c r="AQ53" s="34">
        <v>1.2063748875049716E-2</v>
      </c>
      <c r="AR53" s="34">
        <v>1.196995956094743</v>
      </c>
      <c r="AS53" s="34">
        <v>1.1276840030891303E-2</v>
      </c>
    </row>
    <row r="54" spans="1:56" s="1" customFormat="1" x14ac:dyDescent="0.25">
      <c r="A54" s="40" t="s">
        <v>43</v>
      </c>
      <c r="B54" s="34">
        <v>0.40077173030056862</v>
      </c>
      <c r="C54" s="34">
        <v>1.0987321728577668E-2</v>
      </c>
      <c r="D54" s="34">
        <v>0.36174757281553399</v>
      </c>
      <c r="E54" s="34">
        <v>8.823859845654581E-3</v>
      </c>
      <c r="F54" s="34">
        <v>0.34843009478672982</v>
      </c>
      <c r="G54" s="34">
        <v>7.9942177596776885E-3</v>
      </c>
      <c r="H54" s="34">
        <v>0.34229564226716036</v>
      </c>
      <c r="I54" s="34">
        <v>7.6438949464516176E-3</v>
      </c>
      <c r="J54" s="34">
        <v>0.32270313329792882</v>
      </c>
      <c r="K54" s="34">
        <v>7.2674196063158367E-3</v>
      </c>
      <c r="L54" s="34">
        <v>0.30696281507362116</v>
      </c>
      <c r="M54" s="34">
        <v>6.8182740338464196E-3</v>
      </c>
      <c r="N54" s="34">
        <v>0.30087804878048779</v>
      </c>
      <c r="O54" s="34">
        <v>6.5486252771108835E-3</v>
      </c>
      <c r="P54" s="34">
        <v>0.39658469945355196</v>
      </c>
      <c r="Q54" s="34">
        <v>1.1567278683962625E-2</v>
      </c>
      <c r="R54" s="34">
        <v>0.37457695406929892</v>
      </c>
      <c r="S54" s="34">
        <v>1.0294966352380752E-2</v>
      </c>
      <c r="T54" s="34">
        <v>0.35810319767441862</v>
      </c>
      <c r="U54" s="34">
        <v>9.2195114270160368E-3</v>
      </c>
      <c r="V54" s="34">
        <v>0.34475524475524477</v>
      </c>
      <c r="W54" s="34">
        <v>8.3334691125037455E-3</v>
      </c>
      <c r="X54" s="34">
        <v>0.32374768089053807</v>
      </c>
      <c r="Y54" s="34">
        <v>7.8990685635425689E-3</v>
      </c>
      <c r="Z54" s="34">
        <v>0.3097653958944282</v>
      </c>
      <c r="AA54" s="34">
        <v>7.532986966300283E-3</v>
      </c>
      <c r="AB54" s="34">
        <v>0.39248704663212436</v>
      </c>
      <c r="AC54" s="34">
        <v>1.2261611341209878E-2</v>
      </c>
      <c r="AD54" s="34">
        <v>0.37073394495412842</v>
      </c>
      <c r="AE54" s="34">
        <v>1.0870919045733994E-2</v>
      </c>
      <c r="AF54" s="34">
        <v>0.35428571428571426</v>
      </c>
      <c r="AG54" s="34">
        <v>9.6941266314347456E-3</v>
      </c>
      <c r="AH54" s="34">
        <v>0.33568985176738875</v>
      </c>
      <c r="AI54" s="34">
        <v>8.921569473089818E-3</v>
      </c>
      <c r="AJ54" s="34">
        <v>0.31505300353356891</v>
      </c>
      <c r="AK54" s="34">
        <v>8.4502992831987488E-3</v>
      </c>
      <c r="AL54" s="34">
        <v>0.39473684210526316</v>
      </c>
      <c r="AM54" s="34">
        <v>1.391182211718156E-2</v>
      </c>
      <c r="AN54" s="34">
        <v>0.38038183015141536</v>
      </c>
      <c r="AO54" s="34">
        <v>1.294524772701593E-2</v>
      </c>
      <c r="AP54" s="34">
        <v>0.36896127842655191</v>
      </c>
      <c r="AQ54" s="34">
        <v>1.2063748875049716E-2</v>
      </c>
      <c r="AR54" s="34">
        <v>0.35909878682842289</v>
      </c>
      <c r="AS54" s="34">
        <v>1.1276840030891303E-2</v>
      </c>
    </row>
    <row r="55" spans="1:56" s="1" customFormat="1" x14ac:dyDescent="0.25">
      <c r="A55" s="41" t="s">
        <v>42</v>
      </c>
      <c r="B55" s="34">
        <v>0.40077173030056862</v>
      </c>
      <c r="C55" s="34">
        <v>1.1536687815006552E-2</v>
      </c>
      <c r="D55" s="34">
        <v>0.36174757281553399</v>
      </c>
      <c r="E55" s="34">
        <v>9.2650528379373091E-3</v>
      </c>
      <c r="F55" s="34">
        <v>0.34843009478672982</v>
      </c>
      <c r="G55" s="34">
        <v>8.3939286476615721E-3</v>
      </c>
      <c r="H55" s="34">
        <v>0.34229564226716036</v>
      </c>
      <c r="I55" s="34">
        <v>8.026089693774198E-3</v>
      </c>
      <c r="J55" s="34">
        <v>0.32270313329792882</v>
      </c>
      <c r="K55" s="34">
        <v>7.6307905866316288E-3</v>
      </c>
      <c r="L55" s="34">
        <v>0.30696281507362116</v>
      </c>
      <c r="M55" s="34">
        <v>7.1591877355387402E-3</v>
      </c>
      <c r="N55" s="34">
        <v>0.30087804878048779</v>
      </c>
      <c r="O55" s="34">
        <v>6.8760565409664281E-3</v>
      </c>
      <c r="P55" s="34">
        <v>0.39658469945355196</v>
      </c>
      <c r="Q55" s="34">
        <v>1.2145642618160755E-2</v>
      </c>
      <c r="R55" s="34">
        <v>0.37457695406929892</v>
      </c>
      <c r="S55" s="34">
        <v>1.080971466999979E-2</v>
      </c>
      <c r="T55" s="34">
        <v>0.35810319767441862</v>
      </c>
      <c r="U55" s="34">
        <v>9.6804869983668392E-3</v>
      </c>
      <c r="V55" s="34">
        <v>0.34475524475524477</v>
      </c>
      <c r="W55" s="34">
        <v>8.7501425681289335E-3</v>
      </c>
      <c r="X55" s="34">
        <v>0.32374768089053807</v>
      </c>
      <c r="Y55" s="34">
        <v>8.2940219917196981E-3</v>
      </c>
      <c r="Z55" s="34">
        <v>0.3097653958944282</v>
      </c>
      <c r="AA55" s="34">
        <v>7.9096363146152968E-3</v>
      </c>
      <c r="AB55" s="34">
        <v>0.39248704663212436</v>
      </c>
      <c r="AC55" s="34">
        <v>1.2874691908270373E-2</v>
      </c>
      <c r="AD55" s="34">
        <v>0.37073394495412842</v>
      </c>
      <c r="AE55" s="34">
        <v>1.1414464998020695E-2</v>
      </c>
      <c r="AF55" s="34">
        <v>0.35428571428571426</v>
      </c>
      <c r="AG55" s="34">
        <v>1.0178832963006482E-2</v>
      </c>
      <c r="AH55" s="34">
        <v>0.33568985176738875</v>
      </c>
      <c r="AI55" s="34">
        <v>9.3676479467443095E-3</v>
      </c>
      <c r="AJ55" s="34">
        <v>0.31505300353356891</v>
      </c>
      <c r="AK55" s="34">
        <v>8.8728142473586871E-3</v>
      </c>
      <c r="AL55" s="34">
        <v>0.39473684210526316</v>
      </c>
      <c r="AM55" s="34">
        <v>1.4607413223040638E-2</v>
      </c>
      <c r="AN55" s="34">
        <v>0.38038183015141536</v>
      </c>
      <c r="AO55" s="34">
        <v>1.3592510113366726E-2</v>
      </c>
      <c r="AP55" s="34">
        <v>0.36896127842655191</v>
      </c>
      <c r="AQ55" s="34">
        <v>1.2666936318802202E-2</v>
      </c>
      <c r="AR55" s="34">
        <v>0.35909878682842289</v>
      </c>
      <c r="AS55" s="34">
        <v>1.1840682032435868E-2</v>
      </c>
    </row>
  </sheetData>
  <mergeCells count="44">
    <mergeCell ref="AL49:AM49"/>
    <mergeCell ref="AN49:AO49"/>
    <mergeCell ref="AP49:AQ49"/>
    <mergeCell ref="AR49:AS49"/>
    <mergeCell ref="Z49:AA49"/>
    <mergeCell ref="AB49:AC49"/>
    <mergeCell ref="AD49:AE49"/>
    <mergeCell ref="AF49:AG49"/>
    <mergeCell ref="AH49:AI49"/>
    <mergeCell ref="AJ49:AK49"/>
    <mergeCell ref="X49:Y49"/>
    <mergeCell ref="A42:A43"/>
    <mergeCell ref="A44:A45"/>
    <mergeCell ref="F49:G49"/>
    <mergeCell ref="H49:I49"/>
    <mergeCell ref="J49:K49"/>
    <mergeCell ref="L49:M49"/>
    <mergeCell ref="N49:O49"/>
    <mergeCell ref="P49:Q49"/>
    <mergeCell ref="R49:S49"/>
    <mergeCell ref="T49:U49"/>
    <mergeCell ref="V49:W49"/>
    <mergeCell ref="A40:A41"/>
    <mergeCell ref="B49:C49"/>
    <mergeCell ref="D49:E4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14:A15"/>
    <mergeCell ref="A16:A17"/>
    <mergeCell ref="A18:A19"/>
    <mergeCell ref="A2:A3"/>
    <mergeCell ref="A4:A5"/>
    <mergeCell ref="A6:A7"/>
    <mergeCell ref="A8:A9"/>
    <mergeCell ref="A10:A11"/>
    <mergeCell ref="A12:A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6B343-24A0-41DF-9CCC-F9E8C095FA95}">
  <sheetPr>
    <pageSetUpPr fitToPage="1"/>
  </sheetPr>
  <dimension ref="A1:J24"/>
  <sheetViews>
    <sheetView workbookViewId="0">
      <pane ySplit="2" topLeftCell="A3" activePane="bottomLeft" state="frozen"/>
      <selection pane="bottomLeft" activeCell="K12" sqref="K12"/>
    </sheetView>
  </sheetViews>
  <sheetFormatPr defaultRowHeight="15" x14ac:dyDescent="0.25"/>
  <cols>
    <col min="1" max="1" width="9.28515625" style="1" bestFit="1" customWidth="1"/>
    <col min="2" max="2" width="11" style="1" bestFit="1" customWidth="1"/>
    <col min="3" max="3" width="12.5703125" customWidth="1"/>
    <col min="5" max="5" width="10.85546875" customWidth="1"/>
    <col min="6" max="6" width="11.42578125" customWidth="1"/>
    <col min="7" max="7" width="10.28515625" customWidth="1"/>
  </cols>
  <sheetData>
    <row r="1" spans="1:10" ht="18" x14ac:dyDescent="0.35">
      <c r="A1" s="2" t="s">
        <v>0</v>
      </c>
      <c r="B1" s="2" t="s">
        <v>67</v>
      </c>
      <c r="C1" s="2" t="s">
        <v>5</v>
      </c>
      <c r="D1" s="6" t="s">
        <v>63</v>
      </c>
      <c r="E1" s="6" t="s">
        <v>64</v>
      </c>
      <c r="F1" s="6" t="s">
        <v>65</v>
      </c>
      <c r="G1" s="6" t="s">
        <v>66</v>
      </c>
      <c r="H1" s="6" t="s">
        <v>68</v>
      </c>
      <c r="I1" s="6" t="s">
        <v>69</v>
      </c>
    </row>
    <row r="2" spans="1:10" ht="17.25" x14ac:dyDescent="0.25">
      <c r="A2" s="3" t="s">
        <v>1</v>
      </c>
      <c r="B2" s="3" t="s">
        <v>62</v>
      </c>
      <c r="C2" s="3" t="s">
        <v>4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31</v>
      </c>
      <c r="I2" s="3" t="s">
        <v>31</v>
      </c>
    </row>
    <row r="3" spans="1:10" x14ac:dyDescent="0.25">
      <c r="A3" s="31">
        <v>1</v>
      </c>
      <c r="B3" s="13">
        <v>0</v>
      </c>
      <c r="C3" s="32">
        <v>550</v>
      </c>
      <c r="D3" s="13">
        <v>3.355</v>
      </c>
      <c r="E3" s="5">
        <v>14.36</v>
      </c>
      <c r="F3" s="8">
        <f>D3/($C$3*1000)</f>
        <v>6.1E-6</v>
      </c>
      <c r="G3" s="8">
        <f>E3/($C$3*1000)</f>
        <v>2.6109090909090907E-5</v>
      </c>
      <c r="H3" s="13">
        <v>246.2</v>
      </c>
      <c r="I3" s="13">
        <v>328.9</v>
      </c>
      <c r="J3">
        <f>G3/F3</f>
        <v>4.2801788375558862</v>
      </c>
    </row>
    <row r="4" spans="1:10" x14ac:dyDescent="0.25">
      <c r="B4" s="13">
        <v>400</v>
      </c>
      <c r="D4" s="13">
        <v>3.8559999999999999</v>
      </c>
      <c r="E4" s="13">
        <v>10.62</v>
      </c>
      <c r="F4" s="8">
        <f t="shared" ref="F4:F5" si="0">D4/($C$3*1000)</f>
        <v>7.0109090909090906E-6</v>
      </c>
      <c r="G4" s="8">
        <f t="shared" ref="G4:G5" si="1">E4/($C$3*1000)</f>
        <v>1.9309090909090908E-5</v>
      </c>
      <c r="H4" s="13">
        <v>309</v>
      </c>
      <c r="I4" s="13">
        <v>372.6</v>
      </c>
      <c r="J4">
        <f t="shared" ref="J4:J24" si="2">G4/F4</f>
        <v>2.754149377593361</v>
      </c>
    </row>
    <row r="5" spans="1:10" x14ac:dyDescent="0.25">
      <c r="B5" s="13">
        <v>600</v>
      </c>
      <c r="D5" s="13">
        <v>4.1180000000000003</v>
      </c>
      <c r="E5" s="13">
        <v>9.1560000000000006</v>
      </c>
      <c r="F5" s="8">
        <f t="shared" si="0"/>
        <v>7.4872727272727278E-6</v>
      </c>
      <c r="G5" s="8">
        <f t="shared" si="1"/>
        <v>1.664727272727273E-5</v>
      </c>
      <c r="H5" s="13">
        <v>337.6</v>
      </c>
      <c r="I5" s="13">
        <v>392.1</v>
      </c>
      <c r="J5">
        <f t="shared" si="2"/>
        <v>2.2234094220495386</v>
      </c>
    </row>
    <row r="6" spans="1:10" x14ac:dyDescent="0.25">
      <c r="B6" s="13">
        <v>700</v>
      </c>
      <c r="D6" s="18">
        <v>4.2539999999999996</v>
      </c>
      <c r="E6" s="13">
        <v>8.5269999999999992</v>
      </c>
      <c r="F6" s="8">
        <f t="shared" ref="F6:F9" si="3">D6/($C$3*1000)</f>
        <v>7.7345454545454538E-6</v>
      </c>
      <c r="G6" s="8">
        <f t="shared" ref="G6:G9" si="4">E6/($C$3*1000)</f>
        <v>1.5503636363636361E-5</v>
      </c>
      <c r="H6" s="18">
        <v>351.1</v>
      </c>
      <c r="I6" s="18">
        <v>400.6</v>
      </c>
      <c r="J6">
        <f t="shared" si="2"/>
        <v>2.0044663845792194</v>
      </c>
    </row>
    <row r="7" spans="1:10" x14ac:dyDescent="0.25">
      <c r="B7" s="13">
        <v>900</v>
      </c>
      <c r="D7" s="18">
        <v>4.5410000000000004</v>
      </c>
      <c r="E7" s="18">
        <v>7.7910000000000004</v>
      </c>
      <c r="F7" s="8">
        <f t="shared" si="3"/>
        <v>8.2563636363636372E-6</v>
      </c>
      <c r="G7" s="8">
        <f t="shared" si="4"/>
        <v>1.4165454545454547E-5</v>
      </c>
      <c r="H7" s="18">
        <v>376.6</v>
      </c>
      <c r="I7" s="18">
        <v>405.1</v>
      </c>
      <c r="J7">
        <f t="shared" si="2"/>
        <v>1.7157013873596123</v>
      </c>
    </row>
    <row r="8" spans="1:10" x14ac:dyDescent="0.25">
      <c r="B8" s="13">
        <v>1200</v>
      </c>
      <c r="D8" s="18">
        <v>5.1529999999999996</v>
      </c>
      <c r="E8" s="18">
        <v>6.798</v>
      </c>
      <c r="F8" s="30">
        <f t="shared" si="3"/>
        <v>9.3690909090909084E-6</v>
      </c>
      <c r="G8" s="30">
        <f t="shared" si="4"/>
        <v>1.236E-5</v>
      </c>
      <c r="H8" s="18">
        <v>400.7</v>
      </c>
      <c r="I8" s="18">
        <v>410</v>
      </c>
      <c r="J8">
        <f t="shared" si="2"/>
        <v>1.3192315156219678</v>
      </c>
    </row>
    <row r="9" spans="1:10" x14ac:dyDescent="0.25">
      <c r="B9" s="13">
        <v>1400</v>
      </c>
      <c r="D9" s="18">
        <v>5.8250000000000002</v>
      </c>
      <c r="E9" s="18">
        <v>6.0720000000000001</v>
      </c>
      <c r="F9" s="30">
        <f t="shared" si="3"/>
        <v>1.0590909090909092E-5</v>
      </c>
      <c r="G9" s="30">
        <f t="shared" si="4"/>
        <v>1.1039999999999999E-5</v>
      </c>
      <c r="H9" s="18">
        <v>410</v>
      </c>
      <c r="I9" s="18">
        <v>411.2</v>
      </c>
      <c r="J9">
        <f t="shared" si="2"/>
        <v>1.0424034334763947</v>
      </c>
    </row>
    <row r="10" spans="1:10" x14ac:dyDescent="0.25">
      <c r="A10" s="31">
        <v>2</v>
      </c>
      <c r="B10" s="13">
        <v>0</v>
      </c>
      <c r="C10" s="33">
        <v>500</v>
      </c>
      <c r="D10" s="5">
        <v>3.4580000000000002</v>
      </c>
      <c r="E10" s="5">
        <v>13.74</v>
      </c>
      <c r="F10" s="8">
        <f>D10/($C$10*1000)</f>
        <v>6.9160000000000004E-6</v>
      </c>
      <c r="G10" s="8">
        <f>E10/($C$10*1000)</f>
        <v>2.7480000000000001E-5</v>
      </c>
      <c r="H10" s="18">
        <v>219.6</v>
      </c>
      <c r="I10" s="18">
        <v>290.3</v>
      </c>
      <c r="J10">
        <f t="shared" si="2"/>
        <v>3.9733950260266049</v>
      </c>
    </row>
    <row r="11" spans="1:10" x14ac:dyDescent="0.25">
      <c r="B11" s="13">
        <v>200</v>
      </c>
      <c r="D11" s="18">
        <v>3.7269999999999999</v>
      </c>
      <c r="E11" s="18">
        <v>11.74</v>
      </c>
      <c r="F11" s="8">
        <f t="shared" ref="F11:F15" si="5">D11/($C$10*1000)</f>
        <v>7.4540000000000001E-6</v>
      </c>
      <c r="G11" s="8">
        <f t="shared" ref="G11:G15" si="6">E11/($C$10*1000)</f>
        <v>2.3479999999999999E-5</v>
      </c>
      <c r="H11" s="18">
        <v>248.2</v>
      </c>
      <c r="I11" s="18">
        <v>309.89999999999998</v>
      </c>
      <c r="J11">
        <f t="shared" si="2"/>
        <v>3.149986584384223</v>
      </c>
    </row>
    <row r="12" spans="1:10" x14ac:dyDescent="0.25">
      <c r="B12" s="13">
        <v>400</v>
      </c>
      <c r="D12" s="18">
        <v>4</v>
      </c>
      <c r="E12" s="18">
        <v>10.029999999999999</v>
      </c>
      <c r="F12" s="8">
        <f t="shared" si="5"/>
        <v>7.9999999999999996E-6</v>
      </c>
      <c r="G12" s="8">
        <f t="shared" si="6"/>
        <v>2.0059999999999998E-5</v>
      </c>
      <c r="H12" s="18">
        <v>275.2</v>
      </c>
      <c r="I12" s="18">
        <v>328.5</v>
      </c>
      <c r="J12">
        <f t="shared" si="2"/>
        <v>2.5074999999999998</v>
      </c>
    </row>
    <row r="13" spans="1:10" x14ac:dyDescent="0.25">
      <c r="B13" s="13">
        <v>600</v>
      </c>
      <c r="D13" s="18">
        <v>4.2910000000000004</v>
      </c>
      <c r="E13" s="18">
        <v>8.593</v>
      </c>
      <c r="F13" s="8">
        <f t="shared" si="5"/>
        <v>8.5820000000000002E-6</v>
      </c>
      <c r="G13" s="8">
        <f t="shared" si="6"/>
        <v>1.7186000000000001E-5</v>
      </c>
      <c r="H13" s="18">
        <v>300.3</v>
      </c>
      <c r="I13" s="18">
        <v>345.1</v>
      </c>
      <c r="J13">
        <f t="shared" si="2"/>
        <v>2.0025635050104871</v>
      </c>
    </row>
    <row r="14" spans="1:10" x14ac:dyDescent="0.25">
      <c r="B14" s="13">
        <v>800</v>
      </c>
      <c r="D14" s="18">
        <v>4.5990000000000002</v>
      </c>
      <c r="E14" s="18">
        <v>7.8179999999999996</v>
      </c>
      <c r="F14" s="8">
        <f t="shared" si="5"/>
        <v>9.1980000000000007E-6</v>
      </c>
      <c r="G14" s="8">
        <f t="shared" si="6"/>
        <v>1.5636000000000001E-5</v>
      </c>
      <c r="H14" s="18">
        <v>323.39999999999998</v>
      </c>
      <c r="I14" s="18">
        <v>349</v>
      </c>
      <c r="J14">
        <f t="shared" si="2"/>
        <v>1.6999347684279191</v>
      </c>
    </row>
    <row r="15" spans="1:10" x14ac:dyDescent="0.25">
      <c r="B15" s="13">
        <v>1000</v>
      </c>
      <c r="D15" s="18">
        <v>4.992</v>
      </c>
      <c r="E15" s="18">
        <v>7.1079999999999997</v>
      </c>
      <c r="F15" s="8">
        <f t="shared" si="5"/>
        <v>9.9839999999999996E-6</v>
      </c>
      <c r="G15" s="8">
        <f t="shared" si="6"/>
        <v>1.4215999999999999E-5</v>
      </c>
      <c r="H15" s="18">
        <v>341</v>
      </c>
      <c r="I15" s="18">
        <v>352.1</v>
      </c>
      <c r="J15">
        <f t="shared" si="2"/>
        <v>1.4238782051282051</v>
      </c>
    </row>
    <row r="16" spans="1:10" x14ac:dyDescent="0.25">
      <c r="A16" s="31">
        <v>3</v>
      </c>
      <c r="B16" s="13">
        <v>0</v>
      </c>
      <c r="C16" s="33">
        <v>450</v>
      </c>
      <c r="D16" s="5">
        <v>3.5859999999999999</v>
      </c>
      <c r="E16" s="5">
        <v>13.09</v>
      </c>
      <c r="F16" s="8">
        <f>D16/($C$16*1000)</f>
        <v>7.9688888888888886E-6</v>
      </c>
      <c r="G16" s="8">
        <f>E16/($C$16*1000)</f>
        <v>2.908888888888889E-5</v>
      </c>
      <c r="H16" s="18">
        <v>193</v>
      </c>
      <c r="I16" s="18">
        <v>252.5</v>
      </c>
      <c r="J16">
        <f t="shared" si="2"/>
        <v>3.6503067484662579</v>
      </c>
    </row>
    <row r="17" spans="1:10" x14ac:dyDescent="0.25">
      <c r="B17" s="13">
        <v>200</v>
      </c>
      <c r="D17" s="18">
        <v>3.88</v>
      </c>
      <c r="E17" s="18">
        <v>11.11</v>
      </c>
      <c r="F17" s="8">
        <f t="shared" ref="F17:F20" si="7">D17/($C$16*1000)</f>
        <v>8.6222222222222214E-6</v>
      </c>
      <c r="G17" s="8">
        <f t="shared" ref="G17:G20" si="8">E17/($C$16*1000)</f>
        <v>2.4688888888888888E-5</v>
      </c>
      <c r="H17" s="18">
        <v>218</v>
      </c>
      <c r="I17" s="18">
        <v>269.39999999999998</v>
      </c>
      <c r="J17">
        <f t="shared" si="2"/>
        <v>2.8634020618556701</v>
      </c>
    </row>
    <row r="18" spans="1:10" x14ac:dyDescent="0.25">
      <c r="B18" s="13">
        <v>400</v>
      </c>
      <c r="D18" s="18">
        <v>4.1840000000000002</v>
      </c>
      <c r="E18" s="18">
        <v>9.4109999999999996</v>
      </c>
      <c r="F18" s="8">
        <f t="shared" si="7"/>
        <v>9.2977777777777782E-6</v>
      </c>
      <c r="G18" s="8">
        <f t="shared" si="8"/>
        <v>2.0913333333333332E-5</v>
      </c>
      <c r="H18" s="18">
        <v>241.5</v>
      </c>
      <c r="I18" s="18">
        <v>285.2</v>
      </c>
      <c r="J18">
        <f t="shared" si="2"/>
        <v>2.2492829827915868</v>
      </c>
    </row>
    <row r="19" spans="1:10" x14ac:dyDescent="0.25">
      <c r="B19" s="13">
        <v>600</v>
      </c>
      <c r="D19" s="18">
        <v>4.5069999999999997</v>
      </c>
      <c r="E19" s="18">
        <v>8.2430000000000003</v>
      </c>
      <c r="F19" s="8">
        <f t="shared" si="7"/>
        <v>1.0015555555555555E-5</v>
      </c>
      <c r="G19" s="8">
        <f t="shared" si="8"/>
        <v>1.8317777777777778E-5</v>
      </c>
      <c r="H19" s="18">
        <v>263.10000000000002</v>
      </c>
      <c r="I19" s="18">
        <v>294.39999999999998</v>
      </c>
      <c r="J19">
        <f t="shared" si="2"/>
        <v>1.8289327712447305</v>
      </c>
    </row>
    <row r="20" spans="1:10" x14ac:dyDescent="0.25">
      <c r="B20" s="13">
        <v>800</v>
      </c>
      <c r="D20" s="18">
        <v>4.8529999999999998</v>
      </c>
      <c r="E20" s="18">
        <v>7.4669999999999996</v>
      </c>
      <c r="F20" s="8">
        <f t="shared" si="7"/>
        <v>1.0784444444444444E-5</v>
      </c>
      <c r="G20" s="8">
        <f t="shared" si="8"/>
        <v>1.6593333333333333E-5</v>
      </c>
      <c r="H20" s="18">
        <v>283</v>
      </c>
      <c r="I20" s="18">
        <v>297.2</v>
      </c>
      <c r="J20">
        <f t="shared" si="2"/>
        <v>1.538635895322481</v>
      </c>
    </row>
    <row r="21" spans="1:10" x14ac:dyDescent="0.25">
      <c r="A21" s="31">
        <v>4</v>
      </c>
      <c r="B21" s="13">
        <v>0</v>
      </c>
      <c r="C21" s="5">
        <v>400</v>
      </c>
      <c r="D21" s="5">
        <v>3.6139999999999999</v>
      </c>
      <c r="E21" s="5">
        <v>13.41</v>
      </c>
      <c r="F21" s="8">
        <f>D21/($C$21*1000)</f>
        <v>9.034999999999999E-6</v>
      </c>
      <c r="G21" s="8">
        <f>E21/($C$21*1000)</f>
        <v>3.3525000000000002E-5</v>
      </c>
      <c r="H21" s="18">
        <v>140.6</v>
      </c>
      <c r="I21" s="18">
        <v>185</v>
      </c>
      <c r="J21">
        <f t="shared" si="2"/>
        <v>3.7105700055340347</v>
      </c>
    </row>
    <row r="22" spans="1:10" x14ac:dyDescent="0.25">
      <c r="B22" s="13">
        <v>100</v>
      </c>
      <c r="D22" s="18">
        <v>3.7879999999999998</v>
      </c>
      <c r="E22" s="18">
        <v>12.19</v>
      </c>
      <c r="F22" s="8">
        <f t="shared" ref="F22:F24" si="9">D22/($C$21*1000)</f>
        <v>9.4699999999999991E-6</v>
      </c>
      <c r="G22" s="8">
        <f t="shared" ref="G22:G24" si="10">E22/($C$21*1000)</f>
        <v>3.0474999999999999E-5</v>
      </c>
      <c r="H22" s="18">
        <v>151.9</v>
      </c>
      <c r="I22" s="18">
        <v>192.6</v>
      </c>
      <c r="J22">
        <f t="shared" si="2"/>
        <v>3.2180570221752904</v>
      </c>
    </row>
    <row r="23" spans="1:10" x14ac:dyDescent="0.25">
      <c r="B23" s="13">
        <v>200</v>
      </c>
      <c r="D23" s="18">
        <v>3.964</v>
      </c>
      <c r="E23" s="18">
        <v>11.07</v>
      </c>
      <c r="F23" s="8">
        <f t="shared" si="9"/>
        <v>9.91E-6</v>
      </c>
      <c r="G23" s="8">
        <f t="shared" si="10"/>
        <v>2.7675000000000002E-5</v>
      </c>
      <c r="H23" s="18">
        <v>162.69999999999999</v>
      </c>
      <c r="I23" s="18">
        <v>200.1</v>
      </c>
      <c r="J23">
        <f t="shared" si="2"/>
        <v>2.7926337033299697</v>
      </c>
    </row>
    <row r="24" spans="1:10" x14ac:dyDescent="0.25">
      <c r="B24" s="13">
        <v>300</v>
      </c>
      <c r="D24" s="29">
        <v>4.1449999999999996</v>
      </c>
      <c r="E24" s="13">
        <v>10.06</v>
      </c>
      <c r="F24" s="8">
        <f t="shared" si="9"/>
        <v>1.0362499999999999E-5</v>
      </c>
      <c r="G24" s="8">
        <f t="shared" si="10"/>
        <v>2.5150000000000001E-5</v>
      </c>
      <c r="H24" s="29">
        <v>173.1</v>
      </c>
      <c r="I24" s="29">
        <v>207.2</v>
      </c>
      <c r="J24">
        <f t="shared" si="2"/>
        <v>2.4270205066344999</v>
      </c>
    </row>
  </sheetData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06934-F3CC-4C71-85D6-DA19EDEC8C09}">
  <dimension ref="A1:D11"/>
  <sheetViews>
    <sheetView workbookViewId="0">
      <selection activeCell="C10" sqref="C10"/>
    </sheetView>
  </sheetViews>
  <sheetFormatPr defaultRowHeight="15" x14ac:dyDescent="0.25"/>
  <sheetData>
    <row r="1" spans="1:4" ht="17.25" x14ac:dyDescent="0.25">
      <c r="A1" s="1" t="s">
        <v>91</v>
      </c>
      <c r="B1" s="1" t="s">
        <v>92</v>
      </c>
      <c r="C1" s="1" t="s">
        <v>93</v>
      </c>
      <c r="D1" s="1"/>
    </row>
    <row r="2" spans="1:4" x14ac:dyDescent="0.25">
      <c r="A2" s="1">
        <v>1</v>
      </c>
      <c r="B2" s="1">
        <v>150</v>
      </c>
      <c r="C2" s="1">
        <f>B2^2</f>
        <v>22500</v>
      </c>
      <c r="D2" s="1"/>
    </row>
    <row r="3" spans="1:4" x14ac:dyDescent="0.25">
      <c r="A3" s="1">
        <v>2</v>
      </c>
      <c r="B3" s="1">
        <v>160</v>
      </c>
      <c r="C3" s="1">
        <f t="shared" ref="C3:C9" si="0">B3^2</f>
        <v>25600</v>
      </c>
      <c r="D3" s="1"/>
    </row>
    <row r="4" spans="1:4" x14ac:dyDescent="0.25">
      <c r="A4" s="1">
        <v>3</v>
      </c>
      <c r="B4" s="1">
        <v>150</v>
      </c>
      <c r="C4" s="1">
        <f t="shared" si="0"/>
        <v>22500</v>
      </c>
      <c r="D4" s="1"/>
    </row>
    <row r="5" spans="1:4" x14ac:dyDescent="0.25">
      <c r="A5" s="1">
        <v>4</v>
      </c>
      <c r="B5" s="1">
        <v>150</v>
      </c>
      <c r="C5" s="1">
        <f t="shared" si="0"/>
        <v>22500</v>
      </c>
      <c r="D5" s="1"/>
    </row>
    <row r="6" spans="1:4" x14ac:dyDescent="0.25">
      <c r="A6" s="1">
        <v>5</v>
      </c>
      <c r="B6" s="1">
        <v>160</v>
      </c>
      <c r="C6" s="1">
        <f t="shared" si="0"/>
        <v>25600</v>
      </c>
      <c r="D6" s="1"/>
    </row>
    <row r="7" spans="1:4" x14ac:dyDescent="0.25">
      <c r="A7" s="1">
        <v>6</v>
      </c>
      <c r="B7" s="1">
        <v>150</v>
      </c>
      <c r="C7" s="1">
        <f t="shared" si="0"/>
        <v>22500</v>
      </c>
      <c r="D7" s="1"/>
    </row>
    <row r="8" spans="1:4" x14ac:dyDescent="0.25">
      <c r="A8" s="1">
        <v>7</v>
      </c>
      <c r="B8" s="1">
        <v>200</v>
      </c>
      <c r="C8" s="1">
        <f t="shared" si="0"/>
        <v>40000</v>
      </c>
      <c r="D8" s="1"/>
    </row>
    <row r="9" spans="1:4" x14ac:dyDescent="0.25">
      <c r="A9" s="1">
        <v>8</v>
      </c>
      <c r="B9" s="1">
        <v>200</v>
      </c>
      <c r="C9" s="1">
        <f t="shared" si="0"/>
        <v>40000</v>
      </c>
      <c r="D9" s="1"/>
    </row>
    <row r="10" spans="1:4" x14ac:dyDescent="0.25">
      <c r="A10" s="1"/>
      <c r="B10" s="1"/>
      <c r="C10" s="1">
        <f>SUM(C2:C9)</f>
        <v>221200</v>
      </c>
      <c r="D10" s="1"/>
    </row>
    <row r="11" spans="1:4" x14ac:dyDescent="0.25">
      <c r="A11" s="1"/>
      <c r="B11" s="1"/>
      <c r="C11" s="1"/>
      <c r="D1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3D9DF-C384-46D8-A9F4-953633B42FDE}">
  <dimension ref="A2:R51"/>
  <sheetViews>
    <sheetView showGridLines="0" zoomScale="70" zoomScaleNormal="70" workbookViewId="0">
      <selection activeCell="S14" sqref="S14"/>
    </sheetView>
  </sheetViews>
  <sheetFormatPr defaultRowHeight="15" x14ac:dyDescent="0.25"/>
  <cols>
    <col min="13" max="13" width="13.85546875" customWidth="1"/>
  </cols>
  <sheetData>
    <row r="2" spans="2:18" ht="18.75" x14ac:dyDescent="0.3">
      <c r="B2" s="1"/>
      <c r="C2" s="83" t="s">
        <v>98</v>
      </c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1"/>
      <c r="R2" s="1"/>
    </row>
    <row r="3" spans="2:18" ht="15.75" thickBot="1" x14ac:dyDescent="0.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2:18" ht="18" x14ac:dyDescent="0.35">
      <c r="B4" s="1"/>
      <c r="C4" s="25" t="s">
        <v>73</v>
      </c>
      <c r="D4" s="25" t="s">
        <v>74</v>
      </c>
      <c r="E4" s="66" t="s">
        <v>76</v>
      </c>
      <c r="F4" s="67" t="s">
        <v>77</v>
      </c>
      <c r="G4" s="55" t="s">
        <v>78</v>
      </c>
      <c r="H4" s="55" t="s">
        <v>79</v>
      </c>
      <c r="I4" s="55" t="s">
        <v>80</v>
      </c>
      <c r="J4" s="55" t="s">
        <v>83</v>
      </c>
      <c r="K4" s="55" t="s">
        <v>84</v>
      </c>
      <c r="L4" s="55" t="s">
        <v>5</v>
      </c>
      <c r="M4" s="55" t="s">
        <v>85</v>
      </c>
      <c r="N4" s="55" t="s">
        <v>86</v>
      </c>
      <c r="O4" s="56" t="s">
        <v>82</v>
      </c>
      <c r="P4" s="51" t="s">
        <v>87</v>
      </c>
      <c r="Q4" s="1"/>
      <c r="R4" s="1"/>
    </row>
    <row r="5" spans="2:18" x14ac:dyDescent="0.25">
      <c r="B5" s="1"/>
      <c r="C5" s="48"/>
      <c r="D5" s="49" t="s">
        <v>62</v>
      </c>
      <c r="E5" s="68" t="s">
        <v>4</v>
      </c>
      <c r="F5" s="48" t="s">
        <v>4</v>
      </c>
      <c r="G5" s="48" t="s">
        <v>4</v>
      </c>
      <c r="H5" s="48" t="s">
        <v>4</v>
      </c>
      <c r="I5" s="48" t="s">
        <v>81</v>
      </c>
      <c r="J5" s="48" t="s">
        <v>4</v>
      </c>
      <c r="K5" s="48" t="s">
        <v>4</v>
      </c>
      <c r="L5" s="48" t="s">
        <v>4</v>
      </c>
      <c r="M5" s="48" t="s">
        <v>4</v>
      </c>
      <c r="N5" s="48" t="s">
        <v>4</v>
      </c>
      <c r="O5" s="69" t="s">
        <v>81</v>
      </c>
      <c r="P5" s="52" t="s">
        <v>1</v>
      </c>
      <c r="Q5" s="1"/>
      <c r="R5" s="1"/>
    </row>
    <row r="6" spans="2:18" x14ac:dyDescent="0.25">
      <c r="B6" s="1"/>
      <c r="C6" s="42">
        <v>1</v>
      </c>
      <c r="D6" s="42">
        <v>520</v>
      </c>
      <c r="E6" s="70">
        <f>PI()*10^2/4</f>
        <v>78.539816339744831</v>
      </c>
      <c r="F6" s="43">
        <f>2*(50+25+10)*10</f>
        <v>1700</v>
      </c>
      <c r="G6" s="45">
        <f>PI()*10^2/4</f>
        <v>78.539816339744831</v>
      </c>
      <c r="H6" s="42">
        <f>45*10</f>
        <v>450</v>
      </c>
      <c r="I6" s="42">
        <f>E6*F6+2*G6*H6</f>
        <v>204203.52248333656</v>
      </c>
      <c r="J6" s="42">
        <v>150</v>
      </c>
      <c r="K6" s="42">
        <v>300</v>
      </c>
      <c r="L6" s="42">
        <v>550</v>
      </c>
      <c r="M6" s="42">
        <f>(K6-25*2-10)</f>
        <v>240</v>
      </c>
      <c r="N6" s="42">
        <f>(L6-25*2-10)</f>
        <v>490</v>
      </c>
      <c r="O6" s="75">
        <f>M6*N6*J6</f>
        <v>17640000</v>
      </c>
      <c r="P6" s="33">
        <f t="shared" ref="P6:P15" si="0">I6/O6*(391/17)</f>
        <v>0.26625175833995129</v>
      </c>
      <c r="Q6" s="1"/>
      <c r="R6" s="1"/>
    </row>
    <row r="7" spans="2:18" x14ac:dyDescent="0.25">
      <c r="B7" s="1"/>
      <c r="C7" s="42">
        <v>2</v>
      </c>
      <c r="D7" s="42">
        <v>562</v>
      </c>
      <c r="E7" s="70">
        <f t="shared" ref="E7:E15" si="1">PI()*10^2/4</f>
        <v>78.539816339744831</v>
      </c>
      <c r="F7" s="43">
        <f t="shared" ref="F7:F15" si="2">2*(50+25+10)*10</f>
        <v>1700</v>
      </c>
      <c r="G7" s="45">
        <f t="shared" ref="G7:G15" si="3">PI()*10^2/4</f>
        <v>78.539816339744831</v>
      </c>
      <c r="H7" s="42">
        <f t="shared" ref="H7:H15" si="4">45*10</f>
        <v>450</v>
      </c>
      <c r="I7" s="42">
        <f t="shared" ref="I7:I15" si="5">E7*F7+2*G7*H7</f>
        <v>204203.52248333656</v>
      </c>
      <c r="J7" s="42">
        <v>150</v>
      </c>
      <c r="K7" s="42">
        <v>300</v>
      </c>
      <c r="L7" s="42">
        <v>550</v>
      </c>
      <c r="M7" s="42">
        <f t="shared" ref="M7:M15" si="6">(K7-25*2-10)</f>
        <v>240</v>
      </c>
      <c r="N7" s="42">
        <f t="shared" ref="N7:N15" si="7">(L7-25*2-10)</f>
        <v>490</v>
      </c>
      <c r="O7" s="75">
        <f t="shared" ref="O7:O15" si="8">M7*N7*J7</f>
        <v>17640000</v>
      </c>
      <c r="P7" s="33">
        <f t="shared" si="0"/>
        <v>0.26625175833995129</v>
      </c>
      <c r="Q7" s="1"/>
      <c r="R7" s="1"/>
    </row>
    <row r="8" spans="2:18" x14ac:dyDescent="0.25">
      <c r="B8" s="1"/>
      <c r="C8" s="42">
        <v>3</v>
      </c>
      <c r="D8" s="42">
        <v>648</v>
      </c>
      <c r="E8" s="70">
        <f t="shared" si="1"/>
        <v>78.539816339744831</v>
      </c>
      <c r="F8" s="43">
        <f t="shared" si="2"/>
        <v>1700</v>
      </c>
      <c r="G8" s="45">
        <f t="shared" si="3"/>
        <v>78.539816339744831</v>
      </c>
      <c r="H8" s="42">
        <f t="shared" si="4"/>
        <v>450</v>
      </c>
      <c r="I8" s="42">
        <f t="shared" si="5"/>
        <v>204203.52248333656</v>
      </c>
      <c r="J8" s="42">
        <v>150</v>
      </c>
      <c r="K8" s="42">
        <v>300</v>
      </c>
      <c r="L8" s="42">
        <v>550</v>
      </c>
      <c r="M8" s="42">
        <f t="shared" si="6"/>
        <v>240</v>
      </c>
      <c r="N8" s="42">
        <f t="shared" si="7"/>
        <v>490</v>
      </c>
      <c r="O8" s="75">
        <f t="shared" si="8"/>
        <v>17640000</v>
      </c>
      <c r="P8" s="33">
        <f t="shared" si="0"/>
        <v>0.26625175833995129</v>
      </c>
      <c r="Q8" s="1"/>
      <c r="R8" s="1"/>
    </row>
    <row r="9" spans="2:18" x14ac:dyDescent="0.25">
      <c r="B9" s="1"/>
      <c r="C9" s="42">
        <v>4</v>
      </c>
      <c r="D9" s="42">
        <v>660</v>
      </c>
      <c r="E9" s="70">
        <f t="shared" si="1"/>
        <v>78.539816339744831</v>
      </c>
      <c r="F9" s="43">
        <f t="shared" si="2"/>
        <v>1700</v>
      </c>
      <c r="G9" s="45">
        <f t="shared" si="3"/>
        <v>78.539816339744831</v>
      </c>
      <c r="H9" s="42">
        <f t="shared" si="4"/>
        <v>450</v>
      </c>
      <c r="I9" s="42">
        <f t="shared" si="5"/>
        <v>204203.52248333656</v>
      </c>
      <c r="J9" s="42">
        <v>150</v>
      </c>
      <c r="K9" s="42">
        <v>300</v>
      </c>
      <c r="L9" s="42">
        <v>550</v>
      </c>
      <c r="M9" s="42">
        <f t="shared" si="6"/>
        <v>240</v>
      </c>
      <c r="N9" s="42">
        <f t="shared" si="7"/>
        <v>490</v>
      </c>
      <c r="O9" s="75">
        <f t="shared" si="8"/>
        <v>17640000</v>
      </c>
      <c r="P9" s="33">
        <f t="shared" si="0"/>
        <v>0.26625175833995129</v>
      </c>
      <c r="Q9" s="1"/>
      <c r="R9" s="1"/>
    </row>
    <row r="10" spans="2:18" x14ac:dyDescent="0.25">
      <c r="B10" s="1"/>
      <c r="C10" s="42">
        <v>5</v>
      </c>
      <c r="D10" s="42">
        <v>521</v>
      </c>
      <c r="E10" s="70">
        <f t="shared" si="1"/>
        <v>78.539816339744831</v>
      </c>
      <c r="F10" s="43">
        <f t="shared" si="2"/>
        <v>1700</v>
      </c>
      <c r="G10" s="45">
        <f t="shared" si="3"/>
        <v>78.539816339744831</v>
      </c>
      <c r="H10" s="42">
        <f t="shared" si="4"/>
        <v>450</v>
      </c>
      <c r="I10" s="42">
        <f t="shared" si="5"/>
        <v>204203.52248333656</v>
      </c>
      <c r="J10" s="42">
        <v>150</v>
      </c>
      <c r="K10" s="42">
        <v>300</v>
      </c>
      <c r="L10" s="42">
        <v>550</v>
      </c>
      <c r="M10" s="42">
        <f t="shared" si="6"/>
        <v>240</v>
      </c>
      <c r="N10" s="42">
        <f t="shared" si="7"/>
        <v>490</v>
      </c>
      <c r="O10" s="75">
        <f t="shared" si="8"/>
        <v>17640000</v>
      </c>
      <c r="P10" s="33">
        <f t="shared" si="0"/>
        <v>0.26625175833995129</v>
      </c>
      <c r="Q10" s="1"/>
      <c r="R10" s="1"/>
    </row>
    <row r="11" spans="2:18" x14ac:dyDescent="0.25">
      <c r="B11" s="1"/>
      <c r="C11" s="42">
        <v>6</v>
      </c>
      <c r="D11" s="42">
        <v>590</v>
      </c>
      <c r="E11" s="70">
        <f t="shared" si="1"/>
        <v>78.539816339744831</v>
      </c>
      <c r="F11" s="43">
        <f t="shared" si="2"/>
        <v>1700</v>
      </c>
      <c r="G11" s="45">
        <f t="shared" si="3"/>
        <v>78.539816339744831</v>
      </c>
      <c r="H11" s="42">
        <f t="shared" si="4"/>
        <v>450</v>
      </c>
      <c r="I11" s="42">
        <f t="shared" si="5"/>
        <v>204203.52248333656</v>
      </c>
      <c r="J11" s="42">
        <v>150</v>
      </c>
      <c r="K11" s="42">
        <v>300</v>
      </c>
      <c r="L11" s="42">
        <v>550</v>
      </c>
      <c r="M11" s="42">
        <f t="shared" si="6"/>
        <v>240</v>
      </c>
      <c r="N11" s="42">
        <f t="shared" si="7"/>
        <v>490</v>
      </c>
      <c r="O11" s="75">
        <f t="shared" si="8"/>
        <v>17640000</v>
      </c>
      <c r="P11" s="33">
        <f t="shared" si="0"/>
        <v>0.26625175833995129</v>
      </c>
      <c r="Q11" s="1"/>
      <c r="R11" s="1"/>
    </row>
    <row r="12" spans="2:18" x14ac:dyDescent="0.25">
      <c r="B12" s="1"/>
      <c r="C12" s="42">
        <v>7</v>
      </c>
      <c r="D12" s="42">
        <v>765</v>
      </c>
      <c r="E12" s="70">
        <f t="shared" si="1"/>
        <v>78.539816339744831</v>
      </c>
      <c r="F12" s="43">
        <f t="shared" si="2"/>
        <v>1700</v>
      </c>
      <c r="G12" s="45">
        <f t="shared" si="3"/>
        <v>78.539816339744831</v>
      </c>
      <c r="H12" s="42">
        <f t="shared" si="4"/>
        <v>450</v>
      </c>
      <c r="I12" s="42">
        <f t="shared" si="5"/>
        <v>204203.52248333656</v>
      </c>
      <c r="J12" s="42">
        <v>150</v>
      </c>
      <c r="K12" s="42">
        <v>300</v>
      </c>
      <c r="L12" s="42">
        <v>550</v>
      </c>
      <c r="M12" s="42">
        <f t="shared" si="6"/>
        <v>240</v>
      </c>
      <c r="N12" s="42">
        <f t="shared" si="7"/>
        <v>490</v>
      </c>
      <c r="O12" s="75">
        <f t="shared" si="8"/>
        <v>17640000</v>
      </c>
      <c r="P12" s="33">
        <f t="shared" si="0"/>
        <v>0.26625175833995129</v>
      </c>
      <c r="Q12" s="1"/>
      <c r="R12" s="1"/>
    </row>
    <row r="13" spans="2:18" x14ac:dyDescent="0.25">
      <c r="B13" s="1"/>
      <c r="C13" s="42">
        <v>8</v>
      </c>
      <c r="D13" s="42">
        <v>850</v>
      </c>
      <c r="E13" s="70">
        <f t="shared" si="1"/>
        <v>78.539816339744831</v>
      </c>
      <c r="F13" s="43">
        <f t="shared" si="2"/>
        <v>1700</v>
      </c>
      <c r="G13" s="45">
        <f t="shared" si="3"/>
        <v>78.539816339744831</v>
      </c>
      <c r="H13" s="42">
        <f t="shared" si="4"/>
        <v>450</v>
      </c>
      <c r="I13" s="42">
        <f t="shared" si="5"/>
        <v>204203.52248333656</v>
      </c>
      <c r="J13" s="42">
        <v>150</v>
      </c>
      <c r="K13" s="42">
        <v>300</v>
      </c>
      <c r="L13" s="42">
        <v>550</v>
      </c>
      <c r="M13" s="42">
        <f t="shared" si="6"/>
        <v>240</v>
      </c>
      <c r="N13" s="42">
        <f t="shared" si="7"/>
        <v>490</v>
      </c>
      <c r="O13" s="75">
        <f t="shared" si="8"/>
        <v>17640000</v>
      </c>
      <c r="P13" s="53">
        <f t="shared" si="0"/>
        <v>0.26625175833995129</v>
      </c>
      <c r="Q13" s="1"/>
      <c r="R13" s="1"/>
    </row>
    <row r="14" spans="2:18" x14ac:dyDescent="0.25">
      <c r="B14" s="1"/>
      <c r="C14" s="42">
        <v>9</v>
      </c>
      <c r="D14" s="42">
        <v>850</v>
      </c>
      <c r="E14" s="70">
        <f t="shared" si="1"/>
        <v>78.539816339744831</v>
      </c>
      <c r="F14" s="43">
        <f t="shared" si="2"/>
        <v>1700</v>
      </c>
      <c r="G14" s="45">
        <f t="shared" si="3"/>
        <v>78.539816339744831</v>
      </c>
      <c r="H14" s="42">
        <f t="shared" si="4"/>
        <v>450</v>
      </c>
      <c r="I14" s="42">
        <f t="shared" si="5"/>
        <v>204203.52248333656</v>
      </c>
      <c r="J14" s="42">
        <v>150</v>
      </c>
      <c r="K14" s="42">
        <v>300</v>
      </c>
      <c r="L14" s="42">
        <v>550</v>
      </c>
      <c r="M14" s="42">
        <f t="shared" si="6"/>
        <v>240</v>
      </c>
      <c r="N14" s="42">
        <f t="shared" si="7"/>
        <v>490</v>
      </c>
      <c r="O14" s="75">
        <f t="shared" si="8"/>
        <v>17640000</v>
      </c>
      <c r="P14" s="53">
        <f t="shared" si="0"/>
        <v>0.26625175833995129</v>
      </c>
      <c r="Q14" s="1"/>
      <c r="R14" s="1"/>
    </row>
    <row r="15" spans="2:18" ht="15.75" thickBot="1" x14ac:dyDescent="0.3">
      <c r="B15" s="1"/>
      <c r="C15" s="42">
        <v>10</v>
      </c>
      <c r="D15" s="42">
        <v>595</v>
      </c>
      <c r="E15" s="71">
        <f t="shared" si="1"/>
        <v>78.539816339744831</v>
      </c>
      <c r="F15" s="72">
        <f t="shared" si="2"/>
        <v>1700</v>
      </c>
      <c r="G15" s="73">
        <f t="shared" si="3"/>
        <v>78.539816339744831</v>
      </c>
      <c r="H15" s="74">
        <f t="shared" si="4"/>
        <v>450</v>
      </c>
      <c r="I15" s="74">
        <f t="shared" si="5"/>
        <v>204203.52248333656</v>
      </c>
      <c r="J15" s="74">
        <v>150</v>
      </c>
      <c r="K15" s="74">
        <v>300</v>
      </c>
      <c r="L15" s="74">
        <v>550</v>
      </c>
      <c r="M15" s="74">
        <f t="shared" si="6"/>
        <v>240</v>
      </c>
      <c r="N15" s="74">
        <f t="shared" si="7"/>
        <v>490</v>
      </c>
      <c r="O15" s="76">
        <f t="shared" si="8"/>
        <v>17640000</v>
      </c>
      <c r="P15" s="33">
        <f t="shared" si="0"/>
        <v>0.26625175833995129</v>
      </c>
      <c r="Q15" s="1"/>
      <c r="R15" s="1"/>
    </row>
    <row r="16" spans="2:18" x14ac:dyDescent="0.2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2:18" ht="18.75" x14ac:dyDescent="0.3">
      <c r="B17" s="1"/>
      <c r="C17" s="1"/>
      <c r="D17" s="1"/>
      <c r="E17" s="83" t="s">
        <v>97</v>
      </c>
      <c r="F17" s="83"/>
      <c r="G17" s="83"/>
      <c r="H17" s="83"/>
      <c r="I17" s="83"/>
      <c r="J17" s="83"/>
      <c r="K17" s="83"/>
      <c r="L17" s="83"/>
      <c r="M17" s="83"/>
      <c r="N17" s="83"/>
      <c r="O17" s="1"/>
      <c r="P17" s="1"/>
      <c r="Q17" s="1"/>
      <c r="R17" s="1"/>
    </row>
    <row r="18" spans="2:18" ht="15.75" thickBot="1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2:18" ht="18" x14ac:dyDescent="0.35">
      <c r="B19" s="1"/>
      <c r="C19" s="1"/>
      <c r="D19" s="1"/>
      <c r="E19" s="25" t="s">
        <v>73</v>
      </c>
      <c r="F19" s="25" t="s">
        <v>74</v>
      </c>
      <c r="G19" s="54" t="s">
        <v>75</v>
      </c>
      <c r="H19" s="55" t="s">
        <v>88</v>
      </c>
      <c r="I19" s="55" t="s">
        <v>89</v>
      </c>
      <c r="J19" s="55" t="s">
        <v>94</v>
      </c>
      <c r="K19" s="55" t="s">
        <v>95</v>
      </c>
      <c r="L19" s="56" t="s">
        <v>90</v>
      </c>
      <c r="M19" s="47" t="s">
        <v>96</v>
      </c>
      <c r="N19" s="1"/>
      <c r="O19" s="1"/>
      <c r="P19" s="1"/>
      <c r="Q19" s="1"/>
      <c r="R19" s="1"/>
    </row>
    <row r="20" spans="2:18" x14ac:dyDescent="0.25">
      <c r="B20" s="1"/>
      <c r="C20" s="1"/>
      <c r="D20" s="1"/>
      <c r="E20" s="48"/>
      <c r="F20" s="49" t="s">
        <v>62</v>
      </c>
      <c r="G20" s="68"/>
      <c r="H20" s="48" t="s">
        <v>1</v>
      </c>
      <c r="I20" s="48"/>
      <c r="J20" s="48"/>
      <c r="K20" s="48"/>
      <c r="L20" s="69"/>
      <c r="M20" s="48"/>
      <c r="N20" s="1"/>
      <c r="O20" s="1"/>
      <c r="P20" s="1"/>
      <c r="Q20" s="1"/>
      <c r="R20" s="1"/>
    </row>
    <row r="21" spans="2:18" x14ac:dyDescent="0.25">
      <c r="B21" s="1"/>
      <c r="C21" s="1"/>
      <c r="D21" s="1"/>
      <c r="E21" s="42">
        <v>1</v>
      </c>
      <c r="F21" s="42">
        <v>520</v>
      </c>
      <c r="G21" s="77">
        <f>6.28</f>
        <v>6.28</v>
      </c>
      <c r="H21" s="35">
        <f t="shared" ref="H21:H30" si="9">D6*1000/(K6*L6*17)</f>
        <v>0.18538324420677363</v>
      </c>
      <c r="I21" s="46">
        <f>1.957/1000</f>
        <v>1.957E-3</v>
      </c>
      <c r="J21" s="35">
        <f>1-'coeff alpha'!$C$10/(6*'verifica duttilità'!M6*'verifica duttilità'!N6)</f>
        <v>0.68650793650793651</v>
      </c>
      <c r="K21" s="35">
        <f t="shared" ref="K21:K30" si="10">(1-J6/(2*M6))*(1-J6/(2*N6))</f>
        <v>0.58227040816326525</v>
      </c>
      <c r="L21" s="57">
        <f>J21*K21</f>
        <v>0.39973325639779717</v>
      </c>
      <c r="M21" s="35">
        <f t="shared" ref="M21:M30" si="11">(30*G21*H21*I21*K6/M6-0.035)/L21</f>
        <v>0.12617970557029798</v>
      </c>
      <c r="N21" s="42" t="str">
        <f t="shared" ref="N21:N30" si="12">IF(M21&lt;P6,"SI","NO")</f>
        <v>SI</v>
      </c>
      <c r="O21" s="1"/>
      <c r="P21" s="1"/>
      <c r="Q21" s="1"/>
      <c r="R21" s="1"/>
    </row>
    <row r="22" spans="2:18" x14ac:dyDescent="0.25">
      <c r="B22" s="1"/>
      <c r="C22" s="1"/>
      <c r="D22" s="1"/>
      <c r="E22" s="42">
        <v>2</v>
      </c>
      <c r="F22" s="42">
        <v>562</v>
      </c>
      <c r="G22" s="77">
        <f t="shared" ref="G22:G30" si="13">6.28</f>
        <v>6.28</v>
      </c>
      <c r="H22" s="35">
        <f t="shared" si="9"/>
        <v>0.20035650623885917</v>
      </c>
      <c r="I22" s="46">
        <f t="shared" ref="I22:I30" si="14">1.957/1000</f>
        <v>1.957E-3</v>
      </c>
      <c r="J22" s="35">
        <f>1-'coeff alpha'!$C$10/(6*'verifica duttilità'!M7*'verifica duttilità'!N7)</f>
        <v>0.68650793650793651</v>
      </c>
      <c r="K22" s="35">
        <f t="shared" si="10"/>
        <v>0.58227040816326525</v>
      </c>
      <c r="L22" s="57">
        <f t="shared" ref="L22:L30" si="15">J22*K22</f>
        <v>0.39973325639779717</v>
      </c>
      <c r="M22" s="35">
        <f t="shared" si="11"/>
        <v>0.14344316706292154</v>
      </c>
      <c r="N22" s="42" t="str">
        <f t="shared" si="12"/>
        <v>SI</v>
      </c>
      <c r="O22" s="1"/>
      <c r="P22" s="1"/>
      <c r="Q22" s="1"/>
      <c r="R22" s="1"/>
    </row>
    <row r="23" spans="2:18" x14ac:dyDescent="0.25">
      <c r="B23" s="1"/>
      <c r="C23" s="1"/>
      <c r="D23" s="1"/>
      <c r="E23" s="42">
        <v>3</v>
      </c>
      <c r="F23" s="42">
        <v>648</v>
      </c>
      <c r="G23" s="77">
        <f t="shared" si="13"/>
        <v>6.28</v>
      </c>
      <c r="H23" s="35">
        <f t="shared" si="9"/>
        <v>0.23101604278074866</v>
      </c>
      <c r="I23" s="46">
        <f t="shared" si="14"/>
        <v>1.957E-3</v>
      </c>
      <c r="J23" s="35">
        <f>1-'coeff alpha'!$C$10/(6*'verifica duttilità'!M8*'verifica duttilità'!N8)</f>
        <v>0.68650793650793651</v>
      </c>
      <c r="K23" s="35">
        <f t="shared" si="10"/>
        <v>0.58227040816326525</v>
      </c>
      <c r="L23" s="57">
        <f t="shared" si="15"/>
        <v>0.39973325639779717</v>
      </c>
      <c r="M23" s="35">
        <f t="shared" si="11"/>
        <v>0.17879215964305542</v>
      </c>
      <c r="N23" s="42" t="str">
        <f t="shared" si="12"/>
        <v>SI</v>
      </c>
      <c r="O23" s="1"/>
      <c r="P23" s="1"/>
      <c r="Q23" s="1"/>
      <c r="R23" s="1"/>
    </row>
    <row r="24" spans="2:18" x14ac:dyDescent="0.25">
      <c r="B24" s="1"/>
      <c r="C24" s="1"/>
      <c r="D24" s="1"/>
      <c r="E24" s="42">
        <v>4</v>
      </c>
      <c r="F24" s="42">
        <v>660</v>
      </c>
      <c r="G24" s="77">
        <f t="shared" si="13"/>
        <v>6.28</v>
      </c>
      <c r="H24" s="35">
        <f t="shared" si="9"/>
        <v>0.23529411764705882</v>
      </c>
      <c r="I24" s="46">
        <f t="shared" si="14"/>
        <v>1.957E-3</v>
      </c>
      <c r="J24" s="35">
        <f>1-'coeff alpha'!$C$10/(6*'verifica duttilità'!M9*'verifica duttilità'!N9)</f>
        <v>0.68650793650793651</v>
      </c>
      <c r="K24" s="35">
        <f t="shared" si="10"/>
        <v>0.58227040816326525</v>
      </c>
      <c r="L24" s="57">
        <f t="shared" si="15"/>
        <v>0.39973325639779717</v>
      </c>
      <c r="M24" s="35">
        <f t="shared" si="11"/>
        <v>0.18372457721237648</v>
      </c>
      <c r="N24" s="42" t="str">
        <f t="shared" si="12"/>
        <v>SI</v>
      </c>
      <c r="O24" s="1"/>
      <c r="P24" s="1"/>
      <c r="Q24" s="1"/>
      <c r="R24" s="1"/>
    </row>
    <row r="25" spans="2:18" x14ac:dyDescent="0.25">
      <c r="B25" s="1"/>
      <c r="C25" s="1"/>
      <c r="D25" s="1"/>
      <c r="E25" s="42">
        <v>5</v>
      </c>
      <c r="F25" s="42">
        <v>521</v>
      </c>
      <c r="G25" s="77">
        <f t="shared" si="13"/>
        <v>6.28</v>
      </c>
      <c r="H25" s="35">
        <f t="shared" si="9"/>
        <v>0.18573975044563279</v>
      </c>
      <c r="I25" s="46">
        <f t="shared" si="14"/>
        <v>1.957E-3</v>
      </c>
      <c r="J25" s="35">
        <f>1-'coeff alpha'!$C$10/(6*'verifica duttilità'!M10*'verifica duttilità'!N10)</f>
        <v>0.68650793650793651</v>
      </c>
      <c r="K25" s="35">
        <f t="shared" si="10"/>
        <v>0.58227040816326525</v>
      </c>
      <c r="L25" s="57">
        <f t="shared" si="15"/>
        <v>0.39973325639779717</v>
      </c>
      <c r="M25" s="35">
        <f t="shared" si="11"/>
        <v>0.12659074036774134</v>
      </c>
      <c r="N25" s="42" t="str">
        <f t="shared" si="12"/>
        <v>SI</v>
      </c>
      <c r="O25" s="1"/>
      <c r="P25" s="1"/>
      <c r="Q25" s="1"/>
      <c r="R25" s="1"/>
    </row>
    <row r="26" spans="2:18" x14ac:dyDescent="0.25">
      <c r="B26" s="1"/>
      <c r="C26" s="1"/>
      <c r="D26" s="1"/>
      <c r="E26" s="42">
        <v>6</v>
      </c>
      <c r="F26" s="42">
        <v>590</v>
      </c>
      <c r="G26" s="77">
        <f t="shared" si="13"/>
        <v>6.28</v>
      </c>
      <c r="H26" s="35">
        <f t="shared" si="9"/>
        <v>0.21033868092691621</v>
      </c>
      <c r="I26" s="46">
        <f t="shared" si="14"/>
        <v>1.957E-3</v>
      </c>
      <c r="J26" s="35">
        <f>1-'coeff alpha'!$C$10/(6*'verifica duttilità'!M11*'verifica duttilità'!N11)</f>
        <v>0.68650793650793651</v>
      </c>
      <c r="K26" s="35">
        <f t="shared" si="10"/>
        <v>0.58227040816326525</v>
      </c>
      <c r="L26" s="57">
        <f t="shared" si="15"/>
        <v>0.39973325639779717</v>
      </c>
      <c r="M26" s="35">
        <f t="shared" si="11"/>
        <v>0.1549521413913372</v>
      </c>
      <c r="N26" s="42" t="str">
        <f t="shared" si="12"/>
        <v>SI</v>
      </c>
      <c r="O26" s="1"/>
      <c r="P26" s="1"/>
      <c r="Q26" s="1"/>
      <c r="R26" s="1"/>
    </row>
    <row r="27" spans="2:18" x14ac:dyDescent="0.25">
      <c r="B27" s="1"/>
      <c r="C27" s="1"/>
      <c r="D27" s="1"/>
      <c r="E27" s="42">
        <v>7</v>
      </c>
      <c r="F27" s="42">
        <v>765</v>
      </c>
      <c r="G27" s="77">
        <f t="shared" si="13"/>
        <v>6.28</v>
      </c>
      <c r="H27" s="35">
        <f t="shared" si="9"/>
        <v>0.27272727272727271</v>
      </c>
      <c r="I27" s="46">
        <f t="shared" si="14"/>
        <v>1.957E-3</v>
      </c>
      <c r="J27" s="35">
        <f>1-'coeff alpha'!$C$10/(6*'verifica duttilità'!M12*'verifica duttilità'!N12)</f>
        <v>0.68650793650793651</v>
      </c>
      <c r="K27" s="35">
        <f t="shared" si="10"/>
        <v>0.58227040816326525</v>
      </c>
      <c r="L27" s="57">
        <f t="shared" si="15"/>
        <v>0.39973325639779717</v>
      </c>
      <c r="M27" s="35">
        <f t="shared" si="11"/>
        <v>0.22688323094393531</v>
      </c>
      <c r="N27" s="42" t="str">
        <f t="shared" si="12"/>
        <v>SI</v>
      </c>
      <c r="O27" s="1"/>
      <c r="P27" s="1"/>
      <c r="Q27" s="1"/>
      <c r="R27" s="1"/>
    </row>
    <row r="28" spans="2:18" x14ac:dyDescent="0.25">
      <c r="B28" s="1"/>
      <c r="C28" s="1"/>
      <c r="D28" s="1"/>
      <c r="E28" s="42">
        <v>8</v>
      </c>
      <c r="F28" s="42">
        <v>850</v>
      </c>
      <c r="G28" s="77">
        <f t="shared" si="13"/>
        <v>6.28</v>
      </c>
      <c r="H28" s="35">
        <f t="shared" si="9"/>
        <v>0.30303030303030304</v>
      </c>
      <c r="I28" s="46">
        <f t="shared" si="14"/>
        <v>1.957E-3</v>
      </c>
      <c r="J28" s="35">
        <f>1-'coeff alpha'!$C$10/(6*'verifica duttilità'!M13*'verifica duttilità'!N13)</f>
        <v>0.68650793650793651</v>
      </c>
      <c r="K28" s="35">
        <f t="shared" si="10"/>
        <v>0.58227040816326525</v>
      </c>
      <c r="L28" s="57">
        <f t="shared" si="15"/>
        <v>0.39973325639779717</v>
      </c>
      <c r="M28" s="35">
        <f t="shared" si="11"/>
        <v>0.26182118872662585</v>
      </c>
      <c r="N28" s="42" t="str">
        <f t="shared" si="12"/>
        <v>SI</v>
      </c>
      <c r="O28" s="1"/>
      <c r="P28" s="1"/>
      <c r="Q28" s="1"/>
      <c r="R28" s="1"/>
    </row>
    <row r="29" spans="2:18" x14ac:dyDescent="0.25">
      <c r="B29" s="1"/>
      <c r="C29" s="1"/>
      <c r="D29" s="1"/>
      <c r="E29" s="42">
        <v>9</v>
      </c>
      <c r="F29" s="42">
        <v>850</v>
      </c>
      <c r="G29" s="77">
        <f t="shared" si="13"/>
        <v>6.28</v>
      </c>
      <c r="H29" s="35">
        <f t="shared" si="9"/>
        <v>0.30303030303030304</v>
      </c>
      <c r="I29" s="46">
        <f t="shared" si="14"/>
        <v>1.957E-3</v>
      </c>
      <c r="J29" s="35">
        <f>1-'coeff alpha'!$C$10/(6*'verifica duttilità'!M14*'verifica duttilità'!N14)</f>
        <v>0.68650793650793651</v>
      </c>
      <c r="K29" s="35">
        <f t="shared" si="10"/>
        <v>0.58227040816326525</v>
      </c>
      <c r="L29" s="57">
        <f t="shared" si="15"/>
        <v>0.39973325639779717</v>
      </c>
      <c r="M29" s="35">
        <f t="shared" si="11"/>
        <v>0.26182118872662585</v>
      </c>
      <c r="N29" s="42" t="str">
        <f t="shared" si="12"/>
        <v>SI</v>
      </c>
      <c r="O29" s="1"/>
      <c r="P29" s="1"/>
      <c r="Q29" s="1"/>
      <c r="R29" s="1"/>
    </row>
    <row r="30" spans="2:18" ht="15.75" thickBot="1" x14ac:dyDescent="0.3">
      <c r="B30" s="1"/>
      <c r="C30" s="1"/>
      <c r="D30" s="1"/>
      <c r="E30" s="42">
        <v>10</v>
      </c>
      <c r="F30" s="42">
        <v>595</v>
      </c>
      <c r="G30" s="78">
        <f t="shared" si="13"/>
        <v>6.28</v>
      </c>
      <c r="H30" s="58">
        <f t="shared" si="9"/>
        <v>0.21212121212121213</v>
      </c>
      <c r="I30" s="59">
        <f t="shared" si="14"/>
        <v>1.957E-3</v>
      </c>
      <c r="J30" s="58">
        <f>1-'coeff alpha'!$C$10/(6*'verifica duttilità'!M15*'verifica duttilità'!N15)</f>
        <v>0.68650793650793651</v>
      </c>
      <c r="K30" s="58">
        <f t="shared" si="10"/>
        <v>0.58227040816326525</v>
      </c>
      <c r="L30" s="60">
        <f t="shared" si="15"/>
        <v>0.39973325639779717</v>
      </c>
      <c r="M30" s="35">
        <f t="shared" si="11"/>
        <v>0.15700731537855434</v>
      </c>
      <c r="N30" s="42" t="str">
        <f t="shared" si="12"/>
        <v>SI</v>
      </c>
      <c r="O30" s="1"/>
      <c r="P30" s="1"/>
      <c r="Q30" s="1"/>
      <c r="R30" s="1"/>
    </row>
    <row r="31" spans="2:18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40" spans="1:1" x14ac:dyDescent="0.25">
      <c r="A40" s="50" t="s">
        <v>75</v>
      </c>
    </row>
    <row r="41" spans="1:1" x14ac:dyDescent="0.25">
      <c r="A41" s="61" t="s">
        <v>1</v>
      </c>
    </row>
    <row r="42" spans="1:1" x14ac:dyDescent="0.25">
      <c r="A42" s="62">
        <v>2.4500000000000002</v>
      </c>
    </row>
    <row r="43" spans="1:1" x14ac:dyDescent="0.25">
      <c r="A43" s="63">
        <v>2315</v>
      </c>
    </row>
    <row r="44" spans="1:1" x14ac:dyDescent="0.25">
      <c r="A44" s="63">
        <v>2114</v>
      </c>
    </row>
    <row r="45" spans="1:1" x14ac:dyDescent="0.25">
      <c r="A45" s="63">
        <v>2087</v>
      </c>
    </row>
    <row r="46" spans="1:1" x14ac:dyDescent="0.25">
      <c r="A46" s="63">
        <v>2418</v>
      </c>
    </row>
    <row r="47" spans="1:1" x14ac:dyDescent="0.25">
      <c r="A47" s="63">
        <v>2247</v>
      </c>
    </row>
    <row r="48" spans="1:1" x14ac:dyDescent="0.25">
      <c r="A48" s="63">
        <v>1906</v>
      </c>
    </row>
    <row r="49" spans="1:1" x14ac:dyDescent="0.25">
      <c r="A49" s="64">
        <v>1739</v>
      </c>
    </row>
    <row r="50" spans="1:1" x14ac:dyDescent="0.25">
      <c r="A50" s="65">
        <v>1739</v>
      </c>
    </row>
    <row r="51" spans="1:1" x14ac:dyDescent="0.25">
      <c r="A51" s="63">
        <v>2235</v>
      </c>
    </row>
  </sheetData>
  <mergeCells count="2">
    <mergeCell ref="C2:P2"/>
    <mergeCell ref="E17:N17"/>
  </mergeCells>
  <conditionalFormatting sqref="N21:N30">
    <cfRule type="cellIs" dxfId="1" priority="1" operator="equal">
      <formula>"NO"</formula>
    </cfRule>
    <cfRule type="cellIs" dxfId="0" priority="2" operator="equal">
      <formula>"SI"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66BE1-7B00-41A7-A946-70D8D51AA3F5}">
  <sheetPr>
    <pageSetUpPr fitToPage="1"/>
  </sheetPr>
  <dimension ref="A1:AB19"/>
  <sheetViews>
    <sheetView tabSelected="1" zoomScale="85" zoomScaleNormal="85" workbookViewId="0">
      <pane xSplit="1" topLeftCell="B1" activePane="topRight" state="frozen"/>
      <selection pane="topRight" activeCell="V22" sqref="V22"/>
    </sheetView>
  </sheetViews>
  <sheetFormatPr defaultRowHeight="15" x14ac:dyDescent="0.25"/>
  <cols>
    <col min="1" max="1" width="9.28515625" style="1" bestFit="1" customWidth="1"/>
    <col min="2" max="2" width="9.140625" style="1" customWidth="1"/>
    <col min="3" max="3" width="10" style="1" bestFit="1" customWidth="1"/>
    <col min="4" max="4" width="11" style="1" bestFit="1" customWidth="1"/>
    <col min="5" max="5" width="9.140625" style="1" customWidth="1"/>
    <col min="8" max="8" width="13.85546875" customWidth="1"/>
    <col min="9" max="9" width="12.5703125" customWidth="1"/>
    <col min="17" max="17" width="10.85546875" customWidth="1"/>
    <col min="18" max="18" width="11.140625" customWidth="1"/>
    <col min="19" max="19" width="11" customWidth="1"/>
    <col min="20" max="20" width="10.140625" customWidth="1"/>
  </cols>
  <sheetData>
    <row r="1" spans="1:28" ht="18" x14ac:dyDescent="0.35">
      <c r="A1" s="2" t="s">
        <v>0</v>
      </c>
      <c r="B1" s="2" t="s">
        <v>6</v>
      </c>
      <c r="C1" s="2" t="s">
        <v>7</v>
      </c>
      <c r="D1" s="2" t="s">
        <v>5</v>
      </c>
      <c r="E1" s="2" t="s">
        <v>3</v>
      </c>
      <c r="F1" s="2" t="s">
        <v>2</v>
      </c>
      <c r="G1" s="2" t="s">
        <v>10</v>
      </c>
      <c r="H1" s="2" t="s">
        <v>9</v>
      </c>
      <c r="I1" s="6" t="s">
        <v>13</v>
      </c>
      <c r="J1" s="6" t="s">
        <v>14</v>
      </c>
      <c r="K1" s="6" t="s">
        <v>21</v>
      </c>
      <c r="L1" s="6" t="s">
        <v>22</v>
      </c>
      <c r="M1" s="6" t="s">
        <v>23</v>
      </c>
      <c r="N1" s="6" t="s">
        <v>24</v>
      </c>
      <c r="O1" s="6" t="s">
        <v>38</v>
      </c>
      <c r="P1" s="6" t="s">
        <v>32</v>
      </c>
      <c r="Q1" s="6" t="s">
        <v>33</v>
      </c>
      <c r="R1" s="6" t="s">
        <v>36</v>
      </c>
      <c r="S1" s="6" t="s">
        <v>25</v>
      </c>
      <c r="T1" s="6" t="s">
        <v>26</v>
      </c>
      <c r="U1" s="6" t="s">
        <v>27</v>
      </c>
      <c r="V1" s="6" t="s">
        <v>28</v>
      </c>
      <c r="W1" s="6" t="s">
        <v>29</v>
      </c>
      <c r="X1" s="6" t="s">
        <v>30</v>
      </c>
      <c r="Y1" s="6" t="s">
        <v>39</v>
      </c>
      <c r="Z1" s="6" t="s">
        <v>34</v>
      </c>
      <c r="AA1" s="6" t="s">
        <v>35</v>
      </c>
      <c r="AB1" s="6" t="s">
        <v>37</v>
      </c>
    </row>
    <row r="2" spans="1:28" ht="17.25" x14ac:dyDescent="0.25">
      <c r="A2" s="3" t="s">
        <v>1</v>
      </c>
      <c r="B2" s="3" t="s">
        <v>8</v>
      </c>
      <c r="C2" s="3" t="s">
        <v>8</v>
      </c>
      <c r="D2" s="3" t="s">
        <v>4</v>
      </c>
      <c r="E2" s="3" t="s">
        <v>4</v>
      </c>
      <c r="F2" s="3" t="s">
        <v>4</v>
      </c>
      <c r="G2" s="3" t="s">
        <v>4</v>
      </c>
      <c r="H2" s="3" t="s">
        <v>4</v>
      </c>
      <c r="I2" s="3" t="s">
        <v>11</v>
      </c>
      <c r="J2" s="3" t="s">
        <v>11</v>
      </c>
      <c r="K2" s="3" t="s">
        <v>12</v>
      </c>
      <c r="L2" s="3" t="s">
        <v>12</v>
      </c>
      <c r="M2" s="3" t="s">
        <v>12</v>
      </c>
      <c r="N2" s="3" t="s">
        <v>12</v>
      </c>
      <c r="O2" s="3" t="s">
        <v>12</v>
      </c>
      <c r="P2" s="3" t="s">
        <v>31</v>
      </c>
      <c r="Q2" s="3" t="s">
        <v>31</v>
      </c>
      <c r="R2" s="3" t="s">
        <v>31</v>
      </c>
      <c r="S2" s="3" t="s">
        <v>11</v>
      </c>
      <c r="T2" s="3" t="s">
        <v>11</v>
      </c>
      <c r="U2" s="3" t="s">
        <v>12</v>
      </c>
      <c r="V2" s="3" t="s">
        <v>12</v>
      </c>
      <c r="W2" s="3" t="s">
        <v>12</v>
      </c>
      <c r="X2" s="3" t="s">
        <v>12</v>
      </c>
      <c r="Y2" s="3" t="s">
        <v>12</v>
      </c>
      <c r="Z2" s="3" t="s">
        <v>31</v>
      </c>
      <c r="AA2" s="3" t="s">
        <v>31</v>
      </c>
      <c r="AB2" s="3" t="s">
        <v>31</v>
      </c>
    </row>
    <row r="3" spans="1:28" x14ac:dyDescent="0.25">
      <c r="A3" s="9">
        <v>1</v>
      </c>
      <c r="B3" s="18">
        <v>391</v>
      </c>
      <c r="C3" s="18">
        <v>17</v>
      </c>
      <c r="D3" s="19">
        <v>500</v>
      </c>
      <c r="E3" s="18">
        <v>18</v>
      </c>
      <c r="F3" s="18">
        <v>1500</v>
      </c>
      <c r="G3" s="20">
        <f>0.1*F3+0.17*D3+0.24*(E3*B3/(SQRT(C3)))</f>
        <v>644.67177496137072</v>
      </c>
      <c r="H3" s="20">
        <f>F3/30+0.2*D3+0.24*(E3*B3/SQRT(C3))</f>
        <v>559.67177496137072</v>
      </c>
      <c r="I3" s="21">
        <f>'Theta travi VCA'!E3</f>
        <v>5.6580000000000007E-6</v>
      </c>
      <c r="J3" s="21">
        <f>'Theta travi VCA'!F3</f>
        <v>7.8259999999999999E-5</v>
      </c>
      <c r="K3" s="22">
        <f>I3*F3/3+0.0013*(1+1.5*D3/F3)+0.13*I3*(E3*B3/SQRT(C3))</f>
        <v>6.0345415723128612E-3</v>
      </c>
      <c r="L3" s="22">
        <f>I3*F3/3+0.0014*(1+1.5*D3/F3)+I3*E3*B3/(8*SQRT(17))</f>
        <v>6.1362515118392903E-3</v>
      </c>
      <c r="M3" s="22">
        <f>1/1.5*(K3+(J3-I3)*G3*(1-0.5*G3/F3))</f>
        <v>2.8520775754939585E-2</v>
      </c>
      <c r="N3" s="22">
        <f>1/1.5*(L3+(J3-I3)*H3*(1-0.5*H3/F3))</f>
        <v>2.612607100017425E-2</v>
      </c>
      <c r="O3" s="18">
        <f>M3*5/100+M3</f>
        <v>2.9946814542686565E-2</v>
      </c>
      <c r="P3" s="18">
        <f>83.06</f>
        <v>83.06</v>
      </c>
      <c r="Q3" s="18">
        <v>86.79</v>
      </c>
      <c r="R3" s="18">
        <f>30/100*Q3</f>
        <v>26.037000000000003</v>
      </c>
      <c r="S3" s="21">
        <f>'Theta travi VCA'!I3</f>
        <v>5.6580000000000007E-6</v>
      </c>
      <c r="T3" s="21">
        <f>'Theta travi VCA'!J3</f>
        <v>7.8259999999999999E-5</v>
      </c>
      <c r="U3" s="22">
        <f>S3*F3/3+0.0013*(1+1.5*D3/F3)+0.13*S3*(E3*B3/SQRT(C3))</f>
        <v>6.0345415723128612E-3</v>
      </c>
      <c r="V3" s="22">
        <f>S3*F3/3+0.0014*(1+1.5*D3/F3)+S3*E3*B3/(8*SQRT(C3))</f>
        <v>6.1362515118392903E-3</v>
      </c>
      <c r="W3" s="23">
        <f>1/1.5*(U3+(T3-S3)*G3*(1-0.5*G3/F3))</f>
        <v>2.8520775754939585E-2</v>
      </c>
      <c r="X3" s="23">
        <f>1/1.5*(V3+(T3-S3)*H3*(1-0.5*H3/F3))</f>
        <v>2.612607100017425E-2</v>
      </c>
      <c r="Y3" s="18">
        <f>W3*5/100+W3</f>
        <v>2.9946814542686565E-2</v>
      </c>
      <c r="Z3" s="18">
        <f>83.06</f>
        <v>83.06</v>
      </c>
      <c r="AA3" s="18">
        <v>86.79</v>
      </c>
      <c r="AB3" s="18">
        <f>30/100*AA3</f>
        <v>26.037000000000003</v>
      </c>
    </row>
    <row r="4" spans="1:28" x14ac:dyDescent="0.25">
      <c r="A4" s="9">
        <v>2</v>
      </c>
      <c r="B4" s="18">
        <v>391</v>
      </c>
      <c r="C4" s="18">
        <v>17</v>
      </c>
      <c r="D4" s="19">
        <v>500</v>
      </c>
      <c r="E4" s="18">
        <v>18</v>
      </c>
      <c r="F4" s="18">
        <v>1500</v>
      </c>
      <c r="G4" s="20">
        <f t="shared" ref="G4:G7" si="0">0.1*F4+0.17*D4+0.24*(E4*B4/(SQRT(C4)))</f>
        <v>644.67177496137072</v>
      </c>
      <c r="H4" s="20">
        <f t="shared" ref="H4:H7" si="1">F4/30+0.2*D4+0.24*(E4*B4/SQRT(C4))</f>
        <v>559.67177496137072</v>
      </c>
      <c r="I4" s="21">
        <f>'Theta travi VCA'!E4</f>
        <v>5.7539999999999995E-6</v>
      </c>
      <c r="J4" s="21">
        <f>'Theta travi VCA'!F4</f>
        <v>7.4120000000000002E-5</v>
      </c>
      <c r="K4" s="22">
        <f t="shared" ref="K4:K19" si="2">I4*F4/3+0.0013*(1+1.5*D4/F4)+0.13*I4*(E4*B4/SQRT(C4))</f>
        <v>6.103844504610852E-3</v>
      </c>
      <c r="L4" s="22">
        <f t="shared" ref="L4:L19" si="3">I4*F4/3+0.0014*(1+1.5*D4/F4)+I4*E4*B4/(8*SQRT(8))</f>
        <v>6.7667160777844845E-3</v>
      </c>
      <c r="M4" s="22">
        <f t="shared" ref="M4:M19" si="4">1/1.5*(K4+(J4-I4)*G4*(1-0.5*G4/F4))</f>
        <v>2.7137644348496515E-2</v>
      </c>
      <c r="N4" s="22">
        <f t="shared" ref="N4:N19" si="5">1/1.5*(L4+(J4-I4)*H4*(1-0.5*H4/F4))</f>
        <v>2.5260723807588165E-2</v>
      </c>
      <c r="O4" s="18">
        <f t="shared" ref="O4:O19" si="6">M4*5/100+M4</f>
        <v>2.849452656592134E-2</v>
      </c>
      <c r="P4" s="18">
        <v>101.1</v>
      </c>
      <c r="Q4" s="18">
        <v>105.1</v>
      </c>
      <c r="R4" s="18">
        <f t="shared" ref="R4:R19" si="7">30/100*Q4</f>
        <v>31.529999999999998</v>
      </c>
      <c r="S4" s="21">
        <f>'Theta travi VCA'!I4</f>
        <v>6.0179999999999998E-6</v>
      </c>
      <c r="T4" s="21">
        <f>'Theta travi VCA'!J4</f>
        <v>6.6379999999999998E-5</v>
      </c>
      <c r="U4" s="22">
        <f>S4*F4/3+0.0013*(1+1.5*D4/F4)+0.13*S4*(E4*B4/SQRT(C4))</f>
        <v>6.294427568430328E-3</v>
      </c>
      <c r="V4" s="22">
        <f>S4*F4/3+0.0014*(1+1.5*D4/F4)+S4*E4*B4/(8*SQRT(C4))</f>
        <v>6.3930649696445465E-3</v>
      </c>
      <c r="W4" s="23">
        <f>1/1.5*(U4+(T4-S4)*G4*(1-0.5*G4/F4))</f>
        <v>2.4563948019014393E-2</v>
      </c>
      <c r="X4" s="23">
        <f>1/1.5*(V4+(T4-S4)*H4*(1-0.5*H4/F4))</f>
        <v>2.2582350676632119E-2</v>
      </c>
      <c r="Y4" s="18">
        <f t="shared" ref="Y4:Y19" si="8">W4*5/100+W4</f>
        <v>2.5792145419965114E-2</v>
      </c>
      <c r="Z4" s="18">
        <v>122.8</v>
      </c>
      <c r="AA4" s="18">
        <v>128</v>
      </c>
      <c r="AB4" s="18">
        <f t="shared" ref="AB4:AB19" si="9">30/100*AA4</f>
        <v>38.4</v>
      </c>
    </row>
    <row r="5" spans="1:28" x14ac:dyDescent="0.25">
      <c r="A5" s="9">
        <v>3</v>
      </c>
      <c r="B5" s="18">
        <v>391</v>
      </c>
      <c r="C5" s="18">
        <v>17</v>
      </c>
      <c r="D5" s="19">
        <v>500</v>
      </c>
      <c r="E5" s="18">
        <v>18</v>
      </c>
      <c r="F5" s="18">
        <v>1500</v>
      </c>
      <c r="G5" s="20">
        <f t="shared" si="0"/>
        <v>644.67177496137072</v>
      </c>
      <c r="H5" s="20">
        <f t="shared" si="1"/>
        <v>559.67177496137072</v>
      </c>
      <c r="I5" s="21">
        <f>'Theta travi VCA'!E5</f>
        <v>5.6079999999999995E-6</v>
      </c>
      <c r="J5" s="21">
        <f>'Theta travi VCA'!F5</f>
        <v>7.8780000000000001E-5</v>
      </c>
      <c r="K5" s="22">
        <f t="shared" si="2"/>
        <v>5.9984462950743236E-3</v>
      </c>
      <c r="L5" s="22">
        <f t="shared" si="3"/>
        <v>6.6483044428598172E-3</v>
      </c>
      <c r="M5" s="22">
        <f t="shared" si="4"/>
        <v>2.8689044629591182E-2</v>
      </c>
      <c r="N5" s="22">
        <f t="shared" si="5"/>
        <v>2.6640438779219393E-2</v>
      </c>
      <c r="O5" s="18">
        <f t="shared" si="6"/>
        <v>3.0123496861070742E-2</v>
      </c>
      <c r="P5" s="18">
        <v>83.18</v>
      </c>
      <c r="Q5" s="18">
        <v>86.79</v>
      </c>
      <c r="R5" s="18">
        <f t="shared" si="7"/>
        <v>26.037000000000003</v>
      </c>
      <c r="S5" s="21">
        <f>'Theta travi VCA'!I5</f>
        <v>5.9100000000000002E-6</v>
      </c>
      <c r="T5" s="21">
        <f>'Theta travi VCA'!J5</f>
        <v>6.9659999999999994E-5</v>
      </c>
      <c r="U5" s="22">
        <f>S5*F5/3+0.0013*(1+1.5*D5/F5)+0.13*S5*(E5*B5/SQRT(C5))</f>
        <v>6.2164617695950877E-3</v>
      </c>
      <c r="V5" s="22">
        <f>S5*F5/3+0.0014*(1+1.5*D5/F5)+S5*E5*B5/(8*SQRT(C5))</f>
        <v>6.3160209323029695E-3</v>
      </c>
      <c r="W5" s="23">
        <f>1/1.5*(U5+(T5-S5)*G5*(1-0.5*G5/F5))</f>
        <v>2.5655167568637186E-2</v>
      </c>
      <c r="X5" s="23">
        <f>1/1.5*(V5+(T5-S5)*H5*(1-0.5*H5/F5))</f>
        <v>2.3559270701807737E-2</v>
      </c>
      <c r="Y5" s="18">
        <f t="shared" si="8"/>
        <v>2.6937925947069046E-2</v>
      </c>
      <c r="Z5" s="18">
        <v>107.1</v>
      </c>
      <c r="AA5" s="18">
        <v>111.8</v>
      </c>
      <c r="AB5" s="18">
        <f t="shared" si="9"/>
        <v>33.54</v>
      </c>
    </row>
    <row r="6" spans="1:28" x14ac:dyDescent="0.25">
      <c r="A6" s="9">
        <v>4</v>
      </c>
      <c r="B6" s="18">
        <v>391</v>
      </c>
      <c r="C6" s="18">
        <v>17</v>
      </c>
      <c r="D6" s="19">
        <v>500</v>
      </c>
      <c r="E6" s="18">
        <v>18</v>
      </c>
      <c r="F6" s="18">
        <v>1500</v>
      </c>
      <c r="G6" s="20">
        <f t="shared" si="0"/>
        <v>644.67177496137072</v>
      </c>
      <c r="H6" s="20">
        <f t="shared" si="1"/>
        <v>559.67177496137072</v>
      </c>
      <c r="I6" s="21">
        <f>'Theta travi VCA'!E6</f>
        <v>6.1639999999999998E-6</v>
      </c>
      <c r="J6" s="21">
        <f>'Theta travi VCA'!F6</f>
        <v>6.3899999999999995E-5</v>
      </c>
      <c r="K6" s="22">
        <f t="shared" si="2"/>
        <v>6.3998257779668563E-3</v>
      </c>
      <c r="L6" s="22">
        <f t="shared" si="3"/>
        <v>7.099241901888001E-3</v>
      </c>
      <c r="M6" s="22">
        <f t="shared" si="4"/>
        <v>2.3748134784107713E-2</v>
      </c>
      <c r="N6" s="22">
        <f t="shared" si="5"/>
        <v>2.2256125140468215E-2</v>
      </c>
      <c r="O6" s="18">
        <f t="shared" si="6"/>
        <v>2.49355415233131E-2</v>
      </c>
      <c r="P6" s="18">
        <v>163.1</v>
      </c>
      <c r="Q6" s="18">
        <v>169.2</v>
      </c>
      <c r="R6" s="18">
        <f t="shared" si="7"/>
        <v>50.76</v>
      </c>
      <c r="S6" s="21">
        <f>'Theta travi VCA'!I6</f>
        <v>6.3680000000000007E-6</v>
      </c>
      <c r="T6" s="21">
        <f>'Theta travi VCA'!J6</f>
        <v>5.8700000000000004E-5</v>
      </c>
      <c r="U6" s="22">
        <f>S6*F6/3+0.0013*(1+1.5*D6/F6)+0.13*S6*(E6*B6/SQRT(C6))</f>
        <v>6.5470945091000883E-3</v>
      </c>
      <c r="V6" s="22">
        <f>S6*F6/3+0.0014*(1+1.5*D6/F6)+S6*E6*B6/(8*SQRT(C6))</f>
        <v>6.6427447202885466E-3</v>
      </c>
      <c r="W6" s="23">
        <f>1/1.5*(U6+(T6-S6)*G6*(1-0.5*G6/F6))</f>
        <v>2.2022867884251632E-2</v>
      </c>
      <c r="X6" s="23">
        <f>1/1.5*(V6+(T6-S6)*H6*(1-0.5*H6/F6))</f>
        <v>2.0311640261852237E-2</v>
      </c>
      <c r="Y6" s="18">
        <f t="shared" si="8"/>
        <v>2.3124011278464213E-2</v>
      </c>
      <c r="Z6" s="18">
        <v>181.2</v>
      </c>
      <c r="AA6" s="18">
        <v>188.6</v>
      </c>
      <c r="AB6" s="18">
        <f t="shared" si="9"/>
        <v>56.58</v>
      </c>
    </row>
    <row r="7" spans="1:28" x14ac:dyDescent="0.25">
      <c r="A7" s="9">
        <v>5</v>
      </c>
      <c r="B7" s="18">
        <v>391</v>
      </c>
      <c r="C7" s="18">
        <v>17</v>
      </c>
      <c r="D7" s="19">
        <v>500</v>
      </c>
      <c r="E7" s="18">
        <v>18</v>
      </c>
      <c r="F7" s="18">
        <v>1500</v>
      </c>
      <c r="G7" s="20">
        <f t="shared" si="0"/>
        <v>644.67177496137072</v>
      </c>
      <c r="H7" s="20">
        <f t="shared" si="1"/>
        <v>559.67177496137072</v>
      </c>
      <c r="I7" s="21">
        <f>'Theta travi VCA'!E7</f>
        <v>5.9459999999999995E-6</v>
      </c>
      <c r="J7" s="21">
        <f>'Theta travi VCA'!F7</f>
        <v>6.8900000000000008E-5</v>
      </c>
      <c r="K7" s="22">
        <f t="shared" si="2"/>
        <v>6.2424503692068353E-3</v>
      </c>
      <c r="L7" s="22">
        <f t="shared" si="3"/>
        <v>6.9224354880963752E-3</v>
      </c>
      <c r="M7" s="22">
        <f t="shared" si="4"/>
        <v>2.540390280227791E-2</v>
      </c>
      <c r="N7" s="22">
        <f t="shared" si="5"/>
        <v>2.372195526521673E-2</v>
      </c>
      <c r="O7" s="18">
        <f t="shared" si="6"/>
        <v>2.6674097942391804E-2</v>
      </c>
      <c r="P7" s="18">
        <v>131.9</v>
      </c>
      <c r="Q7" s="18">
        <v>136.80000000000001</v>
      </c>
      <c r="R7" s="18">
        <f t="shared" si="7"/>
        <v>41.04</v>
      </c>
      <c r="S7" s="21">
        <f>'Theta travi VCA'!I7</f>
        <v>6.2979999999999997E-6</v>
      </c>
      <c r="T7" s="21">
        <f>'Theta travi VCA'!J7</f>
        <v>5.944E-5</v>
      </c>
      <c r="U7" s="22">
        <f>S7*F7/3+0.0013*(1+1.5*D7/F7)+0.13*S7*(E7*B7/SQRT(C7))</f>
        <v>6.4965611209661361E-3</v>
      </c>
      <c r="V7" s="22">
        <f>S7*F7/3+0.0014*(1+1.5*D7/F7)+S7*E7*B7/(8*SQRT(C7))</f>
        <v>6.5928087701597454E-3</v>
      </c>
      <c r="W7" s="23">
        <f>1/1.5*(U7+(T7-S7)*G7*(1-0.5*G7/F7))</f>
        <v>2.2262493411770407E-2</v>
      </c>
      <c r="X7" s="23">
        <f>1/1.5*(V7+(T7-S7)*H7*(1-0.5*H7/F7))</f>
        <v>2.052419053768826E-2</v>
      </c>
      <c r="Y7" s="18">
        <f t="shared" si="8"/>
        <v>2.3375618082358926E-2</v>
      </c>
      <c r="Z7" s="18">
        <v>162.19999999999999</v>
      </c>
      <c r="AA7" s="18">
        <v>169.1</v>
      </c>
      <c r="AB7" s="18">
        <f t="shared" si="9"/>
        <v>50.73</v>
      </c>
    </row>
    <row r="8" spans="1:28" x14ac:dyDescent="0.25">
      <c r="A8" s="4">
        <v>6</v>
      </c>
      <c r="B8" s="18"/>
      <c r="C8" s="18"/>
      <c r="D8" s="19"/>
      <c r="E8" s="18"/>
      <c r="F8" s="18"/>
      <c r="G8" s="20"/>
      <c r="H8" s="20"/>
      <c r="I8" s="21"/>
      <c r="J8" s="21"/>
      <c r="K8" s="22"/>
      <c r="L8" s="22"/>
      <c r="M8" s="22"/>
      <c r="N8" s="22"/>
      <c r="O8" s="18"/>
      <c r="P8" s="18"/>
      <c r="Q8" s="18"/>
      <c r="R8" s="18"/>
      <c r="S8" s="21"/>
      <c r="T8" s="21"/>
      <c r="U8" s="22"/>
      <c r="V8" s="22"/>
      <c r="W8" s="23"/>
      <c r="X8" s="23"/>
      <c r="Y8" s="18"/>
      <c r="Z8" s="18"/>
      <c r="AA8" s="18"/>
      <c r="AB8" s="18"/>
    </row>
    <row r="9" spans="1:28" x14ac:dyDescent="0.25">
      <c r="A9" s="4">
        <v>7</v>
      </c>
      <c r="B9" s="18"/>
      <c r="C9" s="18"/>
      <c r="D9" s="19"/>
      <c r="E9" s="18"/>
      <c r="F9" s="18"/>
      <c r="G9" s="20"/>
      <c r="H9" s="20"/>
      <c r="I9" s="21"/>
      <c r="J9" s="21"/>
      <c r="K9" s="22"/>
      <c r="L9" s="22"/>
      <c r="M9" s="22"/>
      <c r="N9" s="22"/>
      <c r="O9" s="18"/>
      <c r="P9" s="18"/>
      <c r="Q9" s="18"/>
      <c r="R9" s="18"/>
      <c r="S9" s="21"/>
      <c r="T9" s="21"/>
      <c r="U9" s="22"/>
      <c r="V9" s="22"/>
      <c r="W9" s="23"/>
      <c r="X9" s="23"/>
      <c r="Y9" s="18"/>
      <c r="Z9" s="18"/>
      <c r="AA9" s="18"/>
      <c r="AB9" s="18"/>
    </row>
    <row r="10" spans="1:28" x14ac:dyDescent="0.25">
      <c r="A10" s="4">
        <v>8</v>
      </c>
      <c r="B10" s="18"/>
      <c r="C10" s="18"/>
      <c r="D10" s="19"/>
      <c r="E10" s="18"/>
      <c r="F10" s="18"/>
      <c r="G10" s="20"/>
      <c r="H10" s="20"/>
      <c r="I10" s="21"/>
      <c r="J10" s="21"/>
      <c r="K10" s="22"/>
      <c r="L10" s="22"/>
      <c r="M10" s="22"/>
      <c r="N10" s="22"/>
      <c r="O10" s="18"/>
      <c r="P10" s="18"/>
      <c r="Q10" s="18"/>
      <c r="R10" s="18"/>
      <c r="S10" s="21"/>
      <c r="T10" s="21"/>
      <c r="U10" s="22"/>
      <c r="V10" s="22"/>
      <c r="W10" s="23"/>
      <c r="X10" s="23"/>
      <c r="Y10" s="18"/>
      <c r="Z10" s="18"/>
      <c r="AA10" s="18"/>
      <c r="AB10" s="18"/>
    </row>
    <row r="11" spans="1:28" x14ac:dyDescent="0.25">
      <c r="A11" s="4">
        <v>9</v>
      </c>
      <c r="B11" s="18"/>
      <c r="C11" s="18"/>
      <c r="D11" s="19"/>
      <c r="E11" s="18"/>
      <c r="F11" s="18"/>
      <c r="G11" s="20"/>
      <c r="H11" s="20"/>
      <c r="I11" s="21"/>
      <c r="J11" s="21"/>
      <c r="K11" s="22"/>
      <c r="L11" s="22"/>
      <c r="M11" s="22"/>
      <c r="N11" s="22"/>
      <c r="O11" s="18"/>
      <c r="P11" s="18"/>
      <c r="Q11" s="18"/>
      <c r="R11" s="18"/>
      <c r="S11" s="21"/>
      <c r="T11" s="21"/>
      <c r="U11" s="22"/>
      <c r="V11" s="22"/>
      <c r="W11" s="23"/>
      <c r="X11" s="23"/>
      <c r="Y11" s="18"/>
      <c r="Z11" s="18"/>
      <c r="AA11" s="18"/>
      <c r="AB11" s="18"/>
    </row>
    <row r="12" spans="1:28" x14ac:dyDescent="0.25">
      <c r="A12" s="9">
        <v>10</v>
      </c>
      <c r="B12" s="18">
        <v>391</v>
      </c>
      <c r="C12" s="18">
        <v>17</v>
      </c>
      <c r="D12" s="19">
        <v>500</v>
      </c>
      <c r="E12" s="18">
        <v>18</v>
      </c>
      <c r="F12" s="18">
        <v>1500</v>
      </c>
      <c r="G12" s="20">
        <f>0.1*F12+0.17*D12+0.24*(E12*B12/(SQRT(C12)))</f>
        <v>644.67177496137072</v>
      </c>
      <c r="H12" s="20">
        <f>F12/30+0.2*D12+0.24*(E12*B12/SQRT(C12))</f>
        <v>559.67177496137072</v>
      </c>
      <c r="I12" s="21">
        <f>'Theta travi VCA'!E12</f>
        <v>5.5119999999999999E-6</v>
      </c>
      <c r="J12" s="21">
        <f>'Theta travi VCA'!F12</f>
        <v>7.9499999999999994E-5</v>
      </c>
      <c r="K12" s="22">
        <f t="shared" si="2"/>
        <v>5.9291433627763328E-3</v>
      </c>
      <c r="L12" s="22">
        <f t="shared" si="3"/>
        <v>6.5704447377038719E-3</v>
      </c>
      <c r="M12" s="22">
        <f t="shared" si="4"/>
        <v>2.8918181679170533E-2</v>
      </c>
      <c r="N12" s="22">
        <f t="shared" si="5"/>
        <v>2.6836194262142919E-2</v>
      </c>
      <c r="O12" s="18">
        <f t="shared" si="6"/>
        <v>3.036409076312906E-2</v>
      </c>
      <c r="P12" s="18">
        <v>83.36</v>
      </c>
      <c r="Q12" s="18">
        <v>86.78</v>
      </c>
      <c r="R12" s="18">
        <f t="shared" si="7"/>
        <v>26.033999999999999</v>
      </c>
      <c r="S12" s="21">
        <f>'Theta travi VCA'!I12</f>
        <v>6.4539999999999995E-6</v>
      </c>
      <c r="T12" s="21">
        <f>'Theta travi VCA'!J12</f>
        <v>5.2939999999999998E-5</v>
      </c>
      <c r="U12" s="22">
        <f>S12*F12/3+0.0013*(1+1.5*D12/F12)+0.13*S12*(E12*B12/SQRT(C12))</f>
        <v>6.6091783859503709E-3</v>
      </c>
      <c r="V12" s="22">
        <f>S12*F12/3+0.0014*(1+1.5*D12/F12)+S12*E12*B12/(8*SQRT(C12))</f>
        <v>6.7040946018753567E-3</v>
      </c>
      <c r="W12" s="23">
        <f>1/1.5*(U12+(T12-S12)*G12*(1-0.5*G12/F12))</f>
        <v>2.0091669120799384E-2</v>
      </c>
      <c r="X12" s="23">
        <f>1/1.5*(V12+(T12-S12)*H12*(1-0.5*H12/F12))</f>
        <v>1.8578236534137205E-2</v>
      </c>
      <c r="Y12" s="18">
        <f t="shared" si="8"/>
        <v>2.1096252576839353E-2</v>
      </c>
      <c r="Z12" s="18">
        <v>161.1</v>
      </c>
      <c r="AA12" s="18">
        <v>168.8</v>
      </c>
      <c r="AB12" s="18">
        <f t="shared" si="9"/>
        <v>50.64</v>
      </c>
    </row>
    <row r="13" spans="1:28" x14ac:dyDescent="0.25">
      <c r="A13" s="4">
        <v>11</v>
      </c>
      <c r="B13" s="18"/>
      <c r="C13" s="18"/>
      <c r="D13" s="19"/>
      <c r="E13" s="18"/>
      <c r="F13" s="18"/>
      <c r="G13" s="20"/>
      <c r="H13" s="20"/>
      <c r="I13" s="21"/>
      <c r="J13" s="21"/>
      <c r="K13" s="22"/>
      <c r="L13" s="22"/>
      <c r="M13" s="22"/>
      <c r="N13" s="22"/>
      <c r="O13" s="18">
        <f t="shared" si="6"/>
        <v>0</v>
      </c>
      <c r="P13" s="18"/>
      <c r="Q13" s="18"/>
      <c r="R13" s="18">
        <f t="shared" si="7"/>
        <v>0</v>
      </c>
      <c r="S13" s="21"/>
      <c r="T13" s="21"/>
      <c r="U13" s="22"/>
      <c r="V13" s="22"/>
      <c r="W13" s="23"/>
      <c r="X13" s="23"/>
      <c r="Y13" s="18">
        <f t="shared" si="8"/>
        <v>0</v>
      </c>
      <c r="Z13" s="18"/>
      <c r="AA13" s="18"/>
      <c r="AB13" s="18">
        <f t="shared" si="9"/>
        <v>0</v>
      </c>
    </row>
    <row r="14" spans="1:28" x14ac:dyDescent="0.25">
      <c r="A14" s="4">
        <v>12</v>
      </c>
      <c r="B14" s="18"/>
      <c r="C14" s="18"/>
      <c r="D14" s="19"/>
      <c r="E14" s="18"/>
      <c r="F14" s="18"/>
      <c r="G14" s="20"/>
      <c r="H14" s="20"/>
      <c r="I14" s="21"/>
      <c r="J14" s="21"/>
      <c r="K14" s="22"/>
      <c r="L14" s="22"/>
      <c r="M14" s="22"/>
      <c r="N14" s="22"/>
      <c r="O14" s="18">
        <f t="shared" si="6"/>
        <v>0</v>
      </c>
      <c r="P14" s="18"/>
      <c r="Q14" s="18"/>
      <c r="R14" s="18">
        <f t="shared" si="7"/>
        <v>0</v>
      </c>
      <c r="S14" s="21"/>
      <c r="T14" s="21"/>
      <c r="U14" s="22"/>
      <c r="V14" s="22"/>
      <c r="W14" s="23"/>
      <c r="X14" s="23"/>
      <c r="Y14" s="18">
        <f t="shared" si="8"/>
        <v>0</v>
      </c>
      <c r="Z14" s="18"/>
      <c r="AA14" s="18"/>
      <c r="AB14" s="18">
        <f t="shared" si="9"/>
        <v>0</v>
      </c>
    </row>
    <row r="15" spans="1:28" x14ac:dyDescent="0.25">
      <c r="A15" s="9">
        <v>13</v>
      </c>
      <c r="B15" s="18">
        <v>391</v>
      </c>
      <c r="C15" s="18">
        <v>17</v>
      </c>
      <c r="D15" s="19">
        <v>500</v>
      </c>
      <c r="E15" s="18">
        <v>18</v>
      </c>
      <c r="F15" s="18">
        <v>1500</v>
      </c>
      <c r="G15" s="20">
        <f t="shared" ref="G15:G19" si="10">0.1*F15+0.17*D15+0.24*(E15*B15/(SQRT(C15)))</f>
        <v>644.67177496137072</v>
      </c>
      <c r="H15" s="20">
        <f t="shared" ref="H15:H19" si="11">F15/30+0.2*D15+0.24*(E15*B15/SQRT(C15))</f>
        <v>559.67177496137072</v>
      </c>
      <c r="I15" s="21">
        <f>'Theta travi VCA'!E15</f>
        <v>5.4840000000000003E-6</v>
      </c>
      <c r="J15" s="21">
        <f>'Theta travi VCA'!F15</f>
        <v>7.9659999999999993E-5</v>
      </c>
      <c r="K15" s="22">
        <f t="shared" si="2"/>
        <v>5.9089300075227521E-3</v>
      </c>
      <c r="L15" s="22">
        <f t="shared" si="3"/>
        <v>6.5477356570333885E-3</v>
      </c>
      <c r="M15" s="22">
        <f t="shared" si="4"/>
        <v>2.8968142056103929E-2</v>
      </c>
      <c r="N15" s="22">
        <f t="shared" si="5"/>
        <v>2.6878114246560104E-2</v>
      </c>
      <c r="O15" s="18">
        <f t="shared" si="6"/>
        <v>3.0416549158909126E-2</v>
      </c>
      <c r="P15" s="18">
        <v>83.41</v>
      </c>
      <c r="Q15" s="18">
        <v>86.77</v>
      </c>
      <c r="R15" s="18">
        <f t="shared" si="7"/>
        <v>26.030999999999999</v>
      </c>
      <c r="S15" s="21">
        <f>'Theta travi VCA'!I15</f>
        <v>6.6319999999999994E-6</v>
      </c>
      <c r="T15" s="21">
        <f>'Theta travi VCA'!J15</f>
        <v>4.8259999999999995E-5</v>
      </c>
      <c r="U15" s="22">
        <f>S15*F15/3+0.0013*(1+1.5*D15/F15)+0.13*S15*(E15*B15/SQRT(C15))</f>
        <v>6.7376775729195634E-3</v>
      </c>
      <c r="V15" s="22">
        <f>S15*F15/3+0.0014*(1+1.5*D15/F15)+S15*E15*B15/(8*SQRT(C15))</f>
        <v>6.8310745893457332E-3</v>
      </c>
      <c r="W15" s="23">
        <f>1/1.5*(U15+(T15-S15)*G15*(1-0.5*G15/F15))</f>
        <v>1.8538123378298153E-2</v>
      </c>
      <c r="X15" s="23">
        <f>1/1.5*(V15+(T15-S15)*H15*(1-0.5*H15/F15))</f>
        <v>1.7188451418176851E-2</v>
      </c>
      <c r="Y15" s="18">
        <f t="shared" si="8"/>
        <v>1.9465029547213061E-2</v>
      </c>
      <c r="Z15" s="18">
        <v>178.9</v>
      </c>
      <c r="AA15" s="18">
        <v>187.9</v>
      </c>
      <c r="AB15" s="18">
        <f t="shared" si="9"/>
        <v>56.37</v>
      </c>
    </row>
    <row r="16" spans="1:28" x14ac:dyDescent="0.25">
      <c r="A16" s="4">
        <v>14</v>
      </c>
      <c r="B16" s="18"/>
      <c r="C16" s="18"/>
      <c r="D16" s="19"/>
      <c r="E16" s="18"/>
      <c r="F16" s="18"/>
      <c r="G16" s="20"/>
      <c r="H16" s="20"/>
      <c r="I16" s="21"/>
      <c r="J16" s="21"/>
      <c r="K16" s="22"/>
      <c r="L16" s="22"/>
      <c r="M16" s="22"/>
      <c r="N16" s="22"/>
      <c r="O16" s="18">
        <f t="shared" si="6"/>
        <v>0</v>
      </c>
      <c r="P16" s="18"/>
      <c r="Q16" s="18"/>
      <c r="R16" s="18">
        <f t="shared" si="7"/>
        <v>0</v>
      </c>
      <c r="S16" s="21"/>
      <c r="T16" s="21"/>
      <c r="U16" s="22"/>
      <c r="V16" s="22"/>
      <c r="W16" s="23"/>
      <c r="X16" s="23"/>
      <c r="Y16" s="18">
        <f t="shared" si="8"/>
        <v>0</v>
      </c>
      <c r="Z16" s="18"/>
      <c r="AA16" s="18"/>
      <c r="AB16" s="18">
        <f t="shared" si="9"/>
        <v>0</v>
      </c>
    </row>
    <row r="17" spans="1:28" x14ac:dyDescent="0.25">
      <c r="A17" s="9">
        <v>15</v>
      </c>
      <c r="B17" s="18">
        <v>391</v>
      </c>
      <c r="C17" s="18">
        <v>17</v>
      </c>
      <c r="D17" s="19">
        <v>500</v>
      </c>
      <c r="E17" s="18">
        <v>18</v>
      </c>
      <c r="F17" s="18">
        <v>1500</v>
      </c>
      <c r="G17" s="20">
        <f t="shared" si="10"/>
        <v>644.67177496137072</v>
      </c>
      <c r="H17" s="20">
        <f t="shared" si="11"/>
        <v>559.67177496137072</v>
      </c>
      <c r="I17" s="21">
        <f>'Theta travi VCA'!E17</f>
        <v>5.5319999999999997E-6</v>
      </c>
      <c r="J17" s="21">
        <f>'Theta travi VCA'!F17</f>
        <v>7.9359999999999999E-5</v>
      </c>
      <c r="K17" s="22">
        <f t="shared" si="2"/>
        <v>5.9435814736717475E-3</v>
      </c>
      <c r="L17" s="22">
        <f t="shared" si="3"/>
        <v>6.5866655096113603E-3</v>
      </c>
      <c r="M17" s="22">
        <f t="shared" si="4"/>
        <v>2.8873819046346949E-2</v>
      </c>
      <c r="N17" s="22">
        <f t="shared" si="5"/>
        <v>2.6798446942820953E-2</v>
      </c>
      <c r="O17" s="18">
        <f t="shared" si="6"/>
        <v>3.0317509998664297E-2</v>
      </c>
      <c r="P17" s="18">
        <v>83.33</v>
      </c>
      <c r="Q17" s="18">
        <v>86.78</v>
      </c>
      <c r="R17" s="18">
        <f t="shared" si="7"/>
        <v>26.033999999999999</v>
      </c>
      <c r="S17" s="21">
        <f>'Theta travi VCA'!I17</f>
        <v>6.3319999999999997E-6</v>
      </c>
      <c r="T17" s="21">
        <f>'Theta travi VCA'!J17</f>
        <v>5.6340000000000006E-5</v>
      </c>
      <c r="U17" s="22">
        <f>S17*F17/3+0.0013*(1+1.5*D17/F17)+0.13*S17*(E17*B17/SQRT(C17))</f>
        <v>6.5211059094883415E-3</v>
      </c>
      <c r="V17" s="22">
        <f>S17*F17/3+0.0014*(1+1.5*D17/F17)+S17*E17*B17/(8*SQRT(C17))</f>
        <v>6.6170633745080204E-3</v>
      </c>
      <c r="W17" s="23">
        <f>1/1.5*(U17+(T17-S17)*G17*(1-0.5*G17/F17))</f>
        <v>2.1221365868910675E-2</v>
      </c>
      <c r="X17" s="23">
        <f>1/1.5*(V17+(T17-S17)*H17*(1-0.5*H17/F17))</f>
        <v>1.9589168410209485E-2</v>
      </c>
      <c r="Y17" s="18">
        <f t="shared" si="8"/>
        <v>2.2282434162356209E-2</v>
      </c>
      <c r="Z17" s="18">
        <v>149</v>
      </c>
      <c r="AA17" s="18">
        <v>156</v>
      </c>
      <c r="AB17" s="18">
        <f t="shared" si="9"/>
        <v>46.8</v>
      </c>
    </row>
    <row r="18" spans="1:28" x14ac:dyDescent="0.25">
      <c r="A18" s="4">
        <v>16</v>
      </c>
      <c r="B18" s="18"/>
      <c r="C18" s="18"/>
      <c r="D18" s="19"/>
      <c r="E18" s="18"/>
      <c r="F18" s="18"/>
      <c r="G18" s="20"/>
      <c r="H18" s="20"/>
      <c r="I18" s="21"/>
      <c r="J18" s="21"/>
      <c r="K18" s="22"/>
      <c r="L18" s="22"/>
      <c r="M18" s="22"/>
      <c r="N18" s="22"/>
      <c r="O18" s="18">
        <f t="shared" si="6"/>
        <v>0</v>
      </c>
      <c r="P18" s="18"/>
      <c r="Q18" s="18"/>
      <c r="R18" s="18">
        <f t="shared" si="7"/>
        <v>0</v>
      </c>
      <c r="S18" s="21"/>
      <c r="T18" s="21"/>
      <c r="U18" s="22"/>
      <c r="V18" s="22"/>
      <c r="W18" s="23"/>
      <c r="X18" s="23"/>
      <c r="Y18" s="18">
        <f t="shared" si="8"/>
        <v>0</v>
      </c>
      <c r="Z18" s="18"/>
      <c r="AA18" s="18"/>
      <c r="AB18" s="18">
        <f t="shared" si="9"/>
        <v>0</v>
      </c>
    </row>
    <row r="19" spans="1:28" x14ac:dyDescent="0.25">
      <c r="A19" s="9">
        <v>17</v>
      </c>
      <c r="B19" s="18">
        <v>391</v>
      </c>
      <c r="C19" s="18">
        <v>17</v>
      </c>
      <c r="D19" s="19">
        <v>500</v>
      </c>
      <c r="E19" s="18">
        <v>18</v>
      </c>
      <c r="F19" s="18">
        <v>1500</v>
      </c>
      <c r="G19" s="20">
        <f t="shared" si="10"/>
        <v>644.67177496137072</v>
      </c>
      <c r="H19" s="20">
        <f t="shared" si="11"/>
        <v>559.67177496137072</v>
      </c>
      <c r="I19" s="21">
        <f>'Theta travi VCA'!E19</f>
        <v>5.4560000000000008E-6</v>
      </c>
      <c r="J19" s="21">
        <f>'Theta travi VCA'!F19</f>
        <v>7.9800000000000002E-5</v>
      </c>
      <c r="K19" s="22">
        <f t="shared" si="2"/>
        <v>5.8887166522691714E-3</v>
      </c>
      <c r="L19" s="22">
        <f t="shared" si="3"/>
        <v>6.5250265763629051E-3</v>
      </c>
      <c r="M19" s="22">
        <f t="shared" si="4"/>
        <v>2.9011353928026427E-2</v>
      </c>
      <c r="N19" s="22">
        <f t="shared" si="5"/>
        <v>2.6913964085069755E-2</v>
      </c>
      <c r="O19" s="18">
        <f t="shared" si="6"/>
        <v>3.0461921624427749E-2</v>
      </c>
      <c r="P19" s="18">
        <v>83.44</v>
      </c>
      <c r="Q19" s="18">
        <v>86.77</v>
      </c>
      <c r="R19" s="18">
        <f t="shared" si="7"/>
        <v>26.030999999999999</v>
      </c>
      <c r="S19" s="21">
        <f>'Theta travi VCA'!I19</f>
        <v>6.81E-6</v>
      </c>
      <c r="T19" s="21">
        <f>'Theta travi VCA'!J19</f>
        <v>4.4039999999999998E-5</v>
      </c>
      <c r="U19" s="22">
        <f>S19*F19/3+0.0013*(1+1.5*D19/F19)+0.13*S19*(E19*B19/SQRT(C19))</f>
        <v>6.8661767598887568E-3</v>
      </c>
      <c r="V19" s="22">
        <f>S19*F19/3+0.0014*(1+1.5*D19/F19)+S19*E19*B19/(8*SQRT(C19))</f>
        <v>6.9580545768161113E-3</v>
      </c>
      <c r="W19" s="23">
        <f>1/1.5*(U19+(T19-S19)*G19*(1-0.5*G19/F19))</f>
        <v>1.71397932510476E-2</v>
      </c>
      <c r="X19" s="23">
        <f>1/1.5*(V19+(T19-S19)*H19*(1-0.5*H19/F19))</f>
        <v>1.5938279658089839E-2</v>
      </c>
      <c r="Y19" s="18">
        <f t="shared" si="8"/>
        <v>1.799678291359998E-2</v>
      </c>
      <c r="Z19" s="18">
        <v>196.6</v>
      </c>
      <c r="AA19" s="18">
        <v>206.7</v>
      </c>
      <c r="AB19" s="18">
        <f t="shared" si="9"/>
        <v>62.009999999999991</v>
      </c>
    </row>
  </sheetData>
  <pageMargins left="0.7" right="0.7" top="0.75" bottom="0.75" header="0.3" footer="0.3"/>
  <pageSetup paperSize="8"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1F1FF-FE79-48BE-816A-2C39FED89E6A}">
  <sheetPr>
    <pageSetUpPr fitToPage="1"/>
  </sheetPr>
  <dimension ref="A1:AO52"/>
  <sheetViews>
    <sheetView showGridLines="0" zoomScale="70" zoomScaleNormal="70" workbookViewId="0">
      <pane xSplit="1" topLeftCell="B1" activePane="topRight" state="frozen"/>
      <selection activeCell="A16" sqref="A16"/>
      <selection pane="topRight" activeCell="E2" sqref="E2"/>
    </sheetView>
  </sheetViews>
  <sheetFormatPr defaultRowHeight="15" x14ac:dyDescent="0.25"/>
  <cols>
    <col min="2" max="2" width="9.7109375" bestFit="1" customWidth="1"/>
  </cols>
  <sheetData>
    <row r="1" spans="1:23" x14ac:dyDescent="0.25">
      <c r="A1" s="1" t="s">
        <v>51</v>
      </c>
      <c r="C1" s="12" t="s">
        <v>50</v>
      </c>
      <c r="D1" s="11" t="s">
        <v>49</v>
      </c>
      <c r="E1" s="9" t="s">
        <v>48</v>
      </c>
      <c r="F1" s="10" t="s">
        <v>47</v>
      </c>
      <c r="G1" s="16" t="s">
        <v>46</v>
      </c>
      <c r="H1" s="10" t="s">
        <v>45</v>
      </c>
      <c r="I1" s="9" t="s">
        <v>44</v>
      </c>
      <c r="J1" s="11" t="s">
        <v>43</v>
      </c>
      <c r="K1" s="12" t="s">
        <v>42</v>
      </c>
      <c r="O1" t="s">
        <v>50</v>
      </c>
      <c r="P1" t="s">
        <v>49</v>
      </c>
      <c r="Q1" t="s">
        <v>48</v>
      </c>
      <c r="R1" t="s">
        <v>47</v>
      </c>
      <c r="S1" t="s">
        <v>46</v>
      </c>
      <c r="T1" t="s">
        <v>45</v>
      </c>
      <c r="U1" t="s">
        <v>44</v>
      </c>
      <c r="V1" t="s">
        <v>43</v>
      </c>
      <c r="W1" t="s">
        <v>42</v>
      </c>
    </row>
    <row r="2" spans="1:23" x14ac:dyDescent="0.25">
      <c r="A2" s="84">
        <v>1</v>
      </c>
      <c r="B2" s="4" t="s">
        <v>40</v>
      </c>
      <c r="C2" s="17">
        <f>-TRAVI!AB3</f>
        <v>-26.037000000000003</v>
      </c>
      <c r="D2" s="4">
        <f>-TRAVI!AB3</f>
        <v>-26.037000000000003</v>
      </c>
      <c r="E2" s="4">
        <f>-TRAVI!AA3</f>
        <v>-86.79</v>
      </c>
      <c r="F2" s="4">
        <f>-TRAVI!Z3</f>
        <v>-83.06</v>
      </c>
      <c r="G2" s="4">
        <v>0</v>
      </c>
      <c r="H2" s="4">
        <f>TRAVI!P3</f>
        <v>83.06</v>
      </c>
      <c r="I2" s="4">
        <f>TRAVI!Q3</f>
        <v>86.79</v>
      </c>
      <c r="J2" s="4">
        <f>TRAVI!R3</f>
        <v>26.037000000000003</v>
      </c>
      <c r="K2" s="4">
        <f>TRAVI!R3</f>
        <v>26.037000000000003</v>
      </c>
    </row>
    <row r="3" spans="1:23" x14ac:dyDescent="0.25">
      <c r="A3" s="85"/>
      <c r="B3" s="14" t="s">
        <v>41</v>
      </c>
      <c r="C3" s="17">
        <f>-TRAVI!Y3</f>
        <v>-2.9946814542686565E-2</v>
      </c>
      <c r="D3" s="4">
        <f>-TRAVI!W3</f>
        <v>-2.8520775754939585E-2</v>
      </c>
      <c r="E3" s="4">
        <f>-TRAVI!W3</f>
        <v>-2.8520775754939585E-2</v>
      </c>
      <c r="F3" s="4">
        <f>-TRAVI!U3</f>
        <v>-6.0345415723128612E-3</v>
      </c>
      <c r="G3" s="4">
        <v>0</v>
      </c>
      <c r="H3" s="4">
        <f>TRAVI!K3</f>
        <v>6.0345415723128612E-3</v>
      </c>
      <c r="I3" s="4">
        <f>TRAVI!M3</f>
        <v>2.8520775754939585E-2</v>
      </c>
      <c r="J3" s="4">
        <f>TRAVI!M3</f>
        <v>2.8520775754939585E-2</v>
      </c>
      <c r="K3" s="4">
        <f>TRAVI!O3</f>
        <v>2.9946814542686565E-2</v>
      </c>
    </row>
    <row r="4" spans="1:23" x14ac:dyDescent="0.25">
      <c r="A4" s="84">
        <v>2</v>
      </c>
      <c r="B4" s="4" t="s">
        <v>40</v>
      </c>
      <c r="C4" s="17">
        <f>-TRAVI!AB4</f>
        <v>-38.4</v>
      </c>
      <c r="D4" s="4">
        <f>-TRAVI!AB4</f>
        <v>-38.4</v>
      </c>
      <c r="E4" s="4">
        <f>-TRAVI!AA4</f>
        <v>-128</v>
      </c>
      <c r="F4" s="4">
        <f>-TRAVI!Z4</f>
        <v>-122.8</v>
      </c>
      <c r="G4" s="4">
        <v>0</v>
      </c>
      <c r="H4" s="4">
        <f>TRAVI!P4</f>
        <v>101.1</v>
      </c>
      <c r="I4" s="4">
        <f>TRAVI!Q4</f>
        <v>105.1</v>
      </c>
      <c r="J4" s="4">
        <f>TRAVI!R4</f>
        <v>31.529999999999998</v>
      </c>
      <c r="K4" s="4">
        <f>TRAVI!R4</f>
        <v>31.529999999999998</v>
      </c>
    </row>
    <row r="5" spans="1:23" x14ac:dyDescent="0.25">
      <c r="A5" s="85"/>
      <c r="B5" s="14" t="s">
        <v>41</v>
      </c>
      <c r="C5" s="17">
        <f>-TRAVI!Y4</f>
        <v>-2.5792145419965114E-2</v>
      </c>
      <c r="D5" s="4">
        <f>-TRAVI!W4</f>
        <v>-2.4563948019014393E-2</v>
      </c>
      <c r="E5" s="4">
        <f>-TRAVI!W4</f>
        <v>-2.4563948019014393E-2</v>
      </c>
      <c r="F5" s="4">
        <f>-TRAVI!U4</f>
        <v>-6.294427568430328E-3</v>
      </c>
      <c r="G5" s="4">
        <v>0</v>
      </c>
      <c r="H5" s="4">
        <f>TRAVI!K4</f>
        <v>6.103844504610852E-3</v>
      </c>
      <c r="I5" s="4">
        <f>TRAVI!M4</f>
        <v>2.7137644348496515E-2</v>
      </c>
      <c r="J5" s="4">
        <f>TRAVI!M4</f>
        <v>2.7137644348496515E-2</v>
      </c>
      <c r="K5" s="4">
        <f>TRAVI!O4</f>
        <v>2.849452656592134E-2</v>
      </c>
    </row>
    <row r="6" spans="1:23" x14ac:dyDescent="0.25">
      <c r="A6" s="84">
        <v>3</v>
      </c>
      <c r="B6" s="4" t="s">
        <v>40</v>
      </c>
      <c r="C6" s="17">
        <f>-TRAVI!AB5</f>
        <v>-33.54</v>
      </c>
      <c r="D6" s="4">
        <f>-TRAVI!AB5</f>
        <v>-33.54</v>
      </c>
      <c r="E6" s="4">
        <f>-TRAVI!AA5</f>
        <v>-111.8</v>
      </c>
      <c r="F6" s="4">
        <f>-TRAVI!Z5</f>
        <v>-107.1</v>
      </c>
      <c r="G6" s="4">
        <v>0</v>
      </c>
      <c r="H6" s="4">
        <f>TRAVI!P5</f>
        <v>83.18</v>
      </c>
      <c r="I6" s="4">
        <f>TRAVI!Q5</f>
        <v>86.79</v>
      </c>
      <c r="J6" s="4">
        <f>TRAVI!R5</f>
        <v>26.037000000000003</v>
      </c>
      <c r="K6" s="4">
        <f>TRAVI!R5</f>
        <v>26.037000000000003</v>
      </c>
    </row>
    <row r="7" spans="1:23" x14ac:dyDescent="0.25">
      <c r="A7" s="85"/>
      <c r="B7" s="14" t="s">
        <v>41</v>
      </c>
      <c r="C7" s="17">
        <f>-TRAVI!Y5</f>
        <v>-2.6937925947069046E-2</v>
      </c>
      <c r="D7" s="4">
        <f>-TRAVI!W5</f>
        <v>-2.5655167568637186E-2</v>
      </c>
      <c r="E7" s="4">
        <f>-TRAVI!W5</f>
        <v>-2.5655167568637186E-2</v>
      </c>
      <c r="F7" s="4">
        <f>-TRAVI!U5</f>
        <v>-6.2164617695950877E-3</v>
      </c>
      <c r="G7" s="4">
        <v>0</v>
      </c>
      <c r="H7" s="4">
        <f>TRAVI!K5</f>
        <v>5.9984462950743236E-3</v>
      </c>
      <c r="I7" s="4">
        <f>TRAVI!M5</f>
        <v>2.8689044629591182E-2</v>
      </c>
      <c r="J7" s="4">
        <f>TRAVI!M5</f>
        <v>2.8689044629591182E-2</v>
      </c>
      <c r="K7" s="4">
        <f>TRAVI!O5</f>
        <v>3.0123496861070742E-2</v>
      </c>
    </row>
    <row r="8" spans="1:23" x14ac:dyDescent="0.25">
      <c r="A8" s="84">
        <v>4</v>
      </c>
      <c r="B8" s="4" t="s">
        <v>40</v>
      </c>
      <c r="C8" s="17">
        <f>-TRAVI!AB6</f>
        <v>-56.58</v>
      </c>
      <c r="D8" s="4">
        <f>-TRAVI!AB6</f>
        <v>-56.58</v>
      </c>
      <c r="E8" s="4">
        <f>-TRAVI!AA6</f>
        <v>-188.6</v>
      </c>
      <c r="F8" s="4">
        <f>-TRAVI!Z6</f>
        <v>-181.2</v>
      </c>
      <c r="G8" s="4">
        <v>0</v>
      </c>
      <c r="H8" s="4">
        <f>TRAVI!P6</f>
        <v>163.1</v>
      </c>
      <c r="I8" s="4">
        <f>TRAVI!Q6</f>
        <v>169.2</v>
      </c>
      <c r="J8" s="4">
        <f>TRAVI!R6</f>
        <v>50.76</v>
      </c>
      <c r="K8" s="4">
        <f>TRAVI!R6</f>
        <v>50.76</v>
      </c>
    </row>
    <row r="9" spans="1:23" x14ac:dyDescent="0.25">
      <c r="A9" s="85"/>
      <c r="B9" s="14" t="s">
        <v>41</v>
      </c>
      <c r="C9" s="17">
        <f>-TRAVI!Y6</f>
        <v>-2.3124011278464213E-2</v>
      </c>
      <c r="D9" s="4">
        <f>-TRAVI!W6</f>
        <v>-2.2022867884251632E-2</v>
      </c>
      <c r="E9" s="4">
        <f>-TRAVI!W6</f>
        <v>-2.2022867884251632E-2</v>
      </c>
      <c r="F9" s="4">
        <f>-TRAVI!U6</f>
        <v>-6.5470945091000883E-3</v>
      </c>
      <c r="G9" s="4">
        <v>0</v>
      </c>
      <c r="H9" s="4">
        <f>TRAVI!K6</f>
        <v>6.3998257779668563E-3</v>
      </c>
      <c r="I9" s="4">
        <f>TRAVI!M6</f>
        <v>2.3748134784107713E-2</v>
      </c>
      <c r="J9" s="4">
        <f>TRAVI!M6</f>
        <v>2.3748134784107713E-2</v>
      </c>
      <c r="K9" s="4">
        <f>TRAVI!O6</f>
        <v>2.49355415233131E-2</v>
      </c>
    </row>
    <row r="10" spans="1:23" x14ac:dyDescent="0.25">
      <c r="A10" s="84">
        <v>5</v>
      </c>
      <c r="B10" s="4" t="s">
        <v>40</v>
      </c>
      <c r="C10" s="17">
        <f>-TRAVI!AB7</f>
        <v>-50.73</v>
      </c>
      <c r="D10" s="4">
        <f>-TRAVI!AB7</f>
        <v>-50.73</v>
      </c>
      <c r="E10" s="4">
        <f>-TRAVI!AA7</f>
        <v>-169.1</v>
      </c>
      <c r="F10" s="4">
        <f>-TRAVI!Z7</f>
        <v>-162.19999999999999</v>
      </c>
      <c r="G10" s="4">
        <v>0</v>
      </c>
      <c r="H10" s="4">
        <f>TRAVI!P7</f>
        <v>131.9</v>
      </c>
      <c r="I10" s="4">
        <f>TRAVI!Q7</f>
        <v>136.80000000000001</v>
      </c>
      <c r="J10" s="4">
        <f>TRAVI!R7</f>
        <v>41.04</v>
      </c>
      <c r="K10" s="4">
        <f>TRAVI!R7</f>
        <v>41.04</v>
      </c>
    </row>
    <row r="11" spans="1:23" x14ac:dyDescent="0.25">
      <c r="A11" s="85"/>
      <c r="B11" s="14" t="s">
        <v>41</v>
      </c>
      <c r="C11" s="17">
        <f>-TRAVI!Y7</f>
        <v>-2.3375618082358926E-2</v>
      </c>
      <c r="D11" s="4">
        <f>-TRAVI!W7</f>
        <v>-2.2262493411770407E-2</v>
      </c>
      <c r="E11" s="4">
        <f>-TRAVI!W7</f>
        <v>-2.2262493411770407E-2</v>
      </c>
      <c r="F11" s="4">
        <f>-TRAVI!U7</f>
        <v>-6.4965611209661361E-3</v>
      </c>
      <c r="G11" s="4">
        <v>0</v>
      </c>
      <c r="H11" s="4">
        <f>TRAVI!K7</f>
        <v>6.2424503692068353E-3</v>
      </c>
      <c r="I11" s="4">
        <f>TRAVI!M7</f>
        <v>2.540390280227791E-2</v>
      </c>
      <c r="J11" s="4">
        <f>TRAVI!M7</f>
        <v>2.540390280227791E-2</v>
      </c>
      <c r="K11" s="4">
        <f>TRAVI!O7</f>
        <v>2.6674097942391804E-2</v>
      </c>
    </row>
    <row r="12" spans="1:23" x14ac:dyDescent="0.25">
      <c r="A12" s="84">
        <v>10</v>
      </c>
      <c r="B12" s="4" t="s">
        <v>40</v>
      </c>
      <c r="C12" s="17">
        <f>-TRAVI!AB12</f>
        <v>-50.64</v>
      </c>
      <c r="D12" s="4">
        <f>-TRAVI!AB12</f>
        <v>-50.64</v>
      </c>
      <c r="E12" s="4">
        <f>-TRAVI!AA12</f>
        <v>-168.8</v>
      </c>
      <c r="F12" s="4">
        <f>-TRAVI!Z12</f>
        <v>-161.1</v>
      </c>
      <c r="G12" s="4">
        <v>0</v>
      </c>
      <c r="H12" s="4">
        <f>TRAVI!P12</f>
        <v>83.36</v>
      </c>
      <c r="I12" s="4">
        <f>TRAVI!Q12</f>
        <v>86.78</v>
      </c>
      <c r="J12" s="4">
        <f>TRAVI!R12</f>
        <v>26.033999999999999</v>
      </c>
      <c r="K12" s="4">
        <f>TRAVI!R12</f>
        <v>26.033999999999999</v>
      </c>
    </row>
    <row r="13" spans="1:23" x14ac:dyDescent="0.25">
      <c r="A13" s="85"/>
      <c r="B13" s="14" t="s">
        <v>41</v>
      </c>
      <c r="C13" s="17">
        <f>-TRAVI!Y12</f>
        <v>-2.1096252576839353E-2</v>
      </c>
      <c r="D13" s="4">
        <f>-TRAVI!W12</f>
        <v>-2.0091669120799384E-2</v>
      </c>
      <c r="E13" s="4">
        <f>-TRAVI!W12</f>
        <v>-2.0091669120799384E-2</v>
      </c>
      <c r="F13" s="4">
        <f>-TRAVI!U12</f>
        <v>-6.6091783859503709E-3</v>
      </c>
      <c r="G13" s="4">
        <v>0</v>
      </c>
      <c r="H13" s="4">
        <f>TRAVI!K12</f>
        <v>5.9291433627763328E-3</v>
      </c>
      <c r="I13" s="4">
        <f>TRAVI!M12</f>
        <v>2.8918181679170533E-2</v>
      </c>
      <c r="J13" s="4">
        <f>TRAVI!M12</f>
        <v>2.8918181679170533E-2</v>
      </c>
      <c r="K13" s="4">
        <f>TRAVI!O12</f>
        <v>3.036409076312906E-2</v>
      </c>
    </row>
    <row r="14" spans="1:23" x14ac:dyDescent="0.25">
      <c r="A14" s="84">
        <v>13</v>
      </c>
      <c r="B14" s="4" t="s">
        <v>40</v>
      </c>
      <c r="C14" s="17">
        <f>-TRAVI!AB15</f>
        <v>-56.37</v>
      </c>
      <c r="D14" s="4">
        <f>-TRAVI!AB15</f>
        <v>-56.37</v>
      </c>
      <c r="E14" s="4">
        <f>-TRAVI!AA15</f>
        <v>-187.9</v>
      </c>
      <c r="F14" s="4">
        <f>-TRAVI!Z15</f>
        <v>-178.9</v>
      </c>
      <c r="G14" s="4">
        <v>0</v>
      </c>
      <c r="H14" s="4">
        <f>TRAVI!P15</f>
        <v>83.41</v>
      </c>
      <c r="I14" s="4">
        <f>TRAVI!Q15</f>
        <v>86.77</v>
      </c>
      <c r="J14" s="4">
        <f>TRAVI!R15</f>
        <v>26.030999999999999</v>
      </c>
      <c r="K14" s="4">
        <f>TRAVI!R15</f>
        <v>26.030999999999999</v>
      </c>
    </row>
    <row r="15" spans="1:23" x14ac:dyDescent="0.25">
      <c r="A15" s="85"/>
      <c r="B15" s="14" t="s">
        <v>41</v>
      </c>
      <c r="C15" s="17">
        <f>-TRAVI!Y15</f>
        <v>-1.9465029547213061E-2</v>
      </c>
      <c r="D15" s="4">
        <f>-TRAVI!W15</f>
        <v>-1.8538123378298153E-2</v>
      </c>
      <c r="E15" s="4">
        <f>-TRAVI!W15</f>
        <v>-1.8538123378298153E-2</v>
      </c>
      <c r="F15" s="4">
        <f>-TRAVI!U15</f>
        <v>-6.7376775729195634E-3</v>
      </c>
      <c r="G15" s="4">
        <v>0</v>
      </c>
      <c r="H15" s="4">
        <f>TRAVI!K15</f>
        <v>5.9089300075227521E-3</v>
      </c>
      <c r="I15" s="4">
        <f>TRAVI!M15</f>
        <v>2.8968142056103929E-2</v>
      </c>
      <c r="J15" s="4">
        <f>TRAVI!M15</f>
        <v>2.8968142056103929E-2</v>
      </c>
      <c r="K15" s="4">
        <f>TRAVI!O15</f>
        <v>3.0416549158909126E-2</v>
      </c>
    </row>
    <row r="16" spans="1:23" x14ac:dyDescent="0.25">
      <c r="A16" s="84">
        <v>15</v>
      </c>
      <c r="B16" s="4" t="s">
        <v>40</v>
      </c>
      <c r="C16" s="17">
        <f>-TRAVI!AB17</f>
        <v>-46.8</v>
      </c>
      <c r="D16" s="4">
        <f>-TRAVI!AB17</f>
        <v>-46.8</v>
      </c>
      <c r="E16" s="4">
        <f>-TRAVI!AA17</f>
        <v>-156</v>
      </c>
      <c r="F16" s="4">
        <f>-TRAVI!Z17</f>
        <v>-149</v>
      </c>
      <c r="G16" s="4">
        <v>0</v>
      </c>
      <c r="H16" s="4">
        <f>TRAVI!P17</f>
        <v>83.33</v>
      </c>
      <c r="I16" s="4">
        <f>TRAVI!Q17</f>
        <v>86.78</v>
      </c>
      <c r="J16" s="4">
        <f>TRAVI!R17</f>
        <v>26.033999999999999</v>
      </c>
      <c r="K16" s="4">
        <f>TRAVI!R17</f>
        <v>26.033999999999999</v>
      </c>
    </row>
    <row r="17" spans="1:41" x14ac:dyDescent="0.25">
      <c r="A17" s="85"/>
      <c r="B17" s="14" t="s">
        <v>41</v>
      </c>
      <c r="C17" s="17">
        <f>-TRAVI!Y17</f>
        <v>-2.2282434162356209E-2</v>
      </c>
      <c r="D17" s="4">
        <f>-TRAVI!W17</f>
        <v>-2.1221365868910675E-2</v>
      </c>
      <c r="E17" s="4">
        <f>-TRAVI!W17</f>
        <v>-2.1221365868910675E-2</v>
      </c>
      <c r="F17" s="4">
        <f>-TRAVI!U17</f>
        <v>-6.5211059094883415E-3</v>
      </c>
      <c r="G17" s="4">
        <v>0</v>
      </c>
      <c r="H17" s="4">
        <f>TRAVI!K17</f>
        <v>5.9435814736717475E-3</v>
      </c>
      <c r="I17" s="4">
        <f>TRAVI!M17</f>
        <v>2.8873819046346949E-2</v>
      </c>
      <c r="J17" s="4">
        <f>TRAVI!M17</f>
        <v>2.8873819046346949E-2</v>
      </c>
      <c r="K17" s="4">
        <f>TRAVI!O17</f>
        <v>3.0317509998664297E-2</v>
      </c>
    </row>
    <row r="18" spans="1:41" x14ac:dyDescent="0.25">
      <c r="A18" s="84">
        <v>17</v>
      </c>
      <c r="B18" s="4" t="s">
        <v>40</v>
      </c>
      <c r="C18" s="17">
        <f>-TRAVI!AB19</f>
        <v>-62.009999999999991</v>
      </c>
      <c r="D18" s="4">
        <f>-TRAVI!AB19</f>
        <v>-62.009999999999991</v>
      </c>
      <c r="E18" s="4">
        <f>-TRAVI!AA19</f>
        <v>-206.7</v>
      </c>
      <c r="F18" s="4">
        <f>-TRAVI!Z19</f>
        <v>-196.6</v>
      </c>
      <c r="G18" s="4">
        <v>0</v>
      </c>
      <c r="H18" s="4">
        <f>TRAVI!P19</f>
        <v>83.44</v>
      </c>
      <c r="I18" s="4">
        <f>TRAVI!Q19</f>
        <v>86.77</v>
      </c>
      <c r="J18" s="4">
        <f>TRAVI!R19</f>
        <v>26.030999999999999</v>
      </c>
      <c r="K18" s="4">
        <f>TRAVI!R19</f>
        <v>26.030999999999999</v>
      </c>
    </row>
    <row r="19" spans="1:41" x14ac:dyDescent="0.25">
      <c r="A19" s="85"/>
      <c r="B19" s="14" t="s">
        <v>41</v>
      </c>
      <c r="C19" s="17">
        <f>-TRAVI!Y19</f>
        <v>-1.799678291359998E-2</v>
      </c>
      <c r="D19" s="4">
        <f>-TRAVI!W19</f>
        <v>-1.71397932510476E-2</v>
      </c>
      <c r="E19" s="4">
        <f>-TRAVI!W19</f>
        <v>-1.71397932510476E-2</v>
      </c>
      <c r="F19" s="4">
        <f>-TRAVI!U19</f>
        <v>-6.8661767598887568E-3</v>
      </c>
      <c r="G19" s="4">
        <v>0</v>
      </c>
      <c r="H19" s="4">
        <f>TRAVI!K19</f>
        <v>5.8887166522691714E-3</v>
      </c>
      <c r="I19" s="4">
        <f>TRAVI!M19</f>
        <v>2.9011353928026427E-2</v>
      </c>
      <c r="J19" s="4">
        <f>TRAVI!M19</f>
        <v>2.9011353928026427E-2</v>
      </c>
      <c r="K19" s="4">
        <f>TRAVI!O19</f>
        <v>3.0461921624427749E-2</v>
      </c>
    </row>
    <row r="22" spans="1:41" x14ac:dyDescent="0.25">
      <c r="B22" s="81" t="s">
        <v>52</v>
      </c>
      <c r="C22" s="81"/>
      <c r="D22" s="81" t="s">
        <v>53</v>
      </c>
      <c r="E22" s="81"/>
      <c r="F22" s="81" t="s">
        <v>54</v>
      </c>
      <c r="G22" s="81"/>
      <c r="H22" s="81" t="s">
        <v>55</v>
      </c>
      <c r="I22" s="81"/>
      <c r="J22" s="81" t="s">
        <v>56</v>
      </c>
      <c r="K22" s="81"/>
      <c r="L22" s="81" t="s">
        <v>57</v>
      </c>
      <c r="M22" s="81"/>
      <c r="N22" s="81" t="s">
        <v>58</v>
      </c>
      <c r="O22" s="81"/>
      <c r="P22" s="81" t="s">
        <v>59</v>
      </c>
      <c r="Q22" s="81"/>
      <c r="R22" s="81" t="s">
        <v>60</v>
      </c>
      <c r="S22" s="81"/>
    </row>
    <row r="23" spans="1:41" x14ac:dyDescent="0.25">
      <c r="B23" s="15" t="s">
        <v>40</v>
      </c>
      <c r="C23" s="15" t="s">
        <v>41</v>
      </c>
      <c r="D23" s="15" t="s">
        <v>40</v>
      </c>
      <c r="E23" s="4" t="s">
        <v>41</v>
      </c>
      <c r="F23" s="4" t="s">
        <v>40</v>
      </c>
      <c r="G23" s="4" t="s">
        <v>41</v>
      </c>
      <c r="H23" s="4" t="s">
        <v>40</v>
      </c>
      <c r="I23" s="4" t="s">
        <v>41</v>
      </c>
      <c r="J23" s="4" t="s">
        <v>40</v>
      </c>
      <c r="K23" s="4" t="s">
        <v>41</v>
      </c>
      <c r="L23" s="4" t="s">
        <v>40</v>
      </c>
      <c r="M23" s="4" t="s">
        <v>41</v>
      </c>
      <c r="N23" s="4" t="s">
        <v>40</v>
      </c>
      <c r="O23" s="4" t="s">
        <v>41</v>
      </c>
      <c r="P23" s="4" t="s">
        <v>40</v>
      </c>
      <c r="Q23" s="4" t="s">
        <v>41</v>
      </c>
      <c r="R23" s="4" t="s">
        <v>40</v>
      </c>
      <c r="S23" s="4" t="s">
        <v>41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</row>
    <row r="24" spans="1:41" x14ac:dyDescent="0.25">
      <c r="A24" s="12" t="s">
        <v>50</v>
      </c>
      <c r="B24" s="4">
        <v>-26.037000000000003</v>
      </c>
      <c r="C24" s="4">
        <v>-2.9946814542686565E-2</v>
      </c>
      <c r="D24" s="4">
        <v>-38.4</v>
      </c>
      <c r="E24" s="4">
        <v>-2.5792145419965114E-2</v>
      </c>
      <c r="F24" s="4">
        <v>-33.54</v>
      </c>
      <c r="G24" s="4">
        <v>-2.6937925947069046E-2</v>
      </c>
      <c r="H24" s="4">
        <v>-56.58</v>
      </c>
      <c r="I24" s="4">
        <v>-2.3124011278464213E-2</v>
      </c>
      <c r="J24" s="4">
        <v>-50.73</v>
      </c>
      <c r="K24" s="4">
        <v>-2.3375618082358926E-2</v>
      </c>
      <c r="L24" s="4">
        <v>-50.64</v>
      </c>
      <c r="M24" s="4">
        <v>-2.1096252576839353E-2</v>
      </c>
      <c r="N24" s="4">
        <v>-56.37</v>
      </c>
      <c r="O24" s="4">
        <v>-1.9465029547213061E-2</v>
      </c>
      <c r="P24" s="4">
        <v>-46.8</v>
      </c>
      <c r="Q24" s="4">
        <v>-2.2282434162356209E-2</v>
      </c>
      <c r="R24" s="4">
        <v>-62.009999999999991</v>
      </c>
      <c r="S24" s="4">
        <v>-1.799678291359998E-2</v>
      </c>
    </row>
    <row r="25" spans="1:41" x14ac:dyDescent="0.25">
      <c r="A25" s="24" t="s">
        <v>49</v>
      </c>
      <c r="B25" s="4">
        <v>-26.037000000000003</v>
      </c>
      <c r="C25" s="4">
        <v>-2.8520775754939585E-2</v>
      </c>
      <c r="D25" s="4">
        <v>-38.4</v>
      </c>
      <c r="E25" s="4">
        <v>-2.4563948019014393E-2</v>
      </c>
      <c r="F25" s="4">
        <v>-33.54</v>
      </c>
      <c r="G25" s="4">
        <v>-2.5655167568637186E-2</v>
      </c>
      <c r="H25" s="4">
        <v>-56.58</v>
      </c>
      <c r="I25" s="4">
        <v>-2.2022867884251632E-2</v>
      </c>
      <c r="J25" s="4">
        <v>-50.73</v>
      </c>
      <c r="K25" s="4">
        <v>-2.2262493411770407E-2</v>
      </c>
      <c r="L25" s="4">
        <v>-50.64</v>
      </c>
      <c r="M25" s="4">
        <v>-2.0091669120799384E-2</v>
      </c>
      <c r="N25" s="4">
        <v>-56.37</v>
      </c>
      <c r="O25" s="4">
        <v>-1.8538123378298153E-2</v>
      </c>
      <c r="P25" s="4">
        <v>-46.8</v>
      </c>
      <c r="Q25" s="4">
        <v>-2.1221365868910675E-2</v>
      </c>
      <c r="R25" s="4">
        <v>-62.009999999999991</v>
      </c>
      <c r="S25" s="4">
        <v>-1.71397932510476E-2</v>
      </c>
    </row>
    <row r="26" spans="1:41" x14ac:dyDescent="0.25">
      <c r="A26" s="9" t="s">
        <v>48</v>
      </c>
      <c r="B26" s="4">
        <v>-86.79</v>
      </c>
      <c r="C26" s="4">
        <v>-2.8520775754939585E-2</v>
      </c>
      <c r="D26" s="4">
        <v>-128</v>
      </c>
      <c r="E26" s="4">
        <v>-2.4563948019014393E-2</v>
      </c>
      <c r="F26" s="4">
        <v>-111.8</v>
      </c>
      <c r="G26" s="4">
        <v>-2.5655167568637186E-2</v>
      </c>
      <c r="H26" s="4">
        <v>-188.6</v>
      </c>
      <c r="I26" s="4">
        <v>-2.2022867884251632E-2</v>
      </c>
      <c r="J26" s="4">
        <v>-169.1</v>
      </c>
      <c r="K26" s="4">
        <v>-2.2262493411770407E-2</v>
      </c>
      <c r="L26" s="4">
        <v>-168.8</v>
      </c>
      <c r="M26" s="4">
        <v>-2.0091669120799384E-2</v>
      </c>
      <c r="N26" s="4">
        <v>-187.9</v>
      </c>
      <c r="O26" s="4">
        <v>-1.8538123378298153E-2</v>
      </c>
      <c r="P26" s="4">
        <v>-156</v>
      </c>
      <c r="Q26" s="4">
        <v>-2.1221365868910675E-2</v>
      </c>
      <c r="R26" s="4">
        <v>-206.7</v>
      </c>
      <c r="S26" s="4">
        <v>-1.71397932510476E-2</v>
      </c>
    </row>
    <row r="27" spans="1:41" x14ac:dyDescent="0.25">
      <c r="A27" s="10" t="s">
        <v>47</v>
      </c>
      <c r="B27" s="4">
        <v>-83.06</v>
      </c>
      <c r="C27" s="4">
        <v>-6.0345415723128612E-3</v>
      </c>
      <c r="D27" s="4">
        <v>-122.8</v>
      </c>
      <c r="E27" s="4">
        <v>-6.294427568430328E-3</v>
      </c>
      <c r="F27" s="4">
        <v>-107.1</v>
      </c>
      <c r="G27" s="4">
        <v>-6.2164617695950877E-3</v>
      </c>
      <c r="H27" s="4">
        <v>-181.2</v>
      </c>
      <c r="I27" s="4">
        <v>-6.5470945091000883E-3</v>
      </c>
      <c r="J27" s="4">
        <v>-162.19999999999999</v>
      </c>
      <c r="K27" s="4">
        <v>-6.4965611209661361E-3</v>
      </c>
      <c r="L27" s="4">
        <v>-161.1</v>
      </c>
      <c r="M27" s="4">
        <v>-6.6091783859503709E-3</v>
      </c>
      <c r="N27" s="4">
        <v>-178.9</v>
      </c>
      <c r="O27" s="4">
        <v>-6.7376775729195634E-3</v>
      </c>
      <c r="P27" s="4">
        <v>-149</v>
      </c>
      <c r="Q27" s="4">
        <v>-6.5211059094883415E-3</v>
      </c>
      <c r="R27" s="4">
        <v>-196.6</v>
      </c>
      <c r="S27" s="4">
        <v>-6.8661767598887568E-3</v>
      </c>
    </row>
    <row r="28" spans="1:41" x14ac:dyDescent="0.25">
      <c r="A28" s="25" t="s">
        <v>46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</row>
    <row r="29" spans="1:41" x14ac:dyDescent="0.25">
      <c r="A29" s="10" t="s">
        <v>45</v>
      </c>
      <c r="B29" s="4">
        <v>83.06</v>
      </c>
      <c r="C29" s="4">
        <v>6.0345415723128612E-3</v>
      </c>
      <c r="D29" s="4">
        <v>101.1</v>
      </c>
      <c r="E29" s="4">
        <v>6.103844504610852E-3</v>
      </c>
      <c r="F29" s="4">
        <v>83.18</v>
      </c>
      <c r="G29" s="4">
        <v>5.9984462950743236E-3</v>
      </c>
      <c r="H29" s="4">
        <v>163.1</v>
      </c>
      <c r="I29" s="4">
        <v>6.3998257779668563E-3</v>
      </c>
      <c r="J29" s="4">
        <v>131.9</v>
      </c>
      <c r="K29" s="4">
        <v>6.2424503692068353E-3</v>
      </c>
      <c r="L29" s="4">
        <v>83.36</v>
      </c>
      <c r="M29" s="4">
        <v>5.9291433627763328E-3</v>
      </c>
      <c r="N29" s="4">
        <v>83.41</v>
      </c>
      <c r="O29" s="4">
        <v>5.9089300075227521E-3</v>
      </c>
      <c r="P29" s="4">
        <v>83.33</v>
      </c>
      <c r="Q29" s="4">
        <v>5.9435814736717475E-3</v>
      </c>
      <c r="R29" s="4">
        <v>83.44</v>
      </c>
      <c r="S29" s="4">
        <v>5.8887166522691714E-3</v>
      </c>
    </row>
    <row r="30" spans="1:41" x14ac:dyDescent="0.25">
      <c r="A30" s="9" t="s">
        <v>44</v>
      </c>
      <c r="B30" s="4">
        <v>86.79</v>
      </c>
      <c r="C30" s="4">
        <v>2.8520775754939585E-2</v>
      </c>
      <c r="D30" s="4">
        <v>105.1</v>
      </c>
      <c r="E30" s="4">
        <v>2.7137644348496515E-2</v>
      </c>
      <c r="F30" s="4">
        <v>86.79</v>
      </c>
      <c r="G30" s="4">
        <v>2.8689044629591182E-2</v>
      </c>
      <c r="H30" s="4">
        <v>169.2</v>
      </c>
      <c r="I30" s="4">
        <v>2.3748134784107713E-2</v>
      </c>
      <c r="J30" s="4">
        <v>136.80000000000001</v>
      </c>
      <c r="K30" s="4">
        <v>2.540390280227791E-2</v>
      </c>
      <c r="L30" s="4">
        <v>86.78</v>
      </c>
      <c r="M30" s="4">
        <v>2.8918181679170533E-2</v>
      </c>
      <c r="N30" s="4">
        <v>86.77</v>
      </c>
      <c r="O30" s="4">
        <v>2.8968142056103929E-2</v>
      </c>
      <c r="P30" s="4">
        <v>86.78</v>
      </c>
      <c r="Q30" s="4">
        <v>2.8873819046346949E-2</v>
      </c>
      <c r="R30" s="4">
        <v>86.77</v>
      </c>
      <c r="S30" s="4">
        <v>2.9011353928026427E-2</v>
      </c>
    </row>
    <row r="31" spans="1:41" x14ac:dyDescent="0.25">
      <c r="A31" s="24" t="s">
        <v>43</v>
      </c>
      <c r="B31" s="4">
        <v>26.037000000000003</v>
      </c>
      <c r="C31" s="4">
        <v>2.8520775754939585E-2</v>
      </c>
      <c r="D31" s="4">
        <v>31.529999999999998</v>
      </c>
      <c r="E31" s="4">
        <v>2.7137644348496515E-2</v>
      </c>
      <c r="F31" s="4">
        <v>26.037000000000003</v>
      </c>
      <c r="G31" s="4">
        <v>2.8689044629591182E-2</v>
      </c>
      <c r="H31" s="4">
        <v>50.76</v>
      </c>
      <c r="I31" s="4">
        <v>2.3748134784107713E-2</v>
      </c>
      <c r="J31" s="4">
        <v>41.04</v>
      </c>
      <c r="K31" s="4">
        <v>2.540390280227791E-2</v>
      </c>
      <c r="L31" s="4">
        <v>26.033999999999999</v>
      </c>
      <c r="M31" s="4">
        <v>2.8918181679170533E-2</v>
      </c>
      <c r="N31" s="4">
        <v>26.030999999999999</v>
      </c>
      <c r="O31" s="4">
        <v>2.8968142056103929E-2</v>
      </c>
      <c r="P31" s="4">
        <v>26.033999999999999</v>
      </c>
      <c r="Q31" s="4">
        <v>2.8873819046346949E-2</v>
      </c>
      <c r="R31" s="4">
        <v>26.030999999999999</v>
      </c>
      <c r="S31" s="4">
        <v>2.9011353928026427E-2</v>
      </c>
    </row>
    <row r="32" spans="1:41" x14ac:dyDescent="0.25">
      <c r="A32" s="12" t="s">
        <v>42</v>
      </c>
      <c r="B32" s="4">
        <v>26.037000000000003</v>
      </c>
      <c r="C32" s="4">
        <v>2.9946814542686565E-2</v>
      </c>
      <c r="D32" s="4">
        <v>31.529999999999998</v>
      </c>
      <c r="E32" s="4">
        <v>2.849452656592134E-2</v>
      </c>
      <c r="F32" s="4">
        <v>26.037000000000003</v>
      </c>
      <c r="G32" s="4">
        <v>3.0123496861070742E-2</v>
      </c>
      <c r="H32" s="4">
        <v>50.76</v>
      </c>
      <c r="I32" s="4">
        <v>2.49355415233131E-2</v>
      </c>
      <c r="J32" s="4">
        <v>41.04</v>
      </c>
      <c r="K32" s="4">
        <v>2.6674097942391804E-2</v>
      </c>
      <c r="L32" s="4">
        <v>26.033999999999999</v>
      </c>
      <c r="M32" s="4">
        <v>3.036409076312906E-2</v>
      </c>
      <c r="N32" s="4">
        <v>26.030999999999999</v>
      </c>
      <c r="O32" s="4">
        <v>3.0416549158909126E-2</v>
      </c>
      <c r="P32" s="4">
        <v>26.033999999999999</v>
      </c>
      <c r="Q32" s="4">
        <v>3.0317509998664297E-2</v>
      </c>
      <c r="R32" s="4">
        <v>26.030999999999999</v>
      </c>
      <c r="S32" s="4">
        <v>3.0461921624427749E-2</v>
      </c>
    </row>
    <row r="35" spans="1:10" x14ac:dyDescent="0.25">
      <c r="A35" t="s">
        <v>40</v>
      </c>
      <c r="B35">
        <v>-26.037000000000003</v>
      </c>
      <c r="C35">
        <v>-26.037000000000003</v>
      </c>
      <c r="D35">
        <v>-86.79</v>
      </c>
      <c r="E35">
        <v>-83.06</v>
      </c>
      <c r="F35">
        <v>0</v>
      </c>
      <c r="G35">
        <v>83.06</v>
      </c>
      <c r="H35">
        <v>86.79</v>
      </c>
      <c r="I35">
        <v>26.037000000000003</v>
      </c>
      <c r="J35">
        <v>26.037000000000003</v>
      </c>
    </row>
    <row r="36" spans="1:10" x14ac:dyDescent="0.25">
      <c r="A36" t="s">
        <v>41</v>
      </c>
      <c r="B36">
        <v>-2.9946814542686565E-2</v>
      </c>
      <c r="C36">
        <v>-2.8520775754939585E-2</v>
      </c>
      <c r="D36">
        <v>-2.8520775754939585E-2</v>
      </c>
      <c r="E36">
        <v>-6.0345415723128612E-3</v>
      </c>
      <c r="F36">
        <v>0</v>
      </c>
      <c r="G36">
        <v>6.0345415723128612E-3</v>
      </c>
      <c r="H36">
        <v>2.8520775754939585E-2</v>
      </c>
      <c r="I36">
        <v>2.8520775754939585E-2</v>
      </c>
      <c r="J36">
        <v>2.9946814542686565E-2</v>
      </c>
    </row>
    <row r="37" spans="1:10" x14ac:dyDescent="0.25">
      <c r="A37" t="s">
        <v>40</v>
      </c>
      <c r="B37">
        <v>-38.4</v>
      </c>
      <c r="C37">
        <v>-38.4</v>
      </c>
      <c r="D37">
        <v>-128</v>
      </c>
      <c r="E37">
        <v>-122.8</v>
      </c>
      <c r="F37">
        <v>0</v>
      </c>
      <c r="G37">
        <v>101.1</v>
      </c>
      <c r="H37">
        <v>105.1</v>
      </c>
      <c r="I37">
        <v>31.529999999999998</v>
      </c>
      <c r="J37">
        <v>31.529999999999998</v>
      </c>
    </row>
    <row r="38" spans="1:10" x14ac:dyDescent="0.25">
      <c r="A38" t="s">
        <v>41</v>
      </c>
      <c r="B38">
        <v>-2.5792145419965114E-2</v>
      </c>
      <c r="C38">
        <v>-2.4563948019014393E-2</v>
      </c>
      <c r="D38">
        <v>-2.4563948019014393E-2</v>
      </c>
      <c r="E38">
        <v>-6.294427568430328E-3</v>
      </c>
      <c r="F38">
        <v>0</v>
      </c>
      <c r="G38">
        <v>6.103844504610852E-3</v>
      </c>
      <c r="H38">
        <v>2.7137644348496515E-2</v>
      </c>
      <c r="I38">
        <v>2.7137644348496515E-2</v>
      </c>
      <c r="J38">
        <v>2.849452656592134E-2</v>
      </c>
    </row>
    <row r="39" spans="1:10" x14ac:dyDescent="0.25">
      <c r="A39" t="s">
        <v>40</v>
      </c>
      <c r="B39">
        <v>-33.54</v>
      </c>
      <c r="C39">
        <v>-33.54</v>
      </c>
      <c r="D39">
        <v>-111.8</v>
      </c>
      <c r="E39">
        <v>-107.1</v>
      </c>
      <c r="F39">
        <v>0</v>
      </c>
      <c r="G39">
        <v>83.18</v>
      </c>
      <c r="H39">
        <v>86.79</v>
      </c>
      <c r="I39">
        <v>26.037000000000003</v>
      </c>
      <c r="J39">
        <v>26.037000000000003</v>
      </c>
    </row>
    <row r="40" spans="1:10" x14ac:dyDescent="0.25">
      <c r="A40" t="s">
        <v>41</v>
      </c>
      <c r="B40">
        <v>-2.6937925947069046E-2</v>
      </c>
      <c r="C40">
        <v>-2.5655167568637186E-2</v>
      </c>
      <c r="D40">
        <v>-2.5655167568637186E-2</v>
      </c>
      <c r="E40">
        <v>-6.2164617695950877E-3</v>
      </c>
      <c r="F40">
        <v>0</v>
      </c>
      <c r="G40">
        <v>5.9984462950743236E-3</v>
      </c>
      <c r="H40">
        <v>2.8689044629591182E-2</v>
      </c>
      <c r="I40">
        <v>2.8689044629591182E-2</v>
      </c>
      <c r="J40">
        <v>3.0123496861070742E-2</v>
      </c>
    </row>
    <row r="41" spans="1:10" x14ac:dyDescent="0.25">
      <c r="A41" t="s">
        <v>40</v>
      </c>
      <c r="B41">
        <v>-56.58</v>
      </c>
      <c r="C41">
        <v>-56.58</v>
      </c>
      <c r="D41">
        <v>-188.6</v>
      </c>
      <c r="E41">
        <v>-181.2</v>
      </c>
      <c r="F41">
        <v>0</v>
      </c>
      <c r="G41">
        <v>163.1</v>
      </c>
      <c r="H41">
        <v>169.2</v>
      </c>
      <c r="I41">
        <v>50.76</v>
      </c>
      <c r="J41">
        <v>50.76</v>
      </c>
    </row>
    <row r="42" spans="1:10" x14ac:dyDescent="0.25">
      <c r="A42" t="s">
        <v>41</v>
      </c>
      <c r="B42">
        <v>-2.3124011278464213E-2</v>
      </c>
      <c r="C42">
        <v>-2.2022867884251632E-2</v>
      </c>
      <c r="D42">
        <v>-2.2022867884251632E-2</v>
      </c>
      <c r="E42">
        <v>-6.5470945091000883E-3</v>
      </c>
      <c r="F42">
        <v>0</v>
      </c>
      <c r="G42">
        <v>6.3998257779668563E-3</v>
      </c>
      <c r="H42">
        <v>2.3748134784107713E-2</v>
      </c>
      <c r="I42">
        <v>2.3748134784107713E-2</v>
      </c>
      <c r="J42">
        <v>2.49355415233131E-2</v>
      </c>
    </row>
    <row r="43" spans="1:10" x14ac:dyDescent="0.25">
      <c r="A43" t="s">
        <v>40</v>
      </c>
      <c r="B43">
        <v>-50.73</v>
      </c>
      <c r="C43">
        <v>-50.73</v>
      </c>
      <c r="D43">
        <v>-169.1</v>
      </c>
      <c r="E43">
        <v>-162.19999999999999</v>
      </c>
      <c r="F43">
        <v>0</v>
      </c>
      <c r="G43">
        <v>131.9</v>
      </c>
      <c r="H43">
        <v>136.80000000000001</v>
      </c>
      <c r="I43">
        <v>41.04</v>
      </c>
      <c r="J43">
        <v>41.04</v>
      </c>
    </row>
    <row r="44" spans="1:10" x14ac:dyDescent="0.25">
      <c r="A44" t="s">
        <v>41</v>
      </c>
      <c r="B44">
        <v>-2.3375618082358926E-2</v>
      </c>
      <c r="C44">
        <v>-2.2262493411770407E-2</v>
      </c>
      <c r="D44">
        <v>-2.2262493411770407E-2</v>
      </c>
      <c r="E44">
        <v>-6.4965611209661361E-3</v>
      </c>
      <c r="F44">
        <v>0</v>
      </c>
      <c r="G44">
        <v>6.2424503692068353E-3</v>
      </c>
      <c r="H44">
        <v>2.540390280227791E-2</v>
      </c>
      <c r="I44">
        <v>2.540390280227791E-2</v>
      </c>
      <c r="J44">
        <v>2.6674097942391804E-2</v>
      </c>
    </row>
    <row r="45" spans="1:10" x14ac:dyDescent="0.25">
      <c r="A45" t="s">
        <v>40</v>
      </c>
      <c r="B45">
        <v>-50.64</v>
      </c>
      <c r="C45">
        <v>-50.64</v>
      </c>
      <c r="D45">
        <v>-168.8</v>
      </c>
      <c r="E45">
        <v>-161.1</v>
      </c>
      <c r="F45">
        <v>0</v>
      </c>
      <c r="G45">
        <v>83.36</v>
      </c>
      <c r="H45">
        <v>86.78</v>
      </c>
      <c r="I45">
        <v>26.033999999999999</v>
      </c>
      <c r="J45">
        <v>26.033999999999999</v>
      </c>
    </row>
    <row r="46" spans="1:10" x14ac:dyDescent="0.25">
      <c r="A46" t="s">
        <v>41</v>
      </c>
      <c r="B46">
        <v>-2.1096252576839353E-2</v>
      </c>
      <c r="C46">
        <v>-2.0091669120799384E-2</v>
      </c>
      <c r="D46">
        <v>-2.0091669120799384E-2</v>
      </c>
      <c r="E46">
        <v>-6.6091783859503709E-3</v>
      </c>
      <c r="F46">
        <v>0</v>
      </c>
      <c r="G46">
        <v>5.9291433627763328E-3</v>
      </c>
      <c r="H46">
        <v>2.8918181679170533E-2</v>
      </c>
      <c r="I46">
        <v>2.8918181679170533E-2</v>
      </c>
      <c r="J46">
        <v>3.036409076312906E-2</v>
      </c>
    </row>
    <row r="47" spans="1:10" x14ac:dyDescent="0.25">
      <c r="A47" t="s">
        <v>40</v>
      </c>
      <c r="B47">
        <v>-56.37</v>
      </c>
      <c r="C47">
        <v>-56.37</v>
      </c>
      <c r="D47">
        <v>-187.9</v>
      </c>
      <c r="E47">
        <v>-178.9</v>
      </c>
      <c r="F47">
        <v>0</v>
      </c>
      <c r="G47">
        <v>83.41</v>
      </c>
      <c r="H47">
        <v>86.77</v>
      </c>
      <c r="I47">
        <v>26.030999999999999</v>
      </c>
      <c r="J47">
        <v>26.030999999999999</v>
      </c>
    </row>
    <row r="48" spans="1:10" x14ac:dyDescent="0.25">
      <c r="A48" t="s">
        <v>41</v>
      </c>
      <c r="B48">
        <v>-1.9465029547213061E-2</v>
      </c>
      <c r="C48">
        <v>-1.8538123378298153E-2</v>
      </c>
      <c r="D48">
        <v>-1.8538123378298153E-2</v>
      </c>
      <c r="E48">
        <v>-6.7376775729195634E-3</v>
      </c>
      <c r="F48">
        <v>0</v>
      </c>
      <c r="G48">
        <v>5.9089300075227521E-3</v>
      </c>
      <c r="H48">
        <v>2.8968142056103929E-2</v>
      </c>
      <c r="I48">
        <v>2.8968142056103929E-2</v>
      </c>
      <c r="J48">
        <v>3.0416549158909126E-2</v>
      </c>
    </row>
    <row r="49" spans="1:10" x14ac:dyDescent="0.25">
      <c r="A49" t="s">
        <v>40</v>
      </c>
      <c r="B49">
        <v>-46.8</v>
      </c>
      <c r="C49">
        <v>-46.8</v>
      </c>
      <c r="D49">
        <v>-156</v>
      </c>
      <c r="E49">
        <v>-149</v>
      </c>
      <c r="F49">
        <v>0</v>
      </c>
      <c r="G49">
        <v>83.33</v>
      </c>
      <c r="H49">
        <v>86.78</v>
      </c>
      <c r="I49">
        <v>26.033999999999999</v>
      </c>
      <c r="J49">
        <v>26.033999999999999</v>
      </c>
    </row>
    <row r="50" spans="1:10" x14ac:dyDescent="0.25">
      <c r="A50" t="s">
        <v>41</v>
      </c>
      <c r="B50">
        <v>-2.2282434162356209E-2</v>
      </c>
      <c r="C50">
        <v>-2.1221365868910675E-2</v>
      </c>
      <c r="D50">
        <v>-2.1221365868910675E-2</v>
      </c>
      <c r="E50">
        <v>-6.5211059094883415E-3</v>
      </c>
      <c r="F50">
        <v>0</v>
      </c>
      <c r="G50">
        <v>5.9435814736717475E-3</v>
      </c>
      <c r="H50">
        <v>2.8873819046346949E-2</v>
      </c>
      <c r="I50">
        <v>2.8873819046346949E-2</v>
      </c>
      <c r="J50">
        <v>3.0317509998664297E-2</v>
      </c>
    </row>
    <row r="51" spans="1:10" x14ac:dyDescent="0.25">
      <c r="A51" t="s">
        <v>40</v>
      </c>
      <c r="B51">
        <v>-62.009999999999991</v>
      </c>
      <c r="C51">
        <v>-62.009999999999991</v>
      </c>
      <c r="D51">
        <v>-206.7</v>
      </c>
      <c r="E51">
        <v>-196.6</v>
      </c>
      <c r="F51">
        <v>0</v>
      </c>
      <c r="G51">
        <v>83.44</v>
      </c>
      <c r="H51">
        <v>86.77</v>
      </c>
      <c r="I51">
        <v>26.030999999999999</v>
      </c>
      <c r="J51">
        <v>26.030999999999999</v>
      </c>
    </row>
    <row r="52" spans="1:10" x14ac:dyDescent="0.25">
      <c r="A52" t="s">
        <v>41</v>
      </c>
      <c r="B52">
        <v>-1.799678291359998E-2</v>
      </c>
      <c r="C52">
        <v>-1.71397932510476E-2</v>
      </c>
      <c r="D52">
        <v>-1.71397932510476E-2</v>
      </c>
      <c r="E52">
        <v>-6.8661767598887568E-3</v>
      </c>
      <c r="F52">
        <v>0</v>
      </c>
      <c r="G52">
        <v>5.8887166522691714E-3</v>
      </c>
      <c r="H52">
        <v>2.9011353928026427E-2</v>
      </c>
      <c r="I52">
        <v>2.9011353928026427E-2</v>
      </c>
      <c r="J52">
        <v>3.0461921624427749E-2</v>
      </c>
    </row>
  </sheetData>
  <mergeCells count="18">
    <mergeCell ref="B22:C22"/>
    <mergeCell ref="D22:E22"/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R22:S22"/>
    <mergeCell ref="F22:G22"/>
    <mergeCell ref="H22:I22"/>
    <mergeCell ref="J22:K22"/>
    <mergeCell ref="L22:M22"/>
    <mergeCell ref="N22:O22"/>
    <mergeCell ref="P22:Q22"/>
  </mergeCells>
  <phoneticPr fontId="7" type="noConversion"/>
  <pageMargins left="0.25" right="0.25" top="0.75" bottom="0.75" header="0.3" footer="0.3"/>
  <pageSetup paperSize="9" scale="3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2490E-0892-4F94-AD11-83D3DFC8C9E6}">
  <sheetPr>
    <pageSetUpPr fitToPage="1"/>
  </sheetPr>
  <dimension ref="A1:J19"/>
  <sheetViews>
    <sheetView workbookViewId="0">
      <pane ySplit="2" topLeftCell="A3" activePane="bottomLeft" state="frozen"/>
      <selection pane="bottomLeft" activeCell="K19" sqref="K19"/>
    </sheetView>
  </sheetViews>
  <sheetFormatPr defaultRowHeight="15" x14ac:dyDescent="0.25"/>
  <cols>
    <col min="1" max="1" width="9.28515625" style="1" bestFit="1" customWidth="1"/>
    <col min="2" max="2" width="11" style="1" bestFit="1" customWidth="1"/>
    <col min="3" max="3" width="12.5703125" customWidth="1"/>
    <col min="5" max="5" width="10.85546875" customWidth="1"/>
    <col min="6" max="6" width="11.42578125" customWidth="1"/>
    <col min="9" max="9" width="10.5703125" customWidth="1"/>
    <col min="10" max="10" width="11.7109375" customWidth="1"/>
  </cols>
  <sheetData>
    <row r="1" spans="1:10" ht="18" x14ac:dyDescent="0.35">
      <c r="A1" s="2" t="s">
        <v>0</v>
      </c>
      <c r="B1" s="2" t="s">
        <v>5</v>
      </c>
      <c r="C1" s="6" t="s">
        <v>19</v>
      </c>
      <c r="D1" s="6" t="s">
        <v>20</v>
      </c>
      <c r="E1" s="6" t="s">
        <v>13</v>
      </c>
      <c r="F1" s="6" t="s">
        <v>14</v>
      </c>
      <c r="G1" s="6" t="s">
        <v>17</v>
      </c>
      <c r="H1" s="6" t="s">
        <v>18</v>
      </c>
      <c r="I1" s="6" t="s">
        <v>15</v>
      </c>
      <c r="J1" s="6" t="s">
        <v>16</v>
      </c>
    </row>
    <row r="2" spans="1:10" ht="17.25" x14ac:dyDescent="0.25">
      <c r="A2" s="3" t="s">
        <v>1</v>
      </c>
      <c r="B2" s="3" t="s">
        <v>4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  <c r="J2" s="3" t="s">
        <v>11</v>
      </c>
    </row>
    <row r="3" spans="1:10" x14ac:dyDescent="0.25">
      <c r="A3" s="9">
        <v>1</v>
      </c>
      <c r="B3" s="5">
        <v>500</v>
      </c>
      <c r="C3" s="5">
        <v>2.8290000000000002</v>
      </c>
      <c r="D3" s="5">
        <v>39.130000000000003</v>
      </c>
      <c r="E3" s="8">
        <f>C3/(B3*1000)</f>
        <v>5.6580000000000007E-6</v>
      </c>
      <c r="F3" s="8">
        <f>D3/(B3*1000)</f>
        <v>7.8259999999999999E-5</v>
      </c>
      <c r="G3" s="1">
        <f>2.829</f>
        <v>2.8290000000000002</v>
      </c>
      <c r="H3" s="5">
        <v>39.130000000000003</v>
      </c>
      <c r="I3" s="7">
        <f>G3/(B3*1000)</f>
        <v>5.6580000000000007E-6</v>
      </c>
      <c r="J3" s="7">
        <f>H3/(B3*1000)</f>
        <v>7.8259999999999999E-5</v>
      </c>
    </row>
    <row r="4" spans="1:10" x14ac:dyDescent="0.25">
      <c r="A4" s="9">
        <v>2</v>
      </c>
      <c r="B4" s="5">
        <v>500</v>
      </c>
      <c r="C4" s="5">
        <v>2.8769999999999998</v>
      </c>
      <c r="D4" s="5">
        <v>37.06</v>
      </c>
      <c r="E4" s="8">
        <f t="shared" ref="E4:E19" si="0">C4/(B4*1000)</f>
        <v>5.7539999999999995E-6</v>
      </c>
      <c r="F4" s="8">
        <f t="shared" ref="F4:F19" si="1">D4/(B4*1000)</f>
        <v>7.4120000000000002E-5</v>
      </c>
      <c r="G4" s="5">
        <v>3.0089999999999999</v>
      </c>
      <c r="H4" s="5">
        <v>33.19</v>
      </c>
      <c r="I4" s="7">
        <f t="shared" ref="I4:I19" si="2">G4/(B4*1000)</f>
        <v>6.0179999999999998E-6</v>
      </c>
      <c r="J4" s="7">
        <f t="shared" ref="J4:J19" si="3">H4/(B4*1000)</f>
        <v>6.6379999999999998E-5</v>
      </c>
    </row>
    <row r="5" spans="1:10" x14ac:dyDescent="0.25">
      <c r="A5" s="9">
        <v>3</v>
      </c>
      <c r="B5" s="5">
        <v>500</v>
      </c>
      <c r="C5" s="5">
        <v>2.8039999999999998</v>
      </c>
      <c r="D5" s="5">
        <v>39.39</v>
      </c>
      <c r="E5" s="8">
        <f t="shared" si="0"/>
        <v>5.6079999999999995E-6</v>
      </c>
      <c r="F5" s="8">
        <f t="shared" si="1"/>
        <v>7.8780000000000001E-5</v>
      </c>
      <c r="G5" s="5">
        <v>2.9550000000000001</v>
      </c>
      <c r="H5" s="5">
        <v>34.83</v>
      </c>
      <c r="I5" s="7">
        <f t="shared" si="2"/>
        <v>5.9100000000000002E-6</v>
      </c>
      <c r="J5" s="7">
        <f t="shared" si="3"/>
        <v>6.9659999999999994E-5</v>
      </c>
    </row>
    <row r="6" spans="1:10" x14ac:dyDescent="0.25">
      <c r="A6" s="9">
        <v>4</v>
      </c>
      <c r="B6" s="5">
        <v>500</v>
      </c>
      <c r="C6" s="5">
        <v>3.0819999999999999</v>
      </c>
      <c r="D6" s="5">
        <v>31.95</v>
      </c>
      <c r="E6" s="8">
        <f t="shared" si="0"/>
        <v>6.1639999999999998E-6</v>
      </c>
      <c r="F6" s="8">
        <f t="shared" si="1"/>
        <v>6.3899999999999995E-5</v>
      </c>
      <c r="G6" s="5">
        <v>3.1840000000000002</v>
      </c>
      <c r="H6" s="5">
        <v>29.35</v>
      </c>
      <c r="I6" s="7">
        <f t="shared" si="2"/>
        <v>6.3680000000000007E-6</v>
      </c>
      <c r="J6" s="7">
        <f t="shared" si="3"/>
        <v>5.8700000000000004E-5</v>
      </c>
    </row>
    <row r="7" spans="1:10" x14ac:dyDescent="0.25">
      <c r="A7" s="9">
        <v>5</v>
      </c>
      <c r="B7" s="5">
        <v>500</v>
      </c>
      <c r="C7" s="5">
        <v>2.9729999999999999</v>
      </c>
      <c r="D7" s="5">
        <v>34.450000000000003</v>
      </c>
      <c r="E7" s="8">
        <f t="shared" si="0"/>
        <v>5.9459999999999995E-6</v>
      </c>
      <c r="F7" s="8">
        <f t="shared" si="1"/>
        <v>6.8900000000000008E-5</v>
      </c>
      <c r="G7" s="5">
        <v>3.149</v>
      </c>
      <c r="H7" s="5">
        <v>29.72</v>
      </c>
      <c r="I7" s="7">
        <f t="shared" si="2"/>
        <v>6.2979999999999997E-6</v>
      </c>
      <c r="J7" s="7">
        <f t="shared" si="3"/>
        <v>5.944E-5</v>
      </c>
    </row>
    <row r="8" spans="1:10" x14ac:dyDescent="0.25">
      <c r="A8" s="4">
        <v>6</v>
      </c>
      <c r="B8" s="5">
        <v>500</v>
      </c>
      <c r="C8" s="5"/>
      <c r="D8" s="5"/>
      <c r="E8" s="8">
        <f t="shared" si="0"/>
        <v>0</v>
      </c>
      <c r="F8" s="8">
        <f t="shared" si="1"/>
        <v>0</v>
      </c>
      <c r="G8" s="5"/>
      <c r="H8" s="5"/>
      <c r="I8" s="7">
        <f t="shared" si="2"/>
        <v>0</v>
      </c>
      <c r="J8" s="7">
        <f t="shared" si="3"/>
        <v>0</v>
      </c>
    </row>
    <row r="9" spans="1:10" x14ac:dyDescent="0.25">
      <c r="A9" s="4">
        <v>7</v>
      </c>
      <c r="B9" s="5">
        <v>500</v>
      </c>
      <c r="C9" s="5"/>
      <c r="D9" s="5"/>
      <c r="E9" s="8">
        <f t="shared" si="0"/>
        <v>0</v>
      </c>
      <c r="F9" s="8">
        <f t="shared" si="1"/>
        <v>0</v>
      </c>
      <c r="G9" s="5"/>
      <c r="H9" s="5"/>
      <c r="I9" s="7">
        <f t="shared" si="2"/>
        <v>0</v>
      </c>
      <c r="J9" s="7">
        <f t="shared" si="3"/>
        <v>0</v>
      </c>
    </row>
    <row r="10" spans="1:10" x14ac:dyDescent="0.25">
      <c r="A10" s="4">
        <v>8</v>
      </c>
      <c r="B10" s="5">
        <v>500</v>
      </c>
      <c r="C10" s="5"/>
      <c r="D10" s="5"/>
      <c r="E10" s="8">
        <f t="shared" si="0"/>
        <v>0</v>
      </c>
      <c r="F10" s="8">
        <f t="shared" si="1"/>
        <v>0</v>
      </c>
      <c r="G10" s="5"/>
      <c r="H10" s="5"/>
      <c r="I10" s="7">
        <f t="shared" si="2"/>
        <v>0</v>
      </c>
      <c r="J10" s="7">
        <f t="shared" si="3"/>
        <v>0</v>
      </c>
    </row>
    <row r="11" spans="1:10" x14ac:dyDescent="0.25">
      <c r="A11" s="4">
        <v>9</v>
      </c>
      <c r="B11" s="5">
        <v>500</v>
      </c>
      <c r="C11" s="5"/>
      <c r="D11" s="5"/>
      <c r="E11" s="8">
        <f t="shared" si="0"/>
        <v>0</v>
      </c>
      <c r="F11" s="8">
        <f t="shared" si="1"/>
        <v>0</v>
      </c>
      <c r="G11" s="5"/>
      <c r="H11" s="5"/>
      <c r="I11" s="7">
        <f t="shared" si="2"/>
        <v>0</v>
      </c>
      <c r="J11" s="7">
        <f t="shared" si="3"/>
        <v>0</v>
      </c>
    </row>
    <row r="12" spans="1:10" x14ac:dyDescent="0.25">
      <c r="A12" s="9">
        <v>10</v>
      </c>
      <c r="B12" s="5">
        <v>500</v>
      </c>
      <c r="C12" s="5">
        <v>2.7559999999999998</v>
      </c>
      <c r="D12" s="5">
        <v>39.75</v>
      </c>
      <c r="E12" s="8">
        <f t="shared" si="0"/>
        <v>5.5119999999999999E-6</v>
      </c>
      <c r="F12" s="8">
        <f t="shared" si="1"/>
        <v>7.9499999999999994E-5</v>
      </c>
      <c r="G12" s="5">
        <v>3.2269999999999999</v>
      </c>
      <c r="H12" s="5">
        <v>26.47</v>
      </c>
      <c r="I12" s="7">
        <f t="shared" si="2"/>
        <v>6.4539999999999995E-6</v>
      </c>
      <c r="J12" s="7">
        <f t="shared" si="3"/>
        <v>5.2939999999999998E-5</v>
      </c>
    </row>
    <row r="13" spans="1:10" x14ac:dyDescent="0.25">
      <c r="A13" s="4">
        <v>11</v>
      </c>
      <c r="B13" s="5">
        <v>500</v>
      </c>
      <c r="C13" s="5"/>
      <c r="D13" s="5"/>
      <c r="E13" s="8">
        <f t="shared" si="0"/>
        <v>0</v>
      </c>
      <c r="F13" s="8">
        <f t="shared" si="1"/>
        <v>0</v>
      </c>
      <c r="G13" s="5"/>
      <c r="H13" s="5"/>
      <c r="I13" s="7">
        <f t="shared" si="2"/>
        <v>0</v>
      </c>
      <c r="J13" s="7">
        <f t="shared" si="3"/>
        <v>0</v>
      </c>
    </row>
    <row r="14" spans="1:10" x14ac:dyDescent="0.25">
      <c r="A14" s="4">
        <v>12</v>
      </c>
      <c r="B14" s="5">
        <v>500</v>
      </c>
      <c r="C14" s="5"/>
      <c r="D14" s="5"/>
      <c r="E14" s="8">
        <f t="shared" si="0"/>
        <v>0</v>
      </c>
      <c r="F14" s="8">
        <f t="shared" si="1"/>
        <v>0</v>
      </c>
      <c r="G14" s="5"/>
      <c r="H14" s="5"/>
      <c r="I14" s="7">
        <f t="shared" si="2"/>
        <v>0</v>
      </c>
      <c r="J14" s="7">
        <f t="shared" si="3"/>
        <v>0</v>
      </c>
    </row>
    <row r="15" spans="1:10" x14ac:dyDescent="0.25">
      <c r="A15" s="9">
        <v>13</v>
      </c>
      <c r="B15" s="5">
        <v>500</v>
      </c>
      <c r="C15" s="5">
        <v>2.742</v>
      </c>
      <c r="D15" s="5">
        <v>39.83</v>
      </c>
      <c r="E15" s="8">
        <f t="shared" si="0"/>
        <v>5.4840000000000003E-6</v>
      </c>
      <c r="F15" s="8">
        <f t="shared" si="1"/>
        <v>7.9659999999999993E-5</v>
      </c>
      <c r="G15" s="5">
        <v>3.3159999999999998</v>
      </c>
      <c r="H15" s="5">
        <v>24.13</v>
      </c>
      <c r="I15" s="7">
        <f t="shared" si="2"/>
        <v>6.6319999999999994E-6</v>
      </c>
      <c r="J15" s="7">
        <f t="shared" si="3"/>
        <v>4.8259999999999995E-5</v>
      </c>
    </row>
    <row r="16" spans="1:10" x14ac:dyDescent="0.25">
      <c r="A16" s="4">
        <v>14</v>
      </c>
      <c r="B16" s="5">
        <v>500</v>
      </c>
      <c r="C16" s="5"/>
      <c r="D16" s="5"/>
      <c r="E16" s="8">
        <f t="shared" si="0"/>
        <v>0</v>
      </c>
      <c r="F16" s="8">
        <f t="shared" si="1"/>
        <v>0</v>
      </c>
      <c r="G16" s="5"/>
      <c r="H16" s="5"/>
      <c r="I16" s="7">
        <f t="shared" si="2"/>
        <v>0</v>
      </c>
      <c r="J16" s="7">
        <f t="shared" si="3"/>
        <v>0</v>
      </c>
    </row>
    <row r="17" spans="1:10" x14ac:dyDescent="0.25">
      <c r="A17" s="9">
        <v>15</v>
      </c>
      <c r="B17" s="5">
        <v>500</v>
      </c>
      <c r="C17" s="5">
        <v>2.766</v>
      </c>
      <c r="D17" s="5">
        <v>39.68</v>
      </c>
      <c r="E17" s="8">
        <f t="shared" si="0"/>
        <v>5.5319999999999997E-6</v>
      </c>
      <c r="F17" s="8">
        <f t="shared" si="1"/>
        <v>7.9359999999999999E-5</v>
      </c>
      <c r="G17" s="5">
        <v>3.1659999999999999</v>
      </c>
      <c r="H17" s="5">
        <v>28.17</v>
      </c>
      <c r="I17" s="7">
        <f t="shared" si="2"/>
        <v>6.3319999999999997E-6</v>
      </c>
      <c r="J17" s="7">
        <f t="shared" si="3"/>
        <v>5.6340000000000006E-5</v>
      </c>
    </row>
    <row r="18" spans="1:10" x14ac:dyDescent="0.25">
      <c r="A18" s="4">
        <v>16</v>
      </c>
      <c r="B18" s="5">
        <v>500</v>
      </c>
      <c r="C18" s="5"/>
      <c r="D18" s="5"/>
      <c r="E18" s="8">
        <f t="shared" si="0"/>
        <v>0</v>
      </c>
      <c r="F18" s="8">
        <f t="shared" si="1"/>
        <v>0</v>
      </c>
      <c r="G18" s="5"/>
      <c r="H18" s="5"/>
      <c r="I18" s="7">
        <f t="shared" si="2"/>
        <v>0</v>
      </c>
      <c r="J18" s="7">
        <f t="shared" si="3"/>
        <v>0</v>
      </c>
    </row>
    <row r="19" spans="1:10" x14ac:dyDescent="0.25">
      <c r="A19" s="9">
        <v>17</v>
      </c>
      <c r="B19" s="5">
        <v>500</v>
      </c>
      <c r="C19" s="5">
        <v>2.7280000000000002</v>
      </c>
      <c r="D19" s="5">
        <v>39.9</v>
      </c>
      <c r="E19" s="8">
        <f t="shared" si="0"/>
        <v>5.4560000000000008E-6</v>
      </c>
      <c r="F19" s="8">
        <f t="shared" si="1"/>
        <v>7.9800000000000002E-5</v>
      </c>
      <c r="G19" s="5">
        <v>3.4049999999999998</v>
      </c>
      <c r="H19" s="5">
        <v>22.02</v>
      </c>
      <c r="I19" s="7">
        <f t="shared" si="2"/>
        <v>6.81E-6</v>
      </c>
      <c r="J19" s="7">
        <f t="shared" si="3"/>
        <v>4.4039999999999998E-5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PILASTRI</vt:lpstr>
      <vt:lpstr>M-Theta pilastri per SAP</vt:lpstr>
      <vt:lpstr>Theta pilastri VCA</vt:lpstr>
      <vt:lpstr>coeff alpha</vt:lpstr>
      <vt:lpstr>verifica duttilità</vt:lpstr>
      <vt:lpstr>TRAVI</vt:lpstr>
      <vt:lpstr>M-Theta travi per SAP</vt:lpstr>
      <vt:lpstr>Theta travi VCA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domenico gaudioso</cp:lastModifiedBy>
  <cp:lastPrinted>2020-01-10T17:33:28Z</cp:lastPrinted>
  <dcterms:created xsi:type="dcterms:W3CDTF">2019-11-08T09:46:20Z</dcterms:created>
  <dcterms:modified xsi:type="dcterms:W3CDTF">2020-01-10T17:34:00Z</dcterms:modified>
</cp:coreProperties>
</file>