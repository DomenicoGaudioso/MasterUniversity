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BCAB4920-E897-4C96-AAF8-37B52EB8BF28}" xr6:coauthVersionLast="44" xr6:coauthVersionMax="44" xr10:uidLastSave="{00000000-0000-0000-0000-000000000000}"/>
  <bookViews>
    <workbookView xWindow="-120" yWindow="-120" windowWidth="20730" windowHeight="11160" xr2:uid="{C22908CF-125D-47E2-BEC6-E387CB7D6665}"/>
  </bookViews>
  <sheets>
    <sheet name="PUSHOVERY GRUPPO 1" sheetId="5" r:id="rId1"/>
    <sheet name="PUSHOVERY GRUPPO 2" sheetId="4" r:id="rId2"/>
    <sheet name="PUSHOVERX GRUPPO 1" sheetId="3" r:id="rId3"/>
    <sheet name="PUSHOVERX GRUPPO 2" sheetId="1" r:id="rId4"/>
    <sheet name="Program Control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3" i="2" l="1"/>
  <c r="H33" i="2"/>
  <c r="H32" i="2"/>
  <c r="H23" i="2"/>
  <c r="I23" i="2"/>
  <c r="I13" i="2"/>
  <c r="H13" i="2"/>
  <c r="I11" i="2"/>
  <c r="H11" i="2"/>
  <c r="I12" i="2"/>
  <c r="H12" i="2"/>
  <c r="I3" i="2"/>
  <c r="H3" i="2"/>
  <c r="G3" i="2"/>
  <c r="M42" i="2"/>
  <c r="I42" i="2"/>
  <c r="G42" i="2"/>
  <c r="H42" i="2" s="1"/>
  <c r="J42" i="2" s="1"/>
  <c r="N42" i="2" s="1"/>
  <c r="C42" i="2"/>
  <c r="M41" i="2"/>
  <c r="H41" i="2"/>
  <c r="G41" i="2"/>
  <c r="I41" i="2" s="1"/>
  <c r="C41" i="2"/>
  <c r="M40" i="2"/>
  <c r="G40" i="2" s="1"/>
  <c r="C40" i="2"/>
  <c r="M39" i="2"/>
  <c r="J39" i="2"/>
  <c r="N39" i="2" s="1"/>
  <c r="I39" i="2"/>
  <c r="H39" i="2"/>
  <c r="G39" i="2"/>
  <c r="C39" i="2"/>
  <c r="M38" i="2"/>
  <c r="I38" i="2"/>
  <c r="H38" i="2"/>
  <c r="J38" i="2" s="1"/>
  <c r="N38" i="2" s="1"/>
  <c r="G38" i="2"/>
  <c r="C38" i="2"/>
  <c r="M37" i="2"/>
  <c r="H37" i="2"/>
  <c r="G37" i="2"/>
  <c r="I37" i="2" s="1"/>
  <c r="C37" i="2"/>
  <c r="M36" i="2"/>
  <c r="G36" i="2"/>
  <c r="I36" i="2" s="1"/>
  <c r="C36" i="2"/>
  <c r="M35" i="2"/>
  <c r="J35" i="2"/>
  <c r="N35" i="2" s="1"/>
  <c r="I35" i="2"/>
  <c r="H35" i="2"/>
  <c r="G35" i="2"/>
  <c r="C35" i="2"/>
  <c r="M34" i="2"/>
  <c r="I34" i="2"/>
  <c r="H34" i="2"/>
  <c r="J34" i="2" s="1"/>
  <c r="N34" i="2" s="1"/>
  <c r="G34" i="2"/>
  <c r="C34" i="2"/>
  <c r="M33" i="2"/>
  <c r="G33" i="2"/>
  <c r="C33" i="2"/>
  <c r="M32" i="2"/>
  <c r="G32" i="2"/>
  <c r="I32" i="2" s="1"/>
  <c r="C32" i="2"/>
  <c r="M31" i="2"/>
  <c r="J31" i="2"/>
  <c r="N31" i="2" s="1"/>
  <c r="I31" i="2"/>
  <c r="H31" i="2"/>
  <c r="G31" i="2"/>
  <c r="C31" i="2"/>
  <c r="M30" i="2"/>
  <c r="I30" i="2"/>
  <c r="H30" i="2"/>
  <c r="J30" i="2" s="1"/>
  <c r="N30" i="2" s="1"/>
  <c r="G30" i="2"/>
  <c r="C30" i="2"/>
  <c r="M29" i="2"/>
  <c r="H29" i="2"/>
  <c r="G29" i="2"/>
  <c r="I29" i="2" s="1"/>
  <c r="C29" i="2"/>
  <c r="M28" i="2"/>
  <c r="G28" i="2"/>
  <c r="I28" i="2" s="1"/>
  <c r="C28" i="2"/>
  <c r="M27" i="2"/>
  <c r="J27" i="2"/>
  <c r="N27" i="2" s="1"/>
  <c r="I27" i="2"/>
  <c r="H27" i="2"/>
  <c r="G27" i="2"/>
  <c r="C27" i="2"/>
  <c r="M26" i="2"/>
  <c r="I26" i="2"/>
  <c r="H26" i="2"/>
  <c r="J26" i="2" s="1"/>
  <c r="N26" i="2" s="1"/>
  <c r="G26" i="2"/>
  <c r="C26" i="2"/>
  <c r="M25" i="2"/>
  <c r="H25" i="2"/>
  <c r="G25" i="2"/>
  <c r="I25" i="2" s="1"/>
  <c r="C25" i="2"/>
  <c r="M24" i="2"/>
  <c r="G24" i="2"/>
  <c r="I24" i="2" s="1"/>
  <c r="C24" i="2"/>
  <c r="M23" i="2"/>
  <c r="G23" i="2"/>
  <c r="C23" i="2"/>
  <c r="M22" i="2"/>
  <c r="I22" i="2"/>
  <c r="H22" i="2"/>
  <c r="J22" i="2" s="1"/>
  <c r="N22" i="2" s="1"/>
  <c r="G22" i="2"/>
  <c r="C22" i="2"/>
  <c r="M21" i="2"/>
  <c r="H21" i="2"/>
  <c r="G21" i="2"/>
  <c r="I21" i="2" s="1"/>
  <c r="C21" i="2"/>
  <c r="M20" i="2"/>
  <c r="G20" i="2"/>
  <c r="I20" i="2" s="1"/>
  <c r="C20" i="2"/>
  <c r="M19" i="2"/>
  <c r="J19" i="2"/>
  <c r="N19" i="2" s="1"/>
  <c r="I19" i="2"/>
  <c r="H19" i="2"/>
  <c r="G19" i="2"/>
  <c r="C19" i="2"/>
  <c r="M18" i="2"/>
  <c r="I18" i="2"/>
  <c r="H18" i="2"/>
  <c r="J18" i="2" s="1"/>
  <c r="N18" i="2" s="1"/>
  <c r="G18" i="2"/>
  <c r="C18" i="2"/>
  <c r="M17" i="2"/>
  <c r="H17" i="2"/>
  <c r="J17" i="2" s="1"/>
  <c r="N17" i="2" s="1"/>
  <c r="G17" i="2"/>
  <c r="I17" i="2" s="1"/>
  <c r="C17" i="2"/>
  <c r="M16" i="2"/>
  <c r="G16" i="2"/>
  <c r="I16" i="2" s="1"/>
  <c r="C16" i="2"/>
  <c r="M15" i="2"/>
  <c r="J15" i="2"/>
  <c r="N15" i="2" s="1"/>
  <c r="I15" i="2"/>
  <c r="H15" i="2"/>
  <c r="G15" i="2"/>
  <c r="C15" i="2"/>
  <c r="M14" i="2"/>
  <c r="I14" i="2"/>
  <c r="H14" i="2"/>
  <c r="J14" i="2" s="1"/>
  <c r="N14" i="2" s="1"/>
  <c r="G14" i="2"/>
  <c r="C14" i="2"/>
  <c r="M13" i="2"/>
  <c r="G13" i="2"/>
  <c r="C13" i="2"/>
  <c r="M12" i="2"/>
  <c r="G12" i="2"/>
  <c r="C12" i="2"/>
  <c r="M11" i="2"/>
  <c r="G11" i="2"/>
  <c r="C11" i="2"/>
  <c r="M10" i="2"/>
  <c r="I10" i="2"/>
  <c r="H10" i="2"/>
  <c r="J10" i="2" s="1"/>
  <c r="N10" i="2" s="1"/>
  <c r="G10" i="2"/>
  <c r="C10" i="2"/>
  <c r="M9" i="2"/>
  <c r="H9" i="2"/>
  <c r="J9" i="2" s="1"/>
  <c r="N9" i="2" s="1"/>
  <c r="G9" i="2"/>
  <c r="I9" i="2" s="1"/>
  <c r="C9" i="2"/>
  <c r="M8" i="2"/>
  <c r="G8" i="2"/>
  <c r="I8" i="2" s="1"/>
  <c r="C8" i="2"/>
  <c r="M7" i="2"/>
  <c r="J7" i="2"/>
  <c r="N7" i="2" s="1"/>
  <c r="I7" i="2"/>
  <c r="H7" i="2"/>
  <c r="G7" i="2"/>
  <c r="C7" i="2"/>
  <c r="M6" i="2"/>
  <c r="I6" i="2"/>
  <c r="H6" i="2"/>
  <c r="J6" i="2" s="1"/>
  <c r="N6" i="2" s="1"/>
  <c r="G6" i="2"/>
  <c r="C6" i="2"/>
  <c r="M5" i="2"/>
  <c r="H5" i="2"/>
  <c r="G5" i="2"/>
  <c r="I5" i="2" s="1"/>
  <c r="C5" i="2"/>
  <c r="M4" i="2"/>
  <c r="G4" i="2"/>
  <c r="I4" i="2" s="1"/>
  <c r="C4" i="2"/>
  <c r="M3" i="2"/>
  <c r="C3" i="2"/>
  <c r="J23" i="2" l="1"/>
  <c r="N23" i="2" s="1"/>
  <c r="J11" i="2"/>
  <c r="N11" i="2" s="1"/>
  <c r="J3" i="2"/>
  <c r="N3" i="2" s="1"/>
  <c r="J21" i="2"/>
  <c r="N21" i="2" s="1"/>
  <c r="J29" i="2"/>
  <c r="N29" i="2" s="1"/>
  <c r="J37" i="2"/>
  <c r="N37" i="2" s="1"/>
  <c r="J5" i="2"/>
  <c r="N5" i="2" s="1"/>
  <c r="J13" i="2"/>
  <c r="N13" i="2" s="1"/>
  <c r="J41" i="2"/>
  <c r="N41" i="2" s="1"/>
  <c r="J25" i="2"/>
  <c r="N25" i="2" s="1"/>
  <c r="J33" i="2"/>
  <c r="N33" i="2" s="1"/>
  <c r="I40" i="2"/>
  <c r="H40" i="2"/>
  <c r="J40" i="2" s="1"/>
  <c r="N40" i="2" s="1"/>
  <c r="H4" i="2"/>
  <c r="J4" i="2" s="1"/>
  <c r="N4" i="2" s="1"/>
  <c r="H8" i="2"/>
  <c r="J8" i="2" s="1"/>
  <c r="N8" i="2" s="1"/>
  <c r="J12" i="2"/>
  <c r="N12" i="2" s="1"/>
  <c r="H16" i="2"/>
  <c r="J16" i="2" s="1"/>
  <c r="N16" i="2" s="1"/>
  <c r="H20" i="2"/>
  <c r="J20" i="2" s="1"/>
  <c r="N20" i="2" s="1"/>
  <c r="H24" i="2"/>
  <c r="J24" i="2" s="1"/>
  <c r="N24" i="2" s="1"/>
  <c r="H28" i="2"/>
  <c r="J28" i="2" s="1"/>
  <c r="N28" i="2" s="1"/>
  <c r="J32" i="2"/>
  <c r="N32" i="2" s="1"/>
  <c r="H36" i="2"/>
  <c r="J36" i="2" s="1"/>
  <c r="N36" i="2" s="1"/>
  <c r="Z17" i="3" l="1"/>
  <c r="Z18" i="3"/>
  <c r="T17" i="3"/>
  <c r="T18" i="3"/>
  <c r="N15" i="3"/>
  <c r="N16" i="3"/>
  <c r="N17" i="3"/>
  <c r="N18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Z16" i="3"/>
  <c r="T16" i="3"/>
  <c r="Z15" i="3"/>
  <c r="T15" i="3"/>
  <c r="Z14" i="3"/>
  <c r="T14" i="3"/>
  <c r="N14" i="3"/>
  <c r="Z13" i="3"/>
  <c r="T13" i="3"/>
  <c r="N13" i="3"/>
  <c r="Z12" i="3"/>
  <c r="T12" i="3"/>
  <c r="N12" i="3"/>
  <c r="Z11" i="3"/>
  <c r="T11" i="3"/>
  <c r="N11" i="3"/>
  <c r="Z10" i="3"/>
  <c r="T10" i="3"/>
  <c r="N10" i="3"/>
  <c r="Z9" i="3"/>
  <c r="T9" i="3"/>
  <c r="N9" i="3"/>
  <c r="Z8" i="3"/>
  <c r="T8" i="3"/>
  <c r="N8" i="3"/>
  <c r="Z7" i="3"/>
  <c r="T7" i="3"/>
  <c r="N7" i="3"/>
  <c r="Z6" i="3"/>
  <c r="T6" i="3"/>
  <c r="N6" i="3"/>
  <c r="Z5" i="3"/>
  <c r="T5" i="3"/>
  <c r="N5" i="3"/>
  <c r="Z4" i="3"/>
  <c r="T4" i="3"/>
  <c r="N4" i="3"/>
  <c r="H4" i="3"/>
  <c r="Z5" i="1"/>
  <c r="Z6" i="1"/>
  <c r="Z7" i="1"/>
  <c r="Z8" i="1"/>
  <c r="Z9" i="1"/>
  <c r="Z10" i="1"/>
  <c r="Z11" i="1"/>
  <c r="Z12" i="1"/>
  <c r="Z13" i="1"/>
  <c r="Z14" i="1"/>
  <c r="Z15" i="1"/>
  <c r="T5" i="1"/>
  <c r="T6" i="1"/>
  <c r="T7" i="1"/>
  <c r="T8" i="1"/>
  <c r="T9" i="1"/>
  <c r="T10" i="1"/>
  <c r="T11" i="1"/>
  <c r="T12" i="1"/>
  <c r="T13" i="1"/>
  <c r="T14" i="1"/>
  <c r="T15" i="1"/>
  <c r="N5" i="1"/>
  <c r="N6" i="1"/>
  <c r="N7" i="1"/>
  <c r="N8" i="1"/>
  <c r="N9" i="1"/>
  <c r="N10" i="1"/>
  <c r="N11" i="1"/>
  <c r="N12" i="1"/>
  <c r="N13" i="1"/>
  <c r="N14" i="1"/>
  <c r="N15" i="1"/>
  <c r="Z4" i="1"/>
  <c r="T4" i="1"/>
  <c r="N4" i="1"/>
  <c r="H5" i="1"/>
  <c r="H6" i="1"/>
  <c r="H7" i="1"/>
  <c r="H8" i="1"/>
  <c r="H9" i="1"/>
  <c r="H10" i="1"/>
  <c r="H11" i="1"/>
  <c r="H12" i="1"/>
  <c r="H13" i="1"/>
  <c r="H14" i="1"/>
  <c r="H15" i="1"/>
  <c r="H4" i="1"/>
</calcChain>
</file>

<file path=xl/sharedStrings.xml><?xml version="1.0" encoding="utf-8"?>
<sst xmlns="http://schemas.openxmlformats.org/spreadsheetml/2006/main" count="1613" uniqueCount="85">
  <si>
    <t>OutputCase</t>
  </si>
  <si>
    <t>StepNum</t>
  </si>
  <si>
    <t>Text</t>
  </si>
  <si>
    <t>Unitless</t>
  </si>
  <si>
    <t>Piano 1 -frame</t>
  </si>
  <si>
    <t>Piano 2 -frame</t>
  </si>
  <si>
    <t>Piano 3-frame</t>
  </si>
  <si>
    <t>Piano 4-frame</t>
  </si>
  <si>
    <r>
      <t>V</t>
    </r>
    <r>
      <rPr>
        <b/>
        <vertAlign val="subscript"/>
        <sz val="11"/>
        <color theme="1"/>
        <rFont val="Calibri"/>
        <family val="2"/>
        <scheme val="minor"/>
      </rPr>
      <t>ED</t>
    </r>
    <r>
      <rPr>
        <b/>
        <sz val="11"/>
        <color theme="1"/>
        <rFont val="Calibri"/>
        <family val="2"/>
        <scheme val="minor"/>
      </rPr>
      <t xml:space="preserve"> [KN]</t>
    </r>
  </si>
  <si>
    <t>Verifica</t>
  </si>
  <si>
    <t>PUSHX_costant</t>
  </si>
  <si>
    <r>
      <t>V</t>
    </r>
    <r>
      <rPr>
        <b/>
        <vertAlign val="subscript"/>
        <sz val="11"/>
        <color theme="1"/>
        <rFont val="Calibri"/>
        <family val="2"/>
        <scheme val="minor"/>
      </rPr>
      <t>RD</t>
    </r>
    <r>
      <rPr>
        <b/>
        <sz val="11"/>
        <color theme="1"/>
        <rFont val="Calibri"/>
        <family val="2"/>
        <scheme val="minor"/>
      </rPr>
      <t xml:space="preserve"> [KN]</t>
    </r>
  </si>
  <si>
    <t>PUSHOVER X GRUPPO 2</t>
  </si>
  <si>
    <t>PUSHX_F.dinamica</t>
  </si>
  <si>
    <t>PUSHOVER X GRUPPO 1</t>
  </si>
  <si>
    <t>KN</t>
  </si>
  <si>
    <t>1</t>
  </si>
  <si>
    <t>NonStatic</t>
  </si>
  <si>
    <t>Step</t>
  </si>
  <si>
    <t>PUSHX-RS2_static lineare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</si>
  <si>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</si>
  <si>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</si>
  <si>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</si>
  <si>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</si>
  <si>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</si>
  <si>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</si>
  <si>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</si>
  <si>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</si>
  <si>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</si>
  <si>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</si>
  <si>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</si>
  <si>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</si>
  <si>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16</t>
  </si>
  <si>
    <t>17</t>
  </si>
  <si>
    <t>19</t>
  </si>
  <si>
    <t>PUSHOVER Y GRUPPO 1</t>
  </si>
  <si>
    <t>PUSHY_F.dinam</t>
  </si>
  <si>
    <t>PUSHOVER Y GRUPPO 2</t>
  </si>
  <si>
    <t>Pil.</t>
  </si>
  <si>
    <t>Zona critica</t>
  </si>
  <si>
    <t>φ</t>
  </si>
  <si>
    <t>s</t>
  </si>
  <si>
    <t>nb</t>
  </si>
  <si>
    <r>
      <t>cot(</t>
    </r>
    <r>
      <rPr>
        <sz val="11"/>
        <color theme="1"/>
        <rFont val="Calibri"/>
        <family val="2"/>
      </rPr>
      <t>θ)</t>
    </r>
  </si>
  <si>
    <r>
      <t>V</t>
    </r>
    <r>
      <rPr>
        <vertAlign val="subscript"/>
        <sz val="11"/>
        <color theme="1"/>
        <rFont val="Calibri"/>
        <family val="2"/>
        <scheme val="minor"/>
      </rPr>
      <t>R,sd</t>
    </r>
  </si>
  <si>
    <r>
      <t>V</t>
    </r>
    <r>
      <rPr>
        <vertAlign val="subscript"/>
        <sz val="11"/>
        <color theme="1"/>
        <rFont val="Calibri"/>
        <family val="2"/>
        <scheme val="minor"/>
      </rPr>
      <t>R,cd</t>
    </r>
  </si>
  <si>
    <r>
      <t>V</t>
    </r>
    <r>
      <rPr>
        <vertAlign val="subscript"/>
        <sz val="11"/>
        <color theme="1"/>
        <rFont val="Calibri"/>
        <family val="2"/>
        <scheme val="minor"/>
      </rPr>
      <t>R,d</t>
    </r>
  </si>
  <si>
    <r>
      <t>N</t>
    </r>
    <r>
      <rPr>
        <vertAlign val="subscript"/>
        <sz val="11"/>
        <color theme="1"/>
        <rFont val="Calibri"/>
        <family val="2"/>
        <scheme val="minor"/>
      </rPr>
      <t>E,d</t>
    </r>
  </si>
  <si>
    <r>
      <t>M</t>
    </r>
    <r>
      <rPr>
        <vertAlign val="subscript"/>
        <sz val="11"/>
        <color theme="1"/>
        <rFont val="Calibri"/>
        <family val="2"/>
        <scheme val="minor"/>
      </rPr>
      <t>C,Rd</t>
    </r>
  </si>
  <si>
    <r>
      <t>V</t>
    </r>
    <r>
      <rPr>
        <vertAlign val="subscript"/>
        <sz val="11"/>
        <color theme="1"/>
        <rFont val="Calibri"/>
        <family val="2"/>
        <scheme val="minor"/>
      </rPr>
      <t>Ed</t>
    </r>
  </si>
  <si>
    <t>-</t>
  </si>
  <si>
    <t>mm</t>
  </si>
  <si>
    <t>KNm</t>
  </si>
  <si>
    <t>PIANO 1</t>
  </si>
  <si>
    <t>42</t>
  </si>
  <si>
    <t>43</t>
  </si>
  <si>
    <t>44</t>
  </si>
  <si>
    <t>45</t>
  </si>
  <si>
    <t>46</t>
  </si>
  <si>
    <t>PIANO 2</t>
  </si>
  <si>
    <t>47</t>
  </si>
  <si>
    <t>48</t>
  </si>
  <si>
    <t>49</t>
  </si>
  <si>
    <t>50</t>
  </si>
  <si>
    <t>51</t>
  </si>
  <si>
    <t>PIANO 3</t>
  </si>
  <si>
    <t>13</t>
  </si>
  <si>
    <t>15</t>
  </si>
  <si>
    <t>52</t>
  </si>
  <si>
    <t>53</t>
  </si>
  <si>
    <t>54</t>
  </si>
  <si>
    <t>55</t>
  </si>
  <si>
    <t>56</t>
  </si>
  <si>
    <t>PIANO 4</t>
  </si>
  <si>
    <t>37</t>
  </si>
  <si>
    <t>38</t>
  </si>
  <si>
    <t>39</t>
  </si>
  <si>
    <t>40</t>
  </si>
  <si>
    <t>41</t>
  </si>
  <si>
    <t>73</t>
  </si>
  <si>
    <t>74</t>
  </si>
  <si>
    <t>75</t>
  </si>
  <si>
    <t>76</t>
  </si>
  <si>
    <t>77</t>
  </si>
  <si>
    <t>PUSHY_Static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</si>
</sst>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3FF59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49" fontId="0" fillId="0" borderId="0" xfId="0" applyNumberFormat="1"/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9" fontId="6" fillId="7" borderId="1" xfId="0" applyNumberFormat="1" applyFont="1" applyFill="1" applyBorder="1" applyAlignment="1">
      <alignment horizontal="center" vertical="center" textRotation="255" wrapText="1"/>
    </xf>
    <xf numFmtId="1" fontId="0" fillId="0" borderId="1" xfId="0" applyNumberFormat="1" applyBorder="1" applyAlignment="1">
      <alignment horizontal="center"/>
    </xf>
    <xf numFmtId="0" fontId="0" fillId="8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 textRotation="255" wrapText="1"/>
    </xf>
    <xf numFmtId="2" fontId="6" fillId="0" borderId="1" xfId="0" applyNumberFormat="1" applyFont="1" applyBorder="1" applyAlignment="1">
      <alignment horizontal="center"/>
    </xf>
    <xf numFmtId="49" fontId="6" fillId="9" borderId="1" xfId="0" applyNumberFormat="1" applyFont="1" applyFill="1" applyBorder="1" applyAlignment="1">
      <alignment horizontal="center" vertical="center" textRotation="255" wrapText="1"/>
    </xf>
    <xf numFmtId="49" fontId="0" fillId="10" borderId="1" xfId="0" applyNumberFormat="1" applyFill="1" applyBorder="1" applyAlignment="1">
      <alignment horizontal="center" vertical="center" textRotation="255" wrapText="1"/>
    </xf>
    <xf numFmtId="0" fontId="0" fillId="5" borderId="1" xfId="0" applyFill="1" applyBorder="1" applyAlignment="1">
      <alignment horizontal="center"/>
    </xf>
  </cellXfs>
  <cellStyles count="1">
    <cellStyle name="Normale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BCCB-944C-476F-A9F9-FC4433DA8A31}">
  <sheetPr>
    <pageSetUpPr fitToPage="1"/>
  </sheetPr>
  <dimension ref="A1:R423"/>
  <sheetViews>
    <sheetView tabSelected="1" zoomScale="55" zoomScaleNormal="55" workbookViewId="0">
      <pane ySplit="3" topLeftCell="A4" activePane="bottomLeft" state="frozen"/>
      <selection pane="bottomLeft" activeCell="R26" sqref="A1:R26"/>
    </sheetView>
  </sheetViews>
  <sheetFormatPr defaultRowHeight="15" x14ac:dyDescent="0.25"/>
  <cols>
    <col min="1" max="1" width="23.5703125" style="19" bestFit="1" customWidth="1"/>
    <col min="2" max="2" width="17.28515625" style="18" customWidth="1"/>
    <col min="3" max="3" width="9.140625" style="17"/>
    <col min="4" max="4" width="10.140625" style="18" customWidth="1"/>
    <col min="5" max="5" width="14" style="18" customWidth="1"/>
    <col min="6" max="6" width="11.28515625" style="18" customWidth="1"/>
    <col min="7" max="16384" width="9.140625" style="18"/>
  </cols>
  <sheetData>
    <row r="1" spans="1:18" ht="18" x14ac:dyDescent="0.35">
      <c r="A1" s="14" t="s">
        <v>35</v>
      </c>
      <c r="B1" s="14"/>
      <c r="C1" s="15" t="s">
        <v>8</v>
      </c>
      <c r="D1" s="15"/>
      <c r="E1" s="15"/>
      <c r="F1" s="15"/>
      <c r="G1" s="15" t="s">
        <v>8</v>
      </c>
      <c r="H1" s="15"/>
      <c r="I1" s="15"/>
      <c r="J1" s="15"/>
      <c r="K1" s="15" t="s">
        <v>8</v>
      </c>
      <c r="L1" s="15"/>
      <c r="M1" s="15"/>
      <c r="N1" s="15"/>
      <c r="O1" s="15" t="s">
        <v>8</v>
      </c>
      <c r="P1" s="15"/>
      <c r="Q1" s="15"/>
      <c r="R1" s="15"/>
    </row>
    <row r="2" spans="1:18" x14ac:dyDescent="0.25">
      <c r="A2" s="8" t="s">
        <v>0</v>
      </c>
      <c r="B2" s="9" t="s">
        <v>1</v>
      </c>
      <c r="C2" s="20" t="s">
        <v>4</v>
      </c>
      <c r="D2" s="16"/>
      <c r="E2" s="16"/>
      <c r="F2" s="16"/>
      <c r="G2" s="16" t="s">
        <v>5</v>
      </c>
      <c r="H2" s="16"/>
      <c r="I2" s="16"/>
      <c r="J2" s="16"/>
      <c r="K2" s="16" t="s">
        <v>6</v>
      </c>
      <c r="L2" s="16"/>
      <c r="M2" s="16"/>
      <c r="N2" s="16"/>
      <c r="O2" s="16" t="s">
        <v>7</v>
      </c>
      <c r="P2" s="16"/>
      <c r="Q2" s="16"/>
      <c r="R2" s="16"/>
    </row>
    <row r="3" spans="1:18" x14ac:dyDescent="0.25">
      <c r="A3" s="10" t="s">
        <v>2</v>
      </c>
      <c r="B3" s="11" t="s">
        <v>3</v>
      </c>
      <c r="C3" s="21">
        <v>1</v>
      </c>
      <c r="D3" s="3">
        <v>2</v>
      </c>
      <c r="E3" s="3">
        <v>3</v>
      </c>
      <c r="F3" s="3">
        <v>4</v>
      </c>
      <c r="G3" s="3">
        <v>6</v>
      </c>
      <c r="H3" s="3">
        <v>7</v>
      </c>
      <c r="I3" s="3">
        <v>8</v>
      </c>
      <c r="J3" s="3">
        <v>9</v>
      </c>
      <c r="K3" s="3">
        <v>11</v>
      </c>
      <c r="L3" s="3">
        <v>12</v>
      </c>
      <c r="M3" s="3">
        <v>13</v>
      </c>
      <c r="N3" s="3">
        <v>14</v>
      </c>
      <c r="O3" s="3">
        <v>16</v>
      </c>
      <c r="P3" s="3">
        <v>17</v>
      </c>
      <c r="Q3" s="3">
        <v>18</v>
      </c>
      <c r="R3" s="3">
        <v>19</v>
      </c>
    </row>
    <row r="4" spans="1:18" x14ac:dyDescent="0.25">
      <c r="A4" s="12" t="s">
        <v>36</v>
      </c>
      <c r="B4" s="5">
        <v>0</v>
      </c>
      <c r="C4" s="4">
        <v>-6.7190000000000003</v>
      </c>
      <c r="D4" s="4">
        <v>7.093</v>
      </c>
      <c r="E4" s="4">
        <v>11.962999999999999</v>
      </c>
      <c r="F4" s="4">
        <v>6.6849999999999996</v>
      </c>
      <c r="G4" s="4">
        <v>-12.385</v>
      </c>
      <c r="H4" s="4">
        <v>-7.0590000000000002</v>
      </c>
      <c r="I4" s="4">
        <v>-12.022</v>
      </c>
      <c r="J4" s="4">
        <v>11.271000000000001</v>
      </c>
      <c r="K4" s="4">
        <v>-12.163</v>
      </c>
      <c r="L4" s="4">
        <v>11.759</v>
      </c>
      <c r="M4" s="4">
        <v>-11.039</v>
      </c>
      <c r="N4" s="4">
        <v>12.443</v>
      </c>
      <c r="O4" s="4">
        <v>-12.621</v>
      </c>
      <c r="P4" s="4">
        <v>11.93</v>
      </c>
      <c r="Q4" s="4">
        <v>-12.638</v>
      </c>
      <c r="R4" s="4">
        <v>13.500999999999999</v>
      </c>
    </row>
    <row r="5" spans="1:18" x14ac:dyDescent="0.25">
      <c r="A5" s="12" t="s">
        <v>36</v>
      </c>
      <c r="B5" s="5">
        <v>1</v>
      </c>
      <c r="C5" s="4">
        <v>20.337</v>
      </c>
      <c r="D5" s="4">
        <v>77.206999999999994</v>
      </c>
      <c r="E5" s="4">
        <v>69.75</v>
      </c>
      <c r="F5" s="4">
        <v>33.734000000000002</v>
      </c>
      <c r="G5" s="4">
        <v>16.106000000000002</v>
      </c>
      <c r="H5" s="4">
        <v>63.256</v>
      </c>
      <c r="I5" s="4">
        <v>45.868000000000002</v>
      </c>
      <c r="J5" s="4">
        <v>53.832999999999998</v>
      </c>
      <c r="K5" s="4">
        <v>10.015000000000001</v>
      </c>
      <c r="L5" s="4">
        <v>31.181000000000001</v>
      </c>
      <c r="M5" s="4">
        <v>30.635000000000002</v>
      </c>
      <c r="N5" s="4">
        <v>40.972000000000001</v>
      </c>
      <c r="O5" s="4">
        <v>-1.669</v>
      </c>
      <c r="P5" s="4">
        <v>34.076999999999998</v>
      </c>
      <c r="Q5" s="4">
        <v>10.717000000000001</v>
      </c>
      <c r="R5" s="4">
        <v>24.05</v>
      </c>
    </row>
    <row r="6" spans="1:18" x14ac:dyDescent="0.25">
      <c r="A6" s="12" t="s">
        <v>36</v>
      </c>
      <c r="B6" s="5">
        <v>2</v>
      </c>
      <c r="C6" s="4">
        <v>29.835000000000001</v>
      </c>
      <c r="D6" s="4">
        <v>101.61</v>
      </c>
      <c r="E6" s="4">
        <v>89.876999999999995</v>
      </c>
      <c r="F6" s="4">
        <v>43.238</v>
      </c>
      <c r="G6" s="4">
        <v>26.094999999999999</v>
      </c>
      <c r="H6" s="4">
        <v>87.840999999999994</v>
      </c>
      <c r="I6" s="4">
        <v>66.099999999999994</v>
      </c>
      <c r="J6" s="4">
        <v>68.716999999999999</v>
      </c>
      <c r="K6" s="4">
        <v>17.763000000000002</v>
      </c>
      <c r="L6" s="4">
        <v>37.969000000000001</v>
      </c>
      <c r="M6" s="4">
        <v>45.198999999999998</v>
      </c>
      <c r="N6" s="4">
        <v>50.978999999999999</v>
      </c>
      <c r="O6" s="4">
        <v>2.1589999999999998</v>
      </c>
      <c r="P6" s="4">
        <v>41.811</v>
      </c>
      <c r="Q6" s="4">
        <v>18.881</v>
      </c>
      <c r="R6" s="4">
        <v>27.736999999999998</v>
      </c>
    </row>
    <row r="7" spans="1:18" x14ac:dyDescent="0.25">
      <c r="A7" s="12" t="s">
        <v>36</v>
      </c>
      <c r="B7" s="5">
        <v>3</v>
      </c>
      <c r="C7" s="4">
        <v>34.106000000000002</v>
      </c>
      <c r="D7" s="4">
        <v>111.783</v>
      </c>
      <c r="E7" s="4">
        <v>97.891000000000005</v>
      </c>
      <c r="F7" s="4">
        <v>47.893000000000001</v>
      </c>
      <c r="G7" s="4">
        <v>30.748999999999999</v>
      </c>
      <c r="H7" s="4">
        <v>99.034000000000006</v>
      </c>
      <c r="I7" s="4">
        <v>75.161000000000001</v>
      </c>
      <c r="J7" s="4">
        <v>75.275999999999996</v>
      </c>
      <c r="K7" s="4">
        <v>21.59</v>
      </c>
      <c r="L7" s="4">
        <v>41.143000000000001</v>
      </c>
      <c r="M7" s="4">
        <v>52.143000000000001</v>
      </c>
      <c r="N7" s="4">
        <v>56.143999999999998</v>
      </c>
      <c r="O7" s="4">
        <v>4.0350000000000001</v>
      </c>
      <c r="P7" s="4">
        <v>44.500999999999998</v>
      </c>
      <c r="Q7" s="4">
        <v>22.98</v>
      </c>
      <c r="R7" s="4">
        <v>28.597000000000001</v>
      </c>
    </row>
    <row r="8" spans="1:18" x14ac:dyDescent="0.25">
      <c r="A8" s="12" t="s">
        <v>36</v>
      </c>
      <c r="B8" s="5">
        <v>4</v>
      </c>
      <c r="C8" s="4">
        <v>42.048000000000002</v>
      </c>
      <c r="D8" s="4">
        <v>142.34100000000001</v>
      </c>
      <c r="E8" s="4">
        <v>119.661</v>
      </c>
      <c r="F8" s="4">
        <v>55.567</v>
      </c>
      <c r="G8" s="4">
        <v>35.621000000000002</v>
      </c>
      <c r="H8" s="4">
        <v>141.875</v>
      </c>
      <c r="I8" s="4">
        <v>121.523</v>
      </c>
      <c r="J8" s="4">
        <v>92.234999999999999</v>
      </c>
      <c r="K8" s="4">
        <v>32.78</v>
      </c>
      <c r="L8" s="4">
        <v>49.88</v>
      </c>
      <c r="M8" s="4">
        <v>82.32</v>
      </c>
      <c r="N8" s="4">
        <v>62.161999999999999</v>
      </c>
      <c r="O8" s="4">
        <v>12.819000000000001</v>
      </c>
      <c r="P8" s="4">
        <v>45.002000000000002</v>
      </c>
      <c r="Q8" s="4">
        <v>35.256</v>
      </c>
      <c r="R8" s="4">
        <v>28.213000000000001</v>
      </c>
    </row>
    <row r="9" spans="1:18" x14ac:dyDescent="0.25">
      <c r="A9" s="12" t="s">
        <v>36</v>
      </c>
      <c r="B9" s="5">
        <v>5</v>
      </c>
      <c r="C9" s="4">
        <v>47.844999999999999</v>
      </c>
      <c r="D9" s="4">
        <v>164.99199999999999</v>
      </c>
      <c r="E9" s="4">
        <v>138.96199999999999</v>
      </c>
      <c r="F9" s="4">
        <v>61.411999999999999</v>
      </c>
      <c r="G9" s="4">
        <v>42.691000000000003</v>
      </c>
      <c r="H9" s="4">
        <v>165.08199999999999</v>
      </c>
      <c r="I9" s="4">
        <v>138.886</v>
      </c>
      <c r="J9" s="4">
        <v>103.99</v>
      </c>
      <c r="K9" s="4">
        <v>35.912999999999997</v>
      </c>
      <c r="L9" s="4">
        <v>55.076000000000001</v>
      </c>
      <c r="M9" s="4">
        <v>102.456</v>
      </c>
      <c r="N9" s="4">
        <v>69.472999999999999</v>
      </c>
      <c r="O9" s="4">
        <v>13.816000000000001</v>
      </c>
      <c r="P9" s="4">
        <v>47.976999999999997</v>
      </c>
      <c r="Q9" s="4">
        <v>48.045000000000002</v>
      </c>
      <c r="R9" s="4">
        <v>28.231000000000002</v>
      </c>
    </row>
    <row r="10" spans="1:18" x14ac:dyDescent="0.25">
      <c r="A10" s="12" t="s">
        <v>36</v>
      </c>
      <c r="B10" s="5">
        <v>6</v>
      </c>
      <c r="C10" s="4">
        <v>51.018000000000001</v>
      </c>
      <c r="D10" s="4">
        <v>177.142</v>
      </c>
      <c r="E10" s="4">
        <v>150.005</v>
      </c>
      <c r="F10" s="4">
        <v>64.634</v>
      </c>
      <c r="G10" s="4">
        <v>46.173999999999999</v>
      </c>
      <c r="H10" s="4">
        <v>177.709</v>
      </c>
      <c r="I10" s="4">
        <v>148.46600000000001</v>
      </c>
      <c r="J10" s="4">
        <v>109.02800000000001</v>
      </c>
      <c r="K10" s="4">
        <v>38.566000000000003</v>
      </c>
      <c r="L10" s="4">
        <v>56.92</v>
      </c>
      <c r="M10" s="4">
        <v>112.554</v>
      </c>
      <c r="N10" s="4">
        <v>73.039000000000001</v>
      </c>
      <c r="O10" s="4">
        <v>15.365</v>
      </c>
      <c r="P10" s="4">
        <v>50.786999999999999</v>
      </c>
      <c r="Q10" s="4">
        <v>53.743000000000002</v>
      </c>
      <c r="R10" s="4">
        <v>29.44</v>
      </c>
    </row>
    <row r="11" spans="1:18" x14ac:dyDescent="0.25">
      <c r="A11" s="12" t="s">
        <v>36</v>
      </c>
      <c r="B11" s="5">
        <v>7</v>
      </c>
      <c r="C11" s="4">
        <v>65.56</v>
      </c>
      <c r="D11" s="4">
        <v>173.11600000000001</v>
      </c>
      <c r="E11" s="4">
        <v>160.34800000000001</v>
      </c>
      <c r="F11" s="4">
        <v>79.358000000000004</v>
      </c>
      <c r="G11" s="4">
        <v>45.686999999999998</v>
      </c>
      <c r="H11" s="4">
        <v>174.072</v>
      </c>
      <c r="I11" s="4">
        <v>158.50399999999999</v>
      </c>
      <c r="J11" s="4">
        <v>112.17400000000001</v>
      </c>
      <c r="K11" s="4">
        <v>41.204999999999998</v>
      </c>
      <c r="L11" s="4">
        <v>59.939</v>
      </c>
      <c r="M11" s="4">
        <v>117.087</v>
      </c>
      <c r="N11" s="4">
        <v>72.323999999999998</v>
      </c>
      <c r="O11" s="4">
        <v>17.466000000000001</v>
      </c>
      <c r="P11" s="4">
        <v>54.747999999999998</v>
      </c>
      <c r="Q11" s="4">
        <v>58.234999999999999</v>
      </c>
      <c r="R11" s="4">
        <v>26.968</v>
      </c>
    </row>
    <row r="12" spans="1:18" x14ac:dyDescent="0.25">
      <c r="A12" s="12" t="s">
        <v>36</v>
      </c>
      <c r="B12" s="5">
        <v>8</v>
      </c>
      <c r="C12" s="4">
        <v>72.914000000000001</v>
      </c>
      <c r="D12" s="4">
        <v>170.79</v>
      </c>
      <c r="E12" s="4">
        <v>167.06200000000001</v>
      </c>
      <c r="F12" s="4">
        <v>90.343000000000004</v>
      </c>
      <c r="G12" s="4">
        <v>45.914999999999999</v>
      </c>
      <c r="H12" s="4">
        <v>172.05099999999999</v>
      </c>
      <c r="I12" s="4">
        <v>164.86</v>
      </c>
      <c r="J12" s="4">
        <v>113.95</v>
      </c>
      <c r="K12" s="4">
        <v>42.595999999999997</v>
      </c>
      <c r="L12" s="4">
        <v>63</v>
      </c>
      <c r="M12" s="4">
        <v>120.327</v>
      </c>
      <c r="N12" s="4">
        <v>71.445999999999998</v>
      </c>
      <c r="O12" s="4">
        <v>19.536999999999999</v>
      </c>
      <c r="P12" s="4">
        <v>57.585999999999999</v>
      </c>
      <c r="Q12" s="4">
        <v>60.027999999999999</v>
      </c>
      <c r="R12" s="4">
        <v>24.664999999999999</v>
      </c>
    </row>
    <row r="13" spans="1:18" x14ac:dyDescent="0.25">
      <c r="A13" s="12" t="s">
        <v>36</v>
      </c>
      <c r="B13" s="5">
        <v>9</v>
      </c>
      <c r="C13" s="4">
        <v>75.427000000000007</v>
      </c>
      <c r="D13" s="4">
        <v>175.465</v>
      </c>
      <c r="E13" s="4">
        <v>173.02199999999999</v>
      </c>
      <c r="F13" s="4">
        <v>93.111999999999995</v>
      </c>
      <c r="G13" s="4">
        <v>47.445</v>
      </c>
      <c r="H13" s="4">
        <v>177.89500000000001</v>
      </c>
      <c r="I13" s="4">
        <v>169.99</v>
      </c>
      <c r="J13" s="4">
        <v>115.569</v>
      </c>
      <c r="K13" s="4">
        <v>44.558999999999997</v>
      </c>
      <c r="L13" s="4">
        <v>68.061000000000007</v>
      </c>
      <c r="M13" s="4">
        <v>124.211</v>
      </c>
      <c r="N13" s="4">
        <v>72.852999999999994</v>
      </c>
      <c r="O13" s="4">
        <v>19.512</v>
      </c>
      <c r="P13" s="4">
        <v>60.563000000000002</v>
      </c>
      <c r="Q13" s="4">
        <v>63.618000000000002</v>
      </c>
      <c r="R13" s="4">
        <v>21.26</v>
      </c>
    </row>
    <row r="14" spans="1:18" x14ac:dyDescent="0.25">
      <c r="A14" s="12" t="s">
        <v>36</v>
      </c>
      <c r="B14" s="5">
        <v>10</v>
      </c>
      <c r="C14" s="4">
        <v>78.034999999999997</v>
      </c>
      <c r="D14" s="4">
        <v>179.791</v>
      </c>
      <c r="E14" s="4">
        <v>178.71299999999999</v>
      </c>
      <c r="F14" s="4">
        <v>95.930999999999997</v>
      </c>
      <c r="G14" s="4">
        <v>48.585000000000001</v>
      </c>
      <c r="H14" s="4">
        <v>182.90199999999999</v>
      </c>
      <c r="I14" s="4">
        <v>174.99799999999999</v>
      </c>
      <c r="J14" s="4">
        <v>116.65300000000001</v>
      </c>
      <c r="K14" s="4">
        <v>47.256</v>
      </c>
      <c r="L14" s="4">
        <v>74.340999999999994</v>
      </c>
      <c r="M14" s="4">
        <v>127.40900000000001</v>
      </c>
      <c r="N14" s="4">
        <v>74.117000000000004</v>
      </c>
      <c r="O14" s="4">
        <v>16.361000000000001</v>
      </c>
      <c r="P14" s="4">
        <v>63.338000000000001</v>
      </c>
      <c r="Q14" s="4">
        <v>68.498999999999995</v>
      </c>
      <c r="R14" s="4">
        <v>18.126999999999999</v>
      </c>
    </row>
    <row r="15" spans="1:18" x14ac:dyDescent="0.25">
      <c r="A15" s="12" t="s">
        <v>36</v>
      </c>
      <c r="B15" s="5">
        <v>11</v>
      </c>
      <c r="C15" s="4">
        <v>78.375</v>
      </c>
      <c r="D15" s="4">
        <v>180.21</v>
      </c>
      <c r="E15" s="4">
        <v>179.512</v>
      </c>
      <c r="F15" s="4">
        <v>96.304000000000002</v>
      </c>
      <c r="G15" s="4">
        <v>48.712000000000003</v>
      </c>
      <c r="H15" s="4">
        <v>183.55799999999999</v>
      </c>
      <c r="I15" s="4">
        <v>175.51400000000001</v>
      </c>
      <c r="J15" s="4">
        <v>116.483</v>
      </c>
      <c r="K15" s="4">
        <v>47.56</v>
      </c>
      <c r="L15" s="4">
        <v>76.275000000000006</v>
      </c>
      <c r="M15" s="4">
        <v>128.14099999999999</v>
      </c>
      <c r="N15" s="4">
        <v>74.260999999999996</v>
      </c>
      <c r="O15" s="4">
        <v>16.053999999999998</v>
      </c>
      <c r="P15" s="4">
        <v>63.652999999999999</v>
      </c>
      <c r="Q15" s="4">
        <v>67.766000000000005</v>
      </c>
      <c r="R15" s="4">
        <v>17.824000000000002</v>
      </c>
    </row>
    <row r="16" spans="1:18" x14ac:dyDescent="0.25">
      <c r="A16" s="12" t="s">
        <v>36</v>
      </c>
      <c r="B16" s="5">
        <v>12</v>
      </c>
      <c r="C16" s="4">
        <v>79.798000000000002</v>
      </c>
      <c r="D16" s="4">
        <v>181.94</v>
      </c>
      <c r="E16" s="4">
        <v>182.14699999999999</v>
      </c>
      <c r="F16" s="4">
        <v>97.798000000000002</v>
      </c>
      <c r="G16" s="4">
        <v>49.078000000000003</v>
      </c>
      <c r="H16" s="4">
        <v>185.74799999999999</v>
      </c>
      <c r="I16" s="4">
        <v>178.089</v>
      </c>
      <c r="J16" s="4">
        <v>117.998</v>
      </c>
      <c r="K16" s="4">
        <v>48.344999999999999</v>
      </c>
      <c r="L16" s="4">
        <v>77.831999999999994</v>
      </c>
      <c r="M16" s="4">
        <v>129.50299999999999</v>
      </c>
      <c r="N16" s="4">
        <v>74.756</v>
      </c>
      <c r="O16" s="4">
        <v>16.062999999999999</v>
      </c>
      <c r="P16" s="4">
        <v>64.509</v>
      </c>
      <c r="Q16" s="4">
        <v>68.429000000000002</v>
      </c>
      <c r="R16" s="4">
        <v>17.855</v>
      </c>
    </row>
    <row r="17" spans="1:18" x14ac:dyDescent="0.25">
      <c r="A17" s="12" t="s">
        <v>36</v>
      </c>
      <c r="B17" s="5">
        <v>13</v>
      </c>
      <c r="C17" s="4">
        <v>81.253</v>
      </c>
      <c r="D17" s="4">
        <v>183.77099999999999</v>
      </c>
      <c r="E17" s="4">
        <v>184.649</v>
      </c>
      <c r="F17" s="4">
        <v>99.325000000000003</v>
      </c>
      <c r="G17" s="4">
        <v>49.423000000000002</v>
      </c>
      <c r="H17" s="4">
        <v>187.53100000000001</v>
      </c>
      <c r="I17" s="4">
        <v>180.619</v>
      </c>
      <c r="J17" s="4">
        <v>119.6</v>
      </c>
      <c r="K17" s="4">
        <v>48.95</v>
      </c>
      <c r="L17" s="4">
        <v>78.606999999999999</v>
      </c>
      <c r="M17" s="4">
        <v>130.976</v>
      </c>
      <c r="N17" s="4">
        <v>75.233999999999995</v>
      </c>
      <c r="O17" s="4">
        <v>16.326000000000001</v>
      </c>
      <c r="P17" s="4">
        <v>65.188999999999993</v>
      </c>
      <c r="Q17" s="4">
        <v>69.284000000000006</v>
      </c>
      <c r="R17" s="4">
        <v>18.140999999999998</v>
      </c>
    </row>
    <row r="18" spans="1:18" x14ac:dyDescent="0.25">
      <c r="A18" s="12" t="s">
        <v>36</v>
      </c>
      <c r="B18" s="5">
        <v>14</v>
      </c>
      <c r="C18" s="4">
        <v>81.978999999999999</v>
      </c>
      <c r="D18" s="4">
        <v>184.68199999999999</v>
      </c>
      <c r="E18" s="4">
        <v>185.90199999999999</v>
      </c>
      <c r="F18" s="4">
        <v>100.08799999999999</v>
      </c>
      <c r="G18" s="4">
        <v>49.597000000000001</v>
      </c>
      <c r="H18" s="4">
        <v>188.43199999999999</v>
      </c>
      <c r="I18" s="4">
        <v>181.88300000000001</v>
      </c>
      <c r="J18" s="4">
        <v>120.402</v>
      </c>
      <c r="K18" s="4">
        <v>49.252000000000002</v>
      </c>
      <c r="L18" s="4">
        <v>78.995000000000005</v>
      </c>
      <c r="M18" s="4">
        <v>131.71299999999999</v>
      </c>
      <c r="N18" s="4">
        <v>75.472999999999999</v>
      </c>
      <c r="O18" s="4">
        <v>16.457000000000001</v>
      </c>
      <c r="P18" s="4">
        <v>65.528999999999996</v>
      </c>
      <c r="Q18" s="4">
        <v>69.712000000000003</v>
      </c>
      <c r="R18" s="4">
        <v>18.283999999999999</v>
      </c>
    </row>
    <row r="19" spans="1:18" x14ac:dyDescent="0.25">
      <c r="A19" s="12" t="s">
        <v>36</v>
      </c>
      <c r="B19" s="5">
        <v>15</v>
      </c>
      <c r="C19" s="4">
        <v>78.587999999999994</v>
      </c>
      <c r="D19" s="4">
        <v>183.13800000000001</v>
      </c>
      <c r="E19" s="4">
        <v>157.78899999999999</v>
      </c>
      <c r="F19" s="4">
        <v>96.700999999999993</v>
      </c>
      <c r="G19" s="4">
        <v>51.927999999999997</v>
      </c>
      <c r="H19" s="4">
        <v>178.82599999999999</v>
      </c>
      <c r="I19" s="4">
        <v>189.38200000000001</v>
      </c>
      <c r="J19" s="4">
        <v>101.598</v>
      </c>
      <c r="K19" s="4">
        <v>51.838999999999999</v>
      </c>
      <c r="L19" s="4">
        <v>78.921000000000006</v>
      </c>
      <c r="M19" s="4">
        <v>133.46700000000001</v>
      </c>
      <c r="N19" s="4">
        <v>77.843000000000004</v>
      </c>
      <c r="O19" s="4">
        <v>14.401</v>
      </c>
      <c r="P19" s="4">
        <v>68.144000000000005</v>
      </c>
      <c r="Q19" s="4">
        <v>67.974999999999994</v>
      </c>
      <c r="R19" s="4">
        <v>16.228000000000002</v>
      </c>
    </row>
    <row r="20" spans="1:18" x14ac:dyDescent="0.25">
      <c r="A20" s="12" t="s">
        <v>36</v>
      </c>
      <c r="B20" s="5">
        <v>16</v>
      </c>
      <c r="C20" s="4">
        <v>78.834999999999994</v>
      </c>
      <c r="D20" s="4">
        <v>182.64599999999999</v>
      </c>
      <c r="E20" s="4">
        <v>158.208</v>
      </c>
      <c r="F20" s="4">
        <v>96.95</v>
      </c>
      <c r="G20" s="4">
        <v>51.95</v>
      </c>
      <c r="H20" s="4">
        <v>179.64599999999999</v>
      </c>
      <c r="I20" s="4">
        <v>189.64400000000001</v>
      </c>
      <c r="J20" s="4">
        <v>101.742</v>
      </c>
      <c r="K20" s="4">
        <v>51.911999999999999</v>
      </c>
      <c r="L20" s="4">
        <v>79.02</v>
      </c>
      <c r="M20" s="4">
        <v>133.71899999999999</v>
      </c>
      <c r="N20" s="4">
        <v>77.87</v>
      </c>
      <c r="O20" s="4">
        <v>14.441000000000001</v>
      </c>
      <c r="P20" s="4">
        <v>68.221000000000004</v>
      </c>
      <c r="Q20" s="4">
        <v>68.066999999999993</v>
      </c>
      <c r="R20" s="4">
        <v>16.268999999999998</v>
      </c>
    </row>
    <row r="21" spans="1:18" x14ac:dyDescent="0.25">
      <c r="A21" s="12" t="s">
        <v>36</v>
      </c>
      <c r="B21" s="5">
        <v>17</v>
      </c>
      <c r="C21" s="4">
        <v>75.98</v>
      </c>
      <c r="D21" s="4">
        <v>174.017</v>
      </c>
      <c r="E21" s="4">
        <v>166.203</v>
      </c>
      <c r="F21" s="4">
        <v>94.105999999999995</v>
      </c>
      <c r="G21" s="4">
        <v>54.387</v>
      </c>
      <c r="H21" s="4">
        <v>178.33</v>
      </c>
      <c r="I21" s="4">
        <v>162.77600000000001</v>
      </c>
      <c r="J21" s="4">
        <v>106.175</v>
      </c>
      <c r="K21" s="4">
        <v>54.088000000000001</v>
      </c>
      <c r="L21" s="4">
        <v>76.024000000000001</v>
      </c>
      <c r="M21" s="4">
        <v>114.506</v>
      </c>
      <c r="N21" s="4">
        <v>80.418000000000006</v>
      </c>
      <c r="O21" s="4">
        <v>12.856999999999999</v>
      </c>
      <c r="P21" s="4">
        <v>70.486000000000004</v>
      </c>
      <c r="Q21" s="4">
        <v>69.066999999999993</v>
      </c>
      <c r="R21" s="4">
        <v>14.679</v>
      </c>
    </row>
    <row r="22" spans="1:18" x14ac:dyDescent="0.25">
      <c r="A22" s="12" t="s">
        <v>36</v>
      </c>
      <c r="B22" s="5">
        <v>18</v>
      </c>
      <c r="C22" s="4">
        <v>76.813000000000002</v>
      </c>
      <c r="D22" s="4">
        <v>174.88200000000001</v>
      </c>
      <c r="E22" s="4">
        <v>167.57499999999999</v>
      </c>
      <c r="F22" s="4">
        <v>95.113</v>
      </c>
      <c r="G22" s="4">
        <v>54.622</v>
      </c>
      <c r="H22" s="4">
        <v>179.202</v>
      </c>
      <c r="I22" s="4">
        <v>164.101</v>
      </c>
      <c r="J22" s="4">
        <v>107.01900000000001</v>
      </c>
      <c r="K22" s="4">
        <v>54.472000000000001</v>
      </c>
      <c r="L22" s="4">
        <v>76.45</v>
      </c>
      <c r="M22" s="4">
        <v>115.23699999999999</v>
      </c>
      <c r="N22" s="4">
        <v>80.661000000000001</v>
      </c>
      <c r="O22" s="4">
        <v>12.988</v>
      </c>
      <c r="P22" s="4">
        <v>70.89</v>
      </c>
      <c r="Q22" s="4">
        <v>69.543999999999997</v>
      </c>
      <c r="R22" s="4">
        <v>14.827</v>
      </c>
    </row>
    <row r="23" spans="1:18" x14ac:dyDescent="0.25">
      <c r="A23" s="12" t="s">
        <v>36</v>
      </c>
      <c r="B23" s="5">
        <v>19</v>
      </c>
      <c r="C23" s="4">
        <v>77.673000000000002</v>
      </c>
      <c r="D23" s="4">
        <v>175.87899999999999</v>
      </c>
      <c r="E23" s="4">
        <v>168.99100000000001</v>
      </c>
      <c r="F23" s="4">
        <v>95.992000000000004</v>
      </c>
      <c r="G23" s="4">
        <v>54.835000000000001</v>
      </c>
      <c r="H23" s="4">
        <v>180.209</v>
      </c>
      <c r="I23" s="4">
        <v>165.499</v>
      </c>
      <c r="J23" s="4">
        <v>107.90900000000001</v>
      </c>
      <c r="K23" s="4">
        <v>54.844000000000001</v>
      </c>
      <c r="L23" s="4">
        <v>76.894000000000005</v>
      </c>
      <c r="M23" s="4">
        <v>116.03400000000001</v>
      </c>
      <c r="N23" s="4">
        <v>80.956999999999994</v>
      </c>
      <c r="O23" s="4">
        <v>13.131</v>
      </c>
      <c r="P23" s="4">
        <v>71.304000000000002</v>
      </c>
      <c r="Q23" s="4">
        <v>70.037999999999997</v>
      </c>
      <c r="R23" s="4">
        <v>14.983000000000001</v>
      </c>
    </row>
    <row r="24" spans="1:18" x14ac:dyDescent="0.25">
      <c r="A24" s="12" t="s">
        <v>36</v>
      </c>
      <c r="B24" s="5">
        <v>20</v>
      </c>
      <c r="C24" s="4">
        <v>77.709000000000003</v>
      </c>
      <c r="D24" s="4">
        <v>175.90799999999999</v>
      </c>
      <c r="E24" s="4">
        <v>169.03700000000001</v>
      </c>
      <c r="F24" s="4">
        <v>96.01</v>
      </c>
      <c r="G24" s="4">
        <v>54.838000000000001</v>
      </c>
      <c r="H24" s="4">
        <v>180.23599999999999</v>
      </c>
      <c r="I24" s="4">
        <v>165.53800000000001</v>
      </c>
      <c r="J24" s="4">
        <v>107.935</v>
      </c>
      <c r="K24" s="4">
        <v>54.856000000000002</v>
      </c>
      <c r="L24" s="4">
        <v>76.906999999999996</v>
      </c>
      <c r="M24" s="4">
        <v>116.05800000000001</v>
      </c>
      <c r="N24" s="4">
        <v>80.966999999999999</v>
      </c>
      <c r="O24" s="4">
        <v>13.135</v>
      </c>
      <c r="P24" s="4">
        <v>71.316000000000003</v>
      </c>
      <c r="Q24" s="4">
        <v>70.052000000000007</v>
      </c>
      <c r="R24" s="4">
        <v>14.988</v>
      </c>
    </row>
    <row r="25" spans="1:18" x14ac:dyDescent="0.25">
      <c r="A25" s="12" t="s">
        <v>36</v>
      </c>
      <c r="B25" s="5">
        <v>21</v>
      </c>
      <c r="C25" s="4">
        <v>77.710999999999999</v>
      </c>
      <c r="D25" s="4">
        <v>175.96799999999999</v>
      </c>
      <c r="E25" s="4">
        <v>169.09299999999999</v>
      </c>
      <c r="F25" s="4">
        <v>96.015000000000001</v>
      </c>
      <c r="G25" s="4">
        <v>54.837000000000003</v>
      </c>
      <c r="H25" s="4">
        <v>180.23400000000001</v>
      </c>
      <c r="I25" s="4">
        <v>165.54300000000001</v>
      </c>
      <c r="J25" s="4">
        <v>107.944</v>
      </c>
      <c r="K25" s="4">
        <v>54.863999999999997</v>
      </c>
      <c r="L25" s="4">
        <v>76.915999999999997</v>
      </c>
      <c r="M25" s="4">
        <v>116.07599999999999</v>
      </c>
      <c r="N25" s="4">
        <v>80.965999999999994</v>
      </c>
      <c r="O25" s="4">
        <v>13.137</v>
      </c>
      <c r="P25" s="4">
        <v>71.323999999999998</v>
      </c>
      <c r="Q25" s="4">
        <v>70.06</v>
      </c>
      <c r="R25" s="4">
        <v>14.991</v>
      </c>
    </row>
    <row r="26" spans="1:18" ht="18" x14ac:dyDescent="0.35">
      <c r="B26" s="6" t="s">
        <v>11</v>
      </c>
      <c r="C26" s="31">
        <v>215</v>
      </c>
      <c r="D26" s="7">
        <v>292</v>
      </c>
      <c r="E26" s="7">
        <v>292</v>
      </c>
      <c r="F26" s="7">
        <v>215</v>
      </c>
      <c r="G26" s="7">
        <v>199</v>
      </c>
      <c r="H26" s="7">
        <v>270</v>
      </c>
      <c r="I26" s="7">
        <v>270</v>
      </c>
      <c r="J26" s="7">
        <v>199</v>
      </c>
      <c r="K26" s="7">
        <v>199</v>
      </c>
      <c r="L26" s="7">
        <v>241</v>
      </c>
      <c r="M26" s="7">
        <v>241</v>
      </c>
      <c r="N26" s="7">
        <v>199</v>
      </c>
      <c r="O26" s="7">
        <v>199</v>
      </c>
      <c r="P26" s="7">
        <v>212</v>
      </c>
      <c r="Q26" s="7">
        <v>212</v>
      </c>
      <c r="R26" s="7">
        <v>199</v>
      </c>
    </row>
    <row r="72" spans="2:6" x14ac:dyDescent="0.25">
      <c r="B72" s="19" t="s">
        <v>16</v>
      </c>
      <c r="C72" s="17">
        <v>0</v>
      </c>
      <c r="D72" s="19" t="s">
        <v>19</v>
      </c>
      <c r="E72" s="19" t="s">
        <v>17</v>
      </c>
      <c r="F72" s="19" t="s">
        <v>18</v>
      </c>
    </row>
    <row r="73" spans="2:6" x14ac:dyDescent="0.25">
      <c r="B73" s="19" t="s">
        <v>16</v>
      </c>
      <c r="C73" s="17">
        <v>0</v>
      </c>
      <c r="D73" s="19" t="s">
        <v>19</v>
      </c>
      <c r="E73" s="19" t="s">
        <v>17</v>
      </c>
      <c r="F73" s="19" t="s">
        <v>18</v>
      </c>
    </row>
    <row r="74" spans="2:6" x14ac:dyDescent="0.25">
      <c r="B74" s="19" t="s">
        <v>16</v>
      </c>
      <c r="C74" s="17">
        <v>0</v>
      </c>
      <c r="D74" s="19" t="s">
        <v>19</v>
      </c>
      <c r="E74" s="19" t="s">
        <v>17</v>
      </c>
      <c r="F74" s="19" t="s">
        <v>18</v>
      </c>
    </row>
    <row r="75" spans="2:6" x14ac:dyDescent="0.25">
      <c r="B75" s="19" t="s">
        <v>16</v>
      </c>
      <c r="C75" s="17">
        <v>0</v>
      </c>
      <c r="D75" s="19" t="s">
        <v>19</v>
      </c>
      <c r="E75" s="19" t="s">
        <v>17</v>
      </c>
      <c r="F75" s="19" t="s">
        <v>18</v>
      </c>
    </row>
    <row r="76" spans="2:6" x14ac:dyDescent="0.25">
      <c r="B76" s="19" t="s">
        <v>16</v>
      </c>
      <c r="C76" s="17">
        <v>0</v>
      </c>
      <c r="D76" s="19" t="s">
        <v>19</v>
      </c>
      <c r="E76" s="19" t="s">
        <v>17</v>
      </c>
      <c r="F76" s="19" t="s">
        <v>18</v>
      </c>
    </row>
    <row r="77" spans="2:6" x14ac:dyDescent="0.25">
      <c r="B77" s="19" t="s">
        <v>16</v>
      </c>
      <c r="C77" s="17">
        <v>0</v>
      </c>
      <c r="D77" s="19" t="s">
        <v>19</v>
      </c>
      <c r="E77" s="19" t="s">
        <v>17</v>
      </c>
      <c r="F77" s="19" t="s">
        <v>18</v>
      </c>
    </row>
    <row r="78" spans="2:6" x14ac:dyDescent="0.25">
      <c r="B78" s="19" t="s">
        <v>16</v>
      </c>
      <c r="C78" s="17">
        <v>0</v>
      </c>
      <c r="D78" s="19" t="s">
        <v>19</v>
      </c>
      <c r="E78" s="19" t="s">
        <v>17</v>
      </c>
      <c r="F78" s="19" t="s">
        <v>18</v>
      </c>
    </row>
    <row r="79" spans="2:6" x14ac:dyDescent="0.25">
      <c r="B79" s="19" t="s">
        <v>16</v>
      </c>
      <c r="C79" s="17">
        <v>0</v>
      </c>
      <c r="D79" s="19" t="s">
        <v>19</v>
      </c>
      <c r="E79" s="19" t="s">
        <v>17</v>
      </c>
      <c r="F79" s="19" t="s">
        <v>18</v>
      </c>
    </row>
    <row r="80" spans="2:6" x14ac:dyDescent="0.25">
      <c r="B80" s="19" t="s">
        <v>16</v>
      </c>
      <c r="C80" s="17">
        <v>0</v>
      </c>
      <c r="D80" s="19" t="s">
        <v>19</v>
      </c>
      <c r="E80" s="19" t="s">
        <v>17</v>
      </c>
      <c r="F80" s="19" t="s">
        <v>18</v>
      </c>
    </row>
    <row r="81" spans="2:6" x14ac:dyDescent="0.25">
      <c r="B81" s="19" t="s">
        <v>16</v>
      </c>
      <c r="C81" s="17">
        <v>0</v>
      </c>
      <c r="D81" s="19" t="s">
        <v>19</v>
      </c>
      <c r="E81" s="19" t="s">
        <v>17</v>
      </c>
      <c r="F81" s="19" t="s">
        <v>18</v>
      </c>
    </row>
    <row r="82" spans="2:6" x14ac:dyDescent="0.25">
      <c r="B82" s="19" t="s">
        <v>16</v>
      </c>
      <c r="C82" s="17">
        <v>0</v>
      </c>
      <c r="D82" s="19" t="s">
        <v>19</v>
      </c>
      <c r="E82" s="19" t="s">
        <v>17</v>
      </c>
      <c r="F82" s="19" t="s">
        <v>18</v>
      </c>
    </row>
    <row r="83" spans="2:6" x14ac:dyDescent="0.25">
      <c r="B83" s="19" t="s">
        <v>16</v>
      </c>
      <c r="C83" s="17">
        <v>0</v>
      </c>
      <c r="D83" s="19" t="s">
        <v>19</v>
      </c>
      <c r="E83" s="19" t="s">
        <v>17</v>
      </c>
      <c r="F83" s="19" t="s">
        <v>18</v>
      </c>
    </row>
    <row r="84" spans="2:6" x14ac:dyDescent="0.25">
      <c r="B84" s="19" t="s">
        <v>16</v>
      </c>
      <c r="C84" s="17">
        <v>0</v>
      </c>
      <c r="D84" s="19" t="s">
        <v>19</v>
      </c>
      <c r="E84" s="19" t="s">
        <v>17</v>
      </c>
      <c r="F84" s="19" t="s">
        <v>18</v>
      </c>
    </row>
    <row r="85" spans="2:6" x14ac:dyDescent="0.25">
      <c r="B85" s="19" t="s">
        <v>16</v>
      </c>
      <c r="C85" s="17">
        <v>0</v>
      </c>
      <c r="D85" s="19" t="s">
        <v>19</v>
      </c>
      <c r="E85" s="19" t="s">
        <v>17</v>
      </c>
      <c r="F85" s="19" t="s">
        <v>18</v>
      </c>
    </row>
    <row r="86" spans="2:6" x14ac:dyDescent="0.25">
      <c r="B86" s="19" t="s">
        <v>16</v>
      </c>
      <c r="C86" s="17">
        <v>0</v>
      </c>
      <c r="D86" s="19" t="s">
        <v>19</v>
      </c>
      <c r="E86" s="19" t="s">
        <v>17</v>
      </c>
      <c r="F86" s="19" t="s">
        <v>18</v>
      </c>
    </row>
    <row r="87" spans="2:6" x14ac:dyDescent="0.25">
      <c r="B87" s="19" t="s">
        <v>16</v>
      </c>
      <c r="C87" s="17">
        <v>0</v>
      </c>
      <c r="D87" s="19" t="s">
        <v>19</v>
      </c>
      <c r="E87" s="19" t="s">
        <v>17</v>
      </c>
      <c r="F87" s="19" t="s">
        <v>18</v>
      </c>
    </row>
    <row r="88" spans="2:6" x14ac:dyDescent="0.25">
      <c r="B88" s="19" t="s">
        <v>16</v>
      </c>
      <c r="C88" s="17">
        <v>0</v>
      </c>
      <c r="D88" s="19" t="s">
        <v>19</v>
      </c>
      <c r="E88" s="19" t="s">
        <v>17</v>
      </c>
      <c r="F88" s="19" t="s">
        <v>18</v>
      </c>
    </row>
    <row r="89" spans="2:6" x14ac:dyDescent="0.25">
      <c r="B89" s="19" t="s">
        <v>16</v>
      </c>
      <c r="C89" s="17">
        <v>0</v>
      </c>
      <c r="D89" s="19" t="s">
        <v>19</v>
      </c>
      <c r="E89" s="19" t="s">
        <v>17</v>
      </c>
      <c r="F89" s="19" t="s">
        <v>18</v>
      </c>
    </row>
    <row r="90" spans="2:6" x14ac:dyDescent="0.25">
      <c r="B90" s="19" t="s">
        <v>16</v>
      </c>
      <c r="C90" s="17">
        <v>0</v>
      </c>
      <c r="D90" s="19" t="s">
        <v>19</v>
      </c>
      <c r="E90" s="19" t="s">
        <v>17</v>
      </c>
      <c r="F90" s="19" t="s">
        <v>18</v>
      </c>
    </row>
    <row r="91" spans="2:6" x14ac:dyDescent="0.25">
      <c r="B91" s="19" t="s">
        <v>16</v>
      </c>
      <c r="C91" s="17">
        <v>0</v>
      </c>
      <c r="D91" s="19" t="s">
        <v>19</v>
      </c>
      <c r="E91" s="19" t="s">
        <v>17</v>
      </c>
      <c r="F91" s="19" t="s">
        <v>18</v>
      </c>
    </row>
    <row r="92" spans="2:6" x14ac:dyDescent="0.25">
      <c r="B92" s="19" t="s">
        <v>16</v>
      </c>
      <c r="C92" s="17">
        <v>0</v>
      </c>
      <c r="D92" s="19" t="s">
        <v>19</v>
      </c>
      <c r="E92" s="19" t="s">
        <v>17</v>
      </c>
      <c r="F92" s="19" t="s">
        <v>18</v>
      </c>
    </row>
    <row r="93" spans="2:6" x14ac:dyDescent="0.25">
      <c r="B93" s="19" t="s">
        <v>16</v>
      </c>
      <c r="C93" s="17">
        <v>0</v>
      </c>
      <c r="D93" s="19" t="s">
        <v>19</v>
      </c>
      <c r="E93" s="19" t="s">
        <v>17</v>
      </c>
      <c r="F93" s="19" t="s">
        <v>18</v>
      </c>
    </row>
    <row r="94" spans="2:6" x14ac:dyDescent="0.25">
      <c r="B94" s="19" t="s">
        <v>20</v>
      </c>
      <c r="C94" s="17">
        <v>0</v>
      </c>
      <c r="D94" s="19" t="s">
        <v>19</v>
      </c>
      <c r="E94" s="19" t="s">
        <v>17</v>
      </c>
      <c r="F94" s="19" t="s">
        <v>18</v>
      </c>
    </row>
    <row r="95" spans="2:6" x14ac:dyDescent="0.25">
      <c r="B95" s="19" t="s">
        <v>20</v>
      </c>
      <c r="C95" s="17">
        <v>0</v>
      </c>
      <c r="D95" s="19" t="s">
        <v>19</v>
      </c>
      <c r="E95" s="19" t="s">
        <v>17</v>
      </c>
      <c r="F95" s="19" t="s">
        <v>18</v>
      </c>
    </row>
    <row r="96" spans="2:6" x14ac:dyDescent="0.25">
      <c r="B96" s="19" t="s">
        <v>20</v>
      </c>
      <c r="C96" s="17">
        <v>0</v>
      </c>
      <c r="D96" s="19" t="s">
        <v>19</v>
      </c>
      <c r="E96" s="19" t="s">
        <v>17</v>
      </c>
      <c r="F96" s="19" t="s">
        <v>18</v>
      </c>
    </row>
    <row r="97" spans="2:6" x14ac:dyDescent="0.25">
      <c r="B97" s="19" t="s">
        <v>20</v>
      </c>
      <c r="C97" s="17">
        <v>0</v>
      </c>
      <c r="D97" s="19" t="s">
        <v>19</v>
      </c>
      <c r="E97" s="19" t="s">
        <v>17</v>
      </c>
      <c r="F97" s="19" t="s">
        <v>18</v>
      </c>
    </row>
    <row r="98" spans="2:6" x14ac:dyDescent="0.25">
      <c r="B98" s="19" t="s">
        <v>20</v>
      </c>
      <c r="C98" s="17">
        <v>0</v>
      </c>
      <c r="D98" s="19" t="s">
        <v>19</v>
      </c>
      <c r="E98" s="19" t="s">
        <v>17</v>
      </c>
      <c r="F98" s="19" t="s">
        <v>18</v>
      </c>
    </row>
    <row r="99" spans="2:6" x14ac:dyDescent="0.25">
      <c r="B99" s="19" t="s">
        <v>20</v>
      </c>
      <c r="C99" s="17">
        <v>0</v>
      </c>
      <c r="D99" s="19" t="s">
        <v>19</v>
      </c>
      <c r="E99" s="19" t="s">
        <v>17</v>
      </c>
      <c r="F99" s="19" t="s">
        <v>18</v>
      </c>
    </row>
    <row r="100" spans="2:6" x14ac:dyDescent="0.25">
      <c r="B100" s="19" t="s">
        <v>20</v>
      </c>
      <c r="C100" s="17">
        <v>0</v>
      </c>
      <c r="D100" s="19" t="s">
        <v>19</v>
      </c>
      <c r="E100" s="19" t="s">
        <v>17</v>
      </c>
      <c r="F100" s="19" t="s">
        <v>18</v>
      </c>
    </row>
    <row r="101" spans="2:6" x14ac:dyDescent="0.25">
      <c r="B101" s="19" t="s">
        <v>20</v>
      </c>
      <c r="C101" s="17">
        <v>0</v>
      </c>
      <c r="D101" s="19" t="s">
        <v>19</v>
      </c>
      <c r="E101" s="19" t="s">
        <v>17</v>
      </c>
      <c r="F101" s="19" t="s">
        <v>18</v>
      </c>
    </row>
    <row r="102" spans="2:6" x14ac:dyDescent="0.25">
      <c r="B102" s="19" t="s">
        <v>20</v>
      </c>
      <c r="C102" s="17">
        <v>0</v>
      </c>
      <c r="D102" s="19" t="s">
        <v>19</v>
      </c>
      <c r="E102" s="19" t="s">
        <v>17</v>
      </c>
      <c r="F102" s="19" t="s">
        <v>18</v>
      </c>
    </row>
    <row r="103" spans="2:6" x14ac:dyDescent="0.25">
      <c r="B103" s="19" t="s">
        <v>20</v>
      </c>
      <c r="C103" s="17">
        <v>0</v>
      </c>
      <c r="D103" s="19" t="s">
        <v>19</v>
      </c>
      <c r="E103" s="19" t="s">
        <v>17</v>
      </c>
      <c r="F103" s="19" t="s">
        <v>18</v>
      </c>
    </row>
    <row r="104" spans="2:6" x14ac:dyDescent="0.25">
      <c r="B104" s="19" t="s">
        <v>20</v>
      </c>
      <c r="C104" s="17">
        <v>0</v>
      </c>
      <c r="D104" s="19" t="s">
        <v>19</v>
      </c>
      <c r="E104" s="19" t="s">
        <v>17</v>
      </c>
      <c r="F104" s="19" t="s">
        <v>18</v>
      </c>
    </row>
    <row r="105" spans="2:6" x14ac:dyDescent="0.25">
      <c r="B105" s="19" t="s">
        <v>20</v>
      </c>
      <c r="C105" s="17">
        <v>0</v>
      </c>
      <c r="D105" s="19" t="s">
        <v>19</v>
      </c>
      <c r="E105" s="19" t="s">
        <v>17</v>
      </c>
      <c r="F105" s="19" t="s">
        <v>18</v>
      </c>
    </row>
    <row r="106" spans="2:6" x14ac:dyDescent="0.25">
      <c r="B106" s="19" t="s">
        <v>20</v>
      </c>
      <c r="C106" s="17">
        <v>0</v>
      </c>
      <c r="D106" s="19" t="s">
        <v>19</v>
      </c>
      <c r="E106" s="19" t="s">
        <v>17</v>
      </c>
      <c r="F106" s="19" t="s">
        <v>18</v>
      </c>
    </row>
    <row r="107" spans="2:6" x14ac:dyDescent="0.25">
      <c r="B107" s="19" t="s">
        <v>20</v>
      </c>
      <c r="C107" s="17">
        <v>0</v>
      </c>
      <c r="D107" s="19" t="s">
        <v>19</v>
      </c>
      <c r="E107" s="19" t="s">
        <v>17</v>
      </c>
      <c r="F107" s="19" t="s">
        <v>18</v>
      </c>
    </row>
    <row r="108" spans="2:6" x14ac:dyDescent="0.25">
      <c r="B108" s="19" t="s">
        <v>20</v>
      </c>
      <c r="C108" s="17">
        <v>0</v>
      </c>
      <c r="D108" s="19" t="s">
        <v>19</v>
      </c>
      <c r="E108" s="19" t="s">
        <v>17</v>
      </c>
      <c r="F108" s="19" t="s">
        <v>18</v>
      </c>
    </row>
    <row r="109" spans="2:6" x14ac:dyDescent="0.25">
      <c r="B109" s="19" t="s">
        <v>20</v>
      </c>
      <c r="C109" s="17">
        <v>0</v>
      </c>
      <c r="D109" s="19" t="s">
        <v>19</v>
      </c>
      <c r="E109" s="19" t="s">
        <v>17</v>
      </c>
      <c r="F109" s="19" t="s">
        <v>18</v>
      </c>
    </row>
    <row r="110" spans="2:6" x14ac:dyDescent="0.25">
      <c r="B110" s="19" t="s">
        <v>20</v>
      </c>
      <c r="C110" s="17">
        <v>0</v>
      </c>
      <c r="D110" s="19" t="s">
        <v>19</v>
      </c>
      <c r="E110" s="19" t="s">
        <v>17</v>
      </c>
      <c r="F110" s="19" t="s">
        <v>18</v>
      </c>
    </row>
    <row r="111" spans="2:6" x14ac:dyDescent="0.25">
      <c r="B111" s="19" t="s">
        <v>20</v>
      </c>
      <c r="C111" s="17">
        <v>0</v>
      </c>
      <c r="D111" s="19" t="s">
        <v>19</v>
      </c>
      <c r="E111" s="19" t="s">
        <v>17</v>
      </c>
      <c r="F111" s="19" t="s">
        <v>18</v>
      </c>
    </row>
    <row r="112" spans="2:6" x14ac:dyDescent="0.25">
      <c r="B112" s="19" t="s">
        <v>20</v>
      </c>
      <c r="C112" s="17">
        <v>0</v>
      </c>
      <c r="D112" s="19" t="s">
        <v>19</v>
      </c>
      <c r="E112" s="19" t="s">
        <v>17</v>
      </c>
      <c r="F112" s="19" t="s">
        <v>18</v>
      </c>
    </row>
    <row r="113" spans="2:6" x14ac:dyDescent="0.25">
      <c r="B113" s="19" t="s">
        <v>20</v>
      </c>
      <c r="C113" s="17">
        <v>0</v>
      </c>
      <c r="D113" s="19" t="s">
        <v>19</v>
      </c>
      <c r="E113" s="19" t="s">
        <v>17</v>
      </c>
      <c r="F113" s="19" t="s">
        <v>18</v>
      </c>
    </row>
    <row r="114" spans="2:6" x14ac:dyDescent="0.25">
      <c r="B114" s="19" t="s">
        <v>20</v>
      </c>
      <c r="C114" s="17">
        <v>0</v>
      </c>
      <c r="D114" s="19" t="s">
        <v>19</v>
      </c>
      <c r="E114" s="19" t="s">
        <v>17</v>
      </c>
      <c r="F114" s="19" t="s">
        <v>18</v>
      </c>
    </row>
    <row r="115" spans="2:6" x14ac:dyDescent="0.25">
      <c r="B115" s="19" t="s">
        <v>20</v>
      </c>
      <c r="C115" s="17">
        <v>0</v>
      </c>
      <c r="D115" s="19" t="s">
        <v>19</v>
      </c>
      <c r="E115" s="19" t="s">
        <v>17</v>
      </c>
      <c r="F115" s="19" t="s">
        <v>18</v>
      </c>
    </row>
    <row r="116" spans="2:6" x14ac:dyDescent="0.25">
      <c r="B116" s="19" t="s">
        <v>21</v>
      </c>
      <c r="C116" s="17">
        <v>0</v>
      </c>
      <c r="D116" s="19" t="s">
        <v>19</v>
      </c>
      <c r="E116" s="19" t="s">
        <v>17</v>
      </c>
      <c r="F116" s="19" t="s">
        <v>18</v>
      </c>
    </row>
    <row r="117" spans="2:6" x14ac:dyDescent="0.25">
      <c r="B117" s="19" t="s">
        <v>21</v>
      </c>
      <c r="C117" s="17">
        <v>0</v>
      </c>
      <c r="D117" s="19" t="s">
        <v>19</v>
      </c>
      <c r="E117" s="19" t="s">
        <v>17</v>
      </c>
      <c r="F117" s="19" t="s">
        <v>18</v>
      </c>
    </row>
    <row r="118" spans="2:6" x14ac:dyDescent="0.25">
      <c r="B118" s="19" t="s">
        <v>21</v>
      </c>
      <c r="C118" s="17">
        <v>0</v>
      </c>
      <c r="D118" s="19" t="s">
        <v>19</v>
      </c>
      <c r="E118" s="19" t="s">
        <v>17</v>
      </c>
      <c r="F118" s="19" t="s">
        <v>18</v>
      </c>
    </row>
    <row r="119" spans="2:6" x14ac:dyDescent="0.25">
      <c r="B119" s="19" t="s">
        <v>21</v>
      </c>
      <c r="C119" s="17">
        <v>0</v>
      </c>
      <c r="D119" s="19" t="s">
        <v>19</v>
      </c>
      <c r="E119" s="19" t="s">
        <v>17</v>
      </c>
      <c r="F119" s="19" t="s">
        <v>18</v>
      </c>
    </row>
    <row r="120" spans="2:6" x14ac:dyDescent="0.25">
      <c r="B120" s="19" t="s">
        <v>21</v>
      </c>
      <c r="C120" s="17">
        <v>0</v>
      </c>
      <c r="D120" s="19" t="s">
        <v>19</v>
      </c>
      <c r="E120" s="19" t="s">
        <v>17</v>
      </c>
      <c r="F120" s="19" t="s">
        <v>18</v>
      </c>
    </row>
    <row r="121" spans="2:6" x14ac:dyDescent="0.25">
      <c r="B121" s="19" t="s">
        <v>21</v>
      </c>
      <c r="C121" s="17">
        <v>0</v>
      </c>
      <c r="D121" s="19" t="s">
        <v>19</v>
      </c>
      <c r="E121" s="19" t="s">
        <v>17</v>
      </c>
      <c r="F121" s="19" t="s">
        <v>18</v>
      </c>
    </row>
    <row r="122" spans="2:6" x14ac:dyDescent="0.25">
      <c r="B122" s="19" t="s">
        <v>21</v>
      </c>
      <c r="C122" s="17">
        <v>0</v>
      </c>
      <c r="D122" s="19" t="s">
        <v>19</v>
      </c>
      <c r="E122" s="19" t="s">
        <v>17</v>
      </c>
      <c r="F122" s="19" t="s">
        <v>18</v>
      </c>
    </row>
    <row r="123" spans="2:6" x14ac:dyDescent="0.25">
      <c r="B123" s="19" t="s">
        <v>21</v>
      </c>
      <c r="C123" s="17">
        <v>0</v>
      </c>
      <c r="D123" s="19" t="s">
        <v>19</v>
      </c>
      <c r="E123" s="19" t="s">
        <v>17</v>
      </c>
      <c r="F123" s="19" t="s">
        <v>18</v>
      </c>
    </row>
    <row r="124" spans="2:6" x14ac:dyDescent="0.25">
      <c r="B124" s="19" t="s">
        <v>21</v>
      </c>
      <c r="C124" s="17">
        <v>0</v>
      </c>
      <c r="D124" s="19" t="s">
        <v>19</v>
      </c>
      <c r="E124" s="19" t="s">
        <v>17</v>
      </c>
      <c r="F124" s="19" t="s">
        <v>18</v>
      </c>
    </row>
    <row r="125" spans="2:6" x14ac:dyDescent="0.25">
      <c r="B125" s="19" t="s">
        <v>21</v>
      </c>
      <c r="C125" s="17">
        <v>0</v>
      </c>
      <c r="D125" s="19" t="s">
        <v>19</v>
      </c>
      <c r="E125" s="19" t="s">
        <v>17</v>
      </c>
      <c r="F125" s="19" t="s">
        <v>18</v>
      </c>
    </row>
    <row r="126" spans="2:6" x14ac:dyDescent="0.25">
      <c r="B126" s="19" t="s">
        <v>21</v>
      </c>
      <c r="C126" s="17">
        <v>0</v>
      </c>
      <c r="D126" s="19" t="s">
        <v>19</v>
      </c>
      <c r="E126" s="19" t="s">
        <v>17</v>
      </c>
      <c r="F126" s="19" t="s">
        <v>18</v>
      </c>
    </row>
    <row r="127" spans="2:6" x14ac:dyDescent="0.25">
      <c r="B127" s="19" t="s">
        <v>21</v>
      </c>
      <c r="C127" s="17">
        <v>0</v>
      </c>
      <c r="D127" s="19" t="s">
        <v>19</v>
      </c>
      <c r="E127" s="19" t="s">
        <v>17</v>
      </c>
      <c r="F127" s="19" t="s">
        <v>18</v>
      </c>
    </row>
    <row r="128" spans="2:6" x14ac:dyDescent="0.25">
      <c r="B128" s="19" t="s">
        <v>21</v>
      </c>
      <c r="C128" s="17">
        <v>0</v>
      </c>
      <c r="D128" s="19" t="s">
        <v>19</v>
      </c>
      <c r="E128" s="19" t="s">
        <v>17</v>
      </c>
      <c r="F128" s="19" t="s">
        <v>18</v>
      </c>
    </row>
    <row r="129" spans="2:6" x14ac:dyDescent="0.25">
      <c r="B129" s="19" t="s">
        <v>21</v>
      </c>
      <c r="C129" s="17">
        <v>0</v>
      </c>
      <c r="D129" s="19" t="s">
        <v>19</v>
      </c>
      <c r="E129" s="19" t="s">
        <v>17</v>
      </c>
      <c r="F129" s="19" t="s">
        <v>18</v>
      </c>
    </row>
    <row r="130" spans="2:6" x14ac:dyDescent="0.25">
      <c r="B130" s="19" t="s">
        <v>21</v>
      </c>
      <c r="C130" s="17">
        <v>0</v>
      </c>
      <c r="D130" s="19" t="s">
        <v>19</v>
      </c>
      <c r="E130" s="19" t="s">
        <v>17</v>
      </c>
      <c r="F130" s="19" t="s">
        <v>18</v>
      </c>
    </row>
    <row r="131" spans="2:6" x14ac:dyDescent="0.25">
      <c r="B131" s="19" t="s">
        <v>21</v>
      </c>
      <c r="C131" s="17">
        <v>0</v>
      </c>
      <c r="D131" s="19" t="s">
        <v>19</v>
      </c>
      <c r="E131" s="19" t="s">
        <v>17</v>
      </c>
      <c r="F131" s="19" t="s">
        <v>18</v>
      </c>
    </row>
    <row r="132" spans="2:6" x14ac:dyDescent="0.25">
      <c r="B132" s="19" t="s">
        <v>21</v>
      </c>
      <c r="C132" s="17">
        <v>0</v>
      </c>
      <c r="D132" s="19" t="s">
        <v>19</v>
      </c>
      <c r="E132" s="19" t="s">
        <v>17</v>
      </c>
      <c r="F132" s="19" t="s">
        <v>18</v>
      </c>
    </row>
    <row r="133" spans="2:6" x14ac:dyDescent="0.25">
      <c r="B133" s="19" t="s">
        <v>21</v>
      </c>
      <c r="C133" s="17">
        <v>0</v>
      </c>
      <c r="D133" s="19" t="s">
        <v>19</v>
      </c>
      <c r="E133" s="19" t="s">
        <v>17</v>
      </c>
      <c r="F133" s="19" t="s">
        <v>18</v>
      </c>
    </row>
    <row r="134" spans="2:6" x14ac:dyDescent="0.25">
      <c r="B134" s="19" t="s">
        <v>21</v>
      </c>
      <c r="C134" s="17">
        <v>0</v>
      </c>
      <c r="D134" s="19" t="s">
        <v>19</v>
      </c>
      <c r="E134" s="19" t="s">
        <v>17</v>
      </c>
      <c r="F134" s="19" t="s">
        <v>18</v>
      </c>
    </row>
    <row r="135" spans="2:6" x14ac:dyDescent="0.25">
      <c r="B135" s="19" t="s">
        <v>21</v>
      </c>
      <c r="C135" s="17">
        <v>0</v>
      </c>
      <c r="D135" s="19" t="s">
        <v>19</v>
      </c>
      <c r="E135" s="19" t="s">
        <v>17</v>
      </c>
      <c r="F135" s="19" t="s">
        <v>18</v>
      </c>
    </row>
    <row r="136" spans="2:6" x14ac:dyDescent="0.25">
      <c r="B136" s="19" t="s">
        <v>21</v>
      </c>
      <c r="C136" s="17">
        <v>0</v>
      </c>
      <c r="D136" s="19" t="s">
        <v>19</v>
      </c>
      <c r="E136" s="19" t="s">
        <v>17</v>
      </c>
      <c r="F136" s="19" t="s">
        <v>18</v>
      </c>
    </row>
    <row r="137" spans="2:6" x14ac:dyDescent="0.25">
      <c r="B137" s="19" t="s">
        <v>21</v>
      </c>
      <c r="C137" s="17">
        <v>0</v>
      </c>
      <c r="D137" s="19" t="s">
        <v>19</v>
      </c>
      <c r="E137" s="19" t="s">
        <v>17</v>
      </c>
      <c r="F137" s="19" t="s">
        <v>18</v>
      </c>
    </row>
    <row r="138" spans="2:6" x14ac:dyDescent="0.25">
      <c r="B138" s="19" t="s">
        <v>22</v>
      </c>
      <c r="C138" s="17">
        <v>0</v>
      </c>
      <c r="D138" s="19" t="s">
        <v>19</v>
      </c>
      <c r="E138" s="19" t="s">
        <v>17</v>
      </c>
      <c r="F138" s="19" t="s">
        <v>18</v>
      </c>
    </row>
    <row r="139" spans="2:6" x14ac:dyDescent="0.25">
      <c r="B139" s="19" t="s">
        <v>22</v>
      </c>
      <c r="C139" s="17">
        <v>0</v>
      </c>
      <c r="D139" s="19" t="s">
        <v>19</v>
      </c>
      <c r="E139" s="19" t="s">
        <v>17</v>
      </c>
      <c r="F139" s="19" t="s">
        <v>18</v>
      </c>
    </row>
    <row r="140" spans="2:6" x14ac:dyDescent="0.25">
      <c r="B140" s="19" t="s">
        <v>22</v>
      </c>
      <c r="C140" s="17">
        <v>0</v>
      </c>
      <c r="D140" s="19" t="s">
        <v>19</v>
      </c>
      <c r="E140" s="19" t="s">
        <v>17</v>
      </c>
      <c r="F140" s="19" t="s">
        <v>18</v>
      </c>
    </row>
    <row r="141" spans="2:6" x14ac:dyDescent="0.25">
      <c r="B141" s="19" t="s">
        <v>22</v>
      </c>
      <c r="C141" s="17">
        <v>0</v>
      </c>
      <c r="D141" s="19" t="s">
        <v>19</v>
      </c>
      <c r="E141" s="19" t="s">
        <v>17</v>
      </c>
      <c r="F141" s="19" t="s">
        <v>18</v>
      </c>
    </row>
    <row r="142" spans="2:6" x14ac:dyDescent="0.25">
      <c r="B142" s="19" t="s">
        <v>22</v>
      </c>
      <c r="C142" s="17">
        <v>0</v>
      </c>
      <c r="D142" s="19" t="s">
        <v>19</v>
      </c>
      <c r="E142" s="19" t="s">
        <v>17</v>
      </c>
      <c r="F142" s="19" t="s">
        <v>18</v>
      </c>
    </row>
    <row r="143" spans="2:6" x14ac:dyDescent="0.25">
      <c r="B143" s="19" t="s">
        <v>22</v>
      </c>
      <c r="C143" s="17">
        <v>0</v>
      </c>
      <c r="D143" s="19" t="s">
        <v>19</v>
      </c>
      <c r="E143" s="19" t="s">
        <v>17</v>
      </c>
      <c r="F143" s="19" t="s">
        <v>18</v>
      </c>
    </row>
    <row r="144" spans="2:6" x14ac:dyDescent="0.25">
      <c r="B144" s="19" t="s">
        <v>22</v>
      </c>
      <c r="C144" s="17">
        <v>0</v>
      </c>
      <c r="D144" s="19" t="s">
        <v>19</v>
      </c>
      <c r="E144" s="19" t="s">
        <v>17</v>
      </c>
      <c r="F144" s="19" t="s">
        <v>18</v>
      </c>
    </row>
    <row r="145" spans="2:6" x14ac:dyDescent="0.25">
      <c r="B145" s="19" t="s">
        <v>22</v>
      </c>
      <c r="C145" s="17">
        <v>0</v>
      </c>
      <c r="D145" s="19" t="s">
        <v>19</v>
      </c>
      <c r="E145" s="19" t="s">
        <v>17</v>
      </c>
      <c r="F145" s="19" t="s">
        <v>18</v>
      </c>
    </row>
    <row r="146" spans="2:6" x14ac:dyDescent="0.25">
      <c r="B146" s="19" t="s">
        <v>22</v>
      </c>
      <c r="C146" s="17">
        <v>0</v>
      </c>
      <c r="D146" s="19" t="s">
        <v>19</v>
      </c>
      <c r="E146" s="19" t="s">
        <v>17</v>
      </c>
      <c r="F146" s="19" t="s">
        <v>18</v>
      </c>
    </row>
    <row r="147" spans="2:6" x14ac:dyDescent="0.25">
      <c r="B147" s="19" t="s">
        <v>22</v>
      </c>
      <c r="C147" s="17">
        <v>0</v>
      </c>
      <c r="D147" s="19" t="s">
        <v>19</v>
      </c>
      <c r="E147" s="19" t="s">
        <v>17</v>
      </c>
      <c r="F147" s="19" t="s">
        <v>18</v>
      </c>
    </row>
    <row r="148" spans="2:6" x14ac:dyDescent="0.25">
      <c r="B148" s="19" t="s">
        <v>22</v>
      </c>
      <c r="C148" s="17">
        <v>0</v>
      </c>
      <c r="D148" s="19" t="s">
        <v>19</v>
      </c>
      <c r="E148" s="19" t="s">
        <v>17</v>
      </c>
      <c r="F148" s="19" t="s">
        <v>18</v>
      </c>
    </row>
    <row r="149" spans="2:6" x14ac:dyDescent="0.25">
      <c r="B149" s="19" t="s">
        <v>22</v>
      </c>
      <c r="C149" s="17">
        <v>0</v>
      </c>
      <c r="D149" s="19" t="s">
        <v>19</v>
      </c>
      <c r="E149" s="19" t="s">
        <v>17</v>
      </c>
      <c r="F149" s="19" t="s">
        <v>18</v>
      </c>
    </row>
    <row r="150" spans="2:6" x14ac:dyDescent="0.25">
      <c r="B150" s="19" t="s">
        <v>22</v>
      </c>
      <c r="C150" s="17">
        <v>0</v>
      </c>
      <c r="D150" s="19" t="s">
        <v>19</v>
      </c>
      <c r="E150" s="19" t="s">
        <v>17</v>
      </c>
      <c r="F150" s="19" t="s">
        <v>18</v>
      </c>
    </row>
    <row r="151" spans="2:6" x14ac:dyDescent="0.25">
      <c r="B151" s="19" t="s">
        <v>22</v>
      </c>
      <c r="C151" s="17">
        <v>0</v>
      </c>
      <c r="D151" s="19" t="s">
        <v>19</v>
      </c>
      <c r="E151" s="19" t="s">
        <v>17</v>
      </c>
      <c r="F151" s="19" t="s">
        <v>18</v>
      </c>
    </row>
    <row r="152" spans="2:6" x14ac:dyDescent="0.25">
      <c r="B152" s="19" t="s">
        <v>22</v>
      </c>
      <c r="C152" s="17">
        <v>0</v>
      </c>
      <c r="D152" s="19" t="s">
        <v>19</v>
      </c>
      <c r="E152" s="19" t="s">
        <v>17</v>
      </c>
      <c r="F152" s="19" t="s">
        <v>18</v>
      </c>
    </row>
    <row r="153" spans="2:6" x14ac:dyDescent="0.25">
      <c r="B153" s="19" t="s">
        <v>22</v>
      </c>
      <c r="C153" s="17">
        <v>0</v>
      </c>
      <c r="D153" s="19" t="s">
        <v>19</v>
      </c>
      <c r="E153" s="19" t="s">
        <v>17</v>
      </c>
      <c r="F153" s="19" t="s">
        <v>18</v>
      </c>
    </row>
    <row r="154" spans="2:6" x14ac:dyDescent="0.25">
      <c r="B154" s="19" t="s">
        <v>22</v>
      </c>
      <c r="C154" s="17">
        <v>0</v>
      </c>
      <c r="D154" s="19" t="s">
        <v>19</v>
      </c>
      <c r="E154" s="19" t="s">
        <v>17</v>
      </c>
      <c r="F154" s="19" t="s">
        <v>18</v>
      </c>
    </row>
    <row r="155" spans="2:6" x14ac:dyDescent="0.25">
      <c r="B155" s="19" t="s">
        <v>22</v>
      </c>
      <c r="C155" s="17">
        <v>0</v>
      </c>
      <c r="D155" s="19" t="s">
        <v>19</v>
      </c>
      <c r="E155" s="19" t="s">
        <v>17</v>
      </c>
      <c r="F155" s="19" t="s">
        <v>18</v>
      </c>
    </row>
    <row r="156" spans="2:6" x14ac:dyDescent="0.25">
      <c r="B156" s="19" t="s">
        <v>22</v>
      </c>
      <c r="C156" s="17">
        <v>0</v>
      </c>
      <c r="D156" s="19" t="s">
        <v>19</v>
      </c>
      <c r="E156" s="19" t="s">
        <v>17</v>
      </c>
      <c r="F156" s="19" t="s">
        <v>18</v>
      </c>
    </row>
    <row r="157" spans="2:6" x14ac:dyDescent="0.25">
      <c r="B157" s="19" t="s">
        <v>22</v>
      </c>
      <c r="C157" s="17">
        <v>0</v>
      </c>
      <c r="D157" s="19" t="s">
        <v>19</v>
      </c>
      <c r="E157" s="19" t="s">
        <v>17</v>
      </c>
      <c r="F157" s="19" t="s">
        <v>18</v>
      </c>
    </row>
    <row r="158" spans="2:6" x14ac:dyDescent="0.25">
      <c r="B158" s="19" t="s">
        <v>22</v>
      </c>
      <c r="C158" s="17">
        <v>0</v>
      </c>
      <c r="D158" s="19" t="s">
        <v>19</v>
      </c>
      <c r="E158" s="19" t="s">
        <v>17</v>
      </c>
      <c r="F158" s="19" t="s">
        <v>18</v>
      </c>
    </row>
    <row r="159" spans="2:6" x14ac:dyDescent="0.25">
      <c r="B159" s="19" t="s">
        <v>22</v>
      </c>
      <c r="C159" s="17">
        <v>0</v>
      </c>
      <c r="D159" s="19" t="s">
        <v>19</v>
      </c>
      <c r="E159" s="19" t="s">
        <v>17</v>
      </c>
      <c r="F159" s="19" t="s">
        <v>18</v>
      </c>
    </row>
    <row r="160" spans="2:6" x14ac:dyDescent="0.25">
      <c r="B160" s="19" t="s">
        <v>23</v>
      </c>
      <c r="C160" s="17">
        <v>0</v>
      </c>
      <c r="D160" s="19" t="s">
        <v>19</v>
      </c>
      <c r="E160" s="19" t="s">
        <v>17</v>
      </c>
      <c r="F160" s="19" t="s">
        <v>18</v>
      </c>
    </row>
    <row r="161" spans="2:6" x14ac:dyDescent="0.25">
      <c r="B161" s="19" t="s">
        <v>23</v>
      </c>
      <c r="C161" s="17">
        <v>0</v>
      </c>
      <c r="D161" s="19" t="s">
        <v>19</v>
      </c>
      <c r="E161" s="19" t="s">
        <v>17</v>
      </c>
      <c r="F161" s="19" t="s">
        <v>18</v>
      </c>
    </row>
    <row r="162" spans="2:6" x14ac:dyDescent="0.25">
      <c r="B162" s="19" t="s">
        <v>23</v>
      </c>
      <c r="C162" s="17">
        <v>0</v>
      </c>
      <c r="D162" s="19" t="s">
        <v>19</v>
      </c>
      <c r="E162" s="19" t="s">
        <v>17</v>
      </c>
      <c r="F162" s="19" t="s">
        <v>18</v>
      </c>
    </row>
    <row r="163" spans="2:6" x14ac:dyDescent="0.25">
      <c r="B163" s="19" t="s">
        <v>23</v>
      </c>
      <c r="C163" s="17">
        <v>0</v>
      </c>
      <c r="D163" s="19" t="s">
        <v>19</v>
      </c>
      <c r="E163" s="19" t="s">
        <v>17</v>
      </c>
      <c r="F163" s="19" t="s">
        <v>18</v>
      </c>
    </row>
    <row r="164" spans="2:6" x14ac:dyDescent="0.25">
      <c r="B164" s="19" t="s">
        <v>23</v>
      </c>
      <c r="C164" s="17">
        <v>0</v>
      </c>
      <c r="D164" s="19" t="s">
        <v>19</v>
      </c>
      <c r="E164" s="19" t="s">
        <v>17</v>
      </c>
      <c r="F164" s="19" t="s">
        <v>18</v>
      </c>
    </row>
    <row r="165" spans="2:6" x14ac:dyDescent="0.25">
      <c r="B165" s="19" t="s">
        <v>23</v>
      </c>
      <c r="C165" s="17">
        <v>0</v>
      </c>
      <c r="D165" s="19" t="s">
        <v>19</v>
      </c>
      <c r="E165" s="19" t="s">
        <v>17</v>
      </c>
      <c r="F165" s="19" t="s">
        <v>18</v>
      </c>
    </row>
    <row r="166" spans="2:6" x14ac:dyDescent="0.25">
      <c r="B166" s="19" t="s">
        <v>23</v>
      </c>
      <c r="C166" s="17">
        <v>0</v>
      </c>
      <c r="D166" s="19" t="s">
        <v>19</v>
      </c>
      <c r="E166" s="19" t="s">
        <v>17</v>
      </c>
      <c r="F166" s="19" t="s">
        <v>18</v>
      </c>
    </row>
    <row r="167" spans="2:6" x14ac:dyDescent="0.25">
      <c r="B167" s="19" t="s">
        <v>23</v>
      </c>
      <c r="C167" s="17">
        <v>0</v>
      </c>
      <c r="D167" s="19" t="s">
        <v>19</v>
      </c>
      <c r="E167" s="19" t="s">
        <v>17</v>
      </c>
      <c r="F167" s="19" t="s">
        <v>18</v>
      </c>
    </row>
    <row r="168" spans="2:6" x14ac:dyDescent="0.25">
      <c r="B168" s="19" t="s">
        <v>23</v>
      </c>
      <c r="C168" s="17">
        <v>0</v>
      </c>
      <c r="D168" s="19" t="s">
        <v>19</v>
      </c>
      <c r="E168" s="19" t="s">
        <v>17</v>
      </c>
      <c r="F168" s="19" t="s">
        <v>18</v>
      </c>
    </row>
    <row r="169" spans="2:6" x14ac:dyDescent="0.25">
      <c r="B169" s="19" t="s">
        <v>23</v>
      </c>
      <c r="C169" s="17">
        <v>0</v>
      </c>
      <c r="D169" s="19" t="s">
        <v>19</v>
      </c>
      <c r="E169" s="19" t="s">
        <v>17</v>
      </c>
      <c r="F169" s="19" t="s">
        <v>18</v>
      </c>
    </row>
    <row r="170" spans="2:6" x14ac:dyDescent="0.25">
      <c r="B170" s="19" t="s">
        <v>23</v>
      </c>
      <c r="C170" s="17">
        <v>0</v>
      </c>
      <c r="D170" s="19" t="s">
        <v>19</v>
      </c>
      <c r="E170" s="19" t="s">
        <v>17</v>
      </c>
      <c r="F170" s="19" t="s">
        <v>18</v>
      </c>
    </row>
    <row r="171" spans="2:6" x14ac:dyDescent="0.25">
      <c r="B171" s="19" t="s">
        <v>23</v>
      </c>
      <c r="C171" s="17">
        <v>0</v>
      </c>
      <c r="D171" s="19" t="s">
        <v>19</v>
      </c>
      <c r="E171" s="19" t="s">
        <v>17</v>
      </c>
      <c r="F171" s="19" t="s">
        <v>18</v>
      </c>
    </row>
    <row r="172" spans="2:6" x14ac:dyDescent="0.25">
      <c r="B172" s="19" t="s">
        <v>23</v>
      </c>
      <c r="C172" s="17">
        <v>0</v>
      </c>
      <c r="D172" s="19" t="s">
        <v>19</v>
      </c>
      <c r="E172" s="19" t="s">
        <v>17</v>
      </c>
      <c r="F172" s="19" t="s">
        <v>18</v>
      </c>
    </row>
    <row r="173" spans="2:6" x14ac:dyDescent="0.25">
      <c r="B173" s="19" t="s">
        <v>23</v>
      </c>
      <c r="C173" s="17">
        <v>0</v>
      </c>
      <c r="D173" s="19" t="s">
        <v>19</v>
      </c>
      <c r="E173" s="19" t="s">
        <v>17</v>
      </c>
      <c r="F173" s="19" t="s">
        <v>18</v>
      </c>
    </row>
    <row r="174" spans="2:6" x14ac:dyDescent="0.25">
      <c r="B174" s="19" t="s">
        <v>23</v>
      </c>
      <c r="C174" s="17">
        <v>0</v>
      </c>
      <c r="D174" s="19" t="s">
        <v>19</v>
      </c>
      <c r="E174" s="19" t="s">
        <v>17</v>
      </c>
      <c r="F174" s="19" t="s">
        <v>18</v>
      </c>
    </row>
    <row r="175" spans="2:6" x14ac:dyDescent="0.25">
      <c r="B175" s="19" t="s">
        <v>23</v>
      </c>
      <c r="C175" s="17">
        <v>0</v>
      </c>
      <c r="D175" s="19" t="s">
        <v>19</v>
      </c>
      <c r="E175" s="19" t="s">
        <v>17</v>
      </c>
      <c r="F175" s="19" t="s">
        <v>18</v>
      </c>
    </row>
    <row r="176" spans="2:6" x14ac:dyDescent="0.25">
      <c r="B176" s="19" t="s">
        <v>23</v>
      </c>
      <c r="C176" s="17">
        <v>0</v>
      </c>
      <c r="D176" s="19" t="s">
        <v>19</v>
      </c>
      <c r="E176" s="19" t="s">
        <v>17</v>
      </c>
      <c r="F176" s="19" t="s">
        <v>18</v>
      </c>
    </row>
    <row r="177" spans="2:6" x14ac:dyDescent="0.25">
      <c r="B177" s="19" t="s">
        <v>23</v>
      </c>
      <c r="C177" s="17">
        <v>0</v>
      </c>
      <c r="D177" s="19" t="s">
        <v>19</v>
      </c>
      <c r="E177" s="19" t="s">
        <v>17</v>
      </c>
      <c r="F177" s="19" t="s">
        <v>18</v>
      </c>
    </row>
    <row r="178" spans="2:6" x14ac:dyDescent="0.25">
      <c r="B178" s="19" t="s">
        <v>23</v>
      </c>
      <c r="C178" s="17">
        <v>0</v>
      </c>
      <c r="D178" s="19" t="s">
        <v>19</v>
      </c>
      <c r="E178" s="19" t="s">
        <v>17</v>
      </c>
      <c r="F178" s="19" t="s">
        <v>18</v>
      </c>
    </row>
    <row r="179" spans="2:6" x14ac:dyDescent="0.25">
      <c r="B179" s="19" t="s">
        <v>23</v>
      </c>
      <c r="C179" s="17">
        <v>0</v>
      </c>
      <c r="D179" s="19" t="s">
        <v>19</v>
      </c>
      <c r="E179" s="19" t="s">
        <v>17</v>
      </c>
      <c r="F179" s="19" t="s">
        <v>18</v>
      </c>
    </row>
    <row r="180" spans="2:6" x14ac:dyDescent="0.25">
      <c r="B180" s="19" t="s">
        <v>23</v>
      </c>
      <c r="C180" s="17">
        <v>0</v>
      </c>
      <c r="D180" s="19" t="s">
        <v>19</v>
      </c>
      <c r="E180" s="19" t="s">
        <v>17</v>
      </c>
      <c r="F180" s="19" t="s">
        <v>18</v>
      </c>
    </row>
    <row r="181" spans="2:6" x14ac:dyDescent="0.25">
      <c r="B181" s="19" t="s">
        <v>23</v>
      </c>
      <c r="C181" s="17">
        <v>0</v>
      </c>
      <c r="D181" s="19" t="s">
        <v>19</v>
      </c>
      <c r="E181" s="19" t="s">
        <v>17</v>
      </c>
      <c r="F181" s="19" t="s">
        <v>18</v>
      </c>
    </row>
    <row r="182" spans="2:6" x14ac:dyDescent="0.25">
      <c r="B182" s="19" t="s">
        <v>24</v>
      </c>
      <c r="C182" s="17">
        <v>0</v>
      </c>
      <c r="D182" s="19" t="s">
        <v>19</v>
      </c>
      <c r="E182" s="19" t="s">
        <v>17</v>
      </c>
      <c r="F182" s="19" t="s">
        <v>18</v>
      </c>
    </row>
    <row r="183" spans="2:6" x14ac:dyDescent="0.25">
      <c r="B183" s="19" t="s">
        <v>24</v>
      </c>
      <c r="C183" s="17">
        <v>0</v>
      </c>
      <c r="D183" s="19" t="s">
        <v>19</v>
      </c>
      <c r="E183" s="19" t="s">
        <v>17</v>
      </c>
      <c r="F183" s="19" t="s">
        <v>18</v>
      </c>
    </row>
    <row r="184" spans="2:6" x14ac:dyDescent="0.25">
      <c r="B184" s="19" t="s">
        <v>24</v>
      </c>
      <c r="C184" s="17">
        <v>0</v>
      </c>
      <c r="D184" s="19" t="s">
        <v>19</v>
      </c>
      <c r="E184" s="19" t="s">
        <v>17</v>
      </c>
      <c r="F184" s="19" t="s">
        <v>18</v>
      </c>
    </row>
    <row r="185" spans="2:6" x14ac:dyDescent="0.25">
      <c r="B185" s="19" t="s">
        <v>24</v>
      </c>
      <c r="C185" s="17">
        <v>0</v>
      </c>
      <c r="D185" s="19" t="s">
        <v>19</v>
      </c>
      <c r="E185" s="19" t="s">
        <v>17</v>
      </c>
      <c r="F185" s="19" t="s">
        <v>18</v>
      </c>
    </row>
    <row r="186" spans="2:6" x14ac:dyDescent="0.25">
      <c r="B186" s="19" t="s">
        <v>24</v>
      </c>
      <c r="C186" s="17">
        <v>0</v>
      </c>
      <c r="D186" s="19" t="s">
        <v>19</v>
      </c>
      <c r="E186" s="19" t="s">
        <v>17</v>
      </c>
      <c r="F186" s="19" t="s">
        <v>18</v>
      </c>
    </row>
    <row r="187" spans="2:6" x14ac:dyDescent="0.25">
      <c r="B187" s="19" t="s">
        <v>24</v>
      </c>
      <c r="C187" s="17">
        <v>0</v>
      </c>
      <c r="D187" s="19" t="s">
        <v>19</v>
      </c>
      <c r="E187" s="19" t="s">
        <v>17</v>
      </c>
      <c r="F187" s="19" t="s">
        <v>18</v>
      </c>
    </row>
    <row r="188" spans="2:6" x14ac:dyDescent="0.25">
      <c r="B188" s="19" t="s">
        <v>24</v>
      </c>
      <c r="C188" s="17">
        <v>0</v>
      </c>
      <c r="D188" s="19" t="s">
        <v>19</v>
      </c>
      <c r="E188" s="19" t="s">
        <v>17</v>
      </c>
      <c r="F188" s="19" t="s">
        <v>18</v>
      </c>
    </row>
    <row r="189" spans="2:6" x14ac:dyDescent="0.25">
      <c r="B189" s="19" t="s">
        <v>24</v>
      </c>
      <c r="C189" s="17">
        <v>0</v>
      </c>
      <c r="D189" s="19" t="s">
        <v>19</v>
      </c>
      <c r="E189" s="19" t="s">
        <v>17</v>
      </c>
      <c r="F189" s="19" t="s">
        <v>18</v>
      </c>
    </row>
    <row r="190" spans="2:6" x14ac:dyDescent="0.25">
      <c r="B190" s="19" t="s">
        <v>24</v>
      </c>
      <c r="C190" s="17">
        <v>0</v>
      </c>
      <c r="D190" s="19" t="s">
        <v>19</v>
      </c>
      <c r="E190" s="19" t="s">
        <v>17</v>
      </c>
      <c r="F190" s="19" t="s">
        <v>18</v>
      </c>
    </row>
    <row r="191" spans="2:6" x14ac:dyDescent="0.25">
      <c r="B191" s="19" t="s">
        <v>24</v>
      </c>
      <c r="C191" s="17">
        <v>0</v>
      </c>
      <c r="D191" s="19" t="s">
        <v>19</v>
      </c>
      <c r="E191" s="19" t="s">
        <v>17</v>
      </c>
      <c r="F191" s="19" t="s">
        <v>18</v>
      </c>
    </row>
    <row r="192" spans="2:6" x14ac:dyDescent="0.25">
      <c r="B192" s="19" t="s">
        <v>24</v>
      </c>
      <c r="C192" s="17">
        <v>0</v>
      </c>
      <c r="D192" s="19" t="s">
        <v>19</v>
      </c>
      <c r="E192" s="19" t="s">
        <v>17</v>
      </c>
      <c r="F192" s="19" t="s">
        <v>18</v>
      </c>
    </row>
    <row r="193" spans="2:6" x14ac:dyDescent="0.25">
      <c r="B193" s="19" t="s">
        <v>24</v>
      </c>
      <c r="C193" s="17">
        <v>0</v>
      </c>
      <c r="D193" s="19" t="s">
        <v>19</v>
      </c>
      <c r="E193" s="19" t="s">
        <v>17</v>
      </c>
      <c r="F193" s="19" t="s">
        <v>18</v>
      </c>
    </row>
    <row r="194" spans="2:6" x14ac:dyDescent="0.25">
      <c r="B194" s="19" t="s">
        <v>24</v>
      </c>
      <c r="C194" s="17">
        <v>0</v>
      </c>
      <c r="D194" s="19" t="s">
        <v>19</v>
      </c>
      <c r="E194" s="19" t="s">
        <v>17</v>
      </c>
      <c r="F194" s="19" t="s">
        <v>18</v>
      </c>
    </row>
    <row r="195" spans="2:6" x14ac:dyDescent="0.25">
      <c r="B195" s="19" t="s">
        <v>24</v>
      </c>
      <c r="C195" s="17">
        <v>0</v>
      </c>
      <c r="D195" s="19" t="s">
        <v>19</v>
      </c>
      <c r="E195" s="19" t="s">
        <v>17</v>
      </c>
      <c r="F195" s="19" t="s">
        <v>18</v>
      </c>
    </row>
    <row r="196" spans="2:6" x14ac:dyDescent="0.25">
      <c r="B196" s="19" t="s">
        <v>24</v>
      </c>
      <c r="C196" s="17">
        <v>0</v>
      </c>
      <c r="D196" s="19" t="s">
        <v>19</v>
      </c>
      <c r="E196" s="19" t="s">
        <v>17</v>
      </c>
      <c r="F196" s="19" t="s">
        <v>18</v>
      </c>
    </row>
    <row r="197" spans="2:6" x14ac:dyDescent="0.25">
      <c r="B197" s="19" t="s">
        <v>24</v>
      </c>
      <c r="C197" s="17">
        <v>0</v>
      </c>
      <c r="D197" s="19" t="s">
        <v>19</v>
      </c>
      <c r="E197" s="19" t="s">
        <v>17</v>
      </c>
      <c r="F197" s="19" t="s">
        <v>18</v>
      </c>
    </row>
    <row r="198" spans="2:6" x14ac:dyDescent="0.25">
      <c r="B198" s="19" t="s">
        <v>24</v>
      </c>
      <c r="C198" s="17">
        <v>0</v>
      </c>
      <c r="D198" s="19" t="s">
        <v>19</v>
      </c>
      <c r="E198" s="19" t="s">
        <v>17</v>
      </c>
      <c r="F198" s="19" t="s">
        <v>18</v>
      </c>
    </row>
    <row r="199" spans="2:6" x14ac:dyDescent="0.25">
      <c r="B199" s="19" t="s">
        <v>24</v>
      </c>
      <c r="C199" s="17">
        <v>0</v>
      </c>
      <c r="D199" s="19" t="s">
        <v>19</v>
      </c>
      <c r="E199" s="19" t="s">
        <v>17</v>
      </c>
      <c r="F199" s="19" t="s">
        <v>18</v>
      </c>
    </row>
    <row r="200" spans="2:6" x14ac:dyDescent="0.25">
      <c r="B200" s="19" t="s">
        <v>24</v>
      </c>
      <c r="C200" s="17">
        <v>0</v>
      </c>
      <c r="D200" s="19" t="s">
        <v>19</v>
      </c>
      <c r="E200" s="19" t="s">
        <v>17</v>
      </c>
      <c r="F200" s="19" t="s">
        <v>18</v>
      </c>
    </row>
    <row r="201" spans="2:6" x14ac:dyDescent="0.25">
      <c r="B201" s="19" t="s">
        <v>24</v>
      </c>
      <c r="C201" s="17">
        <v>0</v>
      </c>
      <c r="D201" s="19" t="s">
        <v>19</v>
      </c>
      <c r="E201" s="19" t="s">
        <v>17</v>
      </c>
      <c r="F201" s="19" t="s">
        <v>18</v>
      </c>
    </row>
    <row r="202" spans="2:6" x14ac:dyDescent="0.25">
      <c r="B202" s="19" t="s">
        <v>24</v>
      </c>
      <c r="C202" s="17">
        <v>0</v>
      </c>
      <c r="D202" s="19" t="s">
        <v>19</v>
      </c>
      <c r="E202" s="19" t="s">
        <v>17</v>
      </c>
      <c r="F202" s="19" t="s">
        <v>18</v>
      </c>
    </row>
    <row r="203" spans="2:6" x14ac:dyDescent="0.25">
      <c r="B203" s="19" t="s">
        <v>24</v>
      </c>
      <c r="C203" s="17">
        <v>0</v>
      </c>
      <c r="D203" s="19" t="s">
        <v>19</v>
      </c>
      <c r="E203" s="19" t="s">
        <v>17</v>
      </c>
      <c r="F203" s="19" t="s">
        <v>18</v>
      </c>
    </row>
    <row r="204" spans="2:6" x14ac:dyDescent="0.25">
      <c r="B204" s="19" t="s">
        <v>25</v>
      </c>
      <c r="C204" s="17">
        <v>0</v>
      </c>
      <c r="D204" s="19" t="s">
        <v>19</v>
      </c>
      <c r="E204" s="19" t="s">
        <v>17</v>
      </c>
      <c r="F204" s="19" t="s">
        <v>18</v>
      </c>
    </row>
    <row r="205" spans="2:6" x14ac:dyDescent="0.25">
      <c r="B205" s="19" t="s">
        <v>25</v>
      </c>
      <c r="C205" s="17">
        <v>0</v>
      </c>
      <c r="D205" s="19" t="s">
        <v>19</v>
      </c>
      <c r="E205" s="19" t="s">
        <v>17</v>
      </c>
      <c r="F205" s="19" t="s">
        <v>18</v>
      </c>
    </row>
    <row r="206" spans="2:6" x14ac:dyDescent="0.25">
      <c r="B206" s="19" t="s">
        <v>25</v>
      </c>
      <c r="C206" s="17">
        <v>0</v>
      </c>
      <c r="D206" s="19" t="s">
        <v>19</v>
      </c>
      <c r="E206" s="19" t="s">
        <v>17</v>
      </c>
      <c r="F206" s="19" t="s">
        <v>18</v>
      </c>
    </row>
    <row r="207" spans="2:6" x14ac:dyDescent="0.25">
      <c r="B207" s="19" t="s">
        <v>25</v>
      </c>
      <c r="C207" s="17">
        <v>0</v>
      </c>
      <c r="D207" s="19" t="s">
        <v>19</v>
      </c>
      <c r="E207" s="19" t="s">
        <v>17</v>
      </c>
      <c r="F207" s="19" t="s">
        <v>18</v>
      </c>
    </row>
    <row r="208" spans="2:6" x14ac:dyDescent="0.25">
      <c r="B208" s="19" t="s">
        <v>25</v>
      </c>
      <c r="C208" s="17">
        <v>0</v>
      </c>
      <c r="D208" s="19" t="s">
        <v>19</v>
      </c>
      <c r="E208" s="19" t="s">
        <v>17</v>
      </c>
      <c r="F208" s="19" t="s">
        <v>18</v>
      </c>
    </row>
    <row r="209" spans="2:6" x14ac:dyDescent="0.25">
      <c r="B209" s="19" t="s">
        <v>25</v>
      </c>
      <c r="C209" s="17">
        <v>0</v>
      </c>
      <c r="D209" s="19" t="s">
        <v>19</v>
      </c>
      <c r="E209" s="19" t="s">
        <v>17</v>
      </c>
      <c r="F209" s="19" t="s">
        <v>18</v>
      </c>
    </row>
    <row r="210" spans="2:6" x14ac:dyDescent="0.25">
      <c r="B210" s="19" t="s">
        <v>25</v>
      </c>
      <c r="C210" s="17">
        <v>0</v>
      </c>
      <c r="D210" s="19" t="s">
        <v>19</v>
      </c>
      <c r="E210" s="19" t="s">
        <v>17</v>
      </c>
      <c r="F210" s="19" t="s">
        <v>18</v>
      </c>
    </row>
    <row r="211" spans="2:6" x14ac:dyDescent="0.25">
      <c r="B211" s="19" t="s">
        <v>25</v>
      </c>
      <c r="C211" s="17">
        <v>0</v>
      </c>
      <c r="D211" s="19" t="s">
        <v>19</v>
      </c>
      <c r="E211" s="19" t="s">
        <v>17</v>
      </c>
      <c r="F211" s="19" t="s">
        <v>18</v>
      </c>
    </row>
    <row r="212" spans="2:6" x14ac:dyDescent="0.25">
      <c r="B212" s="19" t="s">
        <v>25</v>
      </c>
      <c r="C212" s="17">
        <v>0</v>
      </c>
      <c r="D212" s="19" t="s">
        <v>19</v>
      </c>
      <c r="E212" s="19" t="s">
        <v>17</v>
      </c>
      <c r="F212" s="19" t="s">
        <v>18</v>
      </c>
    </row>
    <row r="213" spans="2:6" x14ac:dyDescent="0.25">
      <c r="B213" s="19" t="s">
        <v>25</v>
      </c>
      <c r="C213" s="17">
        <v>0</v>
      </c>
      <c r="D213" s="19" t="s">
        <v>19</v>
      </c>
      <c r="E213" s="19" t="s">
        <v>17</v>
      </c>
      <c r="F213" s="19" t="s">
        <v>18</v>
      </c>
    </row>
    <row r="214" spans="2:6" x14ac:dyDescent="0.25">
      <c r="B214" s="19" t="s">
        <v>25</v>
      </c>
      <c r="C214" s="17">
        <v>0</v>
      </c>
      <c r="D214" s="19" t="s">
        <v>19</v>
      </c>
      <c r="E214" s="19" t="s">
        <v>17</v>
      </c>
      <c r="F214" s="19" t="s">
        <v>18</v>
      </c>
    </row>
    <row r="215" spans="2:6" x14ac:dyDescent="0.25">
      <c r="B215" s="19" t="s">
        <v>25</v>
      </c>
      <c r="C215" s="17">
        <v>0</v>
      </c>
      <c r="D215" s="19" t="s">
        <v>19</v>
      </c>
      <c r="E215" s="19" t="s">
        <v>17</v>
      </c>
      <c r="F215" s="19" t="s">
        <v>18</v>
      </c>
    </row>
    <row r="216" spans="2:6" x14ac:dyDescent="0.25">
      <c r="B216" s="19" t="s">
        <v>25</v>
      </c>
      <c r="C216" s="17">
        <v>0</v>
      </c>
      <c r="D216" s="19" t="s">
        <v>19</v>
      </c>
      <c r="E216" s="19" t="s">
        <v>17</v>
      </c>
      <c r="F216" s="19" t="s">
        <v>18</v>
      </c>
    </row>
    <row r="217" spans="2:6" x14ac:dyDescent="0.25">
      <c r="B217" s="19" t="s">
        <v>25</v>
      </c>
      <c r="C217" s="17">
        <v>0</v>
      </c>
      <c r="D217" s="19" t="s">
        <v>19</v>
      </c>
      <c r="E217" s="19" t="s">
        <v>17</v>
      </c>
      <c r="F217" s="19" t="s">
        <v>18</v>
      </c>
    </row>
    <row r="218" spans="2:6" x14ac:dyDescent="0.25">
      <c r="B218" s="19" t="s">
        <v>25</v>
      </c>
      <c r="C218" s="17">
        <v>0</v>
      </c>
      <c r="D218" s="19" t="s">
        <v>19</v>
      </c>
      <c r="E218" s="19" t="s">
        <v>17</v>
      </c>
      <c r="F218" s="19" t="s">
        <v>18</v>
      </c>
    </row>
    <row r="219" spans="2:6" x14ac:dyDescent="0.25">
      <c r="B219" s="19" t="s">
        <v>25</v>
      </c>
      <c r="C219" s="17">
        <v>0</v>
      </c>
      <c r="D219" s="19" t="s">
        <v>19</v>
      </c>
      <c r="E219" s="19" t="s">
        <v>17</v>
      </c>
      <c r="F219" s="19" t="s">
        <v>18</v>
      </c>
    </row>
    <row r="220" spans="2:6" x14ac:dyDescent="0.25">
      <c r="B220" s="19" t="s">
        <v>25</v>
      </c>
      <c r="C220" s="17">
        <v>0</v>
      </c>
      <c r="D220" s="19" t="s">
        <v>19</v>
      </c>
      <c r="E220" s="19" t="s">
        <v>17</v>
      </c>
      <c r="F220" s="19" t="s">
        <v>18</v>
      </c>
    </row>
    <row r="221" spans="2:6" x14ac:dyDescent="0.25">
      <c r="B221" s="19" t="s">
        <v>25</v>
      </c>
      <c r="C221" s="17">
        <v>0</v>
      </c>
      <c r="D221" s="19" t="s">
        <v>19</v>
      </c>
      <c r="E221" s="19" t="s">
        <v>17</v>
      </c>
      <c r="F221" s="19" t="s">
        <v>18</v>
      </c>
    </row>
    <row r="222" spans="2:6" x14ac:dyDescent="0.25">
      <c r="B222" s="19" t="s">
        <v>25</v>
      </c>
      <c r="C222" s="17">
        <v>0</v>
      </c>
      <c r="D222" s="19" t="s">
        <v>19</v>
      </c>
      <c r="E222" s="19" t="s">
        <v>17</v>
      </c>
      <c r="F222" s="19" t="s">
        <v>18</v>
      </c>
    </row>
    <row r="223" spans="2:6" x14ac:dyDescent="0.25">
      <c r="B223" s="19" t="s">
        <v>25</v>
      </c>
      <c r="C223" s="17">
        <v>0</v>
      </c>
      <c r="D223" s="19" t="s">
        <v>19</v>
      </c>
      <c r="E223" s="19" t="s">
        <v>17</v>
      </c>
      <c r="F223" s="19" t="s">
        <v>18</v>
      </c>
    </row>
    <row r="224" spans="2:6" x14ac:dyDescent="0.25">
      <c r="B224" s="19" t="s">
        <v>25</v>
      </c>
      <c r="C224" s="17">
        <v>0</v>
      </c>
      <c r="D224" s="19" t="s">
        <v>19</v>
      </c>
      <c r="E224" s="19" t="s">
        <v>17</v>
      </c>
      <c r="F224" s="19" t="s">
        <v>18</v>
      </c>
    </row>
    <row r="225" spans="2:6" x14ac:dyDescent="0.25">
      <c r="B225" s="19" t="s">
        <v>25</v>
      </c>
      <c r="C225" s="17">
        <v>0</v>
      </c>
      <c r="D225" s="19" t="s">
        <v>19</v>
      </c>
      <c r="E225" s="19" t="s">
        <v>17</v>
      </c>
      <c r="F225" s="19" t="s">
        <v>18</v>
      </c>
    </row>
    <row r="226" spans="2:6" x14ac:dyDescent="0.25">
      <c r="B226" s="19" t="s">
        <v>26</v>
      </c>
      <c r="C226" s="17">
        <v>0</v>
      </c>
      <c r="D226" s="19" t="s">
        <v>19</v>
      </c>
      <c r="E226" s="19" t="s">
        <v>17</v>
      </c>
      <c r="F226" s="19" t="s">
        <v>18</v>
      </c>
    </row>
    <row r="227" spans="2:6" x14ac:dyDescent="0.25">
      <c r="B227" s="19" t="s">
        <v>26</v>
      </c>
      <c r="C227" s="17">
        <v>0</v>
      </c>
      <c r="D227" s="19" t="s">
        <v>19</v>
      </c>
      <c r="E227" s="19" t="s">
        <v>17</v>
      </c>
      <c r="F227" s="19" t="s">
        <v>18</v>
      </c>
    </row>
    <row r="228" spans="2:6" x14ac:dyDescent="0.25">
      <c r="B228" s="19" t="s">
        <v>26</v>
      </c>
      <c r="C228" s="17">
        <v>0</v>
      </c>
      <c r="D228" s="19" t="s">
        <v>19</v>
      </c>
      <c r="E228" s="19" t="s">
        <v>17</v>
      </c>
      <c r="F228" s="19" t="s">
        <v>18</v>
      </c>
    </row>
    <row r="229" spans="2:6" x14ac:dyDescent="0.25">
      <c r="B229" s="19" t="s">
        <v>26</v>
      </c>
      <c r="C229" s="17">
        <v>0</v>
      </c>
      <c r="D229" s="19" t="s">
        <v>19</v>
      </c>
      <c r="E229" s="19" t="s">
        <v>17</v>
      </c>
      <c r="F229" s="19" t="s">
        <v>18</v>
      </c>
    </row>
    <row r="230" spans="2:6" x14ac:dyDescent="0.25">
      <c r="B230" s="19" t="s">
        <v>26</v>
      </c>
      <c r="C230" s="17">
        <v>0</v>
      </c>
      <c r="D230" s="19" t="s">
        <v>19</v>
      </c>
      <c r="E230" s="19" t="s">
        <v>17</v>
      </c>
      <c r="F230" s="19" t="s">
        <v>18</v>
      </c>
    </row>
    <row r="231" spans="2:6" x14ac:dyDescent="0.25">
      <c r="B231" s="19" t="s">
        <v>26</v>
      </c>
      <c r="C231" s="17">
        <v>0</v>
      </c>
      <c r="D231" s="19" t="s">
        <v>19</v>
      </c>
      <c r="E231" s="19" t="s">
        <v>17</v>
      </c>
      <c r="F231" s="19" t="s">
        <v>18</v>
      </c>
    </row>
    <row r="232" spans="2:6" x14ac:dyDescent="0.25">
      <c r="B232" s="19" t="s">
        <v>26</v>
      </c>
      <c r="C232" s="17">
        <v>0</v>
      </c>
      <c r="D232" s="19" t="s">
        <v>19</v>
      </c>
      <c r="E232" s="19" t="s">
        <v>17</v>
      </c>
      <c r="F232" s="19" t="s">
        <v>18</v>
      </c>
    </row>
    <row r="233" spans="2:6" x14ac:dyDescent="0.25">
      <c r="B233" s="19" t="s">
        <v>26</v>
      </c>
      <c r="C233" s="17">
        <v>0</v>
      </c>
      <c r="D233" s="19" t="s">
        <v>19</v>
      </c>
      <c r="E233" s="19" t="s">
        <v>17</v>
      </c>
      <c r="F233" s="19" t="s">
        <v>18</v>
      </c>
    </row>
    <row r="234" spans="2:6" x14ac:dyDescent="0.25">
      <c r="B234" s="19" t="s">
        <v>26</v>
      </c>
      <c r="C234" s="17">
        <v>0</v>
      </c>
      <c r="D234" s="19" t="s">
        <v>19</v>
      </c>
      <c r="E234" s="19" t="s">
        <v>17</v>
      </c>
      <c r="F234" s="19" t="s">
        <v>18</v>
      </c>
    </row>
    <row r="235" spans="2:6" x14ac:dyDescent="0.25">
      <c r="B235" s="19" t="s">
        <v>26</v>
      </c>
      <c r="C235" s="17">
        <v>0</v>
      </c>
      <c r="D235" s="19" t="s">
        <v>19</v>
      </c>
      <c r="E235" s="19" t="s">
        <v>17</v>
      </c>
      <c r="F235" s="19" t="s">
        <v>18</v>
      </c>
    </row>
    <row r="236" spans="2:6" x14ac:dyDescent="0.25">
      <c r="B236" s="19" t="s">
        <v>26</v>
      </c>
      <c r="C236" s="17">
        <v>0</v>
      </c>
      <c r="D236" s="19" t="s">
        <v>19</v>
      </c>
      <c r="E236" s="19" t="s">
        <v>17</v>
      </c>
      <c r="F236" s="19" t="s">
        <v>18</v>
      </c>
    </row>
    <row r="237" spans="2:6" x14ac:dyDescent="0.25">
      <c r="B237" s="19" t="s">
        <v>26</v>
      </c>
      <c r="C237" s="17">
        <v>0</v>
      </c>
      <c r="D237" s="19" t="s">
        <v>19</v>
      </c>
      <c r="E237" s="19" t="s">
        <v>17</v>
      </c>
      <c r="F237" s="19" t="s">
        <v>18</v>
      </c>
    </row>
    <row r="238" spans="2:6" x14ac:dyDescent="0.25">
      <c r="B238" s="19" t="s">
        <v>26</v>
      </c>
      <c r="C238" s="17">
        <v>0</v>
      </c>
      <c r="D238" s="19" t="s">
        <v>19</v>
      </c>
      <c r="E238" s="19" t="s">
        <v>17</v>
      </c>
      <c r="F238" s="19" t="s">
        <v>18</v>
      </c>
    </row>
    <row r="239" spans="2:6" x14ac:dyDescent="0.25">
      <c r="B239" s="19" t="s">
        <v>26</v>
      </c>
      <c r="C239" s="17">
        <v>0</v>
      </c>
      <c r="D239" s="19" t="s">
        <v>19</v>
      </c>
      <c r="E239" s="19" t="s">
        <v>17</v>
      </c>
      <c r="F239" s="19" t="s">
        <v>18</v>
      </c>
    </row>
    <row r="240" spans="2:6" x14ac:dyDescent="0.25">
      <c r="B240" s="19" t="s">
        <v>26</v>
      </c>
      <c r="C240" s="17">
        <v>0</v>
      </c>
      <c r="D240" s="19" t="s">
        <v>19</v>
      </c>
      <c r="E240" s="19" t="s">
        <v>17</v>
      </c>
      <c r="F240" s="19" t="s">
        <v>18</v>
      </c>
    </row>
    <row r="241" spans="2:6" x14ac:dyDescent="0.25">
      <c r="B241" s="19" t="s">
        <v>26</v>
      </c>
      <c r="C241" s="17">
        <v>0</v>
      </c>
      <c r="D241" s="19" t="s">
        <v>19</v>
      </c>
      <c r="E241" s="19" t="s">
        <v>17</v>
      </c>
      <c r="F241" s="19" t="s">
        <v>18</v>
      </c>
    </row>
    <row r="242" spans="2:6" x14ac:dyDescent="0.25">
      <c r="B242" s="19" t="s">
        <v>26</v>
      </c>
      <c r="C242" s="17">
        <v>0</v>
      </c>
      <c r="D242" s="19" t="s">
        <v>19</v>
      </c>
      <c r="E242" s="19" t="s">
        <v>17</v>
      </c>
      <c r="F242" s="19" t="s">
        <v>18</v>
      </c>
    </row>
    <row r="243" spans="2:6" x14ac:dyDescent="0.25">
      <c r="B243" s="19" t="s">
        <v>26</v>
      </c>
      <c r="C243" s="17">
        <v>0</v>
      </c>
      <c r="D243" s="19" t="s">
        <v>19</v>
      </c>
      <c r="E243" s="19" t="s">
        <v>17</v>
      </c>
      <c r="F243" s="19" t="s">
        <v>18</v>
      </c>
    </row>
    <row r="244" spans="2:6" x14ac:dyDescent="0.25">
      <c r="B244" s="19" t="s">
        <v>26</v>
      </c>
      <c r="C244" s="17">
        <v>0</v>
      </c>
      <c r="D244" s="19" t="s">
        <v>19</v>
      </c>
      <c r="E244" s="19" t="s">
        <v>17</v>
      </c>
      <c r="F244" s="19" t="s">
        <v>18</v>
      </c>
    </row>
    <row r="245" spans="2:6" x14ac:dyDescent="0.25">
      <c r="B245" s="19" t="s">
        <v>26</v>
      </c>
      <c r="C245" s="17">
        <v>0</v>
      </c>
      <c r="D245" s="19" t="s">
        <v>19</v>
      </c>
      <c r="E245" s="19" t="s">
        <v>17</v>
      </c>
      <c r="F245" s="19" t="s">
        <v>18</v>
      </c>
    </row>
    <row r="246" spans="2:6" x14ac:dyDescent="0.25">
      <c r="B246" s="19" t="s">
        <v>26</v>
      </c>
      <c r="C246" s="17">
        <v>0</v>
      </c>
      <c r="D246" s="19" t="s">
        <v>19</v>
      </c>
      <c r="E246" s="19" t="s">
        <v>17</v>
      </c>
      <c r="F246" s="19" t="s">
        <v>18</v>
      </c>
    </row>
    <row r="247" spans="2:6" x14ac:dyDescent="0.25">
      <c r="B247" s="19" t="s">
        <v>26</v>
      </c>
      <c r="C247" s="17">
        <v>0</v>
      </c>
      <c r="D247" s="19" t="s">
        <v>19</v>
      </c>
      <c r="E247" s="19" t="s">
        <v>17</v>
      </c>
      <c r="F247" s="19" t="s">
        <v>18</v>
      </c>
    </row>
    <row r="248" spans="2:6" x14ac:dyDescent="0.25">
      <c r="B248" s="19" t="s">
        <v>27</v>
      </c>
      <c r="C248" s="17">
        <v>0</v>
      </c>
      <c r="D248" s="19" t="s">
        <v>19</v>
      </c>
      <c r="E248" s="19" t="s">
        <v>17</v>
      </c>
      <c r="F248" s="19" t="s">
        <v>18</v>
      </c>
    </row>
    <row r="249" spans="2:6" x14ac:dyDescent="0.25">
      <c r="B249" s="19" t="s">
        <v>27</v>
      </c>
      <c r="C249" s="17">
        <v>0</v>
      </c>
      <c r="D249" s="19" t="s">
        <v>19</v>
      </c>
      <c r="E249" s="19" t="s">
        <v>17</v>
      </c>
      <c r="F249" s="19" t="s">
        <v>18</v>
      </c>
    </row>
    <row r="250" spans="2:6" x14ac:dyDescent="0.25">
      <c r="B250" s="19" t="s">
        <v>27</v>
      </c>
      <c r="C250" s="17">
        <v>0</v>
      </c>
      <c r="D250" s="19" t="s">
        <v>19</v>
      </c>
      <c r="E250" s="19" t="s">
        <v>17</v>
      </c>
      <c r="F250" s="19" t="s">
        <v>18</v>
      </c>
    </row>
    <row r="251" spans="2:6" x14ac:dyDescent="0.25">
      <c r="B251" s="19" t="s">
        <v>27</v>
      </c>
      <c r="C251" s="17">
        <v>0</v>
      </c>
      <c r="D251" s="19" t="s">
        <v>19</v>
      </c>
      <c r="E251" s="19" t="s">
        <v>17</v>
      </c>
      <c r="F251" s="19" t="s">
        <v>18</v>
      </c>
    </row>
    <row r="252" spans="2:6" x14ac:dyDescent="0.25">
      <c r="B252" s="19" t="s">
        <v>27</v>
      </c>
      <c r="C252" s="17">
        <v>0</v>
      </c>
      <c r="D252" s="19" t="s">
        <v>19</v>
      </c>
      <c r="E252" s="19" t="s">
        <v>17</v>
      </c>
      <c r="F252" s="19" t="s">
        <v>18</v>
      </c>
    </row>
    <row r="253" spans="2:6" x14ac:dyDescent="0.25">
      <c r="B253" s="19" t="s">
        <v>27</v>
      </c>
      <c r="C253" s="17">
        <v>0</v>
      </c>
      <c r="D253" s="19" t="s">
        <v>19</v>
      </c>
      <c r="E253" s="19" t="s">
        <v>17</v>
      </c>
      <c r="F253" s="19" t="s">
        <v>18</v>
      </c>
    </row>
    <row r="254" spans="2:6" x14ac:dyDescent="0.25">
      <c r="B254" s="19" t="s">
        <v>27</v>
      </c>
      <c r="C254" s="17">
        <v>0</v>
      </c>
      <c r="D254" s="19" t="s">
        <v>19</v>
      </c>
      <c r="E254" s="19" t="s">
        <v>17</v>
      </c>
      <c r="F254" s="19" t="s">
        <v>18</v>
      </c>
    </row>
    <row r="255" spans="2:6" x14ac:dyDescent="0.25">
      <c r="B255" s="19" t="s">
        <v>27</v>
      </c>
      <c r="C255" s="17">
        <v>0</v>
      </c>
      <c r="D255" s="19" t="s">
        <v>19</v>
      </c>
      <c r="E255" s="19" t="s">
        <v>17</v>
      </c>
      <c r="F255" s="19" t="s">
        <v>18</v>
      </c>
    </row>
    <row r="256" spans="2:6" x14ac:dyDescent="0.25">
      <c r="B256" s="19" t="s">
        <v>27</v>
      </c>
      <c r="C256" s="17">
        <v>0</v>
      </c>
      <c r="D256" s="19" t="s">
        <v>19</v>
      </c>
      <c r="E256" s="19" t="s">
        <v>17</v>
      </c>
      <c r="F256" s="19" t="s">
        <v>18</v>
      </c>
    </row>
    <row r="257" spans="2:6" x14ac:dyDescent="0.25">
      <c r="B257" s="19" t="s">
        <v>27</v>
      </c>
      <c r="C257" s="17">
        <v>0</v>
      </c>
      <c r="D257" s="19" t="s">
        <v>19</v>
      </c>
      <c r="E257" s="19" t="s">
        <v>17</v>
      </c>
      <c r="F257" s="19" t="s">
        <v>18</v>
      </c>
    </row>
    <row r="258" spans="2:6" x14ac:dyDescent="0.25">
      <c r="B258" s="19" t="s">
        <v>27</v>
      </c>
      <c r="C258" s="17">
        <v>0</v>
      </c>
      <c r="D258" s="19" t="s">
        <v>19</v>
      </c>
      <c r="E258" s="19" t="s">
        <v>17</v>
      </c>
      <c r="F258" s="19" t="s">
        <v>18</v>
      </c>
    </row>
    <row r="259" spans="2:6" x14ac:dyDescent="0.25">
      <c r="B259" s="19" t="s">
        <v>27</v>
      </c>
      <c r="C259" s="17">
        <v>0</v>
      </c>
      <c r="D259" s="19" t="s">
        <v>19</v>
      </c>
      <c r="E259" s="19" t="s">
        <v>17</v>
      </c>
      <c r="F259" s="19" t="s">
        <v>18</v>
      </c>
    </row>
    <row r="260" spans="2:6" x14ac:dyDescent="0.25">
      <c r="B260" s="19" t="s">
        <v>27</v>
      </c>
      <c r="C260" s="17">
        <v>0</v>
      </c>
      <c r="D260" s="19" t="s">
        <v>19</v>
      </c>
      <c r="E260" s="19" t="s">
        <v>17</v>
      </c>
      <c r="F260" s="19" t="s">
        <v>18</v>
      </c>
    </row>
    <row r="261" spans="2:6" x14ac:dyDescent="0.25">
      <c r="B261" s="19" t="s">
        <v>27</v>
      </c>
      <c r="C261" s="17">
        <v>0</v>
      </c>
      <c r="D261" s="19" t="s">
        <v>19</v>
      </c>
      <c r="E261" s="19" t="s">
        <v>17</v>
      </c>
      <c r="F261" s="19" t="s">
        <v>18</v>
      </c>
    </row>
    <row r="262" spans="2:6" x14ac:dyDescent="0.25">
      <c r="B262" s="19" t="s">
        <v>27</v>
      </c>
      <c r="C262" s="17">
        <v>0</v>
      </c>
      <c r="D262" s="19" t="s">
        <v>19</v>
      </c>
      <c r="E262" s="19" t="s">
        <v>17</v>
      </c>
      <c r="F262" s="19" t="s">
        <v>18</v>
      </c>
    </row>
    <row r="263" spans="2:6" x14ac:dyDescent="0.25">
      <c r="B263" s="19" t="s">
        <v>27</v>
      </c>
      <c r="C263" s="17">
        <v>0</v>
      </c>
      <c r="D263" s="19" t="s">
        <v>19</v>
      </c>
      <c r="E263" s="19" t="s">
        <v>17</v>
      </c>
      <c r="F263" s="19" t="s">
        <v>18</v>
      </c>
    </row>
    <row r="264" spans="2:6" x14ac:dyDescent="0.25">
      <c r="B264" s="19" t="s">
        <v>27</v>
      </c>
      <c r="C264" s="17">
        <v>0</v>
      </c>
      <c r="D264" s="19" t="s">
        <v>19</v>
      </c>
      <c r="E264" s="19" t="s">
        <v>17</v>
      </c>
      <c r="F264" s="19" t="s">
        <v>18</v>
      </c>
    </row>
    <row r="265" spans="2:6" x14ac:dyDescent="0.25">
      <c r="B265" s="19" t="s">
        <v>27</v>
      </c>
      <c r="C265" s="17">
        <v>0</v>
      </c>
      <c r="D265" s="19" t="s">
        <v>19</v>
      </c>
      <c r="E265" s="19" t="s">
        <v>17</v>
      </c>
      <c r="F265" s="19" t="s">
        <v>18</v>
      </c>
    </row>
    <row r="266" spans="2:6" x14ac:dyDescent="0.25">
      <c r="B266" s="19" t="s">
        <v>27</v>
      </c>
      <c r="C266" s="17">
        <v>0</v>
      </c>
      <c r="D266" s="19" t="s">
        <v>19</v>
      </c>
      <c r="E266" s="19" t="s">
        <v>17</v>
      </c>
      <c r="F266" s="19" t="s">
        <v>18</v>
      </c>
    </row>
    <row r="267" spans="2:6" x14ac:dyDescent="0.25">
      <c r="B267" s="19" t="s">
        <v>27</v>
      </c>
      <c r="C267" s="17">
        <v>0</v>
      </c>
      <c r="D267" s="19" t="s">
        <v>19</v>
      </c>
      <c r="E267" s="19" t="s">
        <v>17</v>
      </c>
      <c r="F267" s="19" t="s">
        <v>18</v>
      </c>
    </row>
    <row r="268" spans="2:6" x14ac:dyDescent="0.25">
      <c r="B268" s="19" t="s">
        <v>27</v>
      </c>
      <c r="C268" s="17">
        <v>0</v>
      </c>
      <c r="D268" s="19" t="s">
        <v>19</v>
      </c>
      <c r="E268" s="19" t="s">
        <v>17</v>
      </c>
      <c r="F268" s="19" t="s">
        <v>18</v>
      </c>
    </row>
    <row r="269" spans="2:6" x14ac:dyDescent="0.25">
      <c r="B269" s="19" t="s">
        <v>27</v>
      </c>
      <c r="C269" s="17">
        <v>0</v>
      </c>
      <c r="D269" s="19" t="s">
        <v>19</v>
      </c>
      <c r="E269" s="19" t="s">
        <v>17</v>
      </c>
      <c r="F269" s="19" t="s">
        <v>18</v>
      </c>
    </row>
    <row r="270" spans="2:6" x14ac:dyDescent="0.25">
      <c r="B270" s="19" t="s">
        <v>28</v>
      </c>
      <c r="C270" s="17">
        <v>0</v>
      </c>
      <c r="D270" s="19" t="s">
        <v>19</v>
      </c>
      <c r="E270" s="19" t="s">
        <v>17</v>
      </c>
      <c r="F270" s="19" t="s">
        <v>18</v>
      </c>
    </row>
    <row r="271" spans="2:6" x14ac:dyDescent="0.25">
      <c r="B271" s="19" t="s">
        <v>28</v>
      </c>
      <c r="C271" s="17">
        <v>0</v>
      </c>
      <c r="D271" s="19" t="s">
        <v>19</v>
      </c>
      <c r="E271" s="19" t="s">
        <v>17</v>
      </c>
      <c r="F271" s="19" t="s">
        <v>18</v>
      </c>
    </row>
    <row r="272" spans="2:6" x14ac:dyDescent="0.25">
      <c r="B272" s="19" t="s">
        <v>28</v>
      </c>
      <c r="C272" s="17">
        <v>0</v>
      </c>
      <c r="D272" s="19" t="s">
        <v>19</v>
      </c>
      <c r="E272" s="19" t="s">
        <v>17</v>
      </c>
      <c r="F272" s="19" t="s">
        <v>18</v>
      </c>
    </row>
    <row r="273" spans="2:6" x14ac:dyDescent="0.25">
      <c r="B273" s="19" t="s">
        <v>28</v>
      </c>
      <c r="C273" s="17">
        <v>0</v>
      </c>
      <c r="D273" s="19" t="s">
        <v>19</v>
      </c>
      <c r="E273" s="19" t="s">
        <v>17</v>
      </c>
      <c r="F273" s="19" t="s">
        <v>18</v>
      </c>
    </row>
    <row r="274" spans="2:6" x14ac:dyDescent="0.25">
      <c r="B274" s="19" t="s">
        <v>28</v>
      </c>
      <c r="C274" s="17">
        <v>0</v>
      </c>
      <c r="D274" s="19" t="s">
        <v>19</v>
      </c>
      <c r="E274" s="19" t="s">
        <v>17</v>
      </c>
      <c r="F274" s="19" t="s">
        <v>18</v>
      </c>
    </row>
    <row r="275" spans="2:6" x14ac:dyDescent="0.25">
      <c r="B275" s="19" t="s">
        <v>28</v>
      </c>
      <c r="C275" s="17">
        <v>0</v>
      </c>
      <c r="D275" s="19" t="s">
        <v>19</v>
      </c>
      <c r="E275" s="19" t="s">
        <v>17</v>
      </c>
      <c r="F275" s="19" t="s">
        <v>18</v>
      </c>
    </row>
    <row r="276" spans="2:6" x14ac:dyDescent="0.25">
      <c r="B276" s="19" t="s">
        <v>28</v>
      </c>
      <c r="C276" s="17">
        <v>0</v>
      </c>
      <c r="D276" s="19" t="s">
        <v>19</v>
      </c>
      <c r="E276" s="19" t="s">
        <v>17</v>
      </c>
      <c r="F276" s="19" t="s">
        <v>18</v>
      </c>
    </row>
    <row r="277" spans="2:6" x14ac:dyDescent="0.25">
      <c r="B277" s="19" t="s">
        <v>28</v>
      </c>
      <c r="C277" s="17">
        <v>0</v>
      </c>
      <c r="D277" s="19" t="s">
        <v>19</v>
      </c>
      <c r="E277" s="19" t="s">
        <v>17</v>
      </c>
      <c r="F277" s="19" t="s">
        <v>18</v>
      </c>
    </row>
    <row r="278" spans="2:6" x14ac:dyDescent="0.25">
      <c r="B278" s="19" t="s">
        <v>28</v>
      </c>
      <c r="C278" s="17">
        <v>0</v>
      </c>
      <c r="D278" s="19" t="s">
        <v>19</v>
      </c>
      <c r="E278" s="19" t="s">
        <v>17</v>
      </c>
      <c r="F278" s="19" t="s">
        <v>18</v>
      </c>
    </row>
    <row r="279" spans="2:6" x14ac:dyDescent="0.25">
      <c r="B279" s="19" t="s">
        <v>28</v>
      </c>
      <c r="C279" s="17">
        <v>0</v>
      </c>
      <c r="D279" s="19" t="s">
        <v>19</v>
      </c>
      <c r="E279" s="19" t="s">
        <v>17</v>
      </c>
      <c r="F279" s="19" t="s">
        <v>18</v>
      </c>
    </row>
    <row r="280" spans="2:6" x14ac:dyDescent="0.25">
      <c r="B280" s="19" t="s">
        <v>28</v>
      </c>
      <c r="C280" s="17">
        <v>0</v>
      </c>
      <c r="D280" s="19" t="s">
        <v>19</v>
      </c>
      <c r="E280" s="19" t="s">
        <v>17</v>
      </c>
      <c r="F280" s="19" t="s">
        <v>18</v>
      </c>
    </row>
    <row r="281" spans="2:6" x14ac:dyDescent="0.25">
      <c r="B281" s="19" t="s">
        <v>28</v>
      </c>
      <c r="C281" s="17">
        <v>0</v>
      </c>
      <c r="D281" s="19" t="s">
        <v>19</v>
      </c>
      <c r="E281" s="19" t="s">
        <v>17</v>
      </c>
      <c r="F281" s="19" t="s">
        <v>18</v>
      </c>
    </row>
    <row r="282" spans="2:6" x14ac:dyDescent="0.25">
      <c r="B282" s="19" t="s">
        <v>28</v>
      </c>
      <c r="C282" s="17">
        <v>0</v>
      </c>
      <c r="D282" s="19" t="s">
        <v>19</v>
      </c>
      <c r="E282" s="19" t="s">
        <v>17</v>
      </c>
      <c r="F282" s="19" t="s">
        <v>18</v>
      </c>
    </row>
    <row r="283" spans="2:6" x14ac:dyDescent="0.25">
      <c r="B283" s="19" t="s">
        <v>28</v>
      </c>
      <c r="C283" s="17">
        <v>0</v>
      </c>
      <c r="D283" s="19" t="s">
        <v>19</v>
      </c>
      <c r="E283" s="19" t="s">
        <v>17</v>
      </c>
      <c r="F283" s="19" t="s">
        <v>18</v>
      </c>
    </row>
    <row r="284" spans="2:6" x14ac:dyDescent="0.25">
      <c r="B284" s="19" t="s">
        <v>28</v>
      </c>
      <c r="C284" s="17">
        <v>0</v>
      </c>
      <c r="D284" s="19" t="s">
        <v>19</v>
      </c>
      <c r="E284" s="19" t="s">
        <v>17</v>
      </c>
      <c r="F284" s="19" t="s">
        <v>18</v>
      </c>
    </row>
    <row r="285" spans="2:6" x14ac:dyDescent="0.25">
      <c r="B285" s="19" t="s">
        <v>28</v>
      </c>
      <c r="C285" s="17">
        <v>0</v>
      </c>
      <c r="D285" s="19" t="s">
        <v>19</v>
      </c>
      <c r="E285" s="19" t="s">
        <v>17</v>
      </c>
      <c r="F285" s="19" t="s">
        <v>18</v>
      </c>
    </row>
    <row r="286" spans="2:6" x14ac:dyDescent="0.25">
      <c r="B286" s="19" t="s">
        <v>28</v>
      </c>
      <c r="C286" s="17">
        <v>0</v>
      </c>
      <c r="D286" s="19" t="s">
        <v>19</v>
      </c>
      <c r="E286" s="19" t="s">
        <v>17</v>
      </c>
      <c r="F286" s="19" t="s">
        <v>18</v>
      </c>
    </row>
    <row r="287" spans="2:6" x14ac:dyDescent="0.25">
      <c r="B287" s="19" t="s">
        <v>28</v>
      </c>
      <c r="C287" s="17">
        <v>0</v>
      </c>
      <c r="D287" s="19" t="s">
        <v>19</v>
      </c>
      <c r="E287" s="19" t="s">
        <v>17</v>
      </c>
      <c r="F287" s="19" t="s">
        <v>18</v>
      </c>
    </row>
    <row r="288" spans="2:6" x14ac:dyDescent="0.25">
      <c r="B288" s="19" t="s">
        <v>28</v>
      </c>
      <c r="C288" s="17">
        <v>0</v>
      </c>
      <c r="D288" s="19" t="s">
        <v>19</v>
      </c>
      <c r="E288" s="19" t="s">
        <v>17</v>
      </c>
      <c r="F288" s="19" t="s">
        <v>18</v>
      </c>
    </row>
    <row r="289" spans="2:6" x14ac:dyDescent="0.25">
      <c r="B289" s="19" t="s">
        <v>28</v>
      </c>
      <c r="C289" s="17">
        <v>0</v>
      </c>
      <c r="D289" s="19" t="s">
        <v>19</v>
      </c>
      <c r="E289" s="19" t="s">
        <v>17</v>
      </c>
      <c r="F289" s="19" t="s">
        <v>18</v>
      </c>
    </row>
    <row r="290" spans="2:6" x14ac:dyDescent="0.25">
      <c r="B290" s="19" t="s">
        <v>28</v>
      </c>
      <c r="C290" s="17">
        <v>0</v>
      </c>
      <c r="D290" s="19" t="s">
        <v>19</v>
      </c>
      <c r="E290" s="19" t="s">
        <v>17</v>
      </c>
      <c r="F290" s="19" t="s">
        <v>18</v>
      </c>
    </row>
    <row r="291" spans="2:6" x14ac:dyDescent="0.25">
      <c r="B291" s="19" t="s">
        <v>28</v>
      </c>
      <c r="C291" s="17">
        <v>0</v>
      </c>
      <c r="D291" s="19" t="s">
        <v>19</v>
      </c>
      <c r="E291" s="19" t="s">
        <v>17</v>
      </c>
      <c r="F291" s="19" t="s">
        <v>18</v>
      </c>
    </row>
    <row r="292" spans="2:6" x14ac:dyDescent="0.25">
      <c r="B292" s="19" t="s">
        <v>29</v>
      </c>
      <c r="C292" s="17">
        <v>0</v>
      </c>
      <c r="D292" s="19" t="s">
        <v>19</v>
      </c>
      <c r="E292" s="19" t="s">
        <v>17</v>
      </c>
      <c r="F292" s="19" t="s">
        <v>18</v>
      </c>
    </row>
    <row r="293" spans="2:6" x14ac:dyDescent="0.25">
      <c r="B293" s="19" t="s">
        <v>29</v>
      </c>
      <c r="C293" s="17">
        <v>0</v>
      </c>
      <c r="D293" s="19" t="s">
        <v>19</v>
      </c>
      <c r="E293" s="19" t="s">
        <v>17</v>
      </c>
      <c r="F293" s="19" t="s">
        <v>18</v>
      </c>
    </row>
    <row r="294" spans="2:6" x14ac:dyDescent="0.25">
      <c r="B294" s="19" t="s">
        <v>29</v>
      </c>
      <c r="C294" s="17">
        <v>0</v>
      </c>
      <c r="D294" s="19" t="s">
        <v>19</v>
      </c>
      <c r="E294" s="19" t="s">
        <v>17</v>
      </c>
      <c r="F294" s="19" t="s">
        <v>18</v>
      </c>
    </row>
    <row r="295" spans="2:6" x14ac:dyDescent="0.25">
      <c r="B295" s="19" t="s">
        <v>29</v>
      </c>
      <c r="C295" s="17">
        <v>0</v>
      </c>
      <c r="D295" s="19" t="s">
        <v>19</v>
      </c>
      <c r="E295" s="19" t="s">
        <v>17</v>
      </c>
      <c r="F295" s="19" t="s">
        <v>18</v>
      </c>
    </row>
    <row r="296" spans="2:6" x14ac:dyDescent="0.25">
      <c r="B296" s="19" t="s">
        <v>29</v>
      </c>
      <c r="C296" s="17">
        <v>0</v>
      </c>
      <c r="D296" s="19" t="s">
        <v>19</v>
      </c>
      <c r="E296" s="19" t="s">
        <v>17</v>
      </c>
      <c r="F296" s="19" t="s">
        <v>18</v>
      </c>
    </row>
    <row r="297" spans="2:6" x14ac:dyDescent="0.25">
      <c r="B297" s="19" t="s">
        <v>29</v>
      </c>
      <c r="C297" s="17">
        <v>0</v>
      </c>
      <c r="D297" s="19" t="s">
        <v>19</v>
      </c>
      <c r="E297" s="19" t="s">
        <v>17</v>
      </c>
      <c r="F297" s="19" t="s">
        <v>18</v>
      </c>
    </row>
    <row r="298" spans="2:6" x14ac:dyDescent="0.25">
      <c r="B298" s="19" t="s">
        <v>29</v>
      </c>
      <c r="C298" s="17">
        <v>0</v>
      </c>
      <c r="D298" s="19" t="s">
        <v>19</v>
      </c>
      <c r="E298" s="19" t="s">
        <v>17</v>
      </c>
      <c r="F298" s="19" t="s">
        <v>18</v>
      </c>
    </row>
    <row r="299" spans="2:6" x14ac:dyDescent="0.25">
      <c r="B299" s="19" t="s">
        <v>29</v>
      </c>
      <c r="C299" s="17">
        <v>0</v>
      </c>
      <c r="D299" s="19" t="s">
        <v>19</v>
      </c>
      <c r="E299" s="19" t="s">
        <v>17</v>
      </c>
      <c r="F299" s="19" t="s">
        <v>18</v>
      </c>
    </row>
    <row r="300" spans="2:6" x14ac:dyDescent="0.25">
      <c r="B300" s="19" t="s">
        <v>29</v>
      </c>
      <c r="C300" s="17">
        <v>0</v>
      </c>
      <c r="D300" s="19" t="s">
        <v>19</v>
      </c>
      <c r="E300" s="19" t="s">
        <v>17</v>
      </c>
      <c r="F300" s="19" t="s">
        <v>18</v>
      </c>
    </row>
    <row r="301" spans="2:6" x14ac:dyDescent="0.25">
      <c r="B301" s="19" t="s">
        <v>29</v>
      </c>
      <c r="C301" s="17">
        <v>0</v>
      </c>
      <c r="D301" s="19" t="s">
        <v>19</v>
      </c>
      <c r="E301" s="19" t="s">
        <v>17</v>
      </c>
      <c r="F301" s="19" t="s">
        <v>18</v>
      </c>
    </row>
    <row r="302" spans="2:6" x14ac:dyDescent="0.25">
      <c r="B302" s="19" t="s">
        <v>29</v>
      </c>
      <c r="C302" s="17">
        <v>0</v>
      </c>
      <c r="D302" s="19" t="s">
        <v>19</v>
      </c>
      <c r="E302" s="19" t="s">
        <v>17</v>
      </c>
      <c r="F302" s="19" t="s">
        <v>18</v>
      </c>
    </row>
    <row r="303" spans="2:6" x14ac:dyDescent="0.25">
      <c r="B303" s="19" t="s">
        <v>29</v>
      </c>
      <c r="C303" s="17">
        <v>0</v>
      </c>
      <c r="D303" s="19" t="s">
        <v>19</v>
      </c>
      <c r="E303" s="19" t="s">
        <v>17</v>
      </c>
      <c r="F303" s="19" t="s">
        <v>18</v>
      </c>
    </row>
    <row r="304" spans="2:6" x14ac:dyDescent="0.25">
      <c r="B304" s="19" t="s">
        <v>29</v>
      </c>
      <c r="C304" s="17">
        <v>0</v>
      </c>
      <c r="D304" s="19" t="s">
        <v>19</v>
      </c>
      <c r="E304" s="19" t="s">
        <v>17</v>
      </c>
      <c r="F304" s="19" t="s">
        <v>18</v>
      </c>
    </row>
    <row r="305" spans="2:6" x14ac:dyDescent="0.25">
      <c r="B305" s="19" t="s">
        <v>29</v>
      </c>
      <c r="C305" s="17">
        <v>0</v>
      </c>
      <c r="D305" s="19" t="s">
        <v>19</v>
      </c>
      <c r="E305" s="19" t="s">
        <v>17</v>
      </c>
      <c r="F305" s="19" t="s">
        <v>18</v>
      </c>
    </row>
    <row r="306" spans="2:6" x14ac:dyDescent="0.25">
      <c r="B306" s="19" t="s">
        <v>29</v>
      </c>
      <c r="C306" s="17">
        <v>0</v>
      </c>
      <c r="D306" s="19" t="s">
        <v>19</v>
      </c>
      <c r="E306" s="19" t="s">
        <v>17</v>
      </c>
      <c r="F306" s="19" t="s">
        <v>18</v>
      </c>
    </row>
    <row r="307" spans="2:6" x14ac:dyDescent="0.25">
      <c r="B307" s="19" t="s">
        <v>29</v>
      </c>
      <c r="C307" s="17">
        <v>0</v>
      </c>
      <c r="D307" s="19" t="s">
        <v>19</v>
      </c>
      <c r="E307" s="19" t="s">
        <v>17</v>
      </c>
      <c r="F307" s="19" t="s">
        <v>18</v>
      </c>
    </row>
    <row r="308" spans="2:6" x14ac:dyDescent="0.25">
      <c r="B308" s="19" t="s">
        <v>29</v>
      </c>
      <c r="C308" s="17">
        <v>0</v>
      </c>
      <c r="D308" s="19" t="s">
        <v>19</v>
      </c>
      <c r="E308" s="19" t="s">
        <v>17</v>
      </c>
      <c r="F308" s="19" t="s">
        <v>18</v>
      </c>
    </row>
    <row r="309" spans="2:6" x14ac:dyDescent="0.25">
      <c r="B309" s="19" t="s">
        <v>29</v>
      </c>
      <c r="C309" s="17">
        <v>0</v>
      </c>
      <c r="D309" s="19" t="s">
        <v>19</v>
      </c>
      <c r="E309" s="19" t="s">
        <v>17</v>
      </c>
      <c r="F309" s="19" t="s">
        <v>18</v>
      </c>
    </row>
    <row r="310" spans="2:6" x14ac:dyDescent="0.25">
      <c r="B310" s="19" t="s">
        <v>29</v>
      </c>
      <c r="C310" s="17">
        <v>0</v>
      </c>
      <c r="D310" s="19" t="s">
        <v>19</v>
      </c>
      <c r="E310" s="19" t="s">
        <v>17</v>
      </c>
      <c r="F310" s="19" t="s">
        <v>18</v>
      </c>
    </row>
    <row r="311" spans="2:6" x14ac:dyDescent="0.25">
      <c r="B311" s="19" t="s">
        <v>29</v>
      </c>
      <c r="C311" s="17">
        <v>0</v>
      </c>
      <c r="D311" s="19" t="s">
        <v>19</v>
      </c>
      <c r="E311" s="19" t="s">
        <v>17</v>
      </c>
      <c r="F311" s="19" t="s">
        <v>18</v>
      </c>
    </row>
    <row r="312" spans="2:6" x14ac:dyDescent="0.25">
      <c r="B312" s="19" t="s">
        <v>29</v>
      </c>
      <c r="C312" s="17">
        <v>0</v>
      </c>
      <c r="D312" s="19" t="s">
        <v>19</v>
      </c>
      <c r="E312" s="19" t="s">
        <v>17</v>
      </c>
      <c r="F312" s="19" t="s">
        <v>18</v>
      </c>
    </row>
    <row r="313" spans="2:6" x14ac:dyDescent="0.25">
      <c r="B313" s="19" t="s">
        <v>29</v>
      </c>
      <c r="C313" s="17">
        <v>0</v>
      </c>
      <c r="D313" s="19" t="s">
        <v>19</v>
      </c>
      <c r="E313" s="19" t="s">
        <v>17</v>
      </c>
      <c r="F313" s="19" t="s">
        <v>18</v>
      </c>
    </row>
    <row r="314" spans="2:6" x14ac:dyDescent="0.25">
      <c r="B314" s="19" t="s">
        <v>30</v>
      </c>
      <c r="C314" s="17">
        <v>0</v>
      </c>
      <c r="D314" s="19" t="s">
        <v>19</v>
      </c>
      <c r="E314" s="19" t="s">
        <v>17</v>
      </c>
      <c r="F314" s="19" t="s">
        <v>18</v>
      </c>
    </row>
    <row r="315" spans="2:6" x14ac:dyDescent="0.25">
      <c r="B315" s="19" t="s">
        <v>30</v>
      </c>
      <c r="C315" s="17">
        <v>0</v>
      </c>
      <c r="D315" s="19" t="s">
        <v>19</v>
      </c>
      <c r="E315" s="19" t="s">
        <v>17</v>
      </c>
      <c r="F315" s="19" t="s">
        <v>18</v>
      </c>
    </row>
    <row r="316" spans="2:6" x14ac:dyDescent="0.25">
      <c r="B316" s="19" t="s">
        <v>30</v>
      </c>
      <c r="C316" s="17">
        <v>0</v>
      </c>
      <c r="D316" s="19" t="s">
        <v>19</v>
      </c>
      <c r="E316" s="19" t="s">
        <v>17</v>
      </c>
      <c r="F316" s="19" t="s">
        <v>18</v>
      </c>
    </row>
    <row r="317" spans="2:6" x14ac:dyDescent="0.25">
      <c r="B317" s="19" t="s">
        <v>30</v>
      </c>
      <c r="C317" s="17">
        <v>0</v>
      </c>
      <c r="D317" s="19" t="s">
        <v>19</v>
      </c>
      <c r="E317" s="19" t="s">
        <v>17</v>
      </c>
      <c r="F317" s="19" t="s">
        <v>18</v>
      </c>
    </row>
    <row r="318" spans="2:6" x14ac:dyDescent="0.25">
      <c r="B318" s="19" t="s">
        <v>30</v>
      </c>
      <c r="C318" s="17">
        <v>0</v>
      </c>
      <c r="D318" s="19" t="s">
        <v>19</v>
      </c>
      <c r="E318" s="19" t="s">
        <v>17</v>
      </c>
      <c r="F318" s="19" t="s">
        <v>18</v>
      </c>
    </row>
    <row r="319" spans="2:6" x14ac:dyDescent="0.25">
      <c r="B319" s="19" t="s">
        <v>30</v>
      </c>
      <c r="C319" s="17">
        <v>0</v>
      </c>
      <c r="D319" s="19" t="s">
        <v>19</v>
      </c>
      <c r="E319" s="19" t="s">
        <v>17</v>
      </c>
      <c r="F319" s="19" t="s">
        <v>18</v>
      </c>
    </row>
    <row r="320" spans="2:6" x14ac:dyDescent="0.25">
      <c r="B320" s="19" t="s">
        <v>30</v>
      </c>
      <c r="C320" s="17">
        <v>0</v>
      </c>
      <c r="D320" s="19" t="s">
        <v>19</v>
      </c>
      <c r="E320" s="19" t="s">
        <v>17</v>
      </c>
      <c r="F320" s="19" t="s">
        <v>18</v>
      </c>
    </row>
    <row r="321" spans="2:6" x14ac:dyDescent="0.25">
      <c r="B321" s="19" t="s">
        <v>30</v>
      </c>
      <c r="C321" s="17">
        <v>0</v>
      </c>
      <c r="D321" s="19" t="s">
        <v>19</v>
      </c>
      <c r="E321" s="19" t="s">
        <v>17</v>
      </c>
      <c r="F321" s="19" t="s">
        <v>18</v>
      </c>
    </row>
    <row r="322" spans="2:6" x14ac:dyDescent="0.25">
      <c r="B322" s="19" t="s">
        <v>30</v>
      </c>
      <c r="C322" s="17">
        <v>0</v>
      </c>
      <c r="D322" s="19" t="s">
        <v>19</v>
      </c>
      <c r="E322" s="19" t="s">
        <v>17</v>
      </c>
      <c r="F322" s="19" t="s">
        <v>18</v>
      </c>
    </row>
    <row r="323" spans="2:6" x14ac:dyDescent="0.25">
      <c r="B323" s="19" t="s">
        <v>30</v>
      </c>
      <c r="C323" s="17">
        <v>0</v>
      </c>
      <c r="D323" s="19" t="s">
        <v>19</v>
      </c>
      <c r="E323" s="19" t="s">
        <v>17</v>
      </c>
      <c r="F323" s="19" t="s">
        <v>18</v>
      </c>
    </row>
    <row r="324" spans="2:6" x14ac:dyDescent="0.25">
      <c r="B324" s="19" t="s">
        <v>30</v>
      </c>
      <c r="C324" s="17">
        <v>0</v>
      </c>
      <c r="D324" s="19" t="s">
        <v>19</v>
      </c>
      <c r="E324" s="19" t="s">
        <v>17</v>
      </c>
      <c r="F324" s="19" t="s">
        <v>18</v>
      </c>
    </row>
    <row r="325" spans="2:6" x14ac:dyDescent="0.25">
      <c r="B325" s="19" t="s">
        <v>30</v>
      </c>
      <c r="C325" s="17">
        <v>0</v>
      </c>
      <c r="D325" s="19" t="s">
        <v>19</v>
      </c>
      <c r="E325" s="19" t="s">
        <v>17</v>
      </c>
      <c r="F325" s="19" t="s">
        <v>18</v>
      </c>
    </row>
    <row r="326" spans="2:6" x14ac:dyDescent="0.25">
      <c r="B326" s="19" t="s">
        <v>30</v>
      </c>
      <c r="C326" s="17">
        <v>0</v>
      </c>
      <c r="D326" s="19" t="s">
        <v>19</v>
      </c>
      <c r="E326" s="19" t="s">
        <v>17</v>
      </c>
      <c r="F326" s="19" t="s">
        <v>18</v>
      </c>
    </row>
    <row r="327" spans="2:6" x14ac:dyDescent="0.25">
      <c r="B327" s="19" t="s">
        <v>30</v>
      </c>
      <c r="C327" s="17">
        <v>0</v>
      </c>
      <c r="D327" s="19" t="s">
        <v>19</v>
      </c>
      <c r="E327" s="19" t="s">
        <v>17</v>
      </c>
      <c r="F327" s="19" t="s">
        <v>18</v>
      </c>
    </row>
    <row r="328" spans="2:6" x14ac:dyDescent="0.25">
      <c r="B328" s="19" t="s">
        <v>30</v>
      </c>
      <c r="C328" s="17">
        <v>0</v>
      </c>
      <c r="D328" s="19" t="s">
        <v>19</v>
      </c>
      <c r="E328" s="19" t="s">
        <v>17</v>
      </c>
      <c r="F328" s="19" t="s">
        <v>18</v>
      </c>
    </row>
    <row r="329" spans="2:6" x14ac:dyDescent="0.25">
      <c r="B329" s="19" t="s">
        <v>30</v>
      </c>
      <c r="C329" s="17">
        <v>0</v>
      </c>
      <c r="D329" s="19" t="s">
        <v>19</v>
      </c>
      <c r="E329" s="19" t="s">
        <v>17</v>
      </c>
      <c r="F329" s="19" t="s">
        <v>18</v>
      </c>
    </row>
    <row r="330" spans="2:6" x14ac:dyDescent="0.25">
      <c r="B330" s="19" t="s">
        <v>30</v>
      </c>
      <c r="C330" s="17">
        <v>0</v>
      </c>
      <c r="D330" s="19" t="s">
        <v>19</v>
      </c>
      <c r="E330" s="19" t="s">
        <v>17</v>
      </c>
      <c r="F330" s="19" t="s">
        <v>18</v>
      </c>
    </row>
    <row r="331" spans="2:6" x14ac:dyDescent="0.25">
      <c r="B331" s="19" t="s">
        <v>30</v>
      </c>
      <c r="C331" s="17">
        <v>0</v>
      </c>
      <c r="D331" s="19" t="s">
        <v>19</v>
      </c>
      <c r="E331" s="19" t="s">
        <v>17</v>
      </c>
      <c r="F331" s="19" t="s">
        <v>18</v>
      </c>
    </row>
    <row r="332" spans="2:6" x14ac:dyDescent="0.25">
      <c r="B332" s="19" t="s">
        <v>30</v>
      </c>
      <c r="C332" s="17">
        <v>0</v>
      </c>
      <c r="D332" s="19" t="s">
        <v>19</v>
      </c>
      <c r="E332" s="19" t="s">
        <v>17</v>
      </c>
      <c r="F332" s="19" t="s">
        <v>18</v>
      </c>
    </row>
    <row r="333" spans="2:6" x14ac:dyDescent="0.25">
      <c r="B333" s="19" t="s">
        <v>30</v>
      </c>
      <c r="C333" s="17">
        <v>0</v>
      </c>
      <c r="D333" s="19" t="s">
        <v>19</v>
      </c>
      <c r="E333" s="19" t="s">
        <v>17</v>
      </c>
      <c r="F333" s="19" t="s">
        <v>18</v>
      </c>
    </row>
    <row r="334" spans="2:6" x14ac:dyDescent="0.25">
      <c r="B334" s="19" t="s">
        <v>30</v>
      </c>
      <c r="C334" s="17">
        <v>0</v>
      </c>
      <c r="D334" s="19" t="s">
        <v>19</v>
      </c>
      <c r="E334" s="19" t="s">
        <v>17</v>
      </c>
      <c r="F334" s="19" t="s">
        <v>18</v>
      </c>
    </row>
    <row r="335" spans="2:6" x14ac:dyDescent="0.25">
      <c r="B335" s="19" t="s">
        <v>30</v>
      </c>
      <c r="C335" s="17">
        <v>0</v>
      </c>
      <c r="D335" s="19" t="s">
        <v>19</v>
      </c>
      <c r="E335" s="19" t="s">
        <v>17</v>
      </c>
      <c r="F335" s="19" t="s">
        <v>18</v>
      </c>
    </row>
    <row r="336" spans="2:6" x14ac:dyDescent="0.25">
      <c r="B336" s="19" t="s">
        <v>31</v>
      </c>
      <c r="C336" s="17">
        <v>0</v>
      </c>
      <c r="D336" s="19" t="s">
        <v>19</v>
      </c>
      <c r="E336" s="19" t="s">
        <v>17</v>
      </c>
      <c r="F336" s="19" t="s">
        <v>18</v>
      </c>
    </row>
    <row r="337" spans="2:6" x14ac:dyDescent="0.25">
      <c r="B337" s="19" t="s">
        <v>31</v>
      </c>
      <c r="C337" s="17">
        <v>0</v>
      </c>
      <c r="D337" s="19" t="s">
        <v>19</v>
      </c>
      <c r="E337" s="19" t="s">
        <v>17</v>
      </c>
      <c r="F337" s="19" t="s">
        <v>18</v>
      </c>
    </row>
    <row r="338" spans="2:6" x14ac:dyDescent="0.25">
      <c r="B338" s="19" t="s">
        <v>31</v>
      </c>
      <c r="C338" s="17">
        <v>0</v>
      </c>
      <c r="D338" s="19" t="s">
        <v>19</v>
      </c>
      <c r="E338" s="19" t="s">
        <v>17</v>
      </c>
      <c r="F338" s="19" t="s">
        <v>18</v>
      </c>
    </row>
    <row r="339" spans="2:6" x14ac:dyDescent="0.25">
      <c r="B339" s="19" t="s">
        <v>31</v>
      </c>
      <c r="C339" s="17">
        <v>0</v>
      </c>
      <c r="D339" s="19" t="s">
        <v>19</v>
      </c>
      <c r="E339" s="19" t="s">
        <v>17</v>
      </c>
      <c r="F339" s="19" t="s">
        <v>18</v>
      </c>
    </row>
    <row r="340" spans="2:6" x14ac:dyDescent="0.25">
      <c r="B340" s="19" t="s">
        <v>31</v>
      </c>
      <c r="C340" s="17">
        <v>0</v>
      </c>
      <c r="D340" s="19" t="s">
        <v>19</v>
      </c>
      <c r="E340" s="19" t="s">
        <v>17</v>
      </c>
      <c r="F340" s="19" t="s">
        <v>18</v>
      </c>
    </row>
    <row r="341" spans="2:6" x14ac:dyDescent="0.25">
      <c r="B341" s="19" t="s">
        <v>31</v>
      </c>
      <c r="C341" s="17">
        <v>0</v>
      </c>
      <c r="D341" s="19" t="s">
        <v>19</v>
      </c>
      <c r="E341" s="19" t="s">
        <v>17</v>
      </c>
      <c r="F341" s="19" t="s">
        <v>18</v>
      </c>
    </row>
    <row r="342" spans="2:6" x14ac:dyDescent="0.25">
      <c r="B342" s="19" t="s">
        <v>31</v>
      </c>
      <c r="C342" s="17">
        <v>0</v>
      </c>
      <c r="D342" s="19" t="s">
        <v>19</v>
      </c>
      <c r="E342" s="19" t="s">
        <v>17</v>
      </c>
      <c r="F342" s="19" t="s">
        <v>18</v>
      </c>
    </row>
    <row r="343" spans="2:6" x14ac:dyDescent="0.25">
      <c r="B343" s="19" t="s">
        <v>31</v>
      </c>
      <c r="C343" s="17">
        <v>0</v>
      </c>
      <c r="D343" s="19" t="s">
        <v>19</v>
      </c>
      <c r="E343" s="19" t="s">
        <v>17</v>
      </c>
      <c r="F343" s="19" t="s">
        <v>18</v>
      </c>
    </row>
    <row r="344" spans="2:6" x14ac:dyDescent="0.25">
      <c r="B344" s="19" t="s">
        <v>31</v>
      </c>
      <c r="C344" s="17">
        <v>0</v>
      </c>
      <c r="D344" s="19" t="s">
        <v>19</v>
      </c>
      <c r="E344" s="19" t="s">
        <v>17</v>
      </c>
      <c r="F344" s="19" t="s">
        <v>18</v>
      </c>
    </row>
    <row r="345" spans="2:6" x14ac:dyDescent="0.25">
      <c r="B345" s="19" t="s">
        <v>31</v>
      </c>
      <c r="C345" s="17">
        <v>0</v>
      </c>
      <c r="D345" s="19" t="s">
        <v>19</v>
      </c>
      <c r="E345" s="19" t="s">
        <v>17</v>
      </c>
      <c r="F345" s="19" t="s">
        <v>18</v>
      </c>
    </row>
    <row r="346" spans="2:6" x14ac:dyDescent="0.25">
      <c r="B346" s="19" t="s">
        <v>31</v>
      </c>
      <c r="C346" s="17">
        <v>0</v>
      </c>
      <c r="D346" s="19" t="s">
        <v>19</v>
      </c>
      <c r="E346" s="19" t="s">
        <v>17</v>
      </c>
      <c r="F346" s="19" t="s">
        <v>18</v>
      </c>
    </row>
    <row r="347" spans="2:6" x14ac:dyDescent="0.25">
      <c r="B347" s="19" t="s">
        <v>31</v>
      </c>
      <c r="C347" s="17">
        <v>0</v>
      </c>
      <c r="D347" s="19" t="s">
        <v>19</v>
      </c>
      <c r="E347" s="19" t="s">
        <v>17</v>
      </c>
      <c r="F347" s="19" t="s">
        <v>18</v>
      </c>
    </row>
    <row r="348" spans="2:6" x14ac:dyDescent="0.25">
      <c r="B348" s="19" t="s">
        <v>31</v>
      </c>
      <c r="C348" s="17">
        <v>0</v>
      </c>
      <c r="D348" s="19" t="s">
        <v>19</v>
      </c>
      <c r="E348" s="19" t="s">
        <v>17</v>
      </c>
      <c r="F348" s="19" t="s">
        <v>18</v>
      </c>
    </row>
    <row r="349" spans="2:6" x14ac:dyDescent="0.25">
      <c r="B349" s="19" t="s">
        <v>31</v>
      </c>
      <c r="C349" s="17">
        <v>0</v>
      </c>
      <c r="D349" s="19" t="s">
        <v>19</v>
      </c>
      <c r="E349" s="19" t="s">
        <v>17</v>
      </c>
      <c r="F349" s="19" t="s">
        <v>18</v>
      </c>
    </row>
    <row r="350" spans="2:6" x14ac:dyDescent="0.25">
      <c r="B350" s="19" t="s">
        <v>31</v>
      </c>
      <c r="C350" s="17">
        <v>0</v>
      </c>
      <c r="D350" s="19" t="s">
        <v>19</v>
      </c>
      <c r="E350" s="19" t="s">
        <v>17</v>
      </c>
      <c r="F350" s="19" t="s">
        <v>18</v>
      </c>
    </row>
    <row r="351" spans="2:6" x14ac:dyDescent="0.25">
      <c r="B351" s="19" t="s">
        <v>31</v>
      </c>
      <c r="C351" s="17">
        <v>0</v>
      </c>
      <c r="D351" s="19" t="s">
        <v>19</v>
      </c>
      <c r="E351" s="19" t="s">
        <v>17</v>
      </c>
      <c r="F351" s="19" t="s">
        <v>18</v>
      </c>
    </row>
    <row r="352" spans="2:6" x14ac:dyDescent="0.25">
      <c r="B352" s="19" t="s">
        <v>31</v>
      </c>
      <c r="C352" s="17">
        <v>0</v>
      </c>
      <c r="D352" s="19" t="s">
        <v>19</v>
      </c>
      <c r="E352" s="19" t="s">
        <v>17</v>
      </c>
      <c r="F352" s="19" t="s">
        <v>18</v>
      </c>
    </row>
    <row r="353" spans="2:6" x14ac:dyDescent="0.25">
      <c r="B353" s="19" t="s">
        <v>31</v>
      </c>
      <c r="C353" s="17">
        <v>0</v>
      </c>
      <c r="D353" s="19" t="s">
        <v>19</v>
      </c>
      <c r="E353" s="19" t="s">
        <v>17</v>
      </c>
      <c r="F353" s="19" t="s">
        <v>18</v>
      </c>
    </row>
    <row r="354" spans="2:6" x14ac:dyDescent="0.25">
      <c r="B354" s="19" t="s">
        <v>31</v>
      </c>
      <c r="C354" s="17">
        <v>0</v>
      </c>
      <c r="D354" s="19" t="s">
        <v>19</v>
      </c>
      <c r="E354" s="19" t="s">
        <v>17</v>
      </c>
      <c r="F354" s="19" t="s">
        <v>18</v>
      </c>
    </row>
    <row r="355" spans="2:6" x14ac:dyDescent="0.25">
      <c r="B355" s="19" t="s">
        <v>31</v>
      </c>
      <c r="C355" s="17">
        <v>0</v>
      </c>
      <c r="D355" s="19" t="s">
        <v>19</v>
      </c>
      <c r="E355" s="19" t="s">
        <v>17</v>
      </c>
      <c r="F355" s="19" t="s">
        <v>18</v>
      </c>
    </row>
    <row r="356" spans="2:6" x14ac:dyDescent="0.25">
      <c r="B356" s="19" t="s">
        <v>31</v>
      </c>
      <c r="C356" s="17">
        <v>0</v>
      </c>
      <c r="D356" s="19" t="s">
        <v>19</v>
      </c>
      <c r="E356" s="19" t="s">
        <v>17</v>
      </c>
      <c r="F356" s="19" t="s">
        <v>18</v>
      </c>
    </row>
    <row r="357" spans="2:6" x14ac:dyDescent="0.25">
      <c r="B357" s="19" t="s">
        <v>31</v>
      </c>
      <c r="C357" s="17">
        <v>0</v>
      </c>
      <c r="D357" s="19" t="s">
        <v>19</v>
      </c>
      <c r="E357" s="19" t="s">
        <v>17</v>
      </c>
      <c r="F357" s="19" t="s">
        <v>18</v>
      </c>
    </row>
    <row r="358" spans="2:6" x14ac:dyDescent="0.25">
      <c r="B358" s="19" t="s">
        <v>32</v>
      </c>
      <c r="C358" s="17">
        <v>0</v>
      </c>
      <c r="D358" s="19" t="s">
        <v>19</v>
      </c>
      <c r="E358" s="19" t="s">
        <v>17</v>
      </c>
      <c r="F358" s="19" t="s">
        <v>18</v>
      </c>
    </row>
    <row r="359" spans="2:6" x14ac:dyDescent="0.25">
      <c r="B359" s="19" t="s">
        <v>32</v>
      </c>
      <c r="C359" s="17">
        <v>0</v>
      </c>
      <c r="D359" s="19" t="s">
        <v>19</v>
      </c>
      <c r="E359" s="19" t="s">
        <v>17</v>
      </c>
      <c r="F359" s="19" t="s">
        <v>18</v>
      </c>
    </row>
    <row r="360" spans="2:6" x14ac:dyDescent="0.25">
      <c r="B360" s="19" t="s">
        <v>32</v>
      </c>
      <c r="C360" s="17">
        <v>0</v>
      </c>
      <c r="D360" s="19" t="s">
        <v>19</v>
      </c>
      <c r="E360" s="19" t="s">
        <v>17</v>
      </c>
      <c r="F360" s="19" t="s">
        <v>18</v>
      </c>
    </row>
    <row r="361" spans="2:6" x14ac:dyDescent="0.25">
      <c r="B361" s="19" t="s">
        <v>32</v>
      </c>
      <c r="C361" s="17">
        <v>0</v>
      </c>
      <c r="D361" s="19" t="s">
        <v>19</v>
      </c>
      <c r="E361" s="19" t="s">
        <v>17</v>
      </c>
      <c r="F361" s="19" t="s">
        <v>18</v>
      </c>
    </row>
    <row r="362" spans="2:6" x14ac:dyDescent="0.25">
      <c r="B362" s="19" t="s">
        <v>32</v>
      </c>
      <c r="C362" s="17">
        <v>0</v>
      </c>
      <c r="D362" s="19" t="s">
        <v>19</v>
      </c>
      <c r="E362" s="19" t="s">
        <v>17</v>
      </c>
      <c r="F362" s="19" t="s">
        <v>18</v>
      </c>
    </row>
    <row r="363" spans="2:6" x14ac:dyDescent="0.25">
      <c r="B363" s="19" t="s">
        <v>32</v>
      </c>
      <c r="C363" s="17">
        <v>0</v>
      </c>
      <c r="D363" s="19" t="s">
        <v>19</v>
      </c>
      <c r="E363" s="19" t="s">
        <v>17</v>
      </c>
      <c r="F363" s="19" t="s">
        <v>18</v>
      </c>
    </row>
    <row r="364" spans="2:6" x14ac:dyDescent="0.25">
      <c r="B364" s="19" t="s">
        <v>32</v>
      </c>
      <c r="C364" s="17">
        <v>0</v>
      </c>
      <c r="D364" s="19" t="s">
        <v>19</v>
      </c>
      <c r="E364" s="19" t="s">
        <v>17</v>
      </c>
      <c r="F364" s="19" t="s">
        <v>18</v>
      </c>
    </row>
    <row r="365" spans="2:6" x14ac:dyDescent="0.25">
      <c r="B365" s="19" t="s">
        <v>32</v>
      </c>
      <c r="C365" s="17">
        <v>0</v>
      </c>
      <c r="D365" s="19" t="s">
        <v>19</v>
      </c>
      <c r="E365" s="19" t="s">
        <v>17</v>
      </c>
      <c r="F365" s="19" t="s">
        <v>18</v>
      </c>
    </row>
    <row r="366" spans="2:6" x14ac:dyDescent="0.25">
      <c r="B366" s="19" t="s">
        <v>32</v>
      </c>
      <c r="C366" s="17">
        <v>0</v>
      </c>
      <c r="D366" s="19" t="s">
        <v>19</v>
      </c>
      <c r="E366" s="19" t="s">
        <v>17</v>
      </c>
      <c r="F366" s="19" t="s">
        <v>18</v>
      </c>
    </row>
    <row r="367" spans="2:6" x14ac:dyDescent="0.25">
      <c r="B367" s="19" t="s">
        <v>32</v>
      </c>
      <c r="C367" s="17">
        <v>0</v>
      </c>
      <c r="D367" s="19" t="s">
        <v>19</v>
      </c>
      <c r="E367" s="19" t="s">
        <v>17</v>
      </c>
      <c r="F367" s="19" t="s">
        <v>18</v>
      </c>
    </row>
    <row r="368" spans="2:6" x14ac:dyDescent="0.25">
      <c r="B368" s="19" t="s">
        <v>32</v>
      </c>
      <c r="C368" s="17">
        <v>0</v>
      </c>
      <c r="D368" s="19" t="s">
        <v>19</v>
      </c>
      <c r="E368" s="19" t="s">
        <v>17</v>
      </c>
      <c r="F368" s="19" t="s">
        <v>18</v>
      </c>
    </row>
    <row r="369" spans="2:6" x14ac:dyDescent="0.25">
      <c r="B369" s="19" t="s">
        <v>32</v>
      </c>
      <c r="C369" s="17">
        <v>0</v>
      </c>
      <c r="D369" s="19" t="s">
        <v>19</v>
      </c>
      <c r="E369" s="19" t="s">
        <v>17</v>
      </c>
      <c r="F369" s="19" t="s">
        <v>18</v>
      </c>
    </row>
    <row r="370" spans="2:6" x14ac:dyDescent="0.25">
      <c r="B370" s="19" t="s">
        <v>32</v>
      </c>
      <c r="C370" s="17">
        <v>0</v>
      </c>
      <c r="D370" s="19" t="s">
        <v>19</v>
      </c>
      <c r="E370" s="19" t="s">
        <v>17</v>
      </c>
      <c r="F370" s="19" t="s">
        <v>18</v>
      </c>
    </row>
    <row r="371" spans="2:6" x14ac:dyDescent="0.25">
      <c r="B371" s="19" t="s">
        <v>32</v>
      </c>
      <c r="C371" s="17">
        <v>0</v>
      </c>
      <c r="D371" s="19" t="s">
        <v>19</v>
      </c>
      <c r="E371" s="19" t="s">
        <v>17</v>
      </c>
      <c r="F371" s="19" t="s">
        <v>18</v>
      </c>
    </row>
    <row r="372" spans="2:6" x14ac:dyDescent="0.25">
      <c r="B372" s="19" t="s">
        <v>32</v>
      </c>
      <c r="C372" s="17">
        <v>0</v>
      </c>
      <c r="D372" s="19" t="s">
        <v>19</v>
      </c>
      <c r="E372" s="19" t="s">
        <v>17</v>
      </c>
      <c r="F372" s="19" t="s">
        <v>18</v>
      </c>
    </row>
    <row r="373" spans="2:6" x14ac:dyDescent="0.25">
      <c r="B373" s="19" t="s">
        <v>32</v>
      </c>
      <c r="C373" s="17">
        <v>0</v>
      </c>
      <c r="D373" s="19" t="s">
        <v>19</v>
      </c>
      <c r="E373" s="19" t="s">
        <v>17</v>
      </c>
      <c r="F373" s="19" t="s">
        <v>18</v>
      </c>
    </row>
    <row r="374" spans="2:6" x14ac:dyDescent="0.25">
      <c r="B374" s="19" t="s">
        <v>32</v>
      </c>
      <c r="C374" s="17">
        <v>0</v>
      </c>
      <c r="D374" s="19" t="s">
        <v>19</v>
      </c>
      <c r="E374" s="19" t="s">
        <v>17</v>
      </c>
      <c r="F374" s="19" t="s">
        <v>18</v>
      </c>
    </row>
    <row r="375" spans="2:6" x14ac:dyDescent="0.25">
      <c r="B375" s="19" t="s">
        <v>32</v>
      </c>
      <c r="C375" s="17">
        <v>0</v>
      </c>
      <c r="D375" s="19" t="s">
        <v>19</v>
      </c>
      <c r="E375" s="19" t="s">
        <v>17</v>
      </c>
      <c r="F375" s="19" t="s">
        <v>18</v>
      </c>
    </row>
    <row r="376" spans="2:6" x14ac:dyDescent="0.25">
      <c r="B376" s="19" t="s">
        <v>32</v>
      </c>
      <c r="C376" s="17">
        <v>0</v>
      </c>
      <c r="D376" s="19" t="s">
        <v>19</v>
      </c>
      <c r="E376" s="19" t="s">
        <v>17</v>
      </c>
      <c r="F376" s="19" t="s">
        <v>18</v>
      </c>
    </row>
    <row r="377" spans="2:6" x14ac:dyDescent="0.25">
      <c r="B377" s="19" t="s">
        <v>32</v>
      </c>
      <c r="C377" s="17">
        <v>0</v>
      </c>
      <c r="D377" s="19" t="s">
        <v>19</v>
      </c>
      <c r="E377" s="19" t="s">
        <v>17</v>
      </c>
      <c r="F377" s="19" t="s">
        <v>18</v>
      </c>
    </row>
    <row r="378" spans="2:6" x14ac:dyDescent="0.25">
      <c r="B378" s="19" t="s">
        <v>32</v>
      </c>
      <c r="C378" s="17">
        <v>0</v>
      </c>
      <c r="D378" s="19" t="s">
        <v>19</v>
      </c>
      <c r="E378" s="19" t="s">
        <v>17</v>
      </c>
      <c r="F378" s="19" t="s">
        <v>18</v>
      </c>
    </row>
    <row r="379" spans="2:6" x14ac:dyDescent="0.25">
      <c r="B379" s="19" t="s">
        <v>32</v>
      </c>
      <c r="C379" s="17">
        <v>0</v>
      </c>
      <c r="D379" s="19" t="s">
        <v>19</v>
      </c>
      <c r="E379" s="19" t="s">
        <v>17</v>
      </c>
      <c r="F379" s="19" t="s">
        <v>18</v>
      </c>
    </row>
    <row r="380" spans="2:6" x14ac:dyDescent="0.25">
      <c r="B380" s="19" t="s">
        <v>33</v>
      </c>
      <c r="C380" s="17">
        <v>0</v>
      </c>
      <c r="D380" s="19" t="s">
        <v>19</v>
      </c>
      <c r="E380" s="19" t="s">
        <v>17</v>
      </c>
      <c r="F380" s="19" t="s">
        <v>18</v>
      </c>
    </row>
    <row r="381" spans="2:6" x14ac:dyDescent="0.25">
      <c r="B381" s="19" t="s">
        <v>33</v>
      </c>
      <c r="C381" s="17">
        <v>0</v>
      </c>
      <c r="D381" s="19" t="s">
        <v>19</v>
      </c>
      <c r="E381" s="19" t="s">
        <v>17</v>
      </c>
      <c r="F381" s="19" t="s">
        <v>18</v>
      </c>
    </row>
    <row r="382" spans="2:6" x14ac:dyDescent="0.25">
      <c r="B382" s="19" t="s">
        <v>33</v>
      </c>
      <c r="C382" s="17">
        <v>0</v>
      </c>
      <c r="D382" s="19" t="s">
        <v>19</v>
      </c>
      <c r="E382" s="19" t="s">
        <v>17</v>
      </c>
      <c r="F382" s="19" t="s">
        <v>18</v>
      </c>
    </row>
    <row r="383" spans="2:6" x14ac:dyDescent="0.25">
      <c r="B383" s="19" t="s">
        <v>33</v>
      </c>
      <c r="C383" s="17">
        <v>0</v>
      </c>
      <c r="D383" s="19" t="s">
        <v>19</v>
      </c>
      <c r="E383" s="19" t="s">
        <v>17</v>
      </c>
      <c r="F383" s="19" t="s">
        <v>18</v>
      </c>
    </row>
    <row r="384" spans="2:6" x14ac:dyDescent="0.25">
      <c r="B384" s="19" t="s">
        <v>33</v>
      </c>
      <c r="C384" s="17">
        <v>0</v>
      </c>
      <c r="D384" s="19" t="s">
        <v>19</v>
      </c>
      <c r="E384" s="19" t="s">
        <v>17</v>
      </c>
      <c r="F384" s="19" t="s">
        <v>18</v>
      </c>
    </row>
    <row r="385" spans="2:6" x14ac:dyDescent="0.25">
      <c r="B385" s="19" t="s">
        <v>33</v>
      </c>
      <c r="C385" s="17">
        <v>0</v>
      </c>
      <c r="D385" s="19" t="s">
        <v>19</v>
      </c>
      <c r="E385" s="19" t="s">
        <v>17</v>
      </c>
      <c r="F385" s="19" t="s">
        <v>18</v>
      </c>
    </row>
    <row r="386" spans="2:6" x14ac:dyDescent="0.25">
      <c r="B386" s="19" t="s">
        <v>33</v>
      </c>
      <c r="C386" s="17">
        <v>0</v>
      </c>
      <c r="D386" s="19" t="s">
        <v>19</v>
      </c>
      <c r="E386" s="19" t="s">
        <v>17</v>
      </c>
      <c r="F386" s="19" t="s">
        <v>18</v>
      </c>
    </row>
    <row r="387" spans="2:6" x14ac:dyDescent="0.25">
      <c r="B387" s="19" t="s">
        <v>33</v>
      </c>
      <c r="C387" s="17">
        <v>0</v>
      </c>
      <c r="D387" s="19" t="s">
        <v>19</v>
      </c>
      <c r="E387" s="19" t="s">
        <v>17</v>
      </c>
      <c r="F387" s="19" t="s">
        <v>18</v>
      </c>
    </row>
    <row r="388" spans="2:6" x14ac:dyDescent="0.25">
      <c r="B388" s="19" t="s">
        <v>33</v>
      </c>
      <c r="C388" s="17">
        <v>0</v>
      </c>
      <c r="D388" s="19" t="s">
        <v>19</v>
      </c>
      <c r="E388" s="19" t="s">
        <v>17</v>
      </c>
      <c r="F388" s="19" t="s">
        <v>18</v>
      </c>
    </row>
    <row r="389" spans="2:6" x14ac:dyDescent="0.25">
      <c r="B389" s="19" t="s">
        <v>33</v>
      </c>
      <c r="C389" s="17">
        <v>0</v>
      </c>
      <c r="D389" s="19" t="s">
        <v>19</v>
      </c>
      <c r="E389" s="19" t="s">
        <v>17</v>
      </c>
      <c r="F389" s="19" t="s">
        <v>18</v>
      </c>
    </row>
    <row r="390" spans="2:6" x14ac:dyDescent="0.25">
      <c r="B390" s="19" t="s">
        <v>33</v>
      </c>
      <c r="C390" s="17">
        <v>0</v>
      </c>
      <c r="D390" s="19" t="s">
        <v>19</v>
      </c>
      <c r="E390" s="19" t="s">
        <v>17</v>
      </c>
      <c r="F390" s="19" t="s">
        <v>18</v>
      </c>
    </row>
    <row r="391" spans="2:6" x14ac:dyDescent="0.25">
      <c r="B391" s="19" t="s">
        <v>33</v>
      </c>
      <c r="C391" s="17">
        <v>0</v>
      </c>
      <c r="D391" s="19" t="s">
        <v>19</v>
      </c>
      <c r="E391" s="19" t="s">
        <v>17</v>
      </c>
      <c r="F391" s="19" t="s">
        <v>18</v>
      </c>
    </row>
    <row r="392" spans="2:6" x14ac:dyDescent="0.25">
      <c r="B392" s="19" t="s">
        <v>33</v>
      </c>
      <c r="C392" s="17">
        <v>0</v>
      </c>
      <c r="D392" s="19" t="s">
        <v>19</v>
      </c>
      <c r="E392" s="19" t="s">
        <v>17</v>
      </c>
      <c r="F392" s="19" t="s">
        <v>18</v>
      </c>
    </row>
    <row r="393" spans="2:6" x14ac:dyDescent="0.25">
      <c r="B393" s="19" t="s">
        <v>33</v>
      </c>
      <c r="C393" s="17">
        <v>0</v>
      </c>
      <c r="D393" s="19" t="s">
        <v>19</v>
      </c>
      <c r="E393" s="19" t="s">
        <v>17</v>
      </c>
      <c r="F393" s="19" t="s">
        <v>18</v>
      </c>
    </row>
    <row r="394" spans="2:6" x14ac:dyDescent="0.25">
      <c r="B394" s="19" t="s">
        <v>33</v>
      </c>
      <c r="C394" s="17">
        <v>0</v>
      </c>
      <c r="D394" s="19" t="s">
        <v>19</v>
      </c>
      <c r="E394" s="19" t="s">
        <v>17</v>
      </c>
      <c r="F394" s="19" t="s">
        <v>18</v>
      </c>
    </row>
    <row r="395" spans="2:6" x14ac:dyDescent="0.25">
      <c r="B395" s="19" t="s">
        <v>33</v>
      </c>
      <c r="C395" s="17">
        <v>0</v>
      </c>
      <c r="D395" s="19" t="s">
        <v>19</v>
      </c>
      <c r="E395" s="19" t="s">
        <v>17</v>
      </c>
      <c r="F395" s="19" t="s">
        <v>18</v>
      </c>
    </row>
    <row r="396" spans="2:6" x14ac:dyDescent="0.25">
      <c r="B396" s="19" t="s">
        <v>33</v>
      </c>
      <c r="C396" s="17">
        <v>0</v>
      </c>
      <c r="D396" s="19" t="s">
        <v>19</v>
      </c>
      <c r="E396" s="19" t="s">
        <v>17</v>
      </c>
      <c r="F396" s="19" t="s">
        <v>18</v>
      </c>
    </row>
    <row r="397" spans="2:6" x14ac:dyDescent="0.25">
      <c r="B397" s="19" t="s">
        <v>33</v>
      </c>
      <c r="C397" s="17">
        <v>0</v>
      </c>
      <c r="D397" s="19" t="s">
        <v>19</v>
      </c>
      <c r="E397" s="19" t="s">
        <v>17</v>
      </c>
      <c r="F397" s="19" t="s">
        <v>18</v>
      </c>
    </row>
    <row r="398" spans="2:6" x14ac:dyDescent="0.25">
      <c r="B398" s="19" t="s">
        <v>33</v>
      </c>
      <c r="C398" s="17">
        <v>0</v>
      </c>
      <c r="D398" s="19" t="s">
        <v>19</v>
      </c>
      <c r="E398" s="19" t="s">
        <v>17</v>
      </c>
      <c r="F398" s="19" t="s">
        <v>18</v>
      </c>
    </row>
    <row r="399" spans="2:6" x14ac:dyDescent="0.25">
      <c r="B399" s="19" t="s">
        <v>33</v>
      </c>
      <c r="C399" s="17">
        <v>0</v>
      </c>
      <c r="D399" s="19" t="s">
        <v>19</v>
      </c>
      <c r="E399" s="19" t="s">
        <v>17</v>
      </c>
      <c r="F399" s="19" t="s">
        <v>18</v>
      </c>
    </row>
    <row r="400" spans="2:6" x14ac:dyDescent="0.25">
      <c r="B400" s="19" t="s">
        <v>33</v>
      </c>
      <c r="C400" s="17">
        <v>0</v>
      </c>
      <c r="D400" s="19" t="s">
        <v>19</v>
      </c>
      <c r="E400" s="19" t="s">
        <v>17</v>
      </c>
      <c r="F400" s="19" t="s">
        <v>18</v>
      </c>
    </row>
    <row r="401" spans="2:6" x14ac:dyDescent="0.25">
      <c r="B401" s="19" t="s">
        <v>33</v>
      </c>
      <c r="C401" s="17">
        <v>0</v>
      </c>
      <c r="D401" s="19" t="s">
        <v>19</v>
      </c>
      <c r="E401" s="19" t="s">
        <v>17</v>
      </c>
      <c r="F401" s="19" t="s">
        <v>18</v>
      </c>
    </row>
    <row r="402" spans="2:6" x14ac:dyDescent="0.25">
      <c r="B402" s="19" t="s">
        <v>34</v>
      </c>
      <c r="C402" s="17">
        <v>0</v>
      </c>
      <c r="D402" s="19" t="s">
        <v>19</v>
      </c>
      <c r="E402" s="19" t="s">
        <v>17</v>
      </c>
      <c r="F402" s="19" t="s">
        <v>18</v>
      </c>
    </row>
    <row r="403" spans="2:6" x14ac:dyDescent="0.25">
      <c r="B403" s="19" t="s">
        <v>34</v>
      </c>
      <c r="C403" s="17">
        <v>0</v>
      </c>
      <c r="D403" s="19" t="s">
        <v>19</v>
      </c>
      <c r="E403" s="19" t="s">
        <v>17</v>
      </c>
      <c r="F403" s="19" t="s">
        <v>18</v>
      </c>
    </row>
    <row r="404" spans="2:6" x14ac:dyDescent="0.25">
      <c r="B404" s="19" t="s">
        <v>34</v>
      </c>
      <c r="C404" s="17">
        <v>0</v>
      </c>
      <c r="D404" s="19" t="s">
        <v>19</v>
      </c>
      <c r="E404" s="19" t="s">
        <v>17</v>
      </c>
      <c r="F404" s="19" t="s">
        <v>18</v>
      </c>
    </row>
    <row r="405" spans="2:6" x14ac:dyDescent="0.25">
      <c r="B405" s="19" t="s">
        <v>34</v>
      </c>
      <c r="C405" s="17">
        <v>0</v>
      </c>
      <c r="D405" s="19" t="s">
        <v>19</v>
      </c>
      <c r="E405" s="19" t="s">
        <v>17</v>
      </c>
      <c r="F405" s="19" t="s">
        <v>18</v>
      </c>
    </row>
    <row r="406" spans="2:6" x14ac:dyDescent="0.25">
      <c r="B406" s="19" t="s">
        <v>34</v>
      </c>
      <c r="C406" s="17">
        <v>0</v>
      </c>
      <c r="D406" s="19" t="s">
        <v>19</v>
      </c>
      <c r="E406" s="19" t="s">
        <v>17</v>
      </c>
      <c r="F406" s="19" t="s">
        <v>18</v>
      </c>
    </row>
    <row r="407" spans="2:6" x14ac:dyDescent="0.25">
      <c r="B407" s="19" t="s">
        <v>34</v>
      </c>
      <c r="C407" s="17">
        <v>0</v>
      </c>
      <c r="D407" s="19" t="s">
        <v>19</v>
      </c>
      <c r="E407" s="19" t="s">
        <v>17</v>
      </c>
      <c r="F407" s="19" t="s">
        <v>18</v>
      </c>
    </row>
    <row r="408" spans="2:6" x14ac:dyDescent="0.25">
      <c r="B408" s="19" t="s">
        <v>34</v>
      </c>
      <c r="C408" s="17">
        <v>0</v>
      </c>
      <c r="D408" s="19" t="s">
        <v>19</v>
      </c>
      <c r="E408" s="19" t="s">
        <v>17</v>
      </c>
      <c r="F408" s="19" t="s">
        <v>18</v>
      </c>
    </row>
    <row r="409" spans="2:6" x14ac:dyDescent="0.25">
      <c r="B409" s="19" t="s">
        <v>34</v>
      </c>
      <c r="C409" s="17">
        <v>0</v>
      </c>
      <c r="D409" s="19" t="s">
        <v>19</v>
      </c>
      <c r="E409" s="19" t="s">
        <v>17</v>
      </c>
      <c r="F409" s="19" t="s">
        <v>18</v>
      </c>
    </row>
    <row r="410" spans="2:6" x14ac:dyDescent="0.25">
      <c r="B410" s="19" t="s">
        <v>34</v>
      </c>
      <c r="C410" s="17">
        <v>0</v>
      </c>
      <c r="D410" s="19" t="s">
        <v>19</v>
      </c>
      <c r="E410" s="19" t="s">
        <v>17</v>
      </c>
      <c r="F410" s="19" t="s">
        <v>18</v>
      </c>
    </row>
    <row r="411" spans="2:6" x14ac:dyDescent="0.25">
      <c r="B411" s="19" t="s">
        <v>34</v>
      </c>
      <c r="C411" s="17">
        <v>0</v>
      </c>
      <c r="D411" s="19" t="s">
        <v>19</v>
      </c>
      <c r="E411" s="19" t="s">
        <v>17</v>
      </c>
      <c r="F411" s="19" t="s">
        <v>18</v>
      </c>
    </row>
    <row r="412" spans="2:6" x14ac:dyDescent="0.25">
      <c r="B412" s="19" t="s">
        <v>34</v>
      </c>
      <c r="C412" s="17">
        <v>0</v>
      </c>
      <c r="D412" s="19" t="s">
        <v>19</v>
      </c>
      <c r="E412" s="19" t="s">
        <v>17</v>
      </c>
      <c r="F412" s="19" t="s">
        <v>18</v>
      </c>
    </row>
    <row r="413" spans="2:6" x14ac:dyDescent="0.25">
      <c r="B413" s="19" t="s">
        <v>34</v>
      </c>
      <c r="C413" s="17">
        <v>0</v>
      </c>
      <c r="D413" s="19" t="s">
        <v>19</v>
      </c>
      <c r="E413" s="19" t="s">
        <v>17</v>
      </c>
      <c r="F413" s="19" t="s">
        <v>18</v>
      </c>
    </row>
    <row r="414" spans="2:6" x14ac:dyDescent="0.25">
      <c r="B414" s="19" t="s">
        <v>34</v>
      </c>
      <c r="C414" s="17">
        <v>0</v>
      </c>
      <c r="D414" s="19" t="s">
        <v>19</v>
      </c>
      <c r="E414" s="19" t="s">
        <v>17</v>
      </c>
      <c r="F414" s="19" t="s">
        <v>18</v>
      </c>
    </row>
    <row r="415" spans="2:6" x14ac:dyDescent="0.25">
      <c r="B415" s="19" t="s">
        <v>34</v>
      </c>
      <c r="C415" s="17">
        <v>0</v>
      </c>
      <c r="D415" s="19" t="s">
        <v>19</v>
      </c>
      <c r="E415" s="19" t="s">
        <v>17</v>
      </c>
      <c r="F415" s="19" t="s">
        <v>18</v>
      </c>
    </row>
    <row r="416" spans="2:6" x14ac:dyDescent="0.25">
      <c r="B416" s="19" t="s">
        <v>34</v>
      </c>
      <c r="C416" s="17">
        <v>0</v>
      </c>
      <c r="D416" s="19" t="s">
        <v>19</v>
      </c>
      <c r="E416" s="19" t="s">
        <v>17</v>
      </c>
      <c r="F416" s="19" t="s">
        <v>18</v>
      </c>
    </row>
    <row r="417" spans="2:6" x14ac:dyDescent="0.25">
      <c r="B417" s="19" t="s">
        <v>34</v>
      </c>
      <c r="C417" s="17">
        <v>0</v>
      </c>
      <c r="D417" s="19" t="s">
        <v>19</v>
      </c>
      <c r="E417" s="19" t="s">
        <v>17</v>
      </c>
      <c r="F417" s="19" t="s">
        <v>18</v>
      </c>
    </row>
    <row r="418" spans="2:6" x14ac:dyDescent="0.25">
      <c r="B418" s="19" t="s">
        <v>34</v>
      </c>
      <c r="C418" s="17">
        <v>0</v>
      </c>
      <c r="D418" s="19" t="s">
        <v>19</v>
      </c>
      <c r="E418" s="19" t="s">
        <v>17</v>
      </c>
      <c r="F418" s="19" t="s">
        <v>18</v>
      </c>
    </row>
    <row r="419" spans="2:6" x14ac:dyDescent="0.25">
      <c r="B419" s="19" t="s">
        <v>34</v>
      </c>
      <c r="C419" s="17">
        <v>0</v>
      </c>
      <c r="D419" s="19" t="s">
        <v>19</v>
      </c>
      <c r="E419" s="19" t="s">
        <v>17</v>
      </c>
      <c r="F419" s="19" t="s">
        <v>18</v>
      </c>
    </row>
    <row r="420" spans="2:6" x14ac:dyDescent="0.25">
      <c r="B420" s="19" t="s">
        <v>34</v>
      </c>
      <c r="C420" s="17">
        <v>0</v>
      </c>
      <c r="D420" s="19" t="s">
        <v>19</v>
      </c>
      <c r="E420" s="19" t="s">
        <v>17</v>
      </c>
      <c r="F420" s="19" t="s">
        <v>18</v>
      </c>
    </row>
    <row r="421" spans="2:6" x14ac:dyDescent="0.25">
      <c r="B421" s="19" t="s">
        <v>34</v>
      </c>
      <c r="C421" s="17">
        <v>0</v>
      </c>
      <c r="D421" s="19" t="s">
        <v>19</v>
      </c>
      <c r="E421" s="19" t="s">
        <v>17</v>
      </c>
      <c r="F421" s="19" t="s">
        <v>18</v>
      </c>
    </row>
    <row r="422" spans="2:6" x14ac:dyDescent="0.25">
      <c r="B422" s="19" t="s">
        <v>34</v>
      </c>
      <c r="C422" s="17">
        <v>0</v>
      </c>
      <c r="D422" s="19" t="s">
        <v>19</v>
      </c>
      <c r="E422" s="19" t="s">
        <v>17</v>
      </c>
      <c r="F422" s="19" t="s">
        <v>18</v>
      </c>
    </row>
    <row r="423" spans="2:6" x14ac:dyDescent="0.25">
      <c r="B423" s="19" t="s">
        <v>34</v>
      </c>
      <c r="C423" s="17">
        <v>0</v>
      </c>
      <c r="D423" s="19" t="s">
        <v>19</v>
      </c>
      <c r="E423" s="19" t="s">
        <v>17</v>
      </c>
      <c r="F423" s="19" t="s">
        <v>18</v>
      </c>
    </row>
  </sheetData>
  <mergeCells count="9">
    <mergeCell ref="A1:B1"/>
    <mergeCell ref="C1:F1"/>
    <mergeCell ref="G1:J1"/>
    <mergeCell ref="K1:N1"/>
    <mergeCell ref="O1:R1"/>
    <mergeCell ref="C2:F2"/>
    <mergeCell ref="G2:J2"/>
    <mergeCell ref="K2:N2"/>
    <mergeCell ref="O2:R2"/>
  </mergeCells>
  <pageMargins left="0.25" right="0.25" top="0.75" bottom="0.75" header="0.3" footer="0.3"/>
  <pageSetup paperSize="9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191F-1791-4612-94D6-FE98C60EFB44}">
  <sheetPr>
    <pageSetUpPr fitToPage="1"/>
  </sheetPr>
  <dimension ref="A1:R22"/>
  <sheetViews>
    <sheetView zoomScale="70" zoomScaleNormal="70" workbookViewId="0">
      <pane ySplit="3" topLeftCell="A4" activePane="bottomLeft" state="frozen"/>
      <selection pane="bottomLeft" activeCell="O1" sqref="A1:R22"/>
    </sheetView>
  </sheetViews>
  <sheetFormatPr defaultRowHeight="15" x14ac:dyDescent="0.25"/>
  <cols>
    <col min="1" max="1" width="23.5703125" style="1" bestFit="1" customWidth="1"/>
    <col min="2" max="2" width="13.5703125" customWidth="1"/>
    <col min="3" max="3" width="9.140625" style="17"/>
    <col min="4" max="4" width="10.42578125" customWidth="1"/>
    <col min="5" max="5" width="14" customWidth="1"/>
  </cols>
  <sheetData>
    <row r="1" spans="1:18" ht="18" x14ac:dyDescent="0.35">
      <c r="A1" s="14" t="s">
        <v>37</v>
      </c>
      <c r="B1" s="14"/>
      <c r="C1" s="15" t="s">
        <v>8</v>
      </c>
      <c r="D1" s="15"/>
      <c r="E1" s="15"/>
      <c r="F1" s="15"/>
      <c r="G1" s="15" t="s">
        <v>8</v>
      </c>
      <c r="H1" s="15"/>
      <c r="I1" s="15"/>
      <c r="J1" s="15"/>
      <c r="K1" s="15" t="s">
        <v>8</v>
      </c>
      <c r="L1" s="15"/>
      <c r="M1" s="15"/>
      <c r="N1" s="15"/>
      <c r="O1" s="15" t="s">
        <v>8</v>
      </c>
      <c r="P1" s="15"/>
      <c r="Q1" s="15"/>
      <c r="R1" s="15"/>
    </row>
    <row r="2" spans="1:18" x14ac:dyDescent="0.25">
      <c r="A2" s="8" t="s">
        <v>0</v>
      </c>
      <c r="B2" s="9" t="s">
        <v>1</v>
      </c>
      <c r="C2" s="16" t="s">
        <v>4</v>
      </c>
      <c r="D2" s="16"/>
      <c r="E2" s="16"/>
      <c r="F2" s="16"/>
      <c r="G2" s="16" t="s">
        <v>5</v>
      </c>
      <c r="H2" s="16"/>
      <c r="I2" s="16"/>
      <c r="J2" s="16"/>
      <c r="K2" s="16" t="s">
        <v>6</v>
      </c>
      <c r="L2" s="16"/>
      <c r="M2" s="16"/>
      <c r="N2" s="16"/>
      <c r="O2" s="16" t="s">
        <v>7</v>
      </c>
      <c r="P2" s="16"/>
      <c r="Q2" s="16"/>
      <c r="R2" s="16"/>
    </row>
    <row r="3" spans="1:18" x14ac:dyDescent="0.25">
      <c r="A3" s="10" t="s">
        <v>2</v>
      </c>
      <c r="B3" s="11" t="s">
        <v>3</v>
      </c>
      <c r="C3" s="3">
        <v>1</v>
      </c>
      <c r="D3" s="3">
        <v>2</v>
      </c>
      <c r="E3" s="3">
        <v>3</v>
      </c>
      <c r="F3" s="3">
        <v>4</v>
      </c>
      <c r="G3" s="3">
        <v>6</v>
      </c>
      <c r="H3" s="3">
        <v>7</v>
      </c>
      <c r="I3" s="3">
        <v>8</v>
      </c>
      <c r="J3" s="3">
        <v>9</v>
      </c>
      <c r="K3" s="3">
        <v>11</v>
      </c>
      <c r="L3" s="3">
        <v>12</v>
      </c>
      <c r="M3" s="3">
        <v>13</v>
      </c>
      <c r="N3" s="3">
        <v>14</v>
      </c>
      <c r="O3" s="3">
        <v>16</v>
      </c>
      <c r="P3" s="3">
        <v>17</v>
      </c>
      <c r="Q3" s="3">
        <v>18</v>
      </c>
      <c r="R3" s="3">
        <v>19</v>
      </c>
    </row>
    <row r="4" spans="1:18" x14ac:dyDescent="0.25">
      <c r="A4" s="12" t="s">
        <v>84</v>
      </c>
      <c r="B4" s="5">
        <v>0</v>
      </c>
      <c r="C4" s="4">
        <v>-6.7190000000000003</v>
      </c>
      <c r="D4" s="4">
        <v>7.093</v>
      </c>
      <c r="E4" s="4">
        <v>11.962999999999999</v>
      </c>
      <c r="F4" s="4">
        <v>6.6849999999999996</v>
      </c>
      <c r="G4" s="4">
        <v>-12.385</v>
      </c>
      <c r="H4" s="4">
        <v>-7.0590000000000002</v>
      </c>
      <c r="I4" s="4">
        <v>-12.022</v>
      </c>
      <c r="J4" s="4">
        <v>11.271000000000001</v>
      </c>
      <c r="K4" s="4">
        <v>11.759</v>
      </c>
      <c r="L4" s="4">
        <v>-11.039</v>
      </c>
      <c r="M4" s="4">
        <v>12.443</v>
      </c>
      <c r="N4" s="4">
        <v>-12.163</v>
      </c>
      <c r="O4" s="4">
        <v>-12.621</v>
      </c>
      <c r="P4" s="4">
        <v>11.93</v>
      </c>
      <c r="Q4" s="4">
        <v>-12.638</v>
      </c>
      <c r="R4" s="4">
        <v>13.500999999999999</v>
      </c>
    </row>
    <row r="5" spans="1:18" x14ac:dyDescent="0.25">
      <c r="A5" s="12" t="s">
        <v>84</v>
      </c>
      <c r="B5" s="5">
        <v>1</v>
      </c>
      <c r="C5" s="4">
        <v>26.850999999999999</v>
      </c>
      <c r="D5" s="4">
        <v>94.747</v>
      </c>
      <c r="E5" s="4">
        <v>71.331999999999994</v>
      </c>
      <c r="F5" s="4">
        <v>40.241</v>
      </c>
      <c r="G5" s="4">
        <v>17.355</v>
      </c>
      <c r="H5" s="4">
        <v>81.150999999999996</v>
      </c>
      <c r="I5" s="4">
        <v>47.244999999999997</v>
      </c>
      <c r="J5" s="4">
        <v>48.603999999999999</v>
      </c>
      <c r="K5" s="4">
        <v>26.474</v>
      </c>
      <c r="L5" s="4">
        <v>25.667999999999999</v>
      </c>
      <c r="M5" s="4">
        <v>42.209000000000003</v>
      </c>
      <c r="N5" s="4">
        <v>7.468</v>
      </c>
      <c r="O5" s="4">
        <v>-4.4269999999999996</v>
      </c>
      <c r="P5" s="4">
        <v>31.550999999999998</v>
      </c>
      <c r="Q5" s="4">
        <v>5.0060000000000002</v>
      </c>
      <c r="R5" s="4">
        <v>21.388999999999999</v>
      </c>
    </row>
    <row r="6" spans="1:18" x14ac:dyDescent="0.25">
      <c r="A6" s="12" t="s">
        <v>84</v>
      </c>
      <c r="B6" s="5">
        <v>2</v>
      </c>
      <c r="C6" s="4">
        <v>33.375</v>
      </c>
      <c r="D6" s="4">
        <v>111.562</v>
      </c>
      <c r="E6" s="4">
        <v>82.721000000000004</v>
      </c>
      <c r="F6" s="4">
        <v>46.77</v>
      </c>
      <c r="G6" s="4">
        <v>23.128</v>
      </c>
      <c r="H6" s="4">
        <v>98.19</v>
      </c>
      <c r="I6" s="4">
        <v>58.686</v>
      </c>
      <c r="J6" s="4">
        <v>55.82</v>
      </c>
      <c r="K6" s="4">
        <v>29.315000000000001</v>
      </c>
      <c r="L6" s="4">
        <v>32.753999999999998</v>
      </c>
      <c r="M6" s="4">
        <v>47.993000000000002</v>
      </c>
      <c r="N6" s="4">
        <v>11.254</v>
      </c>
      <c r="O6" s="4">
        <v>-2.8460000000000001</v>
      </c>
      <c r="P6" s="4">
        <v>35.332999999999998</v>
      </c>
      <c r="Q6" s="4">
        <v>8.4139999999999997</v>
      </c>
      <c r="R6" s="4">
        <v>22.911000000000001</v>
      </c>
    </row>
    <row r="7" spans="1:18" x14ac:dyDescent="0.25">
      <c r="A7" s="12" t="s">
        <v>84</v>
      </c>
      <c r="B7" s="5">
        <v>3</v>
      </c>
      <c r="C7" s="4">
        <v>42.548000000000002</v>
      </c>
      <c r="D7" s="4">
        <v>143.79300000000001</v>
      </c>
      <c r="E7" s="4">
        <v>103.44199999999999</v>
      </c>
      <c r="F7" s="4">
        <v>57.011000000000003</v>
      </c>
      <c r="G7" s="4">
        <v>33.031999999999996</v>
      </c>
      <c r="H7" s="4">
        <v>134.95599999999999</v>
      </c>
      <c r="I7" s="4">
        <v>84.328999999999994</v>
      </c>
      <c r="J7" s="4">
        <v>68.394999999999996</v>
      </c>
      <c r="K7" s="4">
        <v>34.75</v>
      </c>
      <c r="L7" s="4">
        <v>46.238999999999997</v>
      </c>
      <c r="M7" s="4">
        <v>56.542000000000002</v>
      </c>
      <c r="N7" s="4">
        <v>19.768000000000001</v>
      </c>
      <c r="O7" s="4">
        <v>-1.892E-3</v>
      </c>
      <c r="P7" s="4">
        <v>41.98</v>
      </c>
      <c r="Q7" s="4">
        <v>14.84</v>
      </c>
      <c r="R7" s="4">
        <v>25.832000000000001</v>
      </c>
    </row>
    <row r="8" spans="1:18" x14ac:dyDescent="0.25">
      <c r="A8" s="12" t="s">
        <v>84</v>
      </c>
      <c r="B8" s="5">
        <v>4</v>
      </c>
      <c r="C8" s="4">
        <v>44.884</v>
      </c>
      <c r="D8" s="4">
        <v>150.28899999999999</v>
      </c>
      <c r="E8" s="4">
        <v>109.60899999999999</v>
      </c>
      <c r="F8" s="4">
        <v>59.335000000000001</v>
      </c>
      <c r="G8" s="4">
        <v>33.780999999999999</v>
      </c>
      <c r="H8" s="4">
        <v>145.93</v>
      </c>
      <c r="I8" s="4">
        <v>92.784999999999997</v>
      </c>
      <c r="J8" s="4">
        <v>73.036000000000001</v>
      </c>
      <c r="K8" s="4">
        <v>35.902000000000001</v>
      </c>
      <c r="L8" s="4">
        <v>50.271999999999998</v>
      </c>
      <c r="M8" s="4">
        <v>57.393999999999998</v>
      </c>
      <c r="N8" s="4">
        <v>20.709</v>
      </c>
      <c r="O8" s="4">
        <v>0.995</v>
      </c>
      <c r="P8" s="4">
        <v>42.683</v>
      </c>
      <c r="Q8" s="4">
        <v>16.423999999999999</v>
      </c>
      <c r="R8" s="4">
        <v>26.510999999999999</v>
      </c>
    </row>
    <row r="9" spans="1:18" x14ac:dyDescent="0.25">
      <c r="A9" s="12" t="s">
        <v>84</v>
      </c>
      <c r="B9" s="5">
        <v>5</v>
      </c>
      <c r="C9" s="4">
        <v>52.813000000000002</v>
      </c>
      <c r="D9" s="4">
        <v>176.62200000000001</v>
      </c>
      <c r="E9" s="4">
        <v>122.07299999999999</v>
      </c>
      <c r="F9" s="4">
        <v>66.712999999999994</v>
      </c>
      <c r="G9" s="4">
        <v>37.354999999999997</v>
      </c>
      <c r="H9" s="4">
        <v>176.45500000000001</v>
      </c>
      <c r="I9" s="4">
        <v>124.14100000000001</v>
      </c>
      <c r="J9" s="4">
        <v>80.45</v>
      </c>
      <c r="K9" s="4">
        <v>40.302999999999997</v>
      </c>
      <c r="L9" s="4">
        <v>71.028000000000006</v>
      </c>
      <c r="M9" s="4">
        <v>62.905000000000001</v>
      </c>
      <c r="N9" s="4">
        <v>26.495000000000001</v>
      </c>
      <c r="O9" s="4">
        <v>5.7990000000000004</v>
      </c>
      <c r="P9" s="4">
        <v>42.374000000000002</v>
      </c>
      <c r="Q9" s="4">
        <v>23.065000000000001</v>
      </c>
      <c r="R9" s="4">
        <v>25.05</v>
      </c>
    </row>
    <row r="10" spans="1:18" x14ac:dyDescent="0.25">
      <c r="A10" s="12" t="s">
        <v>84</v>
      </c>
      <c r="B10" s="5">
        <v>6</v>
      </c>
      <c r="C10" s="4">
        <v>59.006</v>
      </c>
      <c r="D10" s="4">
        <v>198.8</v>
      </c>
      <c r="E10" s="4">
        <v>137.12200000000001</v>
      </c>
      <c r="F10" s="4">
        <v>72.581000000000003</v>
      </c>
      <c r="G10" s="4">
        <v>42.451999999999998</v>
      </c>
      <c r="H10" s="4">
        <v>198.76499999999999</v>
      </c>
      <c r="I10" s="4">
        <v>139.077</v>
      </c>
      <c r="J10" s="4">
        <v>90.766999999999996</v>
      </c>
      <c r="K10" s="4">
        <v>44.95</v>
      </c>
      <c r="L10" s="4">
        <v>81.137</v>
      </c>
      <c r="M10" s="4">
        <v>69.281999999999996</v>
      </c>
      <c r="N10" s="4">
        <v>31.503</v>
      </c>
      <c r="O10" s="4">
        <v>8.6270000000000007</v>
      </c>
      <c r="P10" s="4">
        <v>43.305</v>
      </c>
      <c r="Q10" s="4">
        <v>28.407</v>
      </c>
      <c r="R10" s="4">
        <v>23.507999999999999</v>
      </c>
    </row>
    <row r="11" spans="1:18" x14ac:dyDescent="0.25">
      <c r="A11" s="12" t="s">
        <v>84</v>
      </c>
      <c r="B11" s="5">
        <v>7</v>
      </c>
      <c r="C11" s="4">
        <v>76.804000000000002</v>
      </c>
      <c r="D11" s="4">
        <v>196.465</v>
      </c>
      <c r="E11" s="4">
        <v>149.58799999999999</v>
      </c>
      <c r="F11" s="4">
        <v>90.471000000000004</v>
      </c>
      <c r="G11" s="4">
        <v>42.488</v>
      </c>
      <c r="H11" s="4">
        <v>197.17599999999999</v>
      </c>
      <c r="I11" s="4">
        <v>149.74199999999999</v>
      </c>
      <c r="J11" s="4">
        <v>93.016999999999996</v>
      </c>
      <c r="K11" s="4">
        <v>45.655999999999999</v>
      </c>
      <c r="L11" s="4">
        <v>90.096999999999994</v>
      </c>
      <c r="M11" s="4">
        <v>69.400000000000006</v>
      </c>
      <c r="N11" s="4">
        <v>33.192999999999998</v>
      </c>
      <c r="O11" s="4">
        <v>8.2729999999999997</v>
      </c>
      <c r="P11" s="4">
        <v>45.213999999999999</v>
      </c>
      <c r="Q11" s="4">
        <v>35.021000000000001</v>
      </c>
      <c r="R11" s="4">
        <v>22.873999999999999</v>
      </c>
    </row>
    <row r="12" spans="1:18" x14ac:dyDescent="0.25">
      <c r="A12" s="12" t="s">
        <v>84</v>
      </c>
      <c r="B12" s="5">
        <v>8</v>
      </c>
      <c r="C12" s="4">
        <v>81.673000000000002</v>
      </c>
      <c r="D12" s="4">
        <v>195.96100000000001</v>
      </c>
      <c r="E12" s="4">
        <v>154.35400000000001</v>
      </c>
      <c r="F12" s="4">
        <v>98.238</v>
      </c>
      <c r="G12" s="4">
        <v>42.930999999999997</v>
      </c>
      <c r="H12" s="4">
        <v>197</v>
      </c>
      <c r="I12" s="4">
        <v>153.52500000000001</v>
      </c>
      <c r="J12" s="4">
        <v>93.260999999999996</v>
      </c>
      <c r="K12" s="4">
        <v>45.417999999999999</v>
      </c>
      <c r="L12" s="4">
        <v>93.96</v>
      </c>
      <c r="M12" s="4">
        <v>69.173000000000002</v>
      </c>
      <c r="N12" s="4">
        <v>33.807000000000002</v>
      </c>
      <c r="O12" s="4">
        <v>8.26</v>
      </c>
      <c r="P12" s="4">
        <v>46.067999999999998</v>
      </c>
      <c r="Q12" s="4">
        <v>37.871000000000002</v>
      </c>
      <c r="R12" s="4">
        <v>22.658000000000001</v>
      </c>
    </row>
    <row r="13" spans="1:18" x14ac:dyDescent="0.25">
      <c r="A13" s="12" t="s">
        <v>84</v>
      </c>
      <c r="B13" s="5">
        <v>9</v>
      </c>
      <c r="C13" s="4">
        <v>84.307000000000002</v>
      </c>
      <c r="D13" s="4">
        <v>201.75899999999999</v>
      </c>
      <c r="E13" s="4">
        <v>159.87100000000001</v>
      </c>
      <c r="F13" s="4">
        <v>101.1</v>
      </c>
      <c r="G13" s="4">
        <v>44.715000000000003</v>
      </c>
      <c r="H13" s="4">
        <v>203.96100000000001</v>
      </c>
      <c r="I13" s="4">
        <v>157.74799999999999</v>
      </c>
      <c r="J13" s="4">
        <v>94.427000000000007</v>
      </c>
      <c r="K13" s="4">
        <v>45.610999999999997</v>
      </c>
      <c r="L13" s="4">
        <v>99.036000000000001</v>
      </c>
      <c r="M13" s="4">
        <v>71.031999999999996</v>
      </c>
      <c r="N13" s="4">
        <v>34.874000000000002</v>
      </c>
      <c r="O13" s="4">
        <v>8.7629999999999999</v>
      </c>
      <c r="P13" s="4">
        <v>47.27</v>
      </c>
      <c r="Q13" s="4">
        <v>40.573</v>
      </c>
      <c r="R13" s="4">
        <v>22.901</v>
      </c>
    </row>
    <row r="14" spans="1:18" x14ac:dyDescent="0.25">
      <c r="A14" s="12" t="s">
        <v>84</v>
      </c>
      <c r="B14" s="5">
        <v>10</v>
      </c>
      <c r="C14" s="4">
        <v>87.7</v>
      </c>
      <c r="D14" s="4">
        <v>208.61500000000001</v>
      </c>
      <c r="E14" s="4">
        <v>166.34299999999999</v>
      </c>
      <c r="F14" s="4">
        <v>104.83199999999999</v>
      </c>
      <c r="G14" s="4">
        <v>46.680999999999997</v>
      </c>
      <c r="H14" s="4">
        <v>211.97300000000001</v>
      </c>
      <c r="I14" s="4">
        <v>163.37799999999999</v>
      </c>
      <c r="J14" s="4">
        <v>96.664000000000001</v>
      </c>
      <c r="K14" s="4">
        <v>46.639000000000003</v>
      </c>
      <c r="L14" s="4">
        <v>103.492</v>
      </c>
      <c r="M14" s="4">
        <v>73.087999999999994</v>
      </c>
      <c r="N14" s="4">
        <v>36.572000000000003</v>
      </c>
      <c r="O14" s="4">
        <v>9.8079999999999998</v>
      </c>
      <c r="P14" s="4">
        <v>49.133000000000003</v>
      </c>
      <c r="Q14" s="4">
        <v>42.116999999999997</v>
      </c>
      <c r="R14" s="4">
        <v>23.667999999999999</v>
      </c>
    </row>
    <row r="15" spans="1:18" x14ac:dyDescent="0.25">
      <c r="A15" s="12" t="s">
        <v>84</v>
      </c>
      <c r="B15" s="5">
        <v>11</v>
      </c>
      <c r="C15" s="4">
        <v>89.707999999999998</v>
      </c>
      <c r="D15" s="4">
        <v>212.77</v>
      </c>
      <c r="E15" s="4">
        <v>170.233</v>
      </c>
      <c r="F15" s="4">
        <v>107.07599999999999</v>
      </c>
      <c r="G15" s="4">
        <v>47.892000000000003</v>
      </c>
      <c r="H15" s="4">
        <v>216.62299999999999</v>
      </c>
      <c r="I15" s="4">
        <v>166.86500000000001</v>
      </c>
      <c r="J15" s="4">
        <v>97.762</v>
      </c>
      <c r="K15" s="4">
        <v>48.136000000000003</v>
      </c>
      <c r="L15" s="4">
        <v>105.703</v>
      </c>
      <c r="M15" s="4">
        <v>74.072000000000003</v>
      </c>
      <c r="N15" s="4">
        <v>37.369999999999997</v>
      </c>
      <c r="O15" s="4">
        <v>11.161</v>
      </c>
      <c r="P15" s="4">
        <v>51.113</v>
      </c>
      <c r="Q15" s="4">
        <v>44.616</v>
      </c>
      <c r="R15" s="4">
        <v>20.922000000000001</v>
      </c>
    </row>
    <row r="16" spans="1:18" x14ac:dyDescent="0.25">
      <c r="A16" s="12" t="s">
        <v>84</v>
      </c>
      <c r="B16" s="5">
        <v>12</v>
      </c>
      <c r="C16" s="4">
        <v>92.412000000000006</v>
      </c>
      <c r="D16" s="4">
        <v>218.13800000000001</v>
      </c>
      <c r="E16" s="4">
        <v>174.714</v>
      </c>
      <c r="F16" s="4">
        <v>110.05500000000001</v>
      </c>
      <c r="G16" s="4">
        <v>49.143000000000001</v>
      </c>
      <c r="H16" s="4">
        <v>221.88</v>
      </c>
      <c r="I16" s="4">
        <v>172.102</v>
      </c>
      <c r="J16" s="4">
        <v>100.544</v>
      </c>
      <c r="K16" s="4">
        <v>49.445999999999998</v>
      </c>
      <c r="L16" s="4">
        <v>105.703</v>
      </c>
      <c r="M16" s="4">
        <v>75.058999999999997</v>
      </c>
      <c r="N16" s="4">
        <v>39.048999999999999</v>
      </c>
      <c r="O16" s="4">
        <v>12.551</v>
      </c>
      <c r="P16" s="4">
        <v>54.255000000000003</v>
      </c>
      <c r="Q16" s="4">
        <v>48.832000000000001</v>
      </c>
      <c r="R16" s="4">
        <v>17.257000000000001</v>
      </c>
    </row>
    <row r="17" spans="1:18" x14ac:dyDescent="0.25">
      <c r="A17" s="12" t="s">
        <v>84</v>
      </c>
      <c r="B17" s="5">
        <v>13</v>
      </c>
      <c r="C17" s="4">
        <v>94.241</v>
      </c>
      <c r="D17" s="4">
        <v>221.547</v>
      </c>
      <c r="E17" s="4">
        <v>177.57</v>
      </c>
      <c r="F17" s="4">
        <v>112.063</v>
      </c>
      <c r="G17" s="4">
        <v>49.737000000000002</v>
      </c>
      <c r="H17" s="4">
        <v>225.05600000000001</v>
      </c>
      <c r="I17" s="4">
        <v>175.85499999999999</v>
      </c>
      <c r="J17" s="4">
        <v>102.405</v>
      </c>
      <c r="K17" s="4">
        <v>49.999000000000002</v>
      </c>
      <c r="L17" s="4">
        <v>104.371</v>
      </c>
      <c r="M17" s="4">
        <v>75.497</v>
      </c>
      <c r="N17" s="4">
        <v>40.759</v>
      </c>
      <c r="O17" s="4">
        <v>12.929</v>
      </c>
      <c r="P17" s="4">
        <v>56.875999999999998</v>
      </c>
      <c r="Q17" s="4">
        <v>52.728000000000002</v>
      </c>
      <c r="R17" s="4">
        <v>14.506</v>
      </c>
    </row>
    <row r="18" spans="1:18" x14ac:dyDescent="0.25">
      <c r="A18" s="12" t="s">
        <v>84</v>
      </c>
      <c r="B18" s="5">
        <v>14</v>
      </c>
      <c r="C18" s="4">
        <v>97.507999999999996</v>
      </c>
      <c r="D18" s="4">
        <v>226.86500000000001</v>
      </c>
      <c r="E18" s="4">
        <v>183.60599999999999</v>
      </c>
      <c r="F18" s="4">
        <v>115.526</v>
      </c>
      <c r="G18" s="4">
        <v>49.947000000000003</v>
      </c>
      <c r="H18" s="4">
        <v>230.23099999999999</v>
      </c>
      <c r="I18" s="4">
        <v>181.869</v>
      </c>
      <c r="J18" s="4">
        <v>100.773</v>
      </c>
      <c r="K18" s="4">
        <v>57.043999999999997</v>
      </c>
      <c r="L18" s="4">
        <v>103.11199999999999</v>
      </c>
      <c r="M18" s="4">
        <v>75.864000000000004</v>
      </c>
      <c r="N18" s="4">
        <v>46.198</v>
      </c>
      <c r="O18" s="4">
        <v>7.54</v>
      </c>
      <c r="P18" s="4">
        <v>62.356999999999999</v>
      </c>
      <c r="Q18" s="4">
        <v>59.728999999999999</v>
      </c>
      <c r="R18" s="4">
        <v>9.2840000000000007</v>
      </c>
    </row>
    <row r="19" spans="1:18" x14ac:dyDescent="0.25">
      <c r="A19" s="12" t="s">
        <v>84</v>
      </c>
      <c r="B19" s="5">
        <v>15</v>
      </c>
      <c r="C19" s="4">
        <v>99.802999999999997</v>
      </c>
      <c r="D19" s="4">
        <v>202.80699999999999</v>
      </c>
      <c r="E19" s="4">
        <v>164.03100000000001</v>
      </c>
      <c r="F19" s="4">
        <v>117.873</v>
      </c>
      <c r="G19" s="4">
        <v>51.7</v>
      </c>
      <c r="H19" s="4">
        <v>235.59100000000001</v>
      </c>
      <c r="I19" s="4">
        <v>187.55099999999999</v>
      </c>
      <c r="J19" s="4">
        <v>99.665000000000006</v>
      </c>
      <c r="K19" s="4">
        <v>57.421999999999997</v>
      </c>
      <c r="L19" s="4">
        <v>97.828000000000003</v>
      </c>
      <c r="M19" s="4">
        <v>77.698999999999998</v>
      </c>
      <c r="N19" s="4">
        <v>46.104999999999997</v>
      </c>
      <c r="O19" s="4">
        <v>5.64</v>
      </c>
      <c r="P19" s="4">
        <v>62.29</v>
      </c>
      <c r="Q19" s="4">
        <v>60.35</v>
      </c>
      <c r="R19" s="4">
        <v>7.383</v>
      </c>
    </row>
    <row r="20" spans="1:18" x14ac:dyDescent="0.25">
      <c r="A20" s="12" t="s">
        <v>84</v>
      </c>
      <c r="B20" s="5">
        <v>16</v>
      </c>
      <c r="C20" s="4">
        <v>99.924999999999997</v>
      </c>
      <c r="D20" s="4">
        <v>203.02</v>
      </c>
      <c r="E20" s="4">
        <v>164.26400000000001</v>
      </c>
      <c r="F20" s="4">
        <v>118.01</v>
      </c>
      <c r="G20" s="4">
        <v>51.71</v>
      </c>
      <c r="H20" s="4">
        <v>235.89599999999999</v>
      </c>
      <c r="I20" s="4">
        <v>187.863</v>
      </c>
      <c r="J20" s="4">
        <v>99.626999999999995</v>
      </c>
      <c r="K20" s="4">
        <v>57.703000000000003</v>
      </c>
      <c r="L20" s="4">
        <v>97.783000000000001</v>
      </c>
      <c r="M20" s="4">
        <v>77.712999999999994</v>
      </c>
      <c r="N20" s="4">
        <v>46.325000000000003</v>
      </c>
      <c r="O20" s="4">
        <v>5.4320000000000004</v>
      </c>
      <c r="P20" s="4">
        <v>62.515000000000001</v>
      </c>
      <c r="Q20" s="4">
        <v>60.637999999999998</v>
      </c>
      <c r="R20" s="4">
        <v>7.1760000000000002</v>
      </c>
    </row>
    <row r="21" spans="1:18" x14ac:dyDescent="0.25">
      <c r="A21" s="12" t="s">
        <v>84</v>
      </c>
      <c r="B21" s="5">
        <v>17</v>
      </c>
      <c r="C21" s="4">
        <v>129.68799999999999</v>
      </c>
      <c r="D21" s="4">
        <v>7.1669999999999998</v>
      </c>
      <c r="E21" s="4">
        <v>91.015000000000001</v>
      </c>
      <c r="F21" s="4">
        <v>140.27500000000001</v>
      </c>
      <c r="G21" s="4">
        <v>16.632999999999999</v>
      </c>
      <c r="H21" s="4">
        <v>24.056999999999999</v>
      </c>
      <c r="I21" s="4">
        <v>100.524</v>
      </c>
      <c r="J21" s="4">
        <v>45.752000000000002</v>
      </c>
      <c r="K21" s="4">
        <v>36.372</v>
      </c>
      <c r="L21" s="4">
        <v>34.728000000000002</v>
      </c>
      <c r="M21" s="4">
        <v>12.632999999999999</v>
      </c>
      <c r="N21" s="4">
        <v>40.113999999999997</v>
      </c>
      <c r="O21" s="4">
        <v>-0.65900000000000003</v>
      </c>
      <c r="P21" s="4">
        <v>19.831</v>
      </c>
      <c r="Q21" s="4">
        <v>33.582999999999998</v>
      </c>
      <c r="R21" s="4">
        <v>-9.2509999999999994</v>
      </c>
    </row>
    <row r="22" spans="1:18" ht="18" x14ac:dyDescent="0.35">
      <c r="B22" s="6" t="s">
        <v>11</v>
      </c>
      <c r="C22" s="31">
        <v>215</v>
      </c>
      <c r="D22" s="7">
        <v>292</v>
      </c>
      <c r="E22" s="7">
        <v>292</v>
      </c>
      <c r="F22" s="7">
        <v>215</v>
      </c>
      <c r="G22" s="7">
        <v>199</v>
      </c>
      <c r="H22" s="7">
        <v>270</v>
      </c>
      <c r="I22" s="7">
        <v>270</v>
      </c>
      <c r="J22" s="7">
        <v>199</v>
      </c>
      <c r="K22" s="7">
        <v>199</v>
      </c>
      <c r="L22" s="7">
        <v>241</v>
      </c>
      <c r="M22" s="7">
        <v>241</v>
      </c>
      <c r="N22" s="7">
        <v>199</v>
      </c>
      <c r="O22" s="7">
        <v>199</v>
      </c>
      <c r="P22" s="7">
        <v>212</v>
      </c>
      <c r="Q22" s="7">
        <v>212</v>
      </c>
      <c r="R22" s="7">
        <v>199</v>
      </c>
    </row>
  </sheetData>
  <mergeCells count="9">
    <mergeCell ref="A1:B1"/>
    <mergeCell ref="C1:F1"/>
    <mergeCell ref="G1:J1"/>
    <mergeCell ref="K1:N1"/>
    <mergeCell ref="O1:R1"/>
    <mergeCell ref="C2:F2"/>
    <mergeCell ref="G2:J2"/>
    <mergeCell ref="K2:N2"/>
    <mergeCell ref="O2:R2"/>
  </mergeCells>
  <pageMargins left="0.25" right="0.25" top="0.75" bottom="0.75" header="0.3" footer="0.3"/>
  <pageSetup paperSize="9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43A4-26BE-4048-8971-4E0D42BAA586}">
  <sheetPr>
    <pageSetUpPr fitToPage="1"/>
  </sheetPr>
  <dimension ref="A1:Z18"/>
  <sheetViews>
    <sheetView topLeftCell="B1" zoomScale="70" zoomScaleNormal="70" workbookViewId="0">
      <pane ySplit="3" topLeftCell="A4" activePane="bottomLeft" state="frozen"/>
      <selection pane="bottomLeft" activeCell="Z1" sqref="A1:Z18"/>
    </sheetView>
  </sheetViews>
  <sheetFormatPr defaultRowHeight="15" x14ac:dyDescent="0.25"/>
  <cols>
    <col min="1" max="1" width="23.5703125" style="1" bestFit="1" customWidth="1"/>
    <col min="2" max="2" width="17.28515625" customWidth="1"/>
    <col min="8" max="8" width="12.42578125" customWidth="1"/>
    <col min="14" max="14" width="14" customWidth="1"/>
    <col min="20" max="20" width="13" customWidth="1"/>
    <col min="26" max="26" width="14.28515625" customWidth="1"/>
  </cols>
  <sheetData>
    <row r="1" spans="1:26" ht="18" x14ac:dyDescent="0.35">
      <c r="A1" s="14" t="s">
        <v>14</v>
      </c>
      <c r="B1" s="14"/>
      <c r="C1" s="15" t="s">
        <v>8</v>
      </c>
      <c r="D1" s="15"/>
      <c r="E1" s="15"/>
      <c r="F1" s="15"/>
      <c r="G1" s="15"/>
      <c r="H1" s="6" t="s">
        <v>9</v>
      </c>
      <c r="I1" s="15" t="s">
        <v>8</v>
      </c>
      <c r="J1" s="15"/>
      <c r="K1" s="15"/>
      <c r="L1" s="15"/>
      <c r="M1" s="15"/>
      <c r="N1" s="6" t="s">
        <v>9</v>
      </c>
      <c r="O1" s="15" t="s">
        <v>8</v>
      </c>
      <c r="P1" s="15"/>
      <c r="Q1" s="15"/>
      <c r="R1" s="15"/>
      <c r="S1" s="15"/>
      <c r="T1" s="6" t="s">
        <v>9</v>
      </c>
      <c r="U1" s="15" t="s">
        <v>8</v>
      </c>
      <c r="V1" s="15"/>
      <c r="W1" s="15"/>
      <c r="X1" s="15"/>
      <c r="Y1" s="15"/>
      <c r="Z1" s="6" t="s">
        <v>9</v>
      </c>
    </row>
    <row r="2" spans="1:26" ht="18" x14ac:dyDescent="0.35">
      <c r="A2" s="8" t="s">
        <v>0</v>
      </c>
      <c r="B2" s="9" t="s">
        <v>1</v>
      </c>
      <c r="C2" s="16" t="s">
        <v>4</v>
      </c>
      <c r="D2" s="16"/>
      <c r="E2" s="16"/>
      <c r="F2" s="16"/>
      <c r="G2" s="16"/>
      <c r="H2" s="6" t="s">
        <v>11</v>
      </c>
      <c r="I2" s="16" t="s">
        <v>5</v>
      </c>
      <c r="J2" s="16"/>
      <c r="K2" s="16"/>
      <c r="L2" s="16"/>
      <c r="M2" s="16"/>
      <c r="N2" s="6" t="s">
        <v>11</v>
      </c>
      <c r="O2" s="16" t="s">
        <v>6</v>
      </c>
      <c r="P2" s="16"/>
      <c r="Q2" s="16"/>
      <c r="R2" s="16"/>
      <c r="S2" s="16"/>
      <c r="T2" s="6" t="s">
        <v>11</v>
      </c>
      <c r="U2" s="16" t="s">
        <v>7</v>
      </c>
      <c r="V2" s="16"/>
      <c r="W2" s="16"/>
      <c r="X2" s="16"/>
      <c r="Y2" s="16"/>
      <c r="Z2" s="6" t="s">
        <v>11</v>
      </c>
    </row>
    <row r="3" spans="1:26" x14ac:dyDescent="0.25">
      <c r="A3" s="10" t="s">
        <v>2</v>
      </c>
      <c r="B3" s="11" t="s">
        <v>3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7">
        <v>292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7">
        <v>270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7">
        <v>241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7">
        <v>212</v>
      </c>
    </row>
    <row r="4" spans="1:26" x14ac:dyDescent="0.25">
      <c r="A4" s="12" t="s">
        <v>13</v>
      </c>
      <c r="B4" s="5">
        <v>0</v>
      </c>
      <c r="C4" s="4">
        <v>-3.1749999999999998</v>
      </c>
      <c r="D4" s="4">
        <v>3.2519999999999998</v>
      </c>
      <c r="E4" s="4">
        <v>2.5960000000000001</v>
      </c>
      <c r="F4" s="4">
        <v>-2.4809999999999999</v>
      </c>
      <c r="G4" s="4">
        <v>-0.192</v>
      </c>
      <c r="H4" s="5" t="str">
        <f>IF(ABS(MAX(C4:G4))&gt;H$3,"NO","OK")</f>
        <v>OK</v>
      </c>
      <c r="I4" s="13">
        <v>-5.4729999999999999</v>
      </c>
      <c r="J4" s="13">
        <v>-0.83299999999999996</v>
      </c>
      <c r="K4" s="13">
        <v>-4.0780000000000003</v>
      </c>
      <c r="L4" s="13">
        <v>4.6180000000000003</v>
      </c>
      <c r="M4" s="13">
        <v>5.7629999999999999</v>
      </c>
      <c r="N4" s="5" t="str">
        <f t="shared" ref="N4:N14" si="0">IF(ABS(MAX(I4:M4))&gt;N$3,"NO","OK")</f>
        <v>OK</v>
      </c>
      <c r="O4" s="13">
        <v>-5.1660000000000004</v>
      </c>
      <c r="P4" s="13">
        <v>-1.123</v>
      </c>
      <c r="Q4" s="13">
        <v>-3.6560000000000001</v>
      </c>
      <c r="R4" s="13">
        <v>4.4320000000000004</v>
      </c>
      <c r="S4" s="13">
        <v>5.51</v>
      </c>
      <c r="T4" s="5" t="str">
        <f t="shared" ref="T4:T16" si="1">IF(ABS(MAX(O4:S4))&gt;T$3,"NO","OK")</f>
        <v>OK</v>
      </c>
      <c r="U4" s="13">
        <v>-5.3140000000000001</v>
      </c>
      <c r="V4" s="13">
        <v>-2.0990000000000002</v>
      </c>
      <c r="W4" s="13">
        <v>-3.2639999999999998</v>
      </c>
      <c r="X4" s="13">
        <v>4.6520000000000001</v>
      </c>
      <c r="Y4" s="13">
        <v>6.024</v>
      </c>
      <c r="Z4" s="5" t="str">
        <f t="shared" ref="Z4:Z16" si="2">IF(ABS(MAX(U4:Y4))&gt;Z$3,"NO","OK")</f>
        <v>OK</v>
      </c>
    </row>
    <row r="5" spans="1:26" x14ac:dyDescent="0.25">
      <c r="A5" s="12" t="s">
        <v>13</v>
      </c>
      <c r="B5" s="5">
        <v>1</v>
      </c>
      <c r="C5" s="4">
        <v>79.046000000000006</v>
      </c>
      <c r="D5" s="4">
        <v>86.167000000000002</v>
      </c>
      <c r="E5" s="4">
        <v>107.303</v>
      </c>
      <c r="F5" s="4">
        <v>99.897999999999996</v>
      </c>
      <c r="G5" s="4">
        <v>109.42400000000001</v>
      </c>
      <c r="H5" s="5" t="str">
        <f t="shared" ref="H5:H18" si="3">IF(ABS(MAX(C5:G5))&gt;H$3,"NO","OK")</f>
        <v>OK</v>
      </c>
      <c r="I5" s="13">
        <v>58.939</v>
      </c>
      <c r="J5" s="13">
        <v>107.514</v>
      </c>
      <c r="K5" s="13">
        <v>93.251999999999995</v>
      </c>
      <c r="L5" s="13">
        <v>105.542</v>
      </c>
      <c r="M5" s="13">
        <v>70.706999999999994</v>
      </c>
      <c r="N5" s="5" t="str">
        <f t="shared" si="0"/>
        <v>OK</v>
      </c>
      <c r="O5" s="13">
        <v>43.06</v>
      </c>
      <c r="P5" s="13">
        <v>76.491</v>
      </c>
      <c r="Q5" s="13">
        <v>67.564999999999998</v>
      </c>
      <c r="R5" s="13">
        <v>77.367000000000004</v>
      </c>
      <c r="S5" s="13">
        <v>53.889000000000003</v>
      </c>
      <c r="T5" s="5" t="str">
        <f t="shared" si="1"/>
        <v>OK</v>
      </c>
      <c r="U5" s="13">
        <v>16.082999999999998</v>
      </c>
      <c r="V5" s="13">
        <v>39.134999999999998</v>
      </c>
      <c r="W5" s="13">
        <v>35.704999999999998</v>
      </c>
      <c r="X5" s="13">
        <v>43.375999999999998</v>
      </c>
      <c r="Y5" s="13">
        <v>26.792000000000002</v>
      </c>
      <c r="Z5" s="5" t="str">
        <f t="shared" si="2"/>
        <v>OK</v>
      </c>
    </row>
    <row r="6" spans="1:26" x14ac:dyDescent="0.25">
      <c r="A6" s="12" t="s">
        <v>13</v>
      </c>
      <c r="B6" s="5">
        <v>2</v>
      </c>
      <c r="C6" s="4">
        <v>86.706999999999994</v>
      </c>
      <c r="D6" s="4">
        <v>89.438999999999993</v>
      </c>
      <c r="E6" s="4">
        <v>115.559</v>
      </c>
      <c r="F6" s="4">
        <v>106.81</v>
      </c>
      <c r="G6" s="4">
        <v>118.303</v>
      </c>
      <c r="H6" s="5" t="str">
        <f t="shared" si="3"/>
        <v>OK</v>
      </c>
      <c r="I6" s="13">
        <v>65.021000000000001</v>
      </c>
      <c r="J6" s="13">
        <v>116.678</v>
      </c>
      <c r="K6" s="13">
        <v>100.583</v>
      </c>
      <c r="L6" s="13">
        <v>113.604</v>
      </c>
      <c r="M6" s="13">
        <v>71.707999999999998</v>
      </c>
      <c r="N6" s="5" t="str">
        <f t="shared" si="0"/>
        <v>OK</v>
      </c>
      <c r="O6" s="13">
        <v>47.637999999999998</v>
      </c>
      <c r="P6" s="13">
        <v>82.99</v>
      </c>
      <c r="Q6" s="13">
        <v>73.08</v>
      </c>
      <c r="R6" s="13">
        <v>82.594999999999999</v>
      </c>
      <c r="S6" s="13">
        <v>55.173999999999999</v>
      </c>
      <c r="T6" s="5" t="str">
        <f t="shared" si="1"/>
        <v>OK</v>
      </c>
      <c r="U6" s="13">
        <v>18.079999999999998</v>
      </c>
      <c r="V6" s="13">
        <v>42.595999999999997</v>
      </c>
      <c r="W6" s="13">
        <v>38.44</v>
      </c>
      <c r="X6" s="13">
        <v>45.972999999999999</v>
      </c>
      <c r="Y6" s="13">
        <v>27.692</v>
      </c>
      <c r="Z6" s="5" t="str">
        <f t="shared" si="2"/>
        <v>OK</v>
      </c>
    </row>
    <row r="7" spans="1:26" x14ac:dyDescent="0.25">
      <c r="A7" s="12" t="s">
        <v>13</v>
      </c>
      <c r="B7" s="5">
        <v>3</v>
      </c>
      <c r="C7" s="4">
        <v>92.793000000000006</v>
      </c>
      <c r="D7" s="4">
        <v>95.941999999999993</v>
      </c>
      <c r="E7" s="4">
        <v>131.155</v>
      </c>
      <c r="F7" s="4">
        <v>121.078</v>
      </c>
      <c r="G7" s="4">
        <v>134.566</v>
      </c>
      <c r="H7" s="5" t="str">
        <f t="shared" si="3"/>
        <v>OK</v>
      </c>
      <c r="I7" s="13">
        <v>67.885999999999996</v>
      </c>
      <c r="J7" s="13">
        <v>123.72799999999999</v>
      </c>
      <c r="K7" s="13">
        <v>116.182</v>
      </c>
      <c r="L7" s="13">
        <v>139.52500000000001</v>
      </c>
      <c r="M7" s="13">
        <v>73.399000000000001</v>
      </c>
      <c r="N7" s="5" t="str">
        <f t="shared" si="0"/>
        <v>OK</v>
      </c>
      <c r="O7" s="13">
        <v>53.448999999999998</v>
      </c>
      <c r="P7" s="13">
        <v>85.558000000000007</v>
      </c>
      <c r="Q7" s="13">
        <v>87.149000000000001</v>
      </c>
      <c r="R7" s="13">
        <v>95.203000000000003</v>
      </c>
      <c r="S7" s="13">
        <v>58.915999999999997</v>
      </c>
      <c r="T7" s="5" t="str">
        <f t="shared" si="1"/>
        <v>OK</v>
      </c>
      <c r="U7" s="13">
        <v>20.803000000000001</v>
      </c>
      <c r="V7" s="13">
        <v>48.231000000000002</v>
      </c>
      <c r="W7" s="13">
        <v>46.151000000000003</v>
      </c>
      <c r="X7" s="13">
        <v>47.441000000000003</v>
      </c>
      <c r="Y7" s="13">
        <v>29.786000000000001</v>
      </c>
      <c r="Z7" s="5" t="str">
        <f t="shared" si="2"/>
        <v>OK</v>
      </c>
    </row>
    <row r="8" spans="1:26" x14ac:dyDescent="0.25">
      <c r="A8" s="12" t="s">
        <v>13</v>
      </c>
      <c r="B8" s="5">
        <v>4</v>
      </c>
      <c r="C8" s="4">
        <v>116.32599999999999</v>
      </c>
      <c r="D8" s="4">
        <v>119.053</v>
      </c>
      <c r="E8" s="4">
        <v>142.828</v>
      </c>
      <c r="F8" s="4">
        <v>143.554</v>
      </c>
      <c r="G8" s="4">
        <v>158.798</v>
      </c>
      <c r="H8" s="5" t="str">
        <f t="shared" si="3"/>
        <v>OK</v>
      </c>
      <c r="I8" s="13">
        <v>80.132000000000005</v>
      </c>
      <c r="J8" s="13">
        <v>137.49700000000001</v>
      </c>
      <c r="K8" s="13">
        <v>128.60499999999999</v>
      </c>
      <c r="L8" s="13">
        <v>185.25399999999999</v>
      </c>
      <c r="M8" s="13">
        <v>84.251000000000005</v>
      </c>
      <c r="N8" s="5" t="str">
        <f t="shared" si="0"/>
        <v>OK</v>
      </c>
      <c r="O8" s="13">
        <v>65.147999999999996</v>
      </c>
      <c r="P8" s="13">
        <v>92.399000000000001</v>
      </c>
      <c r="Q8" s="13">
        <v>94.86</v>
      </c>
      <c r="R8" s="13">
        <v>125.461</v>
      </c>
      <c r="S8" s="13">
        <v>71.802000000000007</v>
      </c>
      <c r="T8" s="5" t="str">
        <f t="shared" si="1"/>
        <v>OK</v>
      </c>
      <c r="U8" s="13">
        <v>21.151</v>
      </c>
      <c r="V8" s="13">
        <v>65.031000000000006</v>
      </c>
      <c r="W8" s="13">
        <v>60.9</v>
      </c>
      <c r="X8" s="13">
        <v>56.651000000000003</v>
      </c>
      <c r="Y8" s="13">
        <v>23.795999999999999</v>
      </c>
      <c r="Z8" s="5" t="str">
        <f t="shared" si="2"/>
        <v>OK</v>
      </c>
    </row>
    <row r="9" spans="1:26" x14ac:dyDescent="0.25">
      <c r="A9" s="12" t="s">
        <v>13</v>
      </c>
      <c r="B9" s="5">
        <v>5</v>
      </c>
      <c r="C9" s="4">
        <v>119.86499999999999</v>
      </c>
      <c r="D9" s="4">
        <v>122.33499999999999</v>
      </c>
      <c r="E9" s="4">
        <v>144.37299999999999</v>
      </c>
      <c r="F9" s="4">
        <v>146.82300000000001</v>
      </c>
      <c r="G9" s="4">
        <v>161.96100000000001</v>
      </c>
      <c r="H9" s="5" t="str">
        <f t="shared" si="3"/>
        <v>OK</v>
      </c>
      <c r="I9" s="13">
        <v>81.637</v>
      </c>
      <c r="J9" s="13">
        <v>138.89500000000001</v>
      </c>
      <c r="K9" s="13">
        <v>130.381</v>
      </c>
      <c r="L9" s="13">
        <v>192.69399999999999</v>
      </c>
      <c r="M9" s="13">
        <v>85.522999999999996</v>
      </c>
      <c r="N9" s="5" t="str">
        <f t="shared" si="0"/>
        <v>OK</v>
      </c>
      <c r="O9" s="13">
        <v>66.947000000000003</v>
      </c>
      <c r="P9" s="13">
        <v>93.775000000000006</v>
      </c>
      <c r="Q9" s="13">
        <v>95.213999999999999</v>
      </c>
      <c r="R9" s="13">
        <v>129.99</v>
      </c>
      <c r="S9" s="13">
        <v>73.516999999999996</v>
      </c>
      <c r="T9" s="5" t="str">
        <f t="shared" si="1"/>
        <v>OK</v>
      </c>
      <c r="U9" s="13">
        <v>20.146000000000001</v>
      </c>
      <c r="V9" s="13">
        <v>65.555000000000007</v>
      </c>
      <c r="W9" s="13">
        <v>65.131</v>
      </c>
      <c r="X9" s="13">
        <v>58.857999999999997</v>
      </c>
      <c r="Y9" s="13">
        <v>22.782</v>
      </c>
      <c r="Z9" s="5" t="str">
        <f t="shared" si="2"/>
        <v>OK</v>
      </c>
    </row>
    <row r="10" spans="1:26" x14ac:dyDescent="0.25">
      <c r="A10" s="12" t="s">
        <v>13</v>
      </c>
      <c r="B10" s="5">
        <v>6</v>
      </c>
      <c r="C10" s="4">
        <v>131.07900000000001</v>
      </c>
      <c r="D10" s="4">
        <v>133.185</v>
      </c>
      <c r="E10" s="4">
        <v>147.09800000000001</v>
      </c>
      <c r="F10" s="4">
        <v>157.71600000000001</v>
      </c>
      <c r="G10" s="4">
        <v>172.95500000000001</v>
      </c>
      <c r="H10" s="5" t="str">
        <f t="shared" si="3"/>
        <v>OK</v>
      </c>
      <c r="I10" s="13">
        <v>85.408000000000001</v>
      </c>
      <c r="J10" s="13">
        <v>142.334</v>
      </c>
      <c r="K10" s="13">
        <v>133.68799999999999</v>
      </c>
      <c r="L10" s="13">
        <v>221.26300000000001</v>
      </c>
      <c r="M10" s="13">
        <v>88.665999999999997</v>
      </c>
      <c r="N10" s="5" t="str">
        <f t="shared" si="0"/>
        <v>OK</v>
      </c>
      <c r="O10" s="13">
        <v>69.983000000000004</v>
      </c>
      <c r="P10" s="13">
        <v>96.53</v>
      </c>
      <c r="Q10" s="13">
        <v>97.861999999999995</v>
      </c>
      <c r="R10" s="13">
        <v>149.66800000000001</v>
      </c>
      <c r="S10" s="13">
        <v>76.233000000000004</v>
      </c>
      <c r="T10" s="5" t="str">
        <f t="shared" si="1"/>
        <v>OK</v>
      </c>
      <c r="U10" s="13">
        <v>23.974</v>
      </c>
      <c r="V10" s="13">
        <v>69.38</v>
      </c>
      <c r="W10" s="13">
        <v>68.896000000000001</v>
      </c>
      <c r="X10" s="13">
        <v>59.424999999999997</v>
      </c>
      <c r="Y10" s="13">
        <v>26.402999999999999</v>
      </c>
      <c r="Z10" s="5" t="str">
        <f t="shared" si="2"/>
        <v>OK</v>
      </c>
    </row>
    <row r="11" spans="1:26" x14ac:dyDescent="0.25">
      <c r="A11" s="12" t="s">
        <v>13</v>
      </c>
      <c r="B11" s="5">
        <v>7</v>
      </c>
      <c r="C11" s="4">
        <v>126.64700000000001</v>
      </c>
      <c r="D11" s="4">
        <v>143.97300000000001</v>
      </c>
      <c r="E11" s="4">
        <v>148.233</v>
      </c>
      <c r="F11" s="4">
        <v>168.535</v>
      </c>
      <c r="G11" s="4">
        <v>173.76900000000001</v>
      </c>
      <c r="H11" s="5" t="str">
        <f t="shared" si="3"/>
        <v>OK</v>
      </c>
      <c r="I11" s="13">
        <v>88.215000000000003</v>
      </c>
      <c r="J11" s="13">
        <v>143.84800000000001</v>
      </c>
      <c r="K11" s="13">
        <v>133.005</v>
      </c>
      <c r="L11" s="13">
        <v>235.71799999999999</v>
      </c>
      <c r="M11" s="13">
        <v>87.873999999999995</v>
      </c>
      <c r="N11" s="5" t="str">
        <f t="shared" si="0"/>
        <v>OK</v>
      </c>
      <c r="O11" s="13">
        <v>71.346000000000004</v>
      </c>
      <c r="P11" s="13">
        <v>98.009</v>
      </c>
      <c r="Q11" s="13">
        <v>99.754000000000005</v>
      </c>
      <c r="R11" s="13">
        <v>155.643</v>
      </c>
      <c r="S11" s="13">
        <v>78.156000000000006</v>
      </c>
      <c r="T11" s="5" t="str">
        <f t="shared" si="1"/>
        <v>OK</v>
      </c>
      <c r="U11" s="13">
        <v>25.524000000000001</v>
      </c>
      <c r="V11" s="13">
        <v>70.882000000000005</v>
      </c>
      <c r="W11" s="13">
        <v>70.281000000000006</v>
      </c>
      <c r="X11" s="13">
        <v>60.061</v>
      </c>
      <c r="Y11" s="13">
        <v>27.722999999999999</v>
      </c>
      <c r="Z11" s="5" t="str">
        <f t="shared" si="2"/>
        <v>OK</v>
      </c>
    </row>
    <row r="12" spans="1:26" x14ac:dyDescent="0.25">
      <c r="A12" s="12" t="s">
        <v>13</v>
      </c>
      <c r="B12" s="5">
        <v>8</v>
      </c>
      <c r="C12" s="4">
        <v>127.376</v>
      </c>
      <c r="D12" s="4">
        <v>154.012</v>
      </c>
      <c r="E12" s="4">
        <v>145.66499999999999</v>
      </c>
      <c r="F12" s="4">
        <v>169.21199999999999</v>
      </c>
      <c r="G12" s="4">
        <v>174.36799999999999</v>
      </c>
      <c r="H12" s="5" t="str">
        <f t="shared" si="3"/>
        <v>OK</v>
      </c>
      <c r="I12" s="13">
        <v>87.372</v>
      </c>
      <c r="J12" s="13">
        <v>142.83000000000001</v>
      </c>
      <c r="K12" s="13">
        <v>131.89400000000001</v>
      </c>
      <c r="L12" s="13">
        <v>250.59100000000001</v>
      </c>
      <c r="M12" s="13">
        <v>84.552999999999997</v>
      </c>
      <c r="N12" s="5" t="str">
        <f t="shared" si="0"/>
        <v>OK</v>
      </c>
      <c r="O12" s="13">
        <v>72.933999999999997</v>
      </c>
      <c r="P12" s="13">
        <v>99.53</v>
      </c>
      <c r="Q12" s="13">
        <v>101.24</v>
      </c>
      <c r="R12" s="13">
        <v>155.417</v>
      </c>
      <c r="S12" s="13">
        <v>80.061000000000007</v>
      </c>
      <c r="T12" s="5" t="str">
        <f t="shared" si="1"/>
        <v>OK</v>
      </c>
      <c r="U12" s="13">
        <v>26.28</v>
      </c>
      <c r="V12" s="13">
        <v>71.465999999999994</v>
      </c>
      <c r="W12" s="13">
        <v>70.843000000000004</v>
      </c>
      <c r="X12" s="13">
        <v>60.732999999999997</v>
      </c>
      <c r="Y12" s="13">
        <v>28.317</v>
      </c>
      <c r="Z12" s="5" t="str">
        <f t="shared" si="2"/>
        <v>OK</v>
      </c>
    </row>
    <row r="13" spans="1:26" x14ac:dyDescent="0.25">
      <c r="A13" s="12" t="s">
        <v>13</v>
      </c>
      <c r="B13" s="5">
        <v>9</v>
      </c>
      <c r="C13" s="4">
        <v>131.25299999999999</v>
      </c>
      <c r="D13" s="4">
        <v>157.21100000000001</v>
      </c>
      <c r="E13" s="4">
        <v>147.392</v>
      </c>
      <c r="F13" s="4">
        <v>171.91200000000001</v>
      </c>
      <c r="G13" s="4">
        <v>177.375</v>
      </c>
      <c r="H13" s="5" t="str">
        <f t="shared" si="3"/>
        <v>OK</v>
      </c>
      <c r="I13" s="13">
        <v>88.451999999999998</v>
      </c>
      <c r="J13" s="13">
        <v>143.44200000000001</v>
      </c>
      <c r="K13" s="13">
        <v>132.29900000000001</v>
      </c>
      <c r="L13" s="13">
        <v>261.66800000000001</v>
      </c>
      <c r="M13" s="13">
        <v>84.504000000000005</v>
      </c>
      <c r="N13" s="5" t="str">
        <f t="shared" si="0"/>
        <v>OK</v>
      </c>
      <c r="O13" s="13">
        <v>74.78</v>
      </c>
      <c r="P13" s="13">
        <v>101.042</v>
      </c>
      <c r="Q13" s="13">
        <v>102.629</v>
      </c>
      <c r="R13" s="13">
        <v>158.79300000000001</v>
      </c>
      <c r="S13" s="13">
        <v>81.525999999999996</v>
      </c>
      <c r="T13" s="5" t="str">
        <f t="shared" si="1"/>
        <v>OK</v>
      </c>
      <c r="U13" s="13">
        <v>27.376999999999999</v>
      </c>
      <c r="V13" s="13">
        <v>72.561000000000007</v>
      </c>
      <c r="W13" s="13">
        <v>71.876000000000005</v>
      </c>
      <c r="X13" s="13">
        <v>61.47</v>
      </c>
      <c r="Y13" s="13">
        <v>29.204999999999998</v>
      </c>
      <c r="Z13" s="5" t="str">
        <f t="shared" si="2"/>
        <v>OK</v>
      </c>
    </row>
    <row r="14" spans="1:26" x14ac:dyDescent="0.25">
      <c r="A14" s="12" t="s">
        <v>13</v>
      </c>
      <c r="B14" s="5">
        <v>10</v>
      </c>
      <c r="C14" s="4">
        <v>135.03200000000001</v>
      </c>
      <c r="D14" s="4">
        <v>159.822</v>
      </c>
      <c r="E14" s="4">
        <v>156.10499999999999</v>
      </c>
      <c r="F14" s="4">
        <v>174.297</v>
      </c>
      <c r="G14" s="4">
        <v>180.13499999999999</v>
      </c>
      <c r="H14" s="5" t="str">
        <f t="shared" si="3"/>
        <v>OK</v>
      </c>
      <c r="I14" s="13">
        <v>91.744</v>
      </c>
      <c r="J14" s="13">
        <v>146.001</v>
      </c>
      <c r="K14" s="13">
        <v>134.54400000000001</v>
      </c>
      <c r="L14" s="13">
        <v>270.25400000000002</v>
      </c>
      <c r="M14" s="13">
        <v>86.143000000000001</v>
      </c>
      <c r="N14" s="5" t="str">
        <f t="shared" si="0"/>
        <v>NO</v>
      </c>
      <c r="O14" s="13">
        <v>77.281000000000006</v>
      </c>
      <c r="P14" s="13">
        <v>103.06699999999999</v>
      </c>
      <c r="Q14" s="13">
        <v>104.476</v>
      </c>
      <c r="R14" s="13">
        <v>163.86699999999999</v>
      </c>
      <c r="S14" s="13">
        <v>83.457999999999998</v>
      </c>
      <c r="T14" s="5" t="str">
        <f t="shared" si="1"/>
        <v>OK</v>
      </c>
      <c r="U14" s="13">
        <v>28.931000000000001</v>
      </c>
      <c r="V14" s="13">
        <v>74.108999999999995</v>
      </c>
      <c r="W14" s="13">
        <v>73.332999999999998</v>
      </c>
      <c r="X14" s="13">
        <v>62.432000000000002</v>
      </c>
      <c r="Y14" s="13">
        <v>30.454000000000001</v>
      </c>
      <c r="Z14" s="5" t="str">
        <f t="shared" si="2"/>
        <v>OK</v>
      </c>
    </row>
    <row r="15" spans="1:26" x14ac:dyDescent="0.25">
      <c r="A15" s="12" t="s">
        <v>13</v>
      </c>
      <c r="B15" s="5">
        <v>11</v>
      </c>
      <c r="C15" s="4">
        <v>138.77699999999999</v>
      </c>
      <c r="D15" s="4">
        <v>162.357</v>
      </c>
      <c r="E15" s="4">
        <v>164.96899999999999</v>
      </c>
      <c r="F15" s="4">
        <v>176.69399999999999</v>
      </c>
      <c r="G15" s="4">
        <v>182.88800000000001</v>
      </c>
      <c r="H15" s="5" t="str">
        <f t="shared" si="3"/>
        <v>OK</v>
      </c>
      <c r="I15" s="13">
        <v>95.070999999999998</v>
      </c>
      <c r="J15" s="13">
        <v>148.57900000000001</v>
      </c>
      <c r="K15" s="13">
        <v>136.80099999999999</v>
      </c>
      <c r="L15" s="13">
        <v>278.86799999999999</v>
      </c>
      <c r="M15" s="13">
        <v>87.727999999999994</v>
      </c>
      <c r="N15" s="5" t="str">
        <f t="shared" ref="N15:N18" si="4">IF(ABS(MAX(I15:M15))&gt;N$3,"NO","OK")</f>
        <v>NO</v>
      </c>
      <c r="O15" s="13">
        <v>79.792000000000002</v>
      </c>
      <c r="P15" s="13">
        <v>105.098</v>
      </c>
      <c r="Q15" s="13">
        <v>106.33</v>
      </c>
      <c r="R15" s="13">
        <v>168.947</v>
      </c>
      <c r="S15" s="13">
        <v>85.391000000000005</v>
      </c>
      <c r="T15" s="5" t="str">
        <f t="shared" si="1"/>
        <v>OK</v>
      </c>
      <c r="U15" s="13">
        <v>30.49</v>
      </c>
      <c r="V15" s="13">
        <v>75.66</v>
      </c>
      <c r="W15" s="13">
        <v>74.790999999999997</v>
      </c>
      <c r="X15" s="13">
        <v>63.398000000000003</v>
      </c>
      <c r="Y15" s="13">
        <v>31.704000000000001</v>
      </c>
      <c r="Z15" s="5" t="str">
        <f t="shared" si="2"/>
        <v>OK</v>
      </c>
    </row>
    <row r="16" spans="1:26" x14ac:dyDescent="0.25">
      <c r="A16" s="12" t="s">
        <v>13</v>
      </c>
      <c r="B16" s="5">
        <v>12</v>
      </c>
      <c r="C16" s="4">
        <v>140.65199999999999</v>
      </c>
      <c r="D16" s="4">
        <v>163.601</v>
      </c>
      <c r="E16" s="4">
        <v>169.42400000000001</v>
      </c>
      <c r="F16" s="4">
        <v>177.89099999999999</v>
      </c>
      <c r="G16" s="4">
        <v>184.26400000000001</v>
      </c>
      <c r="H16" s="5" t="str">
        <f t="shared" si="3"/>
        <v>OK</v>
      </c>
      <c r="I16" s="13">
        <v>96.736999999999995</v>
      </c>
      <c r="J16" s="13">
        <v>149.869</v>
      </c>
      <c r="K16" s="13">
        <v>137.928</v>
      </c>
      <c r="L16" s="13">
        <v>283.202</v>
      </c>
      <c r="M16" s="13">
        <v>88.492999999999995</v>
      </c>
      <c r="N16" s="5" t="str">
        <f t="shared" si="4"/>
        <v>NO</v>
      </c>
      <c r="O16" s="13">
        <v>81.049000000000007</v>
      </c>
      <c r="P16" s="13">
        <v>106.114</v>
      </c>
      <c r="Q16" s="13">
        <v>107.25700000000001</v>
      </c>
      <c r="R16" s="13">
        <v>171.488</v>
      </c>
      <c r="S16" s="13">
        <v>86.355999999999995</v>
      </c>
      <c r="T16" s="5" t="str">
        <f t="shared" si="1"/>
        <v>OK</v>
      </c>
      <c r="U16" s="13">
        <v>31.27</v>
      </c>
      <c r="V16" s="13">
        <v>76.436000000000007</v>
      </c>
      <c r="W16" s="13">
        <v>75.521000000000001</v>
      </c>
      <c r="X16" s="13">
        <v>63.881</v>
      </c>
      <c r="Y16" s="13">
        <v>32.328000000000003</v>
      </c>
      <c r="Z16" s="5" t="str">
        <f t="shared" si="2"/>
        <v>OK</v>
      </c>
    </row>
    <row r="17" spans="1:26" x14ac:dyDescent="0.25">
      <c r="A17" s="12" t="s">
        <v>13</v>
      </c>
      <c r="B17" s="5">
        <v>13</v>
      </c>
      <c r="C17" s="4">
        <v>136.363</v>
      </c>
      <c r="D17" s="4">
        <v>165.119</v>
      </c>
      <c r="E17" s="4">
        <v>171.03200000000001</v>
      </c>
      <c r="F17" s="4">
        <v>173.27199999999999</v>
      </c>
      <c r="G17" s="4">
        <v>179.726</v>
      </c>
      <c r="H17" s="5" t="str">
        <f t="shared" si="3"/>
        <v>OK</v>
      </c>
      <c r="I17" s="13">
        <v>102.244</v>
      </c>
      <c r="J17" s="13">
        <v>155.06399999999999</v>
      </c>
      <c r="K17" s="13">
        <v>142.994</v>
      </c>
      <c r="L17" s="13">
        <v>284.81799999999998</v>
      </c>
      <c r="M17" s="13">
        <v>61.771000000000001</v>
      </c>
      <c r="N17" s="5" t="str">
        <f t="shared" si="4"/>
        <v>NO</v>
      </c>
      <c r="O17" s="13">
        <v>84.626999999999995</v>
      </c>
      <c r="P17" s="13">
        <v>109.498</v>
      </c>
      <c r="Q17" s="13">
        <v>110.569</v>
      </c>
      <c r="R17" s="13">
        <v>173.97499999999999</v>
      </c>
      <c r="S17" s="13">
        <v>66.775000000000006</v>
      </c>
      <c r="T17" s="5" t="str">
        <f t="shared" ref="T17:T18" si="5">IF(ABS(MAX(O17:S17))&gt;T$3,"NO","OK")</f>
        <v>OK</v>
      </c>
      <c r="U17" s="13">
        <v>29.693000000000001</v>
      </c>
      <c r="V17" s="13">
        <v>74.855000000000004</v>
      </c>
      <c r="W17" s="13">
        <v>73.906999999999996</v>
      </c>
      <c r="X17" s="13">
        <v>62.475000000000001</v>
      </c>
      <c r="Y17" s="13">
        <v>35.054000000000002</v>
      </c>
      <c r="Z17" s="5" t="str">
        <f t="shared" ref="Z17:Z18" si="6">IF(ABS(MAX(U17:Y17))&gt;Z$3,"NO","OK")</f>
        <v>OK</v>
      </c>
    </row>
    <row r="18" spans="1:26" x14ac:dyDescent="0.25">
      <c r="A18" s="12" t="s">
        <v>13</v>
      </c>
      <c r="B18" s="5">
        <v>14</v>
      </c>
      <c r="C18" s="4">
        <v>138.51599999999999</v>
      </c>
      <c r="D18" s="4">
        <v>166.71199999999999</v>
      </c>
      <c r="E18" s="4">
        <v>178.005</v>
      </c>
      <c r="F18" s="4">
        <v>174.64699999999999</v>
      </c>
      <c r="G18" s="4">
        <v>183.36699999999999</v>
      </c>
      <c r="H18" s="5" t="str">
        <f t="shared" si="3"/>
        <v>OK</v>
      </c>
      <c r="I18" s="13">
        <v>105.343</v>
      </c>
      <c r="J18" s="13">
        <v>155.16999999999999</v>
      </c>
      <c r="K18" s="13">
        <v>145.21700000000001</v>
      </c>
      <c r="L18" s="13">
        <v>292.16399999999999</v>
      </c>
      <c r="M18" s="13">
        <v>63.238999999999997</v>
      </c>
      <c r="N18" s="5" t="str">
        <f t="shared" si="4"/>
        <v>NO</v>
      </c>
      <c r="O18" s="13">
        <v>86.495999999999995</v>
      </c>
      <c r="P18" s="13">
        <v>111.521</v>
      </c>
      <c r="Q18" s="13">
        <v>111.94199999999999</v>
      </c>
      <c r="R18" s="13">
        <v>177.83799999999999</v>
      </c>
      <c r="S18" s="13">
        <v>68.045000000000002</v>
      </c>
      <c r="T18" s="5" t="str">
        <f t="shared" si="5"/>
        <v>OK</v>
      </c>
      <c r="U18" s="13">
        <v>30.919</v>
      </c>
      <c r="V18" s="13">
        <v>75.971000000000004</v>
      </c>
      <c r="W18" s="13">
        <v>75.051000000000002</v>
      </c>
      <c r="X18" s="13">
        <v>63.238999999999997</v>
      </c>
      <c r="Y18" s="13">
        <v>36.067999999999998</v>
      </c>
      <c r="Z18" s="5" t="str">
        <f t="shared" si="6"/>
        <v>OK</v>
      </c>
    </row>
  </sheetData>
  <mergeCells count="9">
    <mergeCell ref="C2:G2"/>
    <mergeCell ref="I2:M2"/>
    <mergeCell ref="O2:S2"/>
    <mergeCell ref="U2:Y2"/>
    <mergeCell ref="A1:B1"/>
    <mergeCell ref="C1:G1"/>
    <mergeCell ref="I1:M1"/>
    <mergeCell ref="O1:S1"/>
    <mergeCell ref="U1:Y1"/>
  </mergeCells>
  <conditionalFormatting sqref="H4:H18 N4:N18 T4:T18 Z4:Z18">
    <cfRule type="cellIs" dxfId="5" priority="1" operator="equal">
      <formula>"NO"</formula>
    </cfRule>
    <cfRule type="cellIs" dxfId="4" priority="2" operator="equal">
      <formula>"OK"</formula>
    </cfRule>
  </conditionalFormatting>
  <pageMargins left="0.25" right="0.25" top="0.75" bottom="0.75" header="0.3" footer="0.3"/>
  <pageSetup paperSize="9" scale="5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AB43-49DA-4FA2-8CAB-3A812D140F35}">
  <sheetPr>
    <pageSetUpPr fitToPage="1"/>
  </sheetPr>
  <dimension ref="A1:Z15"/>
  <sheetViews>
    <sheetView zoomScale="70" zoomScaleNormal="70" workbookViewId="0">
      <pane ySplit="3" topLeftCell="A4" activePane="bottomLeft" state="frozen"/>
      <selection pane="bottomLeft" sqref="A1:Z15"/>
    </sheetView>
  </sheetViews>
  <sheetFormatPr defaultRowHeight="15" x14ac:dyDescent="0.25"/>
  <cols>
    <col min="1" max="1" width="23.5703125" style="1" bestFit="1" customWidth="1"/>
    <col min="2" max="2" width="17.28515625" customWidth="1"/>
    <col min="8" max="8" width="12.42578125" customWidth="1"/>
    <col min="14" max="14" width="14" customWidth="1"/>
    <col min="20" max="20" width="13" customWidth="1"/>
    <col min="26" max="26" width="14.28515625" customWidth="1"/>
  </cols>
  <sheetData>
    <row r="1" spans="1:26" ht="18" x14ac:dyDescent="0.35">
      <c r="A1" s="14" t="s">
        <v>12</v>
      </c>
      <c r="B1" s="14"/>
      <c r="C1" s="15" t="s">
        <v>8</v>
      </c>
      <c r="D1" s="15"/>
      <c r="E1" s="15"/>
      <c r="F1" s="15"/>
      <c r="G1" s="15"/>
      <c r="H1" s="6" t="s">
        <v>9</v>
      </c>
      <c r="I1" s="15" t="s">
        <v>8</v>
      </c>
      <c r="J1" s="15"/>
      <c r="K1" s="15"/>
      <c r="L1" s="15"/>
      <c r="M1" s="15"/>
      <c r="N1" s="6" t="s">
        <v>9</v>
      </c>
      <c r="O1" s="15" t="s">
        <v>8</v>
      </c>
      <c r="P1" s="15"/>
      <c r="Q1" s="15"/>
      <c r="R1" s="15"/>
      <c r="S1" s="15"/>
      <c r="T1" s="6" t="s">
        <v>9</v>
      </c>
      <c r="U1" s="15" t="s">
        <v>8</v>
      </c>
      <c r="V1" s="15"/>
      <c r="W1" s="15"/>
      <c r="X1" s="15"/>
      <c r="Y1" s="15"/>
      <c r="Z1" s="6" t="s">
        <v>9</v>
      </c>
    </row>
    <row r="2" spans="1:26" ht="18" x14ac:dyDescent="0.35">
      <c r="A2" s="8" t="s">
        <v>0</v>
      </c>
      <c r="B2" s="9" t="s">
        <v>1</v>
      </c>
      <c r="C2" s="16" t="s">
        <v>4</v>
      </c>
      <c r="D2" s="16"/>
      <c r="E2" s="16"/>
      <c r="F2" s="16"/>
      <c r="G2" s="16"/>
      <c r="H2" s="6" t="s">
        <v>11</v>
      </c>
      <c r="I2" s="16" t="s">
        <v>5</v>
      </c>
      <c r="J2" s="16"/>
      <c r="K2" s="16"/>
      <c r="L2" s="16"/>
      <c r="M2" s="16"/>
      <c r="N2" s="6" t="s">
        <v>11</v>
      </c>
      <c r="O2" s="16" t="s">
        <v>6</v>
      </c>
      <c r="P2" s="16"/>
      <c r="Q2" s="16"/>
      <c r="R2" s="16"/>
      <c r="S2" s="16"/>
      <c r="T2" s="6" t="s">
        <v>11</v>
      </c>
      <c r="U2" s="16" t="s">
        <v>7</v>
      </c>
      <c r="V2" s="16"/>
      <c r="W2" s="16"/>
      <c r="X2" s="16"/>
      <c r="Y2" s="16"/>
      <c r="Z2" s="6" t="s">
        <v>11</v>
      </c>
    </row>
    <row r="3" spans="1:26" x14ac:dyDescent="0.25">
      <c r="A3" s="10" t="s">
        <v>2</v>
      </c>
      <c r="B3" s="11" t="s">
        <v>3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7">
        <v>292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7">
        <v>270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7">
        <v>241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7">
        <v>212</v>
      </c>
    </row>
    <row r="4" spans="1:26" x14ac:dyDescent="0.25">
      <c r="A4" s="12" t="s">
        <v>10</v>
      </c>
      <c r="B4" s="5">
        <v>0</v>
      </c>
      <c r="C4" s="4">
        <v>-3.1749999999999998</v>
      </c>
      <c r="D4" s="4">
        <v>3.2519999999999998</v>
      </c>
      <c r="E4" s="4">
        <v>2.5960000000000001</v>
      </c>
      <c r="F4" s="4">
        <v>-2.4809999999999999</v>
      </c>
      <c r="G4" s="4">
        <v>-0.192</v>
      </c>
      <c r="H4" s="5" t="str">
        <f>IF(ABS(MAX(C4:G4))&gt;H$3,"NO","OK")</f>
        <v>OK</v>
      </c>
      <c r="I4" s="4">
        <v>-5.4729999999999999</v>
      </c>
      <c r="J4" s="4">
        <v>-0.83299999999999996</v>
      </c>
      <c r="K4" s="4">
        <v>-4.0780000000000003</v>
      </c>
      <c r="L4" s="4">
        <v>4.6180000000000003</v>
      </c>
      <c r="M4" s="4">
        <v>5.7629999999999999</v>
      </c>
      <c r="N4" s="5" t="str">
        <f>IF(ABS(MAX(I4:M4))&gt;N$3,"NO","OK")</f>
        <v>OK</v>
      </c>
      <c r="O4" s="4">
        <v>-5.1660000000000004</v>
      </c>
      <c r="P4" s="4">
        <v>-1.123</v>
      </c>
      <c r="Q4" s="4">
        <v>-3.6560000000000001</v>
      </c>
      <c r="R4" s="4">
        <v>4.4320000000000004</v>
      </c>
      <c r="S4" s="4">
        <v>5.51</v>
      </c>
      <c r="T4" s="5" t="str">
        <f>IF(ABS(MAX(O4:S4))&gt;T$3,"NO","OK")</f>
        <v>OK</v>
      </c>
      <c r="U4" s="4">
        <v>-5.3140000000000001</v>
      </c>
      <c r="V4" s="4">
        <v>-2.0990000000000002</v>
      </c>
      <c r="W4" s="4">
        <v>-3.2639999999999998</v>
      </c>
      <c r="X4" s="4">
        <v>4.6520000000000001</v>
      </c>
      <c r="Y4" s="4">
        <v>6.024</v>
      </c>
      <c r="Z4" s="5" t="str">
        <f>IF(ABS(MAX(U4:Y4))&gt;Z$3,"NO","OK")</f>
        <v>OK</v>
      </c>
    </row>
    <row r="5" spans="1:26" x14ac:dyDescent="0.25">
      <c r="A5" s="12" t="s">
        <v>10</v>
      </c>
      <c r="B5" s="5">
        <v>1</v>
      </c>
      <c r="C5" s="4">
        <v>89.67</v>
      </c>
      <c r="D5" s="4">
        <v>96.853999999999999</v>
      </c>
      <c r="E5" s="4">
        <v>118.366</v>
      </c>
      <c r="F5" s="4">
        <v>110.72199999999999</v>
      </c>
      <c r="G5" s="4">
        <v>120.56100000000001</v>
      </c>
      <c r="H5" s="5" t="str">
        <f t="shared" ref="H5:H15" si="0">IF(ABS(MAX(C5:G5))&gt;H$3,"NO","OK")</f>
        <v>OK</v>
      </c>
      <c r="I5" s="4">
        <v>51.968000000000004</v>
      </c>
      <c r="J5" s="4">
        <v>97.5</v>
      </c>
      <c r="K5" s="4">
        <v>83.834999999999994</v>
      </c>
      <c r="L5" s="4">
        <v>96.009</v>
      </c>
      <c r="M5" s="4">
        <v>63.77</v>
      </c>
      <c r="N5" s="5" t="str">
        <f t="shared" ref="N5:N15" si="1">IF(ABS(MAX(I5:M5))&gt;N$3,"NO","OK")</f>
        <v>OK</v>
      </c>
      <c r="O5" s="4">
        <v>32.323</v>
      </c>
      <c r="P5" s="4">
        <v>60.137</v>
      </c>
      <c r="Q5" s="4">
        <v>52.511000000000003</v>
      </c>
      <c r="R5" s="4">
        <v>61.9</v>
      </c>
      <c r="S5" s="4">
        <v>43.116</v>
      </c>
      <c r="T5" s="5" t="str">
        <f t="shared" ref="T5:T15" si="2">IF(ABS(MAX(O5:S5))&gt;T$3,"NO","OK")</f>
        <v>OK</v>
      </c>
      <c r="U5" s="4">
        <v>8.1950000000000003</v>
      </c>
      <c r="V5" s="4">
        <v>25.727</v>
      </c>
      <c r="W5" s="4">
        <v>23.317</v>
      </c>
      <c r="X5" s="4">
        <v>30.719000000000001</v>
      </c>
      <c r="Y5" s="4">
        <v>18.934999999999999</v>
      </c>
      <c r="Z5" s="5" t="str">
        <f t="shared" ref="Z5:Z15" si="3">IF(ABS(MAX(U5:Y5))&gt;Z$3,"NO","OK")</f>
        <v>OK</v>
      </c>
    </row>
    <row r="6" spans="1:26" x14ac:dyDescent="0.25">
      <c r="A6" s="12" t="s">
        <v>10</v>
      </c>
      <c r="B6" s="5">
        <v>2</v>
      </c>
      <c r="C6" s="4">
        <v>109.887</v>
      </c>
      <c r="D6" s="4">
        <v>112.992</v>
      </c>
      <c r="E6" s="4">
        <v>152.459</v>
      </c>
      <c r="F6" s="4">
        <v>140.15100000000001</v>
      </c>
      <c r="G6" s="4">
        <v>151.91900000000001</v>
      </c>
      <c r="H6" s="5" t="str">
        <f t="shared" si="0"/>
        <v>OK</v>
      </c>
      <c r="I6" s="4">
        <v>65.298000000000002</v>
      </c>
      <c r="J6" s="4">
        <v>122.35</v>
      </c>
      <c r="K6" s="4">
        <v>107.386</v>
      </c>
      <c r="L6" s="4">
        <v>123.489</v>
      </c>
      <c r="M6" s="4">
        <v>70.763999999999996</v>
      </c>
      <c r="N6" s="5" t="str">
        <f t="shared" si="1"/>
        <v>OK</v>
      </c>
      <c r="O6" s="4">
        <v>42.247999999999998</v>
      </c>
      <c r="P6" s="4">
        <v>74.869</v>
      </c>
      <c r="Q6" s="4">
        <v>66.641000000000005</v>
      </c>
      <c r="R6" s="4">
        <v>76.513000000000005</v>
      </c>
      <c r="S6" s="4">
        <v>50.898000000000003</v>
      </c>
      <c r="T6" s="5" t="str">
        <f t="shared" si="2"/>
        <v>OK</v>
      </c>
      <c r="U6" s="4">
        <v>11.211</v>
      </c>
      <c r="V6" s="4">
        <v>32.707000000000001</v>
      </c>
      <c r="W6" s="4">
        <v>29.654</v>
      </c>
      <c r="X6" s="4">
        <v>37.055</v>
      </c>
      <c r="Y6" s="4">
        <v>22.425999999999998</v>
      </c>
      <c r="Z6" s="5" t="str">
        <f t="shared" si="3"/>
        <v>OK</v>
      </c>
    </row>
    <row r="7" spans="1:26" x14ac:dyDescent="0.25">
      <c r="A7" s="12" t="s">
        <v>10</v>
      </c>
      <c r="B7" s="5">
        <v>3</v>
      </c>
      <c r="C7" s="4">
        <v>123.26600000000001</v>
      </c>
      <c r="D7" s="4">
        <v>126.087</v>
      </c>
      <c r="E7" s="4">
        <v>161.25</v>
      </c>
      <c r="F7" s="4">
        <v>150.624</v>
      </c>
      <c r="G7" s="4">
        <v>166.14599999999999</v>
      </c>
      <c r="H7" s="5" t="str">
        <f t="shared" si="0"/>
        <v>OK</v>
      </c>
      <c r="I7" s="4">
        <v>70.248999999999995</v>
      </c>
      <c r="J7" s="4">
        <v>126.377</v>
      </c>
      <c r="K7" s="4">
        <v>119.6</v>
      </c>
      <c r="L7" s="4">
        <v>141.54400000000001</v>
      </c>
      <c r="M7" s="4">
        <v>75.478999999999999</v>
      </c>
      <c r="N7" s="5" t="str">
        <f t="shared" si="1"/>
        <v>OK</v>
      </c>
      <c r="O7" s="4">
        <v>45.359000000000002</v>
      </c>
      <c r="P7" s="4">
        <v>78.430000000000007</v>
      </c>
      <c r="Q7" s="4">
        <v>75.503</v>
      </c>
      <c r="R7" s="4">
        <v>88.483000000000004</v>
      </c>
      <c r="S7" s="4">
        <v>51.353000000000002</v>
      </c>
      <c r="T7" s="5" t="str">
        <f t="shared" si="2"/>
        <v>OK</v>
      </c>
      <c r="U7" s="4">
        <v>13.772</v>
      </c>
      <c r="V7" s="4">
        <v>38.061999999999998</v>
      </c>
      <c r="W7" s="4">
        <v>32.298999999999999</v>
      </c>
      <c r="X7" s="4">
        <v>37.856000000000002</v>
      </c>
      <c r="Y7" s="4">
        <v>23.018999999999998</v>
      </c>
      <c r="Z7" s="5" t="str">
        <f t="shared" si="3"/>
        <v>OK</v>
      </c>
    </row>
    <row r="8" spans="1:26" x14ac:dyDescent="0.25">
      <c r="A8" s="12" t="s">
        <v>10</v>
      </c>
      <c r="B8" s="5">
        <v>4</v>
      </c>
      <c r="C8" s="4">
        <v>150.42699999999999</v>
      </c>
      <c r="D8" s="4">
        <v>159.505</v>
      </c>
      <c r="E8" s="4">
        <v>183.279</v>
      </c>
      <c r="F8" s="4">
        <v>184.43199999999999</v>
      </c>
      <c r="G8" s="4">
        <v>196.95500000000001</v>
      </c>
      <c r="H8" s="5" t="str">
        <f t="shared" si="0"/>
        <v>OK</v>
      </c>
      <c r="I8" s="4">
        <v>86.602000000000004</v>
      </c>
      <c r="J8" s="4">
        <v>141.74700000000001</v>
      </c>
      <c r="K8" s="4">
        <v>132.494</v>
      </c>
      <c r="L8" s="4">
        <v>191.06899999999999</v>
      </c>
      <c r="M8" s="4">
        <v>89.248999999999995</v>
      </c>
      <c r="N8" s="5" t="str">
        <f t="shared" si="1"/>
        <v>OK</v>
      </c>
      <c r="O8" s="4">
        <v>54.381999999999998</v>
      </c>
      <c r="P8" s="4">
        <v>85.451999999999998</v>
      </c>
      <c r="Q8" s="4">
        <v>87.652000000000001</v>
      </c>
      <c r="R8" s="4">
        <v>119.687</v>
      </c>
      <c r="S8" s="4">
        <v>60.572000000000003</v>
      </c>
      <c r="T8" s="5" t="str">
        <f t="shared" si="2"/>
        <v>OK</v>
      </c>
      <c r="U8" s="4">
        <v>17.353999999999999</v>
      </c>
      <c r="V8" s="4">
        <v>48.44</v>
      </c>
      <c r="W8" s="4">
        <v>45.387</v>
      </c>
      <c r="X8" s="4">
        <v>39.881</v>
      </c>
      <c r="Y8" s="4">
        <v>23.291</v>
      </c>
      <c r="Z8" s="5" t="str">
        <f t="shared" si="3"/>
        <v>OK</v>
      </c>
    </row>
    <row r="9" spans="1:26" x14ac:dyDescent="0.25">
      <c r="A9" s="12" t="s">
        <v>10</v>
      </c>
      <c r="B9" s="5">
        <v>5</v>
      </c>
      <c r="C9" s="4">
        <v>149.51599999999999</v>
      </c>
      <c r="D9" s="4">
        <v>174.04400000000001</v>
      </c>
      <c r="E9" s="4">
        <v>181.19499999999999</v>
      </c>
      <c r="F9" s="4">
        <v>191.01499999999999</v>
      </c>
      <c r="G9" s="4">
        <v>196.126</v>
      </c>
      <c r="H9" s="5" t="str">
        <f t="shared" si="0"/>
        <v>OK</v>
      </c>
      <c r="I9" s="4">
        <v>89.185000000000002</v>
      </c>
      <c r="J9" s="4">
        <v>144.251</v>
      </c>
      <c r="K9" s="4">
        <v>133.33600000000001</v>
      </c>
      <c r="L9" s="4">
        <v>199.12799999999999</v>
      </c>
      <c r="M9" s="4">
        <v>87.965999999999994</v>
      </c>
      <c r="N9" s="5" t="str">
        <f t="shared" si="1"/>
        <v>OK</v>
      </c>
      <c r="O9" s="4">
        <v>55.033999999999999</v>
      </c>
      <c r="P9" s="4">
        <v>85.619</v>
      </c>
      <c r="Q9" s="4">
        <v>88.31</v>
      </c>
      <c r="R9" s="4">
        <v>124.133</v>
      </c>
      <c r="S9" s="4">
        <v>62.741</v>
      </c>
      <c r="T9" s="5" t="str">
        <f t="shared" si="2"/>
        <v>OK</v>
      </c>
      <c r="U9" s="4">
        <v>18.427</v>
      </c>
      <c r="V9" s="4">
        <v>50.59</v>
      </c>
      <c r="W9" s="4">
        <v>47.244999999999997</v>
      </c>
      <c r="X9" s="4">
        <v>40.409999999999997</v>
      </c>
      <c r="Y9" s="4">
        <v>21.135000000000002</v>
      </c>
      <c r="Z9" s="5" t="str">
        <f t="shared" si="3"/>
        <v>OK</v>
      </c>
    </row>
    <row r="10" spans="1:26" x14ac:dyDescent="0.25">
      <c r="A10" s="12" t="s">
        <v>10</v>
      </c>
      <c r="B10" s="5">
        <v>6</v>
      </c>
      <c r="C10" s="4">
        <v>159.67099999999999</v>
      </c>
      <c r="D10" s="4">
        <v>184.22200000000001</v>
      </c>
      <c r="E10" s="4">
        <v>186.34399999999999</v>
      </c>
      <c r="F10" s="4">
        <v>199.863</v>
      </c>
      <c r="G10" s="4">
        <v>205.29499999999999</v>
      </c>
      <c r="H10" s="5" t="str">
        <f t="shared" si="0"/>
        <v>OK</v>
      </c>
      <c r="I10" s="4">
        <v>92.15</v>
      </c>
      <c r="J10" s="4">
        <v>147.72800000000001</v>
      </c>
      <c r="K10" s="4">
        <v>136.797</v>
      </c>
      <c r="L10" s="4">
        <v>219.43100000000001</v>
      </c>
      <c r="M10" s="4">
        <v>89.647999999999996</v>
      </c>
      <c r="N10" s="5" t="str">
        <f t="shared" si="1"/>
        <v>OK</v>
      </c>
      <c r="O10" s="4">
        <v>57.075000000000003</v>
      </c>
      <c r="P10" s="4">
        <v>84.046000000000006</v>
      </c>
      <c r="Q10" s="4">
        <v>85.96</v>
      </c>
      <c r="R10" s="4">
        <v>144.40299999999999</v>
      </c>
      <c r="S10" s="4">
        <v>64.632999999999996</v>
      </c>
      <c r="T10" s="5" t="str">
        <f t="shared" si="2"/>
        <v>OK</v>
      </c>
      <c r="U10" s="4">
        <v>12.098000000000001</v>
      </c>
      <c r="V10" s="4">
        <v>57.3</v>
      </c>
      <c r="W10" s="4">
        <v>56.59</v>
      </c>
      <c r="X10" s="4">
        <v>45.966000000000001</v>
      </c>
      <c r="Y10" s="4">
        <v>14.526</v>
      </c>
      <c r="Z10" s="5" t="str">
        <f t="shared" si="3"/>
        <v>OK</v>
      </c>
    </row>
    <row r="11" spans="1:26" x14ac:dyDescent="0.25">
      <c r="A11" s="12" t="s">
        <v>10</v>
      </c>
      <c r="B11" s="5">
        <v>7</v>
      </c>
      <c r="C11" s="4">
        <v>164.42</v>
      </c>
      <c r="D11" s="4">
        <v>188.70699999999999</v>
      </c>
      <c r="E11" s="4">
        <v>189.893</v>
      </c>
      <c r="F11" s="4">
        <v>203.75299999999999</v>
      </c>
      <c r="G11" s="4">
        <v>209.428</v>
      </c>
      <c r="H11" s="5" t="str">
        <f t="shared" si="0"/>
        <v>OK</v>
      </c>
      <c r="I11" s="4">
        <v>95.453999999999994</v>
      </c>
      <c r="J11" s="4">
        <v>150.64699999999999</v>
      </c>
      <c r="K11" s="4">
        <v>139.56899999999999</v>
      </c>
      <c r="L11" s="4">
        <v>223.38300000000001</v>
      </c>
      <c r="M11" s="4">
        <v>91.953000000000003</v>
      </c>
      <c r="N11" s="5" t="str">
        <f t="shared" si="1"/>
        <v>OK</v>
      </c>
      <c r="O11" s="4">
        <v>53.662999999999997</v>
      </c>
      <c r="P11" s="4">
        <v>80.421000000000006</v>
      </c>
      <c r="Q11" s="4">
        <v>82.204999999999998</v>
      </c>
      <c r="R11" s="4">
        <v>168.512</v>
      </c>
      <c r="S11" s="4">
        <v>61.015999999999998</v>
      </c>
      <c r="T11" s="5" t="str">
        <f t="shared" si="2"/>
        <v>OK</v>
      </c>
      <c r="U11" s="4">
        <v>14.045</v>
      </c>
      <c r="V11" s="4">
        <v>59.244999999999997</v>
      </c>
      <c r="W11" s="4">
        <v>58.691000000000003</v>
      </c>
      <c r="X11" s="4">
        <v>42.323</v>
      </c>
      <c r="Y11" s="4">
        <v>16.321999999999999</v>
      </c>
      <c r="Z11" s="5" t="str">
        <f t="shared" si="3"/>
        <v>OK</v>
      </c>
    </row>
    <row r="12" spans="1:26" x14ac:dyDescent="0.25">
      <c r="A12" s="12" t="s">
        <v>10</v>
      </c>
      <c r="B12" s="5">
        <v>8</v>
      </c>
      <c r="C12" s="4">
        <v>165.27799999999999</v>
      </c>
      <c r="D12" s="4">
        <v>189.559</v>
      </c>
      <c r="E12" s="4">
        <v>190.73500000000001</v>
      </c>
      <c r="F12" s="4">
        <v>204.63200000000001</v>
      </c>
      <c r="G12" s="4">
        <v>210.31200000000001</v>
      </c>
      <c r="H12" s="5" t="str">
        <f t="shared" si="0"/>
        <v>OK</v>
      </c>
      <c r="I12" s="4">
        <v>96.13</v>
      </c>
      <c r="J12" s="4">
        <v>151.21700000000001</v>
      </c>
      <c r="K12" s="4">
        <v>140.09800000000001</v>
      </c>
      <c r="L12" s="4">
        <v>224.30799999999999</v>
      </c>
      <c r="M12" s="4">
        <v>92.415000000000006</v>
      </c>
      <c r="N12" s="5" t="str">
        <f t="shared" si="1"/>
        <v>OK</v>
      </c>
      <c r="O12" s="4">
        <v>53.021999999999998</v>
      </c>
      <c r="P12" s="4">
        <v>79.744</v>
      </c>
      <c r="Q12" s="4">
        <v>81.513999999999996</v>
      </c>
      <c r="R12" s="4">
        <v>173.209</v>
      </c>
      <c r="S12" s="4">
        <v>60.335000000000001</v>
      </c>
      <c r="T12" s="5" t="str">
        <f t="shared" si="2"/>
        <v>OK</v>
      </c>
      <c r="U12" s="4">
        <v>14.432</v>
      </c>
      <c r="V12" s="4">
        <v>59.631</v>
      </c>
      <c r="W12" s="4">
        <v>59.067999999999998</v>
      </c>
      <c r="X12" s="4">
        <v>41.674999999999997</v>
      </c>
      <c r="Y12" s="4">
        <v>16.68</v>
      </c>
      <c r="Z12" s="5" t="str">
        <f t="shared" si="3"/>
        <v>OK</v>
      </c>
    </row>
    <row r="13" spans="1:26" x14ac:dyDescent="0.25">
      <c r="A13" s="12" t="s">
        <v>10</v>
      </c>
      <c r="B13" s="5">
        <v>9</v>
      </c>
      <c r="C13" s="4">
        <v>172.02099999999999</v>
      </c>
      <c r="D13" s="4">
        <v>194.99299999999999</v>
      </c>
      <c r="E13" s="4">
        <v>193.274</v>
      </c>
      <c r="F13" s="4">
        <v>209.82900000000001</v>
      </c>
      <c r="G13" s="4">
        <v>215.905</v>
      </c>
      <c r="H13" s="5" t="str">
        <f t="shared" si="0"/>
        <v>OK</v>
      </c>
      <c r="I13" s="4">
        <v>97.86</v>
      </c>
      <c r="J13" s="4">
        <v>152.23099999999999</v>
      </c>
      <c r="K13" s="4">
        <v>140.79599999999999</v>
      </c>
      <c r="L13" s="4">
        <v>239.46600000000001</v>
      </c>
      <c r="M13" s="4">
        <v>92.516000000000005</v>
      </c>
      <c r="N13" s="5" t="str">
        <f t="shared" si="1"/>
        <v>OK</v>
      </c>
      <c r="O13" s="4">
        <v>55.06</v>
      </c>
      <c r="P13" s="4">
        <v>81.316999999999993</v>
      </c>
      <c r="Q13" s="4">
        <v>82.915999999999997</v>
      </c>
      <c r="R13" s="4">
        <v>178.601</v>
      </c>
      <c r="S13" s="4">
        <v>61.826999999999998</v>
      </c>
      <c r="T13" s="5" t="str">
        <f t="shared" si="2"/>
        <v>OK</v>
      </c>
      <c r="U13" s="4">
        <v>15.673999999999999</v>
      </c>
      <c r="V13" s="4">
        <v>60.87</v>
      </c>
      <c r="W13" s="4">
        <v>60.219000000000001</v>
      </c>
      <c r="X13" s="4">
        <v>42.179000000000002</v>
      </c>
      <c r="Y13" s="4">
        <v>17.63</v>
      </c>
      <c r="Z13" s="5" t="str">
        <f t="shared" si="3"/>
        <v>OK</v>
      </c>
    </row>
    <row r="14" spans="1:26" x14ac:dyDescent="0.25">
      <c r="A14" s="12" t="s">
        <v>10</v>
      </c>
      <c r="B14" s="5">
        <v>10</v>
      </c>
      <c r="C14" s="4">
        <v>178.71600000000001</v>
      </c>
      <c r="D14" s="4">
        <v>200.404</v>
      </c>
      <c r="E14" s="4">
        <v>195.96100000000001</v>
      </c>
      <c r="F14" s="4">
        <v>215.11500000000001</v>
      </c>
      <c r="G14" s="4">
        <v>221.56700000000001</v>
      </c>
      <c r="H14" s="5" t="str">
        <f t="shared" si="0"/>
        <v>OK</v>
      </c>
      <c r="I14" s="4">
        <v>99.614999999999995</v>
      </c>
      <c r="J14" s="4">
        <v>153.23599999999999</v>
      </c>
      <c r="K14" s="4">
        <v>141.47800000000001</v>
      </c>
      <c r="L14" s="4">
        <v>254.869</v>
      </c>
      <c r="M14" s="4">
        <v>92.543000000000006</v>
      </c>
      <c r="N14" s="5" t="str">
        <f t="shared" si="1"/>
        <v>OK</v>
      </c>
      <c r="O14" s="4">
        <v>57.125</v>
      </c>
      <c r="P14" s="4">
        <v>82.918999999999997</v>
      </c>
      <c r="Q14" s="4">
        <v>84.346000000000004</v>
      </c>
      <c r="R14" s="4">
        <v>183.99</v>
      </c>
      <c r="S14" s="4">
        <v>63.341999999999999</v>
      </c>
      <c r="T14" s="5" t="str">
        <f t="shared" si="2"/>
        <v>OK</v>
      </c>
      <c r="U14" s="4">
        <v>16.925999999999998</v>
      </c>
      <c r="V14" s="4">
        <v>62.116999999999997</v>
      </c>
      <c r="W14" s="4">
        <v>61.375999999999998</v>
      </c>
      <c r="X14" s="4">
        <v>42.698</v>
      </c>
      <c r="Y14" s="4">
        <v>18.585999999999999</v>
      </c>
      <c r="Z14" s="5" t="str">
        <f t="shared" si="3"/>
        <v>OK</v>
      </c>
    </row>
    <row r="15" spans="1:26" x14ac:dyDescent="0.25">
      <c r="A15" s="12" t="s">
        <v>10</v>
      </c>
      <c r="B15" s="5">
        <v>11</v>
      </c>
      <c r="C15" s="4">
        <v>183.25299999999999</v>
      </c>
      <c r="D15" s="4">
        <v>204.20699999999999</v>
      </c>
      <c r="E15" s="4">
        <v>197.93199999999999</v>
      </c>
      <c r="F15" s="4">
        <v>218.92599999999999</v>
      </c>
      <c r="G15" s="4">
        <v>225.58699999999999</v>
      </c>
      <c r="H15" s="5" t="str">
        <f t="shared" si="0"/>
        <v>OK</v>
      </c>
      <c r="I15" s="4">
        <v>100.879</v>
      </c>
      <c r="J15" s="4">
        <v>153.935</v>
      </c>
      <c r="K15" s="4">
        <v>141.941</v>
      </c>
      <c r="L15" s="4">
        <v>265.76100000000002</v>
      </c>
      <c r="M15" s="4">
        <v>92.522000000000006</v>
      </c>
      <c r="N15" s="5" t="str">
        <f t="shared" si="1"/>
        <v>OK</v>
      </c>
      <c r="O15" s="4">
        <v>58.576999999999998</v>
      </c>
      <c r="P15" s="4">
        <v>84.055999999999997</v>
      </c>
      <c r="Q15" s="4">
        <v>85.364999999999995</v>
      </c>
      <c r="R15" s="4">
        <v>187.76400000000001</v>
      </c>
      <c r="S15" s="4">
        <v>64.415000000000006</v>
      </c>
      <c r="T15" s="5" t="str">
        <f t="shared" si="2"/>
        <v>OK</v>
      </c>
      <c r="U15" s="4">
        <v>17.809000000000001</v>
      </c>
      <c r="V15" s="4">
        <v>62.994</v>
      </c>
      <c r="W15" s="4">
        <v>62.191000000000003</v>
      </c>
      <c r="X15" s="4">
        <v>43.067999999999998</v>
      </c>
      <c r="Y15" s="4">
        <v>19.260999999999999</v>
      </c>
      <c r="Z15" s="5" t="str">
        <f t="shared" si="3"/>
        <v>OK</v>
      </c>
    </row>
  </sheetData>
  <sortState xmlns:xlrd2="http://schemas.microsoft.com/office/spreadsheetml/2017/richdata2" ref="A4:B582">
    <sortCondition ref="A4:A582"/>
  </sortState>
  <mergeCells count="9">
    <mergeCell ref="A1:B1"/>
    <mergeCell ref="C2:G2"/>
    <mergeCell ref="U2:Y2"/>
    <mergeCell ref="O2:S2"/>
    <mergeCell ref="I2:M2"/>
    <mergeCell ref="C1:G1"/>
    <mergeCell ref="I1:M1"/>
    <mergeCell ref="O1:S1"/>
    <mergeCell ref="U1:Y1"/>
  </mergeCells>
  <phoneticPr fontId="2" type="noConversion"/>
  <conditionalFormatting sqref="H4:H15 N4:N15 T4:T15 Z4:Z15">
    <cfRule type="cellIs" dxfId="3" priority="1" operator="equal">
      <formula>"NO"</formula>
    </cfRule>
    <cfRule type="cellIs" dxfId="2" priority="2" operator="equal">
      <formula>"OK"</formula>
    </cfRule>
  </conditionalFormatting>
  <pageMargins left="0.25" right="0.25" top="0.75" bottom="0.75" header="0.3" footer="0.3"/>
  <pageSetup paperSize="9" scale="5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C1A8-E2D8-4B5C-BF24-05B6B43F407B}">
  <dimension ref="A1:N42"/>
  <sheetViews>
    <sheetView topLeftCell="A25" workbookViewId="0">
      <selection activeCell="I34" sqref="I34"/>
    </sheetView>
  </sheetViews>
  <sheetFormatPr defaultRowHeight="15" x14ac:dyDescent="0.25"/>
  <cols>
    <col min="1" max="1" width="4.140625" style="1" customWidth="1"/>
    <col min="2" max="2" width="9.140625" style="1" customWidth="1"/>
    <col min="3" max="3" width="13.28515625" style="1" customWidth="1"/>
    <col min="4" max="4" width="23.7109375" style="1" bestFit="1" customWidth="1"/>
    <col min="5" max="5" width="10" style="1" bestFit="1" customWidth="1"/>
    <col min="6" max="6" width="9.7109375" style="1" bestFit="1" customWidth="1"/>
    <col min="7" max="7" width="9.85546875" style="1" bestFit="1" customWidth="1"/>
    <col min="8" max="8" width="9.42578125" style="1" bestFit="1" customWidth="1"/>
    <col min="9" max="9" width="12" style="1" bestFit="1" customWidth="1"/>
    <col min="10" max="10" width="10.140625" style="1" bestFit="1" customWidth="1"/>
    <col min="11" max="11" width="12.28515625" style="1" bestFit="1" customWidth="1"/>
    <col min="12" max="12" width="10.7109375" style="1" bestFit="1" customWidth="1"/>
    <col min="13" max="13" width="11.7109375" style="1" bestFit="1" customWidth="1"/>
  </cols>
  <sheetData>
    <row r="1" spans="1:14" ht="18" x14ac:dyDescent="0.35">
      <c r="A1" s="18"/>
      <c r="B1" s="22" t="s">
        <v>38</v>
      </c>
      <c r="C1" s="22" t="s">
        <v>39</v>
      </c>
      <c r="D1" s="23" t="s">
        <v>40</v>
      </c>
      <c r="E1" s="22" t="s">
        <v>41</v>
      </c>
      <c r="F1" s="22" t="s">
        <v>42</v>
      </c>
      <c r="G1" s="22" t="s">
        <v>43</v>
      </c>
      <c r="H1" s="22" t="s">
        <v>44</v>
      </c>
      <c r="I1" s="22" t="s">
        <v>45</v>
      </c>
      <c r="J1" s="22" t="s">
        <v>46</v>
      </c>
      <c r="K1" s="22" t="s">
        <v>47</v>
      </c>
      <c r="L1" s="22" t="s">
        <v>48</v>
      </c>
      <c r="M1" s="22" t="s">
        <v>49</v>
      </c>
      <c r="N1" s="17"/>
    </row>
    <row r="2" spans="1:14" x14ac:dyDescent="0.25">
      <c r="A2" s="18"/>
      <c r="B2" s="22" t="s">
        <v>50</v>
      </c>
      <c r="C2" s="22" t="s">
        <v>51</v>
      </c>
      <c r="D2" s="22" t="s">
        <v>51</v>
      </c>
      <c r="E2" s="22" t="s">
        <v>51</v>
      </c>
      <c r="F2" s="22" t="s">
        <v>50</v>
      </c>
      <c r="G2" s="22" t="s">
        <v>50</v>
      </c>
      <c r="H2" s="22" t="s">
        <v>15</v>
      </c>
      <c r="I2" s="22" t="s">
        <v>15</v>
      </c>
      <c r="J2" s="22" t="s">
        <v>15</v>
      </c>
      <c r="K2" s="22" t="s">
        <v>15</v>
      </c>
      <c r="L2" s="22" t="s">
        <v>52</v>
      </c>
      <c r="M2" s="22" t="s">
        <v>15</v>
      </c>
      <c r="N2" s="17"/>
    </row>
    <row r="3" spans="1:14" x14ac:dyDescent="0.25">
      <c r="A3" s="24" t="s">
        <v>53</v>
      </c>
      <c r="B3" s="12" t="s">
        <v>16</v>
      </c>
      <c r="C3" s="5">
        <f>MAX(3000/6,550,450)</f>
        <v>550</v>
      </c>
      <c r="D3" s="5">
        <v>10</v>
      </c>
      <c r="E3" s="5">
        <v>150</v>
      </c>
      <c r="F3" s="5">
        <v>2</v>
      </c>
      <c r="G3" s="4">
        <f>MAX(1,M3*1000*E3/(2*D3^2/4*PI()*(300-40)*391))</f>
        <v>2.1781338700068082</v>
      </c>
      <c r="H3" s="4">
        <f>(0.9*(300-30)*(F3*PI()*D3^2/4)/E3*391)*G3/1000</f>
        <v>216.71861538461536</v>
      </c>
      <c r="I3" s="25">
        <f>(0.9*(300-30)*550*0.5*17*0.5)*(G3/(1+G3^2))/1000</f>
        <v>215.381219450396</v>
      </c>
      <c r="J3" s="25">
        <f>MIN(H3:I3)</f>
        <v>215.381219450396</v>
      </c>
      <c r="K3" s="4">
        <v>-442.041</v>
      </c>
      <c r="L3" s="5">
        <v>316.2</v>
      </c>
      <c r="M3" s="25">
        <f>L3*2/3*1.1</f>
        <v>231.88</v>
      </c>
      <c r="N3" s="26" t="str">
        <f>IF(J3&gt;M3,"OK","NO")</f>
        <v>NO</v>
      </c>
    </row>
    <row r="4" spans="1:14" x14ac:dyDescent="0.25">
      <c r="A4" s="24"/>
      <c r="B4" s="12" t="s">
        <v>20</v>
      </c>
      <c r="C4" s="5">
        <f>MAX(3000/6,550,450)</f>
        <v>550</v>
      </c>
      <c r="D4" s="5">
        <v>10</v>
      </c>
      <c r="E4" s="5">
        <v>150</v>
      </c>
      <c r="F4" s="5">
        <v>4</v>
      </c>
      <c r="G4" s="4">
        <f t="shared" ref="G4:G42" si="0">MAX(1,M4*1000*E4/(2*D4^2/4*PI()*(550-40)*391))</f>
        <v>1.1961083391767617</v>
      </c>
      <c r="H4" s="4">
        <f t="shared" ref="H4:H12" si="1">(0.9*(550-30)*(F4*PI()*D4^2/4)/E4*391)*G4/1000</f>
        <v>458.40752941176481</v>
      </c>
      <c r="I4" s="25">
        <f t="shared" ref="I4:I12" si="2">(0.9*(550-30)*300*0.5*17*0.5)*(G4/(1+G4^2))/1000</f>
        <v>293.62946477235272</v>
      </c>
      <c r="J4" s="25">
        <f t="shared" ref="J4:J42" si="3">MIN(H4:I4)</f>
        <v>293.62946477235272</v>
      </c>
      <c r="K4" s="4">
        <v>-673.34400000000005</v>
      </c>
      <c r="L4" s="5">
        <v>340.6</v>
      </c>
      <c r="M4" s="25">
        <f t="shared" ref="M4:M42" si="4">L4*2/3*1.1</f>
        <v>249.77333333333337</v>
      </c>
      <c r="N4" s="26" t="str">
        <f t="shared" ref="N4:N42" si="5">IF(J4&gt;M4,"OK","NO")</f>
        <v>OK</v>
      </c>
    </row>
    <row r="5" spans="1:14" x14ac:dyDescent="0.25">
      <c r="A5" s="24"/>
      <c r="B5" s="12" t="s">
        <v>21</v>
      </c>
      <c r="C5" s="5">
        <f t="shared" ref="C5:C7" si="6">MAX(3000/6,550,450)</f>
        <v>550</v>
      </c>
      <c r="D5" s="5">
        <v>10</v>
      </c>
      <c r="E5" s="5">
        <v>150</v>
      </c>
      <c r="F5" s="5">
        <v>4</v>
      </c>
      <c r="G5" s="4">
        <f t="shared" si="0"/>
        <v>1.2319283775196948</v>
      </c>
      <c r="H5" s="4">
        <f>(0.9*(550-30)*((F5*PI()*D5^2/4)/E5)*391)*G5/1000</f>
        <v>472.13552941176482</v>
      </c>
      <c r="I5" s="25">
        <f t="shared" si="2"/>
        <v>291.97560614974213</v>
      </c>
      <c r="J5" s="25">
        <f t="shared" si="3"/>
        <v>291.97560614974213</v>
      </c>
      <c r="K5" s="4">
        <v>-790.54499999999996</v>
      </c>
      <c r="L5" s="5">
        <v>350.8</v>
      </c>
      <c r="M5" s="25">
        <f t="shared" si="4"/>
        <v>257.25333333333339</v>
      </c>
      <c r="N5" s="26" t="str">
        <f t="shared" si="5"/>
        <v>OK</v>
      </c>
    </row>
    <row r="6" spans="1:14" x14ac:dyDescent="0.25">
      <c r="A6" s="24"/>
      <c r="B6" s="12" t="s">
        <v>22</v>
      </c>
      <c r="C6" s="5">
        <f t="shared" si="6"/>
        <v>550</v>
      </c>
      <c r="D6" s="5">
        <v>10</v>
      </c>
      <c r="E6" s="5">
        <v>150</v>
      </c>
      <c r="F6" s="5">
        <v>4</v>
      </c>
      <c r="G6" s="4">
        <f t="shared" si="0"/>
        <v>1.2308748469801967</v>
      </c>
      <c r="H6" s="4">
        <f t="shared" si="1"/>
        <v>471.73176470588248</v>
      </c>
      <c r="I6" s="25">
        <f t="shared" si="2"/>
        <v>292.02686926634914</v>
      </c>
      <c r="J6" s="25">
        <f t="shared" si="3"/>
        <v>292.02686926634914</v>
      </c>
      <c r="K6" s="4">
        <v>-783.21900000000005</v>
      </c>
      <c r="L6" s="5">
        <v>350.5</v>
      </c>
      <c r="M6" s="25">
        <f t="shared" si="4"/>
        <v>257.03333333333336</v>
      </c>
      <c r="N6" s="26" t="str">
        <f t="shared" si="5"/>
        <v>OK</v>
      </c>
    </row>
    <row r="7" spans="1:14" x14ac:dyDescent="0.25">
      <c r="A7" s="24"/>
      <c r="B7" s="12" t="s">
        <v>23</v>
      </c>
      <c r="C7" s="5">
        <f t="shared" si="6"/>
        <v>550</v>
      </c>
      <c r="D7" s="5">
        <v>10</v>
      </c>
      <c r="E7" s="5">
        <v>150</v>
      </c>
      <c r="F7" s="5">
        <v>4</v>
      </c>
      <c r="G7" s="4">
        <f t="shared" si="0"/>
        <v>1.1107723654774211</v>
      </c>
      <c r="H7" s="4">
        <f t="shared" si="1"/>
        <v>425.70258823529412</v>
      </c>
      <c r="I7" s="25">
        <f t="shared" si="2"/>
        <v>296.71114077182807</v>
      </c>
      <c r="J7" s="25">
        <f t="shared" si="3"/>
        <v>296.71114077182807</v>
      </c>
      <c r="K7" s="4">
        <v>-442.35899999999998</v>
      </c>
      <c r="L7" s="5">
        <v>316.3</v>
      </c>
      <c r="M7" s="25">
        <f t="shared" si="4"/>
        <v>231.95333333333335</v>
      </c>
      <c r="N7" s="26" t="str">
        <f t="shared" si="5"/>
        <v>OK</v>
      </c>
    </row>
    <row r="8" spans="1:14" x14ac:dyDescent="0.25">
      <c r="A8" s="24"/>
      <c r="B8" s="12" t="s">
        <v>54</v>
      </c>
      <c r="C8" s="5">
        <f>MAX(3000/6,550,450)</f>
        <v>550</v>
      </c>
      <c r="D8" s="5">
        <v>10</v>
      </c>
      <c r="E8" s="5">
        <v>150</v>
      </c>
      <c r="F8" s="5">
        <v>4</v>
      </c>
      <c r="G8" s="4">
        <f t="shared" si="0"/>
        <v>1.2410589755286776</v>
      </c>
      <c r="H8" s="4">
        <f t="shared" si="1"/>
        <v>475.63482352941185</v>
      </c>
      <c r="I8" s="25">
        <f t="shared" si="2"/>
        <v>291.52504075526844</v>
      </c>
      <c r="J8" s="25">
        <f t="shared" si="3"/>
        <v>291.52504075526844</v>
      </c>
      <c r="K8" s="4">
        <v>-868.4</v>
      </c>
      <c r="L8" s="5">
        <v>353.4</v>
      </c>
      <c r="M8" s="25">
        <f t="shared" si="4"/>
        <v>259.16000000000003</v>
      </c>
      <c r="N8" s="26" t="str">
        <f t="shared" si="5"/>
        <v>OK</v>
      </c>
    </row>
    <row r="9" spans="1:14" x14ac:dyDescent="0.25">
      <c r="A9" s="24"/>
      <c r="B9" s="12" t="s">
        <v>55</v>
      </c>
      <c r="C9" s="5">
        <f>MAX(3000/6,550,450)</f>
        <v>550</v>
      </c>
      <c r="D9" s="5">
        <v>10</v>
      </c>
      <c r="E9" s="5">
        <v>150</v>
      </c>
      <c r="F9" s="5">
        <v>4</v>
      </c>
      <c r="G9" s="4">
        <f t="shared" si="0"/>
        <v>1.2737184222531162</v>
      </c>
      <c r="H9" s="4">
        <f t="shared" si="1"/>
        <v>488.15152941176473</v>
      </c>
      <c r="I9" s="25">
        <f t="shared" si="2"/>
        <v>289.82602798776327</v>
      </c>
      <c r="J9" s="25">
        <f t="shared" si="3"/>
        <v>289.82602798776327</v>
      </c>
      <c r="K9" s="4">
        <v>-1286.674</v>
      </c>
      <c r="L9" s="5">
        <v>362.7</v>
      </c>
      <c r="M9" s="25">
        <f t="shared" si="4"/>
        <v>265.98</v>
      </c>
      <c r="N9" s="26" t="str">
        <f t="shared" si="5"/>
        <v>OK</v>
      </c>
    </row>
    <row r="10" spans="1:14" x14ac:dyDescent="0.25">
      <c r="A10" s="24"/>
      <c r="B10" s="12" t="s">
        <v>56</v>
      </c>
      <c r="C10" s="5">
        <f>MAX(3000/6,550,450)</f>
        <v>550</v>
      </c>
      <c r="D10" s="5">
        <v>10</v>
      </c>
      <c r="E10" s="5">
        <v>150</v>
      </c>
      <c r="F10" s="5">
        <v>4</v>
      </c>
      <c r="G10" s="4">
        <f t="shared" si="0"/>
        <v>1.2645878242441335</v>
      </c>
      <c r="H10" s="4">
        <f t="shared" si="1"/>
        <v>484.6522352941177</v>
      </c>
      <c r="I10" s="25">
        <f t="shared" si="2"/>
        <v>290.31420219747258</v>
      </c>
      <c r="J10" s="25">
        <f t="shared" si="3"/>
        <v>290.31420219747258</v>
      </c>
      <c r="K10" s="4">
        <v>-1501.511</v>
      </c>
      <c r="L10" s="5">
        <v>360.1</v>
      </c>
      <c r="M10" s="25">
        <f t="shared" si="4"/>
        <v>264.07333333333338</v>
      </c>
      <c r="N10" s="26" t="str">
        <f t="shared" si="5"/>
        <v>OK</v>
      </c>
    </row>
    <row r="11" spans="1:14" x14ac:dyDescent="0.25">
      <c r="A11" s="24"/>
      <c r="B11" s="12" t="s">
        <v>57</v>
      </c>
      <c r="C11" s="5">
        <f>MAX(3000/6,550,450)</f>
        <v>550</v>
      </c>
      <c r="D11" s="5">
        <v>10</v>
      </c>
      <c r="E11" s="5">
        <v>150</v>
      </c>
      <c r="F11" s="5">
        <v>4</v>
      </c>
      <c r="G11" s="4">
        <f t="shared" si="0"/>
        <v>1.2659925316301306</v>
      </c>
      <c r="H11" s="4">
        <f>(0.9*(300-30)*(F11*PI()*D11^2/4)/E11*391)*G11/1000</f>
        <v>251.92588235294116</v>
      </c>
      <c r="I11" s="25">
        <f>(0.9*(300-30)*300*0.5*17*0.5)*(G11/(1+G11^2))/1000</f>
        <v>150.70140491628166</v>
      </c>
      <c r="J11" s="25">
        <f t="shared" si="3"/>
        <v>150.70140491628166</v>
      </c>
      <c r="K11" s="4">
        <v>-1496.55</v>
      </c>
      <c r="L11" s="5">
        <v>360.5</v>
      </c>
      <c r="M11" s="25">
        <f t="shared" si="4"/>
        <v>264.36666666666667</v>
      </c>
      <c r="N11" s="26" t="str">
        <f t="shared" si="5"/>
        <v>NO</v>
      </c>
    </row>
    <row r="12" spans="1:14" x14ac:dyDescent="0.25">
      <c r="A12" s="24"/>
      <c r="B12" s="12" t="s">
        <v>58</v>
      </c>
      <c r="C12" s="5">
        <f t="shared" ref="C12" si="7">MAX(3000/6,550,450)</f>
        <v>550</v>
      </c>
      <c r="D12" s="5">
        <v>10</v>
      </c>
      <c r="E12" s="5">
        <v>150</v>
      </c>
      <c r="F12" s="5">
        <v>4</v>
      </c>
      <c r="G12" s="4">
        <f t="shared" si="0"/>
        <v>1.2410589755286776</v>
      </c>
      <c r="H12" s="4">
        <f>(0.9*(300-30)*(F12*PI()*D12^2/4)/E12*391)*G12/1000</f>
        <v>246.96423529411769</v>
      </c>
      <c r="I12" s="25">
        <f>(0.9*(300-30)*500*0.5*17*0.5)*(G12/(1+G12^2))/1000</f>
        <v>252.28128526898229</v>
      </c>
      <c r="J12" s="25">
        <f t="shared" si="3"/>
        <v>246.96423529411769</v>
      </c>
      <c r="K12" s="4">
        <v>-870.16600000000005</v>
      </c>
      <c r="L12" s="5">
        <v>353.4</v>
      </c>
      <c r="M12" s="25">
        <f t="shared" si="4"/>
        <v>259.16000000000003</v>
      </c>
      <c r="N12" s="26" t="str">
        <f t="shared" si="5"/>
        <v>NO</v>
      </c>
    </row>
    <row r="13" spans="1:14" x14ac:dyDescent="0.25">
      <c r="A13" s="27" t="s">
        <v>59</v>
      </c>
      <c r="B13" s="12" t="s">
        <v>24</v>
      </c>
      <c r="C13" s="5">
        <f>MAX(3000/6,500,450)</f>
        <v>500</v>
      </c>
      <c r="D13" s="5">
        <v>10</v>
      </c>
      <c r="E13" s="5">
        <v>150</v>
      </c>
      <c r="F13" s="5">
        <v>4</v>
      </c>
      <c r="G13" s="4">
        <f t="shared" si="0"/>
        <v>1</v>
      </c>
      <c r="H13" s="4">
        <f>(0.9*(300-30)*(F13*PI()*D13^2/4)/E13*391)*G13/1000</f>
        <v>198.99476186368469</v>
      </c>
      <c r="I13" s="25">
        <f>(0.9*(300-30)*500*0.5*17*0.5)*(G13/(1+G13^2))/1000</f>
        <v>258.1875</v>
      </c>
      <c r="J13" s="25">
        <f t="shared" si="3"/>
        <v>198.99476186368469</v>
      </c>
      <c r="K13" s="4">
        <v>-319.12700000000001</v>
      </c>
      <c r="L13" s="5">
        <v>266.89999999999998</v>
      </c>
      <c r="M13" s="25">
        <f t="shared" si="4"/>
        <v>195.72666666666666</v>
      </c>
      <c r="N13" s="26" t="str">
        <f t="shared" si="5"/>
        <v>OK</v>
      </c>
    </row>
    <row r="14" spans="1:14" x14ac:dyDescent="0.25">
      <c r="A14" s="27"/>
      <c r="B14" s="12" t="s">
        <v>25</v>
      </c>
      <c r="C14" s="5">
        <f t="shared" ref="C14:C22" si="8">MAX(3000/6,500,450)</f>
        <v>500</v>
      </c>
      <c r="D14" s="5">
        <v>10</v>
      </c>
      <c r="E14" s="5">
        <v>150</v>
      </c>
      <c r="F14" s="5">
        <v>4</v>
      </c>
      <c r="G14" s="4">
        <f t="shared" si="0"/>
        <v>1</v>
      </c>
      <c r="H14" s="4">
        <f t="shared" ref="H14:H22" si="9">(0.9*(500-30)*(F14*PI()*D14^2/4)/E14*391)*G14/1000</f>
        <v>346.39828917011778</v>
      </c>
      <c r="I14" s="25">
        <f t="shared" ref="I14:I22" si="10">(0.9*(500-30)*300*0.5*17*0.5)*(G14/(1+G14^2))/1000</f>
        <v>269.66250000000002</v>
      </c>
      <c r="J14" s="25">
        <f t="shared" si="3"/>
        <v>269.66250000000002</v>
      </c>
      <c r="K14" s="4">
        <v>-488.14400000000001</v>
      </c>
      <c r="L14" s="5">
        <v>283.8</v>
      </c>
      <c r="M14" s="25">
        <f t="shared" si="4"/>
        <v>208.12000000000003</v>
      </c>
      <c r="N14" s="26" t="str">
        <f t="shared" si="5"/>
        <v>OK</v>
      </c>
    </row>
    <row r="15" spans="1:14" x14ac:dyDescent="0.25">
      <c r="A15" s="27"/>
      <c r="B15" s="12" t="s">
        <v>26</v>
      </c>
      <c r="C15" s="5">
        <f t="shared" si="8"/>
        <v>500</v>
      </c>
      <c r="D15" s="5">
        <v>10</v>
      </c>
      <c r="E15" s="5">
        <v>150</v>
      </c>
      <c r="F15" s="5">
        <v>4</v>
      </c>
      <c r="G15" s="4">
        <f t="shared" si="0"/>
        <v>1.0243828612385828</v>
      </c>
      <c r="H15" s="4">
        <f t="shared" si="9"/>
        <v>354.84447058823525</v>
      </c>
      <c r="I15" s="25">
        <f t="shared" si="10"/>
        <v>269.58427031468898</v>
      </c>
      <c r="J15" s="25">
        <f t="shared" si="3"/>
        <v>269.58427031468898</v>
      </c>
      <c r="K15" s="4">
        <v>-574.03499999999997</v>
      </c>
      <c r="L15" s="5">
        <v>291.7</v>
      </c>
      <c r="M15" s="25">
        <f t="shared" si="4"/>
        <v>213.91333333333336</v>
      </c>
      <c r="N15" s="26" t="str">
        <f t="shared" si="5"/>
        <v>OK</v>
      </c>
    </row>
    <row r="16" spans="1:14" x14ac:dyDescent="0.25">
      <c r="A16" s="27"/>
      <c r="B16" s="12" t="s">
        <v>27</v>
      </c>
      <c r="C16" s="5">
        <f t="shared" si="8"/>
        <v>500</v>
      </c>
      <c r="D16" s="5">
        <v>10</v>
      </c>
      <c r="E16" s="5">
        <v>150</v>
      </c>
      <c r="F16" s="5">
        <v>4</v>
      </c>
      <c r="G16" s="4">
        <f t="shared" si="0"/>
        <v>1.0219246233130874</v>
      </c>
      <c r="H16" s="4">
        <f t="shared" si="9"/>
        <v>353.99294117647054</v>
      </c>
      <c r="I16" s="25">
        <f t="shared" si="10"/>
        <v>269.59909349004084</v>
      </c>
      <c r="J16" s="25">
        <f t="shared" si="3"/>
        <v>269.59909349004084</v>
      </c>
      <c r="K16" s="4">
        <v>-567.02700000000004</v>
      </c>
      <c r="L16" s="5">
        <v>291</v>
      </c>
      <c r="M16" s="25">
        <f t="shared" si="4"/>
        <v>213.4</v>
      </c>
      <c r="N16" s="26" t="str">
        <f t="shared" si="5"/>
        <v>OK</v>
      </c>
    </row>
    <row r="17" spans="1:14" x14ac:dyDescent="0.25">
      <c r="A17" s="27"/>
      <c r="B17" s="12" t="s">
        <v>28</v>
      </c>
      <c r="C17" s="5">
        <f t="shared" si="8"/>
        <v>500</v>
      </c>
      <c r="D17" s="5">
        <v>10</v>
      </c>
      <c r="E17" s="5">
        <v>150</v>
      </c>
      <c r="F17" s="5">
        <v>4</v>
      </c>
      <c r="G17" s="4">
        <f t="shared" si="0"/>
        <v>1</v>
      </c>
      <c r="H17" s="4">
        <f t="shared" si="9"/>
        <v>346.39828917011778</v>
      </c>
      <c r="I17" s="25">
        <f t="shared" si="10"/>
        <v>269.66250000000002</v>
      </c>
      <c r="J17" s="25">
        <f t="shared" si="3"/>
        <v>269.66250000000002</v>
      </c>
      <c r="K17" s="4">
        <v>-319.85399999999998</v>
      </c>
      <c r="L17" s="5">
        <v>274.39999999999998</v>
      </c>
      <c r="M17" s="25">
        <f t="shared" si="4"/>
        <v>201.22666666666666</v>
      </c>
      <c r="N17" s="26" t="str">
        <f t="shared" si="5"/>
        <v>OK</v>
      </c>
    </row>
    <row r="18" spans="1:14" x14ac:dyDescent="0.25">
      <c r="A18" s="27"/>
      <c r="B18" s="12" t="s">
        <v>60</v>
      </c>
      <c r="C18" s="5">
        <f t="shared" si="8"/>
        <v>500</v>
      </c>
      <c r="D18" s="5">
        <v>10</v>
      </c>
      <c r="E18" s="5">
        <v>150</v>
      </c>
      <c r="F18" s="5">
        <v>4</v>
      </c>
      <c r="G18" s="4">
        <f t="shared" si="0"/>
        <v>1.040888173024052</v>
      </c>
      <c r="H18" s="4">
        <f t="shared" si="9"/>
        <v>360.56188235294115</v>
      </c>
      <c r="I18" s="25">
        <f t="shared" si="10"/>
        <v>269.44611195507366</v>
      </c>
      <c r="J18" s="25">
        <f t="shared" si="3"/>
        <v>269.44611195507366</v>
      </c>
      <c r="K18" s="4">
        <v>-629.76199999999994</v>
      </c>
      <c r="L18" s="5">
        <v>296.39999999999998</v>
      </c>
      <c r="M18" s="25">
        <f t="shared" si="4"/>
        <v>217.36</v>
      </c>
      <c r="N18" s="26" t="str">
        <f t="shared" si="5"/>
        <v>OK</v>
      </c>
    </row>
    <row r="19" spans="1:14" x14ac:dyDescent="0.25">
      <c r="A19" s="27"/>
      <c r="B19" s="12" t="s">
        <v>61</v>
      </c>
      <c r="C19" s="5">
        <f t="shared" si="8"/>
        <v>500</v>
      </c>
      <c r="D19" s="5">
        <v>10</v>
      </c>
      <c r="E19" s="5">
        <v>150</v>
      </c>
      <c r="F19" s="5">
        <v>4</v>
      </c>
      <c r="G19" s="4">
        <f t="shared" si="0"/>
        <v>1.081624687217976</v>
      </c>
      <c r="H19" s="4">
        <f t="shared" si="9"/>
        <v>374.6729411764706</v>
      </c>
      <c r="I19" s="25">
        <f t="shared" si="10"/>
        <v>268.83451684309921</v>
      </c>
      <c r="J19" s="25">
        <f t="shared" si="3"/>
        <v>268.83451684309921</v>
      </c>
      <c r="K19" s="4">
        <v>-947.71299999999997</v>
      </c>
      <c r="L19" s="5">
        <v>308</v>
      </c>
      <c r="M19" s="25">
        <f t="shared" si="4"/>
        <v>225.8666666666667</v>
      </c>
      <c r="N19" s="26" t="str">
        <f t="shared" si="5"/>
        <v>OK</v>
      </c>
    </row>
    <row r="20" spans="1:14" x14ac:dyDescent="0.25">
      <c r="A20" s="27"/>
      <c r="B20" s="12" t="s">
        <v>62</v>
      </c>
      <c r="C20" s="5">
        <f t="shared" si="8"/>
        <v>500</v>
      </c>
      <c r="D20" s="5">
        <v>10</v>
      </c>
      <c r="E20" s="5">
        <v>150</v>
      </c>
      <c r="F20" s="5">
        <v>4</v>
      </c>
      <c r="G20" s="4">
        <f t="shared" si="0"/>
        <v>1.0911064620734581</v>
      </c>
      <c r="H20" s="4">
        <f t="shared" si="9"/>
        <v>377.95741176470585</v>
      </c>
      <c r="I20" s="25">
        <f t="shared" si="10"/>
        <v>268.64068323498549</v>
      </c>
      <c r="J20" s="25">
        <f t="shared" si="3"/>
        <v>268.64068323498549</v>
      </c>
      <c r="K20" s="4">
        <v>-1106.299</v>
      </c>
      <c r="L20" s="5">
        <v>310.7</v>
      </c>
      <c r="M20" s="25">
        <f t="shared" si="4"/>
        <v>227.84666666666666</v>
      </c>
      <c r="N20" s="26" t="str">
        <f t="shared" si="5"/>
        <v>OK</v>
      </c>
    </row>
    <row r="21" spans="1:14" x14ac:dyDescent="0.25">
      <c r="A21" s="27"/>
      <c r="B21" s="12" t="s">
        <v>63</v>
      </c>
      <c r="C21" s="5">
        <f t="shared" si="8"/>
        <v>500</v>
      </c>
      <c r="D21" s="5">
        <v>10</v>
      </c>
      <c r="E21" s="5">
        <v>150</v>
      </c>
      <c r="F21" s="5">
        <v>4</v>
      </c>
      <c r="G21" s="4">
        <f t="shared" si="0"/>
        <v>1.0911064620734581</v>
      </c>
      <c r="H21" s="4">
        <f t="shared" si="9"/>
        <v>377.95741176470585</v>
      </c>
      <c r="I21" s="25">
        <f t="shared" si="10"/>
        <v>268.64068323498549</v>
      </c>
      <c r="J21" s="25">
        <f t="shared" si="3"/>
        <v>268.64068323498549</v>
      </c>
      <c r="K21" s="4">
        <v>-1101.9179999999999</v>
      </c>
      <c r="L21" s="5">
        <v>310.7</v>
      </c>
      <c r="M21" s="25">
        <f t="shared" si="4"/>
        <v>227.84666666666666</v>
      </c>
      <c r="N21" s="26" t="str">
        <f t="shared" si="5"/>
        <v>OK</v>
      </c>
    </row>
    <row r="22" spans="1:14" x14ac:dyDescent="0.25">
      <c r="A22" s="27"/>
      <c r="B22" s="12" t="s">
        <v>64</v>
      </c>
      <c r="C22" s="5">
        <f t="shared" si="8"/>
        <v>500</v>
      </c>
      <c r="D22" s="5">
        <v>10</v>
      </c>
      <c r="E22" s="5">
        <v>150</v>
      </c>
      <c r="F22" s="5">
        <v>4</v>
      </c>
      <c r="G22" s="4">
        <f t="shared" si="0"/>
        <v>1.0412393498705512</v>
      </c>
      <c r="H22" s="4">
        <f t="shared" si="9"/>
        <v>360.68352941176465</v>
      </c>
      <c r="I22" s="25">
        <f t="shared" si="10"/>
        <v>269.44245622798519</v>
      </c>
      <c r="J22" s="25">
        <f t="shared" si="3"/>
        <v>269.44245622798519</v>
      </c>
      <c r="K22" s="28">
        <v>-631.32000000000005</v>
      </c>
      <c r="L22" s="5">
        <v>296.5</v>
      </c>
      <c r="M22" s="25">
        <f t="shared" si="4"/>
        <v>217.43333333333334</v>
      </c>
      <c r="N22" s="26" t="str">
        <f t="shared" si="5"/>
        <v>OK</v>
      </c>
    </row>
    <row r="23" spans="1:14" x14ac:dyDescent="0.25">
      <c r="A23" s="29" t="s">
        <v>65</v>
      </c>
      <c r="B23" s="12" t="s">
        <v>29</v>
      </c>
      <c r="C23" s="5">
        <f>MAX(3000/6,450,450)</f>
        <v>500</v>
      </c>
      <c r="D23" s="5">
        <v>10</v>
      </c>
      <c r="E23" s="5">
        <v>150</v>
      </c>
      <c r="F23" s="5">
        <v>4</v>
      </c>
      <c r="G23" s="4">
        <f t="shared" si="0"/>
        <v>1</v>
      </c>
      <c r="H23" s="4">
        <f>(0.9*(300-30)*(F23*PI()*D23^2/4)/E23*391)*G23/1000</f>
        <v>198.99476186368469</v>
      </c>
      <c r="I23" s="25">
        <f>(0.9*(300-30)*500*0.5*17*0.5)*(G23/(1+G23^2))/1000</f>
        <v>258.1875</v>
      </c>
      <c r="J23" s="25">
        <f t="shared" si="3"/>
        <v>198.99476186368469</v>
      </c>
      <c r="K23" s="4">
        <v>-194.28700000000001</v>
      </c>
      <c r="L23" s="5">
        <v>221.2</v>
      </c>
      <c r="M23" s="25">
        <f t="shared" si="4"/>
        <v>162.21333333333334</v>
      </c>
      <c r="N23" s="26" t="str">
        <f t="shared" si="5"/>
        <v>OK</v>
      </c>
    </row>
    <row r="24" spans="1:14" x14ac:dyDescent="0.25">
      <c r="A24" s="29"/>
      <c r="B24" s="12" t="s">
        <v>30</v>
      </c>
      <c r="C24" s="5">
        <f t="shared" ref="C24:C32" si="11">MAX(3000/6,450,450)</f>
        <v>500</v>
      </c>
      <c r="D24" s="5">
        <v>10</v>
      </c>
      <c r="E24" s="5">
        <v>150</v>
      </c>
      <c r="F24" s="5">
        <v>4</v>
      </c>
      <c r="G24" s="4">
        <f t="shared" si="0"/>
        <v>1</v>
      </c>
      <c r="H24" s="4">
        <f t="shared" ref="H24:H32" si="12">(0.9*(450-30)*(F24*PI()*D24^2/4)/E24*391)*G24/1000</f>
        <v>309.54740734350946</v>
      </c>
      <c r="I24" s="25">
        <f t="shared" ref="I24:I32" si="13">(0.9*(450-30)*300*0.5*17*0.5)*(G24/(1+G24^2))/1000</f>
        <v>240.97499999999999</v>
      </c>
      <c r="J24" s="25">
        <f t="shared" si="3"/>
        <v>240.97499999999999</v>
      </c>
      <c r="K24" s="4">
        <v>-301.76600000000002</v>
      </c>
      <c r="L24" s="5">
        <v>231.1</v>
      </c>
      <c r="M24" s="25">
        <f t="shared" si="4"/>
        <v>169.47333333333333</v>
      </c>
      <c r="N24" s="26" t="str">
        <f t="shared" si="5"/>
        <v>OK</v>
      </c>
    </row>
    <row r="25" spans="1:14" x14ac:dyDescent="0.25">
      <c r="A25" s="29"/>
      <c r="B25" s="12" t="s">
        <v>66</v>
      </c>
      <c r="C25" s="5">
        <f t="shared" si="11"/>
        <v>500</v>
      </c>
      <c r="D25" s="5">
        <v>10</v>
      </c>
      <c r="E25" s="5">
        <v>150</v>
      </c>
      <c r="F25" s="5">
        <v>4</v>
      </c>
      <c r="G25" s="4">
        <f t="shared" si="0"/>
        <v>1</v>
      </c>
      <c r="H25" s="4">
        <f t="shared" si="12"/>
        <v>309.54740734350946</v>
      </c>
      <c r="I25" s="25">
        <f t="shared" si="13"/>
        <v>240.97499999999999</v>
      </c>
      <c r="J25" s="25">
        <f t="shared" si="3"/>
        <v>240.97499999999999</v>
      </c>
      <c r="K25" s="4">
        <v>-355.28399999999999</v>
      </c>
      <c r="L25" s="5">
        <v>235.8</v>
      </c>
      <c r="M25" s="25">
        <f t="shared" si="4"/>
        <v>172.92000000000004</v>
      </c>
      <c r="N25" s="26" t="str">
        <f t="shared" si="5"/>
        <v>OK</v>
      </c>
    </row>
    <row r="26" spans="1:14" x14ac:dyDescent="0.25">
      <c r="A26" s="29"/>
      <c r="B26" s="12" t="s">
        <v>31</v>
      </c>
      <c r="C26" s="5">
        <f t="shared" si="11"/>
        <v>500</v>
      </c>
      <c r="D26" s="5">
        <v>10</v>
      </c>
      <c r="E26" s="5">
        <v>150</v>
      </c>
      <c r="F26" s="5">
        <v>4</v>
      </c>
      <c r="G26" s="4">
        <f t="shared" si="0"/>
        <v>1</v>
      </c>
      <c r="H26" s="4">
        <f t="shared" si="12"/>
        <v>309.54740734350946</v>
      </c>
      <c r="I26" s="25">
        <f t="shared" si="13"/>
        <v>240.97499999999999</v>
      </c>
      <c r="J26" s="25">
        <f t="shared" si="3"/>
        <v>240.97499999999999</v>
      </c>
      <c r="K26" s="4">
        <v>-350.16300000000001</v>
      </c>
      <c r="L26" s="5">
        <v>235.4</v>
      </c>
      <c r="M26" s="25">
        <f t="shared" si="4"/>
        <v>172.62666666666669</v>
      </c>
      <c r="N26" s="26" t="str">
        <f t="shared" si="5"/>
        <v>OK</v>
      </c>
    </row>
    <row r="27" spans="1:14" x14ac:dyDescent="0.25">
      <c r="A27" s="29"/>
      <c r="B27" s="12" t="s">
        <v>67</v>
      </c>
      <c r="C27" s="5">
        <f t="shared" si="11"/>
        <v>500</v>
      </c>
      <c r="D27" s="5">
        <v>10</v>
      </c>
      <c r="E27" s="5">
        <v>150</v>
      </c>
      <c r="F27" s="5">
        <v>4</v>
      </c>
      <c r="G27" s="4">
        <f t="shared" si="0"/>
        <v>1</v>
      </c>
      <c r="H27" s="4">
        <f t="shared" si="12"/>
        <v>309.54740734350946</v>
      </c>
      <c r="I27" s="25">
        <f t="shared" si="13"/>
        <v>240.97499999999999</v>
      </c>
      <c r="J27" s="25">
        <f t="shared" si="3"/>
        <v>240.97499999999999</v>
      </c>
      <c r="K27" s="4">
        <v>-194.84100000000001</v>
      </c>
      <c r="L27" s="5">
        <v>221.3</v>
      </c>
      <c r="M27" s="25">
        <f t="shared" si="4"/>
        <v>162.28666666666669</v>
      </c>
      <c r="N27" s="26" t="str">
        <f t="shared" si="5"/>
        <v>OK</v>
      </c>
    </row>
    <row r="28" spans="1:14" x14ac:dyDescent="0.25">
      <c r="A28" s="29"/>
      <c r="B28" s="12" t="s">
        <v>68</v>
      </c>
      <c r="C28" s="5">
        <f t="shared" si="11"/>
        <v>500</v>
      </c>
      <c r="D28" s="5">
        <v>10</v>
      </c>
      <c r="E28" s="5">
        <v>150</v>
      </c>
      <c r="F28" s="5">
        <v>4</v>
      </c>
      <c r="G28" s="4">
        <f t="shared" si="0"/>
        <v>1</v>
      </c>
      <c r="H28" s="4">
        <f t="shared" si="12"/>
        <v>309.54740734350946</v>
      </c>
      <c r="I28" s="25">
        <f t="shared" si="13"/>
        <v>240.97499999999999</v>
      </c>
      <c r="J28" s="25">
        <f t="shared" si="3"/>
        <v>240.97499999999999</v>
      </c>
      <c r="K28" s="4">
        <v>-394.46</v>
      </c>
      <c r="L28" s="5">
        <v>239.2</v>
      </c>
      <c r="M28" s="25">
        <f t="shared" si="4"/>
        <v>175.41333333333336</v>
      </c>
      <c r="N28" s="26" t="str">
        <f t="shared" si="5"/>
        <v>OK</v>
      </c>
    </row>
    <row r="29" spans="1:14" x14ac:dyDescent="0.25">
      <c r="A29" s="29"/>
      <c r="B29" s="12" t="s">
        <v>69</v>
      </c>
      <c r="C29" s="5">
        <f t="shared" si="11"/>
        <v>500</v>
      </c>
      <c r="D29" s="5">
        <v>10</v>
      </c>
      <c r="E29" s="5">
        <v>150</v>
      </c>
      <c r="F29" s="5">
        <v>4</v>
      </c>
      <c r="G29" s="4">
        <f t="shared" si="0"/>
        <v>1</v>
      </c>
      <c r="H29" s="4">
        <f t="shared" si="12"/>
        <v>309.54740734350946</v>
      </c>
      <c r="I29" s="25">
        <f t="shared" si="13"/>
        <v>240.97499999999999</v>
      </c>
      <c r="J29" s="25">
        <f t="shared" si="3"/>
        <v>240.97499999999999</v>
      </c>
      <c r="K29" s="4">
        <v>-613.827</v>
      </c>
      <c r="L29" s="5">
        <v>255.5</v>
      </c>
      <c r="M29" s="25">
        <f t="shared" si="4"/>
        <v>187.3666666666667</v>
      </c>
      <c r="N29" s="26" t="str">
        <f t="shared" si="5"/>
        <v>OK</v>
      </c>
    </row>
    <row r="30" spans="1:14" x14ac:dyDescent="0.25">
      <c r="A30" s="29"/>
      <c r="B30" s="12" t="s">
        <v>70</v>
      </c>
      <c r="C30" s="5">
        <f t="shared" si="11"/>
        <v>500</v>
      </c>
      <c r="D30" s="5">
        <v>10</v>
      </c>
      <c r="E30" s="5">
        <v>150</v>
      </c>
      <c r="F30" s="5">
        <v>4</v>
      </c>
      <c r="G30" s="4">
        <f t="shared" si="0"/>
        <v>1</v>
      </c>
      <c r="H30" s="4">
        <f t="shared" si="12"/>
        <v>309.54740734350946</v>
      </c>
      <c r="I30" s="25">
        <f t="shared" si="13"/>
        <v>240.97499999999999</v>
      </c>
      <c r="J30" s="25">
        <f t="shared" si="3"/>
        <v>240.97499999999999</v>
      </c>
      <c r="K30" s="4">
        <v>-716.63400000000001</v>
      </c>
      <c r="L30" s="5">
        <v>257.89999999999998</v>
      </c>
      <c r="M30" s="25">
        <f t="shared" si="4"/>
        <v>189.12666666666667</v>
      </c>
      <c r="N30" s="26" t="str">
        <f t="shared" si="5"/>
        <v>OK</v>
      </c>
    </row>
    <row r="31" spans="1:14" x14ac:dyDescent="0.25">
      <c r="A31" s="29"/>
      <c r="B31" s="12" t="s">
        <v>71</v>
      </c>
      <c r="C31" s="5">
        <f t="shared" si="11"/>
        <v>500</v>
      </c>
      <c r="D31" s="5">
        <v>10</v>
      </c>
      <c r="E31" s="5">
        <v>150</v>
      </c>
      <c r="F31" s="5">
        <v>4</v>
      </c>
      <c r="G31" s="4">
        <f t="shared" si="0"/>
        <v>1</v>
      </c>
      <c r="H31" s="4">
        <f t="shared" si="12"/>
        <v>309.54740734350946</v>
      </c>
      <c r="I31" s="25">
        <f t="shared" si="13"/>
        <v>240.97499999999999</v>
      </c>
      <c r="J31" s="25">
        <f t="shared" si="3"/>
        <v>240.97499999999999</v>
      </c>
      <c r="K31" s="4">
        <v>-713.37199999999996</v>
      </c>
      <c r="L31" s="5">
        <v>257.8</v>
      </c>
      <c r="M31" s="25">
        <f t="shared" si="4"/>
        <v>189.05333333333337</v>
      </c>
      <c r="N31" s="26" t="str">
        <f t="shared" si="5"/>
        <v>OK</v>
      </c>
    </row>
    <row r="32" spans="1:14" x14ac:dyDescent="0.25">
      <c r="A32" s="29"/>
      <c r="B32" s="12" t="s">
        <v>72</v>
      </c>
      <c r="C32" s="5">
        <f t="shared" si="11"/>
        <v>500</v>
      </c>
      <c r="D32" s="5">
        <v>10</v>
      </c>
      <c r="E32" s="5">
        <v>150</v>
      </c>
      <c r="F32" s="5">
        <v>4</v>
      </c>
      <c r="G32" s="4">
        <f t="shared" si="0"/>
        <v>1</v>
      </c>
      <c r="H32" s="4">
        <f>(0.9*(450-30)*(F32*PI()*D32^2/4)/E32*391)*G32/1000</f>
        <v>309.54740734350946</v>
      </c>
      <c r="I32" s="25">
        <f t="shared" si="13"/>
        <v>240.97499999999999</v>
      </c>
      <c r="J32" s="25">
        <f t="shared" si="3"/>
        <v>240.97499999999999</v>
      </c>
      <c r="K32" s="28">
        <v>-395.57900000000001</v>
      </c>
      <c r="L32" s="5">
        <v>239.3</v>
      </c>
      <c r="M32" s="25">
        <f t="shared" si="4"/>
        <v>175.48666666666668</v>
      </c>
      <c r="N32" s="26" t="str">
        <f t="shared" si="5"/>
        <v>OK</v>
      </c>
    </row>
    <row r="33" spans="1:14" x14ac:dyDescent="0.25">
      <c r="A33" s="30" t="s">
        <v>73</v>
      </c>
      <c r="B33" s="12" t="s">
        <v>74</v>
      </c>
      <c r="C33" s="5">
        <f>MAX(3000/6,400,450)</f>
        <v>500</v>
      </c>
      <c r="D33" s="5">
        <v>10</v>
      </c>
      <c r="E33" s="5">
        <v>150</v>
      </c>
      <c r="F33" s="5">
        <v>4</v>
      </c>
      <c r="G33" s="4">
        <f t="shared" si="0"/>
        <v>1</v>
      </c>
      <c r="H33" s="4">
        <f>(0.9*(300-30)*(F33*PI()*D33^2/4)/E33*391)*G33/1000</f>
        <v>198.99476186368469</v>
      </c>
      <c r="I33" s="25">
        <f>(0.9*(300-30)*400*0.5*17*0.5)*(G33/(1+G33^2))/1000</f>
        <v>206.55</v>
      </c>
      <c r="J33" s="25">
        <f t="shared" si="3"/>
        <v>198.99476186368469</v>
      </c>
      <c r="K33" s="4">
        <v>-71.150999999999996</v>
      </c>
      <c r="L33" s="5">
        <v>179.5</v>
      </c>
      <c r="M33" s="25">
        <f t="shared" si="4"/>
        <v>131.63333333333335</v>
      </c>
      <c r="N33" s="26" t="str">
        <f t="shared" si="5"/>
        <v>OK</v>
      </c>
    </row>
    <row r="34" spans="1:14" x14ac:dyDescent="0.25">
      <c r="A34" s="30"/>
      <c r="B34" s="12" t="s">
        <v>75</v>
      </c>
      <c r="C34" s="5">
        <f t="shared" ref="C34:C42" si="14">MAX(3000/6,400,450)</f>
        <v>500</v>
      </c>
      <c r="D34" s="5">
        <v>10</v>
      </c>
      <c r="E34" s="5">
        <v>150</v>
      </c>
      <c r="F34" s="5">
        <v>4</v>
      </c>
      <c r="G34" s="4">
        <f t="shared" si="0"/>
        <v>1</v>
      </c>
      <c r="H34" s="4">
        <f t="shared" ref="H34:H42" si="15">(0.9*(400-30)*(F34*PI()*D34^2/4)/E34*391)*G34/1000</f>
        <v>272.6965255169012</v>
      </c>
      <c r="I34" s="25">
        <f t="shared" ref="I34:I42" si="16">(0.9*(400-30)*300*0.5*17*0.5)*(G34/(1+G34^2))/1000</f>
        <v>212.28749999999999</v>
      </c>
      <c r="J34" s="25">
        <f t="shared" si="3"/>
        <v>212.28749999999999</v>
      </c>
      <c r="K34" s="4">
        <v>-117.00700000000001</v>
      </c>
      <c r="L34" s="5">
        <v>183.2</v>
      </c>
      <c r="M34" s="25">
        <f t="shared" si="4"/>
        <v>134.34666666666666</v>
      </c>
      <c r="N34" s="26" t="str">
        <f t="shared" si="5"/>
        <v>OK</v>
      </c>
    </row>
    <row r="35" spans="1:14" x14ac:dyDescent="0.25">
      <c r="A35" s="30"/>
      <c r="B35" s="12" t="s">
        <v>76</v>
      </c>
      <c r="C35" s="5">
        <f t="shared" si="14"/>
        <v>500</v>
      </c>
      <c r="D35" s="5">
        <v>10</v>
      </c>
      <c r="E35" s="5">
        <v>150</v>
      </c>
      <c r="F35" s="5">
        <v>4</v>
      </c>
      <c r="G35" s="4">
        <f t="shared" si="0"/>
        <v>1</v>
      </c>
      <c r="H35" s="4">
        <f t="shared" si="15"/>
        <v>272.6965255169012</v>
      </c>
      <c r="I35" s="25">
        <f t="shared" si="16"/>
        <v>212.28749999999999</v>
      </c>
      <c r="J35" s="25">
        <f t="shared" si="3"/>
        <v>212.28749999999999</v>
      </c>
      <c r="K35" s="4">
        <v>-137.62</v>
      </c>
      <c r="L35" s="5">
        <v>184.8</v>
      </c>
      <c r="M35" s="25">
        <f t="shared" si="4"/>
        <v>135.52000000000001</v>
      </c>
      <c r="N35" s="26" t="str">
        <f t="shared" si="5"/>
        <v>OK</v>
      </c>
    </row>
    <row r="36" spans="1:14" x14ac:dyDescent="0.25">
      <c r="A36" s="30"/>
      <c r="B36" s="12" t="s">
        <v>77</v>
      </c>
      <c r="C36" s="5">
        <f t="shared" si="14"/>
        <v>500</v>
      </c>
      <c r="D36" s="5">
        <v>10</v>
      </c>
      <c r="E36" s="5">
        <v>150</v>
      </c>
      <c r="F36" s="5">
        <v>4</v>
      </c>
      <c r="G36" s="4">
        <f t="shared" si="0"/>
        <v>1</v>
      </c>
      <c r="H36" s="4">
        <f t="shared" si="15"/>
        <v>272.6965255169012</v>
      </c>
      <c r="I36" s="25">
        <f t="shared" si="16"/>
        <v>212.28749999999999</v>
      </c>
      <c r="J36" s="25">
        <f t="shared" si="3"/>
        <v>212.28749999999999</v>
      </c>
      <c r="K36" s="4">
        <v>-134.691</v>
      </c>
      <c r="L36" s="5">
        <v>184.6</v>
      </c>
      <c r="M36" s="25">
        <f t="shared" si="4"/>
        <v>135.37333333333333</v>
      </c>
      <c r="N36" s="26" t="str">
        <f t="shared" si="5"/>
        <v>OK</v>
      </c>
    </row>
    <row r="37" spans="1:14" x14ac:dyDescent="0.25">
      <c r="A37" s="30"/>
      <c r="B37" s="12" t="s">
        <v>78</v>
      </c>
      <c r="C37" s="5">
        <f t="shared" si="14"/>
        <v>500</v>
      </c>
      <c r="D37" s="5">
        <v>10</v>
      </c>
      <c r="E37" s="5">
        <v>150</v>
      </c>
      <c r="F37" s="5">
        <v>4</v>
      </c>
      <c r="G37" s="4">
        <f t="shared" si="0"/>
        <v>1</v>
      </c>
      <c r="H37" s="4">
        <f t="shared" si="15"/>
        <v>272.6965255169012</v>
      </c>
      <c r="I37" s="25">
        <f t="shared" si="16"/>
        <v>212.28749999999999</v>
      </c>
      <c r="J37" s="25">
        <f t="shared" si="3"/>
        <v>212.28749999999999</v>
      </c>
      <c r="K37" s="4">
        <v>-71.656999999999996</v>
      </c>
      <c r="L37" s="5">
        <v>179.5</v>
      </c>
      <c r="M37" s="25">
        <f t="shared" si="4"/>
        <v>131.63333333333335</v>
      </c>
      <c r="N37" s="26" t="str">
        <f t="shared" si="5"/>
        <v>OK</v>
      </c>
    </row>
    <row r="38" spans="1:14" x14ac:dyDescent="0.25">
      <c r="A38" s="30"/>
      <c r="B38" s="12" t="s">
        <v>79</v>
      </c>
      <c r="C38" s="5">
        <f t="shared" si="14"/>
        <v>500</v>
      </c>
      <c r="D38" s="5">
        <v>10</v>
      </c>
      <c r="E38" s="5">
        <v>150</v>
      </c>
      <c r="F38" s="5">
        <v>4</v>
      </c>
      <c r="G38" s="4">
        <f t="shared" si="0"/>
        <v>1</v>
      </c>
      <c r="H38" s="4">
        <f t="shared" si="15"/>
        <v>272.6965255169012</v>
      </c>
      <c r="I38" s="25">
        <f t="shared" si="16"/>
        <v>212.28749999999999</v>
      </c>
      <c r="J38" s="25">
        <f t="shared" si="3"/>
        <v>212.28749999999999</v>
      </c>
      <c r="K38" s="4">
        <v>-159.88300000000001</v>
      </c>
      <c r="L38" s="5">
        <v>186.6</v>
      </c>
      <c r="M38" s="25">
        <f t="shared" si="4"/>
        <v>136.84</v>
      </c>
      <c r="N38" s="26" t="str">
        <f t="shared" si="5"/>
        <v>OK</v>
      </c>
    </row>
    <row r="39" spans="1:14" x14ac:dyDescent="0.25">
      <c r="A39" s="30"/>
      <c r="B39" s="12" t="s">
        <v>80</v>
      </c>
      <c r="C39" s="5">
        <f t="shared" si="14"/>
        <v>500</v>
      </c>
      <c r="D39" s="5">
        <v>10</v>
      </c>
      <c r="E39" s="5">
        <v>150</v>
      </c>
      <c r="F39" s="5">
        <v>4</v>
      </c>
      <c r="G39" s="4">
        <f t="shared" si="0"/>
        <v>1</v>
      </c>
      <c r="H39" s="4">
        <f t="shared" si="15"/>
        <v>272.6965255169012</v>
      </c>
      <c r="I39" s="25">
        <f t="shared" si="16"/>
        <v>212.28749999999999</v>
      </c>
      <c r="J39" s="25">
        <f t="shared" si="3"/>
        <v>212.28749999999999</v>
      </c>
      <c r="K39" s="4">
        <v>-281.745</v>
      </c>
      <c r="L39" s="5">
        <v>196.1</v>
      </c>
      <c r="M39" s="25">
        <f t="shared" si="4"/>
        <v>143.80666666666667</v>
      </c>
      <c r="N39" s="26" t="str">
        <f t="shared" si="5"/>
        <v>OK</v>
      </c>
    </row>
    <row r="40" spans="1:14" x14ac:dyDescent="0.25">
      <c r="A40" s="30"/>
      <c r="B40" s="12" t="s">
        <v>81</v>
      </c>
      <c r="C40" s="5">
        <f t="shared" si="14"/>
        <v>500</v>
      </c>
      <c r="D40" s="5">
        <v>10</v>
      </c>
      <c r="E40" s="5">
        <v>150</v>
      </c>
      <c r="F40" s="5">
        <v>4</v>
      </c>
      <c r="G40" s="4">
        <f t="shared" si="0"/>
        <v>1</v>
      </c>
      <c r="H40" s="4">
        <f t="shared" si="15"/>
        <v>272.6965255169012</v>
      </c>
      <c r="I40" s="25">
        <f t="shared" si="16"/>
        <v>212.28749999999999</v>
      </c>
      <c r="J40" s="25">
        <f t="shared" si="3"/>
        <v>212.28749999999999</v>
      </c>
      <c r="K40" s="4">
        <v>-328.71100000000001</v>
      </c>
      <c r="L40" s="5">
        <v>199.6</v>
      </c>
      <c r="M40" s="25">
        <f t="shared" si="4"/>
        <v>146.37333333333333</v>
      </c>
      <c r="N40" s="26" t="str">
        <f t="shared" si="5"/>
        <v>OK</v>
      </c>
    </row>
    <row r="41" spans="1:14" x14ac:dyDescent="0.25">
      <c r="A41" s="30"/>
      <c r="B41" s="12" t="s">
        <v>82</v>
      </c>
      <c r="C41" s="5">
        <f t="shared" si="14"/>
        <v>500</v>
      </c>
      <c r="D41" s="5">
        <v>10</v>
      </c>
      <c r="E41" s="5">
        <v>150</v>
      </c>
      <c r="F41" s="5">
        <v>4</v>
      </c>
      <c r="G41" s="4">
        <f t="shared" si="0"/>
        <v>1</v>
      </c>
      <c r="H41" s="4">
        <f t="shared" si="15"/>
        <v>272.6965255169012</v>
      </c>
      <c r="I41" s="25">
        <f t="shared" si="16"/>
        <v>212.28749999999999</v>
      </c>
      <c r="J41" s="25">
        <f t="shared" si="3"/>
        <v>212.28749999999999</v>
      </c>
      <c r="K41" s="4">
        <v>-326.99</v>
      </c>
      <c r="L41" s="5">
        <v>199.5</v>
      </c>
      <c r="M41" s="25">
        <f t="shared" si="4"/>
        <v>146.30000000000001</v>
      </c>
      <c r="N41" s="26" t="str">
        <f t="shared" si="5"/>
        <v>OK</v>
      </c>
    </row>
    <row r="42" spans="1:14" x14ac:dyDescent="0.25">
      <c r="A42" s="30"/>
      <c r="B42" s="12" t="s">
        <v>83</v>
      </c>
      <c r="C42" s="5">
        <f t="shared" si="14"/>
        <v>500</v>
      </c>
      <c r="D42" s="5">
        <v>10</v>
      </c>
      <c r="E42" s="5">
        <v>150</v>
      </c>
      <c r="F42" s="5">
        <v>4</v>
      </c>
      <c r="G42" s="4">
        <f t="shared" si="0"/>
        <v>1</v>
      </c>
      <c r="H42" s="4">
        <f t="shared" si="15"/>
        <v>272.6965255169012</v>
      </c>
      <c r="I42" s="25">
        <f t="shared" si="16"/>
        <v>212.28749999999999</v>
      </c>
      <c r="J42" s="25">
        <f t="shared" si="3"/>
        <v>212.28749999999999</v>
      </c>
      <c r="K42" s="4">
        <v>-160.38900000000001</v>
      </c>
      <c r="L42" s="5">
        <v>186.7</v>
      </c>
      <c r="M42" s="25">
        <f t="shared" si="4"/>
        <v>136.91333333333333</v>
      </c>
      <c r="N42" s="26" t="str">
        <f t="shared" si="5"/>
        <v>OK</v>
      </c>
    </row>
  </sheetData>
  <mergeCells count="4">
    <mergeCell ref="A3:A12"/>
    <mergeCell ref="A13:A22"/>
    <mergeCell ref="A23:A32"/>
    <mergeCell ref="A33:A42"/>
  </mergeCells>
  <conditionalFormatting sqref="N3:N42">
    <cfRule type="cellIs" dxfId="1" priority="2" operator="equal">
      <formula>"OK"</formula>
    </cfRule>
    <cfRule type="cellIs" dxfId="0" priority="3" operator="equal">
      <formula>"NO"</formula>
    </cfRule>
  </conditionalFormatting>
  <conditionalFormatting sqref="A13 A3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3 A2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PUSHOVERY GRUPPO 1</vt:lpstr>
      <vt:lpstr>PUSHOVERY GRUPPO 2</vt:lpstr>
      <vt:lpstr>PUSHOVERX GRUPPO 1</vt:lpstr>
      <vt:lpstr>PUSHOVERX GRUPPO 2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2019-11-30T17:51:10Z</cp:lastPrinted>
  <dcterms:created xsi:type="dcterms:W3CDTF">2019-11-30T08:47:13Z</dcterms:created>
  <dcterms:modified xsi:type="dcterms:W3CDTF">2019-11-30T17:51:15Z</dcterms:modified>
</cp:coreProperties>
</file>