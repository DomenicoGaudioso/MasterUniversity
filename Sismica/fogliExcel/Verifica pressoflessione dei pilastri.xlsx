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225A0118-FC8F-40AD-8A0E-D56DD7D5099E}" xr6:coauthVersionLast="44" xr6:coauthVersionMax="44" xr10:uidLastSave="{00000000-0000-0000-0000-000000000000}"/>
  <bookViews>
    <workbookView xWindow="-120" yWindow="-120" windowWidth="20730" windowHeight="11160" activeTab="3" xr2:uid="{4B0C30FF-DFF8-4017-B89A-E102FD32AB20}"/>
  </bookViews>
  <sheets>
    <sheet name="PressoflessioneX" sheetId="13" r:id="rId1"/>
    <sheet name="Pressoflessione" sheetId="3" r:id="rId2"/>
    <sheet name="Taglio" sheetId="5" r:id="rId3"/>
    <sheet name="Confinamento" sheetId="12" r:id="rId4"/>
    <sheet name="NodoX (Taglio Compressione)" sheetId="7" r:id="rId5"/>
    <sheet name="NodoX (Taglio Trazione)" sheetId="10" r:id="rId6"/>
    <sheet name="NodoY (Taglio Compressione)" sheetId="8" r:id="rId7"/>
    <sheet name="NodoY (Taglio Trazione)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4" i="5" l="1"/>
  <c r="I35" i="5"/>
  <c r="I36" i="5"/>
  <c r="I37" i="5"/>
  <c r="I38" i="5"/>
  <c r="I39" i="5"/>
  <c r="I40" i="5"/>
  <c r="I41" i="5"/>
  <c r="I42" i="5"/>
  <c r="I3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I2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I13" i="5"/>
  <c r="H34" i="5"/>
  <c r="H35" i="5"/>
  <c r="H36" i="5"/>
  <c r="H37" i="5"/>
  <c r="H38" i="5"/>
  <c r="H39" i="5"/>
  <c r="H40" i="5"/>
  <c r="H41" i="5"/>
  <c r="H42" i="5"/>
  <c r="H33" i="5"/>
  <c r="H23" i="5"/>
  <c r="H13" i="5"/>
  <c r="G3" i="5"/>
  <c r="H5" i="5"/>
  <c r="E4" i="12" l="1"/>
  <c r="I62" i="13" l="1"/>
  <c r="K62" i="13" s="1"/>
  <c r="F62" i="13"/>
  <c r="J62" i="13" s="1"/>
  <c r="I60" i="13"/>
  <c r="K60" i="13" s="1"/>
  <c r="F60" i="13"/>
  <c r="J60" i="13" s="1"/>
  <c r="I58" i="13"/>
  <c r="K58" i="13" s="1"/>
  <c r="F58" i="13"/>
  <c r="J58" i="13" s="1"/>
  <c r="I56" i="13"/>
  <c r="K56" i="13" s="1"/>
  <c r="F56" i="13"/>
  <c r="J56" i="13" s="1"/>
  <c r="I54" i="13"/>
  <c r="K54" i="13" s="1"/>
  <c r="F54" i="13"/>
  <c r="J54" i="13" s="1"/>
  <c r="I52" i="13"/>
  <c r="K52" i="13" s="1"/>
  <c r="F52" i="13"/>
  <c r="J52" i="13" s="1"/>
  <c r="I50" i="13"/>
  <c r="K50" i="13" s="1"/>
  <c r="F50" i="13"/>
  <c r="J50" i="13" s="1"/>
  <c r="I48" i="13"/>
  <c r="K48" i="13" s="1"/>
  <c r="F48" i="13"/>
  <c r="J48" i="13" s="1"/>
  <c r="I46" i="13"/>
  <c r="K46" i="13" s="1"/>
  <c r="F46" i="13"/>
  <c r="J46" i="13" s="1"/>
  <c r="I44" i="13"/>
  <c r="K44" i="13" s="1"/>
  <c r="F44" i="13"/>
  <c r="J44" i="13" s="1"/>
  <c r="I42" i="13"/>
  <c r="K42" i="13" s="1"/>
  <c r="F42" i="13"/>
  <c r="J42" i="13" s="1"/>
  <c r="I40" i="13"/>
  <c r="K40" i="13" s="1"/>
  <c r="F40" i="13"/>
  <c r="J40" i="13" s="1"/>
  <c r="I38" i="13"/>
  <c r="K38" i="13" s="1"/>
  <c r="F38" i="13"/>
  <c r="J38" i="13" s="1"/>
  <c r="I36" i="13"/>
  <c r="K36" i="13" s="1"/>
  <c r="F36" i="13"/>
  <c r="J36" i="13" s="1"/>
  <c r="I34" i="13"/>
  <c r="K34" i="13" s="1"/>
  <c r="F34" i="13"/>
  <c r="J34" i="13" s="1"/>
  <c r="I32" i="13"/>
  <c r="K32" i="13" s="1"/>
  <c r="F32" i="13"/>
  <c r="J32" i="13" s="1"/>
  <c r="I30" i="13"/>
  <c r="K30" i="13" s="1"/>
  <c r="F30" i="13"/>
  <c r="J30" i="13" s="1"/>
  <c r="I28" i="13"/>
  <c r="K28" i="13" s="1"/>
  <c r="F28" i="13"/>
  <c r="J28" i="13" s="1"/>
  <c r="I26" i="13"/>
  <c r="K26" i="13" s="1"/>
  <c r="F26" i="13"/>
  <c r="J26" i="13" s="1"/>
  <c r="I24" i="13"/>
  <c r="K24" i="13" s="1"/>
  <c r="F24" i="13"/>
  <c r="J24" i="13" s="1"/>
  <c r="I22" i="13"/>
  <c r="K22" i="13" s="1"/>
  <c r="F22" i="13"/>
  <c r="J22" i="13" s="1"/>
  <c r="I20" i="13"/>
  <c r="K20" i="13" s="1"/>
  <c r="F20" i="13"/>
  <c r="J20" i="13" s="1"/>
  <c r="I18" i="13"/>
  <c r="K18" i="13" s="1"/>
  <c r="F18" i="13"/>
  <c r="J18" i="13" s="1"/>
  <c r="I16" i="13"/>
  <c r="K16" i="13" s="1"/>
  <c r="F16" i="13"/>
  <c r="J16" i="13" s="1"/>
  <c r="I14" i="13"/>
  <c r="K14" i="13" s="1"/>
  <c r="F14" i="13"/>
  <c r="J14" i="13" s="1"/>
  <c r="I12" i="13"/>
  <c r="K12" i="13" s="1"/>
  <c r="F12" i="13"/>
  <c r="J12" i="13" s="1"/>
  <c r="I10" i="13"/>
  <c r="K10" i="13" s="1"/>
  <c r="F10" i="13"/>
  <c r="J10" i="13" s="1"/>
  <c r="I8" i="13"/>
  <c r="K8" i="13" s="1"/>
  <c r="F8" i="13"/>
  <c r="J8" i="13" s="1"/>
  <c r="I6" i="13"/>
  <c r="K6" i="13" s="1"/>
  <c r="F6" i="13"/>
  <c r="J6" i="13" s="1"/>
  <c r="I4" i="13"/>
  <c r="K4" i="13" s="1"/>
  <c r="F4" i="13"/>
  <c r="J4" i="13" s="1"/>
  <c r="G4" i="5" l="1"/>
  <c r="H4" i="5" s="1"/>
  <c r="G5" i="5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J42" i="5" l="1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I12" i="5"/>
  <c r="J12" i="5" s="1"/>
  <c r="I11" i="5"/>
  <c r="J11" i="5" s="1"/>
  <c r="I10" i="5"/>
  <c r="J10" i="5" s="1"/>
  <c r="I9" i="5"/>
  <c r="J9" i="5" s="1"/>
  <c r="I8" i="5"/>
  <c r="J8" i="5" s="1"/>
  <c r="I7" i="5"/>
  <c r="J7" i="5" s="1"/>
  <c r="I6" i="5"/>
  <c r="J6" i="5" s="1"/>
  <c r="I5" i="5"/>
  <c r="J5" i="5" s="1"/>
  <c r="I4" i="5"/>
  <c r="J4" i="5" s="1"/>
  <c r="Z14" i="11"/>
  <c r="Z16" i="11"/>
  <c r="Z18" i="11"/>
  <c r="Z20" i="11"/>
  <c r="Z22" i="11"/>
  <c r="Z24" i="11"/>
  <c r="Z26" i="11"/>
  <c r="Z28" i="11"/>
  <c r="Z30" i="11"/>
  <c r="Z32" i="11"/>
  <c r="Z34" i="11"/>
  <c r="Z36" i="11"/>
  <c r="Z38" i="11"/>
  <c r="Z40" i="11"/>
  <c r="Z42" i="11"/>
  <c r="Z44" i="11"/>
  <c r="Z46" i="11"/>
  <c r="Z48" i="11"/>
  <c r="Z50" i="11"/>
  <c r="Z52" i="11"/>
  <c r="Z54" i="11"/>
  <c r="Z56" i="11"/>
  <c r="Z58" i="11"/>
  <c r="Z60" i="11"/>
  <c r="Z62" i="11"/>
  <c r="Z6" i="11"/>
  <c r="Z8" i="11"/>
  <c r="Z10" i="11"/>
  <c r="Z12" i="11"/>
  <c r="Z4" i="11"/>
  <c r="G28" i="12" l="1"/>
  <c r="L28" i="12" s="1"/>
  <c r="G30" i="12"/>
  <c r="G32" i="12"/>
  <c r="L32" i="12" s="1"/>
  <c r="G34" i="12"/>
  <c r="L34" i="12" s="1"/>
  <c r="G36" i="12"/>
  <c r="G38" i="12"/>
  <c r="G40" i="12"/>
  <c r="G42" i="12"/>
  <c r="L42" i="12" s="1"/>
  <c r="G44" i="12"/>
  <c r="G46" i="12"/>
  <c r="G48" i="12"/>
  <c r="L48" i="12" s="1"/>
  <c r="G50" i="12"/>
  <c r="L50" i="12" s="1"/>
  <c r="G52" i="12"/>
  <c r="L52" i="12" s="1"/>
  <c r="G54" i="12"/>
  <c r="G56" i="12"/>
  <c r="G58" i="12"/>
  <c r="L58" i="12" s="1"/>
  <c r="G60" i="12"/>
  <c r="G62" i="12"/>
  <c r="G8" i="12"/>
  <c r="G10" i="12"/>
  <c r="G12" i="12"/>
  <c r="G14" i="12"/>
  <c r="G16" i="12"/>
  <c r="G18" i="12"/>
  <c r="G20" i="12"/>
  <c r="L20" i="12" s="1"/>
  <c r="G22" i="12"/>
  <c r="G24" i="12"/>
  <c r="G26" i="12"/>
  <c r="L26" i="12" s="1"/>
  <c r="G6" i="12"/>
  <c r="L6" i="12" s="1"/>
  <c r="G4" i="12"/>
  <c r="R4" i="10"/>
  <c r="E56" i="12"/>
  <c r="E58" i="12"/>
  <c r="E60" i="12"/>
  <c r="E62" i="12"/>
  <c r="E54" i="12"/>
  <c r="F46" i="12"/>
  <c r="K46" i="12" s="1"/>
  <c r="F48" i="12"/>
  <c r="K48" i="12" s="1"/>
  <c r="F50" i="12"/>
  <c r="K50" i="12" s="1"/>
  <c r="F52" i="12"/>
  <c r="K52" i="12" s="1"/>
  <c r="F44" i="12"/>
  <c r="K44" i="12" s="1"/>
  <c r="E36" i="12"/>
  <c r="E38" i="12"/>
  <c r="E40" i="12"/>
  <c r="E42" i="12"/>
  <c r="E34" i="12"/>
  <c r="F26" i="12"/>
  <c r="K26" i="12" s="1"/>
  <c r="F28" i="12"/>
  <c r="K28" i="12" s="1"/>
  <c r="F30" i="12"/>
  <c r="K30" i="12" s="1"/>
  <c r="F32" i="12"/>
  <c r="K32" i="12" s="1"/>
  <c r="F24" i="12"/>
  <c r="K24" i="12" s="1"/>
  <c r="F62" i="12"/>
  <c r="K62" i="12" s="1"/>
  <c r="F60" i="12"/>
  <c r="K60" i="12" s="1"/>
  <c r="F58" i="12"/>
  <c r="K58" i="12" s="1"/>
  <c r="F56" i="12"/>
  <c r="K56" i="12" s="1"/>
  <c r="F54" i="12"/>
  <c r="K54" i="12" s="1"/>
  <c r="E52" i="12"/>
  <c r="E50" i="12"/>
  <c r="E48" i="12"/>
  <c r="E46" i="12"/>
  <c r="E44" i="12"/>
  <c r="F42" i="12"/>
  <c r="K42" i="12" s="1"/>
  <c r="F40" i="12"/>
  <c r="K40" i="12" s="1"/>
  <c r="F38" i="12"/>
  <c r="K38" i="12" s="1"/>
  <c r="F36" i="12"/>
  <c r="K36" i="12" s="1"/>
  <c r="F34" i="12"/>
  <c r="K34" i="12" s="1"/>
  <c r="E32" i="12"/>
  <c r="E30" i="12"/>
  <c r="E28" i="12"/>
  <c r="E26" i="12"/>
  <c r="E24" i="12"/>
  <c r="E14" i="12"/>
  <c r="F14" i="12"/>
  <c r="K14" i="12" s="1"/>
  <c r="E16" i="12"/>
  <c r="F16" i="12"/>
  <c r="K16" i="12" s="1"/>
  <c r="E18" i="12"/>
  <c r="F18" i="12"/>
  <c r="K18" i="12" s="1"/>
  <c r="E20" i="12"/>
  <c r="F20" i="12"/>
  <c r="K20" i="12" s="1"/>
  <c r="F22" i="12"/>
  <c r="K22" i="12" s="1"/>
  <c r="E22" i="12"/>
  <c r="E6" i="12"/>
  <c r="F6" i="12"/>
  <c r="K6" i="12" s="1"/>
  <c r="E8" i="12"/>
  <c r="F8" i="12"/>
  <c r="K8" i="12" s="1"/>
  <c r="E10" i="12"/>
  <c r="F10" i="12"/>
  <c r="K10" i="12" s="1"/>
  <c r="E12" i="12"/>
  <c r="F12" i="12"/>
  <c r="K12" i="12" s="1"/>
  <c r="F4" i="12"/>
  <c r="K4" i="12" s="1"/>
  <c r="L60" i="12" l="1"/>
  <c r="L44" i="12"/>
  <c r="L18" i="12"/>
  <c r="L10" i="12"/>
  <c r="L12" i="12"/>
  <c r="L36" i="12"/>
  <c r="L24" i="12"/>
  <c r="L16" i="12"/>
  <c r="L8" i="12"/>
  <c r="L56" i="12"/>
  <c r="L40" i="12"/>
  <c r="L22" i="12"/>
  <c r="L14" i="12"/>
  <c r="L62" i="12"/>
  <c r="L54" i="12"/>
  <c r="L46" i="12"/>
  <c r="M46" i="12" s="1"/>
  <c r="L38" i="12"/>
  <c r="L30" i="12"/>
  <c r="M24" i="12"/>
  <c r="L4" i="12"/>
  <c r="M8" i="12"/>
  <c r="M30" i="12"/>
  <c r="M50" i="12"/>
  <c r="M52" i="12"/>
  <c r="M58" i="12"/>
  <c r="M36" i="12"/>
  <c r="M28" i="12"/>
  <c r="Y6" i="11"/>
  <c r="Y8" i="11"/>
  <c r="Y10" i="11"/>
  <c r="Y12" i="11"/>
  <c r="Y14" i="11"/>
  <c r="Y16" i="11"/>
  <c r="Y18" i="11"/>
  <c r="Y20" i="11"/>
  <c r="Y22" i="11"/>
  <c r="Y24" i="11"/>
  <c r="Y26" i="11"/>
  <c r="Y28" i="11"/>
  <c r="Y30" i="11"/>
  <c r="Y32" i="11"/>
  <c r="Y34" i="11"/>
  <c r="Y36" i="11"/>
  <c r="Y38" i="11"/>
  <c r="Y40" i="11"/>
  <c r="Y42" i="11"/>
  <c r="Y44" i="11"/>
  <c r="Y46" i="11"/>
  <c r="Y48" i="11"/>
  <c r="Y50" i="11"/>
  <c r="Y52" i="11"/>
  <c r="Y54" i="11"/>
  <c r="Y56" i="11"/>
  <c r="Y58" i="11"/>
  <c r="Y60" i="11"/>
  <c r="Y62" i="11"/>
  <c r="Y4" i="11"/>
  <c r="M26" i="12" l="1"/>
  <c r="M38" i="12"/>
  <c r="M20" i="12"/>
  <c r="M10" i="12"/>
  <c r="M12" i="12"/>
  <c r="M6" i="12"/>
  <c r="M4" i="12"/>
  <c r="M62" i="12"/>
  <c r="M32" i="12"/>
  <c r="M34" i="12"/>
  <c r="M42" i="12"/>
  <c r="M16" i="12"/>
  <c r="M60" i="12"/>
  <c r="M18" i="12"/>
  <c r="M40" i="12"/>
  <c r="M22" i="12"/>
  <c r="M54" i="12"/>
  <c r="M44" i="12"/>
  <c r="M56" i="12"/>
  <c r="M48" i="12"/>
  <c r="M14" i="12"/>
  <c r="R62" i="11"/>
  <c r="Q62" i="11"/>
  <c r="L62" i="11"/>
  <c r="V62" i="11" s="1"/>
  <c r="Q60" i="11"/>
  <c r="L60" i="11"/>
  <c r="V60" i="11" s="1"/>
  <c r="R60" i="11"/>
  <c r="R58" i="11"/>
  <c r="Q58" i="11"/>
  <c r="L58" i="11"/>
  <c r="V58" i="11" s="1"/>
  <c r="R56" i="11"/>
  <c r="Q56" i="11"/>
  <c r="L56" i="11"/>
  <c r="V56" i="11" s="1"/>
  <c r="R54" i="11"/>
  <c r="Q54" i="11"/>
  <c r="L54" i="11"/>
  <c r="V54" i="11" s="1"/>
  <c r="R52" i="11"/>
  <c r="Q52" i="11"/>
  <c r="L52" i="11"/>
  <c r="V52" i="11" s="1"/>
  <c r="R50" i="11"/>
  <c r="Q50" i="11"/>
  <c r="L50" i="11"/>
  <c r="V50" i="11" s="1"/>
  <c r="R48" i="11"/>
  <c r="Q48" i="11"/>
  <c r="L48" i="11"/>
  <c r="R46" i="11"/>
  <c r="Q46" i="11"/>
  <c r="L46" i="11"/>
  <c r="V46" i="11" s="1"/>
  <c r="R44" i="11"/>
  <c r="Q44" i="11"/>
  <c r="L44" i="11"/>
  <c r="V44" i="11" s="1"/>
  <c r="R42" i="11"/>
  <c r="Q42" i="11"/>
  <c r="L42" i="11"/>
  <c r="V42" i="11" s="1"/>
  <c r="Q40" i="11"/>
  <c r="L40" i="11"/>
  <c r="V40" i="11" s="1"/>
  <c r="R38" i="11"/>
  <c r="Q38" i="11"/>
  <c r="L38" i="11"/>
  <c r="V38" i="11" s="1"/>
  <c r="Q36" i="11"/>
  <c r="L36" i="11"/>
  <c r="V36" i="11" s="1"/>
  <c r="R34" i="11"/>
  <c r="Q34" i="11"/>
  <c r="L34" i="11"/>
  <c r="V34" i="11" s="1"/>
  <c r="R32" i="11"/>
  <c r="Q32" i="11"/>
  <c r="L32" i="11"/>
  <c r="V32" i="11" s="1"/>
  <c r="R30" i="11"/>
  <c r="Q30" i="11"/>
  <c r="L30" i="11"/>
  <c r="V30" i="11" s="1"/>
  <c r="R28" i="11"/>
  <c r="Q28" i="11"/>
  <c r="L28" i="11"/>
  <c r="V28" i="11" s="1"/>
  <c r="R26" i="11"/>
  <c r="Q26" i="11"/>
  <c r="L26" i="11"/>
  <c r="V26" i="11" s="1"/>
  <c r="R24" i="11"/>
  <c r="Q24" i="11"/>
  <c r="L24" i="11"/>
  <c r="V24" i="11" s="1"/>
  <c r="R22" i="11"/>
  <c r="L22" i="11"/>
  <c r="V22" i="11" s="1"/>
  <c r="L20" i="11"/>
  <c r="V20" i="11" s="1"/>
  <c r="R18" i="11"/>
  <c r="L18" i="11"/>
  <c r="V18" i="11" s="1"/>
  <c r="L16" i="11"/>
  <c r="V16" i="11" s="1"/>
  <c r="R16" i="11"/>
  <c r="R14" i="11"/>
  <c r="L14" i="11"/>
  <c r="V14" i="11" s="1"/>
  <c r="R12" i="11"/>
  <c r="Q12" i="11"/>
  <c r="L12" i="11"/>
  <c r="V12" i="11" s="1"/>
  <c r="R10" i="11"/>
  <c r="Q10" i="11"/>
  <c r="L10" i="11"/>
  <c r="V10" i="11" s="1"/>
  <c r="R8" i="11"/>
  <c r="Q8" i="11"/>
  <c r="L8" i="11"/>
  <c r="V8" i="11" s="1"/>
  <c r="R6" i="11"/>
  <c r="Q6" i="11"/>
  <c r="L6" i="11"/>
  <c r="V6" i="11" s="1"/>
  <c r="R4" i="11"/>
  <c r="Q4" i="11"/>
  <c r="L4" i="11"/>
  <c r="V4" i="11" s="1"/>
  <c r="L6" i="10"/>
  <c r="L8" i="10"/>
  <c r="L10" i="10"/>
  <c r="L12" i="10"/>
  <c r="L14" i="10"/>
  <c r="L16" i="10"/>
  <c r="L18" i="10"/>
  <c r="L20" i="10"/>
  <c r="L22" i="10"/>
  <c r="L24" i="10"/>
  <c r="L26" i="10"/>
  <c r="L28" i="10"/>
  <c r="L30" i="10"/>
  <c r="L32" i="10"/>
  <c r="L34" i="10"/>
  <c r="L36" i="10"/>
  <c r="L38" i="10"/>
  <c r="L40" i="10"/>
  <c r="L42" i="10"/>
  <c r="L44" i="10"/>
  <c r="L46" i="10"/>
  <c r="L48" i="10"/>
  <c r="L50" i="10"/>
  <c r="L52" i="10"/>
  <c r="L54" i="10"/>
  <c r="L56" i="10"/>
  <c r="L58" i="10"/>
  <c r="L60" i="10"/>
  <c r="L62" i="10"/>
  <c r="L4" i="10"/>
  <c r="I46" i="12" l="1"/>
  <c r="H46" i="12"/>
  <c r="H6" i="12"/>
  <c r="I6" i="12"/>
  <c r="I60" i="12"/>
  <c r="H60" i="12"/>
  <c r="I52" i="12"/>
  <c r="H52" i="12"/>
  <c r="J52" i="12" s="1"/>
  <c r="N52" i="12" s="1"/>
  <c r="O52" i="12" s="1"/>
  <c r="P52" i="12" s="1"/>
  <c r="I44" i="12"/>
  <c r="H44" i="12"/>
  <c r="H36" i="12"/>
  <c r="I36" i="12"/>
  <c r="I28" i="12"/>
  <c r="H28" i="12"/>
  <c r="H20" i="12"/>
  <c r="I20" i="12"/>
  <c r="H12" i="12"/>
  <c r="I12" i="12"/>
  <c r="I62" i="12"/>
  <c r="H62" i="12"/>
  <c r="J62" i="12" s="1"/>
  <c r="N62" i="12" s="1"/>
  <c r="O62" i="12" s="1"/>
  <c r="P62" i="12" s="1"/>
  <c r="I38" i="12"/>
  <c r="H38" i="12"/>
  <c r="I22" i="12"/>
  <c r="H22" i="12"/>
  <c r="I58" i="12"/>
  <c r="H58" i="12"/>
  <c r="H50" i="12"/>
  <c r="I50" i="12"/>
  <c r="H42" i="12"/>
  <c r="I42" i="12"/>
  <c r="H34" i="12"/>
  <c r="I34" i="12"/>
  <c r="H26" i="12"/>
  <c r="I26" i="12"/>
  <c r="H18" i="12"/>
  <c r="I18" i="12"/>
  <c r="H10" i="12"/>
  <c r="I10" i="12"/>
  <c r="I54" i="12"/>
  <c r="H54" i="12"/>
  <c r="H30" i="12"/>
  <c r="I30" i="12"/>
  <c r="I14" i="12"/>
  <c r="H14" i="12"/>
  <c r="H4" i="12"/>
  <c r="I4" i="12"/>
  <c r="I56" i="12"/>
  <c r="H56" i="12"/>
  <c r="H48" i="12"/>
  <c r="I48" i="12"/>
  <c r="I40" i="12"/>
  <c r="H40" i="12"/>
  <c r="I32" i="12"/>
  <c r="H32" i="12"/>
  <c r="H24" i="12"/>
  <c r="I24" i="12"/>
  <c r="H16" i="12"/>
  <c r="I16" i="12"/>
  <c r="H8" i="12"/>
  <c r="I8" i="12"/>
  <c r="V48" i="11"/>
  <c r="R20" i="11"/>
  <c r="R36" i="11"/>
  <c r="R40" i="11"/>
  <c r="Q62" i="10"/>
  <c r="R62" i="10"/>
  <c r="Q60" i="10"/>
  <c r="F60" i="10"/>
  <c r="Q58" i="10"/>
  <c r="F58" i="10"/>
  <c r="Q56" i="10"/>
  <c r="R56" i="10"/>
  <c r="Q54" i="10"/>
  <c r="R54" i="10"/>
  <c r="Q52" i="10"/>
  <c r="R52" i="10"/>
  <c r="Q50" i="10"/>
  <c r="R50" i="10"/>
  <c r="Q48" i="10"/>
  <c r="R48" i="10"/>
  <c r="Q46" i="10"/>
  <c r="R46" i="10"/>
  <c r="Q44" i="10"/>
  <c r="R44" i="10"/>
  <c r="Q42" i="10"/>
  <c r="E42" i="10"/>
  <c r="Q40" i="10"/>
  <c r="E40" i="10"/>
  <c r="R40" i="10" s="1"/>
  <c r="Q38" i="10"/>
  <c r="E38" i="10"/>
  <c r="R38" i="10" s="1"/>
  <c r="Q36" i="10"/>
  <c r="E36" i="10"/>
  <c r="R36" i="10" s="1"/>
  <c r="Q34" i="10"/>
  <c r="E34" i="10"/>
  <c r="R34" i="10" s="1"/>
  <c r="Q32" i="10"/>
  <c r="R32" i="10"/>
  <c r="Q30" i="10"/>
  <c r="R30" i="10"/>
  <c r="Q28" i="10"/>
  <c r="R28" i="10"/>
  <c r="Q26" i="10"/>
  <c r="R26" i="10"/>
  <c r="Q24" i="10"/>
  <c r="R24" i="10"/>
  <c r="E22" i="10"/>
  <c r="R22" i="10" s="1"/>
  <c r="E20" i="10"/>
  <c r="R20" i="10" s="1"/>
  <c r="E18" i="10"/>
  <c r="E16" i="10"/>
  <c r="R16" i="10" s="1"/>
  <c r="E14" i="10"/>
  <c r="R14" i="10" s="1"/>
  <c r="Q12" i="10"/>
  <c r="R12" i="10"/>
  <c r="Q10" i="10"/>
  <c r="R10" i="10"/>
  <c r="Q8" i="10"/>
  <c r="R8" i="10"/>
  <c r="Q6" i="10"/>
  <c r="R6" i="10"/>
  <c r="Q4" i="10"/>
  <c r="I8" i="8"/>
  <c r="I10" i="8"/>
  <c r="I12" i="8"/>
  <c r="I14" i="8"/>
  <c r="I16" i="8"/>
  <c r="I18" i="8"/>
  <c r="I20" i="8"/>
  <c r="I22" i="8"/>
  <c r="I24" i="8"/>
  <c r="I26" i="8"/>
  <c r="I28" i="8"/>
  <c r="I30" i="8"/>
  <c r="I32" i="8"/>
  <c r="I34" i="8"/>
  <c r="I36" i="8"/>
  <c r="I38" i="8"/>
  <c r="I40" i="8"/>
  <c r="I42" i="8"/>
  <c r="I44" i="8"/>
  <c r="I46" i="8"/>
  <c r="I48" i="8"/>
  <c r="I50" i="8"/>
  <c r="I52" i="8"/>
  <c r="I54" i="8"/>
  <c r="I56" i="8"/>
  <c r="I58" i="8"/>
  <c r="I60" i="8"/>
  <c r="I62" i="8"/>
  <c r="I6" i="8"/>
  <c r="I6" i="7"/>
  <c r="I8" i="7"/>
  <c r="I10" i="7"/>
  <c r="I12" i="7"/>
  <c r="I14" i="7"/>
  <c r="I16" i="7"/>
  <c r="I18" i="7"/>
  <c r="I20" i="7"/>
  <c r="I22" i="7"/>
  <c r="I24" i="7"/>
  <c r="I26" i="7"/>
  <c r="I28" i="7"/>
  <c r="I30" i="7"/>
  <c r="I32" i="7"/>
  <c r="I34" i="7"/>
  <c r="I36" i="7"/>
  <c r="I38" i="7"/>
  <c r="I40" i="7"/>
  <c r="I42" i="7"/>
  <c r="I44" i="7"/>
  <c r="I46" i="7"/>
  <c r="I48" i="7"/>
  <c r="I50" i="7"/>
  <c r="I52" i="7"/>
  <c r="I54" i="7"/>
  <c r="I56" i="7"/>
  <c r="I58" i="7"/>
  <c r="I60" i="7"/>
  <c r="I62" i="7"/>
  <c r="K50" i="8"/>
  <c r="K48" i="8"/>
  <c r="K46" i="8"/>
  <c r="K44" i="8"/>
  <c r="K52" i="8"/>
  <c r="K32" i="8"/>
  <c r="K30" i="8"/>
  <c r="K28" i="8"/>
  <c r="K26" i="8"/>
  <c r="K24" i="8"/>
  <c r="L62" i="8"/>
  <c r="H62" i="8"/>
  <c r="L60" i="8"/>
  <c r="H60" i="8"/>
  <c r="L58" i="8"/>
  <c r="H58" i="8"/>
  <c r="L56" i="8"/>
  <c r="H56" i="8"/>
  <c r="L54" i="8"/>
  <c r="H54" i="8"/>
  <c r="L52" i="8"/>
  <c r="H52" i="8"/>
  <c r="L50" i="8"/>
  <c r="H50" i="8"/>
  <c r="L48" i="8"/>
  <c r="H48" i="8"/>
  <c r="L46" i="8"/>
  <c r="H46" i="8"/>
  <c r="L44" i="8"/>
  <c r="H44" i="8"/>
  <c r="L42" i="8"/>
  <c r="H42" i="8"/>
  <c r="L40" i="8"/>
  <c r="H40" i="8"/>
  <c r="L38" i="8"/>
  <c r="H38" i="8"/>
  <c r="L36" i="8"/>
  <c r="H36" i="8"/>
  <c r="L34" i="8"/>
  <c r="H34" i="8"/>
  <c r="L32" i="8"/>
  <c r="H32" i="8"/>
  <c r="L30" i="8"/>
  <c r="H30" i="8"/>
  <c r="L28" i="8"/>
  <c r="H28" i="8"/>
  <c r="L26" i="8"/>
  <c r="H26" i="8"/>
  <c r="L24" i="8"/>
  <c r="H24" i="8"/>
  <c r="L22" i="8"/>
  <c r="H22" i="8"/>
  <c r="L20" i="8"/>
  <c r="H20" i="8"/>
  <c r="L18" i="8"/>
  <c r="H18" i="8"/>
  <c r="L16" i="8"/>
  <c r="H16" i="8"/>
  <c r="L14" i="8"/>
  <c r="H14" i="8"/>
  <c r="L12" i="8"/>
  <c r="H12" i="8"/>
  <c r="L10" i="8"/>
  <c r="H10" i="8"/>
  <c r="L8" i="8"/>
  <c r="H8" i="8"/>
  <c r="L6" i="8"/>
  <c r="H6" i="8"/>
  <c r="L4" i="8"/>
  <c r="I4" i="8"/>
  <c r="H4" i="8"/>
  <c r="H24" i="7"/>
  <c r="H26" i="7"/>
  <c r="H28" i="7"/>
  <c r="H30" i="7"/>
  <c r="H32" i="7"/>
  <c r="H44" i="7"/>
  <c r="H46" i="7"/>
  <c r="H48" i="7"/>
  <c r="H50" i="7"/>
  <c r="H52" i="7"/>
  <c r="H54" i="7"/>
  <c r="H56" i="7"/>
  <c r="H62" i="7"/>
  <c r="H4" i="7"/>
  <c r="H6" i="7"/>
  <c r="H8" i="7"/>
  <c r="H10" i="7"/>
  <c r="H12" i="7"/>
  <c r="K62" i="7"/>
  <c r="K60" i="7"/>
  <c r="K58" i="7"/>
  <c r="K56" i="7"/>
  <c r="K54" i="7"/>
  <c r="K52" i="7"/>
  <c r="K50" i="7"/>
  <c r="K48" i="7"/>
  <c r="K46" i="7"/>
  <c r="K44" i="7"/>
  <c r="K42" i="7"/>
  <c r="K40" i="7"/>
  <c r="K38" i="7"/>
  <c r="K36" i="7"/>
  <c r="K34" i="7"/>
  <c r="K32" i="7"/>
  <c r="K30" i="7"/>
  <c r="K28" i="7"/>
  <c r="K26" i="7"/>
  <c r="K24" i="7"/>
  <c r="K12" i="7"/>
  <c r="K10" i="7"/>
  <c r="K8" i="7"/>
  <c r="K6" i="7"/>
  <c r="K4" i="7"/>
  <c r="L12" i="7"/>
  <c r="L10" i="7"/>
  <c r="L8" i="7"/>
  <c r="L6" i="7"/>
  <c r="I4" i="7"/>
  <c r="F60" i="7"/>
  <c r="H60" i="7" s="1"/>
  <c r="F58" i="7"/>
  <c r="H58" i="7" s="1"/>
  <c r="M62" i="10" l="1"/>
  <c r="N62" i="10" s="1"/>
  <c r="S62" i="10" s="1"/>
  <c r="M62" i="11"/>
  <c r="M52" i="10"/>
  <c r="N52" i="10" s="1"/>
  <c r="M52" i="11"/>
  <c r="J58" i="12"/>
  <c r="N58" i="12" s="1"/>
  <c r="O58" i="12" s="1"/>
  <c r="P58" i="12" s="1"/>
  <c r="J38" i="12"/>
  <c r="N38" i="12" s="1"/>
  <c r="O38" i="12" s="1"/>
  <c r="P38" i="12" s="1"/>
  <c r="J28" i="12"/>
  <c r="N28" i="12" s="1"/>
  <c r="O28" i="12" s="1"/>
  <c r="P28" i="12" s="1"/>
  <c r="J44" i="12"/>
  <c r="N44" i="12" s="1"/>
  <c r="O44" i="12" s="1"/>
  <c r="P44" i="12" s="1"/>
  <c r="J22" i="12"/>
  <c r="N22" i="12" s="1"/>
  <c r="O22" i="12" s="1"/>
  <c r="P22" i="12" s="1"/>
  <c r="J8" i="12"/>
  <c r="N8" i="12" s="1"/>
  <c r="O8" i="12" s="1"/>
  <c r="P8" i="12" s="1"/>
  <c r="J24" i="12"/>
  <c r="N24" i="12" s="1"/>
  <c r="O24" i="12" s="1"/>
  <c r="P24" i="12" s="1"/>
  <c r="J6" i="12"/>
  <c r="N6" i="12" s="1"/>
  <c r="O6" i="12" s="1"/>
  <c r="P6" i="12" s="1"/>
  <c r="J60" i="12"/>
  <c r="N60" i="12" s="1"/>
  <c r="O60" i="12" s="1"/>
  <c r="P60" i="12" s="1"/>
  <c r="J16" i="12"/>
  <c r="N16" i="12" s="1"/>
  <c r="O16" i="12" s="1"/>
  <c r="P16" i="12" s="1"/>
  <c r="J48" i="12"/>
  <c r="N48" i="12" s="1"/>
  <c r="O48" i="12" s="1"/>
  <c r="P48" i="12" s="1"/>
  <c r="J4" i="12"/>
  <c r="N4" i="12" s="1"/>
  <c r="O4" i="12" s="1"/>
  <c r="P4" i="12" s="1"/>
  <c r="M4" i="11" s="1"/>
  <c r="J30" i="12"/>
  <c r="N30" i="12" s="1"/>
  <c r="O30" i="12" s="1"/>
  <c r="P30" i="12" s="1"/>
  <c r="J40" i="12"/>
  <c r="N40" i="12" s="1"/>
  <c r="O40" i="12" s="1"/>
  <c r="P40" i="12" s="1"/>
  <c r="J56" i="12"/>
  <c r="N56" i="12" s="1"/>
  <c r="O56" i="12" s="1"/>
  <c r="P56" i="12" s="1"/>
  <c r="J14" i="12"/>
  <c r="N14" i="12" s="1"/>
  <c r="O14" i="12" s="1"/>
  <c r="P14" i="12" s="1"/>
  <c r="J54" i="12"/>
  <c r="N54" i="12" s="1"/>
  <c r="O54" i="12" s="1"/>
  <c r="P54" i="12" s="1"/>
  <c r="J10" i="12"/>
  <c r="N10" i="12" s="1"/>
  <c r="O10" i="12" s="1"/>
  <c r="P10" i="12" s="1"/>
  <c r="J26" i="12"/>
  <c r="N26" i="12" s="1"/>
  <c r="O26" i="12" s="1"/>
  <c r="P26" i="12" s="1"/>
  <c r="J42" i="12"/>
  <c r="N42" i="12" s="1"/>
  <c r="O42" i="12" s="1"/>
  <c r="P42" i="12" s="1"/>
  <c r="J12" i="12"/>
  <c r="N12" i="12" s="1"/>
  <c r="O12" i="12" s="1"/>
  <c r="P12" i="12" s="1"/>
  <c r="J46" i="12"/>
  <c r="N46" i="12" s="1"/>
  <c r="O46" i="12" s="1"/>
  <c r="P46" i="12" s="1"/>
  <c r="J32" i="12"/>
  <c r="N32" i="12" s="1"/>
  <c r="O32" i="12" s="1"/>
  <c r="P32" i="12" s="1"/>
  <c r="J18" i="12"/>
  <c r="N18" i="12" s="1"/>
  <c r="O18" i="12" s="1"/>
  <c r="P18" i="12" s="1"/>
  <c r="J34" i="12"/>
  <c r="N34" i="12" s="1"/>
  <c r="O34" i="12" s="1"/>
  <c r="P34" i="12" s="1"/>
  <c r="J50" i="12"/>
  <c r="N50" i="12" s="1"/>
  <c r="O50" i="12" s="1"/>
  <c r="P50" i="12" s="1"/>
  <c r="J20" i="12"/>
  <c r="N20" i="12" s="1"/>
  <c r="O20" i="12" s="1"/>
  <c r="P20" i="12" s="1"/>
  <c r="J36" i="12"/>
  <c r="N36" i="12" s="1"/>
  <c r="O36" i="12" s="1"/>
  <c r="P36" i="12" s="1"/>
  <c r="R42" i="10"/>
  <c r="R18" i="10"/>
  <c r="O62" i="10"/>
  <c r="R60" i="10"/>
  <c r="R58" i="10"/>
  <c r="M48" i="8"/>
  <c r="M16" i="8"/>
  <c r="N16" i="8" s="1"/>
  <c r="M20" i="8"/>
  <c r="M52" i="8"/>
  <c r="N52" i="8" s="1"/>
  <c r="N48" i="8"/>
  <c r="M24" i="8"/>
  <c r="N24" i="8" s="1"/>
  <c r="M26" i="8"/>
  <c r="N26" i="8" s="1"/>
  <c r="M28" i="8"/>
  <c r="N28" i="8" s="1"/>
  <c r="M30" i="8"/>
  <c r="N30" i="8" s="1"/>
  <c r="M32" i="8"/>
  <c r="M38" i="8"/>
  <c r="N38" i="8" s="1"/>
  <c r="M40" i="8"/>
  <c r="N40" i="8" s="1"/>
  <c r="M42" i="8"/>
  <c r="N42" i="8" s="1"/>
  <c r="M44" i="8"/>
  <c r="N44" i="8" s="1"/>
  <c r="M46" i="8"/>
  <c r="N46" i="8" s="1"/>
  <c r="M6" i="8"/>
  <c r="N6" i="8" s="1"/>
  <c r="M56" i="8"/>
  <c r="N56" i="8" s="1"/>
  <c r="M58" i="8"/>
  <c r="N58" i="8" s="1"/>
  <c r="M60" i="8"/>
  <c r="N60" i="8" s="1"/>
  <c r="M62" i="8"/>
  <c r="N62" i="8" s="1"/>
  <c r="M4" i="8"/>
  <c r="M8" i="8"/>
  <c r="M10" i="8"/>
  <c r="N10" i="8" s="1"/>
  <c r="M12" i="8"/>
  <c r="N12" i="8" s="1"/>
  <c r="N4" i="8"/>
  <c r="N8" i="8"/>
  <c r="N32" i="8"/>
  <c r="M14" i="8"/>
  <c r="N14" i="8" s="1"/>
  <c r="M18" i="8"/>
  <c r="N18" i="8" s="1"/>
  <c r="M22" i="8"/>
  <c r="N22" i="8" s="1"/>
  <c r="M36" i="8"/>
  <c r="N36" i="8" s="1"/>
  <c r="M50" i="8"/>
  <c r="N50" i="8" s="1"/>
  <c r="N20" i="8"/>
  <c r="M34" i="8"/>
  <c r="N34" i="8" s="1"/>
  <c r="M54" i="8"/>
  <c r="N54" i="8" s="1"/>
  <c r="O52" i="10" l="1"/>
  <c r="S52" i="10"/>
  <c r="N52" i="11"/>
  <c r="U52" i="11"/>
  <c r="W52" i="11" s="1"/>
  <c r="M50" i="10"/>
  <c r="N50" i="10" s="1"/>
  <c r="M50" i="11"/>
  <c r="M46" i="10"/>
  <c r="N46" i="10" s="1"/>
  <c r="M46" i="11"/>
  <c r="M48" i="10"/>
  <c r="N48" i="10" s="1"/>
  <c r="M48" i="11"/>
  <c r="M54" i="10"/>
  <c r="N54" i="10" s="1"/>
  <c r="M54" i="11"/>
  <c r="M60" i="10"/>
  <c r="N60" i="10" s="1"/>
  <c r="M60" i="11"/>
  <c r="M58" i="10"/>
  <c r="N58" i="10" s="1"/>
  <c r="M58" i="11"/>
  <c r="N62" i="11"/>
  <c r="U62" i="11"/>
  <c r="W62" i="11" s="1"/>
  <c r="M56" i="10"/>
  <c r="N56" i="10" s="1"/>
  <c r="M56" i="11"/>
  <c r="M36" i="10"/>
  <c r="N36" i="10" s="1"/>
  <c r="M36" i="11"/>
  <c r="M42" i="10"/>
  <c r="N42" i="10" s="1"/>
  <c r="M42" i="11"/>
  <c r="M32" i="10"/>
  <c r="N32" i="10" s="1"/>
  <c r="M32" i="11"/>
  <c r="M26" i="10"/>
  <c r="N26" i="10" s="1"/>
  <c r="M26" i="11"/>
  <c r="M24" i="10"/>
  <c r="N24" i="10" s="1"/>
  <c r="M24" i="11"/>
  <c r="M44" i="10"/>
  <c r="N44" i="10" s="1"/>
  <c r="M44" i="11"/>
  <c r="M40" i="10"/>
  <c r="N40" i="10" s="1"/>
  <c r="M40" i="11"/>
  <c r="M28" i="10"/>
  <c r="N28" i="10" s="1"/>
  <c r="M28" i="11"/>
  <c r="M34" i="10"/>
  <c r="N34" i="10" s="1"/>
  <c r="M34" i="11"/>
  <c r="M30" i="10"/>
  <c r="N30" i="10" s="1"/>
  <c r="M30" i="11"/>
  <c r="M38" i="10"/>
  <c r="N38" i="10" s="1"/>
  <c r="M38" i="11"/>
  <c r="M22" i="10"/>
  <c r="N22" i="10" s="1"/>
  <c r="M22" i="11"/>
  <c r="M20" i="10"/>
  <c r="N20" i="10" s="1"/>
  <c r="M20" i="11"/>
  <c r="M18" i="10"/>
  <c r="N18" i="10" s="1"/>
  <c r="M18" i="11"/>
  <c r="M16" i="10"/>
  <c r="N16" i="10" s="1"/>
  <c r="M16" i="11"/>
  <c r="M14" i="10"/>
  <c r="N14" i="10" s="1"/>
  <c r="M14" i="11"/>
  <c r="M12" i="10"/>
  <c r="N12" i="10" s="1"/>
  <c r="M12" i="11"/>
  <c r="M8" i="10"/>
  <c r="N8" i="10" s="1"/>
  <c r="M8" i="11"/>
  <c r="M10" i="10"/>
  <c r="N10" i="10" s="1"/>
  <c r="M10" i="11"/>
  <c r="M6" i="10"/>
  <c r="N6" i="10" s="1"/>
  <c r="M6" i="11"/>
  <c r="N4" i="11"/>
  <c r="U4" i="11"/>
  <c r="W4" i="11" s="1"/>
  <c r="M4" i="10"/>
  <c r="N4" i="10" s="1"/>
  <c r="S4" i="10" s="1"/>
  <c r="L46" i="7"/>
  <c r="L48" i="7"/>
  <c r="L50" i="7"/>
  <c r="L52" i="7"/>
  <c r="L54" i="7"/>
  <c r="L56" i="7"/>
  <c r="L58" i="7"/>
  <c r="L60" i="7"/>
  <c r="L62" i="7"/>
  <c r="L44" i="7"/>
  <c r="L26" i="7"/>
  <c r="L28" i="7"/>
  <c r="L30" i="7"/>
  <c r="L32" i="7"/>
  <c r="L34" i="7"/>
  <c r="L36" i="7"/>
  <c r="L38" i="7"/>
  <c r="L40" i="7"/>
  <c r="L42" i="7"/>
  <c r="L24" i="7"/>
  <c r="L14" i="7"/>
  <c r="L16" i="7"/>
  <c r="L18" i="7"/>
  <c r="L20" i="7"/>
  <c r="L22" i="7"/>
  <c r="L4" i="7"/>
  <c r="M4" i="7" s="1"/>
  <c r="M62" i="7"/>
  <c r="N62" i="7" s="1"/>
  <c r="M60" i="7"/>
  <c r="M56" i="7"/>
  <c r="N56" i="7" s="1"/>
  <c r="M54" i="7"/>
  <c r="N54" i="7" s="1"/>
  <c r="M52" i="7"/>
  <c r="M48" i="7"/>
  <c r="N48" i="7" s="1"/>
  <c r="M46" i="7"/>
  <c r="N46" i="7" s="1"/>
  <c r="M40" i="7"/>
  <c r="N40" i="7" s="1"/>
  <c r="M38" i="7"/>
  <c r="M36" i="7"/>
  <c r="M32" i="7"/>
  <c r="N32" i="7" s="1"/>
  <c r="M30" i="7"/>
  <c r="N30" i="7" s="1"/>
  <c r="M28" i="7"/>
  <c r="N28" i="7" s="1"/>
  <c r="M22" i="7"/>
  <c r="M20" i="7"/>
  <c r="M16" i="7"/>
  <c r="M14" i="7"/>
  <c r="N14" i="7" s="1"/>
  <c r="M12" i="7"/>
  <c r="N12" i="7" s="1"/>
  <c r="M10" i="7"/>
  <c r="N10" i="7" s="1"/>
  <c r="M8" i="7"/>
  <c r="N8" i="7" s="1"/>
  <c r="M6" i="7"/>
  <c r="N6" i="7" s="1"/>
  <c r="E42" i="7"/>
  <c r="H42" i="7" s="1"/>
  <c r="E40" i="7"/>
  <c r="H40" i="7" s="1"/>
  <c r="E38" i="7"/>
  <c r="H38" i="7" s="1"/>
  <c r="E36" i="7"/>
  <c r="H36" i="7" s="1"/>
  <c r="E34" i="7"/>
  <c r="H34" i="7" s="1"/>
  <c r="E20" i="7"/>
  <c r="H20" i="7" s="1"/>
  <c r="E18" i="7"/>
  <c r="H18" i="7" s="1"/>
  <c r="E22" i="7"/>
  <c r="H22" i="7" s="1"/>
  <c r="E16" i="7"/>
  <c r="H16" i="7" s="1"/>
  <c r="E14" i="7"/>
  <c r="H14" i="7" s="1"/>
  <c r="O6" i="10" l="1"/>
  <c r="S6" i="10"/>
  <c r="O8" i="10"/>
  <c r="S8" i="10"/>
  <c r="O14" i="10"/>
  <c r="S14" i="10"/>
  <c r="O18" i="10"/>
  <c r="S18" i="10"/>
  <c r="O22" i="10"/>
  <c r="S22" i="10"/>
  <c r="O30" i="10"/>
  <c r="S30" i="10"/>
  <c r="O28" i="10"/>
  <c r="S28" i="10"/>
  <c r="O44" i="10"/>
  <c r="S44" i="10"/>
  <c r="O26" i="10"/>
  <c r="S26" i="10"/>
  <c r="O42" i="10"/>
  <c r="S42" i="10"/>
  <c r="O56" i="10"/>
  <c r="S56" i="10"/>
  <c r="O58" i="10"/>
  <c r="S58" i="10"/>
  <c r="O54" i="10"/>
  <c r="S54" i="10"/>
  <c r="O46" i="10"/>
  <c r="S46" i="10"/>
  <c r="O10" i="10"/>
  <c r="S10" i="10"/>
  <c r="O12" i="10"/>
  <c r="S12" i="10"/>
  <c r="O16" i="10"/>
  <c r="S16" i="10"/>
  <c r="O20" i="10"/>
  <c r="S20" i="10"/>
  <c r="O38" i="10"/>
  <c r="S38" i="10"/>
  <c r="O34" i="10"/>
  <c r="S34" i="10"/>
  <c r="O40" i="10"/>
  <c r="S40" i="10"/>
  <c r="O24" i="10"/>
  <c r="S24" i="10"/>
  <c r="O32" i="10"/>
  <c r="S32" i="10"/>
  <c r="O36" i="10"/>
  <c r="S36" i="10"/>
  <c r="O60" i="10"/>
  <c r="S60" i="10"/>
  <c r="O48" i="10"/>
  <c r="S48" i="10"/>
  <c r="O50" i="10"/>
  <c r="S50" i="10"/>
  <c r="O62" i="11"/>
  <c r="S62" i="11"/>
  <c r="O52" i="11"/>
  <c r="S52" i="11"/>
  <c r="O4" i="11"/>
  <c r="S4" i="11"/>
  <c r="N60" i="11"/>
  <c r="U60" i="11"/>
  <c r="W60" i="11" s="1"/>
  <c r="N48" i="11"/>
  <c r="U48" i="11"/>
  <c r="W48" i="11" s="1"/>
  <c r="N50" i="11"/>
  <c r="U50" i="11"/>
  <c r="W50" i="11" s="1"/>
  <c r="U56" i="11"/>
  <c r="W56" i="11" s="1"/>
  <c r="N56" i="11"/>
  <c r="N58" i="11"/>
  <c r="U58" i="11"/>
  <c r="W58" i="11" s="1"/>
  <c r="N54" i="11"/>
  <c r="U54" i="11"/>
  <c r="W54" i="11" s="1"/>
  <c r="N46" i="11"/>
  <c r="U46" i="11"/>
  <c r="W46" i="11" s="1"/>
  <c r="N38" i="11"/>
  <c r="U38" i="11"/>
  <c r="W38" i="11" s="1"/>
  <c r="N34" i="11"/>
  <c r="U34" i="11"/>
  <c r="W34" i="11" s="1"/>
  <c r="N40" i="11"/>
  <c r="U40" i="11"/>
  <c r="W40" i="11" s="1"/>
  <c r="N24" i="11"/>
  <c r="U24" i="11"/>
  <c r="W24" i="11" s="1"/>
  <c r="N32" i="11"/>
  <c r="U32" i="11"/>
  <c r="W32" i="11" s="1"/>
  <c r="N36" i="11"/>
  <c r="U36" i="11"/>
  <c r="W36" i="11" s="1"/>
  <c r="N30" i="11"/>
  <c r="U30" i="11"/>
  <c r="W30" i="11" s="1"/>
  <c r="N28" i="11"/>
  <c r="U28" i="11"/>
  <c r="W28" i="11" s="1"/>
  <c r="N44" i="11"/>
  <c r="U44" i="11"/>
  <c r="W44" i="11" s="1"/>
  <c r="N26" i="11"/>
  <c r="U26" i="11"/>
  <c r="W26" i="11" s="1"/>
  <c r="N42" i="11"/>
  <c r="U42" i="11"/>
  <c r="W42" i="11" s="1"/>
  <c r="N22" i="11"/>
  <c r="U22" i="11"/>
  <c r="W22" i="11" s="1"/>
  <c r="N20" i="11"/>
  <c r="U20" i="11"/>
  <c r="W20" i="11" s="1"/>
  <c r="N18" i="11"/>
  <c r="U18" i="11"/>
  <c r="W18" i="11" s="1"/>
  <c r="N14" i="11"/>
  <c r="U14" i="11"/>
  <c r="W14" i="11" s="1"/>
  <c r="N12" i="11"/>
  <c r="U12" i="11"/>
  <c r="W12" i="11" s="1"/>
  <c r="U16" i="11"/>
  <c r="W16" i="11" s="1"/>
  <c r="N16" i="11"/>
  <c r="N10" i="11"/>
  <c r="U10" i="11"/>
  <c r="W10" i="11" s="1"/>
  <c r="N8" i="11"/>
  <c r="U8" i="11"/>
  <c r="W8" i="11" s="1"/>
  <c r="N6" i="11"/>
  <c r="U6" i="11"/>
  <c r="W6" i="11" s="1"/>
  <c r="N20" i="7"/>
  <c r="N38" i="7"/>
  <c r="N16" i="7"/>
  <c r="M24" i="7"/>
  <c r="N24" i="7" s="1"/>
  <c r="N22" i="7"/>
  <c r="M18" i="7"/>
  <c r="N18" i="7" s="1"/>
  <c r="M26" i="7"/>
  <c r="N26" i="7" s="1"/>
  <c r="M34" i="7"/>
  <c r="N34" i="7" s="1"/>
  <c r="M42" i="7"/>
  <c r="N42" i="7" s="1"/>
  <c r="M50" i="7"/>
  <c r="N50" i="7" s="1"/>
  <c r="M58" i="7"/>
  <c r="N58" i="7" s="1"/>
  <c r="N36" i="7"/>
  <c r="M44" i="7"/>
  <c r="N44" i="7" s="1"/>
  <c r="N52" i="7"/>
  <c r="N60" i="7"/>
  <c r="N4" i="7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3" i="5"/>
  <c r="H3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O6" i="11" l="1"/>
  <c r="S6" i="11"/>
  <c r="O10" i="11"/>
  <c r="S10" i="11"/>
  <c r="O12" i="11"/>
  <c r="S12" i="11"/>
  <c r="O18" i="11"/>
  <c r="S18" i="11"/>
  <c r="O22" i="11"/>
  <c r="S22" i="11"/>
  <c r="O26" i="11"/>
  <c r="S26" i="11"/>
  <c r="O28" i="11"/>
  <c r="S28" i="11"/>
  <c r="O36" i="11"/>
  <c r="S36" i="11"/>
  <c r="O24" i="11"/>
  <c r="S24" i="11"/>
  <c r="O34" i="11"/>
  <c r="S34" i="11"/>
  <c r="O46" i="11"/>
  <c r="S46" i="11"/>
  <c r="O58" i="11"/>
  <c r="S58" i="11"/>
  <c r="O50" i="11"/>
  <c r="S50" i="11"/>
  <c r="O60" i="11"/>
  <c r="S60" i="11"/>
  <c r="O16" i="11"/>
  <c r="S16" i="11"/>
  <c r="O56" i="11"/>
  <c r="S56" i="11"/>
  <c r="O8" i="11"/>
  <c r="S8" i="11"/>
  <c r="O14" i="11"/>
  <c r="S14" i="11"/>
  <c r="O20" i="11"/>
  <c r="S20" i="11"/>
  <c r="O42" i="11"/>
  <c r="S42" i="11"/>
  <c r="O44" i="11"/>
  <c r="S44" i="11"/>
  <c r="O30" i="11"/>
  <c r="S30" i="11"/>
  <c r="O32" i="11"/>
  <c r="S32" i="11"/>
  <c r="O40" i="11"/>
  <c r="S40" i="11"/>
  <c r="O38" i="11"/>
  <c r="S38" i="11"/>
  <c r="O54" i="11"/>
  <c r="S54" i="11"/>
  <c r="O48" i="11"/>
  <c r="S48" i="11"/>
  <c r="I3" i="5"/>
  <c r="J3" i="5" s="1"/>
  <c r="N3" i="5" s="1"/>
  <c r="N40" i="5"/>
  <c r="N34" i="5"/>
  <c r="N33" i="5"/>
  <c r="N32" i="5"/>
  <c r="N28" i="5"/>
  <c r="N26" i="5"/>
  <c r="N24" i="5"/>
  <c r="N13" i="5"/>
  <c r="N19" i="5"/>
  <c r="N29" i="5"/>
  <c r="N41" i="5"/>
  <c r="N35" i="5"/>
  <c r="N31" i="5"/>
  <c r="N25" i="5"/>
  <c r="N22" i="5"/>
  <c r="N14" i="5"/>
  <c r="N30" i="5"/>
  <c r="N42" i="5"/>
  <c r="N38" i="5"/>
  <c r="N36" i="5"/>
  <c r="N39" i="5"/>
  <c r="N37" i="5"/>
  <c r="N27" i="5"/>
  <c r="N23" i="5"/>
  <c r="N8" i="5"/>
  <c r="N15" i="5"/>
  <c r="N20" i="5"/>
  <c r="N16" i="5"/>
  <c r="N18" i="5"/>
  <c r="N21" i="5"/>
  <c r="N17" i="5"/>
  <c r="N5" i="5"/>
  <c r="N6" i="5"/>
  <c r="N7" i="5"/>
  <c r="N9" i="5"/>
  <c r="N10" i="5"/>
  <c r="N11" i="5"/>
  <c r="N12" i="5"/>
  <c r="N4" i="5"/>
  <c r="F22" i="3" l="1"/>
  <c r="F10" i="3"/>
  <c r="I40" i="3"/>
  <c r="F40" i="3"/>
  <c r="I62" i="3" l="1"/>
  <c r="F62" i="3"/>
  <c r="I60" i="3"/>
  <c r="F60" i="3"/>
  <c r="I58" i="3"/>
  <c r="F58" i="3"/>
  <c r="I56" i="3"/>
  <c r="F56" i="3"/>
  <c r="I54" i="3"/>
  <c r="F54" i="3"/>
  <c r="I52" i="3"/>
  <c r="F52" i="3"/>
  <c r="K52" i="3" s="1"/>
  <c r="I50" i="3"/>
  <c r="F50" i="3"/>
  <c r="I48" i="3"/>
  <c r="F48" i="3"/>
  <c r="K48" i="3" s="1"/>
  <c r="I46" i="3"/>
  <c r="F46" i="3"/>
  <c r="I44" i="3"/>
  <c r="F44" i="3"/>
  <c r="K44" i="3" s="1"/>
  <c r="I42" i="3"/>
  <c r="F42" i="3"/>
  <c r="K42" i="3" s="1"/>
  <c r="K40" i="3"/>
  <c r="I38" i="3"/>
  <c r="F38" i="3"/>
  <c r="I36" i="3"/>
  <c r="F36" i="3"/>
  <c r="I34" i="3"/>
  <c r="F34" i="3"/>
  <c r="I32" i="3"/>
  <c r="F32" i="3"/>
  <c r="K32" i="3" s="1"/>
  <c r="I30" i="3"/>
  <c r="F30" i="3"/>
  <c r="I28" i="3"/>
  <c r="F28" i="3"/>
  <c r="K28" i="3" s="1"/>
  <c r="I26" i="3"/>
  <c r="F26" i="3"/>
  <c r="I24" i="3"/>
  <c r="F24" i="3"/>
  <c r="K24" i="3" s="1"/>
  <c r="I22" i="3"/>
  <c r="I20" i="3"/>
  <c r="F20" i="3"/>
  <c r="I18" i="3"/>
  <c r="F18" i="3"/>
  <c r="I16" i="3"/>
  <c r="F16" i="3"/>
  <c r="I14" i="3"/>
  <c r="F14" i="3"/>
  <c r="I12" i="3"/>
  <c r="F12" i="3"/>
  <c r="K12" i="3" s="1"/>
  <c r="I10" i="3"/>
  <c r="K10" i="3"/>
  <c r="I8" i="3"/>
  <c r="F8" i="3"/>
  <c r="K8" i="3" s="1"/>
  <c r="I6" i="3"/>
  <c r="F6" i="3"/>
  <c r="K6" i="3" s="1"/>
  <c r="I4" i="3"/>
  <c r="F4" i="3"/>
  <c r="J4" i="3" s="1"/>
  <c r="K36" i="3" l="1"/>
  <c r="K26" i="3"/>
  <c r="K30" i="3"/>
  <c r="K34" i="3"/>
  <c r="K38" i="3"/>
  <c r="K4" i="3"/>
  <c r="K62" i="3"/>
  <c r="K60" i="3"/>
  <c r="K58" i="3"/>
  <c r="K56" i="3"/>
  <c r="K54" i="3"/>
  <c r="K50" i="3"/>
  <c r="K46" i="3"/>
  <c r="K18" i="3"/>
  <c r="K20" i="3"/>
  <c r="K22" i="3"/>
  <c r="K16" i="3"/>
  <c r="K14" i="3"/>
  <c r="J6" i="3"/>
  <c r="J8" i="3"/>
  <c r="J10" i="3"/>
  <c r="J12" i="3"/>
  <c r="J14" i="3"/>
  <c r="J16" i="3"/>
  <c r="J18" i="3"/>
  <c r="J20" i="3"/>
  <c r="J22" i="3"/>
  <c r="J24" i="3"/>
  <c r="J26" i="3"/>
  <c r="J28" i="3"/>
  <c r="J30" i="3"/>
  <c r="J32" i="3"/>
  <c r="J34" i="3"/>
  <c r="J36" i="3"/>
  <c r="J38" i="3"/>
  <c r="J40" i="3"/>
  <c r="J42" i="3"/>
  <c r="J44" i="3"/>
  <c r="J46" i="3"/>
  <c r="J48" i="3"/>
  <c r="J50" i="3"/>
  <c r="J52" i="3"/>
  <c r="J54" i="3"/>
  <c r="J56" i="3"/>
  <c r="J58" i="3"/>
  <c r="J60" i="3"/>
  <c r="J62" i="3"/>
  <c r="O4" i="10"/>
</calcChain>
</file>

<file path=xl/sharedStrings.xml><?xml version="1.0" encoding="utf-8"?>
<sst xmlns="http://schemas.openxmlformats.org/spreadsheetml/2006/main" count="1117" uniqueCount="122">
  <si>
    <t>Frame</t>
  </si>
  <si>
    <t>Text</t>
  </si>
  <si>
    <t>KN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</si>
  <si>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</si>
  <si>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</si>
  <si>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</si>
  <si>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</si>
  <si>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</si>
  <si>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</si>
  <si>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</si>
  <si>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</si>
  <si>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</si>
  <si>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</si>
  <si>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</si>
  <si>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</si>
  <si>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</si>
  <si>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</si>
  <si>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</si>
  <si>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37</t>
  </si>
  <si>
    <t>38</t>
  </si>
  <si>
    <t>39</t>
  </si>
  <si>
    <t>40</t>
  </si>
  <si>
    <t>41</t>
  </si>
  <si>
    <t>KNm</t>
  </si>
  <si>
    <t>PRIMO PIANO</t>
  </si>
  <si>
    <t>SECONDO PIANO</t>
  </si>
  <si>
    <t>TERZO PIANO</t>
  </si>
  <si>
    <t>DIREZIONE Y</t>
  </si>
  <si>
    <t>Mc</t>
  </si>
  <si>
    <t>Verifica</t>
  </si>
  <si>
    <t>DIREZIONE X</t>
  </si>
  <si>
    <t>Joint</t>
  </si>
  <si>
    <t>F3</t>
  </si>
  <si>
    <t>42</t>
  </si>
  <si>
    <t>27</t>
  </si>
  <si>
    <t>47</t>
  </si>
  <si>
    <t>43</t>
  </si>
  <si>
    <t>29</t>
  </si>
  <si>
    <t>48</t>
  </si>
  <si>
    <t>44</t>
  </si>
  <si>
    <t>31</t>
  </si>
  <si>
    <t>49</t>
  </si>
  <si>
    <t>45</t>
  </si>
  <si>
    <t>33</t>
  </si>
  <si>
    <t>50</t>
  </si>
  <si>
    <t>46</t>
  </si>
  <si>
    <t>35</t>
  </si>
  <si>
    <t>51</t>
  </si>
  <si>
    <t>36</t>
  </si>
  <si>
    <t>52</t>
  </si>
  <si>
    <t>53</t>
  </si>
  <si>
    <t>54</t>
  </si>
  <si>
    <t>55</t>
  </si>
  <si>
    <t>56</t>
  </si>
  <si>
    <t>16</t>
  </si>
  <si>
    <t>17</t>
  </si>
  <si>
    <t>18</t>
  </si>
  <si>
    <t>19</t>
  </si>
  <si>
    <t>20</t>
  </si>
  <si>
    <t>73</t>
  </si>
  <si>
    <t>74</t>
  </si>
  <si>
    <t>75</t>
  </si>
  <si>
    <t>76</t>
  </si>
  <si>
    <t>77</t>
  </si>
  <si>
    <t>Zona critica</t>
  </si>
  <si>
    <t>mm</t>
  </si>
  <si>
    <t>PIANO 1</t>
  </si>
  <si>
    <t>PIANO 2</t>
  </si>
  <si>
    <t>PIANO 3</t>
  </si>
  <si>
    <t>PIANO 4</t>
  </si>
  <si>
    <t>-</t>
  </si>
  <si>
    <t>Pil.</t>
  </si>
  <si>
    <t>mm^2</t>
  </si>
  <si>
    <t>bj</t>
  </si>
  <si>
    <t>hjc</t>
  </si>
  <si>
    <t>$N_{ED}_{min}$</t>
  </si>
  <si>
    <t>s (passo)</t>
  </si>
  <si>
    <r>
      <t>σ</t>
    </r>
    <r>
      <rPr>
        <b/>
        <sz val="7.7"/>
        <color theme="1"/>
        <rFont val="Calibri"/>
        <family val="2"/>
      </rPr>
      <t>l,x</t>
    </r>
  </si>
  <si>
    <r>
      <t>σ</t>
    </r>
    <r>
      <rPr>
        <b/>
        <sz val="7.7"/>
        <color theme="1"/>
        <rFont val="Calibri"/>
        <family val="2"/>
      </rPr>
      <t>l,y</t>
    </r>
  </si>
  <si>
    <r>
      <t>b</t>
    </r>
    <r>
      <rPr>
        <b/>
        <sz val="7.7"/>
        <color theme="1"/>
        <rFont val="Calibri"/>
        <family val="2"/>
      </rPr>
      <t>x</t>
    </r>
  </si>
  <si>
    <r>
      <t>b</t>
    </r>
    <r>
      <rPr>
        <b/>
        <sz val="7.7"/>
        <color theme="1"/>
        <rFont val="Calibri"/>
        <family val="2"/>
      </rPr>
      <t>y</t>
    </r>
  </si>
  <si>
    <r>
      <t>σ</t>
    </r>
    <r>
      <rPr>
        <b/>
        <sz val="7.7"/>
        <color theme="1"/>
        <rFont val="Calibri"/>
        <family val="2"/>
      </rPr>
      <t>l</t>
    </r>
  </si>
  <si>
    <r>
      <rPr>
        <b/>
        <sz val="11"/>
        <color theme="1"/>
        <rFont val="Calibri"/>
        <family val="2"/>
      </rPr>
      <t>α</t>
    </r>
    <r>
      <rPr>
        <b/>
        <sz val="7.7"/>
        <color theme="1"/>
        <rFont val="Calibri"/>
        <family val="2"/>
      </rPr>
      <t>n</t>
    </r>
  </si>
  <si>
    <t>αs</t>
  </si>
  <si>
    <t>α</t>
  </si>
  <si>
    <t>σ2</t>
  </si>
  <si>
    <t>s</t>
  </si>
  <si>
    <t>fck,c</t>
  </si>
  <si>
    <t>N/mm^2</t>
  </si>
  <si>
    <t>fck</t>
  </si>
  <si>
    <t>fcd,c</t>
  </si>
  <si>
    <t>nb</t>
  </si>
  <si>
    <r>
      <rPr>
        <b/>
        <sz val="11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C,Rd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</si>
  <si>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b,sx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</si>
  <si>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b,dx</t>
    </r>
  </si>
  <si>
    <r>
      <rPr>
        <b/>
        <sz val="11"/>
        <color theme="1"/>
        <rFont val="Calibri"/>
        <family val="2"/>
      </rPr>
      <t>∑</t>
    </r>
    <r>
      <rPr>
        <b/>
        <sz val="11"/>
        <color theme="1"/>
        <rFont val="Calibri"/>
        <family val="2"/>
        <scheme val="minor"/>
      </rPr>
      <t>M</t>
    </r>
    <r>
      <rPr>
        <b/>
        <vertAlign val="subscript"/>
        <sz val="11"/>
        <color theme="1"/>
        <rFont val="Calibri"/>
        <family val="2"/>
        <scheme val="minor"/>
      </rPr>
      <t>b,Rd</t>
    </r>
  </si>
  <si>
    <t>1.3∑Mb,Rd&lt;∑MC,Rd</t>
  </si>
  <si>
    <t>φ</t>
  </si>
  <si>
    <r>
      <t>cot(</t>
    </r>
    <r>
      <rPr>
        <sz val="11"/>
        <color theme="1"/>
        <rFont val="Calibri"/>
        <family val="2"/>
      </rPr>
      <t>θ)</t>
    </r>
  </si>
  <si>
    <r>
      <t>V</t>
    </r>
    <r>
      <rPr>
        <vertAlign val="subscript"/>
        <sz val="11"/>
        <color theme="1"/>
        <rFont val="Calibri"/>
        <family val="2"/>
        <scheme val="minor"/>
      </rPr>
      <t>R,sd</t>
    </r>
  </si>
  <si>
    <r>
      <t>V</t>
    </r>
    <r>
      <rPr>
        <vertAlign val="subscript"/>
        <sz val="11"/>
        <color theme="1"/>
        <rFont val="Calibri"/>
        <family val="2"/>
        <scheme val="minor"/>
      </rPr>
      <t>R,cd</t>
    </r>
  </si>
  <si>
    <r>
      <t>V</t>
    </r>
    <r>
      <rPr>
        <vertAlign val="subscript"/>
        <sz val="11"/>
        <color theme="1"/>
        <rFont val="Calibri"/>
        <family val="2"/>
        <scheme val="minor"/>
      </rPr>
      <t>R,d</t>
    </r>
  </si>
  <si>
    <r>
      <t>N</t>
    </r>
    <r>
      <rPr>
        <vertAlign val="subscript"/>
        <sz val="11"/>
        <color theme="1"/>
        <rFont val="Calibri"/>
        <family val="2"/>
        <scheme val="minor"/>
      </rPr>
      <t>E,d</t>
    </r>
  </si>
  <si>
    <r>
      <t>M</t>
    </r>
    <r>
      <rPr>
        <vertAlign val="subscript"/>
        <sz val="11"/>
        <color theme="1"/>
        <rFont val="Calibri"/>
        <family val="2"/>
        <scheme val="minor"/>
      </rPr>
      <t>C,Rd</t>
    </r>
  </si>
  <si>
    <r>
      <t>V</t>
    </r>
    <r>
      <rPr>
        <vertAlign val="subscript"/>
        <sz val="11"/>
        <color theme="1"/>
        <rFont val="Calibri"/>
        <family val="2"/>
        <scheme val="minor"/>
      </rPr>
      <t>Ed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</si>
  <si>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ED</t>
    </r>
  </si>
  <si>
    <r>
      <t>As,</t>
    </r>
    <r>
      <rPr>
        <b/>
        <vertAlign val="subscript"/>
        <sz val="11"/>
        <color theme="1"/>
        <rFont val="Calibri"/>
        <family val="2"/>
        <scheme val="minor"/>
      </rPr>
      <t>sup</t>
    </r>
  </si>
  <si>
    <r>
      <t>As</t>
    </r>
    <r>
      <rPr>
        <b/>
        <vertAlign val="subscript"/>
        <sz val="11"/>
        <color theme="1"/>
        <rFont val="Calibri"/>
        <family val="2"/>
        <scheme val="minor"/>
      </rPr>
      <t>inf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</si>
  <si>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ED,sup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</si>
  <si>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jbd</t>
    </r>
  </si>
  <si>
    <t>η</t>
  </si>
  <si>
    <t>ν</t>
  </si>
  <si>
    <r>
      <t>V</t>
    </r>
    <r>
      <rPr>
        <b/>
        <vertAlign val="subscript"/>
        <sz val="11"/>
        <color theme="1"/>
        <rFont val="Calibri"/>
        <family val="2"/>
        <scheme val="minor"/>
      </rPr>
      <t>Rd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</si>
  <si>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ED,min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</si>
  <si>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s,sup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</si>
  <si>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s,inf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</si>
  <si>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>nodo</t>
    </r>
  </si>
  <si>
    <r>
      <t>n</t>
    </r>
    <r>
      <rPr>
        <b/>
        <vertAlign val="subscript"/>
        <sz val="11"/>
        <color theme="1"/>
        <rFont val="Calibri"/>
        <family val="2"/>
        <scheme val="minor"/>
      </rPr>
      <t>bracci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</si>
  <si>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sh</t>
    </r>
  </si>
  <si>
    <t>Domanda</t>
  </si>
  <si>
    <t>D/C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</si>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</sst>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</font>
    <font>
      <b/>
      <sz val="7.7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3FF5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1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/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 textRotation="255" wrapText="1"/>
    </xf>
    <xf numFmtId="49" fontId="0" fillId="0" borderId="3" xfId="0" applyNumberFormat="1" applyBorder="1" applyAlignment="1">
      <alignment horizontal="center" vertical="center" textRotation="255" wrapText="1"/>
    </xf>
    <xf numFmtId="49" fontId="0" fillId="5" borderId="3" xfId="0" applyNumberFormat="1" applyFill="1" applyBorder="1" applyAlignment="1">
      <alignment horizontal="center" vertical="center" textRotation="255" wrapText="1"/>
    </xf>
    <xf numFmtId="49" fontId="2" fillId="2" borderId="13" xfId="0" applyNumberFormat="1" applyFont="1" applyFill="1" applyBorder="1" applyAlignment="1">
      <alignment horizontal="center"/>
    </xf>
    <xf numFmtId="49" fontId="2" fillId="2" borderId="14" xfId="0" applyNumberFormat="1" applyFont="1" applyFill="1" applyBorder="1" applyAlignment="1">
      <alignment horizontal="center"/>
    </xf>
    <xf numFmtId="49" fontId="2" fillId="2" borderId="19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49" fontId="2" fillId="2" borderId="8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textRotation="255" wrapText="1"/>
    </xf>
    <xf numFmtId="49" fontId="0" fillId="0" borderId="1" xfId="0" applyNumberFormat="1" applyBorder="1" applyAlignment="1">
      <alignment horizontal="center" vertical="center" textRotation="255" wrapText="1"/>
    </xf>
    <xf numFmtId="49" fontId="3" fillId="5" borderId="1" xfId="0" applyNumberFormat="1" applyFont="1" applyFill="1" applyBorder="1" applyAlignment="1">
      <alignment horizontal="center" vertical="center" textRotation="255" wrapText="1"/>
    </xf>
    <xf numFmtId="49" fontId="0" fillId="8" borderId="1" xfId="0" applyNumberFormat="1" applyFill="1" applyBorder="1" applyAlignment="1">
      <alignment horizontal="center" vertical="center" textRotation="255" wrapText="1"/>
    </xf>
    <xf numFmtId="2" fontId="0" fillId="0" borderId="5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1" fontId="0" fillId="0" borderId="18" xfId="0" applyNumberFormat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1" fillId="3" borderId="18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49" fontId="2" fillId="2" borderId="26" xfId="0" applyNumberFormat="1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2" fillId="2" borderId="27" xfId="0" applyNumberFormat="1" applyFont="1" applyFill="1" applyBorder="1" applyAlignment="1">
      <alignment horizontal="center"/>
    </xf>
    <xf numFmtId="49" fontId="2" fillId="2" borderId="21" xfId="0" applyNumberFormat="1" applyFont="1" applyFill="1" applyBorder="1" applyAlignment="1">
      <alignment horizontal="center"/>
    </xf>
  </cellXfs>
  <cellStyles count="1">
    <cellStyle name="Normale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43FF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455039</xdr:colOff>
      <xdr:row>18</xdr:row>
      <xdr:rowOff>173498</xdr:rowOff>
    </xdr:from>
    <xdr:to>
      <xdr:col>20</xdr:col>
      <xdr:colOff>37620</xdr:colOff>
      <xdr:row>33</xdr:row>
      <xdr:rowOff>99465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337BA83-04AE-419D-8869-B5C7B17F3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4589" y="3812048"/>
          <a:ext cx="4459381" cy="2783467"/>
        </a:xfrm>
        <a:prstGeom prst="rect">
          <a:avLst/>
        </a:prstGeom>
      </xdr:spPr>
    </xdr:pic>
    <xdr:clientData/>
  </xdr:twoCellAnchor>
  <xdr:twoCellAnchor editAs="oneCell">
    <xdr:from>
      <xdr:col>12</xdr:col>
      <xdr:colOff>421821</xdr:colOff>
      <xdr:row>3</xdr:row>
      <xdr:rowOff>6085</xdr:rowOff>
    </xdr:from>
    <xdr:to>
      <xdr:col>20</xdr:col>
      <xdr:colOff>68035</xdr:colOff>
      <xdr:row>19</xdr:row>
      <xdr:rowOff>122162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8F8F219-2954-4847-B838-357C338F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1371" y="787135"/>
          <a:ext cx="4523014" cy="3164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455039</xdr:colOff>
      <xdr:row>18</xdr:row>
      <xdr:rowOff>173498</xdr:rowOff>
    </xdr:from>
    <xdr:to>
      <xdr:col>20</xdr:col>
      <xdr:colOff>37620</xdr:colOff>
      <xdr:row>33</xdr:row>
      <xdr:rowOff>99465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BA95C7-906C-4881-949F-A17297C1F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6614" y="3831098"/>
          <a:ext cx="4459381" cy="2770020"/>
        </a:xfrm>
        <a:prstGeom prst="rect">
          <a:avLst/>
        </a:prstGeom>
      </xdr:spPr>
    </xdr:pic>
    <xdr:clientData/>
  </xdr:twoCellAnchor>
  <xdr:twoCellAnchor editAs="oneCell">
    <xdr:from>
      <xdr:col>12</xdr:col>
      <xdr:colOff>421821</xdr:colOff>
      <xdr:row>3</xdr:row>
      <xdr:rowOff>6085</xdr:rowOff>
    </xdr:from>
    <xdr:to>
      <xdr:col>20</xdr:col>
      <xdr:colOff>68035</xdr:colOff>
      <xdr:row>19</xdr:row>
      <xdr:rowOff>122162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5D61542-9F3F-4857-93BD-6AB8AE569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3396" y="739510"/>
          <a:ext cx="4523014" cy="31506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448234</xdr:colOff>
      <xdr:row>17</xdr:row>
      <xdr:rowOff>184705</xdr:rowOff>
    </xdr:from>
    <xdr:to>
      <xdr:col>28</xdr:col>
      <xdr:colOff>30816</xdr:colOff>
      <xdr:row>32</xdr:row>
      <xdr:rowOff>32231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B0430D16-37F6-489F-8C0B-D7B1EC39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56884" y="3632755"/>
          <a:ext cx="4459382" cy="2771701"/>
        </a:xfrm>
        <a:prstGeom prst="rect">
          <a:avLst/>
        </a:prstGeom>
      </xdr:spPr>
    </xdr:pic>
    <xdr:clientData/>
  </xdr:twoCellAnchor>
  <xdr:twoCellAnchor editAs="oneCell">
    <xdr:from>
      <xdr:col>20</xdr:col>
      <xdr:colOff>268940</xdr:colOff>
      <xdr:row>2</xdr:row>
      <xdr:rowOff>50908</xdr:rowOff>
    </xdr:from>
    <xdr:to>
      <xdr:col>27</xdr:col>
      <xdr:colOff>520273</xdr:colOff>
      <xdr:row>18</xdr:row>
      <xdr:rowOff>88543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B2C0609-1077-4CCE-8FD1-90429DA11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7590" y="574783"/>
          <a:ext cx="4518533" cy="31523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448234</xdr:colOff>
      <xdr:row>17</xdr:row>
      <xdr:rowOff>184705</xdr:rowOff>
    </xdr:from>
    <xdr:to>
      <xdr:col>29</xdr:col>
      <xdr:colOff>30815</xdr:colOff>
      <xdr:row>32</xdr:row>
      <xdr:rowOff>127481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A5D7063-9411-4CEA-99CD-B8838AF8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4322" y="3669734"/>
          <a:ext cx="4423522" cy="2783467"/>
        </a:xfrm>
        <a:prstGeom prst="rect">
          <a:avLst/>
        </a:prstGeom>
      </xdr:spPr>
    </xdr:pic>
    <xdr:clientData/>
  </xdr:twoCellAnchor>
  <xdr:twoCellAnchor editAs="oneCell">
    <xdr:from>
      <xdr:col>21</xdr:col>
      <xdr:colOff>268940</xdr:colOff>
      <xdr:row>2</xdr:row>
      <xdr:rowOff>50908</xdr:rowOff>
    </xdr:from>
    <xdr:to>
      <xdr:col>28</xdr:col>
      <xdr:colOff>520271</xdr:colOff>
      <xdr:row>18</xdr:row>
      <xdr:rowOff>183793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1BF2A8C-98C1-44C4-B051-0703372FB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15028" y="588790"/>
          <a:ext cx="4487155" cy="31640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448234</xdr:colOff>
      <xdr:row>17</xdr:row>
      <xdr:rowOff>184705</xdr:rowOff>
    </xdr:from>
    <xdr:to>
      <xdr:col>30</xdr:col>
      <xdr:colOff>30817</xdr:colOff>
      <xdr:row>32</xdr:row>
      <xdr:rowOff>153458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1353E48-FF2D-491A-8C38-0410B9204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64359" y="3632755"/>
          <a:ext cx="4459381" cy="2771701"/>
        </a:xfrm>
        <a:prstGeom prst="rect">
          <a:avLst/>
        </a:prstGeom>
      </xdr:spPr>
    </xdr:pic>
    <xdr:clientData/>
  </xdr:twoCellAnchor>
  <xdr:twoCellAnchor editAs="oneCell">
    <xdr:from>
      <xdr:col>22</xdr:col>
      <xdr:colOff>268940</xdr:colOff>
      <xdr:row>2</xdr:row>
      <xdr:rowOff>50908</xdr:rowOff>
    </xdr:from>
    <xdr:to>
      <xdr:col>29</xdr:col>
      <xdr:colOff>520274</xdr:colOff>
      <xdr:row>19</xdr:row>
      <xdr:rowOff>19271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9621FBA-19E1-4678-9F52-6645B856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85065" y="574783"/>
          <a:ext cx="4518531" cy="31523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33617</xdr:colOff>
      <xdr:row>3</xdr:row>
      <xdr:rowOff>11206</xdr:rowOff>
    </xdr:from>
    <xdr:to>
      <xdr:col>22</xdr:col>
      <xdr:colOff>221315</xdr:colOff>
      <xdr:row>17</xdr:row>
      <xdr:rowOff>144481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8A69745-67DB-448D-9DCD-CBA546B60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8999" y="750794"/>
          <a:ext cx="4423522" cy="2783467"/>
        </a:xfrm>
        <a:prstGeom prst="rect">
          <a:avLst/>
        </a:prstGeom>
      </xdr:spPr>
    </xdr:pic>
    <xdr:clientData/>
  </xdr:twoCellAnchor>
  <xdr:twoCellAnchor editAs="oneCell">
    <xdr:from>
      <xdr:col>14</xdr:col>
      <xdr:colOff>560293</xdr:colOff>
      <xdr:row>17</xdr:row>
      <xdr:rowOff>50909</xdr:rowOff>
    </xdr:from>
    <xdr:to>
      <xdr:col>22</xdr:col>
      <xdr:colOff>206507</xdr:colOff>
      <xdr:row>33</xdr:row>
      <xdr:rowOff>186196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15B87452-A782-4402-AA84-3BA35DB5A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0558" y="3547144"/>
          <a:ext cx="4487155" cy="31640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448234</xdr:colOff>
      <xdr:row>17</xdr:row>
      <xdr:rowOff>184705</xdr:rowOff>
    </xdr:from>
    <xdr:to>
      <xdr:col>33</xdr:col>
      <xdr:colOff>30815</xdr:colOff>
      <xdr:row>32</xdr:row>
      <xdr:rowOff>153458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722B805-5C56-43B3-BC35-5F26A25D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55784" y="3632755"/>
          <a:ext cx="4459382" cy="2771701"/>
        </a:xfrm>
        <a:prstGeom prst="rect">
          <a:avLst/>
        </a:prstGeom>
      </xdr:spPr>
    </xdr:pic>
    <xdr:clientData/>
  </xdr:twoCellAnchor>
  <xdr:twoCellAnchor editAs="oneCell">
    <xdr:from>
      <xdr:col>25</xdr:col>
      <xdr:colOff>268940</xdr:colOff>
      <xdr:row>2</xdr:row>
      <xdr:rowOff>50908</xdr:rowOff>
    </xdr:from>
    <xdr:to>
      <xdr:col>32</xdr:col>
      <xdr:colOff>520272</xdr:colOff>
      <xdr:row>19</xdr:row>
      <xdr:rowOff>19271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72867A29-7C16-45FE-A623-F9CE38175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6490" y="574783"/>
          <a:ext cx="4518533" cy="3152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795F-23C6-4E65-A003-6E566424886E}">
  <sheetPr>
    <pageSetUpPr fitToPage="1"/>
  </sheetPr>
  <dimension ref="A1:K196"/>
  <sheetViews>
    <sheetView zoomScaleNormal="100" workbookViewId="0">
      <pane ySplit="3" topLeftCell="A51" activePane="bottomLeft" state="frozen"/>
      <selection pane="bottomLeft" sqref="A1:K63"/>
    </sheetView>
  </sheetViews>
  <sheetFormatPr defaultRowHeight="15" x14ac:dyDescent="0.25"/>
  <cols>
    <col min="1" max="1" width="5.85546875" style="32" customWidth="1"/>
    <col min="2" max="3" width="9.140625" style="44" customWidth="1"/>
    <col min="4" max="4" width="9.28515625" style="44" customWidth="1"/>
    <col min="5" max="5" width="10.140625" style="44" customWidth="1"/>
    <col min="6" max="6" width="9.85546875" style="36" customWidth="1"/>
    <col min="7" max="7" width="8.140625" style="36" customWidth="1"/>
    <col min="8" max="8" width="10" style="36" customWidth="1"/>
    <col min="9" max="9" width="9.85546875" style="36" customWidth="1"/>
    <col min="10" max="10" width="19.5703125" style="36" customWidth="1"/>
    <col min="11" max="11" width="10.85546875" style="36" customWidth="1"/>
    <col min="12" max="16384" width="9.140625" style="36"/>
  </cols>
  <sheetData>
    <row r="1" spans="1:11" ht="27" thickBot="1" x14ac:dyDescent="0.45">
      <c r="B1" s="64" t="s">
        <v>30</v>
      </c>
      <c r="C1" s="65"/>
      <c r="D1" s="65"/>
      <c r="E1" s="65"/>
      <c r="F1" s="65"/>
      <c r="G1" s="65"/>
      <c r="H1" s="65"/>
      <c r="I1" s="65"/>
      <c r="J1" s="65"/>
      <c r="K1" s="66"/>
    </row>
    <row r="2" spans="1:11" ht="18.75" thickBot="1" x14ac:dyDescent="0.4">
      <c r="B2" s="17" t="s">
        <v>0</v>
      </c>
      <c r="C2" s="17" t="s">
        <v>31</v>
      </c>
      <c r="D2" s="18" t="s">
        <v>32</v>
      </c>
      <c r="E2" s="4" t="s">
        <v>28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29</v>
      </c>
      <c r="K2" s="5" t="s">
        <v>120</v>
      </c>
    </row>
    <row r="3" spans="1:11" ht="15.75" thickBot="1" x14ac:dyDescent="0.3">
      <c r="B3" s="19" t="s">
        <v>1</v>
      </c>
      <c r="C3" s="19" t="s">
        <v>1</v>
      </c>
      <c r="D3" s="20" t="s">
        <v>2</v>
      </c>
      <c r="E3" s="6" t="s">
        <v>23</v>
      </c>
      <c r="F3" s="5" t="s">
        <v>23</v>
      </c>
      <c r="G3" s="5" t="s">
        <v>23</v>
      </c>
      <c r="H3" s="5" t="s">
        <v>23</v>
      </c>
      <c r="I3" s="5" t="s">
        <v>23</v>
      </c>
      <c r="J3" s="5" t="s">
        <v>96</v>
      </c>
      <c r="K3" s="5" t="s">
        <v>70</v>
      </c>
    </row>
    <row r="4" spans="1:11" ht="15" customHeight="1" x14ac:dyDescent="0.25">
      <c r="A4" s="61" t="s">
        <v>24</v>
      </c>
      <c r="B4" s="45" t="s">
        <v>3</v>
      </c>
      <c r="C4" s="45" t="s">
        <v>4</v>
      </c>
      <c r="D4" s="7">
        <v>40.210999999999999</v>
      </c>
      <c r="E4" s="42">
        <v>263.3</v>
      </c>
      <c r="F4" s="57">
        <f>SUM(E4:E5)</f>
        <v>500.6</v>
      </c>
      <c r="G4" s="53">
        <v>0</v>
      </c>
      <c r="H4" s="55">
        <v>203</v>
      </c>
      <c r="I4" s="57">
        <f>SUM(G4:H5)</f>
        <v>203</v>
      </c>
      <c r="J4" s="57" t="str">
        <f>IF(F4&gt;1.3*I4,"OK","NO")</f>
        <v>OK</v>
      </c>
      <c r="K4" s="59">
        <f>1.3*I4/F4</f>
        <v>0.52716739912105481</v>
      </c>
    </row>
    <row r="5" spans="1:11" x14ac:dyDescent="0.25">
      <c r="A5" s="61"/>
      <c r="B5" s="45" t="s">
        <v>8</v>
      </c>
      <c r="C5" s="45" t="s">
        <v>4</v>
      </c>
      <c r="D5" s="7">
        <v>54.19</v>
      </c>
      <c r="E5" s="41">
        <v>237.3</v>
      </c>
      <c r="F5" s="58"/>
      <c r="G5" s="54"/>
      <c r="H5" s="56"/>
      <c r="I5" s="58"/>
      <c r="J5" s="58"/>
      <c r="K5" s="60"/>
    </row>
    <row r="6" spans="1:11" x14ac:dyDescent="0.25">
      <c r="A6" s="61"/>
      <c r="B6" s="45" t="s">
        <v>4</v>
      </c>
      <c r="C6" s="45" t="s">
        <v>6</v>
      </c>
      <c r="D6" s="7">
        <v>248.76</v>
      </c>
      <c r="E6" s="41">
        <v>293.3</v>
      </c>
      <c r="F6" s="58">
        <f>SUM(E6:E7)</f>
        <v>547.79999999999995</v>
      </c>
      <c r="G6" s="58">
        <v>183</v>
      </c>
      <c r="H6" s="56">
        <v>183</v>
      </c>
      <c r="I6" s="57">
        <f t="shared" ref="I6" si="0">SUM(G6:H7)</f>
        <v>366</v>
      </c>
      <c r="J6" s="58" t="str">
        <f>IF(F6&gt;1.3*I6,"OK","NO")</f>
        <v>OK</v>
      </c>
      <c r="K6" s="60">
        <f t="shared" ref="K6" si="1">1.3*I6/F6</f>
        <v>0.8685651697699891</v>
      </c>
    </row>
    <row r="7" spans="1:11" x14ac:dyDescent="0.25">
      <c r="A7" s="61"/>
      <c r="B7" s="45" t="s">
        <v>9</v>
      </c>
      <c r="C7" s="45" t="s">
        <v>6</v>
      </c>
      <c r="D7" s="7">
        <v>201.35</v>
      </c>
      <c r="E7" s="41">
        <v>254.5</v>
      </c>
      <c r="F7" s="58"/>
      <c r="G7" s="58"/>
      <c r="H7" s="56"/>
      <c r="I7" s="58"/>
      <c r="J7" s="58"/>
      <c r="K7" s="60"/>
    </row>
    <row r="8" spans="1:11" x14ac:dyDescent="0.25">
      <c r="A8" s="61"/>
      <c r="B8" s="45" t="s">
        <v>5</v>
      </c>
      <c r="C8" s="45" t="s">
        <v>8</v>
      </c>
      <c r="D8" s="7">
        <v>306.07100000000003</v>
      </c>
      <c r="E8" s="41">
        <v>300.3</v>
      </c>
      <c r="F8" s="58">
        <f>SUM(E8:E9)</f>
        <v>559.40000000000009</v>
      </c>
      <c r="G8" s="58">
        <v>183</v>
      </c>
      <c r="H8" s="56">
        <v>145</v>
      </c>
      <c r="I8" s="57">
        <f t="shared" ref="I8" si="2">SUM(G8:H9)</f>
        <v>328</v>
      </c>
      <c r="J8" s="58" t="str">
        <f>IF(F8&gt;1.3*I8,"OK","NO")</f>
        <v>OK</v>
      </c>
      <c r="K8" s="60">
        <f t="shared" ref="K8" si="3">1.3*I8/F8</f>
        <v>0.76224526278155158</v>
      </c>
    </row>
    <row r="9" spans="1:11" x14ac:dyDescent="0.25">
      <c r="A9" s="61"/>
      <c r="B9" s="45" t="s">
        <v>10</v>
      </c>
      <c r="C9" s="45" t="s">
        <v>8</v>
      </c>
      <c r="D9" s="7">
        <v>244.739</v>
      </c>
      <c r="E9" s="41">
        <v>259.10000000000002</v>
      </c>
      <c r="F9" s="58"/>
      <c r="G9" s="58"/>
      <c r="H9" s="56"/>
      <c r="I9" s="58"/>
      <c r="J9" s="58"/>
      <c r="K9" s="60"/>
    </row>
    <row r="10" spans="1:11" x14ac:dyDescent="0.25">
      <c r="A10" s="61"/>
      <c r="B10" s="45" t="s">
        <v>6</v>
      </c>
      <c r="C10" s="45" t="s">
        <v>10</v>
      </c>
      <c r="D10" s="7">
        <v>275.85599999999999</v>
      </c>
      <c r="E10" s="41">
        <v>296.7</v>
      </c>
      <c r="F10" s="58">
        <f>SUM(E10:E11)</f>
        <v>553.70000000000005</v>
      </c>
      <c r="G10" s="58">
        <v>203</v>
      </c>
      <c r="H10" s="56">
        <v>145</v>
      </c>
      <c r="I10" s="57">
        <f t="shared" ref="I10" si="4">SUM(G10:H11)</f>
        <v>348</v>
      </c>
      <c r="J10" s="58" t="str">
        <f>IF(F10&gt;1.3*I10,"OK","NO")</f>
        <v>OK</v>
      </c>
      <c r="K10" s="60">
        <f t="shared" ref="K10" si="5">1.3*I10/F10</f>
        <v>0.81704894347119383</v>
      </c>
    </row>
    <row r="11" spans="1:11" x14ac:dyDescent="0.25">
      <c r="A11" s="61"/>
      <c r="B11" s="45" t="s">
        <v>11</v>
      </c>
      <c r="C11" s="45" t="s">
        <v>10</v>
      </c>
      <c r="D11" s="7">
        <v>224.60499999999999</v>
      </c>
      <c r="E11" s="41">
        <v>257</v>
      </c>
      <c r="F11" s="58"/>
      <c r="G11" s="58"/>
      <c r="H11" s="56"/>
      <c r="I11" s="58"/>
      <c r="J11" s="58"/>
      <c r="K11" s="60"/>
    </row>
    <row r="12" spans="1:11" x14ac:dyDescent="0.25">
      <c r="A12" s="61"/>
      <c r="B12" s="45" t="s">
        <v>7</v>
      </c>
      <c r="C12" s="45" t="s">
        <v>12</v>
      </c>
      <c r="D12" s="7">
        <v>37.24</v>
      </c>
      <c r="E12" s="41">
        <v>262.7</v>
      </c>
      <c r="F12" s="58">
        <f>SUM(E12:E13)</f>
        <v>499.79999999999995</v>
      </c>
      <c r="G12" s="54">
        <v>203</v>
      </c>
      <c r="H12" s="56">
        <v>0</v>
      </c>
      <c r="I12" s="57">
        <f t="shared" ref="I12" si="6">SUM(G12:H13)</f>
        <v>203</v>
      </c>
      <c r="J12" s="58" t="str">
        <f>IF(F12&gt;1.3*I12,"OK","NO")</f>
        <v>OK</v>
      </c>
      <c r="K12" s="60">
        <f t="shared" ref="K12" si="7">1.3*I12/F12</f>
        <v>0.52801120448179284</v>
      </c>
    </row>
    <row r="13" spans="1:11" x14ac:dyDescent="0.25">
      <c r="A13" s="61"/>
      <c r="B13" s="45" t="s">
        <v>12</v>
      </c>
      <c r="C13" s="45" t="s">
        <v>12</v>
      </c>
      <c r="D13" s="7">
        <v>53.018999999999998</v>
      </c>
      <c r="E13" s="41">
        <v>237.1</v>
      </c>
      <c r="F13" s="58"/>
      <c r="G13" s="54"/>
      <c r="H13" s="56"/>
      <c r="I13" s="58"/>
      <c r="J13" s="58"/>
      <c r="K13" s="60"/>
    </row>
    <row r="14" spans="1:11" x14ac:dyDescent="0.25">
      <c r="A14" s="61"/>
      <c r="B14" s="45" t="s">
        <v>33</v>
      </c>
      <c r="C14" s="45" t="s">
        <v>34</v>
      </c>
      <c r="D14" s="7">
        <v>447.00900000000001</v>
      </c>
      <c r="E14" s="41">
        <v>171.3</v>
      </c>
      <c r="F14" s="58">
        <f>SUM(E14:E15)</f>
        <v>331.1</v>
      </c>
      <c r="G14" s="54">
        <v>0</v>
      </c>
      <c r="H14" s="54">
        <v>48</v>
      </c>
      <c r="I14" s="57">
        <f t="shared" ref="I14" si="8">SUM(G14:H15)</f>
        <v>48</v>
      </c>
      <c r="J14" s="58" t="str">
        <f>IF(F14&gt;1.3*I14,"OK","NO")</f>
        <v>OK</v>
      </c>
      <c r="K14" s="60">
        <f t="shared" ref="K14" si="9">1.3*I14/F14</f>
        <v>0.18846270009060706</v>
      </c>
    </row>
    <row r="15" spans="1:11" x14ac:dyDescent="0.25">
      <c r="A15" s="61"/>
      <c r="B15" s="45" t="s">
        <v>35</v>
      </c>
      <c r="C15" s="45" t="s">
        <v>34</v>
      </c>
      <c r="D15" s="7">
        <v>335.93200000000002</v>
      </c>
      <c r="E15" s="41">
        <v>159.80000000000001</v>
      </c>
      <c r="F15" s="58"/>
      <c r="G15" s="54"/>
      <c r="H15" s="54"/>
      <c r="I15" s="58"/>
      <c r="J15" s="58"/>
      <c r="K15" s="60"/>
    </row>
    <row r="16" spans="1:11" x14ac:dyDescent="0.25">
      <c r="A16" s="61"/>
      <c r="B16" s="45" t="s">
        <v>36</v>
      </c>
      <c r="C16" s="45" t="s">
        <v>37</v>
      </c>
      <c r="D16" s="7">
        <v>650.36500000000001</v>
      </c>
      <c r="E16" s="41">
        <v>182.6</v>
      </c>
      <c r="F16" s="58">
        <f>SUM(E16:E17)</f>
        <v>354.4</v>
      </c>
      <c r="G16" s="54">
        <v>48</v>
      </c>
      <c r="H16" s="54">
        <v>48</v>
      </c>
      <c r="I16" s="57">
        <f t="shared" ref="I16" si="10">SUM(G16:H17)</f>
        <v>96</v>
      </c>
      <c r="J16" s="58" t="str">
        <f>IF(F16&gt;1.3*I16,"OK","NO")</f>
        <v>OK</v>
      </c>
      <c r="K16" s="60">
        <f t="shared" ref="K16" si="11">1.3*I16/F16</f>
        <v>0.3521444695259594</v>
      </c>
    </row>
    <row r="17" spans="1:11" x14ac:dyDescent="0.25">
      <c r="A17" s="61"/>
      <c r="B17" s="45" t="s">
        <v>38</v>
      </c>
      <c r="C17" s="45" t="s">
        <v>37</v>
      </c>
      <c r="D17" s="7">
        <v>494.517</v>
      </c>
      <c r="E17" s="41">
        <v>171.8</v>
      </c>
      <c r="F17" s="58"/>
      <c r="G17" s="54"/>
      <c r="H17" s="54"/>
      <c r="I17" s="58"/>
      <c r="J17" s="58"/>
      <c r="K17" s="60"/>
    </row>
    <row r="18" spans="1:11" x14ac:dyDescent="0.25">
      <c r="A18" s="61"/>
      <c r="B18" s="45" t="s">
        <v>39</v>
      </c>
      <c r="C18" s="45" t="s">
        <v>40</v>
      </c>
      <c r="D18" s="7">
        <v>760.322</v>
      </c>
      <c r="E18" s="41">
        <v>186.7</v>
      </c>
      <c r="F18" s="58">
        <f>SUM(E18:E19)</f>
        <v>361.5</v>
      </c>
      <c r="G18" s="54">
        <v>48</v>
      </c>
      <c r="H18" s="54">
        <v>48</v>
      </c>
      <c r="I18" s="57">
        <f t="shared" ref="I18" si="12">SUM(G18:H19)</f>
        <v>96</v>
      </c>
      <c r="J18" s="58" t="str">
        <f>IF(F18&gt;1.3*I18,"OK","NO")</f>
        <v>OK</v>
      </c>
      <c r="K18" s="60">
        <f t="shared" ref="K18" si="13">1.3*I18/F18</f>
        <v>0.34522821576763491</v>
      </c>
    </row>
    <row r="19" spans="1:11" x14ac:dyDescent="0.25">
      <c r="A19" s="61"/>
      <c r="B19" s="45" t="s">
        <v>41</v>
      </c>
      <c r="C19" s="45" t="s">
        <v>40</v>
      </c>
      <c r="D19" s="7">
        <v>575.79600000000005</v>
      </c>
      <c r="E19" s="41">
        <v>174.8</v>
      </c>
      <c r="F19" s="58"/>
      <c r="G19" s="54"/>
      <c r="H19" s="54"/>
      <c r="I19" s="58"/>
      <c r="J19" s="58"/>
      <c r="K19" s="60"/>
    </row>
    <row r="20" spans="1:11" x14ac:dyDescent="0.25">
      <c r="A20" s="61"/>
      <c r="B20" s="45" t="s">
        <v>42</v>
      </c>
      <c r="C20" s="45" t="s">
        <v>43</v>
      </c>
      <c r="D20" s="7">
        <v>754.00599999999997</v>
      </c>
      <c r="E20" s="41">
        <v>186</v>
      </c>
      <c r="F20" s="58">
        <f>SUM(E20:E21)</f>
        <v>360.7</v>
      </c>
      <c r="G20" s="54">
        <v>48</v>
      </c>
      <c r="H20" s="54">
        <v>48</v>
      </c>
      <c r="I20" s="57">
        <f t="shared" ref="I20" si="14">SUM(G20:H21)</f>
        <v>96</v>
      </c>
      <c r="J20" s="58" t="str">
        <f>IF(F20&gt;1.3*I20,"OK","NO")</f>
        <v>OK</v>
      </c>
      <c r="K20" s="60">
        <f t="shared" ref="K20" si="15">1.3*I20/F20</f>
        <v>0.34599390074854453</v>
      </c>
    </row>
    <row r="21" spans="1:11" x14ac:dyDescent="0.25">
      <c r="A21" s="61"/>
      <c r="B21" s="45" t="s">
        <v>44</v>
      </c>
      <c r="C21" s="45" t="s">
        <v>43</v>
      </c>
      <c r="D21" s="7">
        <v>571.35799999999995</v>
      </c>
      <c r="E21" s="41">
        <v>174.7</v>
      </c>
      <c r="F21" s="58"/>
      <c r="G21" s="54"/>
      <c r="H21" s="54"/>
      <c r="I21" s="58"/>
      <c r="J21" s="58"/>
      <c r="K21" s="60"/>
    </row>
    <row r="22" spans="1:11" x14ac:dyDescent="0.25">
      <c r="A22" s="61"/>
      <c r="B22" s="45" t="s">
        <v>45</v>
      </c>
      <c r="C22" s="45" t="s">
        <v>46</v>
      </c>
      <c r="D22" s="7">
        <v>441.69200000000001</v>
      </c>
      <c r="E22" s="41">
        <v>170.8</v>
      </c>
      <c r="F22" s="58">
        <f>SUM(E22:E23)</f>
        <v>330.4</v>
      </c>
      <c r="G22" s="54">
        <v>48</v>
      </c>
      <c r="H22" s="54">
        <v>0</v>
      </c>
      <c r="I22" s="57">
        <f t="shared" ref="I22" si="16">SUM(G22:H23)</f>
        <v>48</v>
      </c>
      <c r="J22" s="58" t="str">
        <f>IF(F22&gt;1.3*I22,"OK","NO")</f>
        <v>OK</v>
      </c>
      <c r="K22" s="60">
        <f t="shared" ref="K22" si="17">1.3*I22/F22</f>
        <v>0.18886198547215499</v>
      </c>
    </row>
    <row r="23" spans="1:11" x14ac:dyDescent="0.25">
      <c r="A23" s="61"/>
      <c r="B23" s="45" t="s">
        <v>47</v>
      </c>
      <c r="C23" s="45" t="s">
        <v>46</v>
      </c>
      <c r="D23" s="7">
        <v>333.61500000000001</v>
      </c>
      <c r="E23" s="2">
        <v>159.6</v>
      </c>
      <c r="F23" s="58"/>
      <c r="G23" s="54"/>
      <c r="H23" s="54"/>
      <c r="I23" s="58"/>
      <c r="J23" s="58"/>
      <c r="K23" s="60"/>
    </row>
    <row r="24" spans="1:11" x14ac:dyDescent="0.25">
      <c r="A24" s="62" t="s">
        <v>25</v>
      </c>
      <c r="B24" s="45" t="s">
        <v>8</v>
      </c>
      <c r="C24" s="45" t="s">
        <v>13</v>
      </c>
      <c r="D24" s="7">
        <v>42.942999999999998</v>
      </c>
      <c r="E24" s="2">
        <v>235.5</v>
      </c>
      <c r="F24" s="58">
        <f>SUM(E24:E25)</f>
        <v>443.3</v>
      </c>
      <c r="G24" s="53">
        <v>0</v>
      </c>
      <c r="H24" s="55">
        <v>203</v>
      </c>
      <c r="I24" s="57">
        <f t="shared" ref="I24" si="18">SUM(G24:H25)</f>
        <v>203</v>
      </c>
      <c r="J24" s="58" t="str">
        <f>IF(F24&gt;1.3*I24,"OK","NO")</f>
        <v>OK</v>
      </c>
      <c r="K24" s="60">
        <f t="shared" ref="K24" si="19">1.3*I24/F24</f>
        <v>0.59530791788856308</v>
      </c>
    </row>
    <row r="25" spans="1:11" x14ac:dyDescent="0.25">
      <c r="A25" s="62"/>
      <c r="B25" s="45" t="s">
        <v>13</v>
      </c>
      <c r="C25" s="45" t="s">
        <v>13</v>
      </c>
      <c r="D25" s="7">
        <v>51.828000000000003</v>
      </c>
      <c r="E25" s="2">
        <v>207.8</v>
      </c>
      <c r="F25" s="58"/>
      <c r="G25" s="54"/>
      <c r="H25" s="56"/>
      <c r="I25" s="58"/>
      <c r="J25" s="58"/>
      <c r="K25" s="60"/>
    </row>
    <row r="26" spans="1:11" x14ac:dyDescent="0.25">
      <c r="A26" s="62"/>
      <c r="B26" s="45" t="s">
        <v>9</v>
      </c>
      <c r="C26" s="45" t="s">
        <v>14</v>
      </c>
      <c r="D26" s="7">
        <v>190.10400000000001</v>
      </c>
      <c r="E26" s="2">
        <v>253.3</v>
      </c>
      <c r="F26" s="58">
        <f>SUM(E26:E27)</f>
        <v>469.20000000000005</v>
      </c>
      <c r="G26" s="58">
        <v>180</v>
      </c>
      <c r="H26" s="56">
        <v>180</v>
      </c>
      <c r="I26" s="57">
        <f t="shared" ref="I26" si="20">SUM(G26:H27)</f>
        <v>360</v>
      </c>
      <c r="J26" s="58" t="str">
        <f>IF(F26&gt;1.3*I26,"OK","NO")</f>
        <v>OK</v>
      </c>
      <c r="K26" s="60">
        <f t="shared" ref="K26" si="21">1.3*I26/F26</f>
        <v>0.99744245524296671</v>
      </c>
    </row>
    <row r="27" spans="1:11" x14ac:dyDescent="0.25">
      <c r="A27" s="62"/>
      <c r="B27" s="45" t="s">
        <v>14</v>
      </c>
      <c r="C27" s="45" t="s">
        <v>14</v>
      </c>
      <c r="D27" s="7">
        <v>137.89400000000001</v>
      </c>
      <c r="E27" s="2">
        <v>215.9</v>
      </c>
      <c r="F27" s="58"/>
      <c r="G27" s="58"/>
      <c r="H27" s="56"/>
      <c r="I27" s="58"/>
      <c r="J27" s="58"/>
      <c r="K27" s="60"/>
    </row>
    <row r="28" spans="1:11" x14ac:dyDescent="0.25">
      <c r="A28" s="62"/>
      <c r="B28" s="45" t="s">
        <v>10</v>
      </c>
      <c r="C28" s="45" t="s">
        <v>15</v>
      </c>
      <c r="D28" s="7">
        <v>233.49199999999999</v>
      </c>
      <c r="E28" s="2">
        <v>257.89999999999998</v>
      </c>
      <c r="F28" s="58">
        <f>SUM(E28:E29)</f>
        <v>476.5</v>
      </c>
      <c r="G28" s="58">
        <v>183</v>
      </c>
      <c r="H28" s="56">
        <v>145</v>
      </c>
      <c r="I28" s="57">
        <f t="shared" ref="I28" si="22">SUM(G28:H29)</f>
        <v>328</v>
      </c>
      <c r="J28" s="58" t="str">
        <f>IF(F28&gt;1.3*I28,"OK","NO")</f>
        <v>OK</v>
      </c>
      <c r="K28" s="60">
        <f t="shared" ref="K28" si="23">1.3*I28/F28</f>
        <v>0.89485834207764958</v>
      </c>
    </row>
    <row r="29" spans="1:11" x14ac:dyDescent="0.25">
      <c r="A29" s="62"/>
      <c r="B29" s="45" t="s">
        <v>15</v>
      </c>
      <c r="C29" s="45" t="s">
        <v>15</v>
      </c>
      <c r="D29" s="7">
        <v>166.45400000000001</v>
      </c>
      <c r="E29" s="2">
        <v>218.6</v>
      </c>
      <c r="F29" s="58"/>
      <c r="G29" s="58"/>
      <c r="H29" s="56"/>
      <c r="I29" s="58"/>
      <c r="J29" s="58"/>
      <c r="K29" s="60"/>
    </row>
    <row r="30" spans="1:11" x14ac:dyDescent="0.25">
      <c r="A30" s="62"/>
      <c r="B30" s="45" t="s">
        <v>11</v>
      </c>
      <c r="C30" s="45" t="s">
        <v>16</v>
      </c>
      <c r="D30" s="7">
        <v>213.358</v>
      </c>
      <c r="E30" s="2">
        <v>255.8</v>
      </c>
      <c r="F30" s="58">
        <f>SUM(E30:E31)</f>
        <v>473.5</v>
      </c>
      <c r="G30" s="58">
        <v>188</v>
      </c>
      <c r="H30" s="56">
        <v>145</v>
      </c>
      <c r="I30" s="57">
        <f t="shared" ref="I30" si="24">SUM(G30:H31)</f>
        <v>333</v>
      </c>
      <c r="J30" s="58" t="str">
        <f>IF(F30&gt;1.3*I30,"OK","NO")</f>
        <v>OK</v>
      </c>
      <c r="K30" s="60">
        <f t="shared" ref="K30" si="25">1.3*I30/F30</f>
        <v>0.91425554382259777</v>
      </c>
    </row>
    <row r="31" spans="1:11" x14ac:dyDescent="0.25">
      <c r="A31" s="62"/>
      <c r="B31" s="45" t="s">
        <v>16</v>
      </c>
      <c r="C31" s="45" t="s">
        <v>16</v>
      </c>
      <c r="D31" s="7">
        <v>156.28100000000001</v>
      </c>
      <c r="E31" s="2">
        <v>217.7</v>
      </c>
      <c r="F31" s="58"/>
      <c r="G31" s="58"/>
      <c r="H31" s="56"/>
      <c r="I31" s="58"/>
      <c r="J31" s="58"/>
      <c r="K31" s="60"/>
    </row>
    <row r="32" spans="1:11" x14ac:dyDescent="0.25">
      <c r="A32" s="62"/>
      <c r="B32" s="45" t="s">
        <v>12</v>
      </c>
      <c r="C32" s="45" t="s">
        <v>17</v>
      </c>
      <c r="D32" s="7">
        <v>41.773000000000003</v>
      </c>
      <c r="E32" s="2">
        <v>235.3</v>
      </c>
      <c r="F32" s="58">
        <f>SUM(E32:E33)</f>
        <v>443.1</v>
      </c>
      <c r="G32" s="54">
        <v>203</v>
      </c>
      <c r="H32" s="56">
        <v>0</v>
      </c>
      <c r="I32" s="57">
        <f t="shared" ref="I32" si="26">SUM(G32:H33)</f>
        <v>203</v>
      </c>
      <c r="J32" s="58" t="str">
        <f>IF(F32&gt;1.3*I32,"OK","NO")</f>
        <v>OK</v>
      </c>
      <c r="K32" s="60">
        <f t="shared" ref="K32" si="27">1.3*I32/F32</f>
        <v>0.59557661927330174</v>
      </c>
    </row>
    <row r="33" spans="1:11" x14ac:dyDescent="0.25">
      <c r="A33" s="62"/>
      <c r="B33" s="45" t="s">
        <v>17</v>
      </c>
      <c r="C33" s="45" t="s">
        <v>17</v>
      </c>
      <c r="D33" s="7">
        <v>51.773000000000003</v>
      </c>
      <c r="E33" s="2">
        <v>207.8</v>
      </c>
      <c r="F33" s="58"/>
      <c r="G33" s="54"/>
      <c r="H33" s="56"/>
      <c r="I33" s="58"/>
      <c r="J33" s="58"/>
      <c r="K33" s="60"/>
    </row>
    <row r="34" spans="1:11" x14ac:dyDescent="0.25">
      <c r="A34" s="62"/>
      <c r="B34" s="45" t="s">
        <v>35</v>
      </c>
      <c r="C34" s="45" t="s">
        <v>48</v>
      </c>
      <c r="D34" s="7">
        <v>324.685</v>
      </c>
      <c r="E34" s="2">
        <v>158.80000000000001</v>
      </c>
      <c r="F34" s="58">
        <f>SUM(E34:E35)</f>
        <v>305.8</v>
      </c>
      <c r="G34" s="54">
        <v>0</v>
      </c>
      <c r="H34" s="54">
        <v>48</v>
      </c>
      <c r="I34" s="57">
        <f t="shared" ref="I34" si="28">SUM(G34:H35)</f>
        <v>48</v>
      </c>
      <c r="J34" s="58" t="str">
        <f>IF(F34&gt;1.3*I34,"OK","NO")</f>
        <v>OK</v>
      </c>
      <c r="K34" s="60">
        <f t="shared" ref="K34" si="29">1.3*I34/F34</f>
        <v>0.20405493786788753</v>
      </c>
    </row>
    <row r="35" spans="1:11" x14ac:dyDescent="0.25">
      <c r="A35" s="62"/>
      <c r="B35" s="45" t="s">
        <v>49</v>
      </c>
      <c r="C35" s="45" t="s">
        <v>48</v>
      </c>
      <c r="D35" s="7">
        <v>213.893</v>
      </c>
      <c r="E35" s="2">
        <v>147</v>
      </c>
      <c r="F35" s="58"/>
      <c r="G35" s="54"/>
      <c r="H35" s="54"/>
      <c r="I35" s="58"/>
      <c r="J35" s="58"/>
      <c r="K35" s="60"/>
    </row>
    <row r="36" spans="1:11" x14ac:dyDescent="0.25">
      <c r="A36" s="62"/>
      <c r="B36" s="45" t="s">
        <v>38</v>
      </c>
      <c r="C36" s="45" t="s">
        <v>18</v>
      </c>
      <c r="D36" s="7">
        <v>483.27</v>
      </c>
      <c r="E36" s="2">
        <v>171.4</v>
      </c>
      <c r="F36" s="58">
        <f>SUM(E36:E37)</f>
        <v>329.20000000000005</v>
      </c>
      <c r="G36" s="54">
        <v>48</v>
      </c>
      <c r="H36" s="54">
        <v>48</v>
      </c>
      <c r="I36" s="57">
        <f t="shared" ref="I36" si="30">SUM(G36:H37)</f>
        <v>96</v>
      </c>
      <c r="J36" s="58" t="str">
        <f>IF(F36&gt;1.3*I36,"OK","NO")</f>
        <v>OK</v>
      </c>
      <c r="K36" s="60">
        <f t="shared" ref="K36" si="31">1.3*I36/F36</f>
        <v>0.37910085054678005</v>
      </c>
    </row>
    <row r="37" spans="1:11" x14ac:dyDescent="0.25">
      <c r="A37" s="62"/>
      <c r="B37" s="45" t="s">
        <v>50</v>
      </c>
      <c r="C37" s="45" t="s">
        <v>18</v>
      </c>
      <c r="D37" s="7">
        <v>328.63200000000001</v>
      </c>
      <c r="E37" s="2">
        <v>157.80000000000001</v>
      </c>
      <c r="F37" s="58"/>
      <c r="G37" s="54"/>
      <c r="H37" s="54"/>
      <c r="I37" s="58"/>
      <c r="J37" s="58"/>
      <c r="K37" s="60"/>
    </row>
    <row r="38" spans="1:11" x14ac:dyDescent="0.25">
      <c r="A38" s="62"/>
      <c r="B38" s="45" t="s">
        <v>41</v>
      </c>
      <c r="C38" s="45" t="s">
        <v>19</v>
      </c>
      <c r="D38" s="7">
        <v>564.54899999999998</v>
      </c>
      <c r="E38" s="2">
        <v>174.4</v>
      </c>
      <c r="F38" s="58">
        <f>SUM(E38:E39)</f>
        <v>336.6</v>
      </c>
      <c r="G38" s="54">
        <v>48</v>
      </c>
      <c r="H38" s="54">
        <v>48</v>
      </c>
      <c r="I38" s="57">
        <f t="shared" ref="I38" si="32">SUM(G38:H39)</f>
        <v>96</v>
      </c>
      <c r="J38" s="58" t="str">
        <f>IF(F38&gt;1.3*I38,"OK","NO")</f>
        <v>OK</v>
      </c>
      <c r="K38" s="60">
        <f t="shared" ref="K38" si="33">1.3*I38/F38</f>
        <v>0.37076648841354726</v>
      </c>
    </row>
    <row r="39" spans="1:11" x14ac:dyDescent="0.25">
      <c r="A39" s="62"/>
      <c r="B39" s="45" t="s">
        <v>51</v>
      </c>
      <c r="C39" s="45" t="s">
        <v>19</v>
      </c>
      <c r="D39" s="7">
        <v>381.7</v>
      </c>
      <c r="E39" s="7">
        <v>162.19999999999999</v>
      </c>
      <c r="F39" s="58"/>
      <c r="G39" s="54"/>
      <c r="H39" s="54"/>
      <c r="I39" s="58"/>
      <c r="J39" s="58"/>
      <c r="K39" s="60"/>
    </row>
    <row r="40" spans="1:11" x14ac:dyDescent="0.25">
      <c r="A40" s="62"/>
      <c r="B40" s="45" t="s">
        <v>44</v>
      </c>
      <c r="C40" s="45" t="s">
        <v>20</v>
      </c>
      <c r="D40" s="7">
        <v>560.11099999999999</v>
      </c>
      <c r="E40" s="7">
        <v>174.2</v>
      </c>
      <c r="F40" s="58">
        <f>SUM(E40:E41)</f>
        <v>336.29999999999995</v>
      </c>
      <c r="G40" s="54">
        <v>48</v>
      </c>
      <c r="H40" s="54">
        <v>48</v>
      </c>
      <c r="I40" s="57">
        <f t="shared" ref="I40" si="34">SUM(G40:H41)</f>
        <v>96</v>
      </c>
      <c r="J40" s="58" t="str">
        <f>IF(F40&gt;1.3*I40,"OK","NO")</f>
        <v>OK</v>
      </c>
      <c r="K40" s="60">
        <f t="shared" ref="K40" si="35">1.3*I40/F40</f>
        <v>0.37109723461195371</v>
      </c>
    </row>
    <row r="41" spans="1:11" x14ac:dyDescent="0.25">
      <c r="A41" s="62"/>
      <c r="B41" s="45" t="s">
        <v>52</v>
      </c>
      <c r="C41" s="45" t="s">
        <v>20</v>
      </c>
      <c r="D41" s="7">
        <v>379.26900000000001</v>
      </c>
      <c r="E41" s="7">
        <v>162.1</v>
      </c>
      <c r="F41" s="58"/>
      <c r="G41" s="54"/>
      <c r="H41" s="54"/>
      <c r="I41" s="58"/>
      <c r="J41" s="58"/>
      <c r="K41" s="60"/>
    </row>
    <row r="42" spans="1:11" x14ac:dyDescent="0.25">
      <c r="A42" s="62"/>
      <c r="B42" s="45" t="s">
        <v>47</v>
      </c>
      <c r="C42" s="45" t="s">
        <v>21</v>
      </c>
      <c r="D42" s="7">
        <v>322.36799999999999</v>
      </c>
      <c r="E42" s="7">
        <v>158.5</v>
      </c>
      <c r="F42" s="58">
        <f>SUM(E42:E43)</f>
        <v>305.5</v>
      </c>
      <c r="G42" s="54">
        <v>48</v>
      </c>
      <c r="H42" s="54">
        <v>0</v>
      </c>
      <c r="I42" s="57">
        <f t="shared" ref="I42" si="36">SUM(G42:H43)</f>
        <v>48</v>
      </c>
      <c r="J42" s="58" t="str">
        <f>IF(F42&gt;1.3*I42,"OK","NO")</f>
        <v>OK</v>
      </c>
      <c r="K42" s="60">
        <f t="shared" ref="K42" si="37">1.3*I42/F42</f>
        <v>0.20425531914893619</v>
      </c>
    </row>
    <row r="43" spans="1:11" x14ac:dyDescent="0.25">
      <c r="A43" s="62"/>
      <c r="B43" s="45" t="s">
        <v>53</v>
      </c>
      <c r="C43" s="45" t="s">
        <v>21</v>
      </c>
      <c r="D43" s="7">
        <v>213.54</v>
      </c>
      <c r="E43" s="7">
        <v>147</v>
      </c>
      <c r="F43" s="58"/>
      <c r="G43" s="54"/>
      <c r="H43" s="54"/>
      <c r="I43" s="58"/>
      <c r="J43" s="58"/>
      <c r="K43" s="60"/>
    </row>
    <row r="44" spans="1:11" x14ac:dyDescent="0.25">
      <c r="A44" s="63" t="s">
        <v>26</v>
      </c>
      <c r="B44" s="45" t="s">
        <v>13</v>
      </c>
      <c r="C44" s="45" t="s">
        <v>54</v>
      </c>
      <c r="D44" s="7">
        <v>41.706000000000003</v>
      </c>
      <c r="E44" s="7">
        <v>206.8</v>
      </c>
      <c r="F44" s="58">
        <f>SUM(E44:E45)</f>
        <v>382.4</v>
      </c>
      <c r="G44" s="54">
        <v>0</v>
      </c>
      <c r="H44" s="56">
        <v>145</v>
      </c>
      <c r="I44" s="57">
        <f t="shared" ref="I44" si="38">SUM(G44:H45)</f>
        <v>145</v>
      </c>
      <c r="J44" s="58" t="str">
        <f>IF(F44&gt;1.3*I44,"OK","NO")</f>
        <v>OK</v>
      </c>
      <c r="K44" s="60">
        <f t="shared" ref="K44" si="39">1.3*I44/F44</f>
        <v>0.49293933054393307</v>
      </c>
    </row>
    <row r="45" spans="1:11" x14ac:dyDescent="0.25">
      <c r="A45" s="63"/>
      <c r="B45" s="45" t="s">
        <v>18</v>
      </c>
      <c r="C45" s="45" t="s">
        <v>54</v>
      </c>
      <c r="D45" s="7">
        <v>24.209</v>
      </c>
      <c r="E45" s="41">
        <v>175.6</v>
      </c>
      <c r="F45" s="58"/>
      <c r="G45" s="54"/>
      <c r="H45" s="56"/>
      <c r="I45" s="58"/>
      <c r="J45" s="58"/>
      <c r="K45" s="60"/>
    </row>
    <row r="46" spans="1:11" x14ac:dyDescent="0.25">
      <c r="A46" s="63"/>
      <c r="B46" s="45" t="s">
        <v>14</v>
      </c>
      <c r="C46" s="45" t="s">
        <v>55</v>
      </c>
      <c r="D46" s="7">
        <v>127.77200000000001</v>
      </c>
      <c r="E46" s="41">
        <v>215</v>
      </c>
      <c r="F46" s="58">
        <f>SUM(E46:E47)</f>
        <v>393.4</v>
      </c>
      <c r="G46" s="58">
        <v>131</v>
      </c>
      <c r="H46" s="56">
        <v>110</v>
      </c>
      <c r="I46" s="57">
        <f t="shared" ref="I46" si="40">SUM(G46:H47)</f>
        <v>241</v>
      </c>
      <c r="J46" s="58" t="str">
        <f>IF(F46&gt;1.3*I46,"OK","NO")</f>
        <v>OK</v>
      </c>
      <c r="K46" s="60">
        <f t="shared" ref="K46" si="41">1.3*I46/F46</f>
        <v>0.79639044229791567</v>
      </c>
    </row>
    <row r="47" spans="1:11" x14ac:dyDescent="0.25">
      <c r="A47" s="63"/>
      <c r="B47" s="45" t="s">
        <v>19</v>
      </c>
      <c r="C47" s="45" t="s">
        <v>55</v>
      </c>
      <c r="D47" s="7">
        <v>57.822000000000003</v>
      </c>
      <c r="E47" s="41">
        <v>178.4</v>
      </c>
      <c r="F47" s="58"/>
      <c r="G47" s="58"/>
      <c r="H47" s="56"/>
      <c r="I47" s="58"/>
      <c r="J47" s="58"/>
      <c r="K47" s="60"/>
    </row>
    <row r="48" spans="1:11" x14ac:dyDescent="0.25">
      <c r="A48" s="63"/>
      <c r="B48" s="45" t="s">
        <v>15</v>
      </c>
      <c r="C48" s="45" t="s">
        <v>56</v>
      </c>
      <c r="D48" s="7">
        <v>156.33199999999999</v>
      </c>
      <c r="E48" s="41">
        <v>217.7</v>
      </c>
      <c r="F48" s="58">
        <f>SUM(E48:E49)</f>
        <v>397</v>
      </c>
      <c r="G48" s="58">
        <v>131</v>
      </c>
      <c r="H48" s="56">
        <v>110</v>
      </c>
      <c r="I48" s="57">
        <f t="shared" ref="I48" si="42">SUM(G48:H49)</f>
        <v>241</v>
      </c>
      <c r="J48" s="58" t="str">
        <f>IF(F48&gt;1.3*I48,"OK","NO")</f>
        <v>OK</v>
      </c>
      <c r="K48" s="60">
        <f t="shared" ref="K48" si="43">1.3*I48/F48</f>
        <v>0.78916876574307304</v>
      </c>
    </row>
    <row r="49" spans="1:11" x14ac:dyDescent="0.25">
      <c r="A49" s="63"/>
      <c r="B49" s="45" t="s">
        <v>20</v>
      </c>
      <c r="C49" s="45" t="s">
        <v>56</v>
      </c>
      <c r="D49" s="7">
        <v>69.266999999999996</v>
      </c>
      <c r="E49" s="41">
        <v>179.3</v>
      </c>
      <c r="F49" s="58"/>
      <c r="G49" s="58"/>
      <c r="H49" s="56"/>
      <c r="I49" s="58"/>
      <c r="J49" s="58"/>
      <c r="K49" s="60"/>
    </row>
    <row r="50" spans="1:11" x14ac:dyDescent="0.25">
      <c r="A50" s="63"/>
      <c r="B50" s="45" t="s">
        <v>16</v>
      </c>
      <c r="C50" s="45" t="s">
        <v>57</v>
      </c>
      <c r="D50" s="7">
        <v>146.15899999999999</v>
      </c>
      <c r="E50" s="41">
        <v>216.7</v>
      </c>
      <c r="F50" s="58">
        <f>SUM(E50:E51)</f>
        <v>395.7</v>
      </c>
      <c r="G50" s="58">
        <v>131</v>
      </c>
      <c r="H50" s="56">
        <v>110</v>
      </c>
      <c r="I50" s="57">
        <f t="shared" ref="I50" si="44">SUM(G50:H51)</f>
        <v>241</v>
      </c>
      <c r="J50" s="58" t="str">
        <f>IF(F50&gt;1.3*I50,"OK","NO")</f>
        <v>OK</v>
      </c>
      <c r="K50" s="60">
        <f t="shared" ref="K50" si="45">1.3*I50/F50</f>
        <v>0.79176143543088207</v>
      </c>
    </row>
    <row r="51" spans="1:11" x14ac:dyDescent="0.25">
      <c r="A51" s="63"/>
      <c r="B51" s="45" t="s">
        <v>21</v>
      </c>
      <c r="C51" s="45" t="s">
        <v>57</v>
      </c>
      <c r="D51" s="7">
        <v>65.649000000000001</v>
      </c>
      <c r="E51" s="41">
        <v>179</v>
      </c>
      <c r="F51" s="58"/>
      <c r="G51" s="58"/>
      <c r="H51" s="56"/>
      <c r="I51" s="58"/>
      <c r="J51" s="58"/>
      <c r="K51" s="60"/>
    </row>
    <row r="52" spans="1:11" x14ac:dyDescent="0.25">
      <c r="A52" s="63"/>
      <c r="B52" s="45" t="s">
        <v>17</v>
      </c>
      <c r="C52" s="45" t="s">
        <v>58</v>
      </c>
      <c r="D52" s="7">
        <v>41.651000000000003</v>
      </c>
      <c r="E52" s="41">
        <v>206.8</v>
      </c>
      <c r="F52" s="58">
        <f>SUM(E52:E53)</f>
        <v>382.5</v>
      </c>
      <c r="G52" s="58">
        <v>131</v>
      </c>
      <c r="H52" s="56">
        <v>0</v>
      </c>
      <c r="I52" s="57">
        <f t="shared" ref="I52" si="46">SUM(G52:H53)</f>
        <v>131</v>
      </c>
      <c r="J52" s="58" t="str">
        <f>IF(F52&gt;1.3*I52,"OK","NO")</f>
        <v>OK</v>
      </c>
      <c r="K52" s="60">
        <f t="shared" ref="K52" si="47">1.3*I52/F52</f>
        <v>0.44522875816993468</v>
      </c>
    </row>
    <row r="53" spans="1:11" x14ac:dyDescent="0.25">
      <c r="A53" s="63"/>
      <c r="B53" s="45" t="s">
        <v>22</v>
      </c>
      <c r="C53" s="45" t="s">
        <v>58</v>
      </c>
      <c r="D53" s="7">
        <v>24.734000000000002</v>
      </c>
      <c r="E53" s="41">
        <v>175.7</v>
      </c>
      <c r="F53" s="58"/>
      <c r="G53" s="58"/>
      <c r="H53" s="56"/>
      <c r="I53" s="58"/>
      <c r="J53" s="58"/>
      <c r="K53" s="60"/>
    </row>
    <row r="54" spans="1:11" x14ac:dyDescent="0.25">
      <c r="A54" s="63"/>
      <c r="B54" s="45" t="s">
        <v>49</v>
      </c>
      <c r="C54" s="45" t="s">
        <v>22</v>
      </c>
      <c r="D54" s="7">
        <v>203.77099999999999</v>
      </c>
      <c r="E54" s="41">
        <v>146</v>
      </c>
      <c r="F54" s="58">
        <f>SUM(E54:E55)</f>
        <v>279.39999999999998</v>
      </c>
      <c r="G54" s="54">
        <v>0</v>
      </c>
      <c r="H54" s="54">
        <v>48</v>
      </c>
      <c r="I54" s="57">
        <f t="shared" ref="I54" si="48">SUM(G54:H55)</f>
        <v>48</v>
      </c>
      <c r="J54" s="58" t="str">
        <f>IF(F54&gt;1.3*I54,"OK","NO")</f>
        <v>OK</v>
      </c>
      <c r="K54" s="60">
        <f t="shared" ref="K54" si="49">1.3*I54/F54</f>
        <v>0.22333571939871155</v>
      </c>
    </row>
    <row r="55" spans="1:11" x14ac:dyDescent="0.25">
      <c r="A55" s="63"/>
      <c r="B55" s="45" t="s">
        <v>59</v>
      </c>
      <c r="C55" s="45" t="s">
        <v>22</v>
      </c>
      <c r="D55" s="7">
        <v>86.903000000000006</v>
      </c>
      <c r="E55" s="41">
        <v>133.4</v>
      </c>
      <c r="F55" s="58"/>
      <c r="G55" s="54"/>
      <c r="H55" s="54"/>
      <c r="I55" s="58"/>
      <c r="J55" s="58"/>
      <c r="K55" s="60"/>
    </row>
    <row r="56" spans="1:11" x14ac:dyDescent="0.25">
      <c r="A56" s="63"/>
      <c r="B56" s="45" t="s">
        <v>50</v>
      </c>
      <c r="C56" s="45" t="s">
        <v>33</v>
      </c>
      <c r="D56" s="7">
        <v>318.51</v>
      </c>
      <c r="E56" s="41">
        <v>156.9</v>
      </c>
      <c r="F56" s="58">
        <f>SUM(E56:E57)</f>
        <v>297.3</v>
      </c>
      <c r="G56" s="54">
        <v>48</v>
      </c>
      <c r="H56" s="54">
        <v>48</v>
      </c>
      <c r="I56" s="57">
        <f t="shared" ref="I56" si="50">SUM(G56:H57)</f>
        <v>96</v>
      </c>
      <c r="J56" s="58" t="str">
        <f>IF(F56&gt;1.3*I56,"OK","NO")</f>
        <v>OK</v>
      </c>
      <c r="K56" s="60">
        <f t="shared" ref="K56" si="51">1.3*I56/F56</f>
        <v>0.41977800201816351</v>
      </c>
    </row>
    <row r="57" spans="1:11" x14ac:dyDescent="0.25">
      <c r="A57" s="63"/>
      <c r="B57" s="45" t="s">
        <v>60</v>
      </c>
      <c r="C57" s="45" t="s">
        <v>33</v>
      </c>
      <c r="D57" s="7">
        <v>157.72900000000001</v>
      </c>
      <c r="E57" s="41">
        <v>140.4</v>
      </c>
      <c r="F57" s="58"/>
      <c r="G57" s="54"/>
      <c r="H57" s="54"/>
      <c r="I57" s="58"/>
      <c r="J57" s="58"/>
      <c r="K57" s="60"/>
    </row>
    <row r="58" spans="1:11" x14ac:dyDescent="0.25">
      <c r="A58" s="63"/>
      <c r="B58" s="45" t="s">
        <v>51</v>
      </c>
      <c r="C58" s="45" t="s">
        <v>36</v>
      </c>
      <c r="D58" s="7">
        <v>371.57799999999997</v>
      </c>
      <c r="E58" s="41">
        <v>161.5</v>
      </c>
      <c r="F58" s="58">
        <f>SUM(E58:E59)</f>
        <v>304.39999999999998</v>
      </c>
      <c r="G58" s="54">
        <v>48</v>
      </c>
      <c r="H58" s="54">
        <v>48</v>
      </c>
      <c r="I58" s="57">
        <f t="shared" ref="I58" si="52">SUM(G58:H59)</f>
        <v>96</v>
      </c>
      <c r="J58" s="58" t="str">
        <f>IF(F58&gt;1.3*I58,"OK","NO")</f>
        <v>OK</v>
      </c>
      <c r="K58" s="60">
        <f t="shared" ref="K58" si="53">1.3*I58/F58</f>
        <v>0.40998685939553225</v>
      </c>
    </row>
    <row r="59" spans="1:11" x14ac:dyDescent="0.25">
      <c r="A59" s="63"/>
      <c r="B59" s="45" t="s">
        <v>61</v>
      </c>
      <c r="C59" s="45" t="s">
        <v>36</v>
      </c>
      <c r="D59" s="7">
        <v>182.61099999999999</v>
      </c>
      <c r="E59" s="41">
        <v>142.9</v>
      </c>
      <c r="F59" s="58"/>
      <c r="G59" s="54"/>
      <c r="H59" s="54"/>
      <c r="I59" s="58"/>
      <c r="J59" s="58"/>
      <c r="K59" s="60"/>
    </row>
    <row r="60" spans="1:11" x14ac:dyDescent="0.25">
      <c r="A60" s="63"/>
      <c r="B60" s="45" t="s">
        <v>52</v>
      </c>
      <c r="C60" s="45" t="s">
        <v>39</v>
      </c>
      <c r="D60" s="7">
        <v>369.14699999999999</v>
      </c>
      <c r="E60" s="41">
        <v>161.30000000000001</v>
      </c>
      <c r="F60" s="58">
        <f>SUM(E60:E61)</f>
        <v>304.10000000000002</v>
      </c>
      <c r="G60" s="54">
        <v>48</v>
      </c>
      <c r="H60" s="54">
        <v>48</v>
      </c>
      <c r="I60" s="57">
        <f t="shared" ref="I60" si="54">SUM(G60:H61)</f>
        <v>96</v>
      </c>
      <c r="J60" s="58" t="str">
        <f>IF(F60&gt;1.3*I60,"OK","NO")</f>
        <v>OK</v>
      </c>
      <c r="K60" s="60">
        <f t="shared" ref="K60" si="55">1.3*I60/F60</f>
        <v>0.41039131864518252</v>
      </c>
    </row>
    <row r="61" spans="1:11" x14ac:dyDescent="0.25">
      <c r="A61" s="63"/>
      <c r="B61" s="45" t="s">
        <v>62</v>
      </c>
      <c r="C61" s="45" t="s">
        <v>39</v>
      </c>
      <c r="D61" s="7">
        <v>181.703</v>
      </c>
      <c r="E61" s="41">
        <v>142.80000000000001</v>
      </c>
      <c r="F61" s="58"/>
      <c r="G61" s="54"/>
      <c r="H61" s="54"/>
      <c r="I61" s="58"/>
      <c r="J61" s="58"/>
      <c r="K61" s="60"/>
    </row>
    <row r="62" spans="1:11" x14ac:dyDescent="0.25">
      <c r="A62" s="63"/>
      <c r="B62" s="45" t="s">
        <v>53</v>
      </c>
      <c r="C62" s="45" t="s">
        <v>42</v>
      </c>
      <c r="D62" s="7">
        <v>203.41800000000001</v>
      </c>
      <c r="E62" s="41">
        <v>146</v>
      </c>
      <c r="F62" s="58">
        <f>SUM(E62:E63)</f>
        <v>279.39999999999998</v>
      </c>
      <c r="G62" s="54">
        <v>48</v>
      </c>
      <c r="H62" s="54">
        <v>0</v>
      </c>
      <c r="I62" s="57">
        <f t="shared" ref="I62" si="56">SUM(G62:H63)</f>
        <v>48</v>
      </c>
      <c r="J62" s="58" t="str">
        <f>IF(F62&gt;1.3*I62,"OK","NO")</f>
        <v>OK</v>
      </c>
      <c r="K62" s="60">
        <f t="shared" ref="K62" si="57">1.3*I62/F62</f>
        <v>0.22333571939871155</v>
      </c>
    </row>
    <row r="63" spans="1:11" x14ac:dyDescent="0.25">
      <c r="A63" s="63"/>
      <c r="B63" s="45" t="s">
        <v>63</v>
      </c>
      <c r="C63" s="45" t="s">
        <v>42</v>
      </c>
      <c r="D63" s="7">
        <v>86.835999999999999</v>
      </c>
      <c r="E63" s="41">
        <v>133.4</v>
      </c>
      <c r="F63" s="58"/>
      <c r="G63" s="54"/>
      <c r="H63" s="54"/>
      <c r="I63" s="58"/>
      <c r="J63" s="58"/>
      <c r="K63" s="60"/>
    </row>
    <row r="82" spans="4:4" x14ac:dyDescent="0.25">
      <c r="D82" s="43"/>
    </row>
    <row r="84" spans="4:4" x14ac:dyDescent="0.25">
      <c r="D84" s="43"/>
    </row>
    <row r="86" spans="4:4" x14ac:dyDescent="0.25">
      <c r="D86" s="43"/>
    </row>
    <row r="88" spans="4:4" x14ac:dyDescent="0.25">
      <c r="D88" s="43"/>
    </row>
    <row r="128" spans="4:4" x14ac:dyDescent="0.25">
      <c r="D128" s="43"/>
    </row>
    <row r="129" spans="4:4" x14ac:dyDescent="0.25">
      <c r="D129" s="43"/>
    </row>
    <row r="130" spans="4:4" x14ac:dyDescent="0.25">
      <c r="D130" s="43"/>
    </row>
    <row r="131" spans="4:4" x14ac:dyDescent="0.25">
      <c r="D131" s="43"/>
    </row>
    <row r="132" spans="4:4" x14ac:dyDescent="0.25">
      <c r="D132" s="43"/>
    </row>
    <row r="133" spans="4:4" x14ac:dyDescent="0.25">
      <c r="D133" s="43"/>
    </row>
    <row r="134" spans="4:4" x14ac:dyDescent="0.25">
      <c r="D134" s="43"/>
    </row>
    <row r="135" spans="4:4" x14ac:dyDescent="0.25">
      <c r="D135" s="43"/>
    </row>
    <row r="136" spans="4:4" x14ac:dyDescent="0.25">
      <c r="D136" s="43"/>
    </row>
    <row r="137" spans="4:4" x14ac:dyDescent="0.25">
      <c r="D137" s="43"/>
    </row>
    <row r="138" spans="4:4" x14ac:dyDescent="0.25">
      <c r="D138" s="43"/>
    </row>
    <row r="139" spans="4:4" x14ac:dyDescent="0.25">
      <c r="D139" s="43"/>
    </row>
    <row r="140" spans="4:4" x14ac:dyDescent="0.25">
      <c r="D140" s="43"/>
    </row>
    <row r="141" spans="4:4" x14ac:dyDescent="0.25">
      <c r="D141" s="43"/>
    </row>
    <row r="142" spans="4:4" x14ac:dyDescent="0.25">
      <c r="D142" s="43"/>
    </row>
    <row r="143" spans="4:4" x14ac:dyDescent="0.25">
      <c r="D143" s="43"/>
    </row>
    <row r="144" spans="4:4" x14ac:dyDescent="0.25">
      <c r="D144" s="43"/>
    </row>
    <row r="145" spans="4:4" x14ac:dyDescent="0.25">
      <c r="D145" s="43"/>
    </row>
    <row r="146" spans="4:4" x14ac:dyDescent="0.25">
      <c r="D146" s="43"/>
    </row>
    <row r="147" spans="4:4" x14ac:dyDescent="0.25">
      <c r="D147" s="43"/>
    </row>
    <row r="148" spans="4:4" x14ac:dyDescent="0.25">
      <c r="D148" s="43"/>
    </row>
    <row r="149" spans="4:4" x14ac:dyDescent="0.25">
      <c r="D149" s="43"/>
    </row>
    <row r="150" spans="4:4" x14ac:dyDescent="0.25">
      <c r="D150" s="43"/>
    </row>
    <row r="151" spans="4:4" x14ac:dyDescent="0.25">
      <c r="D151" s="43"/>
    </row>
    <row r="152" spans="4:4" x14ac:dyDescent="0.25">
      <c r="D152" s="43"/>
    </row>
    <row r="153" spans="4:4" x14ac:dyDescent="0.25">
      <c r="D153" s="43"/>
    </row>
    <row r="154" spans="4:4" x14ac:dyDescent="0.25">
      <c r="D154" s="43"/>
    </row>
    <row r="155" spans="4:4" x14ac:dyDescent="0.25">
      <c r="D155" s="43"/>
    </row>
    <row r="156" spans="4:4" x14ac:dyDescent="0.25">
      <c r="D156" s="43"/>
    </row>
    <row r="157" spans="4:4" x14ac:dyDescent="0.25">
      <c r="D157" s="43"/>
    </row>
    <row r="158" spans="4:4" x14ac:dyDescent="0.25">
      <c r="D158" s="43"/>
    </row>
    <row r="159" spans="4:4" x14ac:dyDescent="0.25">
      <c r="D159" s="43"/>
    </row>
    <row r="176" spans="4:4" x14ac:dyDescent="0.25">
      <c r="D176" s="43"/>
    </row>
    <row r="177" spans="4:4" x14ac:dyDescent="0.25">
      <c r="D177" s="43"/>
    </row>
    <row r="178" spans="4:4" x14ac:dyDescent="0.25">
      <c r="D178" s="43"/>
    </row>
    <row r="179" spans="4:4" x14ac:dyDescent="0.25">
      <c r="D179" s="43"/>
    </row>
    <row r="180" spans="4:4" x14ac:dyDescent="0.25">
      <c r="D180" s="43"/>
    </row>
    <row r="181" spans="4:4" x14ac:dyDescent="0.25">
      <c r="D181" s="43"/>
    </row>
    <row r="182" spans="4:4" x14ac:dyDescent="0.25">
      <c r="D182" s="43"/>
    </row>
    <row r="183" spans="4:4" x14ac:dyDescent="0.25">
      <c r="D183" s="43"/>
    </row>
    <row r="184" spans="4:4" x14ac:dyDescent="0.25">
      <c r="D184" s="43"/>
    </row>
    <row r="185" spans="4:4" x14ac:dyDescent="0.25">
      <c r="D185" s="43"/>
    </row>
    <row r="186" spans="4:4" x14ac:dyDescent="0.25">
      <c r="D186" s="43"/>
    </row>
    <row r="187" spans="4:4" x14ac:dyDescent="0.25">
      <c r="D187" s="43"/>
    </row>
    <row r="188" spans="4:4" x14ac:dyDescent="0.25">
      <c r="D188" s="43"/>
    </row>
    <row r="189" spans="4:4" x14ac:dyDescent="0.25">
      <c r="D189" s="43"/>
    </row>
    <row r="190" spans="4:4" x14ac:dyDescent="0.25">
      <c r="D190" s="43"/>
    </row>
    <row r="191" spans="4:4" x14ac:dyDescent="0.25">
      <c r="D191" s="43"/>
    </row>
    <row r="192" spans="4:4" x14ac:dyDescent="0.25">
      <c r="D192" s="43"/>
    </row>
    <row r="193" spans="4:4" x14ac:dyDescent="0.25">
      <c r="D193" s="43"/>
    </row>
    <row r="194" spans="4:4" x14ac:dyDescent="0.25">
      <c r="D194" s="43"/>
    </row>
    <row r="195" spans="4:4" x14ac:dyDescent="0.25">
      <c r="D195" s="43"/>
    </row>
    <row r="196" spans="4:4" x14ac:dyDescent="0.25">
      <c r="D196" s="43"/>
    </row>
  </sheetData>
  <mergeCells count="184">
    <mergeCell ref="K62:K63"/>
    <mergeCell ref="B1:K1"/>
    <mergeCell ref="F62:F63"/>
    <mergeCell ref="G62:G63"/>
    <mergeCell ref="H62:H63"/>
    <mergeCell ref="I62:I63"/>
    <mergeCell ref="J62:J63"/>
    <mergeCell ref="G60:G61"/>
    <mergeCell ref="H60:H61"/>
    <mergeCell ref="I60:I61"/>
    <mergeCell ref="J60:J61"/>
    <mergeCell ref="K60:K61"/>
    <mergeCell ref="I58:I59"/>
    <mergeCell ref="J58:J59"/>
    <mergeCell ref="K58:K59"/>
    <mergeCell ref="F60:F61"/>
    <mergeCell ref="K56:K57"/>
    <mergeCell ref="F58:F59"/>
    <mergeCell ref="G58:G59"/>
    <mergeCell ref="H58:H59"/>
    <mergeCell ref="F56:F57"/>
    <mergeCell ref="G56:G57"/>
    <mergeCell ref="H56:H57"/>
    <mergeCell ref="I56:I57"/>
    <mergeCell ref="J56:J57"/>
    <mergeCell ref="G54:G55"/>
    <mergeCell ref="H54:H55"/>
    <mergeCell ref="I54:I55"/>
    <mergeCell ref="J54:J55"/>
    <mergeCell ref="K54:K55"/>
    <mergeCell ref="I52:I53"/>
    <mergeCell ref="J52:J53"/>
    <mergeCell ref="K52:K53"/>
    <mergeCell ref="I48:I49"/>
    <mergeCell ref="J48:J49"/>
    <mergeCell ref="K48:K49"/>
    <mergeCell ref="I46:I47"/>
    <mergeCell ref="J46:J47"/>
    <mergeCell ref="K46:K47"/>
    <mergeCell ref="F48:F49"/>
    <mergeCell ref="F54:F55"/>
    <mergeCell ref="K50:K51"/>
    <mergeCell ref="F52:F53"/>
    <mergeCell ref="G52:G53"/>
    <mergeCell ref="H52:H53"/>
    <mergeCell ref="F50:F51"/>
    <mergeCell ref="G50:G51"/>
    <mergeCell ref="H50:H51"/>
    <mergeCell ref="I50:I51"/>
    <mergeCell ref="J50:J51"/>
    <mergeCell ref="A44:A63"/>
    <mergeCell ref="F42:F43"/>
    <mergeCell ref="G42:G43"/>
    <mergeCell ref="H42:H43"/>
    <mergeCell ref="I42:I43"/>
    <mergeCell ref="J42:J43"/>
    <mergeCell ref="K42:K43"/>
    <mergeCell ref="F40:F41"/>
    <mergeCell ref="G40:G41"/>
    <mergeCell ref="H40:H41"/>
    <mergeCell ref="I40:I41"/>
    <mergeCell ref="J40:J41"/>
    <mergeCell ref="K40:K41"/>
    <mergeCell ref="K44:K45"/>
    <mergeCell ref="F46:F47"/>
    <mergeCell ref="G46:G47"/>
    <mergeCell ref="H46:H47"/>
    <mergeCell ref="F44:F45"/>
    <mergeCell ref="G44:G45"/>
    <mergeCell ref="H44:H45"/>
    <mergeCell ref="I44:I45"/>
    <mergeCell ref="J44:J45"/>
    <mergeCell ref="G48:G49"/>
    <mergeCell ref="H48:H49"/>
    <mergeCell ref="F38:F39"/>
    <mergeCell ref="G38:G39"/>
    <mergeCell ref="H38:H39"/>
    <mergeCell ref="I38:I39"/>
    <mergeCell ref="J38:J39"/>
    <mergeCell ref="K38:K39"/>
    <mergeCell ref="F36:F37"/>
    <mergeCell ref="G36:G37"/>
    <mergeCell ref="H36:H37"/>
    <mergeCell ref="I36:I37"/>
    <mergeCell ref="J36:J37"/>
    <mergeCell ref="K36:K37"/>
    <mergeCell ref="F34:F35"/>
    <mergeCell ref="G34:G35"/>
    <mergeCell ref="H34:H35"/>
    <mergeCell ref="I34:I35"/>
    <mergeCell ref="J34:J35"/>
    <mergeCell ref="K34:K35"/>
    <mergeCell ref="F32:F33"/>
    <mergeCell ref="G32:G33"/>
    <mergeCell ref="H32:H33"/>
    <mergeCell ref="I32:I33"/>
    <mergeCell ref="J32:J33"/>
    <mergeCell ref="K32:K33"/>
    <mergeCell ref="H30:H31"/>
    <mergeCell ref="I30:I31"/>
    <mergeCell ref="J30:J31"/>
    <mergeCell ref="K30:K31"/>
    <mergeCell ref="F28:F29"/>
    <mergeCell ref="G28:G29"/>
    <mergeCell ref="H28:H29"/>
    <mergeCell ref="I28:I29"/>
    <mergeCell ref="J28:J29"/>
    <mergeCell ref="K28:K29"/>
    <mergeCell ref="G22:G23"/>
    <mergeCell ref="H22:H23"/>
    <mergeCell ref="I22:I23"/>
    <mergeCell ref="J22:J23"/>
    <mergeCell ref="K22:K23"/>
    <mergeCell ref="A24:A43"/>
    <mergeCell ref="I20:I21"/>
    <mergeCell ref="J20:J21"/>
    <mergeCell ref="K20:K21"/>
    <mergeCell ref="F22:F23"/>
    <mergeCell ref="H26:H27"/>
    <mergeCell ref="I26:I27"/>
    <mergeCell ref="J26:J27"/>
    <mergeCell ref="K26:K27"/>
    <mergeCell ref="J24:J25"/>
    <mergeCell ref="K24:K25"/>
    <mergeCell ref="F26:F27"/>
    <mergeCell ref="G26:G27"/>
    <mergeCell ref="F24:F25"/>
    <mergeCell ref="G24:G25"/>
    <mergeCell ref="H24:H25"/>
    <mergeCell ref="I24:I25"/>
    <mergeCell ref="F30:F31"/>
    <mergeCell ref="G30:G31"/>
    <mergeCell ref="K18:K19"/>
    <mergeCell ref="F20:F21"/>
    <mergeCell ref="G20:G21"/>
    <mergeCell ref="H20:H21"/>
    <mergeCell ref="F18:F19"/>
    <mergeCell ref="G18:G19"/>
    <mergeCell ref="H18:H19"/>
    <mergeCell ref="I18:I19"/>
    <mergeCell ref="J18:J19"/>
    <mergeCell ref="G16:G17"/>
    <mergeCell ref="H16:H17"/>
    <mergeCell ref="I16:I17"/>
    <mergeCell ref="J16:J17"/>
    <mergeCell ref="K16:K17"/>
    <mergeCell ref="I14:I15"/>
    <mergeCell ref="J14:J15"/>
    <mergeCell ref="K14:K15"/>
    <mergeCell ref="F16:F17"/>
    <mergeCell ref="F10:F11"/>
    <mergeCell ref="K12:K13"/>
    <mergeCell ref="F14:F15"/>
    <mergeCell ref="G14:G15"/>
    <mergeCell ref="H14:H15"/>
    <mergeCell ref="F12:F13"/>
    <mergeCell ref="G12:G13"/>
    <mergeCell ref="H12:H13"/>
    <mergeCell ref="I12:I13"/>
    <mergeCell ref="J12:J13"/>
    <mergeCell ref="G4:G5"/>
    <mergeCell ref="H4:H5"/>
    <mergeCell ref="I4:I5"/>
    <mergeCell ref="J4:J5"/>
    <mergeCell ref="K4:K5"/>
    <mergeCell ref="A4:A23"/>
    <mergeCell ref="F4:F5"/>
    <mergeCell ref="K6:K7"/>
    <mergeCell ref="F8:F9"/>
    <mergeCell ref="G8:G9"/>
    <mergeCell ref="H8:H9"/>
    <mergeCell ref="F6:F7"/>
    <mergeCell ref="G6:G7"/>
    <mergeCell ref="H6:H7"/>
    <mergeCell ref="I6:I7"/>
    <mergeCell ref="J6:J7"/>
    <mergeCell ref="G10:G11"/>
    <mergeCell ref="H10:H11"/>
    <mergeCell ref="I10:I11"/>
    <mergeCell ref="J10:J11"/>
    <mergeCell ref="K10:K11"/>
    <mergeCell ref="I8:I9"/>
    <mergeCell ref="J8:J9"/>
    <mergeCell ref="K8:K9"/>
  </mergeCells>
  <conditionalFormatting sqref="J4:J63">
    <cfRule type="cellIs" dxfId="25" priority="2" operator="equal">
      <formula>"OK"</formula>
    </cfRule>
    <cfRule type="cellIs" dxfId="24" priority="3" operator="equal">
      <formula>"NO"</formula>
    </cfRule>
    <cfRule type="colorScale" priority="4">
      <colorScale>
        <cfvo type="num" val="&quot;NO&quot;"/>
        <cfvo type="num" val="&quot;OK&quot;"/>
        <color rgb="FFFF0000"/>
        <color rgb="FF43FF59"/>
      </colorScale>
    </cfRule>
  </conditionalFormatting>
  <conditionalFormatting sqref="A4:A6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78A9-9124-4ACE-9A60-532BE2D4D92A}">
  <sheetPr>
    <pageSetUpPr fitToPage="1"/>
  </sheetPr>
  <dimension ref="A1:K196"/>
  <sheetViews>
    <sheetView zoomScale="55" zoomScaleNormal="55" workbookViewId="0">
      <pane ySplit="3" topLeftCell="A30" activePane="bottomLeft" state="frozen"/>
      <selection pane="bottomLeft" activeCell="R52" sqref="R52"/>
    </sheetView>
  </sheetViews>
  <sheetFormatPr defaultRowHeight="15" x14ac:dyDescent="0.25"/>
  <cols>
    <col min="1" max="1" width="5.85546875" style="9" customWidth="1"/>
    <col min="2" max="3" width="9.140625" style="10" customWidth="1"/>
    <col min="4" max="5" width="10" style="10" customWidth="1"/>
    <col min="6" max="6" width="10.5703125" style="10" customWidth="1"/>
    <col min="7" max="7" width="11" style="8" customWidth="1"/>
    <col min="8" max="8" width="11.5703125" style="8" customWidth="1"/>
    <col min="9" max="9" width="11.28515625" style="8" customWidth="1"/>
    <col min="10" max="10" width="24.85546875" style="8" customWidth="1"/>
    <col min="11" max="11" width="11.85546875" style="8" customWidth="1"/>
    <col min="12" max="16384" width="9.140625" style="8"/>
  </cols>
  <sheetData>
    <row r="1" spans="1:11" ht="27" thickBot="1" x14ac:dyDescent="0.45">
      <c r="B1" s="64" t="s">
        <v>27</v>
      </c>
      <c r="C1" s="65"/>
      <c r="D1" s="65"/>
      <c r="E1" s="65"/>
      <c r="F1" s="67"/>
      <c r="G1" s="67"/>
      <c r="H1" s="67"/>
      <c r="I1" s="67"/>
      <c r="J1" s="67"/>
      <c r="K1" s="68"/>
    </row>
    <row r="2" spans="1:11" ht="18.75" thickBot="1" x14ac:dyDescent="0.4">
      <c r="B2" s="17" t="s">
        <v>0</v>
      </c>
      <c r="C2" s="17" t="s">
        <v>31</v>
      </c>
      <c r="D2" s="18" t="s">
        <v>32</v>
      </c>
      <c r="E2" s="18" t="s">
        <v>28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29</v>
      </c>
      <c r="K2" s="5" t="s">
        <v>120</v>
      </c>
    </row>
    <row r="3" spans="1:11" ht="15.75" thickBot="1" x14ac:dyDescent="0.3">
      <c r="B3" s="19" t="s">
        <v>1</v>
      </c>
      <c r="C3" s="19" t="s">
        <v>1</v>
      </c>
      <c r="D3" s="20" t="s">
        <v>2</v>
      </c>
      <c r="E3" s="20" t="s">
        <v>23</v>
      </c>
      <c r="F3" s="5" t="s">
        <v>23</v>
      </c>
      <c r="G3" s="5" t="s">
        <v>23</v>
      </c>
      <c r="H3" s="5" t="s">
        <v>23</v>
      </c>
      <c r="I3" s="5" t="s">
        <v>23</v>
      </c>
      <c r="J3" s="5" t="s">
        <v>96</v>
      </c>
      <c r="K3" s="5" t="s">
        <v>70</v>
      </c>
    </row>
    <row r="4" spans="1:11" ht="15" customHeight="1" x14ac:dyDescent="0.25">
      <c r="A4" s="61" t="s">
        <v>24</v>
      </c>
      <c r="B4" s="45" t="s">
        <v>3</v>
      </c>
      <c r="C4" s="45" t="s">
        <v>4</v>
      </c>
      <c r="D4" s="7">
        <v>40.210999999999999</v>
      </c>
      <c r="E4" s="2">
        <v>131.1</v>
      </c>
      <c r="F4" s="69">
        <f>SUM(E4:E5)</f>
        <v>262.79999999999995</v>
      </c>
      <c r="G4" s="53">
        <v>164.0068343387621</v>
      </c>
      <c r="H4" s="71">
        <v>0</v>
      </c>
      <c r="I4" s="57">
        <f>SUM(G4:G5)</f>
        <v>164.0068343387621</v>
      </c>
      <c r="J4" s="57" t="str">
        <f>IF(F4&gt;1.3*I4,"OK","NO")</f>
        <v>OK</v>
      </c>
      <c r="K4" s="59">
        <f>1.3*I4/F4</f>
        <v>0.81129712572447021</v>
      </c>
    </row>
    <row r="5" spans="1:11" x14ac:dyDescent="0.25">
      <c r="A5" s="61"/>
      <c r="B5" s="45" t="s">
        <v>8</v>
      </c>
      <c r="C5" s="45" t="s">
        <v>4</v>
      </c>
      <c r="D5" s="7">
        <v>54.19</v>
      </c>
      <c r="E5" s="2">
        <v>131.69999999999999</v>
      </c>
      <c r="F5" s="70"/>
      <c r="G5" s="54"/>
      <c r="H5" s="72"/>
      <c r="I5" s="58"/>
      <c r="J5" s="58"/>
      <c r="K5" s="60"/>
    </row>
    <row r="6" spans="1:11" x14ac:dyDescent="0.25">
      <c r="A6" s="61"/>
      <c r="B6" s="45" t="s">
        <v>4</v>
      </c>
      <c r="C6" s="45" t="s">
        <v>6</v>
      </c>
      <c r="D6" s="7">
        <v>248.76</v>
      </c>
      <c r="E6" s="2">
        <v>152.4</v>
      </c>
      <c r="F6" s="70">
        <f>SUM(E6:E7)</f>
        <v>299.20000000000005</v>
      </c>
      <c r="G6" s="58">
        <v>162.861199119221</v>
      </c>
      <c r="H6" s="72">
        <v>0</v>
      </c>
      <c r="I6" s="58">
        <f t="shared" ref="I6" si="0">SUM(G6:H7)</f>
        <v>162.861199119221</v>
      </c>
      <c r="J6" s="58" t="str">
        <f>IF(F6&gt;1.3*I6,"OK","NO")</f>
        <v>OK</v>
      </c>
      <c r="K6" s="60">
        <f t="shared" ref="K6" si="1">1.3*I6/F6</f>
        <v>0.70761884644046547</v>
      </c>
    </row>
    <row r="7" spans="1:11" x14ac:dyDescent="0.25">
      <c r="A7" s="61"/>
      <c r="B7" s="45" t="s">
        <v>9</v>
      </c>
      <c r="C7" s="45" t="s">
        <v>6</v>
      </c>
      <c r="D7" s="7">
        <v>201.35</v>
      </c>
      <c r="E7" s="2">
        <v>146.80000000000001</v>
      </c>
      <c r="F7" s="70"/>
      <c r="G7" s="58"/>
      <c r="H7" s="72"/>
      <c r="I7" s="58"/>
      <c r="J7" s="58"/>
      <c r="K7" s="60"/>
    </row>
    <row r="8" spans="1:11" x14ac:dyDescent="0.25">
      <c r="A8" s="61"/>
      <c r="B8" s="45" t="s">
        <v>5</v>
      </c>
      <c r="C8" s="45" t="s">
        <v>8</v>
      </c>
      <c r="D8" s="7">
        <v>306.07100000000003</v>
      </c>
      <c r="E8" s="2">
        <v>158.19999999999999</v>
      </c>
      <c r="F8" s="70">
        <f>SUM(E8:E9)</f>
        <v>309.29999999999995</v>
      </c>
      <c r="G8" s="58">
        <v>162.861199119221</v>
      </c>
      <c r="H8" s="72">
        <v>0</v>
      </c>
      <c r="I8" s="58">
        <f t="shared" ref="I8" si="2">SUM(G8:H9)</f>
        <v>162.861199119221</v>
      </c>
      <c r="J8" s="58" t="str">
        <f>IF(F8&gt;1.3*I8,"OK","NO")</f>
        <v>OK</v>
      </c>
      <c r="K8" s="60">
        <f t="shared" ref="K8" si="3">1.3*I8/F8</f>
        <v>0.68451199112508032</v>
      </c>
    </row>
    <row r="9" spans="1:11" x14ac:dyDescent="0.25">
      <c r="A9" s="61"/>
      <c r="B9" s="45" t="s">
        <v>10</v>
      </c>
      <c r="C9" s="45" t="s">
        <v>8</v>
      </c>
      <c r="D9" s="7">
        <v>244.739</v>
      </c>
      <c r="E9" s="2">
        <v>151.1</v>
      </c>
      <c r="F9" s="70"/>
      <c r="G9" s="58"/>
      <c r="H9" s="72"/>
      <c r="I9" s="58"/>
      <c r="J9" s="58"/>
      <c r="K9" s="60"/>
    </row>
    <row r="10" spans="1:11" x14ac:dyDescent="0.25">
      <c r="A10" s="61"/>
      <c r="B10" s="45" t="s">
        <v>6</v>
      </c>
      <c r="C10" s="45" t="s">
        <v>10</v>
      </c>
      <c r="D10" s="7">
        <v>275.85599999999999</v>
      </c>
      <c r="E10" s="2">
        <v>155.19999999999999</v>
      </c>
      <c r="F10" s="70">
        <f>SUM(E10:E11)</f>
        <v>304.29999999999995</v>
      </c>
      <c r="G10" s="58">
        <v>162.861199119221</v>
      </c>
      <c r="H10" s="72">
        <v>0</v>
      </c>
      <c r="I10" s="58">
        <f t="shared" ref="I10" si="4">SUM(G10:H11)</f>
        <v>162.861199119221</v>
      </c>
      <c r="J10" s="58" t="str">
        <f>IF(F10&gt;1.3*I10,"OK","NO")</f>
        <v>OK</v>
      </c>
      <c r="K10" s="60">
        <f t="shared" ref="K10" si="5">1.3*I10/F10</f>
        <v>0.69575931270124003</v>
      </c>
    </row>
    <row r="11" spans="1:11" x14ac:dyDescent="0.25">
      <c r="A11" s="61"/>
      <c r="B11" s="45" t="s">
        <v>11</v>
      </c>
      <c r="C11" s="45" t="s">
        <v>10</v>
      </c>
      <c r="D11" s="7">
        <v>224.60499999999999</v>
      </c>
      <c r="E11" s="2">
        <v>149.1</v>
      </c>
      <c r="F11" s="70"/>
      <c r="G11" s="58"/>
      <c r="H11" s="72"/>
      <c r="I11" s="58"/>
      <c r="J11" s="58"/>
      <c r="K11" s="60"/>
    </row>
    <row r="12" spans="1:11" x14ac:dyDescent="0.25">
      <c r="A12" s="61"/>
      <c r="B12" s="45" t="s">
        <v>7</v>
      </c>
      <c r="C12" s="45" t="s">
        <v>12</v>
      </c>
      <c r="D12" s="7">
        <v>37.24</v>
      </c>
      <c r="E12" s="2">
        <v>130.69999999999999</v>
      </c>
      <c r="F12" s="70">
        <f>SUM(E12:E13)</f>
        <v>262.29999999999995</v>
      </c>
      <c r="G12" s="54">
        <v>164.0068343387621</v>
      </c>
      <c r="H12" s="72">
        <v>0</v>
      </c>
      <c r="I12" s="58">
        <f t="shared" ref="I12" si="6">SUM(G12:H13)</f>
        <v>164.0068343387621</v>
      </c>
      <c r="J12" s="58" t="str">
        <f>IF(F12&gt;1.3*I12,"OK","NO")</f>
        <v>OK</v>
      </c>
      <c r="K12" s="60">
        <f t="shared" ref="K12" si="7">1.3*I12/F12</f>
        <v>0.81284363187339226</v>
      </c>
    </row>
    <row r="13" spans="1:11" x14ac:dyDescent="0.25">
      <c r="A13" s="61"/>
      <c r="B13" s="45" t="s">
        <v>12</v>
      </c>
      <c r="C13" s="45" t="s">
        <v>12</v>
      </c>
      <c r="D13" s="7">
        <v>53.018999999999998</v>
      </c>
      <c r="E13" s="2">
        <v>131.6</v>
      </c>
      <c r="F13" s="70"/>
      <c r="G13" s="54"/>
      <c r="H13" s="72"/>
      <c r="I13" s="58"/>
      <c r="J13" s="58"/>
      <c r="K13" s="60"/>
    </row>
    <row r="14" spans="1:11" x14ac:dyDescent="0.25">
      <c r="A14" s="61"/>
      <c r="B14" s="45" t="s">
        <v>33</v>
      </c>
      <c r="C14" s="45" t="s">
        <v>34</v>
      </c>
      <c r="D14" s="7">
        <v>447.00900000000001</v>
      </c>
      <c r="E14" s="2">
        <v>316.8</v>
      </c>
      <c r="F14" s="70">
        <f>SUM(E14:E15)</f>
        <v>585.5</v>
      </c>
      <c r="G14" s="54">
        <v>195.80299263103299</v>
      </c>
      <c r="H14" s="54">
        <v>106.01488526297</v>
      </c>
      <c r="I14" s="58">
        <f>SUM(G14:H15)</f>
        <v>301.817877894003</v>
      </c>
      <c r="J14" s="58" t="str">
        <f>IF(F14&gt;1.3*I14,"OK","NO")</f>
        <v>OK</v>
      </c>
      <c r="K14" s="60">
        <f t="shared" ref="K14" si="8">1.3*I14/F14</f>
        <v>0.67013363153237215</v>
      </c>
    </row>
    <row r="15" spans="1:11" x14ac:dyDescent="0.25">
      <c r="A15" s="61"/>
      <c r="B15" s="45" t="s">
        <v>35</v>
      </c>
      <c r="C15" s="45" t="s">
        <v>34</v>
      </c>
      <c r="D15" s="7">
        <v>335.93200000000002</v>
      </c>
      <c r="E15" s="2">
        <v>268.7</v>
      </c>
      <c r="F15" s="70"/>
      <c r="G15" s="54"/>
      <c r="H15" s="54"/>
      <c r="I15" s="58"/>
      <c r="J15" s="58"/>
      <c r="K15" s="60"/>
    </row>
    <row r="16" spans="1:11" x14ac:dyDescent="0.25">
      <c r="A16" s="61"/>
      <c r="B16" s="45" t="s">
        <v>36</v>
      </c>
      <c r="C16" s="45" t="s">
        <v>37</v>
      </c>
      <c r="D16" s="7">
        <v>650.36500000000001</v>
      </c>
      <c r="E16" s="2">
        <v>338.3</v>
      </c>
      <c r="F16" s="70">
        <f>SUM(E16:E17)</f>
        <v>623.1</v>
      </c>
      <c r="G16" s="54">
        <v>195.80299263103299</v>
      </c>
      <c r="H16" s="54">
        <v>106.01488526297</v>
      </c>
      <c r="I16" s="58">
        <f t="shared" ref="I16" si="9">SUM(G16:H17)</f>
        <v>301.817877894003</v>
      </c>
      <c r="J16" s="58" t="str">
        <f>IF(F16&gt;1.3*I16,"OK","NO")</f>
        <v>OK</v>
      </c>
      <c r="K16" s="60">
        <f t="shared" ref="K16" si="10">1.3*I16/F16</f>
        <v>0.6296954602185908</v>
      </c>
    </row>
    <row r="17" spans="1:11" x14ac:dyDescent="0.25">
      <c r="A17" s="61"/>
      <c r="B17" s="45" t="s">
        <v>38</v>
      </c>
      <c r="C17" s="45" t="s">
        <v>37</v>
      </c>
      <c r="D17" s="7">
        <v>494.517</v>
      </c>
      <c r="E17" s="2">
        <v>284.8</v>
      </c>
      <c r="F17" s="70"/>
      <c r="G17" s="54"/>
      <c r="H17" s="54"/>
      <c r="I17" s="58"/>
      <c r="J17" s="58"/>
      <c r="K17" s="60"/>
    </row>
    <row r="18" spans="1:11" x14ac:dyDescent="0.25">
      <c r="A18" s="61"/>
      <c r="B18" s="45" t="s">
        <v>39</v>
      </c>
      <c r="C18" s="45" t="s">
        <v>40</v>
      </c>
      <c r="D18" s="7">
        <v>760.322</v>
      </c>
      <c r="E18" s="2">
        <v>348.5</v>
      </c>
      <c r="F18" s="70">
        <f>SUM(E18:E19)</f>
        <v>640.29999999999995</v>
      </c>
      <c r="G18" s="54">
        <v>214.10769616628301</v>
      </c>
      <c r="H18" s="54">
        <v>106.01488526297</v>
      </c>
      <c r="I18" s="58">
        <f t="shared" ref="I18" si="11">SUM(G18:H19)</f>
        <v>320.12258142925299</v>
      </c>
      <c r="J18" s="58" t="str">
        <f>IF(F18&gt;1.3*I18,"OK","NO")</f>
        <v>OK</v>
      </c>
      <c r="K18" s="60">
        <f t="shared" ref="K18" si="12">1.3*I18/F18</f>
        <v>0.64994433212248781</v>
      </c>
    </row>
    <row r="19" spans="1:11" x14ac:dyDescent="0.25">
      <c r="A19" s="61"/>
      <c r="B19" s="45" t="s">
        <v>41</v>
      </c>
      <c r="C19" s="45" t="s">
        <v>40</v>
      </c>
      <c r="D19" s="7">
        <v>575.79600000000005</v>
      </c>
      <c r="E19" s="2">
        <v>291.8</v>
      </c>
      <c r="F19" s="70"/>
      <c r="G19" s="54"/>
      <c r="H19" s="54"/>
      <c r="I19" s="58"/>
      <c r="J19" s="58"/>
      <c r="K19" s="60"/>
    </row>
    <row r="20" spans="1:11" x14ac:dyDescent="0.25">
      <c r="A20" s="61"/>
      <c r="B20" s="45" t="s">
        <v>42</v>
      </c>
      <c r="C20" s="45" t="s">
        <v>43</v>
      </c>
      <c r="D20" s="7">
        <v>754.00599999999997</v>
      </c>
      <c r="E20" s="2">
        <v>348</v>
      </c>
      <c r="F20" s="70">
        <f>SUM(E20:E21)</f>
        <v>639.4</v>
      </c>
      <c r="G20" s="54">
        <v>214.10769616628301</v>
      </c>
      <c r="H20" s="54">
        <v>106.01488526297</v>
      </c>
      <c r="I20" s="58">
        <f t="shared" ref="I20" si="13">SUM(G20:H21)</f>
        <v>320.12258142925299</v>
      </c>
      <c r="J20" s="58" t="str">
        <f>IF(F20&gt;1.3*I20,"OK","NO")</f>
        <v>OK</v>
      </c>
      <c r="K20" s="60">
        <f t="shared" ref="K20" si="14">1.3*I20/F20</f>
        <v>0.65085917400379878</v>
      </c>
    </row>
    <row r="21" spans="1:11" x14ac:dyDescent="0.25">
      <c r="A21" s="61"/>
      <c r="B21" s="45" t="s">
        <v>44</v>
      </c>
      <c r="C21" s="45" t="s">
        <v>43</v>
      </c>
      <c r="D21" s="7">
        <v>571.35799999999995</v>
      </c>
      <c r="E21" s="2">
        <v>291.39999999999998</v>
      </c>
      <c r="F21" s="70"/>
      <c r="G21" s="54"/>
      <c r="H21" s="54"/>
      <c r="I21" s="58"/>
      <c r="J21" s="58"/>
      <c r="K21" s="60"/>
    </row>
    <row r="22" spans="1:11" x14ac:dyDescent="0.25">
      <c r="A22" s="61"/>
      <c r="B22" s="45" t="s">
        <v>45</v>
      </c>
      <c r="C22" s="45" t="s">
        <v>46</v>
      </c>
      <c r="D22" s="7">
        <v>441.69200000000001</v>
      </c>
      <c r="E22" s="7">
        <v>316.10000000000002</v>
      </c>
      <c r="F22" s="70">
        <f>SUM(E22:E23)</f>
        <v>584.5</v>
      </c>
      <c r="G22" s="54">
        <v>195.80299263103299</v>
      </c>
      <c r="H22" s="54">
        <v>106.01488526297</v>
      </c>
      <c r="I22" s="58">
        <f t="shared" ref="I22" si="15">SUM(G22:H23)</f>
        <v>301.817877894003</v>
      </c>
      <c r="J22" s="58" t="str">
        <f>IF(F22&gt;1.3*I22,"OK","NO")</f>
        <v>OK</v>
      </c>
      <c r="K22" s="60">
        <f t="shared" ref="K22" si="16">1.3*I22/F22</f>
        <v>0.67128013902857819</v>
      </c>
    </row>
    <row r="23" spans="1:11" x14ac:dyDescent="0.25">
      <c r="A23" s="61"/>
      <c r="B23" s="45" t="s">
        <v>47</v>
      </c>
      <c r="C23" s="45" t="s">
        <v>46</v>
      </c>
      <c r="D23" s="7">
        <v>333.61500000000001</v>
      </c>
      <c r="E23" s="2">
        <v>268.39999999999998</v>
      </c>
      <c r="F23" s="70"/>
      <c r="G23" s="54"/>
      <c r="H23" s="54"/>
      <c r="I23" s="58"/>
      <c r="J23" s="58"/>
      <c r="K23" s="60"/>
    </row>
    <row r="24" spans="1:11" x14ac:dyDescent="0.25">
      <c r="A24" s="62" t="s">
        <v>25</v>
      </c>
      <c r="B24" s="45" t="s">
        <v>8</v>
      </c>
      <c r="C24" s="45" t="s">
        <v>13</v>
      </c>
      <c r="D24" s="7">
        <v>42.942999999999998</v>
      </c>
      <c r="E24" s="2">
        <v>130.6</v>
      </c>
      <c r="F24" s="70">
        <f>SUM(E24:E25)</f>
        <v>261.29999999999995</v>
      </c>
      <c r="G24" s="54">
        <v>164.0068343387621</v>
      </c>
      <c r="H24" s="72">
        <v>0</v>
      </c>
      <c r="I24" s="58">
        <f t="shared" ref="I24" si="17">SUM(G24:H25)</f>
        <v>164.0068343387621</v>
      </c>
      <c r="J24" s="58" t="str">
        <f>IF(F24&gt;1.3*I24,"OK","NO")</f>
        <v>OK</v>
      </c>
      <c r="K24" s="60">
        <f t="shared" ref="K24" si="18">1.3*I24/F24</f>
        <v>0.81595439969533401</v>
      </c>
    </row>
    <row r="25" spans="1:11" x14ac:dyDescent="0.25">
      <c r="A25" s="62"/>
      <c r="B25" s="45" t="s">
        <v>13</v>
      </c>
      <c r="C25" s="45" t="s">
        <v>13</v>
      </c>
      <c r="D25" s="7">
        <v>51.828000000000003</v>
      </c>
      <c r="E25" s="2">
        <v>130.69999999999999</v>
      </c>
      <c r="F25" s="70"/>
      <c r="G25" s="54"/>
      <c r="H25" s="72"/>
      <c r="I25" s="58"/>
      <c r="J25" s="58"/>
      <c r="K25" s="60"/>
    </row>
    <row r="26" spans="1:11" x14ac:dyDescent="0.25">
      <c r="A26" s="62"/>
      <c r="B26" s="45" t="s">
        <v>9</v>
      </c>
      <c r="C26" s="45" t="s">
        <v>14</v>
      </c>
      <c r="D26" s="7">
        <v>190.10400000000001</v>
      </c>
      <c r="E26" s="2">
        <v>145.69999999999999</v>
      </c>
      <c r="F26" s="70">
        <f>SUM(E26:E27)</f>
        <v>285.2</v>
      </c>
      <c r="G26" s="58">
        <v>162.861199119221</v>
      </c>
      <c r="H26" s="72">
        <v>0</v>
      </c>
      <c r="I26" s="58">
        <f t="shared" ref="I26" si="19">SUM(G26:H27)</f>
        <v>162.861199119221</v>
      </c>
      <c r="J26" s="58" t="str">
        <f>IF(F26&gt;1.3*I26,"OK","NO")</f>
        <v>OK</v>
      </c>
      <c r="K26" s="60">
        <f t="shared" ref="K26" si="20">1.3*I26/F26</f>
        <v>0.74235469444245195</v>
      </c>
    </row>
    <row r="27" spans="1:11" x14ac:dyDescent="0.25">
      <c r="A27" s="62"/>
      <c r="B27" s="45" t="s">
        <v>14</v>
      </c>
      <c r="C27" s="45" t="s">
        <v>14</v>
      </c>
      <c r="D27" s="7">
        <v>137.89400000000001</v>
      </c>
      <c r="E27" s="2">
        <v>139.5</v>
      </c>
      <c r="F27" s="70"/>
      <c r="G27" s="58"/>
      <c r="H27" s="72"/>
      <c r="I27" s="58"/>
      <c r="J27" s="58"/>
      <c r="K27" s="60"/>
    </row>
    <row r="28" spans="1:11" x14ac:dyDescent="0.25">
      <c r="A28" s="62"/>
      <c r="B28" s="45" t="s">
        <v>10</v>
      </c>
      <c r="C28" s="45" t="s">
        <v>15</v>
      </c>
      <c r="D28" s="7">
        <v>233.49199999999999</v>
      </c>
      <c r="E28" s="2">
        <v>150</v>
      </c>
      <c r="F28" s="70">
        <f>SUM(E28:E29)</f>
        <v>291.3</v>
      </c>
      <c r="G28" s="58">
        <v>162.861199119221</v>
      </c>
      <c r="H28" s="72">
        <v>0</v>
      </c>
      <c r="I28" s="58">
        <f t="shared" ref="I28" si="21">SUM(G28:H29)</f>
        <v>162.861199119221</v>
      </c>
      <c r="J28" s="58" t="str">
        <f>IF(F28&gt;1.3*I28,"OK","NO")</f>
        <v>OK</v>
      </c>
      <c r="K28" s="60">
        <f t="shared" ref="K28" si="22">1.3*I28/F28</f>
        <v>0.72680933352209853</v>
      </c>
    </row>
    <row r="29" spans="1:11" x14ac:dyDescent="0.25">
      <c r="A29" s="62"/>
      <c r="B29" s="45" t="s">
        <v>15</v>
      </c>
      <c r="C29" s="45" t="s">
        <v>15</v>
      </c>
      <c r="D29" s="7">
        <v>166.45400000000001</v>
      </c>
      <c r="E29" s="2">
        <v>141.30000000000001</v>
      </c>
      <c r="F29" s="70"/>
      <c r="G29" s="58"/>
      <c r="H29" s="72"/>
      <c r="I29" s="58"/>
      <c r="J29" s="58"/>
      <c r="K29" s="60"/>
    </row>
    <row r="30" spans="1:11" x14ac:dyDescent="0.25">
      <c r="A30" s="62"/>
      <c r="B30" s="45" t="s">
        <v>11</v>
      </c>
      <c r="C30" s="45" t="s">
        <v>16</v>
      </c>
      <c r="D30" s="7">
        <v>213.358</v>
      </c>
      <c r="E30" s="2">
        <v>148</v>
      </c>
      <c r="F30" s="70">
        <f>SUM(E30:E31)</f>
        <v>289.3</v>
      </c>
      <c r="G30" s="58">
        <v>162.861199119221</v>
      </c>
      <c r="H30" s="72">
        <v>0</v>
      </c>
      <c r="I30" s="58">
        <f t="shared" ref="I30" si="23">SUM(G30:H31)</f>
        <v>162.861199119221</v>
      </c>
      <c r="J30" s="58" t="str">
        <f>IF(F30&gt;1.3*I30,"OK","NO")</f>
        <v>OK</v>
      </c>
      <c r="K30" s="60">
        <f t="shared" ref="K30" si="24">1.3*I30/F30</f>
        <v>0.73183394004489211</v>
      </c>
    </row>
    <row r="31" spans="1:11" x14ac:dyDescent="0.25">
      <c r="A31" s="62"/>
      <c r="B31" s="45" t="s">
        <v>16</v>
      </c>
      <c r="C31" s="45" t="s">
        <v>16</v>
      </c>
      <c r="D31" s="7">
        <v>156.28100000000001</v>
      </c>
      <c r="E31" s="2">
        <v>141.30000000000001</v>
      </c>
      <c r="F31" s="70"/>
      <c r="G31" s="58"/>
      <c r="H31" s="72"/>
      <c r="I31" s="58"/>
      <c r="J31" s="58"/>
      <c r="K31" s="60"/>
    </row>
    <row r="32" spans="1:11" x14ac:dyDescent="0.25">
      <c r="A32" s="62"/>
      <c r="B32" s="45" t="s">
        <v>12</v>
      </c>
      <c r="C32" s="45" t="s">
        <v>17</v>
      </c>
      <c r="D32" s="7">
        <v>41.773000000000003</v>
      </c>
      <c r="E32" s="2">
        <v>130.4</v>
      </c>
      <c r="F32" s="70">
        <f>SUM(E32:E33)</f>
        <v>261</v>
      </c>
      <c r="G32" s="54">
        <v>164.0068343387621</v>
      </c>
      <c r="H32" s="72">
        <v>0</v>
      </c>
      <c r="I32" s="58">
        <f t="shared" ref="I32" si="25">SUM(G32:H33)</f>
        <v>164.0068343387621</v>
      </c>
      <c r="J32" s="58" t="str">
        <f>IF(F32&gt;1.3*I32,"OK","NO")</f>
        <v>OK</v>
      </c>
      <c r="K32" s="60">
        <f t="shared" ref="K32" si="26">1.3*I32/F32</f>
        <v>0.81689227831567335</v>
      </c>
    </row>
    <row r="33" spans="1:11" x14ac:dyDescent="0.25">
      <c r="A33" s="62"/>
      <c r="B33" s="45" t="s">
        <v>17</v>
      </c>
      <c r="C33" s="45" t="s">
        <v>17</v>
      </c>
      <c r="D33" s="7">
        <v>51.773000000000003</v>
      </c>
      <c r="E33" s="2">
        <v>130.6</v>
      </c>
      <c r="F33" s="70"/>
      <c r="G33" s="54"/>
      <c r="H33" s="72"/>
      <c r="I33" s="58"/>
      <c r="J33" s="58"/>
      <c r="K33" s="60"/>
    </row>
    <row r="34" spans="1:11" x14ac:dyDescent="0.25">
      <c r="A34" s="62"/>
      <c r="B34" s="45" t="s">
        <v>35</v>
      </c>
      <c r="C34" s="45" t="s">
        <v>48</v>
      </c>
      <c r="D34" s="7">
        <v>324.685</v>
      </c>
      <c r="E34" s="2">
        <v>267.5</v>
      </c>
      <c r="F34" s="70">
        <f>SUM(E34:E35)</f>
        <v>490.5</v>
      </c>
      <c r="G34" s="54">
        <v>195.80299263103299</v>
      </c>
      <c r="H34" s="54">
        <v>106.01488526297</v>
      </c>
      <c r="I34" s="58">
        <f t="shared" ref="I34" si="27">SUM(G34:H35)</f>
        <v>301.817877894003</v>
      </c>
      <c r="J34" s="58" t="str">
        <f>IF(F34&gt;1.3*I34,"OK","NO")</f>
        <v>OK</v>
      </c>
      <c r="K34" s="60">
        <f t="shared" ref="K34" si="28">1.3*I34/F34</f>
        <v>0.79992505863854013</v>
      </c>
    </row>
    <row r="35" spans="1:11" x14ac:dyDescent="0.25">
      <c r="A35" s="62"/>
      <c r="B35" s="45" t="s">
        <v>49</v>
      </c>
      <c r="C35" s="45" t="s">
        <v>48</v>
      </c>
      <c r="D35" s="7">
        <v>213.893</v>
      </c>
      <c r="E35" s="2">
        <v>223</v>
      </c>
      <c r="F35" s="70"/>
      <c r="G35" s="54"/>
      <c r="H35" s="54"/>
      <c r="I35" s="58"/>
      <c r="J35" s="58"/>
      <c r="K35" s="60"/>
    </row>
    <row r="36" spans="1:11" x14ac:dyDescent="0.25">
      <c r="A36" s="62"/>
      <c r="B36" s="45" t="s">
        <v>38</v>
      </c>
      <c r="C36" s="45" t="s">
        <v>18</v>
      </c>
      <c r="D36" s="7">
        <v>483.27</v>
      </c>
      <c r="E36" s="2">
        <v>283.3</v>
      </c>
      <c r="F36" s="70">
        <f>SUM(E36:E37)</f>
        <v>516.79999999999995</v>
      </c>
      <c r="G36" s="54">
        <v>195.80299263103299</v>
      </c>
      <c r="H36" s="54">
        <v>106.01488526297</v>
      </c>
      <c r="I36" s="58">
        <f t="shared" ref="I36" si="29">SUM(G36:H37)</f>
        <v>301.817877894003</v>
      </c>
      <c r="J36" s="58" t="str">
        <f>IF(F36&gt;1.3*I36,"OK","NO")</f>
        <v>OK</v>
      </c>
      <c r="K36" s="60">
        <f t="shared" ref="K36" si="30">1.3*I36/F36</f>
        <v>0.75921679810797982</v>
      </c>
    </row>
    <row r="37" spans="1:11" x14ac:dyDescent="0.25">
      <c r="A37" s="62"/>
      <c r="B37" s="45" t="s">
        <v>50</v>
      </c>
      <c r="C37" s="45" t="s">
        <v>18</v>
      </c>
      <c r="D37" s="7">
        <v>328.63200000000001</v>
      </c>
      <c r="E37" s="2">
        <v>233.5</v>
      </c>
      <c r="F37" s="70"/>
      <c r="G37" s="54"/>
      <c r="H37" s="54"/>
      <c r="I37" s="58"/>
      <c r="J37" s="58"/>
      <c r="K37" s="60"/>
    </row>
    <row r="38" spans="1:11" x14ac:dyDescent="0.25">
      <c r="A38" s="62"/>
      <c r="B38" s="45" t="s">
        <v>41</v>
      </c>
      <c r="C38" s="45" t="s">
        <v>19</v>
      </c>
      <c r="D38" s="7">
        <v>564.54899999999998</v>
      </c>
      <c r="E38" s="2">
        <v>290.8</v>
      </c>
      <c r="F38" s="70">
        <f>SUM(E38:E39)</f>
        <v>528.9</v>
      </c>
      <c r="G38" s="54">
        <v>214.10769616628301</v>
      </c>
      <c r="H38" s="54">
        <v>106.01488526297</v>
      </c>
      <c r="I38" s="58">
        <f t="shared" ref="I38" si="31">SUM(G38:H39)</f>
        <v>320.12258142925299</v>
      </c>
      <c r="J38" s="58" t="str">
        <f>IF(F38&gt;1.3*I38,"OK","NO")</f>
        <v>OK</v>
      </c>
      <c r="K38" s="60">
        <f t="shared" ref="K38" si="32">1.3*I38/F38</f>
        <v>0.78683939470226683</v>
      </c>
    </row>
    <row r="39" spans="1:11" x14ac:dyDescent="0.25">
      <c r="A39" s="62"/>
      <c r="B39" s="45" t="s">
        <v>51</v>
      </c>
      <c r="C39" s="45" t="s">
        <v>19</v>
      </c>
      <c r="D39" s="7">
        <v>381.7</v>
      </c>
      <c r="E39" s="2">
        <v>238.1</v>
      </c>
      <c r="F39" s="70"/>
      <c r="G39" s="54"/>
      <c r="H39" s="54"/>
      <c r="I39" s="58"/>
      <c r="J39" s="58"/>
      <c r="K39" s="60"/>
    </row>
    <row r="40" spans="1:11" x14ac:dyDescent="0.25">
      <c r="A40" s="62"/>
      <c r="B40" s="45" t="s">
        <v>44</v>
      </c>
      <c r="C40" s="45" t="s">
        <v>20</v>
      </c>
      <c r="D40" s="7">
        <v>560.11099999999999</v>
      </c>
      <c r="E40" s="2">
        <v>290.39999999999998</v>
      </c>
      <c r="F40" s="70">
        <f>SUM(E40:E41)</f>
        <v>528.29999999999995</v>
      </c>
      <c r="G40" s="54">
        <v>214.10769616628301</v>
      </c>
      <c r="H40" s="54">
        <v>106.01488526297</v>
      </c>
      <c r="I40" s="58">
        <f>SUM(G40:H41)</f>
        <v>320.12258142925299</v>
      </c>
      <c r="J40" s="58" t="str">
        <f>IF(F40&gt;1.3*I40,"OK","NO")</f>
        <v>OK</v>
      </c>
      <c r="K40" s="60">
        <f t="shared" ref="K40" si="33">1.3*I40/F40</f>
        <v>0.78773302263492129</v>
      </c>
    </row>
    <row r="41" spans="1:11" x14ac:dyDescent="0.25">
      <c r="A41" s="62"/>
      <c r="B41" s="45" t="s">
        <v>52</v>
      </c>
      <c r="C41" s="45" t="s">
        <v>20</v>
      </c>
      <c r="D41" s="7">
        <v>379.26900000000001</v>
      </c>
      <c r="E41" s="2">
        <v>237.9</v>
      </c>
      <c r="F41" s="70"/>
      <c r="G41" s="54"/>
      <c r="H41" s="54"/>
      <c r="I41" s="58"/>
      <c r="J41" s="58"/>
      <c r="K41" s="60"/>
    </row>
    <row r="42" spans="1:11" x14ac:dyDescent="0.25">
      <c r="A42" s="62"/>
      <c r="B42" s="45" t="s">
        <v>47</v>
      </c>
      <c r="C42" s="45" t="s">
        <v>21</v>
      </c>
      <c r="D42" s="7">
        <v>322.36799999999999</v>
      </c>
      <c r="E42" s="2">
        <v>267.3</v>
      </c>
      <c r="F42" s="70">
        <f>SUM(E42:E43)</f>
        <v>490.3</v>
      </c>
      <c r="G42" s="54">
        <v>195.80299263103299</v>
      </c>
      <c r="H42" s="54">
        <v>106.01488526297</v>
      </c>
      <c r="I42" s="58">
        <f t="shared" ref="I42" si="34">SUM(G42:H43)</f>
        <v>301.817877894003</v>
      </c>
      <c r="J42" s="58" t="str">
        <f>IF(F42&gt;1.3*I42,"OK","NO")</f>
        <v>OK</v>
      </c>
      <c r="K42" s="60">
        <f t="shared" ref="K42" si="35">1.3*I42/F42</f>
        <v>0.80025135888681198</v>
      </c>
    </row>
    <row r="43" spans="1:11" x14ac:dyDescent="0.25">
      <c r="A43" s="62"/>
      <c r="B43" s="45" t="s">
        <v>53</v>
      </c>
      <c r="C43" s="45" t="s">
        <v>21</v>
      </c>
      <c r="D43" s="7">
        <v>213.54</v>
      </c>
      <c r="E43" s="2">
        <v>223</v>
      </c>
      <c r="F43" s="70"/>
      <c r="G43" s="54"/>
      <c r="H43" s="54"/>
      <c r="I43" s="58"/>
      <c r="J43" s="58"/>
      <c r="K43" s="60"/>
    </row>
    <row r="44" spans="1:11" x14ac:dyDescent="0.25">
      <c r="A44" s="63" t="s">
        <v>26</v>
      </c>
      <c r="B44" s="45" t="s">
        <v>13</v>
      </c>
      <c r="C44" s="45" t="s">
        <v>54</v>
      </c>
      <c r="D44" s="7">
        <v>41.706000000000003</v>
      </c>
      <c r="E44" s="2">
        <v>129.6</v>
      </c>
      <c r="F44" s="70">
        <f>SUM(E44:E45)</f>
        <v>256.5</v>
      </c>
      <c r="G44" s="54">
        <v>110</v>
      </c>
      <c r="H44" s="72">
        <v>0</v>
      </c>
      <c r="I44" s="58">
        <f t="shared" ref="I44" si="36">SUM(G44:H45)</f>
        <v>110</v>
      </c>
      <c r="J44" s="58" t="str">
        <f>IF(F44&gt;1.3*I44,"OK","NO")</f>
        <v>OK</v>
      </c>
      <c r="K44" s="60">
        <f t="shared" ref="K44" si="37">1.3*I44/F44</f>
        <v>0.55750487329434695</v>
      </c>
    </row>
    <row r="45" spans="1:11" x14ac:dyDescent="0.25">
      <c r="A45" s="63"/>
      <c r="B45" s="45" t="s">
        <v>18</v>
      </c>
      <c r="C45" s="45" t="s">
        <v>54</v>
      </c>
      <c r="D45" s="7">
        <v>24.209</v>
      </c>
      <c r="E45" s="2">
        <v>126.9</v>
      </c>
      <c r="F45" s="70"/>
      <c r="G45" s="54"/>
      <c r="H45" s="72"/>
      <c r="I45" s="58"/>
      <c r="J45" s="58"/>
      <c r="K45" s="60"/>
    </row>
    <row r="46" spans="1:11" x14ac:dyDescent="0.25">
      <c r="A46" s="63"/>
      <c r="B46" s="45" t="s">
        <v>14</v>
      </c>
      <c r="C46" s="45" t="s">
        <v>55</v>
      </c>
      <c r="D46" s="7">
        <v>127.77200000000001</v>
      </c>
      <c r="E46" s="2">
        <v>138.5</v>
      </c>
      <c r="F46" s="70">
        <f>SUM(E46:E47)</f>
        <v>268.89999999999998</v>
      </c>
      <c r="G46" s="54">
        <v>110</v>
      </c>
      <c r="H46" s="72">
        <v>0</v>
      </c>
      <c r="I46" s="58">
        <f t="shared" ref="I46" si="38">SUM(G46:H47)</f>
        <v>110</v>
      </c>
      <c r="J46" s="58" t="str">
        <f>IF(F46&gt;1.3*I46,"OK","NO")</f>
        <v>OK</v>
      </c>
      <c r="K46" s="60">
        <f t="shared" ref="K46" si="39">1.3*I46/F46</f>
        <v>0.5317962067683154</v>
      </c>
    </row>
    <row r="47" spans="1:11" x14ac:dyDescent="0.25">
      <c r="A47" s="63"/>
      <c r="B47" s="45" t="s">
        <v>19</v>
      </c>
      <c r="C47" s="45" t="s">
        <v>55</v>
      </c>
      <c r="D47" s="7">
        <v>57.822000000000003</v>
      </c>
      <c r="E47" s="2">
        <v>130.4</v>
      </c>
      <c r="F47" s="70"/>
      <c r="G47" s="54"/>
      <c r="H47" s="72"/>
      <c r="I47" s="58"/>
      <c r="J47" s="58"/>
      <c r="K47" s="60"/>
    </row>
    <row r="48" spans="1:11" x14ac:dyDescent="0.25">
      <c r="A48" s="63"/>
      <c r="B48" s="45" t="s">
        <v>15</v>
      </c>
      <c r="C48" s="45" t="s">
        <v>56</v>
      </c>
      <c r="D48" s="7">
        <v>156.33199999999999</v>
      </c>
      <c r="E48" s="2">
        <v>141.30000000000001</v>
      </c>
      <c r="F48" s="70">
        <f>SUM(E48:E49)</f>
        <v>272.89999999999998</v>
      </c>
      <c r="G48" s="73">
        <v>130</v>
      </c>
      <c r="H48" s="72">
        <v>0</v>
      </c>
      <c r="I48" s="58">
        <f t="shared" ref="I48" si="40">SUM(G48:H49)</f>
        <v>130</v>
      </c>
      <c r="J48" s="58" t="str">
        <f>IF(F48&gt;1.3*I48,"OK","NO")</f>
        <v>OK</v>
      </c>
      <c r="K48" s="60">
        <f t="shared" ref="K48" si="41">1.3*I48/F48</f>
        <v>0.61927445950897775</v>
      </c>
    </row>
    <row r="49" spans="1:11" x14ac:dyDescent="0.25">
      <c r="A49" s="63"/>
      <c r="B49" s="45" t="s">
        <v>20</v>
      </c>
      <c r="C49" s="45" t="s">
        <v>56</v>
      </c>
      <c r="D49" s="7">
        <v>69.266999999999996</v>
      </c>
      <c r="E49" s="2">
        <v>131.6</v>
      </c>
      <c r="F49" s="70"/>
      <c r="G49" s="57"/>
      <c r="H49" s="72"/>
      <c r="I49" s="58"/>
      <c r="J49" s="58"/>
      <c r="K49" s="60"/>
    </row>
    <row r="50" spans="1:11" x14ac:dyDescent="0.25">
      <c r="A50" s="63"/>
      <c r="B50" s="45" t="s">
        <v>16</v>
      </c>
      <c r="C50" s="45" t="s">
        <v>57</v>
      </c>
      <c r="D50" s="7">
        <v>146.15899999999999</v>
      </c>
      <c r="E50" s="2">
        <v>140.30000000000001</v>
      </c>
      <c r="F50" s="70">
        <f>SUM(E50:E51)</f>
        <v>271.5</v>
      </c>
      <c r="G50" s="73">
        <v>130</v>
      </c>
      <c r="H50" s="72">
        <v>0</v>
      </c>
      <c r="I50" s="58">
        <f t="shared" ref="I50" si="42">SUM(G50:H51)</f>
        <v>130</v>
      </c>
      <c r="J50" s="58" t="str">
        <f>IF(F50&gt;1.3*I50,"OK","NO")</f>
        <v>OK</v>
      </c>
      <c r="K50" s="60">
        <f t="shared" ref="K50" si="43">1.3*I50/F50</f>
        <v>0.62246777163904232</v>
      </c>
    </row>
    <row r="51" spans="1:11" x14ac:dyDescent="0.25">
      <c r="A51" s="63"/>
      <c r="B51" s="45" t="s">
        <v>21</v>
      </c>
      <c r="C51" s="45" t="s">
        <v>57</v>
      </c>
      <c r="D51" s="7">
        <v>65.649000000000001</v>
      </c>
      <c r="E51" s="2">
        <v>131.19999999999999</v>
      </c>
      <c r="F51" s="70"/>
      <c r="G51" s="57"/>
      <c r="H51" s="72"/>
      <c r="I51" s="58"/>
      <c r="J51" s="58"/>
      <c r="K51" s="60"/>
    </row>
    <row r="52" spans="1:11" x14ac:dyDescent="0.25">
      <c r="A52" s="63"/>
      <c r="B52" s="45" t="s">
        <v>17</v>
      </c>
      <c r="C52" s="45" t="s">
        <v>58</v>
      </c>
      <c r="D52" s="7">
        <v>41.651000000000003</v>
      </c>
      <c r="E52" s="2">
        <v>129.6</v>
      </c>
      <c r="F52" s="70">
        <f>SUM(E52:E53)</f>
        <v>256.60000000000002</v>
      </c>
      <c r="G52" s="74">
        <v>110</v>
      </c>
      <c r="H52" s="72">
        <v>0</v>
      </c>
      <c r="I52" s="58">
        <f t="shared" ref="I52" si="44">SUM(G52:H53)</f>
        <v>110</v>
      </c>
      <c r="J52" s="58" t="str">
        <f>IF(F52&gt;1.3*I52,"OK","NO")</f>
        <v>OK</v>
      </c>
      <c r="K52" s="60">
        <f t="shared" ref="K52" si="45">1.3*I52/F52</f>
        <v>0.55728760717069359</v>
      </c>
    </row>
    <row r="53" spans="1:11" x14ac:dyDescent="0.25">
      <c r="A53" s="63"/>
      <c r="B53" s="45" t="s">
        <v>22</v>
      </c>
      <c r="C53" s="45" t="s">
        <v>58</v>
      </c>
      <c r="D53" s="7">
        <v>24.734000000000002</v>
      </c>
      <c r="E53" s="2">
        <v>127</v>
      </c>
      <c r="F53" s="70"/>
      <c r="G53" s="53"/>
      <c r="H53" s="72"/>
      <c r="I53" s="58"/>
      <c r="J53" s="58"/>
      <c r="K53" s="60"/>
    </row>
    <row r="54" spans="1:11" x14ac:dyDescent="0.25">
      <c r="A54" s="63"/>
      <c r="B54" s="45" t="s">
        <v>49</v>
      </c>
      <c r="C54" s="45" t="s">
        <v>22</v>
      </c>
      <c r="D54" s="7">
        <v>203.77099999999999</v>
      </c>
      <c r="E54" s="2">
        <v>222.1</v>
      </c>
      <c r="F54" s="70">
        <f>SUM(E54:E55)</f>
        <v>402.79999999999995</v>
      </c>
      <c r="G54" s="54">
        <v>177.070405034413</v>
      </c>
      <c r="H54" s="74">
        <v>107.113713269416</v>
      </c>
      <c r="I54" s="58">
        <f t="shared" ref="I54" si="46">SUM(G54:H55)</f>
        <v>284.184118303829</v>
      </c>
      <c r="J54" s="58" t="str">
        <f>IF(F54&gt;1.3*I54,"OK","NO")</f>
        <v>OK</v>
      </c>
      <c r="K54" s="60">
        <f t="shared" ref="K54" si="47">1.3*I54/F54</f>
        <v>0.91717813752477095</v>
      </c>
    </row>
    <row r="55" spans="1:11" x14ac:dyDescent="0.25">
      <c r="A55" s="63"/>
      <c r="B55" s="45" t="s">
        <v>59</v>
      </c>
      <c r="C55" s="45" t="s">
        <v>22</v>
      </c>
      <c r="D55" s="7">
        <v>86.903000000000006</v>
      </c>
      <c r="E55" s="2">
        <v>180.7</v>
      </c>
      <c r="F55" s="70"/>
      <c r="G55" s="54"/>
      <c r="H55" s="53"/>
      <c r="I55" s="58"/>
      <c r="J55" s="58"/>
      <c r="K55" s="60"/>
    </row>
    <row r="56" spans="1:11" x14ac:dyDescent="0.25">
      <c r="A56" s="63"/>
      <c r="B56" s="45" t="s">
        <v>50</v>
      </c>
      <c r="C56" s="45" t="s">
        <v>33</v>
      </c>
      <c r="D56" s="7">
        <v>318.51</v>
      </c>
      <c r="E56" s="2">
        <v>232.6</v>
      </c>
      <c r="F56" s="70">
        <f>SUM(E56:E57)</f>
        <v>419</v>
      </c>
      <c r="G56" s="74">
        <v>177.070405034413</v>
      </c>
      <c r="H56" s="74">
        <v>107.113713269416</v>
      </c>
      <c r="I56" s="58">
        <f t="shared" ref="I56" si="48">SUM(G56:H57)</f>
        <v>284.184118303829</v>
      </c>
      <c r="J56" s="58" t="str">
        <f>IF(F56&gt;1.3*I56,"OK","NO")</f>
        <v>OK</v>
      </c>
      <c r="K56" s="60">
        <f t="shared" ref="K56" si="49">1.3*I56/F56</f>
        <v>0.88171683483288232</v>
      </c>
    </row>
    <row r="57" spans="1:11" x14ac:dyDescent="0.25">
      <c r="A57" s="63"/>
      <c r="B57" s="45" t="s">
        <v>60</v>
      </c>
      <c r="C57" s="45" t="s">
        <v>33</v>
      </c>
      <c r="D57" s="7">
        <v>157.72900000000001</v>
      </c>
      <c r="E57" s="2">
        <v>186.4</v>
      </c>
      <c r="F57" s="70"/>
      <c r="G57" s="53"/>
      <c r="H57" s="53"/>
      <c r="I57" s="58"/>
      <c r="J57" s="58"/>
      <c r="K57" s="60"/>
    </row>
    <row r="58" spans="1:11" x14ac:dyDescent="0.25">
      <c r="A58" s="63"/>
      <c r="B58" s="45" t="s">
        <v>51</v>
      </c>
      <c r="C58" s="45" t="s">
        <v>36</v>
      </c>
      <c r="D58" s="7">
        <v>371.57799999999997</v>
      </c>
      <c r="E58" s="2">
        <v>237.2</v>
      </c>
      <c r="F58" s="70">
        <f>SUM(E58:E59)</f>
        <v>425.6</v>
      </c>
      <c r="G58" s="54">
        <v>195.80299263103299</v>
      </c>
      <c r="H58" s="74">
        <v>107.113713269416</v>
      </c>
      <c r="I58" s="58">
        <f t="shared" ref="I58" si="50">SUM(G58:H59)</f>
        <v>302.91670590044896</v>
      </c>
      <c r="J58" s="58" t="str">
        <f>IF(F58&gt;1.3*I58,"OK","NO")</f>
        <v>OK</v>
      </c>
      <c r="K58" s="60">
        <f t="shared" ref="K58" si="51">1.3*I58/F58</f>
        <v>0.92526249452674725</v>
      </c>
    </row>
    <row r="59" spans="1:11" x14ac:dyDescent="0.25">
      <c r="A59" s="63"/>
      <c r="B59" s="45" t="s">
        <v>61</v>
      </c>
      <c r="C59" s="45" t="s">
        <v>36</v>
      </c>
      <c r="D59" s="7">
        <v>182.61099999999999</v>
      </c>
      <c r="E59" s="2">
        <v>188.4</v>
      </c>
      <c r="F59" s="70"/>
      <c r="G59" s="54"/>
      <c r="H59" s="53"/>
      <c r="I59" s="58"/>
      <c r="J59" s="58"/>
      <c r="K59" s="60"/>
    </row>
    <row r="60" spans="1:11" x14ac:dyDescent="0.25">
      <c r="A60" s="63"/>
      <c r="B60" s="45" t="s">
        <v>52</v>
      </c>
      <c r="C60" s="45" t="s">
        <v>39</v>
      </c>
      <c r="D60" s="7">
        <v>369.14699999999999</v>
      </c>
      <c r="E60" s="2">
        <v>237</v>
      </c>
      <c r="F60" s="70">
        <f>SUM(E60:E61)</f>
        <v>425.3</v>
      </c>
      <c r="G60" s="54">
        <v>195.80299263103299</v>
      </c>
      <c r="H60" s="74">
        <v>107.113713269416</v>
      </c>
      <c r="I60" s="58">
        <f t="shared" ref="I60" si="52">SUM(G60:H61)</f>
        <v>302.91670590044896</v>
      </c>
      <c r="J60" s="58" t="str">
        <f>IF(F60&gt;1.3*I60,"OK","NO")</f>
        <v>OK</v>
      </c>
      <c r="K60" s="60">
        <f t="shared" ref="K60" si="53">1.3*I60/F60</f>
        <v>0.92591516028822862</v>
      </c>
    </row>
    <row r="61" spans="1:11" x14ac:dyDescent="0.25">
      <c r="A61" s="63"/>
      <c r="B61" s="45" t="s">
        <v>62</v>
      </c>
      <c r="C61" s="45" t="s">
        <v>39</v>
      </c>
      <c r="D61" s="7">
        <v>181.703</v>
      </c>
      <c r="E61" s="2">
        <v>188.3</v>
      </c>
      <c r="F61" s="70"/>
      <c r="G61" s="54"/>
      <c r="H61" s="53"/>
      <c r="I61" s="58"/>
      <c r="J61" s="58"/>
      <c r="K61" s="60"/>
    </row>
    <row r="62" spans="1:11" x14ac:dyDescent="0.25">
      <c r="A62" s="63"/>
      <c r="B62" s="45" t="s">
        <v>53</v>
      </c>
      <c r="C62" s="45" t="s">
        <v>42</v>
      </c>
      <c r="D62" s="7">
        <v>203.41800000000001</v>
      </c>
      <c r="E62" s="2">
        <v>222.1</v>
      </c>
      <c r="F62" s="70">
        <f>SUM(E62:E63)</f>
        <v>402.79999999999995</v>
      </c>
      <c r="G62" s="74">
        <v>177.070405034413</v>
      </c>
      <c r="H62" s="74">
        <v>107.113713269416</v>
      </c>
      <c r="I62" s="58">
        <f t="shared" ref="I62" si="54">SUM(G62:H63)</f>
        <v>284.184118303829</v>
      </c>
      <c r="J62" s="58" t="str">
        <f>IF(F62&gt;1.3*I62,"OK","NO")</f>
        <v>OK</v>
      </c>
      <c r="K62" s="60">
        <f t="shared" ref="K62" si="55">1.3*I62/F62</f>
        <v>0.91717813752477095</v>
      </c>
    </row>
    <row r="63" spans="1:11" x14ac:dyDescent="0.25">
      <c r="A63" s="63"/>
      <c r="B63" s="45" t="s">
        <v>63</v>
      </c>
      <c r="C63" s="45" t="s">
        <v>42</v>
      </c>
      <c r="D63" s="7">
        <v>86.835999999999999</v>
      </c>
      <c r="E63" s="2">
        <v>180.7</v>
      </c>
      <c r="F63" s="70"/>
      <c r="G63" s="53"/>
      <c r="H63" s="53"/>
      <c r="I63" s="58"/>
      <c r="J63" s="58"/>
      <c r="K63" s="60"/>
    </row>
    <row r="64" spans="1:11" x14ac:dyDescent="0.25">
      <c r="H64" s="9"/>
      <c r="I64" s="10"/>
      <c r="J64" s="10"/>
      <c r="K64" s="1"/>
    </row>
    <row r="65" spans="8:11" x14ac:dyDescent="0.25">
      <c r="H65" s="9"/>
      <c r="I65" s="10"/>
      <c r="J65" s="10"/>
      <c r="K65" s="1"/>
    </row>
    <row r="66" spans="8:11" x14ac:dyDescent="0.25">
      <c r="H66" s="9"/>
      <c r="I66" s="10"/>
      <c r="J66" s="10"/>
      <c r="K66" s="1"/>
    </row>
    <row r="67" spans="8:11" x14ac:dyDescent="0.25">
      <c r="H67" s="9"/>
      <c r="I67" s="10"/>
      <c r="J67" s="10"/>
      <c r="K67" s="1"/>
    </row>
    <row r="68" spans="8:11" x14ac:dyDescent="0.25">
      <c r="H68" s="9"/>
      <c r="I68" s="10"/>
      <c r="J68" s="10"/>
      <c r="K68" s="1"/>
    </row>
    <row r="69" spans="8:11" x14ac:dyDescent="0.25">
      <c r="H69" s="9"/>
      <c r="I69" s="10"/>
      <c r="J69" s="10"/>
      <c r="K69" s="1"/>
    </row>
    <row r="70" spans="8:11" x14ac:dyDescent="0.25">
      <c r="H70" s="9"/>
      <c r="I70" s="10"/>
      <c r="J70" s="10"/>
      <c r="K70" s="1"/>
    </row>
    <row r="71" spans="8:11" x14ac:dyDescent="0.25">
      <c r="H71" s="9"/>
      <c r="I71" s="10"/>
      <c r="J71" s="10"/>
      <c r="K71" s="1"/>
    </row>
    <row r="72" spans="8:11" x14ac:dyDescent="0.25">
      <c r="H72" s="9"/>
      <c r="I72" s="10"/>
      <c r="J72" s="10"/>
      <c r="K72" s="1"/>
    </row>
    <row r="82" spans="4:6" x14ac:dyDescent="0.25">
      <c r="D82" s="1"/>
      <c r="E82" s="1"/>
      <c r="F82" s="1"/>
    </row>
    <row r="84" spans="4:6" x14ac:dyDescent="0.25">
      <c r="D84" s="1"/>
      <c r="E84" s="1"/>
      <c r="F84" s="1"/>
    </row>
    <row r="86" spans="4:6" x14ac:dyDescent="0.25">
      <c r="D86" s="1"/>
      <c r="E86" s="1"/>
      <c r="F86" s="1"/>
    </row>
    <row r="88" spans="4:6" x14ac:dyDescent="0.25">
      <c r="D88" s="1"/>
      <c r="E88" s="1"/>
      <c r="F88" s="1"/>
    </row>
    <row r="128" spans="4:6" x14ac:dyDescent="0.25">
      <c r="D128" s="1"/>
      <c r="E128" s="1"/>
      <c r="F128" s="1"/>
    </row>
    <row r="129" spans="4:6" x14ac:dyDescent="0.25">
      <c r="D129" s="1"/>
      <c r="E129" s="1"/>
      <c r="F129" s="1"/>
    </row>
    <row r="130" spans="4:6" x14ac:dyDescent="0.25">
      <c r="D130" s="1"/>
      <c r="E130" s="1"/>
      <c r="F130" s="1"/>
    </row>
    <row r="131" spans="4:6" x14ac:dyDescent="0.25">
      <c r="D131" s="1"/>
      <c r="E131" s="1"/>
      <c r="F131" s="1"/>
    </row>
    <row r="132" spans="4:6" x14ac:dyDescent="0.25">
      <c r="D132" s="1"/>
      <c r="E132" s="1"/>
      <c r="F132" s="1"/>
    </row>
    <row r="133" spans="4:6" x14ac:dyDescent="0.25">
      <c r="D133" s="1"/>
      <c r="E133" s="1"/>
      <c r="F133" s="1"/>
    </row>
    <row r="134" spans="4:6" x14ac:dyDescent="0.25">
      <c r="D134" s="1"/>
      <c r="E134" s="1"/>
      <c r="F134" s="1"/>
    </row>
    <row r="135" spans="4:6" x14ac:dyDescent="0.25">
      <c r="D135" s="1"/>
      <c r="E135" s="1"/>
      <c r="F135" s="1"/>
    </row>
    <row r="136" spans="4:6" x14ac:dyDescent="0.25">
      <c r="D136" s="1"/>
      <c r="E136" s="1"/>
      <c r="F136" s="1"/>
    </row>
    <row r="137" spans="4:6" x14ac:dyDescent="0.25">
      <c r="D137" s="1"/>
      <c r="E137" s="1"/>
      <c r="F137" s="1"/>
    </row>
    <row r="138" spans="4:6" x14ac:dyDescent="0.25">
      <c r="D138" s="1"/>
      <c r="E138" s="1"/>
      <c r="F138" s="1"/>
    </row>
    <row r="139" spans="4:6" x14ac:dyDescent="0.25">
      <c r="D139" s="1"/>
      <c r="E139" s="1"/>
      <c r="F139" s="1"/>
    </row>
    <row r="140" spans="4:6" x14ac:dyDescent="0.25">
      <c r="D140" s="1"/>
      <c r="E140" s="1"/>
      <c r="F140" s="1"/>
    </row>
    <row r="141" spans="4:6" x14ac:dyDescent="0.25">
      <c r="D141" s="1"/>
      <c r="E141" s="1"/>
      <c r="F141" s="1"/>
    </row>
    <row r="142" spans="4:6" x14ac:dyDescent="0.25">
      <c r="D142" s="1"/>
      <c r="E142" s="1"/>
      <c r="F142" s="1"/>
    </row>
    <row r="143" spans="4:6" x14ac:dyDescent="0.25">
      <c r="D143" s="1"/>
      <c r="E143" s="1"/>
      <c r="F143" s="1"/>
    </row>
    <row r="144" spans="4:6" x14ac:dyDescent="0.25">
      <c r="D144" s="1"/>
      <c r="E144" s="1"/>
      <c r="F144" s="1"/>
    </row>
    <row r="145" spans="4:6" x14ac:dyDescent="0.25">
      <c r="D145" s="1"/>
      <c r="E145" s="1"/>
      <c r="F145" s="1"/>
    </row>
    <row r="146" spans="4:6" x14ac:dyDescent="0.25">
      <c r="D146" s="1"/>
      <c r="E146" s="1"/>
      <c r="F146" s="1"/>
    </row>
    <row r="147" spans="4:6" x14ac:dyDescent="0.25">
      <c r="D147" s="1"/>
      <c r="E147" s="1"/>
      <c r="F147" s="1"/>
    </row>
    <row r="148" spans="4:6" x14ac:dyDescent="0.25">
      <c r="D148" s="1"/>
      <c r="E148" s="1"/>
      <c r="F148" s="1"/>
    </row>
    <row r="149" spans="4:6" x14ac:dyDescent="0.25">
      <c r="D149" s="1"/>
      <c r="E149" s="1"/>
      <c r="F149" s="1"/>
    </row>
    <row r="150" spans="4:6" x14ac:dyDescent="0.25">
      <c r="D150" s="1"/>
      <c r="E150" s="1"/>
      <c r="F150" s="1"/>
    </row>
    <row r="151" spans="4:6" x14ac:dyDescent="0.25">
      <c r="D151" s="1"/>
      <c r="E151" s="1"/>
      <c r="F151" s="1"/>
    </row>
    <row r="152" spans="4:6" x14ac:dyDescent="0.25">
      <c r="D152" s="1"/>
      <c r="E152" s="1"/>
      <c r="F152" s="1"/>
    </row>
    <row r="153" spans="4:6" x14ac:dyDescent="0.25">
      <c r="D153" s="1"/>
      <c r="E153" s="1"/>
      <c r="F153" s="1"/>
    </row>
    <row r="154" spans="4:6" x14ac:dyDescent="0.25">
      <c r="D154" s="1"/>
      <c r="E154" s="1"/>
      <c r="F154" s="1"/>
    </row>
    <row r="155" spans="4:6" x14ac:dyDescent="0.25">
      <c r="D155" s="1"/>
      <c r="E155" s="1"/>
      <c r="F155" s="1"/>
    </row>
    <row r="156" spans="4:6" x14ac:dyDescent="0.25">
      <c r="D156" s="1"/>
      <c r="E156" s="1"/>
      <c r="F156" s="1"/>
    </row>
    <row r="157" spans="4:6" x14ac:dyDescent="0.25">
      <c r="D157" s="1"/>
      <c r="E157" s="1"/>
      <c r="F157" s="1"/>
    </row>
    <row r="158" spans="4:6" x14ac:dyDescent="0.25">
      <c r="D158" s="1"/>
      <c r="E158" s="1"/>
      <c r="F158" s="1"/>
    </row>
    <row r="159" spans="4:6" x14ac:dyDescent="0.25">
      <c r="D159" s="1"/>
      <c r="E159" s="1"/>
      <c r="F159" s="1"/>
    </row>
    <row r="176" spans="4:6" x14ac:dyDescent="0.25">
      <c r="D176" s="1"/>
      <c r="E176" s="1"/>
      <c r="F176" s="1"/>
    </row>
    <row r="177" spans="4:6" x14ac:dyDescent="0.25">
      <c r="D177" s="1"/>
      <c r="E177" s="1"/>
      <c r="F177" s="1"/>
    </row>
    <row r="178" spans="4:6" x14ac:dyDescent="0.25">
      <c r="D178" s="1"/>
      <c r="E178" s="1"/>
      <c r="F178" s="1"/>
    </row>
    <row r="179" spans="4:6" x14ac:dyDescent="0.25">
      <c r="D179" s="1"/>
      <c r="E179" s="1"/>
      <c r="F179" s="1"/>
    </row>
    <row r="180" spans="4:6" x14ac:dyDescent="0.25">
      <c r="D180" s="1"/>
      <c r="E180" s="1"/>
      <c r="F180" s="1"/>
    </row>
    <row r="181" spans="4:6" x14ac:dyDescent="0.25">
      <c r="D181" s="1"/>
      <c r="E181" s="1"/>
      <c r="F181" s="1"/>
    </row>
    <row r="182" spans="4:6" x14ac:dyDescent="0.25">
      <c r="D182" s="1"/>
      <c r="E182" s="1"/>
      <c r="F182" s="1"/>
    </row>
    <row r="183" spans="4:6" x14ac:dyDescent="0.25">
      <c r="D183" s="1"/>
      <c r="E183" s="1"/>
      <c r="F183" s="1"/>
    </row>
    <row r="184" spans="4:6" x14ac:dyDescent="0.25">
      <c r="D184" s="1"/>
      <c r="E184" s="1"/>
      <c r="F184" s="1"/>
    </row>
    <row r="185" spans="4:6" x14ac:dyDescent="0.25">
      <c r="D185" s="1"/>
      <c r="E185" s="1"/>
      <c r="F185" s="1"/>
    </row>
    <row r="186" spans="4:6" x14ac:dyDescent="0.25">
      <c r="D186" s="1"/>
      <c r="E186" s="1"/>
      <c r="F186" s="1"/>
    </row>
    <row r="187" spans="4:6" x14ac:dyDescent="0.25">
      <c r="D187" s="1"/>
      <c r="E187" s="1"/>
      <c r="F187" s="1"/>
    </row>
    <row r="188" spans="4:6" x14ac:dyDescent="0.25">
      <c r="D188" s="1"/>
      <c r="E188" s="1"/>
      <c r="F188" s="1"/>
    </row>
    <row r="189" spans="4:6" x14ac:dyDescent="0.25">
      <c r="D189" s="1"/>
      <c r="E189" s="1"/>
      <c r="F189" s="1"/>
    </row>
    <row r="190" spans="4:6" x14ac:dyDescent="0.25">
      <c r="D190" s="1"/>
      <c r="E190" s="1"/>
      <c r="F190" s="1"/>
    </row>
    <row r="191" spans="4:6" x14ac:dyDescent="0.25">
      <c r="D191" s="1"/>
      <c r="E191" s="1"/>
      <c r="F191" s="1"/>
    </row>
    <row r="192" spans="4:6" x14ac:dyDescent="0.25">
      <c r="D192" s="1"/>
      <c r="E192" s="1"/>
      <c r="F192" s="1"/>
    </row>
    <row r="193" spans="4:6" x14ac:dyDescent="0.25">
      <c r="D193" s="1"/>
      <c r="E193" s="1"/>
      <c r="F193" s="1"/>
    </row>
    <row r="194" spans="4:6" x14ac:dyDescent="0.25">
      <c r="D194" s="1"/>
      <c r="E194" s="1"/>
      <c r="F194" s="1"/>
    </row>
    <row r="195" spans="4:6" x14ac:dyDescent="0.25">
      <c r="D195" s="1"/>
      <c r="E195" s="1"/>
      <c r="F195" s="1"/>
    </row>
    <row r="196" spans="4:6" x14ac:dyDescent="0.25">
      <c r="D196" s="1"/>
      <c r="E196" s="1"/>
      <c r="F196" s="1"/>
    </row>
  </sheetData>
  <mergeCells count="184">
    <mergeCell ref="K60:K61"/>
    <mergeCell ref="K62:K63"/>
    <mergeCell ref="F56:F57"/>
    <mergeCell ref="G56:G57"/>
    <mergeCell ref="H56:H57"/>
    <mergeCell ref="I56:I57"/>
    <mergeCell ref="J56:J57"/>
    <mergeCell ref="F58:F59"/>
    <mergeCell ref="G58:G59"/>
    <mergeCell ref="H58:H59"/>
    <mergeCell ref="I58:I59"/>
    <mergeCell ref="J58:J59"/>
    <mergeCell ref="K58:K59"/>
    <mergeCell ref="K56:K57"/>
    <mergeCell ref="F62:F63"/>
    <mergeCell ref="G62:G63"/>
    <mergeCell ref="H62:H63"/>
    <mergeCell ref="I62:I63"/>
    <mergeCell ref="J62:J63"/>
    <mergeCell ref="F60:F61"/>
    <mergeCell ref="G60:G61"/>
    <mergeCell ref="H60:H61"/>
    <mergeCell ref="I60:I61"/>
    <mergeCell ref="J60:J61"/>
    <mergeCell ref="K48:K49"/>
    <mergeCell ref="F52:F53"/>
    <mergeCell ref="G52:G53"/>
    <mergeCell ref="H52:H53"/>
    <mergeCell ref="I52:I53"/>
    <mergeCell ref="F54:F55"/>
    <mergeCell ref="G54:G55"/>
    <mergeCell ref="H54:H55"/>
    <mergeCell ref="I54:I55"/>
    <mergeCell ref="J54:J55"/>
    <mergeCell ref="K54:K55"/>
    <mergeCell ref="J52:J53"/>
    <mergeCell ref="K50:K51"/>
    <mergeCell ref="K52:K53"/>
    <mergeCell ref="F50:F51"/>
    <mergeCell ref="G50:G51"/>
    <mergeCell ref="H50:H51"/>
    <mergeCell ref="I50:I51"/>
    <mergeCell ref="J50:J51"/>
    <mergeCell ref="A44:A63"/>
    <mergeCell ref="F44:F45"/>
    <mergeCell ref="G44:G45"/>
    <mergeCell ref="H44:H45"/>
    <mergeCell ref="I44:I45"/>
    <mergeCell ref="J44:J45"/>
    <mergeCell ref="F48:F49"/>
    <mergeCell ref="G48:G49"/>
    <mergeCell ref="H48:H49"/>
    <mergeCell ref="I48:I49"/>
    <mergeCell ref="J48:J49"/>
    <mergeCell ref="J42:J43"/>
    <mergeCell ref="K42:K43"/>
    <mergeCell ref="F40:F41"/>
    <mergeCell ref="G40:G41"/>
    <mergeCell ref="H40:H41"/>
    <mergeCell ref="I40:I41"/>
    <mergeCell ref="J40:J41"/>
    <mergeCell ref="K40:K41"/>
    <mergeCell ref="F46:F47"/>
    <mergeCell ref="G46:G47"/>
    <mergeCell ref="H46:H47"/>
    <mergeCell ref="I46:I47"/>
    <mergeCell ref="J46:J47"/>
    <mergeCell ref="K46:K47"/>
    <mergeCell ref="K44:K45"/>
    <mergeCell ref="J34:J35"/>
    <mergeCell ref="K34:K35"/>
    <mergeCell ref="F32:F33"/>
    <mergeCell ref="G32:G33"/>
    <mergeCell ref="H32:H33"/>
    <mergeCell ref="I32:I33"/>
    <mergeCell ref="J32:J33"/>
    <mergeCell ref="K32:K33"/>
    <mergeCell ref="F38:F39"/>
    <mergeCell ref="G38:G39"/>
    <mergeCell ref="H38:H39"/>
    <mergeCell ref="I38:I39"/>
    <mergeCell ref="J38:J39"/>
    <mergeCell ref="K38:K39"/>
    <mergeCell ref="F36:F37"/>
    <mergeCell ref="G36:G37"/>
    <mergeCell ref="H36:H37"/>
    <mergeCell ref="I36:I37"/>
    <mergeCell ref="J36:J37"/>
    <mergeCell ref="K36:K37"/>
    <mergeCell ref="A24:A43"/>
    <mergeCell ref="F24:F25"/>
    <mergeCell ref="G24:G25"/>
    <mergeCell ref="H24:H25"/>
    <mergeCell ref="I24:I25"/>
    <mergeCell ref="F28:F29"/>
    <mergeCell ref="G28:G29"/>
    <mergeCell ref="H28:H29"/>
    <mergeCell ref="I28:I29"/>
    <mergeCell ref="F30:F31"/>
    <mergeCell ref="G30:G31"/>
    <mergeCell ref="H30:H31"/>
    <mergeCell ref="I30:I31"/>
    <mergeCell ref="F34:F35"/>
    <mergeCell ref="G34:G35"/>
    <mergeCell ref="H34:H35"/>
    <mergeCell ref="I34:I35"/>
    <mergeCell ref="F42:F43"/>
    <mergeCell ref="G42:G43"/>
    <mergeCell ref="H42:H43"/>
    <mergeCell ref="I42:I43"/>
    <mergeCell ref="K30:K31"/>
    <mergeCell ref="F22:F23"/>
    <mergeCell ref="G22:G23"/>
    <mergeCell ref="H22:H23"/>
    <mergeCell ref="I22:I23"/>
    <mergeCell ref="J22:J23"/>
    <mergeCell ref="K22:K23"/>
    <mergeCell ref="F20:F21"/>
    <mergeCell ref="G20:G21"/>
    <mergeCell ref="H20:H21"/>
    <mergeCell ref="I20:I21"/>
    <mergeCell ref="J20:J21"/>
    <mergeCell ref="K20:K21"/>
    <mergeCell ref="F26:F27"/>
    <mergeCell ref="G26:G27"/>
    <mergeCell ref="H26:H27"/>
    <mergeCell ref="I26:I27"/>
    <mergeCell ref="J26:J27"/>
    <mergeCell ref="K26:K27"/>
    <mergeCell ref="J24:J25"/>
    <mergeCell ref="K24:K25"/>
    <mergeCell ref="J28:J29"/>
    <mergeCell ref="K28:K29"/>
    <mergeCell ref="J30:J31"/>
    <mergeCell ref="F18:F19"/>
    <mergeCell ref="G18:G19"/>
    <mergeCell ref="H18:H19"/>
    <mergeCell ref="I18:I19"/>
    <mergeCell ref="J18:J19"/>
    <mergeCell ref="K18:K19"/>
    <mergeCell ref="F16:F17"/>
    <mergeCell ref="G16:G17"/>
    <mergeCell ref="H16:H17"/>
    <mergeCell ref="I16:I17"/>
    <mergeCell ref="J16:J17"/>
    <mergeCell ref="K16:K17"/>
    <mergeCell ref="K6:K7"/>
    <mergeCell ref="I12:I13"/>
    <mergeCell ref="J12:J13"/>
    <mergeCell ref="F10:F11"/>
    <mergeCell ref="J8:J9"/>
    <mergeCell ref="K8:K9"/>
    <mergeCell ref="F8:F9"/>
    <mergeCell ref="G8:G9"/>
    <mergeCell ref="H8:H9"/>
    <mergeCell ref="G10:G11"/>
    <mergeCell ref="H10:H11"/>
    <mergeCell ref="I10:I11"/>
    <mergeCell ref="J10:J11"/>
    <mergeCell ref="K10:K11"/>
    <mergeCell ref="B1:K1"/>
    <mergeCell ref="A4:A23"/>
    <mergeCell ref="F4:F5"/>
    <mergeCell ref="G4:G5"/>
    <mergeCell ref="H4:H5"/>
    <mergeCell ref="I4:I5"/>
    <mergeCell ref="J4:J5"/>
    <mergeCell ref="K4:K5"/>
    <mergeCell ref="F6:F7"/>
    <mergeCell ref="G6:G7"/>
    <mergeCell ref="H6:H7"/>
    <mergeCell ref="I8:I9"/>
    <mergeCell ref="F12:F13"/>
    <mergeCell ref="G12:G13"/>
    <mergeCell ref="H12:H13"/>
    <mergeCell ref="F14:F15"/>
    <mergeCell ref="G14:G15"/>
    <mergeCell ref="H14:H15"/>
    <mergeCell ref="I14:I15"/>
    <mergeCell ref="J14:J15"/>
    <mergeCell ref="K14:K15"/>
    <mergeCell ref="K12:K13"/>
    <mergeCell ref="I6:I7"/>
    <mergeCell ref="J6:J7"/>
  </mergeCells>
  <conditionalFormatting sqref="J4:J63">
    <cfRule type="cellIs" dxfId="23" priority="5" operator="equal">
      <formula>"OK"</formula>
    </cfRule>
    <cfRule type="cellIs" dxfId="22" priority="6" operator="equal">
      <formula>"NO"</formula>
    </cfRule>
    <cfRule type="colorScale" priority="7">
      <colorScale>
        <cfvo type="num" val="&quot;NO&quot;"/>
        <cfvo type="num" val="&quot;OK&quot;"/>
        <color rgb="FFFF0000"/>
        <color rgb="FF43FF59"/>
      </colorScale>
    </cfRule>
  </conditionalFormatting>
  <conditionalFormatting sqref="A4:A6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BFF7-3FAE-454A-83EA-2373682BF2BD}">
  <sheetPr>
    <pageSetUpPr fitToPage="1"/>
  </sheetPr>
  <dimension ref="A1:O42"/>
  <sheetViews>
    <sheetView zoomScale="40" zoomScaleNormal="40" workbookViewId="0">
      <selection activeCell="O4" sqref="O4"/>
    </sheetView>
  </sheetViews>
  <sheetFormatPr defaultRowHeight="15" x14ac:dyDescent="0.25"/>
  <cols>
    <col min="1" max="1" width="3.85546875" customWidth="1"/>
    <col min="2" max="2" width="7.5703125" customWidth="1"/>
    <col min="3" max="3" width="13.140625" customWidth="1"/>
    <col min="4" max="4" width="11.85546875" customWidth="1"/>
    <col min="5" max="5" width="12.140625" customWidth="1"/>
    <col min="6" max="6" width="9.140625" style="27" customWidth="1"/>
    <col min="7" max="7" width="8.85546875" style="36" customWidth="1"/>
    <col min="8" max="9" width="11.42578125" customWidth="1"/>
    <col min="10" max="10" width="11.5703125" customWidth="1"/>
    <col min="11" max="11" width="12.5703125" customWidth="1"/>
    <col min="12" max="12" width="14.28515625" customWidth="1"/>
    <col min="15" max="15" width="16.42578125" customWidth="1"/>
  </cols>
  <sheetData>
    <row r="1" spans="1:15" ht="15" customHeight="1" x14ac:dyDescent="0.35">
      <c r="B1" s="22" t="s">
        <v>71</v>
      </c>
      <c r="C1" s="22" t="s">
        <v>64</v>
      </c>
      <c r="D1" s="46" t="s">
        <v>97</v>
      </c>
      <c r="E1" s="22" t="s">
        <v>86</v>
      </c>
      <c r="F1" s="22" t="s">
        <v>91</v>
      </c>
      <c r="G1" s="22" t="s">
        <v>98</v>
      </c>
      <c r="H1" s="22" t="s">
        <v>99</v>
      </c>
      <c r="I1" s="22" t="s">
        <v>100</v>
      </c>
      <c r="J1" s="22" t="s">
        <v>101</v>
      </c>
      <c r="K1" s="22" t="s">
        <v>102</v>
      </c>
      <c r="L1" s="22" t="s">
        <v>103</v>
      </c>
      <c r="M1" s="22" t="s">
        <v>104</v>
      </c>
      <c r="N1" s="10"/>
    </row>
    <row r="2" spans="1:15" x14ac:dyDescent="0.25">
      <c r="B2" s="22" t="s">
        <v>70</v>
      </c>
      <c r="C2" s="22" t="s">
        <v>65</v>
      </c>
      <c r="D2" s="22" t="s">
        <v>65</v>
      </c>
      <c r="E2" s="22" t="s">
        <v>65</v>
      </c>
      <c r="F2" s="22" t="s">
        <v>70</v>
      </c>
      <c r="G2" s="22" t="s">
        <v>70</v>
      </c>
      <c r="H2" s="22" t="s">
        <v>2</v>
      </c>
      <c r="I2" s="22" t="s">
        <v>2</v>
      </c>
      <c r="J2" s="22" t="s">
        <v>2</v>
      </c>
      <c r="K2" s="22" t="s">
        <v>2</v>
      </c>
      <c r="L2" s="22" t="s">
        <v>23</v>
      </c>
      <c r="M2" s="22" t="s">
        <v>2</v>
      </c>
      <c r="N2" s="10"/>
    </row>
    <row r="3" spans="1:15" ht="15" customHeight="1" x14ac:dyDescent="0.25">
      <c r="A3" s="75" t="s">
        <v>66</v>
      </c>
      <c r="B3" s="26" t="s">
        <v>3</v>
      </c>
      <c r="C3" s="41">
        <f>MAX(3000/6,550,450)</f>
        <v>550</v>
      </c>
      <c r="D3" s="41">
        <v>10</v>
      </c>
      <c r="E3" s="41">
        <v>150</v>
      </c>
      <c r="F3" s="41">
        <v>4</v>
      </c>
      <c r="G3" s="23">
        <f>MAX(1,M3*1000*E3/(2*D3^2/4*PI()*(550-40)*391))</f>
        <v>1.1104211886309219</v>
      </c>
      <c r="H3" s="23">
        <f>(0.9*(550-30)*(F3*PI()*D3^2/4)/E3*391)*G3/1000</f>
        <v>425.56799999999998</v>
      </c>
      <c r="I3" s="24">
        <f>(0.9*(550-30)*300*0.5*17*0.5)*(G3/(1+G3^2))/1000</f>
        <v>296.72094665633102</v>
      </c>
      <c r="J3" s="24">
        <f>MIN(H3:I3)</f>
        <v>296.72094665633102</v>
      </c>
      <c r="K3" s="23">
        <v>-442.041</v>
      </c>
      <c r="L3" s="41">
        <v>316.2</v>
      </c>
      <c r="M3" s="24">
        <f>L3*2/3*1.1</f>
        <v>231.88</v>
      </c>
      <c r="N3" s="25" t="str">
        <f>IF(J3&gt;M3,"OK","NO")</f>
        <v>OK</v>
      </c>
    </row>
    <row r="4" spans="1:15" x14ac:dyDescent="0.25">
      <c r="A4" s="75"/>
      <c r="B4" s="26" t="s">
        <v>4</v>
      </c>
      <c r="C4" s="41">
        <f>MAX(3000/6,550,450)</f>
        <v>550</v>
      </c>
      <c r="D4" s="41">
        <v>10</v>
      </c>
      <c r="E4" s="41">
        <v>150</v>
      </c>
      <c r="F4" s="41">
        <v>4</v>
      </c>
      <c r="G4" s="23">
        <f t="shared" ref="G4:G42" si="0">MAX(1,M4*1000*E4/(2*D4^2/4*PI()*(550-40)*391))</f>
        <v>1.1961083391767617</v>
      </c>
      <c r="H4" s="23">
        <f t="shared" ref="H4:H12" si="1">(0.9*(550-30)*(F4*PI()*D4^2/4)/E4*391)*G4/1000</f>
        <v>458.40752941176481</v>
      </c>
      <c r="I4" s="24">
        <f t="shared" ref="I4:I12" si="2">(0.9*(550-30)*300*0.5*17*0.5)*(G4/(1+G4^2))/1000</f>
        <v>293.62946477235272</v>
      </c>
      <c r="J4" s="24">
        <f t="shared" ref="J4:J42" si="3">MIN(H4:I4)</f>
        <v>293.62946477235272</v>
      </c>
      <c r="K4" s="23">
        <v>-673.34400000000005</v>
      </c>
      <c r="L4" s="41">
        <v>340.6</v>
      </c>
      <c r="M4" s="24">
        <f t="shared" ref="M4:M42" si="4">L4*2/3*1.1</f>
        <v>249.77333333333337</v>
      </c>
      <c r="N4" s="25" t="str">
        <f t="shared" ref="N4:N13" si="5">IF(J4&gt;M4,"OK","NO")</f>
        <v>OK</v>
      </c>
    </row>
    <row r="5" spans="1:15" x14ac:dyDescent="0.25">
      <c r="A5" s="75"/>
      <c r="B5" s="26" t="s">
        <v>5</v>
      </c>
      <c r="C5" s="41">
        <f t="shared" ref="C5:C7" si="6">MAX(3000/6,550,450)</f>
        <v>550</v>
      </c>
      <c r="D5" s="41">
        <v>10</v>
      </c>
      <c r="E5" s="41">
        <v>150</v>
      </c>
      <c r="F5" s="41">
        <v>4</v>
      </c>
      <c r="G5" s="23">
        <f t="shared" si="0"/>
        <v>1.2319283775196948</v>
      </c>
      <c r="H5" s="23">
        <f>(0.9*(550-30)*((F5*PI()*D5^2/4)/E5)*391)*G5/1000</f>
        <v>472.13552941176482</v>
      </c>
      <c r="I5" s="24">
        <f t="shared" si="2"/>
        <v>291.97560614974213</v>
      </c>
      <c r="J5" s="24">
        <f t="shared" si="3"/>
        <v>291.97560614974213</v>
      </c>
      <c r="K5" s="23">
        <v>-790.54499999999996</v>
      </c>
      <c r="L5" s="41">
        <v>350.8</v>
      </c>
      <c r="M5" s="24">
        <f t="shared" si="4"/>
        <v>257.25333333333339</v>
      </c>
      <c r="N5" s="25" t="str">
        <f t="shared" si="5"/>
        <v>OK</v>
      </c>
    </row>
    <row r="6" spans="1:15" x14ac:dyDescent="0.25">
      <c r="A6" s="75"/>
      <c r="B6" s="26" t="s">
        <v>6</v>
      </c>
      <c r="C6" s="41">
        <f t="shared" si="6"/>
        <v>550</v>
      </c>
      <c r="D6" s="41">
        <v>10</v>
      </c>
      <c r="E6" s="41">
        <v>150</v>
      </c>
      <c r="F6" s="41">
        <v>4</v>
      </c>
      <c r="G6" s="23">
        <f t="shared" si="0"/>
        <v>1.2308748469801967</v>
      </c>
      <c r="H6" s="23">
        <f t="shared" si="1"/>
        <v>471.73176470588248</v>
      </c>
      <c r="I6" s="24">
        <f t="shared" si="2"/>
        <v>292.02686926634914</v>
      </c>
      <c r="J6" s="24">
        <f t="shared" si="3"/>
        <v>292.02686926634914</v>
      </c>
      <c r="K6" s="23">
        <v>-783.21900000000005</v>
      </c>
      <c r="L6" s="41">
        <v>350.5</v>
      </c>
      <c r="M6" s="24">
        <f t="shared" si="4"/>
        <v>257.03333333333336</v>
      </c>
      <c r="N6" s="25" t="str">
        <f t="shared" si="5"/>
        <v>OK</v>
      </c>
    </row>
    <row r="7" spans="1:15" x14ac:dyDescent="0.25">
      <c r="A7" s="75"/>
      <c r="B7" s="26" t="s">
        <v>7</v>
      </c>
      <c r="C7" s="41">
        <f t="shared" si="6"/>
        <v>550</v>
      </c>
      <c r="D7" s="41">
        <v>10</v>
      </c>
      <c r="E7" s="41">
        <v>150</v>
      </c>
      <c r="F7" s="41">
        <v>4</v>
      </c>
      <c r="G7" s="23">
        <f t="shared" si="0"/>
        <v>1.1107723654774211</v>
      </c>
      <c r="H7" s="23">
        <f t="shared" si="1"/>
        <v>425.70258823529412</v>
      </c>
      <c r="I7" s="24">
        <f t="shared" si="2"/>
        <v>296.71114077182807</v>
      </c>
      <c r="J7" s="24">
        <f t="shared" si="3"/>
        <v>296.71114077182807</v>
      </c>
      <c r="K7" s="23">
        <v>-442.35899999999998</v>
      </c>
      <c r="L7" s="41">
        <v>316.3</v>
      </c>
      <c r="M7" s="24">
        <f t="shared" si="4"/>
        <v>231.95333333333335</v>
      </c>
      <c r="N7" s="25" t="str">
        <f t="shared" si="5"/>
        <v>OK</v>
      </c>
    </row>
    <row r="8" spans="1:15" x14ac:dyDescent="0.25">
      <c r="A8" s="75"/>
      <c r="B8" s="26" t="s">
        <v>33</v>
      </c>
      <c r="C8" s="41">
        <f>MAX(3000/6,550,450)</f>
        <v>550</v>
      </c>
      <c r="D8" s="41">
        <v>10</v>
      </c>
      <c r="E8" s="41">
        <v>150</v>
      </c>
      <c r="F8" s="41">
        <v>4</v>
      </c>
      <c r="G8" s="23">
        <f t="shared" si="0"/>
        <v>1.2410589755286776</v>
      </c>
      <c r="H8" s="23">
        <f t="shared" si="1"/>
        <v>475.63482352941185</v>
      </c>
      <c r="I8" s="24">
        <f t="shared" si="2"/>
        <v>291.52504075526844</v>
      </c>
      <c r="J8" s="24">
        <f t="shared" si="3"/>
        <v>291.52504075526844</v>
      </c>
      <c r="K8" s="23">
        <v>-868.4</v>
      </c>
      <c r="L8" s="41">
        <v>353.4</v>
      </c>
      <c r="M8" s="24">
        <f t="shared" si="4"/>
        <v>259.16000000000003</v>
      </c>
      <c r="N8" s="25" t="str">
        <f t="shared" si="5"/>
        <v>OK</v>
      </c>
    </row>
    <row r="9" spans="1:15" x14ac:dyDescent="0.25">
      <c r="A9" s="75"/>
      <c r="B9" s="26" t="s">
        <v>36</v>
      </c>
      <c r="C9" s="41">
        <f>MAX(3000/6,550,450)</f>
        <v>550</v>
      </c>
      <c r="D9" s="41">
        <v>10</v>
      </c>
      <c r="E9" s="41">
        <v>150</v>
      </c>
      <c r="F9" s="41">
        <v>4</v>
      </c>
      <c r="G9" s="23">
        <f t="shared" si="0"/>
        <v>1.2737184222531162</v>
      </c>
      <c r="H9" s="23">
        <f t="shared" si="1"/>
        <v>488.15152941176473</v>
      </c>
      <c r="I9" s="24">
        <f t="shared" si="2"/>
        <v>289.82602798776327</v>
      </c>
      <c r="J9" s="24">
        <f t="shared" si="3"/>
        <v>289.82602798776327</v>
      </c>
      <c r="K9" s="23">
        <v>-1286.674</v>
      </c>
      <c r="L9" s="41">
        <v>362.7</v>
      </c>
      <c r="M9" s="24">
        <f t="shared" si="4"/>
        <v>265.98</v>
      </c>
      <c r="N9" s="25" t="str">
        <f t="shared" si="5"/>
        <v>OK</v>
      </c>
    </row>
    <row r="10" spans="1:15" x14ac:dyDescent="0.25">
      <c r="A10" s="75"/>
      <c r="B10" s="26" t="s">
        <v>39</v>
      </c>
      <c r="C10" s="41">
        <f>MAX(3000/6,550,450)</f>
        <v>550</v>
      </c>
      <c r="D10" s="41">
        <v>10</v>
      </c>
      <c r="E10" s="41">
        <v>150</v>
      </c>
      <c r="F10" s="41">
        <v>4</v>
      </c>
      <c r="G10" s="23">
        <f t="shared" si="0"/>
        <v>1.2645878242441335</v>
      </c>
      <c r="H10" s="23">
        <f t="shared" si="1"/>
        <v>484.6522352941177</v>
      </c>
      <c r="I10" s="24">
        <f t="shared" si="2"/>
        <v>290.31420219747258</v>
      </c>
      <c r="J10" s="24">
        <f t="shared" si="3"/>
        <v>290.31420219747258</v>
      </c>
      <c r="K10" s="23">
        <v>-1501.511</v>
      </c>
      <c r="L10" s="41">
        <v>360.1</v>
      </c>
      <c r="M10" s="24">
        <f t="shared" si="4"/>
        <v>264.07333333333338</v>
      </c>
      <c r="N10" s="25" t="str">
        <f t="shared" si="5"/>
        <v>OK</v>
      </c>
    </row>
    <row r="11" spans="1:15" x14ac:dyDescent="0.25">
      <c r="A11" s="75"/>
      <c r="B11" s="26" t="s">
        <v>42</v>
      </c>
      <c r="C11" s="41">
        <f>MAX(3000/6,550,450)</f>
        <v>550</v>
      </c>
      <c r="D11" s="41">
        <v>10</v>
      </c>
      <c r="E11" s="41">
        <v>150</v>
      </c>
      <c r="F11" s="41">
        <v>4</v>
      </c>
      <c r="G11" s="23">
        <f t="shared" si="0"/>
        <v>1.2659925316301306</v>
      </c>
      <c r="H11" s="23">
        <f t="shared" si="1"/>
        <v>485.19058823529411</v>
      </c>
      <c r="I11" s="24">
        <f t="shared" si="2"/>
        <v>290.23974280172769</v>
      </c>
      <c r="J11" s="24">
        <f t="shared" si="3"/>
        <v>290.23974280172769</v>
      </c>
      <c r="K11" s="23">
        <v>-1496.55</v>
      </c>
      <c r="L11" s="41">
        <v>360.5</v>
      </c>
      <c r="M11" s="24">
        <f t="shared" si="4"/>
        <v>264.36666666666667</v>
      </c>
      <c r="N11" s="25" t="str">
        <f t="shared" si="5"/>
        <v>OK</v>
      </c>
    </row>
    <row r="12" spans="1:15" x14ac:dyDescent="0.25">
      <c r="A12" s="75"/>
      <c r="B12" s="26" t="s">
        <v>45</v>
      </c>
      <c r="C12" s="41">
        <f t="shared" ref="C12" si="7">MAX(3000/6,550,450)</f>
        <v>550</v>
      </c>
      <c r="D12" s="41">
        <v>10</v>
      </c>
      <c r="E12" s="41">
        <v>150</v>
      </c>
      <c r="F12" s="41">
        <v>4</v>
      </c>
      <c r="G12" s="23">
        <f t="shared" si="0"/>
        <v>1.2410589755286776</v>
      </c>
      <c r="H12" s="23">
        <f t="shared" si="1"/>
        <v>475.63482352941185</v>
      </c>
      <c r="I12" s="24">
        <f t="shared" si="2"/>
        <v>291.52504075526844</v>
      </c>
      <c r="J12" s="24">
        <f t="shared" si="3"/>
        <v>291.52504075526844</v>
      </c>
      <c r="K12" s="23">
        <v>-870.16600000000005</v>
      </c>
      <c r="L12" s="41">
        <v>353.4</v>
      </c>
      <c r="M12" s="24">
        <f t="shared" si="4"/>
        <v>259.16000000000003</v>
      </c>
      <c r="N12" s="25" t="str">
        <f t="shared" si="5"/>
        <v>OK</v>
      </c>
    </row>
    <row r="13" spans="1:15" ht="18" customHeight="1" x14ac:dyDescent="0.25">
      <c r="A13" s="76" t="s">
        <v>67</v>
      </c>
      <c r="B13" s="26" t="s">
        <v>8</v>
      </c>
      <c r="C13" s="41">
        <f>MAX(3000/6,500,450)</f>
        <v>500</v>
      </c>
      <c r="D13" s="41">
        <v>10</v>
      </c>
      <c r="E13" s="48">
        <v>150</v>
      </c>
      <c r="F13" s="41">
        <v>4</v>
      </c>
      <c r="G13" s="23">
        <f t="shared" si="0"/>
        <v>1</v>
      </c>
      <c r="H13" s="23">
        <f>(0.9*(500-30)*(F13*PI()*D13^2/4)/E13*391)*G13/1000</f>
        <v>346.39828917011778</v>
      </c>
      <c r="I13" s="24">
        <f>(0.9*(500-30)*300*0.5*17*0.5)*(G13/(1+G13^2))/1000</f>
        <v>269.66250000000002</v>
      </c>
      <c r="J13" s="24">
        <f t="shared" si="3"/>
        <v>269.66250000000002</v>
      </c>
      <c r="K13" s="23">
        <v>-319.12700000000001</v>
      </c>
      <c r="L13" s="41">
        <v>266.89999999999998</v>
      </c>
      <c r="M13" s="24">
        <f t="shared" si="4"/>
        <v>195.72666666666666</v>
      </c>
      <c r="N13" s="25" t="str">
        <f t="shared" si="5"/>
        <v>OK</v>
      </c>
      <c r="O13" s="21"/>
    </row>
    <row r="14" spans="1:15" x14ac:dyDescent="0.25">
      <c r="A14" s="76"/>
      <c r="B14" s="26" t="s">
        <v>9</v>
      </c>
      <c r="C14" s="41">
        <f t="shared" ref="C14:C22" si="8">MAX(3000/6,500,450)</f>
        <v>500</v>
      </c>
      <c r="D14" s="41">
        <v>10</v>
      </c>
      <c r="E14" s="48">
        <v>150</v>
      </c>
      <c r="F14" s="41">
        <v>4</v>
      </c>
      <c r="G14" s="23">
        <f t="shared" si="0"/>
        <v>1</v>
      </c>
      <c r="H14" s="23">
        <f t="shared" ref="H14:H22" si="9">(0.9*(500-30)*(F14*PI()*D14^2/4)/E14*391)*G14/1000</f>
        <v>346.39828917011778</v>
      </c>
      <c r="I14" s="24">
        <f t="shared" ref="I14:I22" si="10">(0.9*(500-30)*300*0.5*17*0.5)*(G14/(1+G14^2))/1000</f>
        <v>269.66250000000002</v>
      </c>
      <c r="J14" s="24">
        <f t="shared" si="3"/>
        <v>269.66250000000002</v>
      </c>
      <c r="K14" s="23">
        <v>-488.14400000000001</v>
      </c>
      <c r="L14" s="41">
        <v>283.8</v>
      </c>
      <c r="M14" s="24">
        <f t="shared" si="4"/>
        <v>208.12000000000003</v>
      </c>
      <c r="N14" s="25" t="str">
        <f t="shared" ref="N14:N42" si="11">IF(J14&gt;M14,"OK","NO")</f>
        <v>OK</v>
      </c>
      <c r="O14" s="21"/>
    </row>
    <row r="15" spans="1:15" x14ac:dyDescent="0.25">
      <c r="A15" s="76"/>
      <c r="B15" s="26" t="s">
        <v>10</v>
      </c>
      <c r="C15" s="41">
        <f t="shared" si="8"/>
        <v>500</v>
      </c>
      <c r="D15" s="41">
        <v>10</v>
      </c>
      <c r="E15" s="48">
        <v>150</v>
      </c>
      <c r="F15" s="41">
        <v>4</v>
      </c>
      <c r="G15" s="23">
        <f t="shared" si="0"/>
        <v>1.0243828612385828</v>
      </c>
      <c r="H15" s="23">
        <f t="shared" si="9"/>
        <v>354.84447058823525</v>
      </c>
      <c r="I15" s="24">
        <f t="shared" si="10"/>
        <v>269.58427031468898</v>
      </c>
      <c r="J15" s="24">
        <f t="shared" si="3"/>
        <v>269.58427031468898</v>
      </c>
      <c r="K15" s="23">
        <v>-574.03499999999997</v>
      </c>
      <c r="L15" s="41">
        <v>291.7</v>
      </c>
      <c r="M15" s="24">
        <f t="shared" si="4"/>
        <v>213.91333333333336</v>
      </c>
      <c r="N15" s="25" t="str">
        <f t="shared" si="11"/>
        <v>OK</v>
      </c>
      <c r="O15" s="21"/>
    </row>
    <row r="16" spans="1:15" x14ac:dyDescent="0.25">
      <c r="A16" s="76"/>
      <c r="B16" s="26" t="s">
        <v>11</v>
      </c>
      <c r="C16" s="41">
        <f t="shared" si="8"/>
        <v>500</v>
      </c>
      <c r="D16" s="41">
        <v>10</v>
      </c>
      <c r="E16" s="48">
        <v>150</v>
      </c>
      <c r="F16" s="41">
        <v>4</v>
      </c>
      <c r="G16" s="23">
        <f t="shared" si="0"/>
        <v>1.0219246233130874</v>
      </c>
      <c r="H16" s="23">
        <f t="shared" si="9"/>
        <v>353.99294117647054</v>
      </c>
      <c r="I16" s="24">
        <f t="shared" si="10"/>
        <v>269.59909349004084</v>
      </c>
      <c r="J16" s="24">
        <f t="shared" si="3"/>
        <v>269.59909349004084</v>
      </c>
      <c r="K16" s="23">
        <v>-567.02700000000004</v>
      </c>
      <c r="L16" s="41">
        <v>291</v>
      </c>
      <c r="M16" s="24">
        <f t="shared" si="4"/>
        <v>213.4</v>
      </c>
      <c r="N16" s="25" t="str">
        <f t="shared" si="11"/>
        <v>OK</v>
      </c>
      <c r="O16" s="21"/>
    </row>
    <row r="17" spans="1:15" x14ac:dyDescent="0.25">
      <c r="A17" s="76"/>
      <c r="B17" s="26" t="s">
        <v>12</v>
      </c>
      <c r="C17" s="41">
        <f t="shared" si="8"/>
        <v>500</v>
      </c>
      <c r="D17" s="41">
        <v>10</v>
      </c>
      <c r="E17" s="48">
        <v>150</v>
      </c>
      <c r="F17" s="41">
        <v>4</v>
      </c>
      <c r="G17" s="23">
        <f t="shared" si="0"/>
        <v>1</v>
      </c>
      <c r="H17" s="23">
        <f t="shared" si="9"/>
        <v>346.39828917011778</v>
      </c>
      <c r="I17" s="24">
        <f t="shared" si="10"/>
        <v>269.66250000000002</v>
      </c>
      <c r="J17" s="24">
        <f t="shared" si="3"/>
        <v>269.66250000000002</v>
      </c>
      <c r="K17" s="23">
        <v>-319.85399999999998</v>
      </c>
      <c r="L17" s="41">
        <v>274.39999999999998</v>
      </c>
      <c r="M17" s="24">
        <f t="shared" si="4"/>
        <v>201.22666666666666</v>
      </c>
      <c r="N17" s="25" t="str">
        <f t="shared" si="11"/>
        <v>OK</v>
      </c>
      <c r="O17" s="21"/>
    </row>
    <row r="18" spans="1:15" x14ac:dyDescent="0.25">
      <c r="A18" s="76"/>
      <c r="B18" s="26" t="s">
        <v>35</v>
      </c>
      <c r="C18" s="41">
        <f t="shared" si="8"/>
        <v>500</v>
      </c>
      <c r="D18" s="41">
        <v>10</v>
      </c>
      <c r="E18" s="48">
        <v>150</v>
      </c>
      <c r="F18" s="41">
        <v>4</v>
      </c>
      <c r="G18" s="23">
        <f t="shared" si="0"/>
        <v>1.040888173024052</v>
      </c>
      <c r="H18" s="23">
        <f t="shared" si="9"/>
        <v>360.56188235294115</v>
      </c>
      <c r="I18" s="24">
        <f t="shared" si="10"/>
        <v>269.44611195507366</v>
      </c>
      <c r="J18" s="24">
        <f t="shared" si="3"/>
        <v>269.44611195507366</v>
      </c>
      <c r="K18" s="23">
        <v>-629.76199999999994</v>
      </c>
      <c r="L18" s="41">
        <v>296.39999999999998</v>
      </c>
      <c r="M18" s="24">
        <f t="shared" si="4"/>
        <v>217.36</v>
      </c>
      <c r="N18" s="25" t="str">
        <f t="shared" si="11"/>
        <v>OK</v>
      </c>
      <c r="O18" s="21"/>
    </row>
    <row r="19" spans="1:15" x14ac:dyDescent="0.25">
      <c r="A19" s="76"/>
      <c r="B19" s="26" t="s">
        <v>38</v>
      </c>
      <c r="C19" s="41">
        <f t="shared" si="8"/>
        <v>500</v>
      </c>
      <c r="D19" s="41">
        <v>10</v>
      </c>
      <c r="E19" s="48">
        <v>150</v>
      </c>
      <c r="F19" s="41">
        <v>4</v>
      </c>
      <c r="G19" s="23">
        <f t="shared" si="0"/>
        <v>1.081624687217976</v>
      </c>
      <c r="H19" s="23">
        <f t="shared" si="9"/>
        <v>374.6729411764706</v>
      </c>
      <c r="I19" s="24">
        <f t="shared" si="10"/>
        <v>268.83451684309921</v>
      </c>
      <c r="J19" s="24">
        <f t="shared" si="3"/>
        <v>268.83451684309921</v>
      </c>
      <c r="K19" s="23">
        <v>-947.71299999999997</v>
      </c>
      <c r="L19" s="41">
        <v>308</v>
      </c>
      <c r="M19" s="24">
        <f t="shared" si="4"/>
        <v>225.8666666666667</v>
      </c>
      <c r="N19" s="25" t="str">
        <f t="shared" si="11"/>
        <v>OK</v>
      </c>
      <c r="O19" s="21"/>
    </row>
    <row r="20" spans="1:15" x14ac:dyDescent="0.25">
      <c r="A20" s="76"/>
      <c r="B20" s="26" t="s">
        <v>41</v>
      </c>
      <c r="C20" s="41">
        <f t="shared" si="8"/>
        <v>500</v>
      </c>
      <c r="D20" s="41">
        <v>10</v>
      </c>
      <c r="E20" s="48">
        <v>150</v>
      </c>
      <c r="F20" s="41">
        <v>4</v>
      </c>
      <c r="G20" s="23">
        <f t="shared" si="0"/>
        <v>1.0911064620734581</v>
      </c>
      <c r="H20" s="23">
        <f t="shared" si="9"/>
        <v>377.95741176470585</v>
      </c>
      <c r="I20" s="24">
        <f t="shared" si="10"/>
        <v>268.64068323498549</v>
      </c>
      <c r="J20" s="24">
        <f t="shared" si="3"/>
        <v>268.64068323498549</v>
      </c>
      <c r="K20" s="23">
        <v>-1106.299</v>
      </c>
      <c r="L20" s="41">
        <v>310.7</v>
      </c>
      <c r="M20" s="24">
        <f t="shared" si="4"/>
        <v>227.84666666666666</v>
      </c>
      <c r="N20" s="25" t="str">
        <f t="shared" si="11"/>
        <v>OK</v>
      </c>
      <c r="O20" s="21"/>
    </row>
    <row r="21" spans="1:15" x14ac:dyDescent="0.25">
      <c r="A21" s="76"/>
      <c r="B21" s="26" t="s">
        <v>44</v>
      </c>
      <c r="C21" s="41">
        <f t="shared" si="8"/>
        <v>500</v>
      </c>
      <c r="D21" s="41">
        <v>10</v>
      </c>
      <c r="E21" s="48">
        <v>150</v>
      </c>
      <c r="F21" s="41">
        <v>4</v>
      </c>
      <c r="G21" s="23">
        <f t="shared" si="0"/>
        <v>1.0911064620734581</v>
      </c>
      <c r="H21" s="23">
        <f t="shared" si="9"/>
        <v>377.95741176470585</v>
      </c>
      <c r="I21" s="24">
        <f t="shared" si="10"/>
        <v>268.64068323498549</v>
      </c>
      <c r="J21" s="24">
        <f t="shared" si="3"/>
        <v>268.64068323498549</v>
      </c>
      <c r="K21" s="23">
        <v>-1101.9179999999999</v>
      </c>
      <c r="L21" s="41">
        <v>310.7</v>
      </c>
      <c r="M21" s="24">
        <f t="shared" si="4"/>
        <v>227.84666666666666</v>
      </c>
      <c r="N21" s="25" t="str">
        <f t="shared" si="11"/>
        <v>OK</v>
      </c>
      <c r="O21" s="21"/>
    </row>
    <row r="22" spans="1:15" x14ac:dyDescent="0.25">
      <c r="A22" s="76"/>
      <c r="B22" s="26" t="s">
        <v>47</v>
      </c>
      <c r="C22" s="41">
        <f t="shared" si="8"/>
        <v>500</v>
      </c>
      <c r="D22" s="41">
        <v>10</v>
      </c>
      <c r="E22" s="48">
        <v>150</v>
      </c>
      <c r="F22" s="41">
        <v>4</v>
      </c>
      <c r="G22" s="23">
        <f t="shared" si="0"/>
        <v>1.0412393498705512</v>
      </c>
      <c r="H22" s="23">
        <f t="shared" si="9"/>
        <v>360.68352941176465</v>
      </c>
      <c r="I22" s="24">
        <f t="shared" si="10"/>
        <v>269.44245622798519</v>
      </c>
      <c r="J22" s="24">
        <f t="shared" si="3"/>
        <v>269.44245622798519</v>
      </c>
      <c r="K22" s="47">
        <v>-631.32000000000005</v>
      </c>
      <c r="L22" s="41">
        <v>296.5</v>
      </c>
      <c r="M22" s="24">
        <f t="shared" si="4"/>
        <v>217.43333333333334</v>
      </c>
      <c r="N22" s="25" t="str">
        <f t="shared" si="11"/>
        <v>OK</v>
      </c>
      <c r="O22" s="21"/>
    </row>
    <row r="23" spans="1:15" x14ac:dyDescent="0.25">
      <c r="A23" s="77" t="s">
        <v>68</v>
      </c>
      <c r="B23" s="26" t="s">
        <v>13</v>
      </c>
      <c r="C23" s="41">
        <f>MAX(3000/6,450,450)</f>
        <v>500</v>
      </c>
      <c r="D23" s="41">
        <v>10</v>
      </c>
      <c r="E23" s="48">
        <v>150</v>
      </c>
      <c r="F23" s="41">
        <v>4</v>
      </c>
      <c r="G23" s="23">
        <f t="shared" si="0"/>
        <v>1</v>
      </c>
      <c r="H23" s="23">
        <f>(0.9*(450-30)*(F23*PI()*D23^2/4)/E23*391)*G23/1000</f>
        <v>309.54740734350946</v>
      </c>
      <c r="I23" s="24">
        <f>(0.9*(450-30)*300*0.5*17*0.5)*(G23/(1+G23^2))/1000</f>
        <v>240.97499999999999</v>
      </c>
      <c r="J23" s="24">
        <f t="shared" si="3"/>
        <v>240.97499999999999</v>
      </c>
      <c r="K23" s="23">
        <v>-194.28700000000001</v>
      </c>
      <c r="L23" s="41">
        <v>221.2</v>
      </c>
      <c r="M23" s="24">
        <f t="shared" si="4"/>
        <v>162.21333333333334</v>
      </c>
      <c r="N23" s="25" t="str">
        <f t="shared" si="11"/>
        <v>OK</v>
      </c>
      <c r="O23" s="21"/>
    </row>
    <row r="24" spans="1:15" x14ac:dyDescent="0.25">
      <c r="A24" s="77"/>
      <c r="B24" s="26" t="s">
        <v>14</v>
      </c>
      <c r="C24" s="41">
        <f t="shared" ref="C24:C32" si="12">MAX(3000/6,450,450)</f>
        <v>500</v>
      </c>
      <c r="D24" s="41">
        <v>10</v>
      </c>
      <c r="E24" s="48">
        <v>150</v>
      </c>
      <c r="F24" s="41">
        <v>4</v>
      </c>
      <c r="G24" s="23">
        <f t="shared" si="0"/>
        <v>1</v>
      </c>
      <c r="H24" s="23">
        <f t="shared" ref="H24:H32" si="13">(0.9*(450-30)*(F24*PI()*D24^2/4)/E24*391)*G24/1000</f>
        <v>309.54740734350946</v>
      </c>
      <c r="I24" s="24">
        <f t="shared" ref="I24:I32" si="14">(0.9*(450-30)*300*0.5*17*0.5)*(G24/(1+G24^2))/1000</f>
        <v>240.97499999999999</v>
      </c>
      <c r="J24" s="24">
        <f t="shared" si="3"/>
        <v>240.97499999999999</v>
      </c>
      <c r="K24" s="23">
        <v>-301.76600000000002</v>
      </c>
      <c r="L24" s="41">
        <v>231.1</v>
      </c>
      <c r="M24" s="24">
        <f t="shared" si="4"/>
        <v>169.47333333333333</v>
      </c>
      <c r="N24" s="25" t="str">
        <f t="shared" si="11"/>
        <v>OK</v>
      </c>
      <c r="O24" s="21"/>
    </row>
    <row r="25" spans="1:15" x14ac:dyDescent="0.25">
      <c r="A25" s="77"/>
      <c r="B25" s="26" t="s">
        <v>15</v>
      </c>
      <c r="C25" s="41">
        <f t="shared" si="12"/>
        <v>500</v>
      </c>
      <c r="D25" s="41">
        <v>10</v>
      </c>
      <c r="E25" s="48">
        <v>150</v>
      </c>
      <c r="F25" s="41">
        <v>4</v>
      </c>
      <c r="G25" s="23">
        <f t="shared" si="0"/>
        <v>1</v>
      </c>
      <c r="H25" s="23">
        <f t="shared" si="13"/>
        <v>309.54740734350946</v>
      </c>
      <c r="I25" s="24">
        <f t="shared" si="14"/>
        <v>240.97499999999999</v>
      </c>
      <c r="J25" s="24">
        <f t="shared" si="3"/>
        <v>240.97499999999999</v>
      </c>
      <c r="K25" s="23">
        <v>-355.28399999999999</v>
      </c>
      <c r="L25" s="41">
        <v>235.8</v>
      </c>
      <c r="M25" s="24">
        <f t="shared" si="4"/>
        <v>172.92000000000004</v>
      </c>
      <c r="N25" s="25" t="str">
        <f t="shared" si="11"/>
        <v>OK</v>
      </c>
      <c r="O25" s="21"/>
    </row>
    <row r="26" spans="1:15" x14ac:dyDescent="0.25">
      <c r="A26" s="77"/>
      <c r="B26" s="26" t="s">
        <v>16</v>
      </c>
      <c r="C26" s="41">
        <f t="shared" si="12"/>
        <v>500</v>
      </c>
      <c r="D26" s="41">
        <v>10</v>
      </c>
      <c r="E26" s="48">
        <v>150</v>
      </c>
      <c r="F26" s="41">
        <v>4</v>
      </c>
      <c r="G26" s="23">
        <f t="shared" si="0"/>
        <v>1</v>
      </c>
      <c r="H26" s="23">
        <f t="shared" si="13"/>
        <v>309.54740734350946</v>
      </c>
      <c r="I26" s="24">
        <f t="shared" si="14"/>
        <v>240.97499999999999</v>
      </c>
      <c r="J26" s="24">
        <f t="shared" si="3"/>
        <v>240.97499999999999</v>
      </c>
      <c r="K26" s="23">
        <v>-350.16300000000001</v>
      </c>
      <c r="L26" s="41">
        <v>235.4</v>
      </c>
      <c r="M26" s="24">
        <f t="shared" si="4"/>
        <v>172.62666666666669</v>
      </c>
      <c r="N26" s="25" t="str">
        <f t="shared" si="11"/>
        <v>OK</v>
      </c>
      <c r="O26" s="21"/>
    </row>
    <row r="27" spans="1:15" x14ac:dyDescent="0.25">
      <c r="A27" s="77"/>
      <c r="B27" s="26" t="s">
        <v>17</v>
      </c>
      <c r="C27" s="41">
        <f t="shared" si="12"/>
        <v>500</v>
      </c>
      <c r="D27" s="41">
        <v>10</v>
      </c>
      <c r="E27" s="48">
        <v>150</v>
      </c>
      <c r="F27" s="41">
        <v>4</v>
      </c>
      <c r="G27" s="23">
        <f t="shared" si="0"/>
        <v>1</v>
      </c>
      <c r="H27" s="23">
        <f t="shared" si="13"/>
        <v>309.54740734350946</v>
      </c>
      <c r="I27" s="24">
        <f t="shared" si="14"/>
        <v>240.97499999999999</v>
      </c>
      <c r="J27" s="24">
        <f t="shared" si="3"/>
        <v>240.97499999999999</v>
      </c>
      <c r="K27" s="23">
        <v>-194.84100000000001</v>
      </c>
      <c r="L27" s="41">
        <v>221.3</v>
      </c>
      <c r="M27" s="24">
        <f t="shared" si="4"/>
        <v>162.28666666666669</v>
      </c>
      <c r="N27" s="25" t="str">
        <f t="shared" si="11"/>
        <v>OK</v>
      </c>
      <c r="O27" s="21"/>
    </row>
    <row r="28" spans="1:15" x14ac:dyDescent="0.25">
      <c r="A28" s="77"/>
      <c r="B28" s="26" t="s">
        <v>49</v>
      </c>
      <c r="C28" s="41">
        <f t="shared" si="12"/>
        <v>500</v>
      </c>
      <c r="D28" s="41">
        <v>10</v>
      </c>
      <c r="E28" s="48">
        <v>150</v>
      </c>
      <c r="F28" s="41">
        <v>4</v>
      </c>
      <c r="G28" s="23">
        <f t="shared" si="0"/>
        <v>1</v>
      </c>
      <c r="H28" s="23">
        <f t="shared" si="13"/>
        <v>309.54740734350946</v>
      </c>
      <c r="I28" s="24">
        <f t="shared" si="14"/>
        <v>240.97499999999999</v>
      </c>
      <c r="J28" s="24">
        <f t="shared" si="3"/>
        <v>240.97499999999999</v>
      </c>
      <c r="K28" s="23">
        <v>-394.46</v>
      </c>
      <c r="L28" s="41">
        <v>239.2</v>
      </c>
      <c r="M28" s="24">
        <f t="shared" si="4"/>
        <v>175.41333333333336</v>
      </c>
      <c r="N28" s="25" t="str">
        <f t="shared" si="11"/>
        <v>OK</v>
      </c>
      <c r="O28" s="21"/>
    </row>
    <row r="29" spans="1:15" x14ac:dyDescent="0.25">
      <c r="A29" s="77"/>
      <c r="B29" s="26" t="s">
        <v>50</v>
      </c>
      <c r="C29" s="41">
        <f t="shared" si="12"/>
        <v>500</v>
      </c>
      <c r="D29" s="41">
        <v>10</v>
      </c>
      <c r="E29" s="48">
        <v>150</v>
      </c>
      <c r="F29" s="41">
        <v>4</v>
      </c>
      <c r="G29" s="23">
        <f t="shared" si="0"/>
        <v>1</v>
      </c>
      <c r="H29" s="23">
        <f t="shared" si="13"/>
        <v>309.54740734350946</v>
      </c>
      <c r="I29" s="24">
        <f t="shared" si="14"/>
        <v>240.97499999999999</v>
      </c>
      <c r="J29" s="24">
        <f t="shared" si="3"/>
        <v>240.97499999999999</v>
      </c>
      <c r="K29" s="23">
        <v>-613.827</v>
      </c>
      <c r="L29" s="41">
        <v>255.5</v>
      </c>
      <c r="M29" s="24">
        <f t="shared" si="4"/>
        <v>187.3666666666667</v>
      </c>
      <c r="N29" s="25" t="str">
        <f t="shared" si="11"/>
        <v>OK</v>
      </c>
      <c r="O29" s="21"/>
    </row>
    <row r="30" spans="1:15" x14ac:dyDescent="0.25">
      <c r="A30" s="77"/>
      <c r="B30" s="26" t="s">
        <v>51</v>
      </c>
      <c r="C30" s="41">
        <f t="shared" si="12"/>
        <v>500</v>
      </c>
      <c r="D30" s="41">
        <v>10</v>
      </c>
      <c r="E30" s="48">
        <v>150</v>
      </c>
      <c r="F30" s="41">
        <v>4</v>
      </c>
      <c r="G30" s="23">
        <f t="shared" si="0"/>
        <v>1</v>
      </c>
      <c r="H30" s="23">
        <f t="shared" si="13"/>
        <v>309.54740734350946</v>
      </c>
      <c r="I30" s="24">
        <f t="shared" si="14"/>
        <v>240.97499999999999</v>
      </c>
      <c r="J30" s="24">
        <f t="shared" si="3"/>
        <v>240.97499999999999</v>
      </c>
      <c r="K30" s="23">
        <v>-716.63400000000001</v>
      </c>
      <c r="L30" s="41">
        <v>257.89999999999998</v>
      </c>
      <c r="M30" s="24">
        <f t="shared" si="4"/>
        <v>189.12666666666667</v>
      </c>
      <c r="N30" s="25" t="str">
        <f t="shared" si="11"/>
        <v>OK</v>
      </c>
      <c r="O30" s="21"/>
    </row>
    <row r="31" spans="1:15" ht="15" customHeight="1" x14ac:dyDescent="0.25">
      <c r="A31" s="77"/>
      <c r="B31" s="26" t="s">
        <v>52</v>
      </c>
      <c r="C31" s="41">
        <f t="shared" si="12"/>
        <v>500</v>
      </c>
      <c r="D31" s="41">
        <v>10</v>
      </c>
      <c r="E31" s="48">
        <v>150</v>
      </c>
      <c r="F31" s="41">
        <v>4</v>
      </c>
      <c r="G31" s="23">
        <f t="shared" si="0"/>
        <v>1</v>
      </c>
      <c r="H31" s="23">
        <f t="shared" si="13"/>
        <v>309.54740734350946</v>
      </c>
      <c r="I31" s="24">
        <f t="shared" si="14"/>
        <v>240.97499999999999</v>
      </c>
      <c r="J31" s="24">
        <f t="shared" si="3"/>
        <v>240.97499999999999</v>
      </c>
      <c r="K31" s="23">
        <v>-713.37199999999996</v>
      </c>
      <c r="L31" s="41">
        <v>257.8</v>
      </c>
      <c r="M31" s="24">
        <f t="shared" si="4"/>
        <v>189.05333333333337</v>
      </c>
      <c r="N31" s="25" t="str">
        <f t="shared" si="11"/>
        <v>OK</v>
      </c>
      <c r="O31" s="21"/>
    </row>
    <row r="32" spans="1:15" x14ac:dyDescent="0.25">
      <c r="A32" s="77"/>
      <c r="B32" s="26" t="s">
        <v>53</v>
      </c>
      <c r="C32" s="41">
        <f t="shared" si="12"/>
        <v>500</v>
      </c>
      <c r="D32" s="41">
        <v>10</v>
      </c>
      <c r="E32" s="48">
        <v>150</v>
      </c>
      <c r="F32" s="41">
        <v>4</v>
      </c>
      <c r="G32" s="23">
        <f t="shared" si="0"/>
        <v>1</v>
      </c>
      <c r="H32" s="23">
        <f t="shared" si="13"/>
        <v>309.54740734350946</v>
      </c>
      <c r="I32" s="24">
        <f t="shared" si="14"/>
        <v>240.97499999999999</v>
      </c>
      <c r="J32" s="24">
        <f t="shared" si="3"/>
        <v>240.97499999999999</v>
      </c>
      <c r="K32" s="47">
        <v>-395.57900000000001</v>
      </c>
      <c r="L32" s="41">
        <v>239.3</v>
      </c>
      <c r="M32" s="24">
        <f t="shared" si="4"/>
        <v>175.48666666666668</v>
      </c>
      <c r="N32" s="25" t="str">
        <f t="shared" si="11"/>
        <v>OK</v>
      </c>
      <c r="O32" s="21"/>
    </row>
    <row r="33" spans="1:15" x14ac:dyDescent="0.25">
      <c r="A33" s="78" t="s">
        <v>69</v>
      </c>
      <c r="B33" s="26" t="s">
        <v>18</v>
      </c>
      <c r="C33" s="41">
        <f>MAX(3000/6,400,450)</f>
        <v>500</v>
      </c>
      <c r="D33" s="41">
        <v>10</v>
      </c>
      <c r="E33" s="48">
        <v>150</v>
      </c>
      <c r="F33" s="41">
        <v>4</v>
      </c>
      <c r="G33" s="23">
        <f t="shared" si="0"/>
        <v>1</v>
      </c>
      <c r="H33" s="23">
        <f>(0.9*(400-30)*(F33*PI()*D33^2/4)/E33*391)*G33/1000</f>
        <v>272.6965255169012</v>
      </c>
      <c r="I33" s="24">
        <f>(0.9*(400-30)*300*0.5*17*0.5)*(G33/(1+G33^2))/1000</f>
        <v>212.28749999999999</v>
      </c>
      <c r="J33" s="24">
        <f t="shared" si="3"/>
        <v>212.28749999999999</v>
      </c>
      <c r="K33" s="23">
        <v>-71.150999999999996</v>
      </c>
      <c r="L33" s="41">
        <v>179.5</v>
      </c>
      <c r="M33" s="24">
        <f t="shared" si="4"/>
        <v>131.63333333333335</v>
      </c>
      <c r="N33" s="25" t="str">
        <f t="shared" si="11"/>
        <v>OK</v>
      </c>
      <c r="O33" s="21"/>
    </row>
    <row r="34" spans="1:15" x14ac:dyDescent="0.25">
      <c r="A34" s="78"/>
      <c r="B34" s="26" t="s">
        <v>19</v>
      </c>
      <c r="C34" s="41">
        <f t="shared" ref="C34:C42" si="15">MAX(3000/6,400,450)</f>
        <v>500</v>
      </c>
      <c r="D34" s="41">
        <v>10</v>
      </c>
      <c r="E34" s="48">
        <v>150</v>
      </c>
      <c r="F34" s="41">
        <v>4</v>
      </c>
      <c r="G34" s="23">
        <f t="shared" si="0"/>
        <v>1</v>
      </c>
      <c r="H34" s="23">
        <f t="shared" ref="H34:H42" si="16">(0.9*(400-30)*(F34*PI()*D34^2/4)/E34*391)*G34/1000</f>
        <v>272.6965255169012</v>
      </c>
      <c r="I34" s="24">
        <f t="shared" ref="I34:I42" si="17">(0.9*(400-30)*300*0.5*17*0.5)*(G34/(1+G34^2))/1000</f>
        <v>212.28749999999999</v>
      </c>
      <c r="J34" s="24">
        <f t="shared" si="3"/>
        <v>212.28749999999999</v>
      </c>
      <c r="K34" s="23">
        <v>-117.00700000000001</v>
      </c>
      <c r="L34" s="41">
        <v>183.2</v>
      </c>
      <c r="M34" s="24">
        <f t="shared" si="4"/>
        <v>134.34666666666666</v>
      </c>
      <c r="N34" s="25" t="str">
        <f t="shared" si="11"/>
        <v>OK</v>
      </c>
      <c r="O34" s="21"/>
    </row>
    <row r="35" spans="1:15" x14ac:dyDescent="0.25">
      <c r="A35" s="78"/>
      <c r="B35" s="26" t="s">
        <v>20</v>
      </c>
      <c r="C35" s="41">
        <f t="shared" si="15"/>
        <v>500</v>
      </c>
      <c r="D35" s="41">
        <v>10</v>
      </c>
      <c r="E35" s="48">
        <v>150</v>
      </c>
      <c r="F35" s="41">
        <v>4</v>
      </c>
      <c r="G35" s="23">
        <f t="shared" si="0"/>
        <v>1</v>
      </c>
      <c r="H35" s="23">
        <f t="shared" si="16"/>
        <v>272.6965255169012</v>
      </c>
      <c r="I35" s="24">
        <f t="shared" si="17"/>
        <v>212.28749999999999</v>
      </c>
      <c r="J35" s="24">
        <f t="shared" si="3"/>
        <v>212.28749999999999</v>
      </c>
      <c r="K35" s="23">
        <v>-137.62</v>
      </c>
      <c r="L35" s="41">
        <v>184.8</v>
      </c>
      <c r="M35" s="24">
        <f t="shared" si="4"/>
        <v>135.52000000000001</v>
      </c>
      <c r="N35" s="25" t="str">
        <f t="shared" si="11"/>
        <v>OK</v>
      </c>
      <c r="O35" s="21"/>
    </row>
    <row r="36" spans="1:15" x14ac:dyDescent="0.25">
      <c r="A36" s="78"/>
      <c r="B36" s="26" t="s">
        <v>21</v>
      </c>
      <c r="C36" s="41">
        <f t="shared" si="15"/>
        <v>500</v>
      </c>
      <c r="D36" s="41">
        <v>10</v>
      </c>
      <c r="E36" s="48">
        <v>150</v>
      </c>
      <c r="F36" s="41">
        <v>4</v>
      </c>
      <c r="G36" s="23">
        <f t="shared" si="0"/>
        <v>1</v>
      </c>
      <c r="H36" s="23">
        <f t="shared" si="16"/>
        <v>272.6965255169012</v>
      </c>
      <c r="I36" s="24">
        <f t="shared" si="17"/>
        <v>212.28749999999999</v>
      </c>
      <c r="J36" s="24">
        <f t="shared" si="3"/>
        <v>212.28749999999999</v>
      </c>
      <c r="K36" s="23">
        <v>-134.691</v>
      </c>
      <c r="L36" s="41">
        <v>184.6</v>
      </c>
      <c r="M36" s="24">
        <f t="shared" si="4"/>
        <v>135.37333333333333</v>
      </c>
      <c r="N36" s="25" t="str">
        <f t="shared" si="11"/>
        <v>OK</v>
      </c>
      <c r="O36" s="21"/>
    </row>
    <row r="37" spans="1:15" x14ac:dyDescent="0.25">
      <c r="A37" s="78"/>
      <c r="B37" s="26" t="s">
        <v>22</v>
      </c>
      <c r="C37" s="41">
        <f t="shared" si="15"/>
        <v>500</v>
      </c>
      <c r="D37" s="41">
        <v>10</v>
      </c>
      <c r="E37" s="48">
        <v>150</v>
      </c>
      <c r="F37" s="41">
        <v>4</v>
      </c>
      <c r="G37" s="23">
        <f t="shared" si="0"/>
        <v>1</v>
      </c>
      <c r="H37" s="23">
        <f t="shared" si="16"/>
        <v>272.6965255169012</v>
      </c>
      <c r="I37" s="24">
        <f t="shared" si="17"/>
        <v>212.28749999999999</v>
      </c>
      <c r="J37" s="24">
        <f t="shared" si="3"/>
        <v>212.28749999999999</v>
      </c>
      <c r="K37" s="23">
        <v>-71.656999999999996</v>
      </c>
      <c r="L37" s="41">
        <v>179.5</v>
      </c>
      <c r="M37" s="24">
        <f t="shared" si="4"/>
        <v>131.63333333333335</v>
      </c>
      <c r="N37" s="25" t="str">
        <f t="shared" si="11"/>
        <v>OK</v>
      </c>
      <c r="O37" s="21"/>
    </row>
    <row r="38" spans="1:15" x14ac:dyDescent="0.25">
      <c r="A38" s="78"/>
      <c r="B38" s="26" t="s">
        <v>59</v>
      </c>
      <c r="C38" s="41">
        <f t="shared" si="15"/>
        <v>500</v>
      </c>
      <c r="D38" s="41">
        <v>10</v>
      </c>
      <c r="E38" s="48">
        <v>150</v>
      </c>
      <c r="F38" s="41">
        <v>4</v>
      </c>
      <c r="G38" s="23">
        <f t="shared" si="0"/>
        <v>1</v>
      </c>
      <c r="H38" s="23">
        <f t="shared" si="16"/>
        <v>272.6965255169012</v>
      </c>
      <c r="I38" s="24">
        <f t="shared" si="17"/>
        <v>212.28749999999999</v>
      </c>
      <c r="J38" s="24">
        <f t="shared" si="3"/>
        <v>212.28749999999999</v>
      </c>
      <c r="K38" s="23">
        <v>-159.88300000000001</v>
      </c>
      <c r="L38" s="41">
        <v>186.6</v>
      </c>
      <c r="M38" s="24">
        <f t="shared" si="4"/>
        <v>136.84</v>
      </c>
      <c r="N38" s="25" t="str">
        <f t="shared" si="11"/>
        <v>OK</v>
      </c>
      <c r="O38" s="21"/>
    </row>
    <row r="39" spans="1:15" x14ac:dyDescent="0.25">
      <c r="A39" s="78"/>
      <c r="B39" s="26" t="s">
        <v>60</v>
      </c>
      <c r="C39" s="41">
        <f t="shared" si="15"/>
        <v>500</v>
      </c>
      <c r="D39" s="41">
        <v>10</v>
      </c>
      <c r="E39" s="48">
        <v>150</v>
      </c>
      <c r="F39" s="41">
        <v>4</v>
      </c>
      <c r="G39" s="23">
        <f t="shared" si="0"/>
        <v>1</v>
      </c>
      <c r="H39" s="23">
        <f t="shared" si="16"/>
        <v>272.6965255169012</v>
      </c>
      <c r="I39" s="24">
        <f t="shared" si="17"/>
        <v>212.28749999999999</v>
      </c>
      <c r="J39" s="24">
        <f t="shared" si="3"/>
        <v>212.28749999999999</v>
      </c>
      <c r="K39" s="23">
        <v>-281.745</v>
      </c>
      <c r="L39" s="41">
        <v>196.1</v>
      </c>
      <c r="M39" s="24">
        <f t="shared" si="4"/>
        <v>143.80666666666667</v>
      </c>
      <c r="N39" s="25" t="str">
        <f t="shared" si="11"/>
        <v>OK</v>
      </c>
      <c r="O39" s="21"/>
    </row>
    <row r="40" spans="1:15" x14ac:dyDescent="0.25">
      <c r="A40" s="78"/>
      <c r="B40" s="26" t="s">
        <v>61</v>
      </c>
      <c r="C40" s="41">
        <f t="shared" si="15"/>
        <v>500</v>
      </c>
      <c r="D40" s="41">
        <v>10</v>
      </c>
      <c r="E40" s="48">
        <v>150</v>
      </c>
      <c r="F40" s="41">
        <v>4</v>
      </c>
      <c r="G40" s="23">
        <f t="shared" si="0"/>
        <v>1</v>
      </c>
      <c r="H40" s="23">
        <f t="shared" si="16"/>
        <v>272.6965255169012</v>
      </c>
      <c r="I40" s="24">
        <f t="shared" si="17"/>
        <v>212.28749999999999</v>
      </c>
      <c r="J40" s="24">
        <f t="shared" si="3"/>
        <v>212.28749999999999</v>
      </c>
      <c r="K40" s="23">
        <v>-328.71100000000001</v>
      </c>
      <c r="L40" s="41">
        <v>199.6</v>
      </c>
      <c r="M40" s="24">
        <f t="shared" si="4"/>
        <v>146.37333333333333</v>
      </c>
      <c r="N40" s="25" t="str">
        <f t="shared" si="11"/>
        <v>OK</v>
      </c>
      <c r="O40" s="21"/>
    </row>
    <row r="41" spans="1:15" x14ac:dyDescent="0.25">
      <c r="A41" s="78"/>
      <c r="B41" s="26" t="s">
        <v>62</v>
      </c>
      <c r="C41" s="41">
        <f t="shared" si="15"/>
        <v>500</v>
      </c>
      <c r="D41" s="41">
        <v>10</v>
      </c>
      <c r="E41" s="48">
        <v>150</v>
      </c>
      <c r="F41" s="41">
        <v>4</v>
      </c>
      <c r="G41" s="23">
        <f t="shared" si="0"/>
        <v>1</v>
      </c>
      <c r="H41" s="23">
        <f t="shared" si="16"/>
        <v>272.6965255169012</v>
      </c>
      <c r="I41" s="24">
        <f t="shared" si="17"/>
        <v>212.28749999999999</v>
      </c>
      <c r="J41" s="24">
        <f t="shared" si="3"/>
        <v>212.28749999999999</v>
      </c>
      <c r="K41" s="23">
        <v>-326.99</v>
      </c>
      <c r="L41" s="41">
        <v>199.5</v>
      </c>
      <c r="M41" s="24">
        <f t="shared" si="4"/>
        <v>146.30000000000001</v>
      </c>
      <c r="N41" s="25" t="str">
        <f t="shared" si="11"/>
        <v>OK</v>
      </c>
      <c r="O41" s="21"/>
    </row>
    <row r="42" spans="1:15" x14ac:dyDescent="0.25">
      <c r="A42" s="78"/>
      <c r="B42" s="26" t="s">
        <v>63</v>
      </c>
      <c r="C42" s="41">
        <f t="shared" si="15"/>
        <v>500</v>
      </c>
      <c r="D42" s="41">
        <v>10</v>
      </c>
      <c r="E42" s="48">
        <v>150</v>
      </c>
      <c r="F42" s="41">
        <v>4</v>
      </c>
      <c r="G42" s="23">
        <f t="shared" si="0"/>
        <v>1</v>
      </c>
      <c r="H42" s="23">
        <f t="shared" si="16"/>
        <v>272.6965255169012</v>
      </c>
      <c r="I42" s="24">
        <f t="shared" si="17"/>
        <v>212.28749999999999</v>
      </c>
      <c r="J42" s="24">
        <f t="shared" si="3"/>
        <v>212.28749999999999</v>
      </c>
      <c r="K42" s="23">
        <v>-160.38900000000001</v>
      </c>
      <c r="L42" s="41">
        <v>186.7</v>
      </c>
      <c r="M42" s="24">
        <f t="shared" si="4"/>
        <v>136.91333333333333</v>
      </c>
      <c r="N42" s="25" t="str">
        <f t="shared" si="11"/>
        <v>OK</v>
      </c>
      <c r="O42" s="21"/>
    </row>
  </sheetData>
  <mergeCells count="4">
    <mergeCell ref="A3:A12"/>
    <mergeCell ref="A13:A22"/>
    <mergeCell ref="A23:A32"/>
    <mergeCell ref="A33:A42"/>
  </mergeCells>
  <conditionalFormatting sqref="N3:N42">
    <cfRule type="cellIs" dxfId="21" priority="4" operator="equal">
      <formula>"OK"</formula>
    </cfRule>
    <cfRule type="cellIs" dxfId="20" priority="5" operator="equal">
      <formula>"NO"</formula>
    </cfRule>
  </conditionalFormatting>
  <conditionalFormatting sqref="A3 A13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3 A3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25" right="0.25" top="0.75" bottom="0.75" header="0.3" footer="0.3"/>
  <pageSetup paperSize="9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B1E3-69AC-40FD-B10F-9F73B21A1A56}">
  <dimension ref="A1:R63"/>
  <sheetViews>
    <sheetView tabSelected="1" zoomScale="70" zoomScaleNormal="70" workbookViewId="0">
      <pane ySplit="3" topLeftCell="A7" activePane="bottomLeft" state="frozen"/>
      <selection pane="bottomLeft" activeCell="R11" sqref="R11"/>
    </sheetView>
  </sheetViews>
  <sheetFormatPr defaultRowHeight="15" x14ac:dyDescent="0.25"/>
  <cols>
    <col min="1" max="1" width="5.85546875" style="32" customWidth="1"/>
    <col min="2" max="3" width="9.140625" style="37" customWidth="1"/>
    <col min="4" max="4" width="20.42578125" style="37" customWidth="1"/>
    <col min="5" max="14" width="18.85546875" style="36" customWidth="1"/>
    <col min="15" max="16384" width="9.140625" style="36"/>
  </cols>
  <sheetData>
    <row r="1" spans="1:18" ht="26.25" x14ac:dyDescent="0.4">
      <c r="B1" s="64" t="s">
        <v>30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</row>
    <row r="2" spans="1:18" ht="15.75" thickBot="1" x14ac:dyDescent="0.3">
      <c r="B2" s="17" t="s">
        <v>0</v>
      </c>
      <c r="C2" s="17" t="s">
        <v>31</v>
      </c>
      <c r="D2" s="18" t="s">
        <v>75</v>
      </c>
      <c r="E2" s="38" t="s">
        <v>79</v>
      </c>
      <c r="F2" s="38" t="s">
        <v>80</v>
      </c>
      <c r="G2" s="38" t="s">
        <v>86</v>
      </c>
      <c r="H2" s="38" t="s">
        <v>77</v>
      </c>
      <c r="I2" s="38" t="s">
        <v>78</v>
      </c>
      <c r="J2" s="38" t="s">
        <v>81</v>
      </c>
      <c r="K2" s="38" t="s">
        <v>82</v>
      </c>
      <c r="L2" s="38" t="s">
        <v>83</v>
      </c>
      <c r="M2" s="38" t="s">
        <v>84</v>
      </c>
      <c r="N2" s="38" t="s">
        <v>85</v>
      </c>
      <c r="O2" s="18" t="s">
        <v>87</v>
      </c>
      <c r="P2" s="18" t="s">
        <v>90</v>
      </c>
    </row>
    <row r="3" spans="1:18" x14ac:dyDescent="0.25">
      <c r="B3" s="34" t="s">
        <v>1</v>
      </c>
      <c r="C3" s="34" t="s">
        <v>1</v>
      </c>
      <c r="D3" s="35" t="s">
        <v>2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 t="s">
        <v>88</v>
      </c>
      <c r="P3" s="35" t="s">
        <v>88</v>
      </c>
      <c r="R3" s="40" t="s">
        <v>89</v>
      </c>
    </row>
    <row r="4" spans="1:18" ht="15" customHeight="1" thickBot="1" x14ac:dyDescent="0.3">
      <c r="A4" s="61" t="s">
        <v>24</v>
      </c>
      <c r="B4" s="13" t="s">
        <v>3</v>
      </c>
      <c r="C4" s="14" t="s">
        <v>4</v>
      </c>
      <c r="D4" s="83">
        <v>54.19</v>
      </c>
      <c r="E4" s="86">
        <f>300-2*25-'NodoX (Taglio Trazione)'!J4:J5</f>
        <v>240</v>
      </c>
      <c r="F4" s="86">
        <f>500-2*25-'NodoY (Taglio Trazione)'!J4:J5</f>
        <v>440</v>
      </c>
      <c r="G4" s="88">
        <f>MIN('NodoX (Taglio Trazione)'!I4,'NodoY (Taglio Trazione)'!I4)</f>
        <v>50</v>
      </c>
      <c r="H4" s="84">
        <f>(391*'NodoX (Taglio Trazione)'!L4:L5)/(F4*G4)</f>
        <v>27.917334717127485</v>
      </c>
      <c r="I4" s="84">
        <f>(391*'NodoX (Taglio Trazione)'!L4:L5)/(E4*G4)</f>
        <v>51.181780314733722</v>
      </c>
      <c r="J4" s="84">
        <f>SQRT(H4*I4)</f>
        <v>37.800249899503413</v>
      </c>
      <c r="K4" s="79">
        <f>1-1/(6*E4*F4)*2*(3*(F4/3)^2+(E4-20)^2)</f>
        <v>0.6435185185185186</v>
      </c>
      <c r="L4" s="79">
        <f>(1-G4/(2*E4))*(1-G4/(2*F4))</f>
        <v>0.84493371212121215</v>
      </c>
      <c r="M4" s="79">
        <f>K4*L4</f>
        <v>0.54373049067059498</v>
      </c>
      <c r="N4" s="81">
        <f>M4*J4</f>
        <v>20.5531484253281</v>
      </c>
      <c r="O4" s="82">
        <f>IF(N4&gt;0.05*$R$4,$R$4*(1.125+1.5*N4/$R$4),$R$4*(1+5*N4/$R$4))</f>
        <v>64.579722637992148</v>
      </c>
      <c r="P4" s="82">
        <f>0.85*O4/1.5</f>
        <v>36.595176161528883</v>
      </c>
      <c r="R4" s="39">
        <v>30</v>
      </c>
    </row>
    <row r="5" spans="1:18" ht="15.75" thickBot="1" x14ac:dyDescent="0.3">
      <c r="A5" s="61"/>
      <c r="B5" s="13" t="s">
        <v>8</v>
      </c>
      <c r="C5" s="14" t="s">
        <v>4</v>
      </c>
      <c r="D5" s="83"/>
      <c r="E5" s="87"/>
      <c r="F5" s="87"/>
      <c r="G5" s="89"/>
      <c r="H5" s="85"/>
      <c r="I5" s="85"/>
      <c r="J5" s="85"/>
      <c r="K5" s="80"/>
      <c r="L5" s="80"/>
      <c r="M5" s="80"/>
      <c r="N5" s="59"/>
      <c r="O5" s="55"/>
      <c r="P5" s="55"/>
    </row>
    <row r="6" spans="1:18" x14ac:dyDescent="0.25">
      <c r="A6" s="61"/>
      <c r="B6" s="11" t="s">
        <v>4</v>
      </c>
      <c r="C6" s="12" t="s">
        <v>6</v>
      </c>
      <c r="D6" s="83">
        <v>201.35</v>
      </c>
      <c r="E6" s="86">
        <f>300-2*25-'NodoX (Taglio Trazione)'!J6:J7</f>
        <v>240</v>
      </c>
      <c r="F6" s="86">
        <f>500-2*25-'NodoY (Taglio Trazione)'!J6:J7</f>
        <v>440</v>
      </c>
      <c r="G6" s="88">
        <f>MIN('NodoX (Taglio Trazione)'!I6,'NodoY (Taglio Trazione)'!I6)</f>
        <v>50</v>
      </c>
      <c r="H6" s="84">
        <f>(391*'NodoX (Taglio Trazione)'!L6:L7)/(F6*G6)</f>
        <v>27.917334717127485</v>
      </c>
      <c r="I6" s="84">
        <f>(391*'NodoX (Taglio Trazione)'!L6:L7)/(E6*G6)</f>
        <v>51.181780314733722</v>
      </c>
      <c r="J6" s="84">
        <f t="shared" ref="J6" si="0">SQRT(H6*I6)</f>
        <v>37.800249899503413</v>
      </c>
      <c r="K6" s="79">
        <f t="shared" ref="K6" si="1">1-1/(6*E6*F6)*2*(3*(F6/3)^2+(E6-20)^2)</f>
        <v>0.6435185185185186</v>
      </c>
      <c r="L6" s="79">
        <f t="shared" ref="L6" si="2">(1-G6/(2*E6))*(1-G6/(2*F6))</f>
        <v>0.84493371212121215</v>
      </c>
      <c r="M6" s="79">
        <f t="shared" ref="M6" si="3">K6*L6</f>
        <v>0.54373049067059498</v>
      </c>
      <c r="N6" s="81">
        <f t="shared" ref="N6" si="4">M6*J6</f>
        <v>20.5531484253281</v>
      </c>
      <c r="O6" s="82">
        <f>IF(N6&gt;0.05*$R$4,$R$4*(1.125+1.5*N6/$R$4),$R$4*(1+5*N6/$R$4))</f>
        <v>64.579722637992148</v>
      </c>
      <c r="P6" s="82">
        <f>0.85*O6/1.5</f>
        <v>36.595176161528883</v>
      </c>
    </row>
    <row r="7" spans="1:18" ht="15.75" thickBot="1" x14ac:dyDescent="0.3">
      <c r="A7" s="61"/>
      <c r="B7" s="15" t="s">
        <v>9</v>
      </c>
      <c r="C7" s="16" t="s">
        <v>6</v>
      </c>
      <c r="D7" s="83"/>
      <c r="E7" s="87"/>
      <c r="F7" s="87"/>
      <c r="G7" s="89"/>
      <c r="H7" s="85"/>
      <c r="I7" s="85"/>
      <c r="J7" s="85"/>
      <c r="K7" s="80"/>
      <c r="L7" s="80"/>
      <c r="M7" s="80"/>
      <c r="N7" s="59"/>
      <c r="O7" s="55"/>
      <c r="P7" s="55"/>
    </row>
    <row r="8" spans="1:18" x14ac:dyDescent="0.25">
      <c r="A8" s="61"/>
      <c r="B8" s="11" t="s">
        <v>5</v>
      </c>
      <c r="C8" s="12" t="s">
        <v>8</v>
      </c>
      <c r="D8" s="83">
        <v>244.739</v>
      </c>
      <c r="E8" s="86">
        <f>300-2*25-'NodoX (Taglio Trazione)'!J8:J9</f>
        <v>240</v>
      </c>
      <c r="F8" s="86">
        <f>500-2*25-'NodoY (Taglio Trazione)'!J8:J9</f>
        <v>440</v>
      </c>
      <c r="G8" s="88">
        <f>MIN('NodoX (Taglio Trazione)'!I8,'NodoY (Taglio Trazione)'!I8)</f>
        <v>50</v>
      </c>
      <c r="H8" s="84">
        <f>(391*'NodoX (Taglio Trazione)'!L8:L9)/(F8*G8)</f>
        <v>27.917334717127485</v>
      </c>
      <c r="I8" s="84">
        <f>(391*'NodoX (Taglio Trazione)'!L8:L9)/(E8*G8)</f>
        <v>51.181780314733722</v>
      </c>
      <c r="J8" s="84">
        <f t="shared" ref="J8" si="5">SQRT(H8*I8)</f>
        <v>37.800249899503413</v>
      </c>
      <c r="K8" s="79">
        <f t="shared" ref="K8" si="6">1-1/(6*E8*F8)*2*(3*(F8/3)^2+(E8-20)^2)</f>
        <v>0.6435185185185186</v>
      </c>
      <c r="L8" s="79">
        <f t="shared" ref="L8" si="7">(1-G8/(2*E8))*(1-G8/(2*F8))</f>
        <v>0.84493371212121215</v>
      </c>
      <c r="M8" s="79">
        <f t="shared" ref="M8" si="8">K8*L8</f>
        <v>0.54373049067059498</v>
      </c>
      <c r="N8" s="81">
        <f t="shared" ref="N8" si="9">M8*J8</f>
        <v>20.5531484253281</v>
      </c>
      <c r="O8" s="82">
        <f>IF(N8&gt;0.05*$R$4,$R$4*(1.125+1.5*N8/$R$4),$R$4*(1+5*N8/$R$4))</f>
        <v>64.579722637992148</v>
      </c>
      <c r="P8" s="82">
        <f>0.85*O8/1.5</f>
        <v>36.595176161528883</v>
      </c>
    </row>
    <row r="9" spans="1:18" ht="15.75" thickBot="1" x14ac:dyDescent="0.3">
      <c r="A9" s="61"/>
      <c r="B9" s="15" t="s">
        <v>10</v>
      </c>
      <c r="C9" s="16" t="s">
        <v>8</v>
      </c>
      <c r="D9" s="83"/>
      <c r="E9" s="87"/>
      <c r="F9" s="87"/>
      <c r="G9" s="89"/>
      <c r="H9" s="85"/>
      <c r="I9" s="85"/>
      <c r="J9" s="85"/>
      <c r="K9" s="80"/>
      <c r="L9" s="80"/>
      <c r="M9" s="80"/>
      <c r="N9" s="59"/>
      <c r="O9" s="55"/>
      <c r="P9" s="55"/>
    </row>
    <row r="10" spans="1:18" x14ac:dyDescent="0.25">
      <c r="A10" s="61"/>
      <c r="B10" s="13" t="s">
        <v>6</v>
      </c>
      <c r="C10" s="14" t="s">
        <v>10</v>
      </c>
      <c r="D10" s="83">
        <v>224.60499999999999</v>
      </c>
      <c r="E10" s="86">
        <f>300-2*25-'NodoX (Taglio Trazione)'!J10:J11</f>
        <v>240</v>
      </c>
      <c r="F10" s="86">
        <f>500-2*25-'NodoY (Taglio Trazione)'!J10:J11</f>
        <v>440</v>
      </c>
      <c r="G10" s="88">
        <f>MIN('NodoX (Taglio Trazione)'!I10,'NodoY (Taglio Trazione)'!I10)</f>
        <v>50</v>
      </c>
      <c r="H10" s="84">
        <f>(391*'NodoX (Taglio Trazione)'!L10:L11)/(F10*G10)</f>
        <v>27.917334717127485</v>
      </c>
      <c r="I10" s="84">
        <f>(391*'NodoX (Taglio Trazione)'!L10:L11)/(E10*G10)</f>
        <v>51.181780314733722</v>
      </c>
      <c r="J10" s="84">
        <f t="shared" ref="J10" si="10">SQRT(H10*I10)</f>
        <v>37.800249899503413</v>
      </c>
      <c r="K10" s="79">
        <f t="shared" ref="K10" si="11">1-1/(6*E10*F10)*2*(3*(F10/3)^2+(E10-20)^2)</f>
        <v>0.6435185185185186</v>
      </c>
      <c r="L10" s="79">
        <f t="shared" ref="L10" si="12">(1-G10/(2*E10))*(1-G10/(2*F10))</f>
        <v>0.84493371212121215</v>
      </c>
      <c r="M10" s="79">
        <f t="shared" ref="M10" si="13">K10*L10</f>
        <v>0.54373049067059498</v>
      </c>
      <c r="N10" s="81">
        <f t="shared" ref="N10" si="14">M10*J10</f>
        <v>20.5531484253281</v>
      </c>
      <c r="O10" s="82">
        <f t="shared" ref="O10" si="15">IF(N10&gt;0.05*$R$4,$R$4*(1.125+1.5*N10/$R$4),$R$4*(1+5*N10/$R$4))</f>
        <v>64.579722637992148</v>
      </c>
      <c r="P10" s="82">
        <f t="shared" ref="P10" si="16">0.85*O10/1.5</f>
        <v>36.595176161528883</v>
      </c>
    </row>
    <row r="11" spans="1:18" ht="15.75" thickBot="1" x14ac:dyDescent="0.3">
      <c r="A11" s="61"/>
      <c r="B11" s="13" t="s">
        <v>11</v>
      </c>
      <c r="C11" s="14" t="s">
        <v>10</v>
      </c>
      <c r="D11" s="83"/>
      <c r="E11" s="87"/>
      <c r="F11" s="87"/>
      <c r="G11" s="89"/>
      <c r="H11" s="85"/>
      <c r="I11" s="85"/>
      <c r="J11" s="85"/>
      <c r="K11" s="80"/>
      <c r="L11" s="80"/>
      <c r="M11" s="80"/>
      <c r="N11" s="59"/>
      <c r="O11" s="55"/>
      <c r="P11" s="55"/>
    </row>
    <row r="12" spans="1:18" x14ac:dyDescent="0.25">
      <c r="A12" s="61"/>
      <c r="B12" s="11" t="s">
        <v>7</v>
      </c>
      <c r="C12" s="12" t="s">
        <v>12</v>
      </c>
      <c r="D12" s="83">
        <v>53.018999999999998</v>
      </c>
      <c r="E12" s="86">
        <f>300-2*25-'NodoX (Taglio Trazione)'!J12:J13</f>
        <v>240</v>
      </c>
      <c r="F12" s="86">
        <f>500-2*25-'NodoY (Taglio Trazione)'!J12:J13</f>
        <v>440</v>
      </c>
      <c r="G12" s="88">
        <f>MIN('NodoX (Taglio Trazione)'!I12,'NodoY (Taglio Trazione)'!I12)</f>
        <v>50</v>
      </c>
      <c r="H12" s="84">
        <f>(391*'NodoX (Taglio Trazione)'!L12:L13)/(F12*G12)</f>
        <v>27.917334717127485</v>
      </c>
      <c r="I12" s="84">
        <f>(391*'NodoX (Taglio Trazione)'!L12:L13)/(E12*G12)</f>
        <v>51.181780314733722</v>
      </c>
      <c r="J12" s="84">
        <f t="shared" ref="J12" si="17">SQRT(H12*I12)</f>
        <v>37.800249899503413</v>
      </c>
      <c r="K12" s="79">
        <f t="shared" ref="K12" si="18">1-1/(6*E12*F12)*2*(3*(F12/3)^2+(E12-20)^2)</f>
        <v>0.6435185185185186</v>
      </c>
      <c r="L12" s="79">
        <f t="shared" ref="L12" si="19">(1-G12/(2*E12))*(1-G12/(2*F12))</f>
        <v>0.84493371212121215</v>
      </c>
      <c r="M12" s="79">
        <f t="shared" ref="M12" si="20">K12*L12</f>
        <v>0.54373049067059498</v>
      </c>
      <c r="N12" s="81">
        <f t="shared" ref="N12" si="21">M12*J12</f>
        <v>20.5531484253281</v>
      </c>
      <c r="O12" s="82">
        <f t="shared" ref="O12" si="22">IF(N12&gt;0.05*$R$4,$R$4*(1.125+1.5*N12/$R$4),$R$4*(1+5*N12/$R$4))</f>
        <v>64.579722637992148</v>
      </c>
      <c r="P12" s="82">
        <f t="shared" ref="P12" si="23">0.85*O12/1.5</f>
        <v>36.595176161528883</v>
      </c>
    </row>
    <row r="13" spans="1:18" ht="15.75" thickBot="1" x14ac:dyDescent="0.3">
      <c r="A13" s="61"/>
      <c r="B13" s="15" t="s">
        <v>12</v>
      </c>
      <c r="C13" s="16" t="s">
        <v>12</v>
      </c>
      <c r="D13" s="83"/>
      <c r="E13" s="87"/>
      <c r="F13" s="87"/>
      <c r="G13" s="89"/>
      <c r="H13" s="85"/>
      <c r="I13" s="85"/>
      <c r="J13" s="85"/>
      <c r="K13" s="80"/>
      <c r="L13" s="80"/>
      <c r="M13" s="80"/>
      <c r="N13" s="59"/>
      <c r="O13" s="55"/>
      <c r="P13" s="55"/>
    </row>
    <row r="14" spans="1:18" x14ac:dyDescent="0.25">
      <c r="A14" s="61"/>
      <c r="B14" s="13" t="s">
        <v>33</v>
      </c>
      <c r="C14" s="14" t="s">
        <v>34</v>
      </c>
      <c r="D14" s="83">
        <v>335.93200000000002</v>
      </c>
      <c r="E14" s="86">
        <f>500-2*25-'NodoX (Taglio Trazione)'!J14:J15</f>
        <v>440</v>
      </c>
      <c r="F14" s="86">
        <f>300-2*25-'NodoY (Taglio Trazione)'!J14:J15</f>
        <v>240</v>
      </c>
      <c r="G14" s="88">
        <f>MIN('NodoX (Taglio Trazione)'!I14,'NodoY (Taglio Trazione)'!I14)</f>
        <v>50</v>
      </c>
      <c r="H14" s="84">
        <f>(391*'NodoX (Taglio Trazione)'!L14:L15)/(F14*G14)</f>
        <v>102.36356062946744</v>
      </c>
      <c r="I14" s="84">
        <f>(391*'NodoX (Taglio Trazione)'!L14:L15)/(E14*G14)</f>
        <v>55.83466943425497</v>
      </c>
      <c r="J14" s="84">
        <f t="shared" ref="J14" si="24">SQRT(H14*I14)</f>
        <v>75.600499799006826</v>
      </c>
      <c r="K14" s="79">
        <f t="shared" ref="K14" si="25">1-1/(6*E14*F14)*2*(3*(F14/3)^2+(E14-20)^2)</f>
        <v>0.38257575757575757</v>
      </c>
      <c r="L14" s="79">
        <f t="shared" ref="L14" si="26">(1-G14/(2*E14))*(1-G14/(2*F14))</f>
        <v>0.84493371212121215</v>
      </c>
      <c r="M14" s="79">
        <f t="shared" ref="M14" si="27">K14*L14</f>
        <v>0.32325115501606977</v>
      </c>
      <c r="N14" s="81">
        <f t="shared" ref="N14" si="28">M14*J14</f>
        <v>24.437948879821107</v>
      </c>
      <c r="O14" s="82">
        <f t="shared" ref="O14" si="29">IF(N14&gt;0.05*$R$4,$R$4*(1.125+1.5*N14/$R$4),$R$4*(1+5*N14/$R$4))</f>
        <v>70.406923319731661</v>
      </c>
      <c r="P14" s="82">
        <f t="shared" ref="P14" si="30">0.85*O14/1.5</f>
        <v>39.897256547847938</v>
      </c>
    </row>
    <row r="15" spans="1:18" ht="15.75" thickBot="1" x14ac:dyDescent="0.3">
      <c r="A15" s="61"/>
      <c r="B15" s="13" t="s">
        <v>35</v>
      </c>
      <c r="C15" s="14" t="s">
        <v>34</v>
      </c>
      <c r="D15" s="83"/>
      <c r="E15" s="87"/>
      <c r="F15" s="87"/>
      <c r="G15" s="89"/>
      <c r="H15" s="85"/>
      <c r="I15" s="85"/>
      <c r="J15" s="85"/>
      <c r="K15" s="80"/>
      <c r="L15" s="80"/>
      <c r="M15" s="80"/>
      <c r="N15" s="59"/>
      <c r="O15" s="55"/>
      <c r="P15" s="55"/>
    </row>
    <row r="16" spans="1:18" x14ac:dyDescent="0.25">
      <c r="A16" s="61"/>
      <c r="B16" s="11" t="s">
        <v>36</v>
      </c>
      <c r="C16" s="12" t="s">
        <v>37</v>
      </c>
      <c r="D16" s="83">
        <v>494.517</v>
      </c>
      <c r="E16" s="86">
        <f>500-2*25-'NodoX (Taglio Trazione)'!J16:J17</f>
        <v>440</v>
      </c>
      <c r="F16" s="86">
        <f>300-2*25-'NodoY (Taglio Trazione)'!J16:J17</f>
        <v>240</v>
      </c>
      <c r="G16" s="88">
        <f>MIN('NodoX (Taglio Trazione)'!I16,'NodoY (Taglio Trazione)'!I16)</f>
        <v>50</v>
      </c>
      <c r="H16" s="84">
        <f>(391*'NodoX (Taglio Trazione)'!L16:L17)/(F16*G16)</f>
        <v>102.36356062946744</v>
      </c>
      <c r="I16" s="84">
        <f>(391*'NodoX (Taglio Trazione)'!L16:L17)/(E16*G16)</f>
        <v>55.83466943425497</v>
      </c>
      <c r="J16" s="84">
        <f t="shared" ref="J16" si="31">SQRT(H16*I16)</f>
        <v>75.600499799006826</v>
      </c>
      <c r="K16" s="79">
        <f t="shared" ref="K16" si="32">1-1/(6*E16*F16)*2*(3*(F16/3)^2+(E16-20)^2)</f>
        <v>0.38257575757575757</v>
      </c>
      <c r="L16" s="79">
        <f t="shared" ref="L16" si="33">(1-G16/(2*E16))*(1-G16/(2*F16))</f>
        <v>0.84493371212121215</v>
      </c>
      <c r="M16" s="79">
        <f t="shared" ref="M16" si="34">K16*L16</f>
        <v>0.32325115501606977</v>
      </c>
      <c r="N16" s="81">
        <f t="shared" ref="N16" si="35">M16*J16</f>
        <v>24.437948879821107</v>
      </c>
      <c r="O16" s="82">
        <f t="shared" ref="O16" si="36">IF(N16&gt;0.05*$R$4,$R$4*(1.125+1.5*N16/$R$4),$R$4*(1+5*N16/$R$4))</f>
        <v>70.406923319731661</v>
      </c>
      <c r="P16" s="82">
        <f t="shared" ref="P16" si="37">0.85*O16/1.5</f>
        <v>39.897256547847938</v>
      </c>
    </row>
    <row r="17" spans="1:16" ht="15.75" thickBot="1" x14ac:dyDescent="0.3">
      <c r="A17" s="61"/>
      <c r="B17" s="15" t="s">
        <v>38</v>
      </c>
      <c r="C17" s="16" t="s">
        <v>37</v>
      </c>
      <c r="D17" s="83"/>
      <c r="E17" s="87"/>
      <c r="F17" s="87"/>
      <c r="G17" s="89"/>
      <c r="H17" s="85"/>
      <c r="I17" s="85"/>
      <c r="J17" s="85"/>
      <c r="K17" s="80"/>
      <c r="L17" s="80"/>
      <c r="M17" s="80"/>
      <c r="N17" s="59"/>
      <c r="O17" s="55"/>
      <c r="P17" s="55"/>
    </row>
    <row r="18" spans="1:16" x14ac:dyDescent="0.25">
      <c r="A18" s="61"/>
      <c r="B18" s="13" t="s">
        <v>39</v>
      </c>
      <c r="C18" s="14" t="s">
        <v>40</v>
      </c>
      <c r="D18" s="83">
        <v>575.79600000000005</v>
      </c>
      <c r="E18" s="86">
        <f>500-2*25-'NodoX (Taglio Trazione)'!J18:J19</f>
        <v>440</v>
      </c>
      <c r="F18" s="86">
        <f>300-2*25-'NodoY (Taglio Trazione)'!J18:J19</f>
        <v>240</v>
      </c>
      <c r="G18" s="88">
        <f>MIN('NodoX (Taglio Trazione)'!I18,'NodoY (Taglio Trazione)'!I18)</f>
        <v>50</v>
      </c>
      <c r="H18" s="84">
        <f>(391*'NodoX (Taglio Trazione)'!L18:L19)/(F18*G18)</f>
        <v>102.36356062946744</v>
      </c>
      <c r="I18" s="84">
        <f>(391*'NodoX (Taglio Trazione)'!L18:L19)/(E18*G18)</f>
        <v>55.83466943425497</v>
      </c>
      <c r="J18" s="84">
        <f t="shared" ref="J18" si="38">SQRT(H18*I18)</f>
        <v>75.600499799006826</v>
      </c>
      <c r="K18" s="79">
        <f t="shared" ref="K18" si="39">1-1/(6*E18*F18)*2*(3*(F18/3)^2+(E18-20)^2)</f>
        <v>0.38257575757575757</v>
      </c>
      <c r="L18" s="79">
        <f t="shared" ref="L18" si="40">(1-G18/(2*E18))*(1-G18/(2*F18))</f>
        <v>0.84493371212121215</v>
      </c>
      <c r="M18" s="79">
        <f t="shared" ref="M18" si="41">K18*L18</f>
        <v>0.32325115501606977</v>
      </c>
      <c r="N18" s="81">
        <f t="shared" ref="N18" si="42">M18*J18</f>
        <v>24.437948879821107</v>
      </c>
      <c r="O18" s="82">
        <f t="shared" ref="O18" si="43">IF(N18&gt;0.05*$R$4,$R$4*(1.125+1.5*N18/$R$4),$R$4*(1+5*N18/$R$4))</f>
        <v>70.406923319731661</v>
      </c>
      <c r="P18" s="82">
        <f t="shared" ref="P18" si="44">0.85*O18/1.5</f>
        <v>39.897256547847938</v>
      </c>
    </row>
    <row r="19" spans="1:16" ht="15.75" thickBot="1" x14ac:dyDescent="0.3">
      <c r="A19" s="61"/>
      <c r="B19" s="13" t="s">
        <v>41</v>
      </c>
      <c r="C19" s="14" t="s">
        <v>40</v>
      </c>
      <c r="D19" s="83"/>
      <c r="E19" s="87"/>
      <c r="F19" s="87"/>
      <c r="G19" s="89"/>
      <c r="H19" s="85"/>
      <c r="I19" s="85"/>
      <c r="J19" s="85"/>
      <c r="K19" s="80"/>
      <c r="L19" s="80"/>
      <c r="M19" s="80"/>
      <c r="N19" s="59"/>
      <c r="O19" s="55"/>
      <c r="P19" s="55"/>
    </row>
    <row r="20" spans="1:16" x14ac:dyDescent="0.25">
      <c r="A20" s="61"/>
      <c r="B20" s="11" t="s">
        <v>42</v>
      </c>
      <c r="C20" s="12" t="s">
        <v>43</v>
      </c>
      <c r="D20" s="83">
        <v>571.35799999999995</v>
      </c>
      <c r="E20" s="86">
        <f>500-2*25-'NodoX (Taglio Trazione)'!J20:J21</f>
        <v>440</v>
      </c>
      <c r="F20" s="86">
        <f>300-2*25-'NodoY (Taglio Trazione)'!J20:J21</f>
        <v>240</v>
      </c>
      <c r="G20" s="88">
        <f>MIN('NodoX (Taglio Trazione)'!I20,'NodoY (Taglio Trazione)'!I20)</f>
        <v>50</v>
      </c>
      <c r="H20" s="84">
        <f>(391*'NodoX (Taglio Trazione)'!L20:L21)/(F20*G20)</f>
        <v>102.36356062946744</v>
      </c>
      <c r="I20" s="84">
        <f>(391*'NodoX (Taglio Trazione)'!L20:L21)/(E20*G20)</f>
        <v>55.83466943425497</v>
      </c>
      <c r="J20" s="84">
        <f t="shared" ref="J20" si="45">SQRT(H20*I20)</f>
        <v>75.600499799006826</v>
      </c>
      <c r="K20" s="79">
        <f t="shared" ref="K20" si="46">1-1/(6*E20*F20)*2*(3*(F20/3)^2+(E20-20)^2)</f>
        <v>0.38257575757575757</v>
      </c>
      <c r="L20" s="79">
        <f t="shared" ref="L20" si="47">(1-G20/(2*E20))*(1-G20/(2*F20))</f>
        <v>0.84493371212121215</v>
      </c>
      <c r="M20" s="79">
        <f t="shared" ref="M20" si="48">K20*L20</f>
        <v>0.32325115501606977</v>
      </c>
      <c r="N20" s="81">
        <f t="shared" ref="N20" si="49">M20*J20</f>
        <v>24.437948879821107</v>
      </c>
      <c r="O20" s="82">
        <f t="shared" ref="O20" si="50">IF(N20&gt;0.05*$R$4,$R$4*(1.125+1.5*N20/$R$4),$R$4*(1+5*N20/$R$4))</f>
        <v>70.406923319731661</v>
      </c>
      <c r="P20" s="82">
        <f t="shared" ref="P20" si="51">0.85*O20/1.5</f>
        <v>39.897256547847938</v>
      </c>
    </row>
    <row r="21" spans="1:16" ht="15.75" thickBot="1" x14ac:dyDescent="0.3">
      <c r="A21" s="61"/>
      <c r="B21" s="15" t="s">
        <v>44</v>
      </c>
      <c r="C21" s="16" t="s">
        <v>43</v>
      </c>
      <c r="D21" s="83"/>
      <c r="E21" s="87"/>
      <c r="F21" s="87"/>
      <c r="G21" s="89"/>
      <c r="H21" s="85"/>
      <c r="I21" s="85"/>
      <c r="J21" s="85"/>
      <c r="K21" s="80"/>
      <c r="L21" s="80"/>
      <c r="M21" s="80"/>
      <c r="N21" s="59"/>
      <c r="O21" s="55"/>
      <c r="P21" s="55"/>
    </row>
    <row r="22" spans="1:16" x14ac:dyDescent="0.25">
      <c r="A22" s="61"/>
      <c r="B22" s="13" t="s">
        <v>45</v>
      </c>
      <c r="C22" s="14" t="s">
        <v>46</v>
      </c>
      <c r="D22" s="83">
        <v>333.61500000000001</v>
      </c>
      <c r="E22" s="86">
        <f>500-2*25-'NodoX (Taglio Trazione)'!J22:J23</f>
        <v>440</v>
      </c>
      <c r="F22" s="86">
        <f>300-2*25-'NodoY (Taglio Trazione)'!J22:J23</f>
        <v>240</v>
      </c>
      <c r="G22" s="88">
        <f>MIN('NodoX (Taglio Trazione)'!I22,'NodoY (Taglio Trazione)'!I22)</f>
        <v>50</v>
      </c>
      <c r="H22" s="84">
        <f>(391*'NodoX (Taglio Trazione)'!L22:L23)/(F22*G22)</f>
        <v>102.36356062946744</v>
      </c>
      <c r="I22" s="84">
        <f>(391*'NodoX (Taglio Trazione)'!L22:L23)/(E22*G22)</f>
        <v>55.83466943425497</v>
      </c>
      <c r="J22" s="84">
        <f t="shared" ref="J22" si="52">SQRT(H22*I22)</f>
        <v>75.600499799006826</v>
      </c>
      <c r="K22" s="79">
        <f t="shared" ref="K22" si="53">1-1/(6*E22*F22)*2*(3*(F22/3)^2+(E22-20)^2)</f>
        <v>0.38257575757575757</v>
      </c>
      <c r="L22" s="79">
        <f t="shared" ref="L22" si="54">(1-G22/(2*E22))*(1-G22/(2*F22))</f>
        <v>0.84493371212121215</v>
      </c>
      <c r="M22" s="79">
        <f t="shared" ref="M22" si="55">K22*L22</f>
        <v>0.32325115501606977</v>
      </c>
      <c r="N22" s="81">
        <f t="shared" ref="N22" si="56">M22*J22</f>
        <v>24.437948879821107</v>
      </c>
      <c r="O22" s="82">
        <f t="shared" ref="O22" si="57">IF(N22&gt;0.05*$R$4,$R$4*(1.125+1.5*N22/$R$4),$R$4*(1+5*N22/$R$4))</f>
        <v>70.406923319731661</v>
      </c>
      <c r="P22" s="82">
        <f t="shared" ref="P22" si="58">0.85*O22/1.5</f>
        <v>39.897256547847938</v>
      </c>
    </row>
    <row r="23" spans="1:16" ht="15.75" thickBot="1" x14ac:dyDescent="0.3">
      <c r="A23" s="61"/>
      <c r="B23" s="15" t="s">
        <v>47</v>
      </c>
      <c r="C23" s="16" t="s">
        <v>46</v>
      </c>
      <c r="D23" s="83"/>
      <c r="E23" s="87"/>
      <c r="F23" s="87"/>
      <c r="G23" s="89"/>
      <c r="H23" s="85"/>
      <c r="I23" s="85"/>
      <c r="J23" s="85"/>
      <c r="K23" s="80"/>
      <c r="L23" s="80"/>
      <c r="M23" s="80"/>
      <c r="N23" s="59"/>
      <c r="O23" s="55"/>
      <c r="P23" s="55"/>
    </row>
    <row r="24" spans="1:16" ht="15" customHeight="1" x14ac:dyDescent="0.25">
      <c r="A24" s="62" t="s">
        <v>25</v>
      </c>
      <c r="B24" s="11" t="s">
        <v>8</v>
      </c>
      <c r="C24" s="12" t="s">
        <v>13</v>
      </c>
      <c r="D24" s="83">
        <v>51.828000000000003</v>
      </c>
      <c r="E24" s="86">
        <f>300-2*25-'NodoX (Taglio Trazione)'!J24:J25</f>
        <v>240</v>
      </c>
      <c r="F24" s="86">
        <f>450-2*25-'NodoY (Taglio Trazione)'!J24:J25</f>
        <v>390</v>
      </c>
      <c r="G24" s="88">
        <f>MIN('NodoX (Taglio Trazione)'!I24,'NodoY (Taglio Trazione)'!I24)</f>
        <v>50</v>
      </c>
      <c r="H24" s="84">
        <f>(391*'NodoX (Taglio Trazione)'!L24:L25)/(F24*G24)</f>
        <v>31.496480193682288</v>
      </c>
      <c r="I24" s="84">
        <f>(391*'NodoX (Taglio Trazione)'!L24:L25)/(E24*G24)</f>
        <v>51.181780314733722</v>
      </c>
      <c r="J24" s="84">
        <f>SQRT(H24*I24)</f>
        <v>40.150291779268663</v>
      </c>
      <c r="K24" s="79">
        <f t="shared" ref="K24" si="59">1-1/(6*E24*F24)*2*(3*(F24/3)^2+(E24-20)^2)</f>
        <v>0.64707977207977208</v>
      </c>
      <c r="L24" s="79">
        <f t="shared" ref="L24" si="60">(1-G24/(2*E24))*(1-G24/(2*F24))</f>
        <v>0.83840811965811968</v>
      </c>
      <c r="M24" s="79">
        <f t="shared" ref="M24" si="61">K24*L24</f>
        <v>0.5425169349782063</v>
      </c>
      <c r="N24" s="81">
        <f t="shared" ref="N24" si="62">M24*J24</f>
        <v>21.782213234569507</v>
      </c>
      <c r="O24" s="82">
        <f t="shared" ref="O24" si="63">IF(N24&gt;0.05*$R$4,$R$4*(1.125+1.5*N24/$R$4),$R$4*(1+5*N24/$R$4))</f>
        <v>66.423319851854259</v>
      </c>
      <c r="P24" s="82">
        <f t="shared" ref="P24" si="64">0.85*O24/1.5</f>
        <v>37.639881249384082</v>
      </c>
    </row>
    <row r="25" spans="1:16" ht="15.75" thickBot="1" x14ac:dyDescent="0.3">
      <c r="A25" s="62"/>
      <c r="B25" s="13" t="s">
        <v>13</v>
      </c>
      <c r="C25" s="14" t="s">
        <v>13</v>
      </c>
      <c r="D25" s="83"/>
      <c r="E25" s="87"/>
      <c r="F25" s="87"/>
      <c r="G25" s="89"/>
      <c r="H25" s="85"/>
      <c r="I25" s="85"/>
      <c r="J25" s="85"/>
      <c r="K25" s="80"/>
      <c r="L25" s="80"/>
      <c r="M25" s="80"/>
      <c r="N25" s="59"/>
      <c r="O25" s="55"/>
      <c r="P25" s="55"/>
    </row>
    <row r="26" spans="1:16" x14ac:dyDescent="0.25">
      <c r="A26" s="62"/>
      <c r="B26" s="11" t="s">
        <v>9</v>
      </c>
      <c r="C26" s="12" t="s">
        <v>14</v>
      </c>
      <c r="D26" s="83">
        <v>137.89400000000001</v>
      </c>
      <c r="E26" s="86">
        <f>300-2*25-'NodoX (Taglio Trazione)'!J26:J27</f>
        <v>240</v>
      </c>
      <c r="F26" s="86">
        <f>450-2*25-'NodoY (Taglio Trazione)'!J26:J27</f>
        <v>390</v>
      </c>
      <c r="G26" s="88">
        <f>MIN('NodoX (Taglio Trazione)'!I26,'NodoY (Taglio Trazione)'!I26)</f>
        <v>50</v>
      </c>
      <c r="H26" s="84">
        <f>(391*'NodoX (Taglio Trazione)'!L26:L27)/(F26*G26)</f>
        <v>31.496480193682288</v>
      </c>
      <c r="I26" s="84">
        <f>(391*'NodoX (Taglio Trazione)'!L26:L27)/(E26*G26)</f>
        <v>51.181780314733722</v>
      </c>
      <c r="J26" s="84">
        <f t="shared" ref="J26" si="65">SQRT(H26*I26)</f>
        <v>40.150291779268663</v>
      </c>
      <c r="K26" s="79">
        <f t="shared" ref="K26" si="66">1-1/(6*E26*F26)*2*(3*(F26/3)^2+(E26-20)^2)</f>
        <v>0.64707977207977208</v>
      </c>
      <c r="L26" s="79">
        <f t="shared" ref="L26" si="67">(1-G26/(2*E26))*(1-G26/(2*F26))</f>
        <v>0.83840811965811968</v>
      </c>
      <c r="M26" s="79">
        <f t="shared" ref="M26" si="68">K26*L26</f>
        <v>0.5425169349782063</v>
      </c>
      <c r="N26" s="81">
        <f t="shared" ref="N26" si="69">M26*J26</f>
        <v>21.782213234569507</v>
      </c>
      <c r="O26" s="82">
        <f t="shared" ref="O26" si="70">IF(N26&gt;0.05*$R$4,$R$4*(1.125+1.5*N26/$R$4),$R$4*(1+5*N26/$R$4))</f>
        <v>66.423319851854259</v>
      </c>
      <c r="P26" s="82">
        <f t="shared" ref="P26" si="71">0.85*O26/1.5</f>
        <v>37.639881249384082</v>
      </c>
    </row>
    <row r="27" spans="1:16" ht="15.75" thickBot="1" x14ac:dyDescent="0.3">
      <c r="A27" s="62"/>
      <c r="B27" s="15" t="s">
        <v>14</v>
      </c>
      <c r="C27" s="16" t="s">
        <v>14</v>
      </c>
      <c r="D27" s="83"/>
      <c r="E27" s="87"/>
      <c r="F27" s="87"/>
      <c r="G27" s="89"/>
      <c r="H27" s="85"/>
      <c r="I27" s="85"/>
      <c r="J27" s="85"/>
      <c r="K27" s="80"/>
      <c r="L27" s="80"/>
      <c r="M27" s="80"/>
      <c r="N27" s="59"/>
      <c r="O27" s="55"/>
      <c r="P27" s="55"/>
    </row>
    <row r="28" spans="1:16" x14ac:dyDescent="0.25">
      <c r="A28" s="62"/>
      <c r="B28" s="13" t="s">
        <v>10</v>
      </c>
      <c r="C28" s="14" t="s">
        <v>15</v>
      </c>
      <c r="D28" s="83">
        <v>166.45400000000001</v>
      </c>
      <c r="E28" s="86">
        <f>300-2*25-'NodoX (Taglio Trazione)'!J28:J29</f>
        <v>240</v>
      </c>
      <c r="F28" s="86">
        <f>450-2*25-'NodoY (Taglio Trazione)'!J28:J29</f>
        <v>390</v>
      </c>
      <c r="G28" s="88">
        <f>MIN('NodoX (Taglio Trazione)'!I28,'NodoY (Taglio Trazione)'!I28)</f>
        <v>50</v>
      </c>
      <c r="H28" s="84">
        <f>(391*'NodoX (Taglio Trazione)'!L28:L29)/(F28*G28)</f>
        <v>31.496480193682288</v>
      </c>
      <c r="I28" s="84">
        <f>(391*'NodoX (Taglio Trazione)'!L28:L29)/(E28*G28)</f>
        <v>51.181780314733722</v>
      </c>
      <c r="J28" s="84">
        <f t="shared" ref="J28" si="72">SQRT(H28*I28)</f>
        <v>40.150291779268663</v>
      </c>
      <c r="K28" s="79">
        <f t="shared" ref="K28" si="73">1-1/(6*E28*F28)*2*(3*(F28/3)^2+(E28-20)^2)</f>
        <v>0.64707977207977208</v>
      </c>
      <c r="L28" s="79">
        <f t="shared" ref="L28" si="74">(1-G28/(2*E28))*(1-G28/(2*F28))</f>
        <v>0.83840811965811968</v>
      </c>
      <c r="M28" s="79">
        <f t="shared" ref="M28" si="75">K28*L28</f>
        <v>0.5425169349782063</v>
      </c>
      <c r="N28" s="81">
        <f t="shared" ref="N28" si="76">M28*J28</f>
        <v>21.782213234569507</v>
      </c>
      <c r="O28" s="82">
        <f t="shared" ref="O28" si="77">IF(N28&gt;0.05*$R$4,$R$4*(1.125+1.5*N28/$R$4),$R$4*(1+5*N28/$R$4))</f>
        <v>66.423319851854259</v>
      </c>
      <c r="P28" s="82">
        <f t="shared" ref="P28" si="78">0.85*O28/1.5</f>
        <v>37.639881249384082</v>
      </c>
    </row>
    <row r="29" spans="1:16" ht="15.75" thickBot="1" x14ac:dyDescent="0.3">
      <c r="A29" s="62"/>
      <c r="B29" s="13" t="s">
        <v>15</v>
      </c>
      <c r="C29" s="14" t="s">
        <v>15</v>
      </c>
      <c r="D29" s="83"/>
      <c r="E29" s="87"/>
      <c r="F29" s="87"/>
      <c r="G29" s="89"/>
      <c r="H29" s="85"/>
      <c r="I29" s="85"/>
      <c r="J29" s="85"/>
      <c r="K29" s="80"/>
      <c r="L29" s="80"/>
      <c r="M29" s="80"/>
      <c r="N29" s="59"/>
      <c r="O29" s="55"/>
      <c r="P29" s="55"/>
    </row>
    <row r="30" spans="1:16" x14ac:dyDescent="0.25">
      <c r="A30" s="62"/>
      <c r="B30" s="11" t="s">
        <v>11</v>
      </c>
      <c r="C30" s="12" t="s">
        <v>16</v>
      </c>
      <c r="D30" s="83">
        <v>156.28100000000001</v>
      </c>
      <c r="E30" s="86">
        <f>300-2*25-'NodoX (Taglio Trazione)'!J30:J31</f>
        <v>240</v>
      </c>
      <c r="F30" s="86">
        <f>450-2*25-'NodoY (Taglio Trazione)'!J30:J31</f>
        <v>390</v>
      </c>
      <c r="G30" s="88">
        <f>MIN('NodoX (Taglio Trazione)'!I30,'NodoY (Taglio Trazione)'!I30)</f>
        <v>50</v>
      </c>
      <c r="H30" s="84">
        <f>(391*'NodoX (Taglio Trazione)'!L30:L31)/(F30*G30)</f>
        <v>31.496480193682288</v>
      </c>
      <c r="I30" s="84">
        <f>(391*'NodoX (Taglio Trazione)'!L30:L31)/(E30*G30)</f>
        <v>51.181780314733722</v>
      </c>
      <c r="J30" s="84">
        <f t="shared" ref="J30" si="79">SQRT(H30*I30)</f>
        <v>40.150291779268663</v>
      </c>
      <c r="K30" s="79">
        <f t="shared" ref="K30" si="80">1-1/(6*E30*F30)*2*(3*(F30/3)^2+(E30-20)^2)</f>
        <v>0.64707977207977208</v>
      </c>
      <c r="L30" s="79">
        <f t="shared" ref="L30" si="81">(1-G30/(2*E30))*(1-G30/(2*F30))</f>
        <v>0.83840811965811968</v>
      </c>
      <c r="M30" s="79">
        <f t="shared" ref="M30" si="82">K30*L30</f>
        <v>0.5425169349782063</v>
      </c>
      <c r="N30" s="81">
        <f t="shared" ref="N30" si="83">M30*J30</f>
        <v>21.782213234569507</v>
      </c>
      <c r="O30" s="82">
        <f t="shared" ref="O30" si="84">IF(N30&gt;0.05*$R$4,$R$4*(1.125+1.5*N30/$R$4),$R$4*(1+5*N30/$R$4))</f>
        <v>66.423319851854259</v>
      </c>
      <c r="P30" s="82">
        <f t="shared" ref="P30" si="85">0.85*O30/1.5</f>
        <v>37.639881249384082</v>
      </c>
    </row>
    <row r="31" spans="1:16" ht="15.75" thickBot="1" x14ac:dyDescent="0.3">
      <c r="A31" s="62"/>
      <c r="B31" s="15" t="s">
        <v>16</v>
      </c>
      <c r="C31" s="16" t="s">
        <v>16</v>
      </c>
      <c r="D31" s="83"/>
      <c r="E31" s="87"/>
      <c r="F31" s="87"/>
      <c r="G31" s="89"/>
      <c r="H31" s="85"/>
      <c r="I31" s="85"/>
      <c r="J31" s="85"/>
      <c r="K31" s="80"/>
      <c r="L31" s="80"/>
      <c r="M31" s="80"/>
      <c r="N31" s="59"/>
      <c r="O31" s="55"/>
      <c r="P31" s="55"/>
    </row>
    <row r="32" spans="1:16" x14ac:dyDescent="0.25">
      <c r="A32" s="62"/>
      <c r="B32" s="13" t="s">
        <v>12</v>
      </c>
      <c r="C32" s="14" t="s">
        <v>17</v>
      </c>
      <c r="D32" s="83">
        <v>51.773000000000003</v>
      </c>
      <c r="E32" s="86">
        <f>300-2*25-'NodoX (Taglio Trazione)'!J32:J33</f>
        <v>240</v>
      </c>
      <c r="F32" s="86">
        <f>450-2*25-'NodoY (Taglio Trazione)'!J32:J33</f>
        <v>390</v>
      </c>
      <c r="G32" s="88">
        <f>MIN('NodoX (Taglio Trazione)'!I32,'NodoY (Taglio Trazione)'!I32)</f>
        <v>50</v>
      </c>
      <c r="H32" s="84">
        <f>(391*'NodoX (Taglio Trazione)'!L32:L33)/(F32*G32)</f>
        <v>31.496480193682288</v>
      </c>
      <c r="I32" s="84">
        <f>(391*'NodoX (Taglio Trazione)'!L32:L33)/(E32*G32)</f>
        <v>51.181780314733722</v>
      </c>
      <c r="J32" s="84">
        <f t="shared" ref="J32" si="86">SQRT(H32*I32)</f>
        <v>40.150291779268663</v>
      </c>
      <c r="K32" s="79">
        <f t="shared" ref="K32" si="87">1-1/(6*E32*F32)*2*(3*(F32/3)^2+(E32-20)^2)</f>
        <v>0.64707977207977208</v>
      </c>
      <c r="L32" s="79">
        <f t="shared" ref="L32" si="88">(1-G32/(2*E32))*(1-G32/(2*F32))</f>
        <v>0.83840811965811968</v>
      </c>
      <c r="M32" s="79">
        <f t="shared" ref="M32" si="89">K32*L32</f>
        <v>0.5425169349782063</v>
      </c>
      <c r="N32" s="81">
        <f t="shared" ref="N32" si="90">M32*J32</f>
        <v>21.782213234569507</v>
      </c>
      <c r="O32" s="82">
        <f t="shared" ref="O32" si="91">IF(N32&gt;0.05*$R$4,$R$4*(1.125+1.5*N32/$R$4),$R$4*(1+5*N32/$R$4))</f>
        <v>66.423319851854259</v>
      </c>
      <c r="P32" s="82">
        <f t="shared" ref="P32" si="92">0.85*O32/1.5</f>
        <v>37.639881249384082</v>
      </c>
    </row>
    <row r="33" spans="1:16" ht="15.75" thickBot="1" x14ac:dyDescent="0.3">
      <c r="A33" s="62"/>
      <c r="B33" s="13" t="s">
        <v>17</v>
      </c>
      <c r="C33" s="14" t="s">
        <v>17</v>
      </c>
      <c r="D33" s="83"/>
      <c r="E33" s="87"/>
      <c r="F33" s="87"/>
      <c r="G33" s="89"/>
      <c r="H33" s="85"/>
      <c r="I33" s="85"/>
      <c r="J33" s="85"/>
      <c r="K33" s="80"/>
      <c r="L33" s="80"/>
      <c r="M33" s="80"/>
      <c r="N33" s="59"/>
      <c r="O33" s="55"/>
      <c r="P33" s="55"/>
    </row>
    <row r="34" spans="1:16" x14ac:dyDescent="0.25">
      <c r="A34" s="62"/>
      <c r="B34" s="11" t="s">
        <v>35</v>
      </c>
      <c r="C34" s="12" t="s">
        <v>48</v>
      </c>
      <c r="D34" s="83">
        <v>213.893</v>
      </c>
      <c r="E34" s="86">
        <f>450-2*25-'NodoX (Taglio Trazione)'!J34:J35</f>
        <v>390</v>
      </c>
      <c r="F34" s="86">
        <f>300-2*25-'NodoY (Taglio Trazione)'!J34:J35</f>
        <v>240</v>
      </c>
      <c r="G34" s="88">
        <f>MIN('NodoX (Taglio Trazione)'!I34,'NodoY (Taglio Trazione)'!I34)</f>
        <v>50</v>
      </c>
      <c r="H34" s="84">
        <f>(391*'NodoX (Taglio Trazione)'!L34:L35)/(F34*G34)</f>
        <v>102.36356062946744</v>
      </c>
      <c r="I34" s="84">
        <f>(391*'NodoX (Taglio Trazione)'!L34:L35)/(E34*G34)</f>
        <v>62.992960387364576</v>
      </c>
      <c r="J34" s="84">
        <f t="shared" ref="J34" si="93">SQRT(H34*I34)</f>
        <v>80.300583558537326</v>
      </c>
      <c r="K34" s="79">
        <f t="shared" ref="K34" si="94">1-1/(6*E34*F34)*2*(3*(F34/3)^2+(E34-20)^2)</f>
        <v>0.44408831908831914</v>
      </c>
      <c r="L34" s="79">
        <f t="shared" ref="L34" si="95">(1-G34/(2*E34))*(1-G34/(2*F34))</f>
        <v>0.83840811965811968</v>
      </c>
      <c r="M34" s="79">
        <f t="shared" ref="M34" si="96">K34*L34</f>
        <v>0.3723272525689727</v>
      </c>
      <c r="N34" s="81">
        <f t="shared" ref="N34" si="97">M34*J34</f>
        <v>29.898095656035423</v>
      </c>
      <c r="O34" s="82">
        <f t="shared" ref="O34" si="98">IF(N34&gt;0.05*$R$4,$R$4*(1.125+1.5*N34/$R$4),$R$4*(1+5*N34/$R$4))</f>
        <v>78.597143484053134</v>
      </c>
      <c r="P34" s="82">
        <f t="shared" ref="P34" si="99">0.85*O34/1.5</f>
        <v>44.538381307630111</v>
      </c>
    </row>
    <row r="35" spans="1:16" ht="15.75" thickBot="1" x14ac:dyDescent="0.3">
      <c r="A35" s="62"/>
      <c r="B35" s="15" t="s">
        <v>49</v>
      </c>
      <c r="C35" s="16" t="s">
        <v>48</v>
      </c>
      <c r="D35" s="83"/>
      <c r="E35" s="87"/>
      <c r="F35" s="87"/>
      <c r="G35" s="89"/>
      <c r="H35" s="85"/>
      <c r="I35" s="85"/>
      <c r="J35" s="85"/>
      <c r="K35" s="80"/>
      <c r="L35" s="80"/>
      <c r="M35" s="80"/>
      <c r="N35" s="59"/>
      <c r="O35" s="55"/>
      <c r="P35" s="55"/>
    </row>
    <row r="36" spans="1:16" x14ac:dyDescent="0.25">
      <c r="A36" s="62"/>
      <c r="B36" s="13" t="s">
        <v>38</v>
      </c>
      <c r="C36" s="14" t="s">
        <v>18</v>
      </c>
      <c r="D36" s="83">
        <v>328.63200000000001</v>
      </c>
      <c r="E36" s="86">
        <f>450-2*25-'NodoX (Taglio Trazione)'!J36:J37</f>
        <v>390</v>
      </c>
      <c r="F36" s="86">
        <f>300-2*25-'NodoY (Taglio Trazione)'!J36:J37</f>
        <v>240</v>
      </c>
      <c r="G36" s="88">
        <f>MIN('NodoX (Taglio Trazione)'!I36,'NodoY (Taglio Trazione)'!I36)</f>
        <v>50</v>
      </c>
      <c r="H36" s="84">
        <f>(391*'NodoX (Taglio Trazione)'!L36:L37)/(F36*G36)</f>
        <v>102.36356062946744</v>
      </c>
      <c r="I36" s="84">
        <f>(391*'NodoX (Taglio Trazione)'!L36:L37)/(E36*G36)</f>
        <v>62.992960387364576</v>
      </c>
      <c r="J36" s="84">
        <f t="shared" ref="J36" si="100">SQRT(H36*I36)</f>
        <v>80.300583558537326</v>
      </c>
      <c r="K36" s="79">
        <f t="shared" ref="K36" si="101">1-1/(6*E36*F36)*2*(3*(F36/3)^2+(E36-20)^2)</f>
        <v>0.44408831908831914</v>
      </c>
      <c r="L36" s="79">
        <f t="shared" ref="L36" si="102">(1-G36/(2*E36))*(1-G36/(2*F36))</f>
        <v>0.83840811965811968</v>
      </c>
      <c r="M36" s="79">
        <f t="shared" ref="M36" si="103">K36*L36</f>
        <v>0.3723272525689727</v>
      </c>
      <c r="N36" s="81">
        <f t="shared" ref="N36" si="104">M36*J36</f>
        <v>29.898095656035423</v>
      </c>
      <c r="O36" s="82">
        <f t="shared" ref="O36" si="105">IF(N36&gt;0.05*$R$4,$R$4*(1.125+1.5*N36/$R$4),$R$4*(1+5*N36/$R$4))</f>
        <v>78.597143484053134</v>
      </c>
      <c r="P36" s="82">
        <f t="shared" ref="P36" si="106">0.85*O36/1.5</f>
        <v>44.538381307630111</v>
      </c>
    </row>
    <row r="37" spans="1:16" ht="15.75" thickBot="1" x14ac:dyDescent="0.3">
      <c r="A37" s="62"/>
      <c r="B37" s="13" t="s">
        <v>50</v>
      </c>
      <c r="C37" s="14" t="s">
        <v>18</v>
      </c>
      <c r="D37" s="83"/>
      <c r="E37" s="87"/>
      <c r="F37" s="87"/>
      <c r="G37" s="89"/>
      <c r="H37" s="85"/>
      <c r="I37" s="85"/>
      <c r="J37" s="85"/>
      <c r="K37" s="80"/>
      <c r="L37" s="80"/>
      <c r="M37" s="80"/>
      <c r="N37" s="59"/>
      <c r="O37" s="55"/>
      <c r="P37" s="55"/>
    </row>
    <row r="38" spans="1:16" x14ac:dyDescent="0.25">
      <c r="A38" s="62"/>
      <c r="B38" s="11" t="s">
        <v>41</v>
      </c>
      <c r="C38" s="12" t="s">
        <v>19</v>
      </c>
      <c r="D38" s="83">
        <v>381.7</v>
      </c>
      <c r="E38" s="86">
        <f>450-2*25-'NodoX (Taglio Trazione)'!J38:J39</f>
        <v>390</v>
      </c>
      <c r="F38" s="86">
        <f>300-2*25-'NodoY (Taglio Trazione)'!J38:J39</f>
        <v>240</v>
      </c>
      <c r="G38" s="88">
        <f>MIN('NodoX (Taglio Trazione)'!I38,'NodoY (Taglio Trazione)'!I38)</f>
        <v>50</v>
      </c>
      <c r="H38" s="84">
        <f>(391*'NodoX (Taglio Trazione)'!L38:L39)/(F38*G38)</f>
        <v>102.36356062946744</v>
      </c>
      <c r="I38" s="84">
        <f>(391*'NodoX (Taglio Trazione)'!L38:L39)/(E38*G38)</f>
        <v>62.992960387364576</v>
      </c>
      <c r="J38" s="84">
        <f t="shared" ref="J38" si="107">SQRT(H38*I38)</f>
        <v>80.300583558537326</v>
      </c>
      <c r="K38" s="79">
        <f t="shared" ref="K38" si="108">1-1/(6*E38*F38)*2*(3*(F38/3)^2+(E38-20)^2)</f>
        <v>0.44408831908831914</v>
      </c>
      <c r="L38" s="79">
        <f t="shared" ref="L38" si="109">(1-G38/(2*E38))*(1-G38/(2*F38))</f>
        <v>0.83840811965811968</v>
      </c>
      <c r="M38" s="79">
        <f t="shared" ref="M38" si="110">K38*L38</f>
        <v>0.3723272525689727</v>
      </c>
      <c r="N38" s="81">
        <f t="shared" ref="N38" si="111">M38*J38</f>
        <v>29.898095656035423</v>
      </c>
      <c r="O38" s="82">
        <f t="shared" ref="O38" si="112">IF(N38&gt;0.05*$R$4,$R$4*(1.125+1.5*N38/$R$4),$R$4*(1+5*N38/$R$4))</f>
        <v>78.597143484053134</v>
      </c>
      <c r="P38" s="82">
        <f t="shared" ref="P38" si="113">0.85*O38/1.5</f>
        <v>44.538381307630111</v>
      </c>
    </row>
    <row r="39" spans="1:16" ht="15.75" thickBot="1" x14ac:dyDescent="0.3">
      <c r="A39" s="62"/>
      <c r="B39" s="15" t="s">
        <v>51</v>
      </c>
      <c r="C39" s="16" t="s">
        <v>19</v>
      </c>
      <c r="D39" s="83"/>
      <c r="E39" s="87"/>
      <c r="F39" s="87"/>
      <c r="G39" s="89"/>
      <c r="H39" s="85"/>
      <c r="I39" s="85"/>
      <c r="J39" s="85"/>
      <c r="K39" s="80"/>
      <c r="L39" s="80"/>
      <c r="M39" s="80"/>
      <c r="N39" s="59"/>
      <c r="O39" s="55"/>
      <c r="P39" s="55"/>
    </row>
    <row r="40" spans="1:16" x14ac:dyDescent="0.25">
      <c r="A40" s="62"/>
      <c r="B40" s="13" t="s">
        <v>44</v>
      </c>
      <c r="C40" s="14" t="s">
        <v>20</v>
      </c>
      <c r="D40" s="83">
        <v>379.26900000000001</v>
      </c>
      <c r="E40" s="86">
        <f>450-2*25-'NodoX (Taglio Trazione)'!J40:J41</f>
        <v>390</v>
      </c>
      <c r="F40" s="86">
        <f>300-2*25-'NodoY (Taglio Trazione)'!J40:J41</f>
        <v>240</v>
      </c>
      <c r="G40" s="88">
        <f>MIN('NodoX (Taglio Trazione)'!I40,'NodoY (Taglio Trazione)'!I40)</f>
        <v>50</v>
      </c>
      <c r="H40" s="84">
        <f>(391*'NodoX (Taglio Trazione)'!L40:L41)/(F40*G40)</f>
        <v>102.36356062946744</v>
      </c>
      <c r="I40" s="84">
        <f>(391*'NodoX (Taglio Trazione)'!L40:L41)/(E40*G40)</f>
        <v>62.992960387364576</v>
      </c>
      <c r="J40" s="84">
        <f t="shared" ref="J40" si="114">SQRT(H40*I40)</f>
        <v>80.300583558537326</v>
      </c>
      <c r="K40" s="79">
        <f t="shared" ref="K40" si="115">1-1/(6*E40*F40)*2*(3*(F40/3)^2+(E40-20)^2)</f>
        <v>0.44408831908831914</v>
      </c>
      <c r="L40" s="79">
        <f t="shared" ref="L40" si="116">(1-G40/(2*E40))*(1-G40/(2*F40))</f>
        <v>0.83840811965811968</v>
      </c>
      <c r="M40" s="79">
        <f t="shared" ref="M40" si="117">K40*L40</f>
        <v>0.3723272525689727</v>
      </c>
      <c r="N40" s="81">
        <f t="shared" ref="N40" si="118">M40*J40</f>
        <v>29.898095656035423</v>
      </c>
      <c r="O40" s="82">
        <f t="shared" ref="O40" si="119">IF(N40&gt;0.05*$R$4,$R$4*(1.125+1.5*N40/$R$4),$R$4*(1+5*N40/$R$4))</f>
        <v>78.597143484053134</v>
      </c>
      <c r="P40" s="82">
        <f t="shared" ref="P40" si="120">0.85*O40/1.5</f>
        <v>44.538381307630111</v>
      </c>
    </row>
    <row r="41" spans="1:16" ht="15.75" thickBot="1" x14ac:dyDescent="0.3">
      <c r="A41" s="62"/>
      <c r="B41" s="13" t="s">
        <v>52</v>
      </c>
      <c r="C41" s="14" t="s">
        <v>20</v>
      </c>
      <c r="D41" s="83"/>
      <c r="E41" s="87"/>
      <c r="F41" s="87"/>
      <c r="G41" s="89"/>
      <c r="H41" s="85"/>
      <c r="I41" s="85"/>
      <c r="J41" s="85"/>
      <c r="K41" s="80"/>
      <c r="L41" s="80"/>
      <c r="M41" s="80"/>
      <c r="N41" s="59"/>
      <c r="O41" s="55"/>
      <c r="P41" s="55"/>
    </row>
    <row r="42" spans="1:16" x14ac:dyDescent="0.25">
      <c r="A42" s="62"/>
      <c r="B42" s="11" t="s">
        <v>47</v>
      </c>
      <c r="C42" s="12" t="s">
        <v>21</v>
      </c>
      <c r="D42" s="83">
        <v>213.54</v>
      </c>
      <c r="E42" s="86">
        <f>450-2*25-'NodoX (Taglio Trazione)'!J42:J43</f>
        <v>390</v>
      </c>
      <c r="F42" s="86">
        <f>300-2*25-'NodoY (Taglio Trazione)'!J42:J43</f>
        <v>240</v>
      </c>
      <c r="G42" s="88">
        <f>MIN('NodoX (Taglio Trazione)'!I42,'NodoY (Taglio Trazione)'!I42)</f>
        <v>50</v>
      </c>
      <c r="H42" s="84">
        <f>(391*'NodoX (Taglio Trazione)'!L42:L43)/(F42*G42)</f>
        <v>102.36356062946744</v>
      </c>
      <c r="I42" s="84">
        <f>(391*'NodoX (Taglio Trazione)'!L42:L43)/(E42*G42)</f>
        <v>62.992960387364576</v>
      </c>
      <c r="J42" s="84">
        <f t="shared" ref="J42" si="121">SQRT(H42*I42)</f>
        <v>80.300583558537326</v>
      </c>
      <c r="K42" s="79">
        <f t="shared" ref="K42" si="122">1-1/(6*E42*F42)*2*(3*(F42/3)^2+(E42-20)^2)</f>
        <v>0.44408831908831914</v>
      </c>
      <c r="L42" s="79">
        <f t="shared" ref="L42" si="123">(1-G42/(2*E42))*(1-G42/(2*F42))</f>
        <v>0.83840811965811968</v>
      </c>
      <c r="M42" s="79">
        <f t="shared" ref="M42" si="124">K42*L42</f>
        <v>0.3723272525689727</v>
      </c>
      <c r="N42" s="81">
        <f t="shared" ref="N42" si="125">M42*J42</f>
        <v>29.898095656035423</v>
      </c>
      <c r="O42" s="82">
        <f t="shared" ref="O42" si="126">IF(N42&gt;0.05*$R$4,$R$4*(1.125+1.5*N42/$R$4),$R$4*(1+5*N42/$R$4))</f>
        <v>78.597143484053134</v>
      </c>
      <c r="P42" s="82">
        <f t="shared" ref="P42" si="127">0.85*O42/1.5</f>
        <v>44.538381307630111</v>
      </c>
    </row>
    <row r="43" spans="1:16" ht="15.75" thickBot="1" x14ac:dyDescent="0.3">
      <c r="A43" s="62"/>
      <c r="B43" s="15" t="s">
        <v>53</v>
      </c>
      <c r="C43" s="16" t="s">
        <v>21</v>
      </c>
      <c r="D43" s="83"/>
      <c r="E43" s="87"/>
      <c r="F43" s="87"/>
      <c r="G43" s="89"/>
      <c r="H43" s="85"/>
      <c r="I43" s="85"/>
      <c r="J43" s="85"/>
      <c r="K43" s="80"/>
      <c r="L43" s="80"/>
      <c r="M43" s="80"/>
      <c r="N43" s="59"/>
      <c r="O43" s="55"/>
      <c r="P43" s="55"/>
    </row>
    <row r="44" spans="1:16" ht="15" customHeight="1" x14ac:dyDescent="0.25">
      <c r="A44" s="63" t="s">
        <v>26</v>
      </c>
      <c r="B44" s="11" t="s">
        <v>13</v>
      </c>
      <c r="C44" s="12" t="s">
        <v>54</v>
      </c>
      <c r="D44" s="83">
        <v>24.209</v>
      </c>
      <c r="E44" s="86">
        <f>300-2*25-'NodoX (Taglio Trazione)'!J44:J45</f>
        <v>240</v>
      </c>
      <c r="F44" s="86">
        <f>400-2*25-'NodoY (Taglio Trazione)'!J44:J45</f>
        <v>340</v>
      </c>
      <c r="G44" s="88">
        <f>MIN('NodoX (Taglio Trazione)'!I44,'NodoY (Taglio Trazione)'!I44)</f>
        <v>50</v>
      </c>
      <c r="H44" s="84">
        <f>(391*'NodoX (Taglio Trazione)'!L44:L45)/(F44*G44)</f>
        <v>36.128315516282626</v>
      </c>
      <c r="I44" s="84">
        <f>(391*'NodoX (Taglio Trazione)'!L44:L45)/(E44*G44)</f>
        <v>51.181780314733722</v>
      </c>
      <c r="J44" s="84">
        <f>SQRT(H44*I44)</f>
        <v>43.001296583891083</v>
      </c>
      <c r="K44" s="79">
        <f t="shared" ref="K44" si="128">1-1/(6*E44*F44)*2*(3*(F44/3)^2+(E44-20)^2)</f>
        <v>0.644880174291939</v>
      </c>
      <c r="L44" s="79">
        <f t="shared" ref="L44" si="129">(1-G44/(2*E44))*(1-G44/(2*F44))</f>
        <v>0.82996323529411775</v>
      </c>
      <c r="M44" s="79">
        <f t="shared" ref="M44" si="130">K44*L44</f>
        <v>0.53522683583237218</v>
      </c>
      <c r="N44" s="81">
        <f t="shared" ref="N44" si="131">M44*J44</f>
        <v>23.01544790728542</v>
      </c>
      <c r="O44" s="82">
        <f t="shared" ref="O44" si="132">IF(N44&gt;0.05*$R$4,$R$4*(1.125+1.5*N44/$R$4),$R$4*(1+5*N44/$R$4))</f>
        <v>68.27317186092813</v>
      </c>
      <c r="P44" s="82">
        <f t="shared" ref="P44" si="133">0.85*O44/1.5</f>
        <v>38.688130721192607</v>
      </c>
    </row>
    <row r="45" spans="1:16" ht="15.75" thickBot="1" x14ac:dyDescent="0.3">
      <c r="A45" s="63"/>
      <c r="B45" s="13" t="s">
        <v>18</v>
      </c>
      <c r="C45" s="14" t="s">
        <v>54</v>
      </c>
      <c r="D45" s="83"/>
      <c r="E45" s="87"/>
      <c r="F45" s="87"/>
      <c r="G45" s="89"/>
      <c r="H45" s="85"/>
      <c r="I45" s="85"/>
      <c r="J45" s="85"/>
      <c r="K45" s="80"/>
      <c r="L45" s="80"/>
      <c r="M45" s="80"/>
      <c r="N45" s="59"/>
      <c r="O45" s="55"/>
      <c r="P45" s="55"/>
    </row>
    <row r="46" spans="1:16" x14ac:dyDescent="0.25">
      <c r="A46" s="63"/>
      <c r="B46" s="11" t="s">
        <v>14</v>
      </c>
      <c r="C46" s="12" t="s">
        <v>55</v>
      </c>
      <c r="D46" s="83">
        <v>57.822000000000003</v>
      </c>
      <c r="E46" s="86">
        <f>300-2*25-'NodoX (Taglio Trazione)'!J46:J47</f>
        <v>240</v>
      </c>
      <c r="F46" s="86">
        <f>400-2*25-'NodoY (Taglio Trazione)'!J46:J47</f>
        <v>340</v>
      </c>
      <c r="G46" s="88">
        <f>MIN('NodoX (Taglio Trazione)'!I46,'NodoY (Taglio Trazione)'!I46)</f>
        <v>50</v>
      </c>
      <c r="H46" s="84">
        <f>(391*'NodoX (Taglio Trazione)'!L46:L47)/(F46*G46)</f>
        <v>36.128315516282626</v>
      </c>
      <c r="I46" s="84">
        <f>(391*'NodoX (Taglio Trazione)'!L46:L47)/(E46*G46)</f>
        <v>51.181780314733722</v>
      </c>
      <c r="J46" s="84">
        <f t="shared" ref="J46" si="134">SQRT(H46*I46)</f>
        <v>43.001296583891083</v>
      </c>
      <c r="K46" s="79">
        <f t="shared" ref="K46" si="135">1-1/(6*E46*F46)*2*(3*(F46/3)^2+(E46-20)^2)</f>
        <v>0.644880174291939</v>
      </c>
      <c r="L46" s="79">
        <f t="shared" ref="L46" si="136">(1-G46/(2*E46))*(1-G46/(2*F46))</f>
        <v>0.82996323529411775</v>
      </c>
      <c r="M46" s="79">
        <f t="shared" ref="M46" si="137">K46*L46</f>
        <v>0.53522683583237218</v>
      </c>
      <c r="N46" s="81">
        <f t="shared" ref="N46" si="138">M46*J46</f>
        <v>23.01544790728542</v>
      </c>
      <c r="O46" s="82">
        <f t="shared" ref="O46" si="139">IF(N46&gt;0.05*$R$4,$R$4*(1.125+1.5*N46/$R$4),$R$4*(1+5*N46/$R$4))</f>
        <v>68.27317186092813</v>
      </c>
      <c r="P46" s="82">
        <f t="shared" ref="P46" si="140">0.85*O46/1.5</f>
        <v>38.688130721192607</v>
      </c>
    </row>
    <row r="47" spans="1:16" ht="15.75" thickBot="1" x14ac:dyDescent="0.3">
      <c r="A47" s="63"/>
      <c r="B47" s="15" t="s">
        <v>19</v>
      </c>
      <c r="C47" s="16" t="s">
        <v>55</v>
      </c>
      <c r="D47" s="83"/>
      <c r="E47" s="87"/>
      <c r="F47" s="87"/>
      <c r="G47" s="89"/>
      <c r="H47" s="85"/>
      <c r="I47" s="85"/>
      <c r="J47" s="85"/>
      <c r="K47" s="80"/>
      <c r="L47" s="80"/>
      <c r="M47" s="80"/>
      <c r="N47" s="59"/>
      <c r="O47" s="55"/>
      <c r="P47" s="55"/>
    </row>
    <row r="48" spans="1:16" x14ac:dyDescent="0.25">
      <c r="A48" s="63"/>
      <c r="B48" s="13" t="s">
        <v>15</v>
      </c>
      <c r="C48" s="14" t="s">
        <v>56</v>
      </c>
      <c r="D48" s="83">
        <v>69.266999999999996</v>
      </c>
      <c r="E48" s="86">
        <f>300-2*25-'NodoX (Taglio Trazione)'!J48:J49</f>
        <v>240</v>
      </c>
      <c r="F48" s="86">
        <f>400-2*25-'NodoY (Taglio Trazione)'!J48:J49</f>
        <v>340</v>
      </c>
      <c r="G48" s="88">
        <f>MIN('NodoX (Taglio Trazione)'!I48,'NodoY (Taglio Trazione)'!I48)</f>
        <v>50</v>
      </c>
      <c r="H48" s="84">
        <f>(391*'NodoX (Taglio Trazione)'!L48:L49)/(F48*G48)</f>
        <v>36.128315516282626</v>
      </c>
      <c r="I48" s="84">
        <f>(391*'NodoX (Taglio Trazione)'!L48:L49)/(E48*G48)</f>
        <v>51.181780314733722</v>
      </c>
      <c r="J48" s="84">
        <f t="shared" ref="J48" si="141">SQRT(H48*I48)</f>
        <v>43.001296583891083</v>
      </c>
      <c r="K48" s="79">
        <f t="shared" ref="K48" si="142">1-1/(6*E48*F48)*2*(3*(F48/3)^2+(E48-20)^2)</f>
        <v>0.644880174291939</v>
      </c>
      <c r="L48" s="79">
        <f t="shared" ref="L48" si="143">(1-G48/(2*E48))*(1-G48/(2*F48))</f>
        <v>0.82996323529411775</v>
      </c>
      <c r="M48" s="79">
        <f t="shared" ref="M48" si="144">K48*L48</f>
        <v>0.53522683583237218</v>
      </c>
      <c r="N48" s="81">
        <f t="shared" ref="N48" si="145">M48*J48</f>
        <v>23.01544790728542</v>
      </c>
      <c r="O48" s="82">
        <f t="shared" ref="O48" si="146">IF(N48&gt;0.05*$R$4,$R$4*(1.125+1.5*N48/$R$4),$R$4*(1+5*N48/$R$4))</f>
        <v>68.27317186092813</v>
      </c>
      <c r="P48" s="82">
        <f t="shared" ref="P48" si="147">0.85*O48/1.5</f>
        <v>38.688130721192607</v>
      </c>
    </row>
    <row r="49" spans="1:16" ht="15.75" thickBot="1" x14ac:dyDescent="0.3">
      <c r="A49" s="63"/>
      <c r="B49" s="13" t="s">
        <v>20</v>
      </c>
      <c r="C49" s="14" t="s">
        <v>56</v>
      </c>
      <c r="D49" s="83"/>
      <c r="E49" s="87"/>
      <c r="F49" s="87"/>
      <c r="G49" s="89"/>
      <c r="H49" s="85"/>
      <c r="I49" s="85"/>
      <c r="J49" s="85"/>
      <c r="K49" s="80"/>
      <c r="L49" s="80"/>
      <c r="M49" s="80"/>
      <c r="N49" s="59"/>
      <c r="O49" s="55"/>
      <c r="P49" s="55"/>
    </row>
    <row r="50" spans="1:16" x14ac:dyDescent="0.25">
      <c r="A50" s="63"/>
      <c r="B50" s="11" t="s">
        <v>16</v>
      </c>
      <c r="C50" s="12" t="s">
        <v>57</v>
      </c>
      <c r="D50" s="83">
        <v>65.649000000000001</v>
      </c>
      <c r="E50" s="86">
        <f>300-2*25-'NodoX (Taglio Trazione)'!J50:J51</f>
        <v>240</v>
      </c>
      <c r="F50" s="86">
        <f>400-2*25-'NodoY (Taglio Trazione)'!J50:J51</f>
        <v>340</v>
      </c>
      <c r="G50" s="88">
        <f>MIN('NodoX (Taglio Trazione)'!I50,'NodoY (Taglio Trazione)'!I50)</f>
        <v>50</v>
      </c>
      <c r="H50" s="84">
        <f>(391*'NodoX (Taglio Trazione)'!L50:L51)/(F50*G50)</f>
        <v>36.128315516282626</v>
      </c>
      <c r="I50" s="84">
        <f>(391*'NodoX (Taglio Trazione)'!L50:L51)/(E50*G50)</f>
        <v>51.181780314733722</v>
      </c>
      <c r="J50" s="84">
        <f t="shared" ref="J50" si="148">SQRT(H50*I50)</f>
        <v>43.001296583891083</v>
      </c>
      <c r="K50" s="79">
        <f t="shared" ref="K50" si="149">1-1/(6*E50*F50)*2*(3*(F50/3)^2+(E50-20)^2)</f>
        <v>0.644880174291939</v>
      </c>
      <c r="L50" s="79">
        <f t="shared" ref="L50" si="150">(1-G50/(2*E50))*(1-G50/(2*F50))</f>
        <v>0.82996323529411775</v>
      </c>
      <c r="M50" s="79">
        <f t="shared" ref="M50" si="151">K50*L50</f>
        <v>0.53522683583237218</v>
      </c>
      <c r="N50" s="81">
        <f t="shared" ref="N50" si="152">M50*J50</f>
        <v>23.01544790728542</v>
      </c>
      <c r="O50" s="82">
        <f t="shared" ref="O50" si="153">IF(N50&gt;0.05*$R$4,$R$4*(1.125+1.5*N50/$R$4),$R$4*(1+5*N50/$R$4))</f>
        <v>68.27317186092813</v>
      </c>
      <c r="P50" s="82">
        <f t="shared" ref="P50" si="154">0.85*O50/1.5</f>
        <v>38.688130721192607</v>
      </c>
    </row>
    <row r="51" spans="1:16" ht="15.75" thickBot="1" x14ac:dyDescent="0.3">
      <c r="A51" s="63"/>
      <c r="B51" s="15" t="s">
        <v>21</v>
      </c>
      <c r="C51" s="16" t="s">
        <v>57</v>
      </c>
      <c r="D51" s="83"/>
      <c r="E51" s="87"/>
      <c r="F51" s="87"/>
      <c r="G51" s="89"/>
      <c r="H51" s="85"/>
      <c r="I51" s="85"/>
      <c r="J51" s="85"/>
      <c r="K51" s="80"/>
      <c r="L51" s="80"/>
      <c r="M51" s="80"/>
      <c r="N51" s="59"/>
      <c r="O51" s="55"/>
      <c r="P51" s="55"/>
    </row>
    <row r="52" spans="1:16" x14ac:dyDescent="0.25">
      <c r="A52" s="63"/>
      <c r="B52" s="13" t="s">
        <v>17</v>
      </c>
      <c r="C52" s="14" t="s">
        <v>58</v>
      </c>
      <c r="D52" s="83">
        <v>24.734000000000002</v>
      </c>
      <c r="E52" s="86">
        <f>300-2*25-'NodoX (Taglio Trazione)'!J52:J53</f>
        <v>240</v>
      </c>
      <c r="F52" s="86">
        <f>400-2*25-'NodoY (Taglio Trazione)'!J52:J53</f>
        <v>340</v>
      </c>
      <c r="G52" s="88">
        <f>MIN('NodoX (Taglio Trazione)'!I52,'NodoY (Taglio Trazione)'!I52)</f>
        <v>50</v>
      </c>
      <c r="H52" s="84">
        <f>(391*'NodoX (Taglio Trazione)'!L52:L53)/(F52*G52)</f>
        <v>36.128315516282626</v>
      </c>
      <c r="I52" s="84">
        <f>(391*'NodoX (Taglio Trazione)'!L52:L53)/(E52*G52)</f>
        <v>51.181780314733722</v>
      </c>
      <c r="J52" s="84">
        <f t="shared" ref="J52" si="155">SQRT(H52*I52)</f>
        <v>43.001296583891083</v>
      </c>
      <c r="K52" s="79">
        <f t="shared" ref="K52" si="156">1-1/(6*E52*F52)*2*(3*(F52/3)^2+(E52-20)^2)</f>
        <v>0.644880174291939</v>
      </c>
      <c r="L52" s="79">
        <f t="shared" ref="L52" si="157">(1-G52/(2*E52))*(1-G52/(2*F52))</f>
        <v>0.82996323529411775</v>
      </c>
      <c r="M52" s="79">
        <f t="shared" ref="M52" si="158">K52*L52</f>
        <v>0.53522683583237218</v>
      </c>
      <c r="N52" s="81">
        <f t="shared" ref="N52" si="159">M52*J52</f>
        <v>23.01544790728542</v>
      </c>
      <c r="O52" s="82">
        <f t="shared" ref="O52" si="160">IF(N52&gt;0.05*$R$4,$R$4*(1.125+1.5*N52/$R$4),$R$4*(1+5*N52/$R$4))</f>
        <v>68.27317186092813</v>
      </c>
      <c r="P52" s="82">
        <f t="shared" ref="P52" si="161">0.85*O52/1.5</f>
        <v>38.688130721192607</v>
      </c>
    </row>
    <row r="53" spans="1:16" ht="15.75" thickBot="1" x14ac:dyDescent="0.3">
      <c r="A53" s="63"/>
      <c r="B53" s="13" t="s">
        <v>22</v>
      </c>
      <c r="C53" s="14" t="s">
        <v>58</v>
      </c>
      <c r="D53" s="83"/>
      <c r="E53" s="87"/>
      <c r="F53" s="87"/>
      <c r="G53" s="89"/>
      <c r="H53" s="85"/>
      <c r="I53" s="85"/>
      <c r="J53" s="85"/>
      <c r="K53" s="80"/>
      <c r="L53" s="80"/>
      <c r="M53" s="80"/>
      <c r="N53" s="59"/>
      <c r="O53" s="55"/>
      <c r="P53" s="55"/>
    </row>
    <row r="54" spans="1:16" x14ac:dyDescent="0.25">
      <c r="A54" s="63"/>
      <c r="B54" s="11" t="s">
        <v>49</v>
      </c>
      <c r="C54" s="12" t="s">
        <v>22</v>
      </c>
      <c r="D54" s="83">
        <v>86.903000000000006</v>
      </c>
      <c r="E54" s="86">
        <f>400-2*25-'NodoX (Taglio Trazione)'!J54:J55</f>
        <v>340</v>
      </c>
      <c r="F54" s="86">
        <f>300-2*25-'NodoY (Taglio Trazione)'!J54:J55</f>
        <v>240</v>
      </c>
      <c r="G54" s="88">
        <f>MIN('NodoX (Taglio Trazione)'!I54,'NodoY (Taglio Trazione)'!I54)</f>
        <v>50</v>
      </c>
      <c r="H54" s="84">
        <f>(391*'NodoX (Taglio Trazione)'!L54:L55)/(F54*G54)</f>
        <v>102.36356062946744</v>
      </c>
      <c r="I54" s="84">
        <f>(391*'NodoX (Taglio Trazione)'!L54:L55)/(E54*G54)</f>
        <v>72.256631032565252</v>
      </c>
      <c r="J54" s="84">
        <f t="shared" ref="J54" si="162">SQRT(H54*I54)</f>
        <v>86.002593167782166</v>
      </c>
      <c r="K54" s="79">
        <f t="shared" ref="K54" si="163">1-1/(6*E54*F54)*2*(3*(F54/3)^2+(E54-20)^2)</f>
        <v>0.50326797385620914</v>
      </c>
      <c r="L54" s="79">
        <f t="shared" ref="L54" si="164">(1-G54/(2*E54))*(1-G54/(2*F54))</f>
        <v>0.82996323529411775</v>
      </c>
      <c r="M54" s="79">
        <f t="shared" ref="M54" si="165">K54*L54</f>
        <v>0.4176939158016148</v>
      </c>
      <c r="N54" s="81">
        <f t="shared" ref="N54" si="166">M54*J54</f>
        <v>35.922759909344137</v>
      </c>
      <c r="O54" s="82">
        <f t="shared" ref="O54" si="167">IF(N54&gt;0.05*$R$4,$R$4*(1.125+1.5*N54/$R$4),$R$4*(1+5*N54/$R$4))</f>
        <v>87.634139864016205</v>
      </c>
      <c r="P54" s="82">
        <f t="shared" ref="P54" si="168">0.85*O54/1.5</f>
        <v>49.659345922942514</v>
      </c>
    </row>
    <row r="55" spans="1:16" ht="15.75" thickBot="1" x14ac:dyDescent="0.3">
      <c r="A55" s="63"/>
      <c r="B55" s="15" t="s">
        <v>59</v>
      </c>
      <c r="C55" s="16" t="s">
        <v>22</v>
      </c>
      <c r="D55" s="83"/>
      <c r="E55" s="87"/>
      <c r="F55" s="87"/>
      <c r="G55" s="89"/>
      <c r="H55" s="85"/>
      <c r="I55" s="85"/>
      <c r="J55" s="85"/>
      <c r="K55" s="80"/>
      <c r="L55" s="80"/>
      <c r="M55" s="80"/>
      <c r="N55" s="59"/>
      <c r="O55" s="55"/>
      <c r="P55" s="55"/>
    </row>
    <row r="56" spans="1:16" x14ac:dyDescent="0.25">
      <c r="A56" s="63"/>
      <c r="B56" s="13" t="s">
        <v>50</v>
      </c>
      <c r="C56" s="14" t="s">
        <v>33</v>
      </c>
      <c r="D56" s="83">
        <v>157.72900000000001</v>
      </c>
      <c r="E56" s="86">
        <f>400-2*25-'NodoX (Taglio Trazione)'!J56:J57</f>
        <v>340</v>
      </c>
      <c r="F56" s="86">
        <f>300-2*25-'NodoY (Taglio Trazione)'!J56:J57</f>
        <v>240</v>
      </c>
      <c r="G56" s="88">
        <f>MIN('NodoX (Taglio Trazione)'!I56,'NodoY (Taglio Trazione)'!I56)</f>
        <v>50</v>
      </c>
      <c r="H56" s="84">
        <f>(391*'NodoX (Taglio Trazione)'!L56:L57)/(F56*G56)</f>
        <v>102.36356062946744</v>
      </c>
      <c r="I56" s="84">
        <f>(391*'NodoX (Taglio Trazione)'!L56:L57)/(E56*G56)</f>
        <v>72.256631032565252</v>
      </c>
      <c r="J56" s="84">
        <f t="shared" ref="J56" si="169">SQRT(H56*I56)</f>
        <v>86.002593167782166</v>
      </c>
      <c r="K56" s="79">
        <f t="shared" ref="K56" si="170">1-1/(6*E56*F56)*2*(3*(F56/3)^2+(E56-20)^2)</f>
        <v>0.50326797385620914</v>
      </c>
      <c r="L56" s="79">
        <f t="shared" ref="L56" si="171">(1-G56/(2*E56))*(1-G56/(2*F56))</f>
        <v>0.82996323529411775</v>
      </c>
      <c r="M56" s="79">
        <f t="shared" ref="M56" si="172">K56*L56</f>
        <v>0.4176939158016148</v>
      </c>
      <c r="N56" s="81">
        <f t="shared" ref="N56" si="173">M56*J56</f>
        <v>35.922759909344137</v>
      </c>
      <c r="O56" s="82">
        <f t="shared" ref="O56" si="174">IF(N56&gt;0.05*$R$4,$R$4*(1.125+1.5*N56/$R$4),$R$4*(1+5*N56/$R$4))</f>
        <v>87.634139864016205</v>
      </c>
      <c r="P56" s="82">
        <f t="shared" ref="P56" si="175">0.85*O56/1.5</f>
        <v>49.659345922942514</v>
      </c>
    </row>
    <row r="57" spans="1:16" ht="15.75" thickBot="1" x14ac:dyDescent="0.3">
      <c r="A57" s="63"/>
      <c r="B57" s="13" t="s">
        <v>60</v>
      </c>
      <c r="C57" s="14" t="s">
        <v>33</v>
      </c>
      <c r="D57" s="83"/>
      <c r="E57" s="87"/>
      <c r="F57" s="87"/>
      <c r="G57" s="89"/>
      <c r="H57" s="85"/>
      <c r="I57" s="85"/>
      <c r="J57" s="85"/>
      <c r="K57" s="80"/>
      <c r="L57" s="80"/>
      <c r="M57" s="80"/>
      <c r="N57" s="59"/>
      <c r="O57" s="55"/>
      <c r="P57" s="55"/>
    </row>
    <row r="58" spans="1:16" x14ac:dyDescent="0.25">
      <c r="A58" s="63"/>
      <c r="B58" s="11" t="s">
        <v>51</v>
      </c>
      <c r="C58" s="12" t="s">
        <v>36</v>
      </c>
      <c r="D58" s="83">
        <v>182.61099999999999</v>
      </c>
      <c r="E58" s="86">
        <f>400-2*25-'NodoX (Taglio Trazione)'!J58:J59</f>
        <v>340</v>
      </c>
      <c r="F58" s="86">
        <f>300-2*25-'NodoY (Taglio Trazione)'!J58:J59</f>
        <v>240</v>
      </c>
      <c r="G58" s="88">
        <f>MIN('NodoX (Taglio Trazione)'!I58,'NodoY (Taglio Trazione)'!I58)</f>
        <v>50</v>
      </c>
      <c r="H58" s="84">
        <f>(391*'NodoX (Taglio Trazione)'!L58:L59)/(F58*G58)</f>
        <v>102.36356062946744</v>
      </c>
      <c r="I58" s="84">
        <f>(391*'NodoX (Taglio Trazione)'!L58:L59)/(E58*G58)</f>
        <v>72.256631032565252</v>
      </c>
      <c r="J58" s="84">
        <f t="shared" ref="J58" si="176">SQRT(H58*I58)</f>
        <v>86.002593167782166</v>
      </c>
      <c r="K58" s="79">
        <f t="shared" ref="K58" si="177">1-1/(6*E58*F58)*2*(3*(F58/3)^2+(E58-20)^2)</f>
        <v>0.50326797385620914</v>
      </c>
      <c r="L58" s="79">
        <f t="shared" ref="L58" si="178">(1-G58/(2*E58))*(1-G58/(2*F58))</f>
        <v>0.82996323529411775</v>
      </c>
      <c r="M58" s="79">
        <f t="shared" ref="M58" si="179">K58*L58</f>
        <v>0.4176939158016148</v>
      </c>
      <c r="N58" s="81">
        <f t="shared" ref="N58" si="180">M58*J58</f>
        <v>35.922759909344137</v>
      </c>
      <c r="O58" s="82">
        <f t="shared" ref="O58" si="181">IF(N58&gt;0.05*$R$4,$R$4*(1.125+1.5*N58/$R$4),$R$4*(1+5*N58/$R$4))</f>
        <v>87.634139864016205</v>
      </c>
      <c r="P58" s="82">
        <f t="shared" ref="P58" si="182">0.85*O58/1.5</f>
        <v>49.659345922942514</v>
      </c>
    </row>
    <row r="59" spans="1:16" ht="15.75" thickBot="1" x14ac:dyDescent="0.3">
      <c r="A59" s="63"/>
      <c r="B59" s="15" t="s">
        <v>61</v>
      </c>
      <c r="C59" s="16" t="s">
        <v>36</v>
      </c>
      <c r="D59" s="83"/>
      <c r="E59" s="87"/>
      <c r="F59" s="87"/>
      <c r="G59" s="89"/>
      <c r="H59" s="85"/>
      <c r="I59" s="85"/>
      <c r="J59" s="85"/>
      <c r="K59" s="80"/>
      <c r="L59" s="80"/>
      <c r="M59" s="80"/>
      <c r="N59" s="59"/>
      <c r="O59" s="55"/>
      <c r="P59" s="55"/>
    </row>
    <row r="60" spans="1:16" x14ac:dyDescent="0.25">
      <c r="A60" s="63"/>
      <c r="B60" s="13" t="s">
        <v>52</v>
      </c>
      <c r="C60" s="14" t="s">
        <v>39</v>
      </c>
      <c r="D60" s="83">
        <v>181.703</v>
      </c>
      <c r="E60" s="86">
        <f>400-2*25-'NodoX (Taglio Trazione)'!J60:J61</f>
        <v>340</v>
      </c>
      <c r="F60" s="86">
        <f>300-2*25-'NodoY (Taglio Trazione)'!J60:J61</f>
        <v>240</v>
      </c>
      <c r="G60" s="88">
        <f>MIN('NodoX (Taglio Trazione)'!I60,'NodoY (Taglio Trazione)'!I60)</f>
        <v>50</v>
      </c>
      <c r="H60" s="84">
        <f>(391*'NodoX (Taglio Trazione)'!L60:L61)/(F60*G60)</f>
        <v>102.36356062946744</v>
      </c>
      <c r="I60" s="84">
        <f>(391*'NodoX (Taglio Trazione)'!L60:L61)/(E60*G60)</f>
        <v>72.256631032565252</v>
      </c>
      <c r="J60" s="84">
        <f t="shared" ref="J60" si="183">SQRT(H60*I60)</f>
        <v>86.002593167782166</v>
      </c>
      <c r="K60" s="79">
        <f t="shared" ref="K60" si="184">1-1/(6*E60*F60)*2*(3*(F60/3)^2+(E60-20)^2)</f>
        <v>0.50326797385620914</v>
      </c>
      <c r="L60" s="79">
        <f t="shared" ref="L60" si="185">(1-G60/(2*E60))*(1-G60/(2*F60))</f>
        <v>0.82996323529411775</v>
      </c>
      <c r="M60" s="79">
        <f t="shared" ref="M60" si="186">K60*L60</f>
        <v>0.4176939158016148</v>
      </c>
      <c r="N60" s="81">
        <f t="shared" ref="N60" si="187">M60*J60</f>
        <v>35.922759909344137</v>
      </c>
      <c r="O60" s="82">
        <f t="shared" ref="O60" si="188">IF(N60&gt;0.05*$R$4,$R$4*(1.125+1.5*N60/$R$4),$R$4*(1+5*N60/$R$4))</f>
        <v>87.634139864016205</v>
      </c>
      <c r="P60" s="82">
        <f t="shared" ref="P60" si="189">0.85*O60/1.5</f>
        <v>49.659345922942514</v>
      </c>
    </row>
    <row r="61" spans="1:16" ht="15.75" thickBot="1" x14ac:dyDescent="0.3">
      <c r="A61" s="63"/>
      <c r="B61" s="13" t="s">
        <v>62</v>
      </c>
      <c r="C61" s="14" t="s">
        <v>39</v>
      </c>
      <c r="D61" s="83"/>
      <c r="E61" s="87"/>
      <c r="F61" s="87"/>
      <c r="G61" s="89"/>
      <c r="H61" s="85"/>
      <c r="I61" s="85"/>
      <c r="J61" s="85"/>
      <c r="K61" s="80"/>
      <c r="L61" s="80"/>
      <c r="M61" s="80"/>
      <c r="N61" s="59"/>
      <c r="O61" s="55"/>
      <c r="P61" s="55"/>
    </row>
    <row r="62" spans="1:16" x14ac:dyDescent="0.25">
      <c r="A62" s="63"/>
      <c r="B62" s="11" t="s">
        <v>53</v>
      </c>
      <c r="C62" s="12" t="s">
        <v>42</v>
      </c>
      <c r="D62" s="83">
        <v>86.835999999999999</v>
      </c>
      <c r="E62" s="86">
        <f>400-2*25-'NodoX (Taglio Trazione)'!J62:J63</f>
        <v>340</v>
      </c>
      <c r="F62" s="86">
        <f>300-2*25-'NodoY (Taglio Trazione)'!J62:J63</f>
        <v>240</v>
      </c>
      <c r="G62" s="88">
        <f>MIN('NodoX (Taglio Trazione)'!I62,'NodoY (Taglio Trazione)'!I62)</f>
        <v>50</v>
      </c>
      <c r="H62" s="84">
        <f>(391*'NodoX (Taglio Trazione)'!L62:L63)/(F62*G62)</f>
        <v>102.36356062946744</v>
      </c>
      <c r="I62" s="84">
        <f>(391*'NodoX (Taglio Trazione)'!L62:L63)/(E62*G62)</f>
        <v>72.256631032565252</v>
      </c>
      <c r="J62" s="84">
        <f t="shared" ref="J62" si="190">SQRT(H62*I62)</f>
        <v>86.002593167782166</v>
      </c>
      <c r="K62" s="79">
        <f t="shared" ref="K62" si="191">1-1/(6*E62*F62)*2*(3*(F62/3)^2+(E62-20)^2)</f>
        <v>0.50326797385620914</v>
      </c>
      <c r="L62" s="79">
        <f t="shared" ref="L62" si="192">(1-G62/(2*E62))*(1-G62/(2*F62))</f>
        <v>0.82996323529411775</v>
      </c>
      <c r="M62" s="79">
        <f t="shared" ref="M62" si="193">K62*L62</f>
        <v>0.4176939158016148</v>
      </c>
      <c r="N62" s="81">
        <f t="shared" ref="N62" si="194">M62*J62</f>
        <v>35.922759909344137</v>
      </c>
      <c r="O62" s="82">
        <f t="shared" ref="O62" si="195">IF(N62&gt;0.05*$R$4,$R$4*(1.125+1.5*N62/$R$4),$R$4*(1+5*N62/$R$4))</f>
        <v>87.634139864016205</v>
      </c>
      <c r="P62" s="82">
        <f t="shared" ref="P62" si="196">0.85*O62/1.5</f>
        <v>49.659345922942514</v>
      </c>
    </row>
    <row r="63" spans="1:16" ht="15.75" thickBot="1" x14ac:dyDescent="0.3">
      <c r="A63" s="63"/>
      <c r="B63" s="15" t="s">
        <v>63</v>
      </c>
      <c r="C63" s="16" t="s">
        <v>42</v>
      </c>
      <c r="D63" s="83"/>
      <c r="E63" s="87"/>
      <c r="F63" s="87"/>
      <c r="G63" s="89"/>
      <c r="H63" s="85"/>
      <c r="I63" s="85"/>
      <c r="J63" s="85"/>
      <c r="K63" s="80"/>
      <c r="L63" s="80"/>
      <c r="M63" s="80"/>
      <c r="N63" s="59"/>
      <c r="O63" s="55"/>
      <c r="P63" s="55"/>
    </row>
  </sheetData>
  <mergeCells count="394">
    <mergeCell ref="G12:G13"/>
    <mergeCell ref="G14:G15"/>
    <mergeCell ref="G16:G17"/>
    <mergeCell ref="G18:G19"/>
    <mergeCell ref="G20:G21"/>
    <mergeCell ref="G60:G61"/>
    <mergeCell ref="G62:G63"/>
    <mergeCell ref="G48:G49"/>
    <mergeCell ref="G50:G51"/>
    <mergeCell ref="G52:G53"/>
    <mergeCell ref="G54:G55"/>
    <mergeCell ref="G56:G57"/>
    <mergeCell ref="G58:G59"/>
    <mergeCell ref="G36:G37"/>
    <mergeCell ref="G38:G39"/>
    <mergeCell ref="G40:G41"/>
    <mergeCell ref="G42:G43"/>
    <mergeCell ref="G44:G45"/>
    <mergeCell ref="G46:G47"/>
    <mergeCell ref="E24:E25"/>
    <mergeCell ref="F24:F25"/>
    <mergeCell ref="H24:H25"/>
    <mergeCell ref="I24:I25"/>
    <mergeCell ref="G22:G23"/>
    <mergeCell ref="E48:E49"/>
    <mergeCell ref="F48:F49"/>
    <mergeCell ref="H48:H49"/>
    <mergeCell ref="I48:I49"/>
    <mergeCell ref="G24:G25"/>
    <mergeCell ref="G26:G27"/>
    <mergeCell ref="G28:G29"/>
    <mergeCell ref="G30:G31"/>
    <mergeCell ref="G32:G33"/>
    <mergeCell ref="G34:G35"/>
    <mergeCell ref="E4:E5"/>
    <mergeCell ref="E8:E9"/>
    <mergeCell ref="F8:F9"/>
    <mergeCell ref="H8:H9"/>
    <mergeCell ref="I8:I9"/>
    <mergeCell ref="J8:J9"/>
    <mergeCell ref="G6:G7"/>
    <mergeCell ref="G8:G9"/>
    <mergeCell ref="O62:O63"/>
    <mergeCell ref="O58:O59"/>
    <mergeCell ref="O54:O55"/>
    <mergeCell ref="O50:O51"/>
    <mergeCell ref="O46:O47"/>
    <mergeCell ref="L44:L45"/>
    <mergeCell ref="M44:M45"/>
    <mergeCell ref="N44:N45"/>
    <mergeCell ref="O44:O45"/>
    <mergeCell ref="O42:O43"/>
    <mergeCell ref="M38:M39"/>
    <mergeCell ref="N38:N39"/>
    <mergeCell ref="O38:O39"/>
    <mergeCell ref="O36:O37"/>
    <mergeCell ref="M32:M33"/>
    <mergeCell ref="N32:N33"/>
    <mergeCell ref="P62:P63"/>
    <mergeCell ref="K62:K63"/>
    <mergeCell ref="L62:L63"/>
    <mergeCell ref="M62:M63"/>
    <mergeCell ref="N62:N63"/>
    <mergeCell ref="D62:D63"/>
    <mergeCell ref="O60:O61"/>
    <mergeCell ref="P60:P61"/>
    <mergeCell ref="K60:K61"/>
    <mergeCell ref="L60:L61"/>
    <mergeCell ref="M60:M61"/>
    <mergeCell ref="N60:N61"/>
    <mergeCell ref="D60:D61"/>
    <mergeCell ref="E60:E61"/>
    <mergeCell ref="F60:F61"/>
    <mergeCell ref="H60:H61"/>
    <mergeCell ref="I60:I61"/>
    <mergeCell ref="J60:J61"/>
    <mergeCell ref="E62:E63"/>
    <mergeCell ref="F62:F63"/>
    <mergeCell ref="H62:H63"/>
    <mergeCell ref="I62:I63"/>
    <mergeCell ref="J62:J63"/>
    <mergeCell ref="P58:P59"/>
    <mergeCell ref="K58:K59"/>
    <mergeCell ref="L58:L59"/>
    <mergeCell ref="M58:M59"/>
    <mergeCell ref="N58:N59"/>
    <mergeCell ref="D58:D59"/>
    <mergeCell ref="O56:O57"/>
    <mergeCell ref="P56:P57"/>
    <mergeCell ref="K56:K57"/>
    <mergeCell ref="L56:L57"/>
    <mergeCell ref="M56:M57"/>
    <mergeCell ref="N56:N57"/>
    <mergeCell ref="D56:D57"/>
    <mergeCell ref="E56:E57"/>
    <mergeCell ref="F56:F57"/>
    <mergeCell ref="H56:H57"/>
    <mergeCell ref="I56:I57"/>
    <mergeCell ref="J56:J57"/>
    <mergeCell ref="E58:E59"/>
    <mergeCell ref="F58:F59"/>
    <mergeCell ref="H58:H59"/>
    <mergeCell ref="I58:I59"/>
    <mergeCell ref="J58:J59"/>
    <mergeCell ref="P54:P55"/>
    <mergeCell ref="K54:K55"/>
    <mergeCell ref="L54:L55"/>
    <mergeCell ref="M54:M55"/>
    <mergeCell ref="N54:N55"/>
    <mergeCell ref="D54:D55"/>
    <mergeCell ref="O52:O53"/>
    <mergeCell ref="P52:P53"/>
    <mergeCell ref="K52:K53"/>
    <mergeCell ref="L52:L53"/>
    <mergeCell ref="M52:M53"/>
    <mergeCell ref="N52:N53"/>
    <mergeCell ref="D52:D53"/>
    <mergeCell ref="E52:E53"/>
    <mergeCell ref="F52:F53"/>
    <mergeCell ref="H52:H53"/>
    <mergeCell ref="I52:I53"/>
    <mergeCell ref="J52:J53"/>
    <mergeCell ref="E54:E55"/>
    <mergeCell ref="F54:F55"/>
    <mergeCell ref="H54:H55"/>
    <mergeCell ref="I54:I55"/>
    <mergeCell ref="J54:J55"/>
    <mergeCell ref="N50:N51"/>
    <mergeCell ref="D50:D51"/>
    <mergeCell ref="O48:O49"/>
    <mergeCell ref="P48:P49"/>
    <mergeCell ref="K48:K49"/>
    <mergeCell ref="L48:L49"/>
    <mergeCell ref="M48:M49"/>
    <mergeCell ref="N48:N49"/>
    <mergeCell ref="D48:D49"/>
    <mergeCell ref="J48:J49"/>
    <mergeCell ref="E50:E51"/>
    <mergeCell ref="F50:F51"/>
    <mergeCell ref="H50:H51"/>
    <mergeCell ref="I50:I51"/>
    <mergeCell ref="J50:J51"/>
    <mergeCell ref="P44:P45"/>
    <mergeCell ref="A44:A63"/>
    <mergeCell ref="D44:D45"/>
    <mergeCell ref="E44:E45"/>
    <mergeCell ref="F44:F45"/>
    <mergeCell ref="H44:H45"/>
    <mergeCell ref="I44:I45"/>
    <mergeCell ref="J44:J45"/>
    <mergeCell ref="K44:K45"/>
    <mergeCell ref="P46:P47"/>
    <mergeCell ref="K46:K47"/>
    <mergeCell ref="L46:L47"/>
    <mergeCell ref="M46:M47"/>
    <mergeCell ref="N46:N47"/>
    <mergeCell ref="D46:D47"/>
    <mergeCell ref="E46:E47"/>
    <mergeCell ref="F46:F47"/>
    <mergeCell ref="H46:H47"/>
    <mergeCell ref="I46:I47"/>
    <mergeCell ref="J46:J47"/>
    <mergeCell ref="P50:P51"/>
    <mergeCell ref="K50:K51"/>
    <mergeCell ref="L50:L51"/>
    <mergeCell ref="M50:M51"/>
    <mergeCell ref="P42:P43"/>
    <mergeCell ref="J42:J43"/>
    <mergeCell ref="K42:K43"/>
    <mergeCell ref="L42:L43"/>
    <mergeCell ref="M42:M43"/>
    <mergeCell ref="N42:N43"/>
    <mergeCell ref="P40:P41"/>
    <mergeCell ref="D42:D43"/>
    <mergeCell ref="E42:E43"/>
    <mergeCell ref="F42:F43"/>
    <mergeCell ref="H42:H43"/>
    <mergeCell ref="I42:I43"/>
    <mergeCell ref="L40:L41"/>
    <mergeCell ref="M40:M41"/>
    <mergeCell ref="N40:N41"/>
    <mergeCell ref="O40:O41"/>
    <mergeCell ref="D40:D41"/>
    <mergeCell ref="E40:E41"/>
    <mergeCell ref="F40:F41"/>
    <mergeCell ref="H40:H41"/>
    <mergeCell ref="I40:I41"/>
    <mergeCell ref="J40:J41"/>
    <mergeCell ref="K40:K41"/>
    <mergeCell ref="P38:P39"/>
    <mergeCell ref="D38:D39"/>
    <mergeCell ref="E38:E39"/>
    <mergeCell ref="F38:F39"/>
    <mergeCell ref="H38:H39"/>
    <mergeCell ref="I38:I39"/>
    <mergeCell ref="J38:J39"/>
    <mergeCell ref="K38:K39"/>
    <mergeCell ref="L38:L39"/>
    <mergeCell ref="P36:P37"/>
    <mergeCell ref="J36:J37"/>
    <mergeCell ref="K36:K37"/>
    <mergeCell ref="L36:L37"/>
    <mergeCell ref="M36:M37"/>
    <mergeCell ref="N36:N37"/>
    <mergeCell ref="P34:P35"/>
    <mergeCell ref="D36:D37"/>
    <mergeCell ref="E36:E37"/>
    <mergeCell ref="F36:F37"/>
    <mergeCell ref="H36:H37"/>
    <mergeCell ref="I36:I37"/>
    <mergeCell ref="L34:L35"/>
    <mergeCell ref="M34:M35"/>
    <mergeCell ref="N34:N35"/>
    <mergeCell ref="O34:O35"/>
    <mergeCell ref="D34:D35"/>
    <mergeCell ref="E34:E35"/>
    <mergeCell ref="F34:F35"/>
    <mergeCell ref="H34:H35"/>
    <mergeCell ref="I34:I35"/>
    <mergeCell ref="J34:J35"/>
    <mergeCell ref="K34:K35"/>
    <mergeCell ref="O32:O33"/>
    <mergeCell ref="P32:P33"/>
    <mergeCell ref="D32:D33"/>
    <mergeCell ref="E32:E33"/>
    <mergeCell ref="F32:F33"/>
    <mergeCell ref="H32:H33"/>
    <mergeCell ref="I32:I33"/>
    <mergeCell ref="J32:J33"/>
    <mergeCell ref="K32:K33"/>
    <mergeCell ref="L32:L33"/>
    <mergeCell ref="K30:K31"/>
    <mergeCell ref="L30:L31"/>
    <mergeCell ref="M30:M31"/>
    <mergeCell ref="N30:N31"/>
    <mergeCell ref="P28:P29"/>
    <mergeCell ref="D30:D31"/>
    <mergeCell ref="E30:E31"/>
    <mergeCell ref="F30:F31"/>
    <mergeCell ref="H30:H31"/>
    <mergeCell ref="I30:I31"/>
    <mergeCell ref="L28:L29"/>
    <mergeCell ref="M28:M29"/>
    <mergeCell ref="N28:N29"/>
    <mergeCell ref="O28:O29"/>
    <mergeCell ref="D28:D29"/>
    <mergeCell ref="E28:E29"/>
    <mergeCell ref="F28:F29"/>
    <mergeCell ref="H28:H29"/>
    <mergeCell ref="I28:I29"/>
    <mergeCell ref="J28:J29"/>
    <mergeCell ref="K28:K29"/>
    <mergeCell ref="O24:O25"/>
    <mergeCell ref="P24:P25"/>
    <mergeCell ref="J24:J25"/>
    <mergeCell ref="K24:K25"/>
    <mergeCell ref="L24:L25"/>
    <mergeCell ref="M24:M25"/>
    <mergeCell ref="N24:N25"/>
    <mergeCell ref="A24:A43"/>
    <mergeCell ref="D24:D25"/>
    <mergeCell ref="M26:M27"/>
    <mergeCell ref="N26:N27"/>
    <mergeCell ref="O26:O27"/>
    <mergeCell ref="P26:P27"/>
    <mergeCell ref="D26:D27"/>
    <mergeCell ref="E26:E27"/>
    <mergeCell ref="F26:F27"/>
    <mergeCell ref="H26:H27"/>
    <mergeCell ref="I26:I27"/>
    <mergeCell ref="J26:J27"/>
    <mergeCell ref="K26:K27"/>
    <mergeCell ref="L26:L27"/>
    <mergeCell ref="O30:O31"/>
    <mergeCell ref="P30:P31"/>
    <mergeCell ref="J30:J31"/>
    <mergeCell ref="O22:O23"/>
    <mergeCell ref="P22:P23"/>
    <mergeCell ref="K22:K23"/>
    <mergeCell ref="L22:L23"/>
    <mergeCell ref="M22:M23"/>
    <mergeCell ref="N22:N23"/>
    <mergeCell ref="D22:D23"/>
    <mergeCell ref="O20:O21"/>
    <mergeCell ref="P20:P21"/>
    <mergeCell ref="K20:K21"/>
    <mergeCell ref="L20:L21"/>
    <mergeCell ref="M20:M21"/>
    <mergeCell ref="N20:N21"/>
    <mergeCell ref="D20:D21"/>
    <mergeCell ref="E20:E21"/>
    <mergeCell ref="F20:F21"/>
    <mergeCell ref="H20:H21"/>
    <mergeCell ref="I20:I21"/>
    <mergeCell ref="J20:J21"/>
    <mergeCell ref="E22:E23"/>
    <mergeCell ref="F22:F23"/>
    <mergeCell ref="H22:H23"/>
    <mergeCell ref="I22:I23"/>
    <mergeCell ref="J22:J23"/>
    <mergeCell ref="O18:O19"/>
    <mergeCell ref="P18:P19"/>
    <mergeCell ref="K18:K19"/>
    <mergeCell ref="L18:L19"/>
    <mergeCell ref="M18:M19"/>
    <mergeCell ref="N18:N19"/>
    <mergeCell ref="D18:D19"/>
    <mergeCell ref="O16:O17"/>
    <mergeCell ref="P16:P17"/>
    <mergeCell ref="K16:K17"/>
    <mergeCell ref="L16:L17"/>
    <mergeCell ref="M16:M17"/>
    <mergeCell ref="N16:N17"/>
    <mergeCell ref="D16:D17"/>
    <mergeCell ref="E16:E17"/>
    <mergeCell ref="F16:F17"/>
    <mergeCell ref="H16:H17"/>
    <mergeCell ref="I16:I17"/>
    <mergeCell ref="J16:J17"/>
    <mergeCell ref="E18:E19"/>
    <mergeCell ref="F18:F19"/>
    <mergeCell ref="H18:H19"/>
    <mergeCell ref="I18:I19"/>
    <mergeCell ref="J18:J19"/>
    <mergeCell ref="O14:O15"/>
    <mergeCell ref="P14:P15"/>
    <mergeCell ref="K14:K15"/>
    <mergeCell ref="L14:L15"/>
    <mergeCell ref="M14:M15"/>
    <mergeCell ref="N14:N15"/>
    <mergeCell ref="D14:D15"/>
    <mergeCell ref="O12:O13"/>
    <mergeCell ref="P12:P13"/>
    <mergeCell ref="K12:K13"/>
    <mergeCell ref="L12:L13"/>
    <mergeCell ref="M12:M13"/>
    <mergeCell ref="N12:N13"/>
    <mergeCell ref="D12:D13"/>
    <mergeCell ref="E12:E13"/>
    <mergeCell ref="F12:F13"/>
    <mergeCell ref="H12:H13"/>
    <mergeCell ref="I12:I13"/>
    <mergeCell ref="J12:J13"/>
    <mergeCell ref="E14:E15"/>
    <mergeCell ref="F14:F15"/>
    <mergeCell ref="H14:H15"/>
    <mergeCell ref="I14:I15"/>
    <mergeCell ref="J14:J15"/>
    <mergeCell ref="I6:I7"/>
    <mergeCell ref="J6:J7"/>
    <mergeCell ref="O10:O11"/>
    <mergeCell ref="P10:P11"/>
    <mergeCell ref="K10:K11"/>
    <mergeCell ref="L10:L11"/>
    <mergeCell ref="M10:M11"/>
    <mergeCell ref="N10:N11"/>
    <mergeCell ref="D10:D11"/>
    <mergeCell ref="O8:O9"/>
    <mergeCell ref="P8:P9"/>
    <mergeCell ref="K8:K9"/>
    <mergeCell ref="L8:L9"/>
    <mergeCell ref="M8:M9"/>
    <mergeCell ref="N8:N9"/>
    <mergeCell ref="D8:D9"/>
    <mergeCell ref="E10:E11"/>
    <mergeCell ref="F10:F11"/>
    <mergeCell ref="H10:H11"/>
    <mergeCell ref="I10:I11"/>
    <mergeCell ref="J10:J11"/>
    <mergeCell ref="G10:G11"/>
    <mergeCell ref="M4:M5"/>
    <mergeCell ref="N4:N5"/>
    <mergeCell ref="O4:O5"/>
    <mergeCell ref="P4:P5"/>
    <mergeCell ref="B1:P1"/>
    <mergeCell ref="A4:A23"/>
    <mergeCell ref="D4:D5"/>
    <mergeCell ref="H4:H5"/>
    <mergeCell ref="F4:F5"/>
    <mergeCell ref="G4:G5"/>
    <mergeCell ref="I4:I5"/>
    <mergeCell ref="J4:J5"/>
    <mergeCell ref="K4:K5"/>
    <mergeCell ref="L4:L5"/>
    <mergeCell ref="O6:O7"/>
    <mergeCell ref="P6:P7"/>
    <mergeCell ref="K6:K7"/>
    <mergeCell ref="L6:L7"/>
    <mergeCell ref="M6:M7"/>
    <mergeCell ref="N6:N7"/>
    <mergeCell ref="D6:D7"/>
    <mergeCell ref="E6:E7"/>
    <mergeCell ref="F6:F7"/>
    <mergeCell ref="H6:H7"/>
  </mergeCells>
  <conditionalFormatting sqref="A4:A63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5E72-9315-4F52-A408-B7DE22D7B295}">
  <sheetPr>
    <pageSetUpPr fitToPage="1"/>
  </sheetPr>
  <dimension ref="A1:N133"/>
  <sheetViews>
    <sheetView zoomScale="70" zoomScaleNormal="70" workbookViewId="0">
      <pane ySplit="3" topLeftCell="A4" activePane="bottomLeft" state="frozen"/>
      <selection pane="bottomLeft" activeCell="N2" sqref="B2:N3"/>
    </sheetView>
  </sheetViews>
  <sheetFormatPr defaultRowHeight="15" x14ac:dyDescent="0.25"/>
  <cols>
    <col min="1" max="1" width="5.85546875" style="9" customWidth="1"/>
    <col min="2" max="3" width="9.140625" style="10" customWidth="1"/>
    <col min="4" max="4" width="9.140625" style="30" customWidth="1"/>
    <col min="5" max="5" width="17.7109375" style="10" customWidth="1"/>
    <col min="6" max="6" width="14" style="27" customWidth="1"/>
    <col min="7" max="7" width="14.7109375" style="27" customWidth="1"/>
    <col min="8" max="8" width="18.85546875" style="27" customWidth="1"/>
    <col min="9" max="9" width="12.42578125" style="27" customWidth="1"/>
    <col min="10" max="13" width="9.140625" style="27"/>
    <col min="14" max="14" width="11.5703125" style="27" customWidth="1"/>
    <col min="15" max="15" width="9.140625" style="27" customWidth="1"/>
    <col min="16" max="16384" width="9.140625" style="27"/>
  </cols>
  <sheetData>
    <row r="1" spans="1:14" ht="26.25" x14ac:dyDescent="0.4">
      <c r="B1" s="90" t="s">
        <v>30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8" x14ac:dyDescent="0.35">
      <c r="B2" s="17" t="s">
        <v>0</v>
      </c>
      <c r="C2" s="17" t="s">
        <v>31</v>
      </c>
      <c r="D2" s="18" t="s">
        <v>105</v>
      </c>
      <c r="E2" s="18" t="s">
        <v>106</v>
      </c>
      <c r="F2" s="18" t="s">
        <v>107</v>
      </c>
      <c r="G2" s="18" t="s">
        <v>108</v>
      </c>
      <c r="H2" s="18" t="s">
        <v>109</v>
      </c>
      <c r="I2" s="38" t="s">
        <v>110</v>
      </c>
      <c r="J2" s="18" t="s">
        <v>73</v>
      </c>
      <c r="K2" s="18" t="s">
        <v>74</v>
      </c>
      <c r="L2" s="38" t="s">
        <v>111</v>
      </c>
      <c r="M2" s="18" t="s">
        <v>112</v>
      </c>
      <c r="N2" s="18" t="s">
        <v>29</v>
      </c>
    </row>
    <row r="3" spans="1:14" x14ac:dyDescent="0.25">
      <c r="B3" s="34" t="s">
        <v>1</v>
      </c>
      <c r="C3" s="34" t="s">
        <v>1</v>
      </c>
      <c r="D3" s="35" t="s">
        <v>2</v>
      </c>
      <c r="E3" s="35" t="s">
        <v>72</v>
      </c>
      <c r="F3" s="35" t="s">
        <v>72</v>
      </c>
      <c r="G3" s="35" t="s">
        <v>2</v>
      </c>
      <c r="H3" s="35" t="s">
        <v>2</v>
      </c>
      <c r="I3" s="35" t="s">
        <v>70</v>
      </c>
      <c r="J3" s="35" t="s">
        <v>65</v>
      </c>
      <c r="K3" s="35" t="s">
        <v>65</v>
      </c>
      <c r="L3" s="35" t="s">
        <v>70</v>
      </c>
      <c r="M3" s="35" t="s">
        <v>2</v>
      </c>
      <c r="N3" s="35" t="s">
        <v>70</v>
      </c>
    </row>
    <row r="4" spans="1:14" ht="15" customHeight="1" x14ac:dyDescent="0.25">
      <c r="A4" s="61" t="s">
        <v>24</v>
      </c>
      <c r="B4" s="26" t="s">
        <v>3</v>
      </c>
      <c r="C4" s="26" t="s">
        <v>4</v>
      </c>
      <c r="D4" s="56">
        <v>358.839</v>
      </c>
      <c r="E4" s="57">
        <v>936.19461076975801</v>
      </c>
      <c r="F4" s="91">
        <v>0</v>
      </c>
      <c r="G4" s="55">
        <v>32.432000000000002</v>
      </c>
      <c r="H4" s="95">
        <f t="shared" ref="H4" si="0">(1.1*(E4+F4)*391)/1000-G4</f>
        <v>370.22530209207292</v>
      </c>
      <c r="I4" s="59">
        <f>IF(F4=0,0.48*(1-30/250),0.6*(1-30/250))</f>
        <v>0.4224</v>
      </c>
      <c r="J4" s="55">
        <v>500</v>
      </c>
      <c r="K4" s="55">
        <f>300-80</f>
        <v>220</v>
      </c>
      <c r="L4" s="59">
        <f>D4*1000/(500*300*17)</f>
        <v>0.14072117647058824</v>
      </c>
      <c r="M4" s="93">
        <f>(I4*17*J4*K4*SQRT(1-L4/I4))/1000</f>
        <v>645.03110869724719</v>
      </c>
      <c r="N4" s="91" t="str">
        <f>IF(M4&gt;H4,"OK","NO")</f>
        <v>OK</v>
      </c>
    </row>
    <row r="5" spans="1:14" x14ac:dyDescent="0.25">
      <c r="A5" s="61"/>
      <c r="B5" s="26" t="s">
        <v>8</v>
      </c>
      <c r="C5" s="26" t="s">
        <v>4</v>
      </c>
      <c r="D5" s="56"/>
      <c r="E5" s="58"/>
      <c r="F5" s="57"/>
      <c r="G5" s="56"/>
      <c r="H5" s="92"/>
      <c r="I5" s="60"/>
      <c r="J5" s="56"/>
      <c r="K5" s="56"/>
      <c r="L5" s="60"/>
      <c r="M5" s="94"/>
      <c r="N5" s="57"/>
    </row>
    <row r="6" spans="1:14" x14ac:dyDescent="0.25">
      <c r="A6" s="61"/>
      <c r="B6" s="26" t="s">
        <v>4</v>
      </c>
      <c r="C6" s="26" t="s">
        <v>6</v>
      </c>
      <c r="D6" s="56">
        <v>402.06299999999999</v>
      </c>
      <c r="E6" s="58">
        <v>936.19461076975801</v>
      </c>
      <c r="F6" s="73">
        <v>0</v>
      </c>
      <c r="G6" s="56">
        <v>28.280999999999999</v>
      </c>
      <c r="H6" s="92">
        <f t="shared" ref="H6" si="1">(1.1*(E6+F6)*391)/1000-G6</f>
        <v>374.37630209207293</v>
      </c>
      <c r="I6" s="60">
        <f t="shared" ref="I6" si="2">IF(F6=0,0.48*(1-30/250),0.6*(1-30/250))</f>
        <v>0.4224</v>
      </c>
      <c r="J6" s="56">
        <v>500</v>
      </c>
      <c r="K6" s="56">
        <f t="shared" ref="K6" si="3">300-80</f>
        <v>220</v>
      </c>
      <c r="L6" s="60">
        <f>D6*1000/(500*300*17)</f>
        <v>0.15767176470588234</v>
      </c>
      <c r="M6" s="94">
        <f>(I6*17*J6*K6*SQRT(1-L6/I6))/1000</f>
        <v>625.32197891838075</v>
      </c>
      <c r="N6" s="73" t="str">
        <f>IF(M6&gt;H6,"OK","NO")</f>
        <v>OK</v>
      </c>
    </row>
    <row r="7" spans="1:14" x14ac:dyDescent="0.25">
      <c r="A7" s="61"/>
      <c r="B7" s="26" t="s">
        <v>9</v>
      </c>
      <c r="C7" s="26" t="s">
        <v>6</v>
      </c>
      <c r="D7" s="56"/>
      <c r="E7" s="58"/>
      <c r="F7" s="57"/>
      <c r="G7" s="56"/>
      <c r="H7" s="92"/>
      <c r="I7" s="60"/>
      <c r="J7" s="56"/>
      <c r="K7" s="56"/>
      <c r="L7" s="60"/>
      <c r="M7" s="94"/>
      <c r="N7" s="57"/>
    </row>
    <row r="8" spans="1:14" x14ac:dyDescent="0.25">
      <c r="A8" s="61"/>
      <c r="B8" s="26" t="s">
        <v>5</v>
      </c>
      <c r="C8" s="26" t="s">
        <v>8</v>
      </c>
      <c r="D8" s="56">
        <v>460.43099999999998</v>
      </c>
      <c r="E8" s="58">
        <v>936.19461076975801</v>
      </c>
      <c r="F8" s="73">
        <v>0</v>
      </c>
      <c r="G8" s="56">
        <v>24.966000000000001</v>
      </c>
      <c r="H8" s="92">
        <f t="shared" ref="H8" si="4">(1.1*(E8+F8)*391)/1000-G8</f>
        <v>377.69130209207293</v>
      </c>
      <c r="I8" s="60">
        <f t="shared" ref="I8" si="5">IF(F8=0,0.48*(1-30/250),0.6*(1-30/250))</f>
        <v>0.4224</v>
      </c>
      <c r="J8" s="56">
        <v>500</v>
      </c>
      <c r="K8" s="56">
        <f t="shared" ref="K8" si="6">300-80</f>
        <v>220</v>
      </c>
      <c r="L8" s="60">
        <f>D8*1000/(500*300*17)</f>
        <v>0.18056117647058822</v>
      </c>
      <c r="M8" s="94">
        <f>(I8*17*J8*K8*SQRT(1-L8/I8))/1000</f>
        <v>597.67703927522587</v>
      </c>
      <c r="N8" s="73" t="str">
        <f>IF(M8&gt;H8,"OK","NO")</f>
        <v>OK</v>
      </c>
    </row>
    <row r="9" spans="1:14" x14ac:dyDescent="0.25">
      <c r="A9" s="61"/>
      <c r="B9" s="26" t="s">
        <v>10</v>
      </c>
      <c r="C9" s="26" t="s">
        <v>8</v>
      </c>
      <c r="D9" s="56"/>
      <c r="E9" s="58"/>
      <c r="F9" s="57"/>
      <c r="G9" s="56"/>
      <c r="H9" s="92"/>
      <c r="I9" s="60"/>
      <c r="J9" s="56"/>
      <c r="K9" s="56"/>
      <c r="L9" s="60"/>
      <c r="M9" s="94"/>
      <c r="N9" s="57"/>
    </row>
    <row r="10" spans="1:14" x14ac:dyDescent="0.25">
      <c r="A10" s="61"/>
      <c r="B10" s="26" t="s">
        <v>6</v>
      </c>
      <c r="C10" s="26" t="s">
        <v>10</v>
      </c>
      <c r="D10" s="56">
        <v>474.40300000000002</v>
      </c>
      <c r="E10" s="58">
        <v>936.19461076975801</v>
      </c>
      <c r="F10" s="73">
        <v>0</v>
      </c>
      <c r="G10" s="56">
        <v>28.747</v>
      </c>
      <c r="H10" s="92">
        <f t="shared" ref="H10" si="7">(1.1*(E10+F10)*391)/1000-G10</f>
        <v>373.91030209207293</v>
      </c>
      <c r="I10" s="60">
        <f t="shared" ref="I10" si="8">IF(F10=0,0.48*(1-30/250),0.6*(1-30/250))</f>
        <v>0.4224</v>
      </c>
      <c r="J10" s="56">
        <v>500</v>
      </c>
      <c r="K10" s="56">
        <f t="shared" ref="K10" si="9">300-80</f>
        <v>220</v>
      </c>
      <c r="L10" s="60">
        <f>D10*1000/(500*300*17)</f>
        <v>0.18604039215686274</v>
      </c>
      <c r="M10" s="94">
        <f>(I10*17*J10*K10*SQRT(1-L10/I10))/1000</f>
        <v>590.86762096970574</v>
      </c>
      <c r="N10" s="73" t="str">
        <f>IF(M10&gt;H10,"OK","NO")</f>
        <v>OK</v>
      </c>
    </row>
    <row r="11" spans="1:14" x14ac:dyDescent="0.25">
      <c r="A11" s="61"/>
      <c r="B11" s="26" t="s">
        <v>11</v>
      </c>
      <c r="C11" s="26" t="s">
        <v>10</v>
      </c>
      <c r="D11" s="56"/>
      <c r="E11" s="58"/>
      <c r="F11" s="57"/>
      <c r="G11" s="56"/>
      <c r="H11" s="92"/>
      <c r="I11" s="60"/>
      <c r="J11" s="56"/>
      <c r="K11" s="56"/>
      <c r="L11" s="60"/>
      <c r="M11" s="94"/>
      <c r="N11" s="57"/>
    </row>
    <row r="12" spans="1:14" x14ac:dyDescent="0.25">
      <c r="A12" s="61"/>
      <c r="B12" s="26" t="s">
        <v>7</v>
      </c>
      <c r="C12" s="26" t="s">
        <v>12</v>
      </c>
      <c r="D12" s="56">
        <v>359.86500000000001</v>
      </c>
      <c r="E12" s="58">
        <v>936.19461076975801</v>
      </c>
      <c r="F12" s="73">
        <v>0</v>
      </c>
      <c r="G12" s="56">
        <v>35.911999999999999</v>
      </c>
      <c r="H12" s="92">
        <f t="shared" ref="H12" si="10">(1.1*(E12+F12)*391)/1000-G12</f>
        <v>366.74530209207296</v>
      </c>
      <c r="I12" s="60">
        <f t="shared" ref="I12" si="11">IF(F12=0,0.48*(1-30/250),0.6*(1-30/250))</f>
        <v>0.4224</v>
      </c>
      <c r="J12" s="56">
        <v>500</v>
      </c>
      <c r="K12" s="56">
        <f t="shared" ref="K12" si="12">300-80</f>
        <v>220</v>
      </c>
      <c r="L12" s="60">
        <f>D12*1000/(500*300*17)</f>
        <v>0.1411235294117647</v>
      </c>
      <c r="M12" s="94">
        <f>(I12*17*J12*K12*SQRT(1-L12/I12))/1000</f>
        <v>644.57025951869662</v>
      </c>
      <c r="N12" s="73" t="str">
        <f>IF(M12&gt;H12,"OK","NO")</f>
        <v>OK</v>
      </c>
    </row>
    <row r="13" spans="1:14" x14ac:dyDescent="0.25">
      <c r="A13" s="61"/>
      <c r="B13" s="26" t="s">
        <v>12</v>
      </c>
      <c r="C13" s="26" t="s">
        <v>12</v>
      </c>
      <c r="D13" s="56"/>
      <c r="E13" s="58"/>
      <c r="F13" s="57"/>
      <c r="G13" s="56"/>
      <c r="H13" s="92"/>
      <c r="I13" s="60"/>
      <c r="J13" s="56"/>
      <c r="K13" s="56"/>
      <c r="L13" s="60"/>
      <c r="M13" s="94"/>
      <c r="N13" s="57"/>
    </row>
    <row r="14" spans="1:14" x14ac:dyDescent="0.25">
      <c r="A14" s="61"/>
      <c r="B14" s="26" t="s">
        <v>33</v>
      </c>
      <c r="C14" s="26" t="s">
        <v>34</v>
      </c>
      <c r="D14" s="56">
        <v>428.39</v>
      </c>
      <c r="E14" s="58">
        <f>1137.25654059951</f>
        <v>1137.2565405995099</v>
      </c>
      <c r="F14" s="58">
        <v>615.75216010359895</v>
      </c>
      <c r="G14" s="56">
        <v>74.137</v>
      </c>
      <c r="H14" s="92">
        <f>(1.1*(E14+F14)*391)/1000-G14</f>
        <v>679.83204217240723</v>
      </c>
      <c r="I14" s="60">
        <f t="shared" ref="I14" si="13">IF(F14=0,0.48*(1-30/250),0.6*(1-30/250))</f>
        <v>0.52800000000000002</v>
      </c>
      <c r="J14" s="56">
        <v>300</v>
      </c>
      <c r="K14" s="56">
        <v>420</v>
      </c>
      <c r="L14" s="60">
        <f>D14*1000/(500*300*17)</f>
        <v>0.16799607843137254</v>
      </c>
      <c r="M14" s="94">
        <f>(I14*17*J14*K14*SQRT(1-L14/I14))/1000</f>
        <v>933.87778285940612</v>
      </c>
      <c r="N14" s="73" t="str">
        <f>IF(M14&gt;H14,"OK","NO")</f>
        <v>OK</v>
      </c>
    </row>
    <row r="15" spans="1:14" x14ac:dyDescent="0.25">
      <c r="A15" s="61"/>
      <c r="B15" s="26" t="s">
        <v>35</v>
      </c>
      <c r="C15" s="26" t="s">
        <v>34</v>
      </c>
      <c r="D15" s="56"/>
      <c r="E15" s="58"/>
      <c r="F15" s="58"/>
      <c r="G15" s="56"/>
      <c r="H15" s="92"/>
      <c r="I15" s="60"/>
      <c r="J15" s="56"/>
      <c r="K15" s="56"/>
      <c r="L15" s="60"/>
      <c r="M15" s="94"/>
      <c r="N15" s="57"/>
    </row>
    <row r="16" spans="1:14" x14ac:dyDescent="0.25">
      <c r="A16" s="61"/>
      <c r="B16" s="26" t="s">
        <v>36</v>
      </c>
      <c r="C16" s="26" t="s">
        <v>37</v>
      </c>
      <c r="D16" s="56">
        <v>561.84500000000003</v>
      </c>
      <c r="E16" s="58">
        <f>1137.25654059951</f>
        <v>1137.2565405995099</v>
      </c>
      <c r="F16" s="58">
        <v>615.75216010359895</v>
      </c>
      <c r="G16" s="56">
        <v>68.141000000000005</v>
      </c>
      <c r="H16" s="92">
        <f t="shared" ref="H16" si="14">(1.1*(E16+F16)*391)/1000-G16</f>
        <v>685.82804217240721</v>
      </c>
      <c r="I16" s="60">
        <f t="shared" ref="I16" si="15">IF(F16=0,0.48*(1-30/250),0.6*(1-30/250))</f>
        <v>0.52800000000000002</v>
      </c>
      <c r="J16" s="56">
        <v>300</v>
      </c>
      <c r="K16" s="56">
        <v>420</v>
      </c>
      <c r="L16" s="60">
        <f>D16*1000/(500*300*17)</f>
        <v>0.22033137254901961</v>
      </c>
      <c r="M16" s="94">
        <f>(I16*17*J16*K16*SQRT(1-L16/I16))/1000</f>
        <v>863.33238996993509</v>
      </c>
      <c r="N16" s="73" t="str">
        <f>IF(M16&gt;H16,"OK","NO")</f>
        <v>OK</v>
      </c>
    </row>
    <row r="17" spans="1:14" x14ac:dyDescent="0.25">
      <c r="A17" s="61"/>
      <c r="B17" s="26" t="s">
        <v>38</v>
      </c>
      <c r="C17" s="26" t="s">
        <v>37</v>
      </c>
      <c r="D17" s="56"/>
      <c r="E17" s="58"/>
      <c r="F17" s="58"/>
      <c r="G17" s="56"/>
      <c r="H17" s="92"/>
      <c r="I17" s="60"/>
      <c r="J17" s="56"/>
      <c r="K17" s="56"/>
      <c r="L17" s="60"/>
      <c r="M17" s="94"/>
      <c r="N17" s="57"/>
    </row>
    <row r="18" spans="1:14" x14ac:dyDescent="0.25">
      <c r="A18" s="61"/>
      <c r="B18" s="26" t="s">
        <v>39</v>
      </c>
      <c r="C18" s="26" t="s">
        <v>40</v>
      </c>
      <c r="D18" s="56">
        <v>647.76599999999996</v>
      </c>
      <c r="E18" s="58">
        <f>1256.63706143592</f>
        <v>1256.63706143592</v>
      </c>
      <c r="F18" s="58">
        <v>615.75216010359895</v>
      </c>
      <c r="G18" s="56">
        <v>63.067</v>
      </c>
      <c r="H18" s="92">
        <f t="shared" ref="H18" si="16">(1.1*(E18+F18)*391)/1000-G18</f>
        <v>742.24760418414724</v>
      </c>
      <c r="I18" s="60">
        <f t="shared" ref="I18" si="17">IF(F18=0,0.48*(1-30/250),0.6*(1-30/250))</f>
        <v>0.52800000000000002</v>
      </c>
      <c r="J18" s="56">
        <v>300</v>
      </c>
      <c r="K18" s="56">
        <v>420</v>
      </c>
      <c r="L18" s="60">
        <f>D18*1000/(500*300*17)</f>
        <v>0.25402588235294116</v>
      </c>
      <c r="M18" s="94">
        <f>(I18*17*J18*K18*SQRT(1-L18/I18))/1000</f>
        <v>814.68776896339875</v>
      </c>
      <c r="N18" s="73" t="str">
        <f>IF(M18&gt;H18,"OK","NO")</f>
        <v>OK</v>
      </c>
    </row>
    <row r="19" spans="1:14" x14ac:dyDescent="0.25">
      <c r="A19" s="61"/>
      <c r="B19" s="26" t="s">
        <v>41</v>
      </c>
      <c r="C19" s="26" t="s">
        <v>40</v>
      </c>
      <c r="D19" s="56"/>
      <c r="E19" s="58"/>
      <c r="F19" s="58"/>
      <c r="G19" s="56"/>
      <c r="H19" s="92"/>
      <c r="I19" s="60"/>
      <c r="J19" s="56"/>
      <c r="K19" s="56"/>
      <c r="L19" s="60"/>
      <c r="M19" s="94"/>
      <c r="N19" s="57"/>
    </row>
    <row r="20" spans="1:14" x14ac:dyDescent="0.25">
      <c r="A20" s="61"/>
      <c r="B20" s="26" t="s">
        <v>42</v>
      </c>
      <c r="C20" s="26" t="s">
        <v>43</v>
      </c>
      <c r="D20" s="56">
        <v>648.66899999999998</v>
      </c>
      <c r="E20" s="58">
        <f>1256.63706143592</f>
        <v>1256.63706143592</v>
      </c>
      <c r="F20" s="58">
        <v>615.75216010359895</v>
      </c>
      <c r="G20" s="56">
        <v>70.575999999999993</v>
      </c>
      <c r="H20" s="92">
        <f t="shared" ref="H20" si="18">(1.1*(E20+F20)*391)/1000-G20</f>
        <v>734.73860418414722</v>
      </c>
      <c r="I20" s="60">
        <f t="shared" ref="I20" si="19">IF(F20=0,0.48*(1-30/250),0.6*(1-30/250))</f>
        <v>0.52800000000000002</v>
      </c>
      <c r="J20" s="56">
        <v>300</v>
      </c>
      <c r="K20" s="56">
        <v>420</v>
      </c>
      <c r="L20" s="60">
        <f>D20*1000/(500*300*17)</f>
        <v>0.25438</v>
      </c>
      <c r="M20" s="94">
        <f>(I20*17*J20*K20*SQRT(1-L20/I20))/1000</f>
        <v>814.161097684629</v>
      </c>
      <c r="N20" s="73" t="str">
        <f>IF(M20&gt;H20,"OK","NO")</f>
        <v>OK</v>
      </c>
    </row>
    <row r="21" spans="1:14" x14ac:dyDescent="0.25">
      <c r="A21" s="61"/>
      <c r="B21" s="26" t="s">
        <v>44</v>
      </c>
      <c r="C21" s="26" t="s">
        <v>43</v>
      </c>
      <c r="D21" s="56"/>
      <c r="E21" s="58"/>
      <c r="F21" s="58"/>
      <c r="G21" s="56"/>
      <c r="H21" s="92"/>
      <c r="I21" s="60"/>
      <c r="J21" s="56"/>
      <c r="K21" s="56"/>
      <c r="L21" s="60"/>
      <c r="M21" s="94"/>
      <c r="N21" s="57"/>
    </row>
    <row r="22" spans="1:14" x14ac:dyDescent="0.25">
      <c r="A22" s="61"/>
      <c r="B22" s="26" t="s">
        <v>45</v>
      </c>
      <c r="C22" s="26" t="s">
        <v>46</v>
      </c>
      <c r="D22" s="56">
        <v>432.02499999999998</v>
      </c>
      <c r="E22" s="58">
        <f>1137.25654059951</f>
        <v>1137.2565405995099</v>
      </c>
      <c r="F22" s="58">
        <v>615.75216010359895</v>
      </c>
      <c r="G22" s="56">
        <v>81.248000000000005</v>
      </c>
      <c r="H22" s="92">
        <f t="shared" ref="H22" si="20">(1.1*(E22+F22)*391)/1000-G22</f>
        <v>672.72104217240712</v>
      </c>
      <c r="I22" s="60">
        <f t="shared" ref="I22" si="21">IF(F22=0,0.48*(1-30/250),0.6*(1-30/250))</f>
        <v>0.52800000000000002</v>
      </c>
      <c r="J22" s="56">
        <v>300</v>
      </c>
      <c r="K22" s="56">
        <v>420</v>
      </c>
      <c r="L22" s="60">
        <f>D22*1000/(500*300*17)</f>
        <v>0.16942156862745097</v>
      </c>
      <c r="M22" s="94">
        <f>(I22*17*J22*K22*SQRT(1-L22/I22))/1000</f>
        <v>932.02703351351352</v>
      </c>
      <c r="N22" s="73" t="str">
        <f>IF(M22&gt;H22,"OK","NO")</f>
        <v>OK</v>
      </c>
    </row>
    <row r="23" spans="1:14" x14ac:dyDescent="0.25">
      <c r="A23" s="61"/>
      <c r="B23" s="26" t="s">
        <v>47</v>
      </c>
      <c r="C23" s="26" t="s">
        <v>46</v>
      </c>
      <c r="D23" s="56"/>
      <c r="E23" s="58"/>
      <c r="F23" s="58"/>
      <c r="G23" s="56"/>
      <c r="H23" s="92"/>
      <c r="I23" s="60"/>
      <c r="J23" s="56"/>
      <c r="K23" s="56"/>
      <c r="L23" s="60"/>
      <c r="M23" s="94"/>
      <c r="N23" s="57"/>
    </row>
    <row r="24" spans="1:14" ht="15" customHeight="1" x14ac:dyDescent="0.25">
      <c r="A24" s="62" t="s">
        <v>25</v>
      </c>
      <c r="B24" s="26" t="s">
        <v>8</v>
      </c>
      <c r="C24" s="26" t="s">
        <v>13</v>
      </c>
      <c r="D24" s="56">
        <v>197.98</v>
      </c>
      <c r="E24" s="58">
        <v>936.19461076975801</v>
      </c>
      <c r="F24" s="58">
        <v>0</v>
      </c>
      <c r="G24" s="56">
        <v>23.262</v>
      </c>
      <c r="H24" s="92">
        <f t="shared" ref="H24" si="22">(1.1*(E24+F24)*391)/1000-G24</f>
        <v>379.39530209207294</v>
      </c>
      <c r="I24" s="60">
        <f t="shared" ref="I24" si="23">IF(F24=0,0.48*(1-30/250),0.6*(1-30/250))</f>
        <v>0.4224</v>
      </c>
      <c r="J24" s="56">
        <v>450</v>
      </c>
      <c r="K24" s="56">
        <f>300-80</f>
        <v>220</v>
      </c>
      <c r="L24" s="60">
        <f>D24*1000/(450*300*17)</f>
        <v>8.6265795206971682E-2</v>
      </c>
      <c r="M24" s="94">
        <f>(I24*17*J24*K24*SQRT(1-L24/I24))/1000</f>
        <v>634.16522708379398</v>
      </c>
      <c r="N24" s="73" t="str">
        <f>IF(M24&gt;H24,"OK","NO")</f>
        <v>OK</v>
      </c>
    </row>
    <row r="25" spans="1:14" x14ac:dyDescent="0.25">
      <c r="A25" s="62"/>
      <c r="B25" s="26" t="s">
        <v>13</v>
      </c>
      <c r="C25" s="26" t="s">
        <v>13</v>
      </c>
      <c r="D25" s="56"/>
      <c r="E25" s="58"/>
      <c r="F25" s="58"/>
      <c r="G25" s="56"/>
      <c r="H25" s="92"/>
      <c r="I25" s="60"/>
      <c r="J25" s="56"/>
      <c r="K25" s="56"/>
      <c r="L25" s="60"/>
      <c r="M25" s="94"/>
      <c r="N25" s="57"/>
    </row>
    <row r="26" spans="1:14" x14ac:dyDescent="0.25">
      <c r="A26" s="62"/>
      <c r="B26" s="26" t="s">
        <v>9</v>
      </c>
      <c r="C26" s="26" t="s">
        <v>14</v>
      </c>
      <c r="D26" s="56">
        <v>233.68100000000001</v>
      </c>
      <c r="E26" s="58">
        <v>936.19461076975801</v>
      </c>
      <c r="F26" s="58">
        <v>0</v>
      </c>
      <c r="G26" s="56">
        <v>19.71</v>
      </c>
      <c r="H26" s="92">
        <f t="shared" ref="H26" si="24">(1.1*(E26+F26)*391)/1000-G26</f>
        <v>382.94730209207296</v>
      </c>
      <c r="I26" s="60">
        <f t="shared" ref="I26" si="25">IF(F26=0,0.48*(1-30/250),0.6*(1-30/250))</f>
        <v>0.4224</v>
      </c>
      <c r="J26" s="56">
        <v>450</v>
      </c>
      <c r="K26" s="56">
        <f t="shared" ref="K26" si="26">300-80</f>
        <v>220</v>
      </c>
      <c r="L26" s="60">
        <f>D26*1000/(450*300*17)</f>
        <v>0.10182178649237472</v>
      </c>
      <c r="M26" s="94">
        <f>(I26*17*J26*K26*SQRT(1-L26/I26))/1000</f>
        <v>619.31710202460897</v>
      </c>
      <c r="N26" s="73" t="str">
        <f>IF(M26&gt;H26,"OK","NO")</f>
        <v>OK</v>
      </c>
    </row>
    <row r="27" spans="1:14" x14ac:dyDescent="0.25">
      <c r="A27" s="62"/>
      <c r="B27" s="26" t="s">
        <v>14</v>
      </c>
      <c r="C27" s="26" t="s">
        <v>14</v>
      </c>
      <c r="D27" s="56"/>
      <c r="E27" s="58"/>
      <c r="F27" s="58"/>
      <c r="G27" s="56"/>
      <c r="H27" s="92"/>
      <c r="I27" s="60"/>
      <c r="J27" s="56"/>
      <c r="K27" s="56"/>
      <c r="L27" s="60"/>
      <c r="M27" s="94"/>
      <c r="N27" s="57"/>
    </row>
    <row r="28" spans="1:14" x14ac:dyDescent="0.25">
      <c r="A28" s="62"/>
      <c r="B28" s="26" t="s">
        <v>10</v>
      </c>
      <c r="C28" s="26" t="s">
        <v>15</v>
      </c>
      <c r="D28" s="56">
        <v>268.03199999999998</v>
      </c>
      <c r="E28" s="58">
        <v>936.19461076975801</v>
      </c>
      <c r="F28" s="58">
        <v>0</v>
      </c>
      <c r="G28" s="56">
        <v>16.998999999999999</v>
      </c>
      <c r="H28" s="92">
        <f t="shared" ref="H28" si="27">(1.1*(E28+F28)*391)/1000-G28</f>
        <v>385.65830209207292</v>
      </c>
      <c r="I28" s="60">
        <f t="shared" ref="I28" si="28">IF(F28=0,0.48*(1-30/250),0.6*(1-30/250))</f>
        <v>0.4224</v>
      </c>
      <c r="J28" s="56">
        <v>450</v>
      </c>
      <c r="K28" s="56">
        <f t="shared" ref="K28" si="29">300-80</f>
        <v>220</v>
      </c>
      <c r="L28" s="60">
        <f>D28*1000/(450*300*17)</f>
        <v>0.11678954248366014</v>
      </c>
      <c r="M28" s="94">
        <f>(I28*17*J28*K28*SQRT(1-L28/I28))/1000</f>
        <v>604.68636555331716</v>
      </c>
      <c r="N28" s="73" t="str">
        <f>IF(M28&gt;H28,"OK","NO")</f>
        <v>OK</v>
      </c>
    </row>
    <row r="29" spans="1:14" x14ac:dyDescent="0.25">
      <c r="A29" s="62"/>
      <c r="B29" s="26" t="s">
        <v>15</v>
      </c>
      <c r="C29" s="26" t="s">
        <v>15</v>
      </c>
      <c r="D29" s="56"/>
      <c r="E29" s="58"/>
      <c r="F29" s="58"/>
      <c r="G29" s="56"/>
      <c r="H29" s="92"/>
      <c r="I29" s="60"/>
      <c r="J29" s="56"/>
      <c r="K29" s="56"/>
      <c r="L29" s="60"/>
      <c r="M29" s="94"/>
      <c r="N29" s="57"/>
    </row>
    <row r="30" spans="1:14" x14ac:dyDescent="0.25">
      <c r="A30" s="62"/>
      <c r="B30" s="26" t="s">
        <v>11</v>
      </c>
      <c r="C30" s="26" t="s">
        <v>16</v>
      </c>
      <c r="D30" s="56">
        <v>273.61399999999998</v>
      </c>
      <c r="E30" s="58">
        <v>936.19461076975801</v>
      </c>
      <c r="F30" s="58">
        <v>0</v>
      </c>
      <c r="G30" s="56">
        <v>19.786000000000001</v>
      </c>
      <c r="H30" s="92">
        <f t="shared" ref="H30" si="30">(1.1*(E30+F30)*391)/1000-G30</f>
        <v>382.87130209207294</v>
      </c>
      <c r="I30" s="60">
        <f t="shared" ref="I30" si="31">IF(F30=0,0.48*(1-30/250),0.6*(1-30/250))</f>
        <v>0.4224</v>
      </c>
      <c r="J30" s="56">
        <v>450</v>
      </c>
      <c r="K30" s="56">
        <f t="shared" ref="K30" si="32">300-80</f>
        <v>220</v>
      </c>
      <c r="L30" s="60">
        <f>D30*1000/(450*300*17)</f>
        <v>0.11922178649237473</v>
      </c>
      <c r="M30" s="94">
        <f>(I30*17*J30*K30*SQRT(1-L30/I30))/1000</f>
        <v>602.27531786345014</v>
      </c>
      <c r="N30" s="73" t="str">
        <f>IF(M30&gt;H30,"OK","NO")</f>
        <v>OK</v>
      </c>
    </row>
    <row r="31" spans="1:14" x14ac:dyDescent="0.25">
      <c r="A31" s="62"/>
      <c r="B31" s="26" t="s">
        <v>16</v>
      </c>
      <c r="C31" s="26" t="s">
        <v>16</v>
      </c>
      <c r="D31" s="56"/>
      <c r="E31" s="58"/>
      <c r="F31" s="58"/>
      <c r="G31" s="56"/>
      <c r="H31" s="92"/>
      <c r="I31" s="60"/>
      <c r="J31" s="56"/>
      <c r="K31" s="56"/>
      <c r="L31" s="60"/>
      <c r="M31" s="94"/>
      <c r="N31" s="57"/>
    </row>
    <row r="32" spans="1:14" x14ac:dyDescent="0.25">
      <c r="A32" s="62"/>
      <c r="B32" s="26" t="s">
        <v>12</v>
      </c>
      <c r="C32" s="26" t="s">
        <v>17</v>
      </c>
      <c r="D32" s="56">
        <v>198.042</v>
      </c>
      <c r="E32" s="58">
        <v>936.19461076975801</v>
      </c>
      <c r="F32" s="58">
        <v>0</v>
      </c>
      <c r="G32" s="56">
        <v>25.957999999999998</v>
      </c>
      <c r="H32" s="92">
        <f t="shared" ref="H32" si="33">(1.1*(E32+F32)*391)/1000-G32</f>
        <v>376.69930209207291</v>
      </c>
      <c r="I32" s="60">
        <f t="shared" ref="I32" si="34">IF(F32=0,0.48*(1-30/250),0.6*(1-30/250))</f>
        <v>0.4224</v>
      </c>
      <c r="J32" s="56">
        <v>450</v>
      </c>
      <c r="K32" s="56">
        <f t="shared" ref="K32" si="35">300-80</f>
        <v>220</v>
      </c>
      <c r="L32" s="60">
        <f>D32*1000/(450*300*17)</f>
        <v>8.6292810457516342E-2</v>
      </c>
      <c r="M32" s="94">
        <f>(I32*17*J32*K32*SQRT(1-L32/I32))/1000</f>
        <v>634.13974250576655</v>
      </c>
      <c r="N32" s="73" t="str">
        <f>IF(M32&gt;H32,"OK","NO")</f>
        <v>OK</v>
      </c>
    </row>
    <row r="33" spans="1:14" x14ac:dyDescent="0.25">
      <c r="A33" s="62"/>
      <c r="B33" s="26" t="s">
        <v>17</v>
      </c>
      <c r="C33" s="26" t="s">
        <v>17</v>
      </c>
      <c r="D33" s="56"/>
      <c r="E33" s="58"/>
      <c r="F33" s="58"/>
      <c r="G33" s="56"/>
      <c r="H33" s="92"/>
      <c r="I33" s="60"/>
      <c r="J33" s="56"/>
      <c r="K33" s="56"/>
      <c r="L33" s="60"/>
      <c r="M33" s="94"/>
      <c r="N33" s="57"/>
    </row>
    <row r="34" spans="1:14" x14ac:dyDescent="0.25">
      <c r="A34" s="62"/>
      <c r="B34" s="26" t="s">
        <v>35</v>
      </c>
      <c r="C34" s="26" t="s">
        <v>48</v>
      </c>
      <c r="D34" s="56">
        <v>262.30900000000003</v>
      </c>
      <c r="E34" s="58">
        <f>1137.25654059951</f>
        <v>1137.2565405995099</v>
      </c>
      <c r="F34" s="58">
        <v>615.75216010359895</v>
      </c>
      <c r="G34" s="56">
        <v>52.168999999999997</v>
      </c>
      <c r="H34" s="92">
        <f t="shared" ref="H34" si="36">(1.1*(E34+F34)*391)/1000-G34</f>
        <v>701.80004217240719</v>
      </c>
      <c r="I34" s="60">
        <f t="shared" ref="I34" si="37">IF(F34=0,0.48*(1-30/250),0.6*(1-30/250))</f>
        <v>0.52800000000000002</v>
      </c>
      <c r="J34" s="56">
        <v>300</v>
      </c>
      <c r="K34" s="56">
        <f>450-80</f>
        <v>370</v>
      </c>
      <c r="L34" s="60">
        <f>D34*1000/(450*300*17)</f>
        <v>0.1142958605664488</v>
      </c>
      <c r="M34" s="94">
        <f>(I34*17*J34*K34*SQRT(1-L34/I34))/1000</f>
        <v>881.92934747041954</v>
      </c>
      <c r="N34" s="73" t="str">
        <f>IF(M34&gt;H34,"OK","NO")</f>
        <v>OK</v>
      </c>
    </row>
    <row r="35" spans="1:14" x14ac:dyDescent="0.25">
      <c r="A35" s="62"/>
      <c r="B35" s="26" t="s">
        <v>49</v>
      </c>
      <c r="C35" s="26" t="s">
        <v>48</v>
      </c>
      <c r="D35" s="56"/>
      <c r="E35" s="58"/>
      <c r="F35" s="58"/>
      <c r="G35" s="56"/>
      <c r="H35" s="92"/>
      <c r="I35" s="60"/>
      <c r="J35" s="56"/>
      <c r="K35" s="56"/>
      <c r="L35" s="60"/>
      <c r="M35" s="94"/>
      <c r="N35" s="57"/>
    </row>
    <row r="36" spans="1:14" x14ac:dyDescent="0.25">
      <c r="A36" s="62"/>
      <c r="B36" s="26" t="s">
        <v>38</v>
      </c>
      <c r="C36" s="26" t="s">
        <v>18</v>
      </c>
      <c r="D36" s="56">
        <v>359.79700000000003</v>
      </c>
      <c r="E36" s="58">
        <f>1137.25654059951</f>
        <v>1137.2565405995099</v>
      </c>
      <c r="F36" s="58">
        <v>615.75216010359895</v>
      </c>
      <c r="G36" s="56">
        <v>47.494999999999997</v>
      </c>
      <c r="H36" s="92">
        <f t="shared" ref="H36" si="38">(1.1*(E36+F36)*391)/1000-G36</f>
        <v>706.47404217240717</v>
      </c>
      <c r="I36" s="60">
        <f t="shared" ref="I36" si="39">IF(F36=0,0.48*(1-30/250),0.6*(1-30/250))</f>
        <v>0.52800000000000002</v>
      </c>
      <c r="J36" s="56">
        <v>300</v>
      </c>
      <c r="K36" s="56">
        <f t="shared" ref="K36" si="40">450-80</f>
        <v>370</v>
      </c>
      <c r="L36" s="60">
        <f>D36*1000/(450*300*17)</f>
        <v>0.15677429193899783</v>
      </c>
      <c r="M36" s="94">
        <f>(I36*17*J36*K36*SQRT(1-L36/I36))/1000</f>
        <v>835.42580068178427</v>
      </c>
      <c r="N36" s="73" t="str">
        <f>IF(M36&gt;H36,"OK","NO")</f>
        <v>OK</v>
      </c>
    </row>
    <row r="37" spans="1:14" x14ac:dyDescent="0.25">
      <c r="A37" s="62"/>
      <c r="B37" s="26" t="s">
        <v>50</v>
      </c>
      <c r="C37" s="26" t="s">
        <v>18</v>
      </c>
      <c r="D37" s="56"/>
      <c r="E37" s="58"/>
      <c r="F37" s="58"/>
      <c r="G37" s="56"/>
      <c r="H37" s="92"/>
      <c r="I37" s="60"/>
      <c r="J37" s="56"/>
      <c r="K37" s="56"/>
      <c r="L37" s="60"/>
      <c r="M37" s="94"/>
      <c r="N37" s="57"/>
    </row>
    <row r="38" spans="1:14" x14ac:dyDescent="0.25">
      <c r="A38" s="62"/>
      <c r="B38" s="26" t="s">
        <v>41</v>
      </c>
      <c r="C38" s="26" t="s">
        <v>19</v>
      </c>
      <c r="D38" s="56">
        <v>415.80900000000003</v>
      </c>
      <c r="E38" s="58">
        <f>1256.63706143592</f>
        <v>1256.63706143592</v>
      </c>
      <c r="F38" s="58">
        <v>615.75216010359895</v>
      </c>
      <c r="G38" s="56">
        <v>43.7</v>
      </c>
      <c r="H38" s="92">
        <f t="shared" ref="H38" si="41">(1.1*(E38+F38)*391)/1000-G38</f>
        <v>761.6146041841472</v>
      </c>
      <c r="I38" s="60">
        <f t="shared" ref="I38" si="42">IF(F38=0,0.48*(1-30/250),0.6*(1-30/250))</f>
        <v>0.52800000000000002</v>
      </c>
      <c r="J38" s="56">
        <v>300</v>
      </c>
      <c r="K38" s="56">
        <f t="shared" ref="K38" si="43">450-80</f>
        <v>370</v>
      </c>
      <c r="L38" s="60">
        <f>D38*1000/(450*300*17)</f>
        <v>0.18118039215686274</v>
      </c>
      <c r="M38" s="94">
        <f>(I38*17*J38*K38*SQRT(1-L38/I38))/1000</f>
        <v>807.49656366426734</v>
      </c>
      <c r="N38" s="73" t="str">
        <f>IF(M38&gt;H38,"OK","NO")</f>
        <v>OK</v>
      </c>
    </row>
    <row r="39" spans="1:14" x14ac:dyDescent="0.25">
      <c r="A39" s="62"/>
      <c r="B39" s="26" t="s">
        <v>51</v>
      </c>
      <c r="C39" s="26" t="s">
        <v>19</v>
      </c>
      <c r="D39" s="56"/>
      <c r="E39" s="58"/>
      <c r="F39" s="58"/>
      <c r="G39" s="56"/>
      <c r="H39" s="92"/>
      <c r="I39" s="60"/>
      <c r="J39" s="56"/>
      <c r="K39" s="56"/>
      <c r="L39" s="60"/>
      <c r="M39" s="94"/>
      <c r="N39" s="57"/>
    </row>
    <row r="40" spans="1:14" x14ac:dyDescent="0.25">
      <c r="A40" s="62"/>
      <c r="B40" s="26" t="s">
        <v>44</v>
      </c>
      <c r="C40" s="26" t="s">
        <v>20</v>
      </c>
      <c r="D40" s="56">
        <v>415.57600000000002</v>
      </c>
      <c r="E40" s="58">
        <f>1256.63706143592</f>
        <v>1256.63706143592</v>
      </c>
      <c r="F40" s="58">
        <v>615.75216010359895</v>
      </c>
      <c r="G40" s="56">
        <v>48.945</v>
      </c>
      <c r="H40" s="92">
        <f t="shared" ref="H40" si="44">(1.1*(E40+F40)*391)/1000-G40</f>
        <v>756.36960418414719</v>
      </c>
      <c r="I40" s="60">
        <f t="shared" ref="I40" si="45">IF(F40=0,0.48*(1-30/250),0.6*(1-30/250))</f>
        <v>0.52800000000000002</v>
      </c>
      <c r="J40" s="56">
        <v>300</v>
      </c>
      <c r="K40" s="56">
        <f t="shared" ref="K40" si="46">450-80</f>
        <v>370</v>
      </c>
      <c r="L40" s="60">
        <f>D40*1000/(450*300*17)</f>
        <v>0.18107886710239651</v>
      </c>
      <c r="M40" s="94">
        <f>(I40*17*J40*K40*SQRT(1-L40/I40))/1000</f>
        <v>807.61474489164698</v>
      </c>
      <c r="N40" s="73" t="str">
        <f>IF(M40&gt;H40,"OK","NO")</f>
        <v>OK</v>
      </c>
    </row>
    <row r="41" spans="1:14" x14ac:dyDescent="0.25">
      <c r="A41" s="62"/>
      <c r="B41" s="26" t="s">
        <v>52</v>
      </c>
      <c r="C41" s="26" t="s">
        <v>20</v>
      </c>
      <c r="D41" s="56"/>
      <c r="E41" s="58"/>
      <c r="F41" s="58"/>
      <c r="G41" s="56"/>
      <c r="H41" s="92"/>
      <c r="I41" s="60"/>
      <c r="J41" s="56"/>
      <c r="K41" s="56"/>
      <c r="L41" s="60"/>
      <c r="M41" s="94"/>
      <c r="N41" s="57"/>
    </row>
    <row r="42" spans="1:14" x14ac:dyDescent="0.25">
      <c r="A42" s="62"/>
      <c r="B42" s="26" t="s">
        <v>47</v>
      </c>
      <c r="C42" s="26" t="s">
        <v>21</v>
      </c>
      <c r="D42" s="56">
        <v>263.59899999999999</v>
      </c>
      <c r="E42" s="58">
        <f>1137.25654059951</f>
        <v>1137.2565405995099</v>
      </c>
      <c r="F42" s="58">
        <v>615.75216010359895</v>
      </c>
      <c r="G42" s="56">
        <v>57.374000000000002</v>
      </c>
      <c r="H42" s="92">
        <f t="shared" ref="H42" si="47">(1.1*(E42+F42)*391)/1000-G42</f>
        <v>696.59504217240715</v>
      </c>
      <c r="I42" s="60">
        <f t="shared" ref="I42" si="48">IF(F42=0,0.48*(1-30/250),0.6*(1-30/250))</f>
        <v>0.52800000000000002</v>
      </c>
      <c r="J42" s="56">
        <v>300</v>
      </c>
      <c r="K42" s="56">
        <f t="shared" ref="K42" si="49">450-80</f>
        <v>370</v>
      </c>
      <c r="L42" s="60">
        <f>D42*1000/(450*300*17)</f>
        <v>0.11485795206971677</v>
      </c>
      <c r="M42" s="94">
        <f>(I42*17*J42*K42*SQRT(1-L42/I42))/1000</f>
        <v>881.33001398204976</v>
      </c>
      <c r="N42" s="73" t="str">
        <f>IF(M42&gt;H42,"OK","NO")</f>
        <v>OK</v>
      </c>
    </row>
    <row r="43" spans="1:14" x14ac:dyDescent="0.25">
      <c r="A43" s="62"/>
      <c r="B43" s="26" t="s">
        <v>53</v>
      </c>
      <c r="C43" s="26" t="s">
        <v>21</v>
      </c>
      <c r="D43" s="56"/>
      <c r="E43" s="58"/>
      <c r="F43" s="58"/>
      <c r="G43" s="56"/>
      <c r="H43" s="92"/>
      <c r="I43" s="60"/>
      <c r="J43" s="56"/>
      <c r="K43" s="56"/>
      <c r="L43" s="60"/>
      <c r="M43" s="94"/>
      <c r="N43" s="57"/>
    </row>
    <row r="44" spans="1:14" ht="15" customHeight="1" x14ac:dyDescent="0.25">
      <c r="A44" s="63" t="s">
        <v>26</v>
      </c>
      <c r="B44" s="26" t="s">
        <v>13</v>
      </c>
      <c r="C44" s="26" t="s">
        <v>54</v>
      </c>
      <c r="D44" s="56">
        <v>65.247</v>
      </c>
      <c r="E44" s="54">
        <v>615.75216010359895</v>
      </c>
      <c r="F44" s="58">
        <v>0</v>
      </c>
      <c r="G44" s="56">
        <v>8.9529999999999994</v>
      </c>
      <c r="H44" s="92">
        <f t="shared" ref="H44" si="50">(1.1*(E44+F44)*391)/1000-G44</f>
        <v>255.88200406055793</v>
      </c>
      <c r="I44" s="60">
        <f t="shared" ref="I44" si="51">IF(F44=0,0.48*(1-30/250),0.6*(1-30/250))</f>
        <v>0.4224</v>
      </c>
      <c r="J44" s="56">
        <v>400</v>
      </c>
      <c r="K44" s="56">
        <f>300-80</f>
        <v>220</v>
      </c>
      <c r="L44" s="60">
        <f>D44*1000/(400*300*17)</f>
        <v>3.1983823529411766E-2</v>
      </c>
      <c r="M44" s="94">
        <f>(I44*17*J44*K44*SQRT(1-L44/I44))/1000</f>
        <v>607.51562217859055</v>
      </c>
      <c r="N44" s="73" t="str">
        <f>IF(M44&gt;H44,"OK","NO")</f>
        <v>OK</v>
      </c>
    </row>
    <row r="45" spans="1:14" x14ac:dyDescent="0.25">
      <c r="A45" s="63"/>
      <c r="B45" s="26" t="s">
        <v>18</v>
      </c>
      <c r="C45" s="26" t="s">
        <v>54</v>
      </c>
      <c r="D45" s="56"/>
      <c r="E45" s="54"/>
      <c r="F45" s="58"/>
      <c r="G45" s="56"/>
      <c r="H45" s="92"/>
      <c r="I45" s="60"/>
      <c r="J45" s="56"/>
      <c r="K45" s="56"/>
      <c r="L45" s="60"/>
      <c r="M45" s="94"/>
      <c r="N45" s="57"/>
    </row>
    <row r="46" spans="1:14" x14ac:dyDescent="0.25">
      <c r="A46" s="63"/>
      <c r="B46" s="26" t="s">
        <v>14</v>
      </c>
      <c r="C46" s="26" t="s">
        <v>55</v>
      </c>
      <c r="D46" s="56">
        <v>84.224999999999994</v>
      </c>
      <c r="E46" s="54">
        <v>615.75216010359895</v>
      </c>
      <c r="F46" s="58">
        <v>0</v>
      </c>
      <c r="G46" s="56">
        <v>4.9359999999999999</v>
      </c>
      <c r="H46" s="92">
        <f t="shared" ref="H46" si="52">(1.1*(E46+F46)*391)/1000-G46</f>
        <v>259.89900406055796</v>
      </c>
      <c r="I46" s="60">
        <f t="shared" ref="I46" si="53">IF(F46=0,0.48*(1-30/250),0.6*(1-30/250))</f>
        <v>0.4224</v>
      </c>
      <c r="J46" s="56">
        <v>400</v>
      </c>
      <c r="K46" s="56">
        <f t="shared" ref="K46" si="54">300-80</f>
        <v>220</v>
      </c>
      <c r="L46" s="60">
        <f>D46*1000/(400*300*17)</f>
        <v>4.1286764705882356E-2</v>
      </c>
      <c r="M46" s="94">
        <f>(I46*17*J46*K46*SQRT(1-L46/I46))/1000</f>
        <v>600.23396086206242</v>
      </c>
      <c r="N46" s="73" t="str">
        <f>IF(M46&gt;H46,"OK","NO")</f>
        <v>OK</v>
      </c>
    </row>
    <row r="47" spans="1:14" x14ac:dyDescent="0.25">
      <c r="A47" s="63"/>
      <c r="B47" s="26" t="s">
        <v>19</v>
      </c>
      <c r="C47" s="26" t="s">
        <v>55</v>
      </c>
      <c r="D47" s="56"/>
      <c r="E47" s="54"/>
      <c r="F47" s="58"/>
      <c r="G47" s="56"/>
      <c r="H47" s="92"/>
      <c r="I47" s="60"/>
      <c r="J47" s="56"/>
      <c r="K47" s="56"/>
      <c r="L47" s="60"/>
      <c r="M47" s="94"/>
      <c r="N47" s="57"/>
    </row>
    <row r="48" spans="1:14" x14ac:dyDescent="0.25">
      <c r="A48" s="63"/>
      <c r="B48" s="26" t="s">
        <v>15</v>
      </c>
      <c r="C48" s="26" t="s">
        <v>56</v>
      </c>
      <c r="D48" s="56">
        <v>96.266999999999996</v>
      </c>
      <c r="E48" s="54">
        <v>735.13268094001205</v>
      </c>
      <c r="F48" s="58">
        <v>0</v>
      </c>
      <c r="G48" s="56">
        <v>2.7410000000000001</v>
      </c>
      <c r="H48" s="92">
        <f t="shared" ref="H48" si="55">(1.1*(E48+F48)*391)/1000-G48</f>
        <v>313.43956607229921</v>
      </c>
      <c r="I48" s="60">
        <f t="shared" ref="I48" si="56">IF(F48=0,0.48*(1-30/250),0.6*(1-30/250))</f>
        <v>0.4224</v>
      </c>
      <c r="J48" s="56">
        <v>400</v>
      </c>
      <c r="K48" s="56">
        <f t="shared" ref="K48" si="57">300-80</f>
        <v>220</v>
      </c>
      <c r="L48" s="60">
        <f>D48*1000/(400*300*17)</f>
        <v>4.7189705882352939E-2</v>
      </c>
      <c r="M48" s="94">
        <f>(I48*17*J48*K48*SQRT(1-L48/I48))/1000</f>
        <v>595.56740459148693</v>
      </c>
      <c r="N48" s="73" t="str">
        <f>IF(M48&gt;H48,"OK","NO")</f>
        <v>OK</v>
      </c>
    </row>
    <row r="49" spans="1:14" x14ac:dyDescent="0.25">
      <c r="A49" s="63"/>
      <c r="B49" s="26" t="s">
        <v>20</v>
      </c>
      <c r="C49" s="26" t="s">
        <v>56</v>
      </c>
      <c r="D49" s="56"/>
      <c r="E49" s="54"/>
      <c r="F49" s="58"/>
      <c r="G49" s="56"/>
      <c r="H49" s="92"/>
      <c r="I49" s="60"/>
      <c r="J49" s="56"/>
      <c r="K49" s="56"/>
      <c r="L49" s="60"/>
      <c r="M49" s="94"/>
      <c r="N49" s="57"/>
    </row>
    <row r="50" spans="1:14" x14ac:dyDescent="0.25">
      <c r="A50" s="63"/>
      <c r="B50" s="26" t="s">
        <v>16</v>
      </c>
      <c r="C50" s="26" t="s">
        <v>57</v>
      </c>
      <c r="D50" s="56">
        <v>96.921000000000006</v>
      </c>
      <c r="E50" s="54">
        <v>735.13268094001205</v>
      </c>
      <c r="F50" s="58">
        <v>0</v>
      </c>
      <c r="G50" s="56">
        <v>4.2300000000000004</v>
      </c>
      <c r="H50" s="92">
        <f t="shared" ref="H50" si="58">(1.1*(E50+F50)*391)/1000-G50</f>
        <v>311.95056607229918</v>
      </c>
      <c r="I50" s="60">
        <f t="shared" ref="I50" si="59">IF(F50=0,0.48*(1-30/250),0.6*(1-30/250))</f>
        <v>0.4224</v>
      </c>
      <c r="J50" s="56">
        <v>400</v>
      </c>
      <c r="K50" s="56">
        <f t="shared" ref="K50" si="60">300-80</f>
        <v>220</v>
      </c>
      <c r="L50" s="60">
        <f>D50*1000/(400*300*17)</f>
        <v>4.751029411764706E-2</v>
      </c>
      <c r="M50" s="94">
        <f>(I50*17*J50*K50*SQRT(1-L50/I50))/1000</f>
        <v>595.312917031035</v>
      </c>
      <c r="N50" s="73" t="str">
        <f>IF(M50&gt;H50,"OK","NO")</f>
        <v>OK</v>
      </c>
    </row>
    <row r="51" spans="1:14" x14ac:dyDescent="0.25">
      <c r="A51" s="63"/>
      <c r="B51" s="26" t="s">
        <v>21</v>
      </c>
      <c r="C51" s="26" t="s">
        <v>57</v>
      </c>
      <c r="D51" s="56"/>
      <c r="E51" s="54"/>
      <c r="F51" s="58"/>
      <c r="G51" s="56"/>
      <c r="H51" s="92"/>
      <c r="I51" s="60"/>
      <c r="J51" s="56"/>
      <c r="K51" s="56"/>
      <c r="L51" s="60"/>
      <c r="M51" s="94"/>
      <c r="N51" s="57"/>
    </row>
    <row r="52" spans="1:14" x14ac:dyDescent="0.25">
      <c r="A52" s="63"/>
      <c r="B52" s="26" t="s">
        <v>17</v>
      </c>
      <c r="C52" s="26" t="s">
        <v>58</v>
      </c>
      <c r="D52" s="56">
        <v>65.165000000000006</v>
      </c>
      <c r="E52" s="54">
        <v>615.75216010359895</v>
      </c>
      <c r="F52" s="58">
        <v>0</v>
      </c>
      <c r="G52" s="56">
        <v>10.332000000000001</v>
      </c>
      <c r="H52" s="92">
        <f t="shared" ref="H52" si="61">(1.1*(E52+F52)*391)/1000-G52</f>
        <v>254.50300406055794</v>
      </c>
      <c r="I52" s="60">
        <f t="shared" ref="I52" si="62">IF(F52=0,0.48*(1-30/250),0.6*(1-30/250))</f>
        <v>0.4224</v>
      </c>
      <c r="J52" s="56">
        <v>400</v>
      </c>
      <c r="K52" s="56">
        <f t="shared" ref="K52" si="63">300-80</f>
        <v>220</v>
      </c>
      <c r="L52" s="60">
        <f>D52*1000/(400*300*17)</f>
        <v>3.1943627450980394E-2</v>
      </c>
      <c r="M52" s="94">
        <f>(I52*17*J52*K52*SQRT(1-L52/I52))/1000</f>
        <v>607.54689536673618</v>
      </c>
      <c r="N52" s="73" t="str">
        <f>IF(M52&gt;H52,"OK","NO")</f>
        <v>OK</v>
      </c>
    </row>
    <row r="53" spans="1:14" x14ac:dyDescent="0.25">
      <c r="A53" s="63"/>
      <c r="B53" s="26" t="s">
        <v>22</v>
      </c>
      <c r="C53" s="26" t="s">
        <v>58</v>
      </c>
      <c r="D53" s="56"/>
      <c r="E53" s="54"/>
      <c r="F53" s="58"/>
      <c r="G53" s="56"/>
      <c r="H53" s="92"/>
      <c r="I53" s="60"/>
      <c r="J53" s="56"/>
      <c r="K53" s="56"/>
      <c r="L53" s="60"/>
      <c r="M53" s="94"/>
      <c r="N53" s="57"/>
    </row>
    <row r="54" spans="1:14" x14ac:dyDescent="0.25">
      <c r="A54" s="63"/>
      <c r="B54" s="26" t="s">
        <v>49</v>
      </c>
      <c r="C54" s="26" t="s">
        <v>22</v>
      </c>
      <c r="D54" s="56">
        <v>102.518</v>
      </c>
      <c r="E54" s="58">
        <v>1017.87601976309</v>
      </c>
      <c r="F54" s="58">
        <v>534.07075111026495</v>
      </c>
      <c r="G54" s="56">
        <v>22.844999999999999</v>
      </c>
      <c r="H54" s="92">
        <f t="shared" ref="H54" si="64">(1.1*(E54+F54)*391)/1000-G54</f>
        <v>644.64730615262999</v>
      </c>
      <c r="I54" s="60">
        <f t="shared" ref="I54" si="65">IF(F54=0,0.48*(1-30/250),0.6*(1-30/250))</f>
        <v>0.52800000000000002</v>
      </c>
      <c r="J54" s="56">
        <v>300</v>
      </c>
      <c r="K54" s="56">
        <f>400-80</f>
        <v>320</v>
      </c>
      <c r="L54" s="60">
        <f>D54*1000/(400*300*17)</f>
        <v>5.0253921568627451E-2</v>
      </c>
      <c r="M54" s="94">
        <f>(I54*17*J54*K54*SQRT(1-L54/I54))/1000</f>
        <v>819.66366028609571</v>
      </c>
      <c r="N54" s="73" t="str">
        <f>IF(M54&gt;H54,"OK","NO")</f>
        <v>OK</v>
      </c>
    </row>
    <row r="55" spans="1:14" x14ac:dyDescent="0.25">
      <c r="A55" s="63"/>
      <c r="B55" s="26" t="s">
        <v>59</v>
      </c>
      <c r="C55" s="26" t="s">
        <v>22</v>
      </c>
      <c r="D55" s="56"/>
      <c r="E55" s="58"/>
      <c r="F55" s="58"/>
      <c r="G55" s="56"/>
      <c r="H55" s="92"/>
      <c r="I55" s="60"/>
      <c r="J55" s="56"/>
      <c r="K55" s="56"/>
      <c r="L55" s="60"/>
      <c r="M55" s="94"/>
      <c r="N55" s="57"/>
    </row>
    <row r="56" spans="1:14" x14ac:dyDescent="0.25">
      <c r="A56" s="63"/>
      <c r="B56" s="26" t="s">
        <v>50</v>
      </c>
      <c r="C56" s="26" t="s">
        <v>33</v>
      </c>
      <c r="D56" s="56">
        <v>165.36099999999999</v>
      </c>
      <c r="E56" s="58">
        <v>1017.87601976309</v>
      </c>
      <c r="F56" s="58">
        <v>534.07075111026495</v>
      </c>
      <c r="G56" s="56">
        <v>18.577000000000002</v>
      </c>
      <c r="H56" s="92">
        <f t="shared" ref="H56" si="66">(1.1*(E56+F56)*391)/1000-G56</f>
        <v>648.91530615263002</v>
      </c>
      <c r="I56" s="60">
        <f t="shared" ref="I56" si="67">IF(F56=0,0.48*(1-30/250),0.6*(1-30/250))</f>
        <v>0.52800000000000002</v>
      </c>
      <c r="J56" s="56">
        <v>300</v>
      </c>
      <c r="K56" s="56">
        <f t="shared" ref="K56" si="68">400-80</f>
        <v>320</v>
      </c>
      <c r="L56" s="60">
        <f>D56*1000/(400*300*17)</f>
        <v>8.105931372549019E-2</v>
      </c>
      <c r="M56" s="94">
        <f>(I56*17*J56*K56*SQRT(1-L56/I56))/1000</f>
        <v>792.79711566781077</v>
      </c>
      <c r="N56" s="73" t="str">
        <f>IF(M56&gt;H56,"OK","NO")</f>
        <v>OK</v>
      </c>
    </row>
    <row r="57" spans="1:14" x14ac:dyDescent="0.25">
      <c r="A57" s="63"/>
      <c r="B57" s="26" t="s">
        <v>60</v>
      </c>
      <c r="C57" s="26" t="s">
        <v>33</v>
      </c>
      <c r="D57" s="56"/>
      <c r="E57" s="58"/>
      <c r="F57" s="58"/>
      <c r="G57" s="56"/>
      <c r="H57" s="92"/>
      <c r="I57" s="60"/>
      <c r="J57" s="56"/>
      <c r="K57" s="56"/>
      <c r="L57" s="60"/>
      <c r="M57" s="94"/>
      <c r="N57" s="57"/>
    </row>
    <row r="58" spans="1:14" x14ac:dyDescent="0.25">
      <c r="A58" s="63"/>
      <c r="B58" s="26" t="s">
        <v>51</v>
      </c>
      <c r="C58" s="26" t="s">
        <v>36</v>
      </c>
      <c r="D58" s="56">
        <v>191.422</v>
      </c>
      <c r="E58" s="58">
        <v>1137.2565405995099</v>
      </c>
      <c r="F58" s="58">
        <f>615.752160103599</f>
        <v>615.75216010359895</v>
      </c>
      <c r="G58" s="56">
        <v>16.13</v>
      </c>
      <c r="H58" s="92">
        <f t="shared" ref="H58" si="69">(1.1*(E58+F58)*391)/1000-G58</f>
        <v>737.83904217240718</v>
      </c>
      <c r="I58" s="60">
        <f t="shared" ref="I58" si="70">IF(F58=0,0.48*(1-30/250),0.6*(1-30/250))</f>
        <v>0.52800000000000002</v>
      </c>
      <c r="J58" s="56">
        <v>300</v>
      </c>
      <c r="K58" s="56">
        <f t="shared" ref="K58" si="71">400-80</f>
        <v>320</v>
      </c>
      <c r="L58" s="60">
        <f>D58*1000/(400*300*17)</f>
        <v>9.3834313725490198E-2</v>
      </c>
      <c r="M58" s="94">
        <f>(I58*17*J58*K58*SQRT(1-L58/I58))/1000</f>
        <v>781.38462938964949</v>
      </c>
      <c r="N58" s="73" t="str">
        <f>IF(M58&gt;H58,"OK","NO")</f>
        <v>OK</v>
      </c>
    </row>
    <row r="59" spans="1:14" x14ac:dyDescent="0.25">
      <c r="A59" s="63"/>
      <c r="B59" s="26" t="s">
        <v>61</v>
      </c>
      <c r="C59" s="26" t="s">
        <v>36</v>
      </c>
      <c r="D59" s="56"/>
      <c r="E59" s="58"/>
      <c r="F59" s="58"/>
      <c r="G59" s="56"/>
      <c r="H59" s="92"/>
      <c r="I59" s="60"/>
      <c r="J59" s="56"/>
      <c r="K59" s="56"/>
      <c r="L59" s="60"/>
      <c r="M59" s="94"/>
      <c r="N59" s="57"/>
    </row>
    <row r="60" spans="1:14" x14ac:dyDescent="0.25">
      <c r="A60" s="63"/>
      <c r="B60" s="26" t="s">
        <v>52</v>
      </c>
      <c r="C60" s="26" t="s">
        <v>39</v>
      </c>
      <c r="D60" s="56">
        <v>190.93199999999999</v>
      </c>
      <c r="E60" s="58">
        <v>1137.2565405995099</v>
      </c>
      <c r="F60" s="58">
        <f>615.752160103599</f>
        <v>615.75216010359895</v>
      </c>
      <c r="G60" s="56">
        <v>18.57</v>
      </c>
      <c r="H60" s="92">
        <f t="shared" ref="H60" si="72">(1.1*(E60+F60)*391)/1000-G60</f>
        <v>735.39904217240712</v>
      </c>
      <c r="I60" s="60">
        <f t="shared" ref="I60" si="73">IF(F60=0,0.48*(1-30/250),0.6*(1-30/250))</f>
        <v>0.52800000000000002</v>
      </c>
      <c r="J60" s="56">
        <v>300</v>
      </c>
      <c r="K60" s="56">
        <f t="shared" ref="K60" si="74">400-80</f>
        <v>320</v>
      </c>
      <c r="L60" s="60">
        <f>D60*1000/(400*300*17)</f>
        <v>9.3594117647058828E-2</v>
      </c>
      <c r="M60" s="94">
        <f>(I60*17*J60*K60*SQRT(1-L60/I60))/1000</f>
        <v>781.60074454826361</v>
      </c>
      <c r="N60" s="73" t="str">
        <f>IF(M60&gt;H60,"OK","NO")</f>
        <v>OK</v>
      </c>
    </row>
    <row r="61" spans="1:14" x14ac:dyDescent="0.25">
      <c r="A61" s="63"/>
      <c r="B61" s="26" t="s">
        <v>62</v>
      </c>
      <c r="C61" s="26" t="s">
        <v>39</v>
      </c>
      <c r="D61" s="56"/>
      <c r="E61" s="58"/>
      <c r="F61" s="58"/>
      <c r="G61" s="56"/>
      <c r="H61" s="92"/>
      <c r="I61" s="60"/>
      <c r="J61" s="56"/>
      <c r="K61" s="56"/>
      <c r="L61" s="60"/>
      <c r="M61" s="94"/>
      <c r="N61" s="57"/>
    </row>
    <row r="62" spans="1:14" x14ac:dyDescent="0.25">
      <c r="A62" s="63"/>
      <c r="B62" s="26" t="s">
        <v>53</v>
      </c>
      <c r="C62" s="26" t="s">
        <v>42</v>
      </c>
      <c r="D62" s="56">
        <v>102.962</v>
      </c>
      <c r="E62" s="58">
        <v>1017.87601976309</v>
      </c>
      <c r="F62" s="58">
        <v>534.07075111026495</v>
      </c>
      <c r="G62" s="56">
        <v>25.384</v>
      </c>
      <c r="H62" s="92">
        <f t="shared" ref="H62" si="75">(1.1*(E62+F62)*391)/1000-G62</f>
        <v>642.10830615263001</v>
      </c>
      <c r="I62" s="60">
        <f t="shared" ref="I62" si="76">IF(F62=0,0.48*(1-30/250),0.6*(1-30/250))</f>
        <v>0.52800000000000002</v>
      </c>
      <c r="J62" s="56">
        <v>300</v>
      </c>
      <c r="K62" s="56">
        <f t="shared" ref="K62" si="77">400-80</f>
        <v>320</v>
      </c>
      <c r="L62" s="60">
        <f>D62*1000/(400*300*17)</f>
        <v>5.0471568627450981E-2</v>
      </c>
      <c r="M62" s="94">
        <f>(I62*17*J62*K62*SQRT(1-L62/I62))/1000</f>
        <v>819.47693169142974</v>
      </c>
      <c r="N62" s="73" t="str">
        <f>IF(M62&gt;H62,"OK","NO")</f>
        <v>OK</v>
      </c>
    </row>
    <row r="63" spans="1:14" x14ac:dyDescent="0.25">
      <c r="A63" s="63"/>
      <c r="B63" s="26" t="s">
        <v>63</v>
      </c>
      <c r="C63" s="26" t="s">
        <v>42</v>
      </c>
      <c r="D63" s="56"/>
      <c r="E63" s="58"/>
      <c r="F63" s="58"/>
      <c r="G63" s="56"/>
      <c r="H63" s="92"/>
      <c r="I63" s="60"/>
      <c r="J63" s="56"/>
      <c r="K63" s="56"/>
      <c r="L63" s="60"/>
      <c r="M63" s="94"/>
      <c r="N63" s="57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</sheetData>
  <mergeCells count="334">
    <mergeCell ref="J44:J45"/>
    <mergeCell ref="K44:K45"/>
    <mergeCell ref="J28:J29"/>
    <mergeCell ref="K28:K29"/>
    <mergeCell ref="J30:J31"/>
    <mergeCell ref="K30:K31"/>
    <mergeCell ref="J32:J33"/>
    <mergeCell ref="K32:K33"/>
    <mergeCell ref="M56:M57"/>
    <mergeCell ref="M44:M45"/>
    <mergeCell ref="M46:M47"/>
    <mergeCell ref="M48:M49"/>
    <mergeCell ref="M50:M51"/>
    <mergeCell ref="M52:M53"/>
    <mergeCell ref="M54:M55"/>
    <mergeCell ref="M28:M29"/>
    <mergeCell ref="M30:M31"/>
    <mergeCell ref="M32:M33"/>
    <mergeCell ref="M34:M35"/>
    <mergeCell ref="M36:M37"/>
    <mergeCell ref="M38:M39"/>
    <mergeCell ref="J52:J53"/>
    <mergeCell ref="K52:K53"/>
    <mergeCell ref="J46:J47"/>
    <mergeCell ref="D58:D59"/>
    <mergeCell ref="D60:D61"/>
    <mergeCell ref="D62:D63"/>
    <mergeCell ref="D56:D57"/>
    <mergeCell ref="J56:J57"/>
    <mergeCell ref="K56:K57"/>
    <mergeCell ref="J58:J59"/>
    <mergeCell ref="K58:K59"/>
    <mergeCell ref="J60:J61"/>
    <mergeCell ref="K60:K61"/>
    <mergeCell ref="J62:J63"/>
    <mergeCell ref="K62:K63"/>
    <mergeCell ref="I60:I61"/>
    <mergeCell ref="I62:I63"/>
    <mergeCell ref="I56:I57"/>
    <mergeCell ref="I58:I59"/>
    <mergeCell ref="G58:G59"/>
    <mergeCell ref="E58:E59"/>
    <mergeCell ref="F58:F59"/>
    <mergeCell ref="H58:H59"/>
    <mergeCell ref="M24:M25"/>
    <mergeCell ref="M26:M27"/>
    <mergeCell ref="L56:L57"/>
    <mergeCell ref="L58:L59"/>
    <mergeCell ref="L60:L61"/>
    <mergeCell ref="L50:L51"/>
    <mergeCell ref="L52:L53"/>
    <mergeCell ref="L54:L55"/>
    <mergeCell ref="M58:M59"/>
    <mergeCell ref="M60:M61"/>
    <mergeCell ref="M8:M9"/>
    <mergeCell ref="M10:M11"/>
    <mergeCell ref="M12:M13"/>
    <mergeCell ref="M14:M15"/>
    <mergeCell ref="L44:L45"/>
    <mergeCell ref="L46:L47"/>
    <mergeCell ref="L48:L49"/>
    <mergeCell ref="L20:L21"/>
    <mergeCell ref="L22:L23"/>
    <mergeCell ref="L24:L25"/>
    <mergeCell ref="L26:L27"/>
    <mergeCell ref="L28:L29"/>
    <mergeCell ref="L30:L31"/>
    <mergeCell ref="L8:L9"/>
    <mergeCell ref="L10:L11"/>
    <mergeCell ref="L12:L13"/>
    <mergeCell ref="L14:L15"/>
    <mergeCell ref="L16:L17"/>
    <mergeCell ref="L18:L19"/>
    <mergeCell ref="M40:M41"/>
    <mergeCell ref="M16:M17"/>
    <mergeCell ref="M18:M19"/>
    <mergeCell ref="M20:M21"/>
    <mergeCell ref="M22:M23"/>
    <mergeCell ref="I22:I23"/>
    <mergeCell ref="I24:I25"/>
    <mergeCell ref="I26:I27"/>
    <mergeCell ref="D46:D47"/>
    <mergeCell ref="D48:D49"/>
    <mergeCell ref="D50:D51"/>
    <mergeCell ref="D52:D53"/>
    <mergeCell ref="D54:D55"/>
    <mergeCell ref="D34:D35"/>
    <mergeCell ref="I48:I49"/>
    <mergeCell ref="I50:I51"/>
    <mergeCell ref="I52:I53"/>
    <mergeCell ref="I54:I55"/>
    <mergeCell ref="D42:D43"/>
    <mergeCell ref="D44:D45"/>
    <mergeCell ref="G52:G53"/>
    <mergeCell ref="E52:E53"/>
    <mergeCell ref="F52:F53"/>
    <mergeCell ref="H52:H53"/>
    <mergeCell ref="G46:G47"/>
    <mergeCell ref="G50:G51"/>
    <mergeCell ref="G30:G31"/>
    <mergeCell ref="I8:I9"/>
    <mergeCell ref="I10:I11"/>
    <mergeCell ref="I12:I13"/>
    <mergeCell ref="I14:I15"/>
    <mergeCell ref="D36:D37"/>
    <mergeCell ref="D38:D39"/>
    <mergeCell ref="D40:D41"/>
    <mergeCell ref="D22:D23"/>
    <mergeCell ref="D32:D33"/>
    <mergeCell ref="D26:D27"/>
    <mergeCell ref="G26:G27"/>
    <mergeCell ref="E26:E27"/>
    <mergeCell ref="F26:F27"/>
    <mergeCell ref="H26:H27"/>
    <mergeCell ref="D20:D21"/>
    <mergeCell ref="G20:G21"/>
    <mergeCell ref="D14:D15"/>
    <mergeCell ref="G14:G15"/>
    <mergeCell ref="D8:D9"/>
    <mergeCell ref="F8:F9"/>
    <mergeCell ref="G8:G9"/>
    <mergeCell ref="I28:I29"/>
    <mergeCell ref="I30:I31"/>
    <mergeCell ref="I32:I33"/>
    <mergeCell ref="N60:N61"/>
    <mergeCell ref="E62:E63"/>
    <mergeCell ref="F62:F63"/>
    <mergeCell ref="H62:H63"/>
    <mergeCell ref="G60:G61"/>
    <mergeCell ref="G62:G63"/>
    <mergeCell ref="N62:N63"/>
    <mergeCell ref="E60:E61"/>
    <mergeCell ref="F60:F61"/>
    <mergeCell ref="H60:H61"/>
    <mergeCell ref="M62:M63"/>
    <mergeCell ref="L62:L63"/>
    <mergeCell ref="N58:N59"/>
    <mergeCell ref="G56:G57"/>
    <mergeCell ref="N56:N57"/>
    <mergeCell ref="N54:N55"/>
    <mergeCell ref="E56:E57"/>
    <mergeCell ref="F56:F57"/>
    <mergeCell ref="H56:H57"/>
    <mergeCell ref="G54:G55"/>
    <mergeCell ref="J54:J55"/>
    <mergeCell ref="K54:K55"/>
    <mergeCell ref="E54:E55"/>
    <mergeCell ref="F54:F55"/>
    <mergeCell ref="H54:H55"/>
    <mergeCell ref="N50:N51"/>
    <mergeCell ref="J50:J51"/>
    <mergeCell ref="K50:K51"/>
    <mergeCell ref="N48:N49"/>
    <mergeCell ref="E50:E51"/>
    <mergeCell ref="F50:F51"/>
    <mergeCell ref="H50:H51"/>
    <mergeCell ref="G48:G49"/>
    <mergeCell ref="J48:J49"/>
    <mergeCell ref="K48:K49"/>
    <mergeCell ref="E48:E49"/>
    <mergeCell ref="F48:F49"/>
    <mergeCell ref="H48:H49"/>
    <mergeCell ref="A44:A63"/>
    <mergeCell ref="E44:E45"/>
    <mergeCell ref="F44:F45"/>
    <mergeCell ref="H44:H45"/>
    <mergeCell ref="M42:M43"/>
    <mergeCell ref="N42:N43"/>
    <mergeCell ref="E42:E43"/>
    <mergeCell ref="F42:F43"/>
    <mergeCell ref="H42:H43"/>
    <mergeCell ref="I42:I43"/>
    <mergeCell ref="L42:L43"/>
    <mergeCell ref="G42:G43"/>
    <mergeCell ref="J42:J43"/>
    <mergeCell ref="K42:K43"/>
    <mergeCell ref="K46:K47"/>
    <mergeCell ref="E46:E47"/>
    <mergeCell ref="F46:F47"/>
    <mergeCell ref="H46:H47"/>
    <mergeCell ref="I46:I47"/>
    <mergeCell ref="N46:N47"/>
    <mergeCell ref="G44:G45"/>
    <mergeCell ref="N44:N45"/>
    <mergeCell ref="I44:I45"/>
    <mergeCell ref="N52:N53"/>
    <mergeCell ref="N40:N41"/>
    <mergeCell ref="E40:E41"/>
    <mergeCell ref="F40:F41"/>
    <mergeCell ref="H40:H41"/>
    <mergeCell ref="I40:I41"/>
    <mergeCell ref="L40:L41"/>
    <mergeCell ref="G40:G41"/>
    <mergeCell ref="J40:J41"/>
    <mergeCell ref="K40:K41"/>
    <mergeCell ref="N38:N39"/>
    <mergeCell ref="E38:E39"/>
    <mergeCell ref="F38:F39"/>
    <mergeCell ref="H38:H39"/>
    <mergeCell ref="L38:L39"/>
    <mergeCell ref="G38:G39"/>
    <mergeCell ref="J38:J39"/>
    <mergeCell ref="K38:K39"/>
    <mergeCell ref="N36:N37"/>
    <mergeCell ref="E36:E37"/>
    <mergeCell ref="F36:F37"/>
    <mergeCell ref="H36:H37"/>
    <mergeCell ref="L36:L37"/>
    <mergeCell ref="G36:G37"/>
    <mergeCell ref="J36:J37"/>
    <mergeCell ref="K36:K37"/>
    <mergeCell ref="I36:I37"/>
    <mergeCell ref="I38:I39"/>
    <mergeCell ref="N28:N29"/>
    <mergeCell ref="E28:E29"/>
    <mergeCell ref="F28:F29"/>
    <mergeCell ref="H28:H29"/>
    <mergeCell ref="D28:D29"/>
    <mergeCell ref="G28:G29"/>
    <mergeCell ref="N34:N35"/>
    <mergeCell ref="E34:E35"/>
    <mergeCell ref="F34:F35"/>
    <mergeCell ref="H34:H35"/>
    <mergeCell ref="L34:L35"/>
    <mergeCell ref="G34:G35"/>
    <mergeCell ref="J34:J35"/>
    <mergeCell ref="K34:K35"/>
    <mergeCell ref="N32:N33"/>
    <mergeCell ref="E32:E33"/>
    <mergeCell ref="F32:F33"/>
    <mergeCell ref="H32:H33"/>
    <mergeCell ref="L32:L33"/>
    <mergeCell ref="G32:G33"/>
    <mergeCell ref="I34:I35"/>
    <mergeCell ref="N26:N27"/>
    <mergeCell ref="D24:D25"/>
    <mergeCell ref="G24:G25"/>
    <mergeCell ref="N24:N25"/>
    <mergeCell ref="J24:J25"/>
    <mergeCell ref="K24:K25"/>
    <mergeCell ref="N22:N23"/>
    <mergeCell ref="A24:A43"/>
    <mergeCell ref="E24:E25"/>
    <mergeCell ref="F24:F25"/>
    <mergeCell ref="H24:H25"/>
    <mergeCell ref="G22:G23"/>
    <mergeCell ref="J22:J23"/>
    <mergeCell ref="K22:K23"/>
    <mergeCell ref="J26:J27"/>
    <mergeCell ref="K26:K27"/>
    <mergeCell ref="E22:E23"/>
    <mergeCell ref="F22:F23"/>
    <mergeCell ref="H22:H23"/>
    <mergeCell ref="N30:N31"/>
    <mergeCell ref="E30:E31"/>
    <mergeCell ref="F30:F31"/>
    <mergeCell ref="H30:H31"/>
    <mergeCell ref="D30:D31"/>
    <mergeCell ref="J20:J21"/>
    <mergeCell ref="K20:K21"/>
    <mergeCell ref="E20:E21"/>
    <mergeCell ref="F20:F21"/>
    <mergeCell ref="H20:H21"/>
    <mergeCell ref="N20:N21"/>
    <mergeCell ref="D18:D19"/>
    <mergeCell ref="G18:G19"/>
    <mergeCell ref="N18:N19"/>
    <mergeCell ref="J18:J19"/>
    <mergeCell ref="K18:K19"/>
    <mergeCell ref="I18:I19"/>
    <mergeCell ref="I20:I21"/>
    <mergeCell ref="N16:N17"/>
    <mergeCell ref="E18:E19"/>
    <mergeCell ref="F18:F19"/>
    <mergeCell ref="H18:H19"/>
    <mergeCell ref="D16:D17"/>
    <mergeCell ref="G16:G17"/>
    <mergeCell ref="J16:J17"/>
    <mergeCell ref="K16:K17"/>
    <mergeCell ref="E16:E17"/>
    <mergeCell ref="F16:F17"/>
    <mergeCell ref="H16:H17"/>
    <mergeCell ref="I16:I17"/>
    <mergeCell ref="J14:J15"/>
    <mergeCell ref="K14:K15"/>
    <mergeCell ref="E14:E15"/>
    <mergeCell ref="F14:F15"/>
    <mergeCell ref="H14:H15"/>
    <mergeCell ref="N14:N15"/>
    <mergeCell ref="D12:D13"/>
    <mergeCell ref="F12:F13"/>
    <mergeCell ref="G12:G13"/>
    <mergeCell ref="N12:N13"/>
    <mergeCell ref="J12:J13"/>
    <mergeCell ref="K12:K13"/>
    <mergeCell ref="A4:A23"/>
    <mergeCell ref="E4:E5"/>
    <mergeCell ref="H4:H5"/>
    <mergeCell ref="J8:J9"/>
    <mergeCell ref="K8:K9"/>
    <mergeCell ref="E8:E9"/>
    <mergeCell ref="H8:H9"/>
    <mergeCell ref="N8:N9"/>
    <mergeCell ref="D6:D7"/>
    <mergeCell ref="F6:F7"/>
    <mergeCell ref="G6:G7"/>
    <mergeCell ref="N6:N7"/>
    <mergeCell ref="J6:J7"/>
    <mergeCell ref="K6:K7"/>
    <mergeCell ref="N10:N11"/>
    <mergeCell ref="E12:E13"/>
    <mergeCell ref="H12:H13"/>
    <mergeCell ref="D10:D11"/>
    <mergeCell ref="F10:F11"/>
    <mergeCell ref="G10:G11"/>
    <mergeCell ref="J10:J11"/>
    <mergeCell ref="K10:K11"/>
    <mergeCell ref="E10:E11"/>
    <mergeCell ref="H10:H11"/>
    <mergeCell ref="B1:N1"/>
    <mergeCell ref="N4:N5"/>
    <mergeCell ref="E6:E7"/>
    <mergeCell ref="H6:H7"/>
    <mergeCell ref="D4:D5"/>
    <mergeCell ref="F4:F5"/>
    <mergeCell ref="G4:G5"/>
    <mergeCell ref="J4:J5"/>
    <mergeCell ref="K4:K5"/>
    <mergeCell ref="I4:I5"/>
    <mergeCell ref="I6:I7"/>
    <mergeCell ref="M4:M5"/>
    <mergeCell ref="M6:M7"/>
    <mergeCell ref="L4:L5"/>
    <mergeCell ref="L6:L7"/>
  </mergeCells>
  <phoneticPr fontId="4" type="noConversion"/>
  <conditionalFormatting sqref="N4">
    <cfRule type="cellIs" dxfId="19" priority="24" operator="equal">
      <formula>"OK"</formula>
    </cfRule>
    <cfRule type="cellIs" dxfId="18" priority="25" operator="equal">
      <formula>"NO"</formula>
    </cfRule>
    <cfRule type="colorScale" priority="26">
      <colorScale>
        <cfvo type="num" val="&quot;NO&quot;"/>
        <cfvo type="num" val="&quot;OK&quot;"/>
        <color rgb="FFFF0000"/>
        <color rgb="FF43FF59"/>
      </colorScale>
    </cfRule>
  </conditionalFormatting>
  <conditionalFormatting sqref="A4:A63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6 N8 N10 N12 N14 N16 N18 N20 N22 N24 N26 N28 N30 N32 N34 N36 N38 N40 N42 N44 N46 N48 N50 N52 N54 N56 N58 N60 N62">
    <cfRule type="cellIs" dxfId="17" priority="14" operator="equal">
      <formula>"OK"</formula>
    </cfRule>
    <cfRule type="cellIs" dxfId="16" priority="15" operator="equal">
      <formula>"NO"</formula>
    </cfRule>
    <cfRule type="colorScale" priority="16">
      <colorScale>
        <cfvo type="num" val="&quot;NO&quot;"/>
        <cfvo type="num" val="&quot;OK&quot;"/>
        <color rgb="FFFF0000"/>
        <color rgb="FF43FF59"/>
      </colorScale>
    </cfRule>
  </conditionalFormatting>
  <pageMargins left="0.7" right="0.7" top="0.75" bottom="0.75" header="0.3" footer="0.3"/>
  <pageSetup paperSize="9" scale="2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1ADA-604A-42FF-8C79-C1DD3AA1E41B}">
  <sheetPr>
    <pageSetUpPr fitToPage="1"/>
  </sheetPr>
  <dimension ref="A1:S133"/>
  <sheetViews>
    <sheetView zoomScale="55" zoomScaleNormal="55" workbookViewId="0">
      <pane ySplit="3" topLeftCell="A31" activePane="bottomLeft" state="frozen"/>
      <selection pane="bottomLeft" sqref="A1:S63"/>
    </sheetView>
  </sheetViews>
  <sheetFormatPr defaultRowHeight="15" x14ac:dyDescent="0.25"/>
  <cols>
    <col min="1" max="1" width="5.85546875" style="32" customWidth="1"/>
    <col min="2" max="3" width="9.140625" style="33" customWidth="1"/>
    <col min="4" max="4" width="15.42578125" style="33" customWidth="1"/>
    <col min="5" max="5" width="11.7109375" style="33" customWidth="1"/>
    <col min="6" max="6" width="11.85546875" style="31" customWidth="1"/>
    <col min="7" max="7" width="12.140625" style="31" customWidth="1"/>
    <col min="8" max="8" width="11.28515625" style="36" customWidth="1"/>
    <col min="9" max="9" width="12.85546875" style="36" customWidth="1"/>
    <col min="10" max="10" width="12.42578125" style="36" customWidth="1"/>
    <col min="11" max="11" width="12.140625" style="36" customWidth="1"/>
    <col min="12" max="12" width="12.42578125" style="36" customWidth="1"/>
    <col min="13" max="13" width="8.7109375" style="36" customWidth="1"/>
    <col min="14" max="14" width="16.7109375" style="36" customWidth="1"/>
    <col min="15" max="15" width="10.28515625" style="31" customWidth="1"/>
    <col min="16" max="16" width="13.5703125" style="31" customWidth="1"/>
    <col min="17" max="17" width="12.7109375" style="31" customWidth="1"/>
    <col min="18" max="18" width="17.42578125" style="31" customWidth="1"/>
    <col min="19" max="16384" width="9.140625" style="31"/>
  </cols>
  <sheetData>
    <row r="1" spans="1:19" ht="26.25" x14ac:dyDescent="0.4">
      <c r="B1" s="103" t="s">
        <v>30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</row>
    <row r="2" spans="1:19" ht="18" x14ac:dyDescent="0.35">
      <c r="B2" s="17" t="s">
        <v>0</v>
      </c>
      <c r="C2" s="17" t="s">
        <v>31</v>
      </c>
      <c r="D2" s="18" t="s">
        <v>113</v>
      </c>
      <c r="E2" s="18" t="s">
        <v>114</v>
      </c>
      <c r="F2" s="18" t="s">
        <v>115</v>
      </c>
      <c r="G2" s="18" t="s">
        <v>108</v>
      </c>
      <c r="H2" s="18" t="s">
        <v>116</v>
      </c>
      <c r="I2" s="18" t="s">
        <v>76</v>
      </c>
      <c r="J2" s="38" t="s">
        <v>97</v>
      </c>
      <c r="K2" s="18" t="s">
        <v>117</v>
      </c>
      <c r="L2" s="18" t="s">
        <v>118</v>
      </c>
      <c r="M2" s="38" t="s">
        <v>111</v>
      </c>
      <c r="N2" s="18" t="s">
        <v>119</v>
      </c>
      <c r="O2" s="18" t="s">
        <v>29</v>
      </c>
      <c r="P2" s="18" t="s">
        <v>73</v>
      </c>
      <c r="Q2" s="18" t="s">
        <v>74</v>
      </c>
      <c r="R2" s="18" t="s">
        <v>109</v>
      </c>
      <c r="S2" s="18" t="s">
        <v>120</v>
      </c>
    </row>
    <row r="3" spans="1:19" x14ac:dyDescent="0.25">
      <c r="B3" s="34" t="s">
        <v>1</v>
      </c>
      <c r="C3" s="34" t="s">
        <v>1</v>
      </c>
      <c r="D3" s="35" t="s">
        <v>2</v>
      </c>
      <c r="E3" s="35" t="s">
        <v>72</v>
      </c>
      <c r="F3" s="35" t="s">
        <v>72</v>
      </c>
      <c r="G3" s="35" t="s">
        <v>2</v>
      </c>
      <c r="H3" s="35" t="s">
        <v>65</v>
      </c>
      <c r="I3" s="35" t="s">
        <v>65</v>
      </c>
      <c r="J3" s="35" t="s">
        <v>65</v>
      </c>
      <c r="K3" s="35"/>
      <c r="L3" s="35" t="s">
        <v>72</v>
      </c>
      <c r="M3" s="35" t="s">
        <v>70</v>
      </c>
      <c r="N3" s="35"/>
      <c r="O3" s="35" t="s">
        <v>70</v>
      </c>
      <c r="P3" s="35" t="s">
        <v>65</v>
      </c>
      <c r="Q3" s="35" t="s">
        <v>65</v>
      </c>
      <c r="R3" s="35" t="s">
        <v>2</v>
      </c>
      <c r="S3" s="35" t="s">
        <v>121</v>
      </c>
    </row>
    <row r="4" spans="1:19" ht="15" customHeight="1" x14ac:dyDescent="0.25">
      <c r="A4" s="61" t="s">
        <v>24</v>
      </c>
      <c r="B4" s="26" t="s">
        <v>3</v>
      </c>
      <c r="C4" s="26" t="s">
        <v>4</v>
      </c>
      <c r="D4" s="54">
        <v>54.19</v>
      </c>
      <c r="E4" s="58">
        <v>0</v>
      </c>
      <c r="F4" s="58">
        <v>615.75216010359895</v>
      </c>
      <c r="G4" s="54">
        <v>32.432000000000002</v>
      </c>
      <c r="H4" s="96">
        <v>500</v>
      </c>
      <c r="I4" s="96">
        <v>50</v>
      </c>
      <c r="J4" s="96">
        <v>10</v>
      </c>
      <c r="K4" s="96">
        <v>2</v>
      </c>
      <c r="L4" s="96">
        <f>J4^2*PI()/4*K4*(H4/I4)</f>
        <v>1570.7963267948967</v>
      </c>
      <c r="M4" s="60">
        <f>D4*1000/(500*300*Confinamento!P4)</f>
        <v>9.8719750677536723E-3</v>
      </c>
      <c r="N4" s="60">
        <f>1.1*(E4+F4)*391*(1-0.8*M4)</f>
        <v>262743.44841483451</v>
      </c>
      <c r="O4" s="58" t="str">
        <f>IF(L4*391&gt;N4,"OK","NO")</f>
        <v>OK</v>
      </c>
      <c r="P4" s="56">
        <v>500</v>
      </c>
      <c r="Q4" s="56">
        <f>300-80</f>
        <v>220</v>
      </c>
      <c r="R4" s="92">
        <f>(1.1*(E4+F4)*391)/1000-G4</f>
        <v>232.40300406055792</v>
      </c>
      <c r="S4" s="56">
        <f>N4/(L4*391)</f>
        <v>0.42779456348062733</v>
      </c>
    </row>
    <row r="5" spans="1:19" x14ac:dyDescent="0.25">
      <c r="A5" s="61"/>
      <c r="B5" s="26" t="s">
        <v>8</v>
      </c>
      <c r="C5" s="26" t="s">
        <v>4</v>
      </c>
      <c r="D5" s="54"/>
      <c r="E5" s="58"/>
      <c r="F5" s="58"/>
      <c r="G5" s="54"/>
      <c r="H5" s="96"/>
      <c r="I5" s="96"/>
      <c r="J5" s="96"/>
      <c r="K5" s="96"/>
      <c r="L5" s="96"/>
      <c r="M5" s="60"/>
      <c r="N5" s="60"/>
      <c r="O5" s="58"/>
      <c r="P5" s="56"/>
      <c r="Q5" s="56"/>
      <c r="R5" s="92"/>
      <c r="S5" s="56"/>
    </row>
    <row r="6" spans="1:19" x14ac:dyDescent="0.25">
      <c r="A6" s="61"/>
      <c r="B6" s="26" t="s">
        <v>4</v>
      </c>
      <c r="C6" s="26" t="s">
        <v>6</v>
      </c>
      <c r="D6" s="54">
        <v>201.35</v>
      </c>
      <c r="E6" s="58">
        <v>0</v>
      </c>
      <c r="F6" s="58">
        <v>534.07075111026495</v>
      </c>
      <c r="G6" s="54">
        <v>28.280999999999999</v>
      </c>
      <c r="H6" s="96">
        <v>500</v>
      </c>
      <c r="I6" s="96">
        <v>50</v>
      </c>
      <c r="J6" s="96">
        <v>10</v>
      </c>
      <c r="K6" s="96">
        <v>2</v>
      </c>
      <c r="L6" s="96">
        <f t="shared" ref="L6" si="0">J6^2*PI()/4*K6*(H6/I6)</f>
        <v>1570.7963267948967</v>
      </c>
      <c r="M6" s="60">
        <f>D6*1000/(500*300*Confinamento!P6)</f>
        <v>3.668060859738332E-2</v>
      </c>
      <c r="N6" s="60">
        <f>1.1*(E6+F6)*391*(1-0.8*M6)</f>
        <v>222963.28902574375</v>
      </c>
      <c r="O6" s="58" t="str">
        <f>IF(L6*391&gt;N6,"OK","NO")</f>
        <v>OK</v>
      </c>
      <c r="P6" s="56">
        <v>500</v>
      </c>
      <c r="Q6" s="56">
        <f t="shared" ref="Q6" si="1">300-80</f>
        <v>220</v>
      </c>
      <c r="R6" s="92">
        <f>(1.1*(E6+F6)*391)/1000-G6</f>
        <v>201.42283005252497</v>
      </c>
      <c r="S6" s="56">
        <f t="shared" ref="S6:S9" si="2">N6/(L6*391)</f>
        <v>0.36302516190766299</v>
      </c>
    </row>
    <row r="7" spans="1:19" x14ac:dyDescent="0.25">
      <c r="A7" s="61"/>
      <c r="B7" s="26" t="s">
        <v>9</v>
      </c>
      <c r="C7" s="26" t="s">
        <v>6</v>
      </c>
      <c r="D7" s="54"/>
      <c r="E7" s="58"/>
      <c r="F7" s="58"/>
      <c r="G7" s="54"/>
      <c r="H7" s="96"/>
      <c r="I7" s="96"/>
      <c r="J7" s="96"/>
      <c r="K7" s="96"/>
      <c r="L7" s="96"/>
      <c r="M7" s="60"/>
      <c r="N7" s="60"/>
      <c r="O7" s="58"/>
      <c r="P7" s="56"/>
      <c r="Q7" s="56"/>
      <c r="R7" s="92"/>
      <c r="S7" s="56"/>
    </row>
    <row r="8" spans="1:19" x14ac:dyDescent="0.25">
      <c r="A8" s="61"/>
      <c r="B8" s="26" t="s">
        <v>5</v>
      </c>
      <c r="C8" s="26" t="s">
        <v>8</v>
      </c>
      <c r="D8" s="54">
        <v>244.739</v>
      </c>
      <c r="E8" s="58">
        <v>0</v>
      </c>
      <c r="F8" s="58">
        <v>534.07075111026495</v>
      </c>
      <c r="G8" s="54">
        <v>24.966000000000001</v>
      </c>
      <c r="H8" s="96">
        <v>500</v>
      </c>
      <c r="I8" s="96">
        <v>50</v>
      </c>
      <c r="J8" s="96">
        <v>10</v>
      </c>
      <c r="K8" s="96">
        <v>2</v>
      </c>
      <c r="L8" s="96">
        <f t="shared" ref="L8" si="3">J8^2*PI()/4*K8*(H8/I8)</f>
        <v>1570.7963267948967</v>
      </c>
      <c r="M8" s="60">
        <f>D8*1000/(500*300*Confinamento!P8)</f>
        <v>4.4584929066376934E-2</v>
      </c>
      <c r="N8" s="60">
        <f>1.1*(E8+F8)*391*(1-0.8*M8)</f>
        <v>221510.76687719143</v>
      </c>
      <c r="O8" s="58" t="str">
        <f>IF(L8*391&gt;N8,"OK","NO")</f>
        <v>OK</v>
      </c>
      <c r="P8" s="56">
        <v>500</v>
      </c>
      <c r="Q8" s="56">
        <f t="shared" ref="Q8" si="4">300-80</f>
        <v>220</v>
      </c>
      <c r="R8" s="92">
        <f>(1.1*(E8+F8)*391)/1000-G8</f>
        <v>204.73783005252497</v>
      </c>
      <c r="S8" s="56">
        <f t="shared" ref="S8:S62" si="5">N8/(L8*391)</f>
        <v>0.36066018922334009</v>
      </c>
    </row>
    <row r="9" spans="1:19" x14ac:dyDescent="0.25">
      <c r="A9" s="61"/>
      <c r="B9" s="26" t="s">
        <v>10</v>
      </c>
      <c r="C9" s="26" t="s">
        <v>8</v>
      </c>
      <c r="D9" s="54"/>
      <c r="E9" s="58"/>
      <c r="F9" s="58"/>
      <c r="G9" s="54"/>
      <c r="H9" s="96"/>
      <c r="I9" s="96"/>
      <c r="J9" s="96"/>
      <c r="K9" s="96"/>
      <c r="L9" s="96"/>
      <c r="M9" s="60"/>
      <c r="N9" s="60"/>
      <c r="O9" s="58"/>
      <c r="P9" s="56"/>
      <c r="Q9" s="56"/>
      <c r="R9" s="92"/>
      <c r="S9" s="56"/>
    </row>
    <row r="10" spans="1:19" x14ac:dyDescent="0.25">
      <c r="A10" s="61"/>
      <c r="B10" s="26" t="s">
        <v>6</v>
      </c>
      <c r="C10" s="26" t="s">
        <v>10</v>
      </c>
      <c r="D10" s="54">
        <v>224.60499999999999</v>
      </c>
      <c r="E10" s="58">
        <v>0</v>
      </c>
      <c r="F10" s="58">
        <v>534.07075111026495</v>
      </c>
      <c r="G10" s="54">
        <v>28.747</v>
      </c>
      <c r="H10" s="96">
        <v>500</v>
      </c>
      <c r="I10" s="96">
        <v>50</v>
      </c>
      <c r="J10" s="96">
        <v>10</v>
      </c>
      <c r="K10" s="96">
        <v>2</v>
      </c>
      <c r="L10" s="96">
        <f t="shared" ref="L10" si="6">J10^2*PI()/4*K10*(H10/I10)</f>
        <v>1570.7963267948967</v>
      </c>
      <c r="M10" s="60">
        <f>D10*1000/(500*300*Confinamento!P10)</f>
        <v>4.0917050380011324E-2</v>
      </c>
      <c r="N10" s="60">
        <f>1.1*(E10+F10)*391*(1-0.8*M10)</f>
        <v>222184.78750313239</v>
      </c>
      <c r="O10" s="58" t="str">
        <f>IF(L10*391&gt;N10,"OK","NO")</f>
        <v>OK</v>
      </c>
      <c r="P10" s="56">
        <v>500</v>
      </c>
      <c r="Q10" s="56">
        <f t="shared" ref="Q10" si="7">300-80</f>
        <v>220</v>
      </c>
      <c r="R10" s="92">
        <f>(1.1*(E10+F10)*391)/1000-G10</f>
        <v>200.95683005252499</v>
      </c>
      <c r="S10" s="56">
        <f t="shared" si="5"/>
        <v>0.36175761852630067</v>
      </c>
    </row>
    <row r="11" spans="1:19" x14ac:dyDescent="0.25">
      <c r="A11" s="61"/>
      <c r="B11" s="26" t="s">
        <v>11</v>
      </c>
      <c r="C11" s="26" t="s">
        <v>10</v>
      </c>
      <c r="D11" s="54"/>
      <c r="E11" s="58"/>
      <c r="F11" s="58"/>
      <c r="G11" s="54"/>
      <c r="H11" s="96"/>
      <c r="I11" s="96"/>
      <c r="J11" s="96"/>
      <c r="K11" s="96"/>
      <c r="L11" s="96"/>
      <c r="M11" s="60"/>
      <c r="N11" s="60"/>
      <c r="O11" s="58"/>
      <c r="P11" s="56"/>
      <c r="Q11" s="56"/>
      <c r="R11" s="92"/>
      <c r="S11" s="56"/>
    </row>
    <row r="12" spans="1:19" x14ac:dyDescent="0.25">
      <c r="A12" s="61"/>
      <c r="B12" s="26" t="s">
        <v>7</v>
      </c>
      <c r="C12" s="26" t="s">
        <v>12</v>
      </c>
      <c r="D12" s="54">
        <v>53.018999999999998</v>
      </c>
      <c r="E12" s="58">
        <v>0</v>
      </c>
      <c r="F12" s="58">
        <v>615.75216010359895</v>
      </c>
      <c r="G12" s="54">
        <v>35.911999999999999</v>
      </c>
      <c r="H12" s="96">
        <v>500</v>
      </c>
      <c r="I12" s="96">
        <v>50</v>
      </c>
      <c r="J12" s="96">
        <v>10</v>
      </c>
      <c r="K12" s="96">
        <v>2</v>
      </c>
      <c r="L12" s="96">
        <f t="shared" ref="L12" si="8">J12^2*PI()/4*K12*(H12/I12)</f>
        <v>1570.7963267948967</v>
      </c>
      <c r="M12" s="60">
        <f>D12*1000/(500*300*Confinamento!P12)</f>
        <v>9.658650048297324E-3</v>
      </c>
      <c r="N12" s="60">
        <f>1.1*(E12+F12)*391*(1-0.8*M12)</f>
        <v>262788.64516074967</v>
      </c>
      <c r="O12" s="58" t="str">
        <f>IF(L12*391&gt;N12,"OK","NO")</f>
        <v>OK</v>
      </c>
      <c r="P12" s="56">
        <v>500</v>
      </c>
      <c r="Q12" s="56">
        <f t="shared" ref="Q12" si="9">300-80</f>
        <v>220</v>
      </c>
      <c r="R12" s="92">
        <f>(1.1*(E12+F12)*391)/1000-G12</f>
        <v>228.92300406055793</v>
      </c>
      <c r="S12" s="56">
        <f t="shared" si="5"/>
        <v>0.42786815207933898</v>
      </c>
    </row>
    <row r="13" spans="1:19" x14ac:dyDescent="0.25">
      <c r="A13" s="61"/>
      <c r="B13" s="26" t="s">
        <v>12</v>
      </c>
      <c r="C13" s="26" t="s">
        <v>12</v>
      </c>
      <c r="D13" s="54"/>
      <c r="E13" s="58"/>
      <c r="F13" s="58"/>
      <c r="G13" s="54"/>
      <c r="H13" s="96"/>
      <c r="I13" s="96"/>
      <c r="J13" s="96"/>
      <c r="K13" s="96"/>
      <c r="L13" s="96"/>
      <c r="M13" s="60"/>
      <c r="N13" s="60"/>
      <c r="O13" s="58"/>
      <c r="P13" s="56"/>
      <c r="Q13" s="56"/>
      <c r="R13" s="92"/>
      <c r="S13" s="56"/>
    </row>
    <row r="14" spans="1:19" x14ac:dyDescent="0.25">
      <c r="A14" s="61"/>
      <c r="B14" s="26" t="s">
        <v>33</v>
      </c>
      <c r="C14" s="26" t="s">
        <v>34</v>
      </c>
      <c r="D14" s="54">
        <v>335.93200000000002</v>
      </c>
      <c r="E14" s="58">
        <f>1137.25654059951</f>
        <v>1137.2565405995099</v>
      </c>
      <c r="F14" s="58">
        <v>615.75216010359895</v>
      </c>
      <c r="G14" s="54">
        <v>74.137</v>
      </c>
      <c r="H14" s="96">
        <v>500</v>
      </c>
      <c r="I14" s="96">
        <v>50</v>
      </c>
      <c r="J14" s="96">
        <v>10</v>
      </c>
      <c r="K14" s="96">
        <v>4</v>
      </c>
      <c r="L14" s="96">
        <f t="shared" ref="L14" si="10">J14^2*PI()/4*K14*(H14/I14)</f>
        <v>3141.5926535897934</v>
      </c>
      <c r="M14" s="60">
        <f>D14*1000/(500*300*Confinamento!P14)</f>
        <v>5.6132848733115914E-2</v>
      </c>
      <c r="N14" s="60">
        <f>1.1*(E14+F14)*391*(1-0.8*M14)</f>
        <v>720111.09801743436</v>
      </c>
      <c r="O14" s="58" t="str">
        <f>IF(L14*391&gt;N14,"OK","NO")</f>
        <v>OK</v>
      </c>
      <c r="P14" s="56">
        <v>300</v>
      </c>
      <c r="Q14" s="56">
        <v>420</v>
      </c>
      <c r="R14" s="92">
        <f>(1.1*(E14+F14)*391)/1000-G14</f>
        <v>679.83204217240723</v>
      </c>
      <c r="S14" s="56">
        <f t="shared" si="5"/>
        <v>0.58623652595809217</v>
      </c>
    </row>
    <row r="15" spans="1:19" x14ac:dyDescent="0.25">
      <c r="A15" s="61"/>
      <c r="B15" s="26" t="s">
        <v>35</v>
      </c>
      <c r="C15" s="26" t="s">
        <v>34</v>
      </c>
      <c r="D15" s="54"/>
      <c r="E15" s="58"/>
      <c r="F15" s="58"/>
      <c r="G15" s="54"/>
      <c r="H15" s="96"/>
      <c r="I15" s="96"/>
      <c r="J15" s="96"/>
      <c r="K15" s="96"/>
      <c r="L15" s="96"/>
      <c r="M15" s="60"/>
      <c r="N15" s="60"/>
      <c r="O15" s="58"/>
      <c r="P15" s="56"/>
      <c r="Q15" s="56"/>
      <c r="R15" s="92"/>
      <c r="S15" s="56"/>
    </row>
    <row r="16" spans="1:19" x14ac:dyDescent="0.25">
      <c r="A16" s="61"/>
      <c r="B16" s="26" t="s">
        <v>36</v>
      </c>
      <c r="C16" s="26" t="s">
        <v>37</v>
      </c>
      <c r="D16" s="54">
        <v>494.517</v>
      </c>
      <c r="E16" s="58">
        <f>1137.25654059951</f>
        <v>1137.2565405995099</v>
      </c>
      <c r="F16" s="58">
        <v>615.75216010359895</v>
      </c>
      <c r="G16" s="54">
        <v>68.141000000000005</v>
      </c>
      <c r="H16" s="96">
        <v>500</v>
      </c>
      <c r="I16" s="96">
        <v>50</v>
      </c>
      <c r="J16" s="96">
        <v>10</v>
      </c>
      <c r="K16" s="96">
        <v>4</v>
      </c>
      <c r="L16" s="96">
        <f t="shared" ref="L16" si="11">J16^2*PI()/4*K16*(H16/I16)</f>
        <v>3141.5926535897934</v>
      </c>
      <c r="M16" s="60">
        <f>D16*1000/(500*300*Confinamento!P16)</f>
        <v>8.2631746773020376E-2</v>
      </c>
      <c r="N16" s="60">
        <f>1.1*(E16+F16)*391*(1-0.8*M16)</f>
        <v>704127.61899841751</v>
      </c>
      <c r="O16" s="58" t="str">
        <f>IF(L16*391&gt;N16,"OK","NO")</f>
        <v>OK</v>
      </c>
      <c r="P16" s="56">
        <v>300</v>
      </c>
      <c r="Q16" s="56">
        <v>420</v>
      </c>
      <c r="R16" s="92">
        <f>(1.1*(E16+F16)*391)/1000-G16</f>
        <v>685.82804217240721</v>
      </c>
      <c r="S16" s="56">
        <f t="shared" si="5"/>
        <v>0.57322450706457739</v>
      </c>
    </row>
    <row r="17" spans="1:19" x14ac:dyDescent="0.25">
      <c r="A17" s="61"/>
      <c r="B17" s="26" t="s">
        <v>38</v>
      </c>
      <c r="C17" s="26" t="s">
        <v>37</v>
      </c>
      <c r="D17" s="54"/>
      <c r="E17" s="58"/>
      <c r="F17" s="58"/>
      <c r="G17" s="54"/>
      <c r="H17" s="96"/>
      <c r="I17" s="96"/>
      <c r="J17" s="96"/>
      <c r="K17" s="96"/>
      <c r="L17" s="96"/>
      <c r="M17" s="60"/>
      <c r="N17" s="60"/>
      <c r="O17" s="58"/>
      <c r="P17" s="56"/>
      <c r="Q17" s="56"/>
      <c r="R17" s="92"/>
      <c r="S17" s="56"/>
    </row>
    <row r="18" spans="1:19" x14ac:dyDescent="0.25">
      <c r="A18" s="61"/>
      <c r="B18" s="26" t="s">
        <v>39</v>
      </c>
      <c r="C18" s="26" t="s">
        <v>40</v>
      </c>
      <c r="D18" s="54">
        <v>575.79600000000005</v>
      </c>
      <c r="E18" s="58">
        <f>1256.63706143592</f>
        <v>1256.63706143592</v>
      </c>
      <c r="F18" s="58">
        <v>615.75216010359895</v>
      </c>
      <c r="G18" s="54">
        <v>63.067</v>
      </c>
      <c r="H18" s="96">
        <v>500</v>
      </c>
      <c r="I18" s="96">
        <v>50</v>
      </c>
      <c r="J18" s="96">
        <v>10</v>
      </c>
      <c r="K18" s="96">
        <v>4</v>
      </c>
      <c r="L18" s="96">
        <f t="shared" ref="L18" si="12">J18^2*PI()/4*K18*(H18/I18)</f>
        <v>3141.5926535897934</v>
      </c>
      <c r="M18" s="60">
        <f>D18*1000/(500*300*Confinamento!P18)</f>
        <v>9.6213131732413734E-2</v>
      </c>
      <c r="N18" s="60">
        <f>1.1*(E18+F18)*391*(1-0.8*M18)</f>
        <v>743329.13210542244</v>
      </c>
      <c r="O18" s="58" t="str">
        <f>IF(L18*391&gt;N18,"OK","NO")</f>
        <v>OK</v>
      </c>
      <c r="P18" s="56">
        <v>300</v>
      </c>
      <c r="Q18" s="56">
        <v>420</v>
      </c>
      <c r="R18" s="92">
        <f>(1.1*(E18+F18)*391)/1000-G18</f>
        <v>742.24760418414724</v>
      </c>
      <c r="S18" s="56">
        <f t="shared" si="5"/>
        <v>0.60513813666898442</v>
      </c>
    </row>
    <row r="19" spans="1:19" x14ac:dyDescent="0.25">
      <c r="A19" s="61"/>
      <c r="B19" s="26" t="s">
        <v>41</v>
      </c>
      <c r="C19" s="26" t="s">
        <v>40</v>
      </c>
      <c r="D19" s="54"/>
      <c r="E19" s="58"/>
      <c r="F19" s="58"/>
      <c r="G19" s="54"/>
      <c r="H19" s="96"/>
      <c r="I19" s="96"/>
      <c r="J19" s="96"/>
      <c r="K19" s="96"/>
      <c r="L19" s="96"/>
      <c r="M19" s="60"/>
      <c r="N19" s="60"/>
      <c r="O19" s="58"/>
      <c r="P19" s="56"/>
      <c r="Q19" s="56"/>
      <c r="R19" s="92"/>
      <c r="S19" s="56"/>
    </row>
    <row r="20" spans="1:19" x14ac:dyDescent="0.25">
      <c r="A20" s="61"/>
      <c r="B20" s="26" t="s">
        <v>42</v>
      </c>
      <c r="C20" s="26" t="s">
        <v>43</v>
      </c>
      <c r="D20" s="54">
        <v>571.35799999999995</v>
      </c>
      <c r="E20" s="58">
        <f>1256.63706143592</f>
        <v>1256.63706143592</v>
      </c>
      <c r="F20" s="58">
        <v>615.75216010359895</v>
      </c>
      <c r="G20" s="54">
        <v>70.575999999999993</v>
      </c>
      <c r="H20" s="96">
        <v>500</v>
      </c>
      <c r="I20" s="96">
        <v>50</v>
      </c>
      <c r="J20" s="96">
        <v>10</v>
      </c>
      <c r="K20" s="96">
        <v>4</v>
      </c>
      <c r="L20" s="96">
        <f t="shared" ref="L20" si="13">J20^2*PI()/4*K20*(H20/I20)</f>
        <v>3141.5926535897934</v>
      </c>
      <c r="M20" s="60">
        <f>D20*1000/(500*300*Confinamento!P20)</f>
        <v>9.5471560275459444E-2</v>
      </c>
      <c r="N20" s="60">
        <f>1.1*(E20+F20)*391*(1-0.8*M20)</f>
        <v>743806.89076488756</v>
      </c>
      <c r="O20" s="58" t="str">
        <f>IF(L20*391&gt;N20,"OK","NO")</f>
        <v>OK</v>
      </c>
      <c r="P20" s="56">
        <v>300</v>
      </c>
      <c r="Q20" s="56">
        <v>420</v>
      </c>
      <c r="R20" s="92">
        <f>(1.1*(E20+F20)*391)/1000-G20</f>
        <v>734.73860418414722</v>
      </c>
      <c r="S20" s="56">
        <f t="shared" si="5"/>
        <v>0.60552707606672773</v>
      </c>
    </row>
    <row r="21" spans="1:19" x14ac:dyDescent="0.25">
      <c r="A21" s="61"/>
      <c r="B21" s="26" t="s">
        <v>44</v>
      </c>
      <c r="C21" s="26" t="s">
        <v>43</v>
      </c>
      <c r="D21" s="54"/>
      <c r="E21" s="58"/>
      <c r="F21" s="58"/>
      <c r="G21" s="54"/>
      <c r="H21" s="96"/>
      <c r="I21" s="96"/>
      <c r="J21" s="96"/>
      <c r="K21" s="96"/>
      <c r="L21" s="96"/>
      <c r="M21" s="60"/>
      <c r="N21" s="60"/>
      <c r="O21" s="58"/>
      <c r="P21" s="56"/>
      <c r="Q21" s="56"/>
      <c r="R21" s="92"/>
      <c r="S21" s="56"/>
    </row>
    <row r="22" spans="1:19" x14ac:dyDescent="0.25">
      <c r="A22" s="61"/>
      <c r="B22" s="26" t="s">
        <v>45</v>
      </c>
      <c r="C22" s="26" t="s">
        <v>46</v>
      </c>
      <c r="D22" s="54">
        <v>333.61500000000001</v>
      </c>
      <c r="E22" s="58">
        <f>1137.25654059951</f>
        <v>1137.2565405995099</v>
      </c>
      <c r="F22" s="58">
        <v>615.75216010359895</v>
      </c>
      <c r="G22" s="54">
        <v>81.248000000000005</v>
      </c>
      <c r="H22" s="96">
        <v>500</v>
      </c>
      <c r="I22" s="96">
        <v>50</v>
      </c>
      <c r="J22" s="96">
        <v>10</v>
      </c>
      <c r="K22" s="96">
        <v>4</v>
      </c>
      <c r="L22" s="96">
        <f t="shared" ref="L22" si="14">J22^2*PI()/4*K22*(H22/I22)</f>
        <v>3141.5926535897934</v>
      </c>
      <c r="M22" s="60">
        <f>D22*1000/(500*300*Confinamento!P22)</f>
        <v>5.5745687609690252E-2</v>
      </c>
      <c r="N22" s="60">
        <f>1.1*(E22+F22)*391*(1-0.8*M22)</f>
        <v>720344.62401855085</v>
      </c>
      <c r="O22" s="58" t="str">
        <f>IF(L22*391&gt;N22,"OK","NO")</f>
        <v>OK</v>
      </c>
      <c r="P22" s="56">
        <v>300</v>
      </c>
      <c r="Q22" s="56">
        <v>420</v>
      </c>
      <c r="R22" s="92">
        <f>(1.1*(E22+F22)*391)/1000-G22</f>
        <v>672.72104217240712</v>
      </c>
      <c r="S22" s="56">
        <f t="shared" si="5"/>
        <v>0.58642663755613911</v>
      </c>
    </row>
    <row r="23" spans="1:19" x14ac:dyDescent="0.25">
      <c r="A23" s="61"/>
      <c r="B23" s="26" t="s">
        <v>47</v>
      </c>
      <c r="C23" s="26" t="s">
        <v>46</v>
      </c>
      <c r="D23" s="54"/>
      <c r="E23" s="58"/>
      <c r="F23" s="58"/>
      <c r="G23" s="54"/>
      <c r="H23" s="96"/>
      <c r="I23" s="96"/>
      <c r="J23" s="96"/>
      <c r="K23" s="96"/>
      <c r="L23" s="96"/>
      <c r="M23" s="60"/>
      <c r="N23" s="60"/>
      <c r="O23" s="58"/>
      <c r="P23" s="56"/>
      <c r="Q23" s="56"/>
      <c r="R23" s="92"/>
      <c r="S23" s="56"/>
    </row>
    <row r="24" spans="1:19" ht="15" customHeight="1" x14ac:dyDescent="0.25">
      <c r="A24" s="62" t="s">
        <v>25</v>
      </c>
      <c r="B24" s="26" t="s">
        <v>8</v>
      </c>
      <c r="C24" s="26" t="s">
        <v>13</v>
      </c>
      <c r="D24" s="54">
        <v>51.828000000000003</v>
      </c>
      <c r="E24" s="58">
        <v>0</v>
      </c>
      <c r="F24" s="58">
        <v>615.75216010359895</v>
      </c>
      <c r="G24" s="54">
        <v>23.262</v>
      </c>
      <c r="H24" s="96">
        <v>500</v>
      </c>
      <c r="I24" s="96">
        <v>50</v>
      </c>
      <c r="J24" s="96">
        <v>10</v>
      </c>
      <c r="K24" s="96">
        <v>2</v>
      </c>
      <c r="L24" s="96">
        <f t="shared" ref="L24" si="15">J24^2*PI()/4*K24*(H24/I24)</f>
        <v>1570.7963267948967</v>
      </c>
      <c r="M24" s="60">
        <f>D24*1000/(500*300*Confinamento!P24)</f>
        <v>9.1796251351258951E-3</v>
      </c>
      <c r="N24" s="60">
        <f>1.1*(E24+F24)*391*(1-0.8*M24)</f>
        <v>262890.13521260954</v>
      </c>
      <c r="O24" s="58" t="str">
        <f>IF(L24*391&gt;N24,"OK","NO")</f>
        <v>OK</v>
      </c>
      <c r="P24" s="56">
        <v>450</v>
      </c>
      <c r="Q24" s="56">
        <f>300-80</f>
        <v>220</v>
      </c>
      <c r="R24" s="92">
        <f>(1.1*(E24+F24)*391)/1000-G24</f>
        <v>241.57300406055793</v>
      </c>
      <c r="S24" s="56">
        <f t="shared" si="5"/>
        <v>0.42803339651338657</v>
      </c>
    </row>
    <row r="25" spans="1:19" x14ac:dyDescent="0.25">
      <c r="A25" s="62"/>
      <c r="B25" s="26" t="s">
        <v>13</v>
      </c>
      <c r="C25" s="26" t="s">
        <v>13</v>
      </c>
      <c r="D25" s="54"/>
      <c r="E25" s="58"/>
      <c r="F25" s="58"/>
      <c r="G25" s="54"/>
      <c r="H25" s="96"/>
      <c r="I25" s="96"/>
      <c r="J25" s="96"/>
      <c r="K25" s="96"/>
      <c r="L25" s="96"/>
      <c r="M25" s="60"/>
      <c r="N25" s="60"/>
      <c r="O25" s="58"/>
      <c r="P25" s="56"/>
      <c r="Q25" s="56"/>
      <c r="R25" s="92"/>
      <c r="S25" s="56"/>
    </row>
    <row r="26" spans="1:19" x14ac:dyDescent="0.25">
      <c r="A26" s="62"/>
      <c r="B26" s="26" t="s">
        <v>9</v>
      </c>
      <c r="C26" s="26" t="s">
        <v>14</v>
      </c>
      <c r="D26" s="54">
        <v>137.89400000000001</v>
      </c>
      <c r="E26" s="58">
        <v>0</v>
      </c>
      <c r="F26" s="58">
        <v>534.07075111026495</v>
      </c>
      <c r="G26" s="54">
        <v>19.71</v>
      </c>
      <c r="H26" s="96">
        <v>500</v>
      </c>
      <c r="I26" s="96">
        <v>50</v>
      </c>
      <c r="J26" s="96">
        <v>10</v>
      </c>
      <c r="K26" s="96">
        <v>2</v>
      </c>
      <c r="L26" s="96">
        <f t="shared" ref="L26" si="16">J26^2*PI()/4*K26*(H26/I26)</f>
        <v>1570.7963267948967</v>
      </c>
      <c r="M26" s="60">
        <f>D26*1000/(500*300*Confinamento!P26)</f>
        <v>2.4423385590473301E-2</v>
      </c>
      <c r="N26" s="60">
        <f>1.1*(E26+F26)*391*(1-0.8*M26)</f>
        <v>225215.71388213988</v>
      </c>
      <c r="O26" s="58" t="str">
        <f>IF(L26*391&gt;N26,"OK","NO")</f>
        <v>OK</v>
      </c>
      <c r="P26" s="56">
        <v>450</v>
      </c>
      <c r="Q26" s="56">
        <f t="shared" ref="Q26" si="17">300-80</f>
        <v>220</v>
      </c>
      <c r="R26" s="92">
        <f>(1.1*(E26+F26)*391)/1000-G26</f>
        <v>209.99383005252497</v>
      </c>
      <c r="S26" s="56">
        <f t="shared" si="5"/>
        <v>0.36669252303133043</v>
      </c>
    </row>
    <row r="27" spans="1:19" x14ac:dyDescent="0.25">
      <c r="A27" s="62"/>
      <c r="B27" s="26" t="s">
        <v>14</v>
      </c>
      <c r="C27" s="26" t="s">
        <v>14</v>
      </c>
      <c r="D27" s="54"/>
      <c r="E27" s="58"/>
      <c r="F27" s="58"/>
      <c r="G27" s="54"/>
      <c r="H27" s="96"/>
      <c r="I27" s="96"/>
      <c r="J27" s="96"/>
      <c r="K27" s="96"/>
      <c r="L27" s="96"/>
      <c r="M27" s="60"/>
      <c r="N27" s="60"/>
      <c r="O27" s="58"/>
      <c r="P27" s="56"/>
      <c r="Q27" s="56"/>
      <c r="R27" s="92"/>
      <c r="S27" s="56"/>
    </row>
    <row r="28" spans="1:19" x14ac:dyDescent="0.25">
      <c r="A28" s="62"/>
      <c r="B28" s="26" t="s">
        <v>10</v>
      </c>
      <c r="C28" s="26" t="s">
        <v>15</v>
      </c>
      <c r="D28" s="54">
        <v>166.45400000000001</v>
      </c>
      <c r="E28" s="58">
        <v>0</v>
      </c>
      <c r="F28" s="58">
        <v>534.07075111026495</v>
      </c>
      <c r="G28" s="54">
        <v>16.998999999999999</v>
      </c>
      <c r="H28" s="96">
        <v>500</v>
      </c>
      <c r="I28" s="96">
        <v>50</v>
      </c>
      <c r="J28" s="96">
        <v>10</v>
      </c>
      <c r="K28" s="96">
        <v>2</v>
      </c>
      <c r="L28" s="96">
        <f t="shared" ref="L28" si="18">J28^2*PI()/4*K28*(H28/I28)</f>
        <v>1570.7963267948967</v>
      </c>
      <c r="M28" s="60">
        <f>D28*1000/(500*300*Confinamento!P28)</f>
        <v>2.9481850008532953E-2</v>
      </c>
      <c r="N28" s="60">
        <f>1.1*(E28+F28)*391*(1-0.8*M28)</f>
        <v>224286.15496132971</v>
      </c>
      <c r="O28" s="58" t="str">
        <f>IF(L28*391&gt;N28,"OK","NO")</f>
        <v>OK</v>
      </c>
      <c r="P28" s="56">
        <v>450</v>
      </c>
      <c r="Q28" s="56">
        <f t="shared" ref="Q28" si="19">300-80</f>
        <v>220</v>
      </c>
      <c r="R28" s="92">
        <f>(1.1*(E28+F28)*391)/1000-G28</f>
        <v>212.70483005252498</v>
      </c>
      <c r="S28" s="56">
        <f t="shared" si="5"/>
        <v>0.36517903047744699</v>
      </c>
    </row>
    <row r="29" spans="1:19" x14ac:dyDescent="0.25">
      <c r="A29" s="62"/>
      <c r="B29" s="26" t="s">
        <v>15</v>
      </c>
      <c r="C29" s="26" t="s">
        <v>15</v>
      </c>
      <c r="D29" s="54"/>
      <c r="E29" s="58"/>
      <c r="F29" s="58"/>
      <c r="G29" s="54"/>
      <c r="H29" s="96"/>
      <c r="I29" s="96"/>
      <c r="J29" s="96"/>
      <c r="K29" s="96"/>
      <c r="L29" s="96"/>
      <c r="M29" s="60"/>
      <c r="N29" s="60"/>
      <c r="O29" s="58"/>
      <c r="P29" s="56"/>
      <c r="Q29" s="56"/>
      <c r="R29" s="92"/>
      <c r="S29" s="56"/>
    </row>
    <row r="30" spans="1:19" x14ac:dyDescent="0.25">
      <c r="A30" s="62"/>
      <c r="B30" s="26" t="s">
        <v>11</v>
      </c>
      <c r="C30" s="26" t="s">
        <v>16</v>
      </c>
      <c r="D30" s="54">
        <v>156.28100000000001</v>
      </c>
      <c r="E30" s="58">
        <v>0</v>
      </c>
      <c r="F30" s="58">
        <v>534.07075111026495</v>
      </c>
      <c r="G30" s="54">
        <v>19.786000000000001</v>
      </c>
      <c r="H30" s="96">
        <v>500</v>
      </c>
      <c r="I30" s="96">
        <v>50</v>
      </c>
      <c r="J30" s="96">
        <v>10</v>
      </c>
      <c r="K30" s="96">
        <v>2</v>
      </c>
      <c r="L30" s="96">
        <f t="shared" ref="L30" si="20">J30^2*PI()/4*K30*(H30/I30)</f>
        <v>1570.7963267948967</v>
      </c>
      <c r="M30" s="60">
        <f>D30*1000/(500*300*Confinamento!P30)</f>
        <v>2.7680037735251409E-2</v>
      </c>
      <c r="N30" s="60">
        <f>1.1*(E30+F30)*391*(1-0.8*M30)</f>
        <v>224617.26150549646</v>
      </c>
      <c r="O30" s="58" t="str">
        <f>IF(L30*391&gt;N30,"OK","NO")</f>
        <v>OK</v>
      </c>
      <c r="P30" s="56">
        <v>450</v>
      </c>
      <c r="Q30" s="56">
        <f t="shared" ref="Q30" si="21">300-80</f>
        <v>220</v>
      </c>
      <c r="R30" s="92">
        <f>(1.1*(E30+F30)*391)/1000-G30</f>
        <v>209.91783005252498</v>
      </c>
      <c r="S30" s="56">
        <f t="shared" si="5"/>
        <v>0.36571813270961284</v>
      </c>
    </row>
    <row r="31" spans="1:19" x14ac:dyDescent="0.25">
      <c r="A31" s="62"/>
      <c r="B31" s="26" t="s">
        <v>16</v>
      </c>
      <c r="C31" s="26" t="s">
        <v>16</v>
      </c>
      <c r="D31" s="54"/>
      <c r="E31" s="58"/>
      <c r="F31" s="58"/>
      <c r="G31" s="54"/>
      <c r="H31" s="96"/>
      <c r="I31" s="96"/>
      <c r="J31" s="96"/>
      <c r="K31" s="96"/>
      <c r="L31" s="96"/>
      <c r="M31" s="60"/>
      <c r="N31" s="60"/>
      <c r="O31" s="58"/>
      <c r="P31" s="56"/>
      <c r="Q31" s="56"/>
      <c r="R31" s="92"/>
      <c r="S31" s="56"/>
    </row>
    <row r="32" spans="1:19" x14ac:dyDescent="0.25">
      <c r="A32" s="62"/>
      <c r="B32" s="26" t="s">
        <v>12</v>
      </c>
      <c r="C32" s="26" t="s">
        <v>17</v>
      </c>
      <c r="D32" s="54">
        <v>51.773000000000003</v>
      </c>
      <c r="E32" s="58">
        <v>0</v>
      </c>
      <c r="F32" s="58">
        <v>615.75216010359895</v>
      </c>
      <c r="G32" s="54">
        <v>25.957999999999998</v>
      </c>
      <c r="H32" s="96">
        <v>500</v>
      </c>
      <c r="I32" s="96">
        <v>50</v>
      </c>
      <c r="J32" s="96">
        <v>10</v>
      </c>
      <c r="K32" s="96">
        <v>2</v>
      </c>
      <c r="L32" s="96">
        <f t="shared" ref="L32" si="22">J32^2*PI()/4*K32*(H32/I32)</f>
        <v>1570.7963267948967</v>
      </c>
      <c r="M32" s="60">
        <f>D32*1000/(500*300*Confinamento!P32)</f>
        <v>9.1698836945448992E-3</v>
      </c>
      <c r="N32" s="60">
        <f>1.1*(E32+F32)*391*(1-0.8*M32)</f>
        <v>262892.19911217422</v>
      </c>
      <c r="O32" s="58" t="str">
        <f>IF(L32*391&gt;N32,"OK","NO")</f>
        <v>OK</v>
      </c>
      <c r="P32" s="56">
        <v>450</v>
      </c>
      <c r="Q32" s="56">
        <f t="shared" ref="Q32" si="23">300-80</f>
        <v>220</v>
      </c>
      <c r="R32" s="92">
        <f>(1.1*(E32+F32)*391)/1000-G32</f>
        <v>238.87700406055794</v>
      </c>
      <c r="S32" s="56">
        <f t="shared" si="5"/>
        <v>0.4280367569207294</v>
      </c>
    </row>
    <row r="33" spans="1:19" x14ac:dyDescent="0.25">
      <c r="A33" s="62"/>
      <c r="B33" s="26" t="s">
        <v>17</v>
      </c>
      <c r="C33" s="26" t="s">
        <v>17</v>
      </c>
      <c r="D33" s="54"/>
      <c r="E33" s="58"/>
      <c r="F33" s="58"/>
      <c r="G33" s="54"/>
      <c r="H33" s="96"/>
      <c r="I33" s="96"/>
      <c r="J33" s="96"/>
      <c r="K33" s="96"/>
      <c r="L33" s="96"/>
      <c r="M33" s="60"/>
      <c r="N33" s="60"/>
      <c r="O33" s="58"/>
      <c r="P33" s="56"/>
      <c r="Q33" s="56"/>
      <c r="R33" s="92"/>
      <c r="S33" s="56"/>
    </row>
    <row r="34" spans="1:19" x14ac:dyDescent="0.25">
      <c r="A34" s="62"/>
      <c r="B34" s="26" t="s">
        <v>35</v>
      </c>
      <c r="C34" s="26" t="s">
        <v>48</v>
      </c>
      <c r="D34" s="54">
        <v>213.893</v>
      </c>
      <c r="E34" s="58">
        <f>1137.25654059951</f>
        <v>1137.2565405995099</v>
      </c>
      <c r="F34" s="58">
        <v>615.75216010359895</v>
      </c>
      <c r="G34" s="54">
        <v>52.168999999999997</v>
      </c>
      <c r="H34" s="96">
        <v>500</v>
      </c>
      <c r="I34" s="96">
        <v>50</v>
      </c>
      <c r="J34" s="96">
        <v>10</v>
      </c>
      <c r="K34" s="96">
        <v>4</v>
      </c>
      <c r="L34" s="96">
        <f t="shared" ref="L34" si="24">J34^2*PI()/4*K34*(H34/I34)</f>
        <v>3141.5926535897934</v>
      </c>
      <c r="M34" s="60">
        <f>D34*1000/(500*300*Confinamento!P34)</f>
        <v>3.2016281047219951E-2</v>
      </c>
      <c r="N34" s="60">
        <f>1.1*(E34+F34)*391*(1-0.8*M34)</f>
        <v>734657.61436833115</v>
      </c>
      <c r="O34" s="58" t="str">
        <f>IF(L34*391&gt;N34,"OK","NO")</f>
        <v>OK</v>
      </c>
      <c r="P34" s="56">
        <v>300</v>
      </c>
      <c r="Q34" s="56">
        <f>450-80</f>
        <v>370</v>
      </c>
      <c r="R34" s="92">
        <f>(1.1*(E34+F34)*391)/1000-G34</f>
        <v>701.80004217240719</v>
      </c>
      <c r="S34" s="56">
        <f t="shared" si="5"/>
        <v>0.59807872535457451</v>
      </c>
    </row>
    <row r="35" spans="1:19" x14ac:dyDescent="0.25">
      <c r="A35" s="62"/>
      <c r="B35" s="26" t="s">
        <v>49</v>
      </c>
      <c r="C35" s="26" t="s">
        <v>48</v>
      </c>
      <c r="D35" s="54"/>
      <c r="E35" s="58"/>
      <c r="F35" s="58"/>
      <c r="G35" s="54"/>
      <c r="H35" s="96"/>
      <c r="I35" s="96"/>
      <c r="J35" s="96"/>
      <c r="K35" s="96"/>
      <c r="L35" s="96"/>
      <c r="M35" s="60"/>
      <c r="N35" s="60"/>
      <c r="O35" s="58"/>
      <c r="P35" s="56"/>
      <c r="Q35" s="56"/>
      <c r="R35" s="92"/>
      <c r="S35" s="56"/>
    </row>
    <row r="36" spans="1:19" x14ac:dyDescent="0.25">
      <c r="A36" s="62"/>
      <c r="B36" s="26" t="s">
        <v>38</v>
      </c>
      <c r="C36" s="26" t="s">
        <v>18</v>
      </c>
      <c r="D36" s="54">
        <v>328.63200000000001</v>
      </c>
      <c r="E36" s="58">
        <f>1137.25654059951</f>
        <v>1137.2565405995099</v>
      </c>
      <c r="F36" s="58">
        <v>615.75216010359895</v>
      </c>
      <c r="G36" s="54">
        <v>47.494999999999997</v>
      </c>
      <c r="H36" s="96">
        <v>500</v>
      </c>
      <c r="I36" s="96">
        <v>50</v>
      </c>
      <c r="J36" s="96">
        <v>10</v>
      </c>
      <c r="K36" s="96">
        <v>4</v>
      </c>
      <c r="L36" s="96">
        <f t="shared" ref="L36" si="25">J36^2*PI()/4*K36*(H36/I36)</f>
        <v>3141.5926535897934</v>
      </c>
      <c r="M36" s="60">
        <f>D36*1000/(500*300*Confinamento!P36)</f>
        <v>4.9190831271289794E-2</v>
      </c>
      <c r="N36" s="60">
        <f>1.1*(E36+F36)*391*(1-0.8*M36)</f>
        <v>724298.35102258401</v>
      </c>
      <c r="O36" s="58" t="str">
        <f>IF(L36*391&gt;N36,"OK","NO")</f>
        <v>OK</v>
      </c>
      <c r="P36" s="56">
        <v>300</v>
      </c>
      <c r="Q36" s="56">
        <f t="shared" ref="Q36" si="26">450-80</f>
        <v>370</v>
      </c>
      <c r="R36" s="92">
        <f>(1.1*(E36+F36)*391)/1000-G36</f>
        <v>706.47404217240717</v>
      </c>
      <c r="S36" s="56">
        <f t="shared" si="5"/>
        <v>0.58964533421254717</v>
      </c>
    </row>
    <row r="37" spans="1:19" x14ac:dyDescent="0.25">
      <c r="A37" s="62"/>
      <c r="B37" s="26" t="s">
        <v>50</v>
      </c>
      <c r="C37" s="26" t="s">
        <v>18</v>
      </c>
      <c r="D37" s="54"/>
      <c r="E37" s="58"/>
      <c r="F37" s="58"/>
      <c r="G37" s="54"/>
      <c r="H37" s="96"/>
      <c r="I37" s="96"/>
      <c r="J37" s="96"/>
      <c r="K37" s="96"/>
      <c r="L37" s="96"/>
      <c r="M37" s="60"/>
      <c r="N37" s="60"/>
      <c r="O37" s="58"/>
      <c r="P37" s="56"/>
      <c r="Q37" s="56"/>
      <c r="R37" s="92"/>
      <c r="S37" s="56"/>
    </row>
    <row r="38" spans="1:19" x14ac:dyDescent="0.25">
      <c r="A38" s="62"/>
      <c r="B38" s="26" t="s">
        <v>41</v>
      </c>
      <c r="C38" s="26" t="s">
        <v>19</v>
      </c>
      <c r="D38" s="54">
        <v>381.7</v>
      </c>
      <c r="E38" s="58">
        <f>1256.63706143592</f>
        <v>1256.63706143592</v>
      </c>
      <c r="F38" s="58">
        <v>615.75216010359895</v>
      </c>
      <c r="G38" s="54">
        <v>43.7</v>
      </c>
      <c r="H38" s="96">
        <v>500</v>
      </c>
      <c r="I38" s="96">
        <v>50</v>
      </c>
      <c r="J38" s="96">
        <v>10</v>
      </c>
      <c r="K38" s="96">
        <v>4</v>
      </c>
      <c r="L38" s="96">
        <f t="shared" ref="L38" si="27">J38^2*PI()/4*K38*(H38/I38)</f>
        <v>3141.5926535897934</v>
      </c>
      <c r="M38" s="60">
        <f>D38*1000/(500*300*Confinamento!P38)</f>
        <v>5.71342422413256E-2</v>
      </c>
      <c r="N38" s="60">
        <f>1.1*(E38+F38)*391*(1-0.8*M38)</f>
        <v>768505.77244339976</v>
      </c>
      <c r="O38" s="58" t="str">
        <f>IF(L38*391&gt;N38,"OK","NO")</f>
        <v>OK</v>
      </c>
      <c r="P38" s="56">
        <v>300</v>
      </c>
      <c r="Q38" s="56">
        <f t="shared" ref="Q38" si="28">450-80</f>
        <v>370</v>
      </c>
      <c r="R38" s="92">
        <f>(1.1*(E38+F38)*391)/1000-G38</f>
        <v>761.6146041841472</v>
      </c>
      <c r="S38" s="56">
        <f t="shared" si="5"/>
        <v>0.62563423262927031</v>
      </c>
    </row>
    <row r="39" spans="1:19" x14ac:dyDescent="0.25">
      <c r="A39" s="62"/>
      <c r="B39" s="26" t="s">
        <v>51</v>
      </c>
      <c r="C39" s="26" t="s">
        <v>19</v>
      </c>
      <c r="D39" s="54"/>
      <c r="E39" s="58"/>
      <c r="F39" s="58"/>
      <c r="G39" s="54"/>
      <c r="H39" s="96"/>
      <c r="I39" s="96"/>
      <c r="J39" s="96"/>
      <c r="K39" s="96"/>
      <c r="L39" s="96"/>
      <c r="M39" s="60"/>
      <c r="N39" s="60"/>
      <c r="O39" s="58"/>
      <c r="P39" s="56"/>
      <c r="Q39" s="56"/>
      <c r="R39" s="92"/>
      <c r="S39" s="56"/>
    </row>
    <row r="40" spans="1:19" x14ac:dyDescent="0.25">
      <c r="A40" s="62"/>
      <c r="B40" s="26" t="s">
        <v>44</v>
      </c>
      <c r="C40" s="26" t="s">
        <v>20</v>
      </c>
      <c r="D40" s="54">
        <v>379.26900000000001</v>
      </c>
      <c r="E40" s="58">
        <f>1256.63706143592</f>
        <v>1256.63706143592</v>
      </c>
      <c r="F40" s="58">
        <v>615.75216010359895</v>
      </c>
      <c r="G40" s="54">
        <v>48.945</v>
      </c>
      <c r="H40" s="96">
        <v>500</v>
      </c>
      <c r="I40" s="96">
        <v>50</v>
      </c>
      <c r="J40" s="96">
        <v>10</v>
      </c>
      <c r="K40" s="96">
        <v>4</v>
      </c>
      <c r="L40" s="96">
        <f t="shared" ref="L40" si="29">J40^2*PI()/4*K40*(H40/I40)</f>
        <v>3141.5926535897934</v>
      </c>
      <c r="M40" s="60">
        <f>D40*1000/(500*300*Confinamento!P40)</f>
        <v>5.677036133252638E-2</v>
      </c>
      <c r="N40" s="60">
        <f>1.1*(E40+F40)*391*(1-0.8*M40)</f>
        <v>768740.20333143161</v>
      </c>
      <c r="O40" s="58" t="str">
        <f>IF(L40*391&gt;N40,"OK","NO")</f>
        <v>OK</v>
      </c>
      <c r="P40" s="56">
        <v>300</v>
      </c>
      <c r="Q40" s="56">
        <f t="shared" ref="Q40" si="30">450-80</f>
        <v>370</v>
      </c>
      <c r="R40" s="92">
        <f>(1.1*(E40+F40)*391)/1000-G40</f>
        <v>756.36960418414719</v>
      </c>
      <c r="S40" s="56">
        <f t="shared" si="5"/>
        <v>0.62582508088831734</v>
      </c>
    </row>
    <row r="41" spans="1:19" x14ac:dyDescent="0.25">
      <c r="A41" s="62"/>
      <c r="B41" s="26" t="s">
        <v>52</v>
      </c>
      <c r="C41" s="26" t="s">
        <v>20</v>
      </c>
      <c r="D41" s="54"/>
      <c r="E41" s="58"/>
      <c r="F41" s="58"/>
      <c r="G41" s="54"/>
      <c r="H41" s="96"/>
      <c r="I41" s="96"/>
      <c r="J41" s="96"/>
      <c r="K41" s="96"/>
      <c r="L41" s="96"/>
      <c r="M41" s="60"/>
      <c r="N41" s="60"/>
      <c r="O41" s="58"/>
      <c r="P41" s="56"/>
      <c r="Q41" s="56"/>
      <c r="R41" s="92"/>
      <c r="S41" s="56"/>
    </row>
    <row r="42" spans="1:19" x14ac:dyDescent="0.25">
      <c r="A42" s="62"/>
      <c r="B42" s="26" t="s">
        <v>47</v>
      </c>
      <c r="C42" s="26" t="s">
        <v>21</v>
      </c>
      <c r="D42" s="54">
        <v>213.54</v>
      </c>
      <c r="E42" s="58">
        <f>1137.25654059951</f>
        <v>1137.2565405995099</v>
      </c>
      <c r="F42" s="58">
        <v>615.75216010359895</v>
      </c>
      <c r="G42" s="54">
        <v>57.374000000000002</v>
      </c>
      <c r="H42" s="96">
        <v>500</v>
      </c>
      <c r="I42" s="96">
        <v>50</v>
      </c>
      <c r="J42" s="96">
        <v>10</v>
      </c>
      <c r="K42" s="96">
        <v>4</v>
      </c>
      <c r="L42" s="96">
        <f t="shared" ref="L42" si="31">J42^2*PI()/4*K42*(H42/I42)</f>
        <v>3141.5926535897934</v>
      </c>
      <c r="M42" s="60">
        <f>D42*1000/(500*300*Confinamento!P42)</f>
        <v>3.1963442725210033E-2</v>
      </c>
      <c r="N42" s="60">
        <f>1.1*(E42+F42)*391*(1-0.8*M42)</f>
        <v>734689.48513555969</v>
      </c>
      <c r="O42" s="58" t="str">
        <f>IF(L42*391&gt;N42,"OK","NO")</f>
        <v>OK</v>
      </c>
      <c r="P42" s="56">
        <v>300</v>
      </c>
      <c r="Q42" s="56">
        <f t="shared" ref="Q42" si="32">450-80</f>
        <v>370</v>
      </c>
      <c r="R42" s="92">
        <f>(1.1*(E42+F42)*391)/1000-G42</f>
        <v>696.59504217240715</v>
      </c>
      <c r="S42" s="56">
        <f t="shared" si="5"/>
        <v>0.59810467108421417</v>
      </c>
    </row>
    <row r="43" spans="1:19" x14ac:dyDescent="0.25">
      <c r="A43" s="62"/>
      <c r="B43" s="26" t="s">
        <v>53</v>
      </c>
      <c r="C43" s="26" t="s">
        <v>21</v>
      </c>
      <c r="D43" s="54"/>
      <c r="E43" s="58"/>
      <c r="F43" s="58"/>
      <c r="G43" s="54"/>
      <c r="H43" s="96"/>
      <c r="I43" s="96"/>
      <c r="J43" s="96"/>
      <c r="K43" s="96"/>
      <c r="L43" s="96"/>
      <c r="M43" s="60"/>
      <c r="N43" s="60"/>
      <c r="O43" s="58"/>
      <c r="P43" s="56"/>
      <c r="Q43" s="56"/>
      <c r="R43" s="92"/>
      <c r="S43" s="56"/>
    </row>
    <row r="44" spans="1:19" ht="15" customHeight="1" x14ac:dyDescent="0.25">
      <c r="A44" s="63" t="s">
        <v>26</v>
      </c>
      <c r="B44" s="26" t="s">
        <v>13</v>
      </c>
      <c r="C44" s="26" t="s">
        <v>54</v>
      </c>
      <c r="D44" s="54">
        <v>24.209</v>
      </c>
      <c r="E44" s="54">
        <v>0</v>
      </c>
      <c r="F44" s="58">
        <v>534.07075111026495</v>
      </c>
      <c r="G44" s="54">
        <v>8.9529999999999994</v>
      </c>
      <c r="H44" s="96">
        <v>500</v>
      </c>
      <c r="I44" s="96">
        <v>50</v>
      </c>
      <c r="J44" s="96">
        <v>10</v>
      </c>
      <c r="K44" s="96">
        <v>2</v>
      </c>
      <c r="L44" s="96">
        <f t="shared" ref="L44" si="33">J44^2*PI()/4*K44*(H44/I44)</f>
        <v>1570.7963267948967</v>
      </c>
      <c r="M44" s="60">
        <f>D44*1000/(500*300*Confinamento!P44)</f>
        <v>4.1716498141618711E-3</v>
      </c>
      <c r="N44" s="60">
        <f>1.1*(E44+F44)*391*(1-0.8*M44)</f>
        <v>228937.23490056428</v>
      </c>
      <c r="O44" s="58" t="str">
        <f>IF(L44*391&gt;N44,"OK","NO")</f>
        <v>OK</v>
      </c>
      <c r="P44" s="56">
        <v>400</v>
      </c>
      <c r="Q44" s="56">
        <f>300-80</f>
        <v>220</v>
      </c>
      <c r="R44" s="92">
        <f>(1.1*(E44+F44)*391)/1000-G44</f>
        <v>220.75083005252498</v>
      </c>
      <c r="S44" s="56">
        <f t="shared" si="5"/>
        <v>0.37275184237560283</v>
      </c>
    </row>
    <row r="45" spans="1:19" x14ac:dyDescent="0.25">
      <c r="A45" s="63"/>
      <c r="B45" s="26" t="s">
        <v>18</v>
      </c>
      <c r="C45" s="26" t="s">
        <v>54</v>
      </c>
      <c r="D45" s="54"/>
      <c r="E45" s="54"/>
      <c r="F45" s="58"/>
      <c r="G45" s="54"/>
      <c r="H45" s="96"/>
      <c r="I45" s="96"/>
      <c r="J45" s="96"/>
      <c r="K45" s="96"/>
      <c r="L45" s="96"/>
      <c r="M45" s="60"/>
      <c r="N45" s="60"/>
      <c r="O45" s="58"/>
      <c r="P45" s="56"/>
      <c r="Q45" s="56"/>
      <c r="R45" s="92"/>
      <c r="S45" s="56"/>
    </row>
    <row r="46" spans="1:19" x14ac:dyDescent="0.25">
      <c r="A46" s="63"/>
      <c r="B46" s="26" t="s">
        <v>14</v>
      </c>
      <c r="C46" s="26" t="s">
        <v>55</v>
      </c>
      <c r="D46" s="54">
        <v>57.822000000000003</v>
      </c>
      <c r="E46" s="54">
        <v>0</v>
      </c>
      <c r="F46" s="58">
        <v>534.07075111026495</v>
      </c>
      <c r="G46" s="54">
        <v>4.9359999999999999</v>
      </c>
      <c r="H46" s="96">
        <v>500</v>
      </c>
      <c r="I46" s="96">
        <v>50</v>
      </c>
      <c r="J46" s="96">
        <v>10</v>
      </c>
      <c r="K46" s="96">
        <v>2</v>
      </c>
      <c r="L46" s="96">
        <f t="shared" ref="L46" si="34">J46^2*PI()/4*K46*(H46/I46)</f>
        <v>1570.7963267948967</v>
      </c>
      <c r="M46" s="60">
        <f>D46*1000/(500*300*Confinamento!P46)</f>
        <v>9.9637794024729533E-3</v>
      </c>
      <c r="N46" s="60">
        <f>1.1*(E46+F46)*391*(1-0.8*M46)</f>
        <v>227872.85542008778</v>
      </c>
      <c r="O46" s="58" t="str">
        <f>IF(L46*391&gt;N46,"OK","NO")</f>
        <v>OK</v>
      </c>
      <c r="P46" s="56">
        <v>400</v>
      </c>
      <c r="Q46" s="56">
        <f t="shared" ref="Q46" si="35">300-80</f>
        <v>220</v>
      </c>
      <c r="R46" s="92">
        <f>(1.1*(E46+F46)*391)/1000-G46</f>
        <v>224.76783005252497</v>
      </c>
      <c r="S46" s="56">
        <f t="shared" si="5"/>
        <v>0.37101883720278017</v>
      </c>
    </row>
    <row r="47" spans="1:19" x14ac:dyDescent="0.25">
      <c r="A47" s="63"/>
      <c r="B47" s="26" t="s">
        <v>19</v>
      </c>
      <c r="C47" s="26" t="s">
        <v>55</v>
      </c>
      <c r="D47" s="54"/>
      <c r="E47" s="54"/>
      <c r="F47" s="58"/>
      <c r="G47" s="54"/>
      <c r="H47" s="96"/>
      <c r="I47" s="96"/>
      <c r="J47" s="96"/>
      <c r="K47" s="96"/>
      <c r="L47" s="96"/>
      <c r="M47" s="60"/>
      <c r="N47" s="60"/>
      <c r="O47" s="58"/>
      <c r="P47" s="56"/>
      <c r="Q47" s="56"/>
      <c r="R47" s="92"/>
      <c r="S47" s="56"/>
    </row>
    <row r="48" spans="1:19" x14ac:dyDescent="0.25">
      <c r="A48" s="63"/>
      <c r="B48" s="26" t="s">
        <v>15</v>
      </c>
      <c r="C48" s="26" t="s">
        <v>56</v>
      </c>
      <c r="D48" s="54">
        <v>69.266999999999996</v>
      </c>
      <c r="E48" s="54">
        <v>0</v>
      </c>
      <c r="F48" s="58">
        <v>534.07075111026495</v>
      </c>
      <c r="G48" s="54">
        <v>2.7410000000000001</v>
      </c>
      <c r="H48" s="96">
        <v>500</v>
      </c>
      <c r="I48" s="96">
        <v>50</v>
      </c>
      <c r="J48" s="96">
        <v>10</v>
      </c>
      <c r="K48" s="96">
        <v>2</v>
      </c>
      <c r="L48" s="96">
        <f t="shared" ref="L48" si="36">J48^2*PI()/4*K48*(H48/I48)</f>
        <v>1570.7963267948967</v>
      </c>
      <c r="M48" s="60">
        <f>D48*1000/(500*300*Confinamento!P48)</f>
        <v>1.1935960497234515E-2</v>
      </c>
      <c r="N48" s="60">
        <f>1.1*(E48+F48)*391*(1-0.8*M48)</f>
        <v>227510.44137926865</v>
      </c>
      <c r="O48" s="58" t="str">
        <f>IF(L48*391&gt;N48,"OK","NO")</f>
        <v>OK</v>
      </c>
      <c r="P48" s="56">
        <v>400</v>
      </c>
      <c r="Q48" s="56">
        <f t="shared" ref="Q48" si="37">300-80</f>
        <v>220</v>
      </c>
      <c r="R48" s="92">
        <f>(1.1*(E48+F48)*391)/1000-G48</f>
        <v>226.96283005252496</v>
      </c>
      <c r="S48" s="56">
        <f t="shared" si="5"/>
        <v>0.37042876061922753</v>
      </c>
    </row>
    <row r="49" spans="1:19" x14ac:dyDescent="0.25">
      <c r="A49" s="63"/>
      <c r="B49" s="26" t="s">
        <v>20</v>
      </c>
      <c r="C49" s="26" t="s">
        <v>56</v>
      </c>
      <c r="D49" s="54"/>
      <c r="E49" s="54"/>
      <c r="F49" s="58"/>
      <c r="G49" s="54"/>
      <c r="H49" s="96"/>
      <c r="I49" s="96"/>
      <c r="J49" s="96"/>
      <c r="K49" s="96"/>
      <c r="L49" s="96"/>
      <c r="M49" s="60"/>
      <c r="N49" s="60"/>
      <c r="O49" s="58"/>
      <c r="P49" s="56"/>
      <c r="Q49" s="56"/>
      <c r="R49" s="92"/>
      <c r="S49" s="56"/>
    </row>
    <row r="50" spans="1:19" x14ac:dyDescent="0.25">
      <c r="A50" s="63"/>
      <c r="B50" s="26" t="s">
        <v>16</v>
      </c>
      <c r="C50" s="26" t="s">
        <v>57</v>
      </c>
      <c r="D50" s="54">
        <v>65.649000000000001</v>
      </c>
      <c r="E50" s="54">
        <v>0</v>
      </c>
      <c r="F50" s="58">
        <v>534.07075111026495</v>
      </c>
      <c r="G50" s="54">
        <v>4.2300000000000004</v>
      </c>
      <c r="H50" s="96">
        <v>500</v>
      </c>
      <c r="I50" s="96">
        <v>50</v>
      </c>
      <c r="J50" s="96">
        <v>10</v>
      </c>
      <c r="K50" s="96">
        <v>2</v>
      </c>
      <c r="L50" s="96">
        <f t="shared" ref="L50" si="38">J50^2*PI()/4*K50*(H50/I50)</f>
        <v>1570.7963267948967</v>
      </c>
      <c r="M50" s="60">
        <f>D50*1000/(500*300*Confinamento!P50)</f>
        <v>1.1312513472258775E-2</v>
      </c>
      <c r="N50" s="60">
        <f>1.1*(E50+F50)*391*(1-0.8*M50)</f>
        <v>227625.00791484609</v>
      </c>
      <c r="O50" s="58" t="str">
        <f>IF(L50*391&gt;N50,"OK","NO")</f>
        <v>OK</v>
      </c>
      <c r="P50" s="56">
        <v>400</v>
      </c>
      <c r="Q50" s="56">
        <f t="shared" ref="Q50" si="39">300-80</f>
        <v>220</v>
      </c>
      <c r="R50" s="92">
        <f>(1.1*(E50+F50)*391)/1000-G50</f>
        <v>225.47383005252499</v>
      </c>
      <c r="S50" s="56">
        <f t="shared" si="5"/>
        <v>0.37061529596910026</v>
      </c>
    </row>
    <row r="51" spans="1:19" x14ac:dyDescent="0.25">
      <c r="A51" s="63"/>
      <c r="B51" s="26" t="s">
        <v>21</v>
      </c>
      <c r="C51" s="26" t="s">
        <v>57</v>
      </c>
      <c r="D51" s="54"/>
      <c r="E51" s="54"/>
      <c r="F51" s="58"/>
      <c r="G51" s="54"/>
      <c r="H51" s="96"/>
      <c r="I51" s="96"/>
      <c r="J51" s="96"/>
      <c r="K51" s="96"/>
      <c r="L51" s="96"/>
      <c r="M51" s="60"/>
      <c r="N51" s="60"/>
      <c r="O51" s="58"/>
      <c r="P51" s="56"/>
      <c r="Q51" s="56"/>
      <c r="R51" s="92"/>
      <c r="S51" s="56"/>
    </row>
    <row r="52" spans="1:19" x14ac:dyDescent="0.25">
      <c r="A52" s="63"/>
      <c r="B52" s="26" t="s">
        <v>17</v>
      </c>
      <c r="C52" s="26" t="s">
        <v>58</v>
      </c>
      <c r="D52" s="54">
        <v>24.734000000000002</v>
      </c>
      <c r="E52" s="54">
        <v>0</v>
      </c>
      <c r="F52" s="58">
        <v>534.07075111026495</v>
      </c>
      <c r="G52" s="54">
        <v>10.332000000000001</v>
      </c>
      <c r="H52" s="96">
        <v>500</v>
      </c>
      <c r="I52" s="96">
        <v>50</v>
      </c>
      <c r="J52" s="96">
        <v>10</v>
      </c>
      <c r="K52" s="96">
        <v>2</v>
      </c>
      <c r="L52" s="96">
        <f t="shared" ref="L52" si="40">J52^2*PI()/4*K52*(H52/I52)</f>
        <v>1570.7963267948967</v>
      </c>
      <c r="M52" s="60">
        <f>D52*1000/(500*300*Confinamento!P52)</f>
        <v>4.2621168368573558E-3</v>
      </c>
      <c r="N52" s="60">
        <f>1.1*(E52+F52)*391*(1-0.8*M52)</f>
        <v>228920.61040327899</v>
      </c>
      <c r="O52" s="58" t="str">
        <f>IF(L52*391&gt;N52,"OK","NO")</f>
        <v>OK</v>
      </c>
      <c r="P52" s="56">
        <v>400</v>
      </c>
      <c r="Q52" s="56">
        <f t="shared" ref="Q52" si="41">300-80</f>
        <v>220</v>
      </c>
      <c r="R52" s="92">
        <f>(1.1*(E52+F52)*391)/1000-G52</f>
        <v>219.37183005252498</v>
      </c>
      <c r="S52" s="56">
        <f t="shared" si="5"/>
        <v>0.37272477464241233</v>
      </c>
    </row>
    <row r="53" spans="1:19" x14ac:dyDescent="0.25">
      <c r="A53" s="63"/>
      <c r="B53" s="26" t="s">
        <v>22</v>
      </c>
      <c r="C53" s="26" t="s">
        <v>58</v>
      </c>
      <c r="D53" s="54"/>
      <c r="E53" s="54"/>
      <c r="F53" s="58"/>
      <c r="G53" s="54"/>
      <c r="H53" s="96"/>
      <c r="I53" s="96"/>
      <c r="J53" s="96"/>
      <c r="K53" s="96"/>
      <c r="L53" s="96"/>
      <c r="M53" s="60"/>
      <c r="N53" s="60"/>
      <c r="O53" s="58"/>
      <c r="P53" s="56"/>
      <c r="Q53" s="56"/>
      <c r="R53" s="92"/>
      <c r="S53" s="56"/>
    </row>
    <row r="54" spans="1:19" x14ac:dyDescent="0.25">
      <c r="A54" s="63"/>
      <c r="B54" s="26" t="s">
        <v>49</v>
      </c>
      <c r="C54" s="26" t="s">
        <v>22</v>
      </c>
      <c r="D54" s="54">
        <v>86.903000000000006</v>
      </c>
      <c r="E54" s="58">
        <v>1017.87601976309</v>
      </c>
      <c r="F54" s="58">
        <v>534.07075111026495</v>
      </c>
      <c r="G54" s="54">
        <v>22.844999999999999</v>
      </c>
      <c r="H54" s="96">
        <v>500</v>
      </c>
      <c r="I54" s="96">
        <v>50</v>
      </c>
      <c r="J54" s="96">
        <v>10</v>
      </c>
      <c r="K54" s="96">
        <v>4</v>
      </c>
      <c r="L54" s="96">
        <f t="shared" ref="L54" si="42">J54^2*PI()/4*K54*(H54/I54)</f>
        <v>3141.5926535897934</v>
      </c>
      <c r="M54" s="60">
        <f>D54*1000/(500*300*Confinamento!P54)</f>
        <v>1.1666551835626843E-2</v>
      </c>
      <c r="N54" s="60">
        <f>1.1*(E54+F54)*391*(1-0.8*M54)</f>
        <v>661262.43928094057</v>
      </c>
      <c r="O54" s="58" t="str">
        <f>IF(L54*391&gt;N54,"OK","NO")</f>
        <v>OK</v>
      </c>
      <c r="P54" s="56">
        <v>300</v>
      </c>
      <c r="Q54" s="56">
        <f>400-80</f>
        <v>320</v>
      </c>
      <c r="R54" s="92">
        <f>(1.1*(E54+F54)*391)/1000-G54</f>
        <v>644.64730615262999</v>
      </c>
      <c r="S54" s="56">
        <f t="shared" si="5"/>
        <v>0.53832831658601521</v>
      </c>
    </row>
    <row r="55" spans="1:19" x14ac:dyDescent="0.25">
      <c r="A55" s="63"/>
      <c r="B55" s="26" t="s">
        <v>59</v>
      </c>
      <c r="C55" s="26" t="s">
        <v>22</v>
      </c>
      <c r="D55" s="54"/>
      <c r="E55" s="58"/>
      <c r="F55" s="58"/>
      <c r="G55" s="54"/>
      <c r="H55" s="96"/>
      <c r="I55" s="96"/>
      <c r="J55" s="96"/>
      <c r="K55" s="96"/>
      <c r="L55" s="96"/>
      <c r="M55" s="60"/>
      <c r="N55" s="60"/>
      <c r="O55" s="58"/>
      <c r="P55" s="56"/>
      <c r="Q55" s="56"/>
      <c r="R55" s="92"/>
      <c r="S55" s="56"/>
    </row>
    <row r="56" spans="1:19" x14ac:dyDescent="0.25">
      <c r="A56" s="63"/>
      <c r="B56" s="26" t="s">
        <v>50</v>
      </c>
      <c r="C56" s="26" t="s">
        <v>33</v>
      </c>
      <c r="D56" s="54">
        <v>157.72900000000001</v>
      </c>
      <c r="E56" s="58">
        <v>1017.87601976309</v>
      </c>
      <c r="F56" s="58">
        <v>534.07075111026495</v>
      </c>
      <c r="G56" s="54">
        <v>18.577000000000002</v>
      </c>
      <c r="H56" s="96">
        <v>500</v>
      </c>
      <c r="I56" s="96">
        <v>50</v>
      </c>
      <c r="J56" s="96">
        <v>10</v>
      </c>
      <c r="K56" s="96">
        <v>4</v>
      </c>
      <c r="L56" s="96">
        <f t="shared" ref="L56" si="43">J56^2*PI()/4*K56*(H56/I56)</f>
        <v>3141.5926535897934</v>
      </c>
      <c r="M56" s="60">
        <f>D56*1000/(500*300*Confinamento!P56)</f>
        <v>2.1174798965301382E-2</v>
      </c>
      <c r="N56" s="60">
        <f>1.1*(E56+F56)*391*(1-0.8*M56)</f>
        <v>656185.09383769613</v>
      </c>
      <c r="O56" s="58" t="str">
        <f>IF(L56*391&gt;N56,"OK","NO")</f>
        <v>OK</v>
      </c>
      <c r="P56" s="56">
        <v>300</v>
      </c>
      <c r="Q56" s="56">
        <f t="shared" ref="Q56" si="44">400-80</f>
        <v>320</v>
      </c>
      <c r="R56" s="92">
        <f>(1.1*(E56+F56)*391)/1000-G56</f>
        <v>648.91530615263002</v>
      </c>
      <c r="S56" s="56">
        <f t="shared" si="5"/>
        <v>0.53419489139380316</v>
      </c>
    </row>
    <row r="57" spans="1:19" x14ac:dyDescent="0.25">
      <c r="A57" s="63"/>
      <c r="B57" s="26" t="s">
        <v>60</v>
      </c>
      <c r="C57" s="26" t="s">
        <v>33</v>
      </c>
      <c r="D57" s="54"/>
      <c r="E57" s="58"/>
      <c r="F57" s="58"/>
      <c r="G57" s="54"/>
      <c r="H57" s="96"/>
      <c r="I57" s="96"/>
      <c r="J57" s="96"/>
      <c r="K57" s="96"/>
      <c r="L57" s="96"/>
      <c r="M57" s="60"/>
      <c r="N57" s="60"/>
      <c r="O57" s="58"/>
      <c r="P57" s="56"/>
      <c r="Q57" s="56"/>
      <c r="R57" s="92"/>
      <c r="S57" s="56"/>
    </row>
    <row r="58" spans="1:19" x14ac:dyDescent="0.25">
      <c r="A58" s="63"/>
      <c r="B58" s="26" t="s">
        <v>51</v>
      </c>
      <c r="C58" s="26" t="s">
        <v>36</v>
      </c>
      <c r="D58" s="54">
        <v>182.61099999999999</v>
      </c>
      <c r="E58" s="58">
        <v>1137.2565405995099</v>
      </c>
      <c r="F58" s="58">
        <f>615.752160103599</f>
        <v>615.75216010359895</v>
      </c>
      <c r="G58" s="54">
        <v>16.13</v>
      </c>
      <c r="H58" s="96">
        <v>500</v>
      </c>
      <c r="I58" s="96">
        <v>50</v>
      </c>
      <c r="J58" s="96">
        <v>10</v>
      </c>
      <c r="K58" s="96">
        <v>4</v>
      </c>
      <c r="L58" s="96">
        <f t="shared" ref="L58" si="45">J58^2*PI()/4*K58*(H58/I58)</f>
        <v>3141.5926535897934</v>
      </c>
      <c r="M58" s="60">
        <f>D58*1000/(500*300*Confinamento!P58)</f>
        <v>2.4515157097633605E-2</v>
      </c>
      <c r="N58" s="60">
        <f>1.1*(E58+F58)*391*(1-0.8*M58)</f>
        <v>739182.10655992001</v>
      </c>
      <c r="O58" s="58" t="str">
        <f>IF(L58*391&gt;N58,"OK","NO")</f>
        <v>OK</v>
      </c>
      <c r="P58" s="56">
        <v>300</v>
      </c>
      <c r="Q58" s="56">
        <f t="shared" ref="Q58" si="46">400-80</f>
        <v>320</v>
      </c>
      <c r="R58" s="92">
        <f>(1.1*(E58+F58)*391)/1000-G58</f>
        <v>737.83904217240718</v>
      </c>
      <c r="S58" s="56">
        <f t="shared" si="5"/>
        <v>0.60176207725877939</v>
      </c>
    </row>
    <row r="59" spans="1:19" x14ac:dyDescent="0.25">
      <c r="A59" s="63"/>
      <c r="B59" s="26" t="s">
        <v>61</v>
      </c>
      <c r="C59" s="26" t="s">
        <v>36</v>
      </c>
      <c r="D59" s="54"/>
      <c r="E59" s="58"/>
      <c r="F59" s="58"/>
      <c r="G59" s="54"/>
      <c r="H59" s="96"/>
      <c r="I59" s="96"/>
      <c r="J59" s="96"/>
      <c r="K59" s="96"/>
      <c r="L59" s="96"/>
      <c r="M59" s="60"/>
      <c r="N59" s="60"/>
      <c r="O59" s="58"/>
      <c r="P59" s="56"/>
      <c r="Q59" s="56"/>
      <c r="R59" s="92"/>
      <c r="S59" s="56"/>
    </row>
    <row r="60" spans="1:19" x14ac:dyDescent="0.25">
      <c r="A60" s="63"/>
      <c r="B60" s="26" t="s">
        <v>52</v>
      </c>
      <c r="C60" s="26" t="s">
        <v>39</v>
      </c>
      <c r="D60" s="54">
        <v>181.703</v>
      </c>
      <c r="E60" s="58">
        <v>1137.2565405995099</v>
      </c>
      <c r="F60" s="58">
        <f>615.752160103599</f>
        <v>615.75216010359895</v>
      </c>
      <c r="G60" s="54">
        <v>18.57</v>
      </c>
      <c r="H60" s="96">
        <v>500</v>
      </c>
      <c r="I60" s="96">
        <v>50</v>
      </c>
      <c r="J60" s="96">
        <v>10</v>
      </c>
      <c r="K60" s="96">
        <v>4</v>
      </c>
      <c r="L60" s="96">
        <f t="shared" ref="L60" si="47">J60^2*PI()/4*K60*(H60/I60)</f>
        <v>3141.5926535897934</v>
      </c>
      <c r="M60" s="60">
        <f>D60*1000/(500*300*Confinamento!P60)</f>
        <v>2.4393259935662798E-2</v>
      </c>
      <c r="N60" s="60">
        <f>1.1*(E60+F60)*391*(1-0.8*M60)</f>
        <v>739255.63190908381</v>
      </c>
      <c r="O60" s="58" t="str">
        <f>IF(L60*391&gt;N60,"OK","NO")</f>
        <v>OK</v>
      </c>
      <c r="P60" s="56">
        <v>300</v>
      </c>
      <c r="Q60" s="56">
        <f t="shared" ref="Q60" si="48">400-80</f>
        <v>320</v>
      </c>
      <c r="R60" s="92">
        <f>(1.1*(E60+F60)*391)/1000-G60</f>
        <v>735.39904217240712</v>
      </c>
      <c r="S60" s="56">
        <f t="shared" si="5"/>
        <v>0.60182193364119363</v>
      </c>
    </row>
    <row r="61" spans="1:19" x14ac:dyDescent="0.25">
      <c r="A61" s="63"/>
      <c r="B61" s="26" t="s">
        <v>62</v>
      </c>
      <c r="C61" s="26" t="s">
        <v>39</v>
      </c>
      <c r="D61" s="54"/>
      <c r="E61" s="58"/>
      <c r="F61" s="58"/>
      <c r="G61" s="54"/>
      <c r="H61" s="96"/>
      <c r="I61" s="96"/>
      <c r="J61" s="96"/>
      <c r="K61" s="96"/>
      <c r="L61" s="96"/>
      <c r="M61" s="60"/>
      <c r="N61" s="60"/>
      <c r="O61" s="58"/>
      <c r="P61" s="56"/>
      <c r="Q61" s="56"/>
      <c r="R61" s="92"/>
      <c r="S61" s="56"/>
    </row>
    <row r="62" spans="1:19" x14ac:dyDescent="0.25">
      <c r="A62" s="63"/>
      <c r="B62" s="26" t="s">
        <v>53</v>
      </c>
      <c r="C62" s="26" t="s">
        <v>42</v>
      </c>
      <c r="D62" s="54">
        <v>86.835999999999999</v>
      </c>
      <c r="E62" s="58">
        <v>1017.87601976309</v>
      </c>
      <c r="F62" s="58">
        <v>534.07075111026495</v>
      </c>
      <c r="G62" s="54">
        <v>25.384</v>
      </c>
      <c r="H62" s="96">
        <v>500</v>
      </c>
      <c r="I62" s="96">
        <v>50</v>
      </c>
      <c r="J62" s="96">
        <v>10</v>
      </c>
      <c r="K62" s="96">
        <v>4</v>
      </c>
      <c r="L62" s="96">
        <f t="shared" ref="L62" si="49">J62^2*PI()/4*K62*(H62/I62)</f>
        <v>3141.5926535897934</v>
      </c>
      <c r="M62" s="60">
        <f>D62*1000/(500*300*Confinamento!P62)</f>
        <v>1.1657557221252344E-2</v>
      </c>
      <c r="N62" s="60">
        <f>1.1*(E62+F62)*391*(1-0.8*M62)</f>
        <v>661267.24234965397</v>
      </c>
      <c r="O62" s="58" t="str">
        <f>IF(L62*391&gt;N62,"OK","NO")</f>
        <v>OK</v>
      </c>
      <c r="P62" s="56">
        <v>300</v>
      </c>
      <c r="Q62" s="56">
        <f t="shared" ref="Q62" si="50">400-80</f>
        <v>320</v>
      </c>
      <c r="R62" s="92">
        <f>(1.1*(E62+F62)*391)/1000-G62</f>
        <v>642.10830615263001</v>
      </c>
      <c r="S62" s="56">
        <f t="shared" si="5"/>
        <v>0.5383322267247761</v>
      </c>
    </row>
    <row r="63" spans="1:19" x14ac:dyDescent="0.25">
      <c r="A63" s="63"/>
      <c r="B63" s="26" t="s">
        <v>63</v>
      </c>
      <c r="C63" s="26" t="s">
        <v>42</v>
      </c>
      <c r="D63" s="54"/>
      <c r="E63" s="58"/>
      <c r="F63" s="58"/>
      <c r="G63" s="54"/>
      <c r="H63" s="96"/>
      <c r="I63" s="96"/>
      <c r="J63" s="96"/>
      <c r="K63" s="96"/>
      <c r="L63" s="96"/>
      <c r="M63" s="60"/>
      <c r="N63" s="60"/>
      <c r="O63" s="58"/>
      <c r="P63" s="56"/>
      <c r="Q63" s="56"/>
      <c r="R63" s="92"/>
      <c r="S63" s="56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</sheetData>
  <mergeCells count="484">
    <mergeCell ref="S58:S59"/>
    <mergeCell ref="S60:S61"/>
    <mergeCell ref="S62:S63"/>
    <mergeCell ref="B1:S1"/>
    <mergeCell ref="S40:S41"/>
    <mergeCell ref="S42:S43"/>
    <mergeCell ref="S44:S45"/>
    <mergeCell ref="S46:S47"/>
    <mergeCell ref="S48:S49"/>
    <mergeCell ref="S50:S51"/>
    <mergeCell ref="S52:S53"/>
    <mergeCell ref="S54:S55"/>
    <mergeCell ref="S56:S57"/>
    <mergeCell ref="S22:S23"/>
    <mergeCell ref="S24:S25"/>
    <mergeCell ref="S26:S27"/>
    <mergeCell ref="S28:S29"/>
    <mergeCell ref="S30:S31"/>
    <mergeCell ref="S32:S33"/>
    <mergeCell ref="S34:S35"/>
    <mergeCell ref="S36:S37"/>
    <mergeCell ref="S38:S39"/>
    <mergeCell ref="S4:S5"/>
    <mergeCell ref="S6:S7"/>
    <mergeCell ref="S8:S9"/>
    <mergeCell ref="S10:S11"/>
    <mergeCell ref="S12:S13"/>
    <mergeCell ref="S14:S15"/>
    <mergeCell ref="S16:S17"/>
    <mergeCell ref="S18:S19"/>
    <mergeCell ref="S20:S21"/>
    <mergeCell ref="H62:H63"/>
    <mergeCell ref="P62:P63"/>
    <mergeCell ref="Q62:Q63"/>
    <mergeCell ref="M62:M63"/>
    <mergeCell ref="L62:L63"/>
    <mergeCell ref="O62:O63"/>
    <mergeCell ref="D58:D59"/>
    <mergeCell ref="D60:D61"/>
    <mergeCell ref="D62:D63"/>
    <mergeCell ref="I58:I59"/>
    <mergeCell ref="J58:J59"/>
    <mergeCell ref="I60:I61"/>
    <mergeCell ref="J60:J61"/>
    <mergeCell ref="I62:I63"/>
    <mergeCell ref="J62:J63"/>
    <mergeCell ref="N58:N59"/>
    <mergeCell ref="N60:N61"/>
    <mergeCell ref="N62:N63"/>
    <mergeCell ref="P60:P61"/>
    <mergeCell ref="Q60:Q61"/>
    <mergeCell ref="M60:M61"/>
    <mergeCell ref="L60:L61"/>
    <mergeCell ref="O60:O61"/>
    <mergeCell ref="E62:E63"/>
    <mergeCell ref="F62:F63"/>
    <mergeCell ref="G62:G63"/>
    <mergeCell ref="R62:R63"/>
    <mergeCell ref="E60:E61"/>
    <mergeCell ref="F60:F61"/>
    <mergeCell ref="G60:G61"/>
    <mergeCell ref="R60:R61"/>
    <mergeCell ref="H60:H61"/>
    <mergeCell ref="D46:D47"/>
    <mergeCell ref="D48:D49"/>
    <mergeCell ref="D50:D51"/>
    <mergeCell ref="D52:D53"/>
    <mergeCell ref="D54:D55"/>
    <mergeCell ref="D56:D57"/>
    <mergeCell ref="H58:H59"/>
    <mergeCell ref="P58:P59"/>
    <mergeCell ref="Q58:Q59"/>
    <mergeCell ref="M58:M59"/>
    <mergeCell ref="L58:L59"/>
    <mergeCell ref="O58:O59"/>
    <mergeCell ref="P56:P57"/>
    <mergeCell ref="Q56:Q57"/>
    <mergeCell ref="M56:M57"/>
    <mergeCell ref="L56:L57"/>
    <mergeCell ref="D34:D35"/>
    <mergeCell ref="D36:D37"/>
    <mergeCell ref="D38:D39"/>
    <mergeCell ref="D40:D41"/>
    <mergeCell ref="D42:D43"/>
    <mergeCell ref="D44:D45"/>
    <mergeCell ref="I34:I35"/>
    <mergeCell ref="J34:J35"/>
    <mergeCell ref="I36:I37"/>
    <mergeCell ref="J36:J37"/>
    <mergeCell ref="I38:I39"/>
    <mergeCell ref="J38:J39"/>
    <mergeCell ref="I40:I41"/>
    <mergeCell ref="J40:J41"/>
    <mergeCell ref="I42:I43"/>
    <mergeCell ref="J42:J43"/>
    <mergeCell ref="I44:I45"/>
    <mergeCell ref="J44:J45"/>
    <mergeCell ref="H40:H41"/>
    <mergeCell ref="H36:H37"/>
    <mergeCell ref="E40:E41"/>
    <mergeCell ref="F40:F41"/>
    <mergeCell ref="E36:E37"/>
    <mergeCell ref="F36:F37"/>
    <mergeCell ref="E58:E59"/>
    <mergeCell ref="F58:F59"/>
    <mergeCell ref="G58:G59"/>
    <mergeCell ref="R58:R59"/>
    <mergeCell ref="I56:I57"/>
    <mergeCell ref="J56:J57"/>
    <mergeCell ref="N56:N57"/>
    <mergeCell ref="E56:E57"/>
    <mergeCell ref="F56:F57"/>
    <mergeCell ref="G56:G57"/>
    <mergeCell ref="R56:R57"/>
    <mergeCell ref="H56:H57"/>
    <mergeCell ref="D22:D23"/>
    <mergeCell ref="D24:D25"/>
    <mergeCell ref="D26:D27"/>
    <mergeCell ref="D28:D29"/>
    <mergeCell ref="D30:D31"/>
    <mergeCell ref="D32:D33"/>
    <mergeCell ref="R24:R25"/>
    <mergeCell ref="H54:H55"/>
    <mergeCell ref="P54:P55"/>
    <mergeCell ref="Q54:Q55"/>
    <mergeCell ref="M54:M55"/>
    <mergeCell ref="L54:L55"/>
    <mergeCell ref="O54:O55"/>
    <mergeCell ref="P52:P53"/>
    <mergeCell ref="Q52:Q53"/>
    <mergeCell ref="M52:M53"/>
    <mergeCell ref="L52:L53"/>
    <mergeCell ref="O52:O53"/>
    <mergeCell ref="E54:E55"/>
    <mergeCell ref="F54:F55"/>
    <mergeCell ref="G54:G55"/>
    <mergeCell ref="R54:R55"/>
    <mergeCell ref="I52:I53"/>
    <mergeCell ref="J52:J5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G52:G53"/>
    <mergeCell ref="I4:I5"/>
    <mergeCell ref="J4:J5"/>
    <mergeCell ref="I6:I7"/>
    <mergeCell ref="J6:J7"/>
    <mergeCell ref="I8:I9"/>
    <mergeCell ref="J8:J9"/>
    <mergeCell ref="I10:I11"/>
    <mergeCell ref="J10:J11"/>
    <mergeCell ref="I12:I13"/>
    <mergeCell ref="J12:J13"/>
    <mergeCell ref="J14:J15"/>
    <mergeCell ref="I16:I17"/>
    <mergeCell ref="J16:J17"/>
    <mergeCell ref="I18:I19"/>
    <mergeCell ref="J18:J19"/>
    <mergeCell ref="I20:I21"/>
    <mergeCell ref="J20:J21"/>
    <mergeCell ref="I22:I23"/>
    <mergeCell ref="J22:J23"/>
    <mergeCell ref="G40:G41"/>
    <mergeCell ref="G36:G37"/>
    <mergeCell ref="H6:H7"/>
    <mergeCell ref="R52:R53"/>
    <mergeCell ref="H52:H53"/>
    <mergeCell ref="I50:I51"/>
    <mergeCell ref="J50:J51"/>
    <mergeCell ref="N50:N51"/>
    <mergeCell ref="M48:M49"/>
    <mergeCell ref="L48:L49"/>
    <mergeCell ref="O48:O49"/>
    <mergeCell ref="E50:E51"/>
    <mergeCell ref="F50:F51"/>
    <mergeCell ref="G50:G51"/>
    <mergeCell ref="R50:R51"/>
    <mergeCell ref="H50:H51"/>
    <mergeCell ref="P50:P51"/>
    <mergeCell ref="I48:I49"/>
    <mergeCell ref="J48:J49"/>
    <mergeCell ref="N48:N49"/>
    <mergeCell ref="N52:N53"/>
    <mergeCell ref="Q50:Q51"/>
    <mergeCell ref="M50:M51"/>
    <mergeCell ref="L50:L51"/>
    <mergeCell ref="O50:O51"/>
    <mergeCell ref="E52:E53"/>
    <mergeCell ref="F52:F53"/>
    <mergeCell ref="E48:E49"/>
    <mergeCell ref="F48:F49"/>
    <mergeCell ref="G48:G49"/>
    <mergeCell ref="R48:R49"/>
    <mergeCell ref="H48:H49"/>
    <mergeCell ref="P48:P49"/>
    <mergeCell ref="Q48:Q49"/>
    <mergeCell ref="I46:I47"/>
    <mergeCell ref="J46:J47"/>
    <mergeCell ref="N46:N47"/>
    <mergeCell ref="E46:E47"/>
    <mergeCell ref="F46:F47"/>
    <mergeCell ref="G46:G47"/>
    <mergeCell ref="R46:R47"/>
    <mergeCell ref="H46:H47"/>
    <mergeCell ref="P46:P47"/>
    <mergeCell ref="Q46:Q47"/>
    <mergeCell ref="M46:M47"/>
    <mergeCell ref="N44:N45"/>
    <mergeCell ref="R44:R45"/>
    <mergeCell ref="H44:H45"/>
    <mergeCell ref="P44:P45"/>
    <mergeCell ref="Q44:Q45"/>
    <mergeCell ref="M44:M45"/>
    <mergeCell ref="L44:L45"/>
    <mergeCell ref="L46:L47"/>
    <mergeCell ref="O46:O47"/>
    <mergeCell ref="A44:A63"/>
    <mergeCell ref="E44:E45"/>
    <mergeCell ref="F44:F45"/>
    <mergeCell ref="G44:G45"/>
    <mergeCell ref="N42:N43"/>
    <mergeCell ref="E42:E43"/>
    <mergeCell ref="F42:F43"/>
    <mergeCell ref="G42:G43"/>
    <mergeCell ref="R42:R43"/>
    <mergeCell ref="H42:H43"/>
    <mergeCell ref="A24:A43"/>
    <mergeCell ref="E24:E25"/>
    <mergeCell ref="F24:F25"/>
    <mergeCell ref="G24:G25"/>
    <mergeCell ref="K60:K61"/>
    <mergeCell ref="K62:K63"/>
    <mergeCell ref="I24:I25"/>
    <mergeCell ref="J24:J25"/>
    <mergeCell ref="I26:I27"/>
    <mergeCell ref="J26:J27"/>
    <mergeCell ref="I28:I29"/>
    <mergeCell ref="J28:J29"/>
    <mergeCell ref="I30:I31"/>
    <mergeCell ref="P42:P43"/>
    <mergeCell ref="M4:M5"/>
    <mergeCell ref="N4:N5"/>
    <mergeCell ref="N6:N7"/>
    <mergeCell ref="N8:N9"/>
    <mergeCell ref="N10:N11"/>
    <mergeCell ref="N12:N13"/>
    <mergeCell ref="N14:N15"/>
    <mergeCell ref="N16:N17"/>
    <mergeCell ref="N18:N19"/>
    <mergeCell ref="M8:M9"/>
    <mergeCell ref="R40:R41"/>
    <mergeCell ref="N38:N39"/>
    <mergeCell ref="N40:N41"/>
    <mergeCell ref="E38:E39"/>
    <mergeCell ref="F38:F39"/>
    <mergeCell ref="G38:G39"/>
    <mergeCell ref="R38:R39"/>
    <mergeCell ref="H38:H39"/>
    <mergeCell ref="P40:P41"/>
    <mergeCell ref="Q40:Q41"/>
    <mergeCell ref="M40:M41"/>
    <mergeCell ref="L40:L41"/>
    <mergeCell ref="O40:O41"/>
    <mergeCell ref="P38:P39"/>
    <mergeCell ref="Q38:Q39"/>
    <mergeCell ref="M38:M39"/>
    <mergeCell ref="L38:L39"/>
    <mergeCell ref="R36:R37"/>
    <mergeCell ref="P36:P37"/>
    <mergeCell ref="Q36:Q37"/>
    <mergeCell ref="M36:M37"/>
    <mergeCell ref="L36:L37"/>
    <mergeCell ref="O36:O37"/>
    <mergeCell ref="N36:N37"/>
    <mergeCell ref="E34:E35"/>
    <mergeCell ref="F34:F35"/>
    <mergeCell ref="G34:G35"/>
    <mergeCell ref="R34:R35"/>
    <mergeCell ref="H34:H35"/>
    <mergeCell ref="P34:P35"/>
    <mergeCell ref="Q34:Q35"/>
    <mergeCell ref="M34:M35"/>
    <mergeCell ref="L34:L35"/>
    <mergeCell ref="O34:O35"/>
    <mergeCell ref="N34:N35"/>
    <mergeCell ref="E32:E33"/>
    <mergeCell ref="F32:F33"/>
    <mergeCell ref="G32:G33"/>
    <mergeCell ref="R32:R33"/>
    <mergeCell ref="H32:H33"/>
    <mergeCell ref="P32:P33"/>
    <mergeCell ref="Q32:Q33"/>
    <mergeCell ref="M32:M33"/>
    <mergeCell ref="L32:L33"/>
    <mergeCell ref="O32:O33"/>
    <mergeCell ref="N32:N33"/>
    <mergeCell ref="I32:I33"/>
    <mergeCell ref="J32:J33"/>
    <mergeCell ref="E30:E31"/>
    <mergeCell ref="F30:F31"/>
    <mergeCell ref="G30:G31"/>
    <mergeCell ref="R30:R31"/>
    <mergeCell ref="H30:H31"/>
    <mergeCell ref="P30:P31"/>
    <mergeCell ref="Q30:Q31"/>
    <mergeCell ref="M30:M31"/>
    <mergeCell ref="L30:L31"/>
    <mergeCell ref="O30:O31"/>
    <mergeCell ref="N30:N31"/>
    <mergeCell ref="J30:J31"/>
    <mergeCell ref="O26:O27"/>
    <mergeCell ref="E28:E29"/>
    <mergeCell ref="F28:F29"/>
    <mergeCell ref="G28:G29"/>
    <mergeCell ref="R28:R29"/>
    <mergeCell ref="H28:H29"/>
    <mergeCell ref="P28:P29"/>
    <mergeCell ref="Q28:Q29"/>
    <mergeCell ref="M28:M29"/>
    <mergeCell ref="R26:R27"/>
    <mergeCell ref="H26:H27"/>
    <mergeCell ref="P26:P27"/>
    <mergeCell ref="Q26:Q27"/>
    <mergeCell ref="M26:M27"/>
    <mergeCell ref="L26:L27"/>
    <mergeCell ref="E26:E27"/>
    <mergeCell ref="F26:F27"/>
    <mergeCell ref="G26:G27"/>
    <mergeCell ref="K54:K55"/>
    <mergeCell ref="K56:K57"/>
    <mergeCell ref="K58:K59"/>
    <mergeCell ref="H24:H25"/>
    <mergeCell ref="P24:P25"/>
    <mergeCell ref="Q24:Q25"/>
    <mergeCell ref="M24:M25"/>
    <mergeCell ref="L24:L25"/>
    <mergeCell ref="O24:O25"/>
    <mergeCell ref="L28:L29"/>
    <mergeCell ref="O28:O29"/>
    <mergeCell ref="O38:O39"/>
    <mergeCell ref="N24:N25"/>
    <mergeCell ref="N26:N27"/>
    <mergeCell ref="N28:N29"/>
    <mergeCell ref="Q42:Q43"/>
    <mergeCell ref="M42:M43"/>
    <mergeCell ref="L42:L43"/>
    <mergeCell ref="O42:O43"/>
    <mergeCell ref="O44:O45"/>
    <mergeCell ref="I54:I55"/>
    <mergeCell ref="J54:J55"/>
    <mergeCell ref="N54:N55"/>
    <mergeCell ref="O56:O57"/>
    <mergeCell ref="O20:O21"/>
    <mergeCell ref="E22:E23"/>
    <mergeCell ref="F22:F23"/>
    <mergeCell ref="G22:G23"/>
    <mergeCell ref="R22:R23"/>
    <mergeCell ref="E20:E21"/>
    <mergeCell ref="F20:F21"/>
    <mergeCell ref="G20:G21"/>
    <mergeCell ref="R20:R21"/>
    <mergeCell ref="H20:H21"/>
    <mergeCell ref="H22:H23"/>
    <mergeCell ref="P22:P23"/>
    <mergeCell ref="Q22:Q23"/>
    <mergeCell ref="M22:M23"/>
    <mergeCell ref="L22:L23"/>
    <mergeCell ref="O22:O23"/>
    <mergeCell ref="N20:N21"/>
    <mergeCell ref="N22:N23"/>
    <mergeCell ref="K42:K43"/>
    <mergeCell ref="K44:K45"/>
    <mergeCell ref="K46:K47"/>
    <mergeCell ref="K48:K49"/>
    <mergeCell ref="K50:K51"/>
    <mergeCell ref="K52:K53"/>
    <mergeCell ref="P16:P17"/>
    <mergeCell ref="Q16:Q17"/>
    <mergeCell ref="M16:M17"/>
    <mergeCell ref="L16:L17"/>
    <mergeCell ref="O16:O17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P20:P21"/>
    <mergeCell ref="Q20:Q21"/>
    <mergeCell ref="M20:M21"/>
    <mergeCell ref="L20:L21"/>
    <mergeCell ref="E18:E19"/>
    <mergeCell ref="F18:F19"/>
    <mergeCell ref="G18:G19"/>
    <mergeCell ref="R18:R19"/>
    <mergeCell ref="E16:E17"/>
    <mergeCell ref="F16:F17"/>
    <mergeCell ref="G16:G17"/>
    <mergeCell ref="R16:R17"/>
    <mergeCell ref="H16:H17"/>
    <mergeCell ref="H18:H19"/>
    <mergeCell ref="P18:P19"/>
    <mergeCell ref="Q18:Q19"/>
    <mergeCell ref="M18:M19"/>
    <mergeCell ref="L18:L19"/>
    <mergeCell ref="O18:O19"/>
    <mergeCell ref="O8:O9"/>
    <mergeCell ref="E14:E15"/>
    <mergeCell ref="F14:F15"/>
    <mergeCell ref="G14:G15"/>
    <mergeCell ref="R14:R15"/>
    <mergeCell ref="E12:E13"/>
    <mergeCell ref="F12:F13"/>
    <mergeCell ref="G12:G13"/>
    <mergeCell ref="R12:R13"/>
    <mergeCell ref="H12:H13"/>
    <mergeCell ref="H14:H15"/>
    <mergeCell ref="P14:P15"/>
    <mergeCell ref="Q14:Q15"/>
    <mergeCell ref="M14:M15"/>
    <mergeCell ref="L14:L15"/>
    <mergeCell ref="O14:O15"/>
    <mergeCell ref="P12:P13"/>
    <mergeCell ref="Q12:Q13"/>
    <mergeCell ref="M12:M13"/>
    <mergeCell ref="L12:L13"/>
    <mergeCell ref="O12:O13"/>
    <mergeCell ref="I14:I15"/>
    <mergeCell ref="P6:P7"/>
    <mergeCell ref="E10:E11"/>
    <mergeCell ref="F10:F11"/>
    <mergeCell ref="G10:G11"/>
    <mergeCell ref="R10:R11"/>
    <mergeCell ref="Q6:Q7"/>
    <mergeCell ref="M6:M7"/>
    <mergeCell ref="L6:L7"/>
    <mergeCell ref="O6:O7"/>
    <mergeCell ref="E8:E9"/>
    <mergeCell ref="F8:F9"/>
    <mergeCell ref="G8:G9"/>
    <mergeCell ref="R8:R9"/>
    <mergeCell ref="H8:H9"/>
    <mergeCell ref="H10:H11"/>
    <mergeCell ref="P10:P11"/>
    <mergeCell ref="Q10:Q11"/>
    <mergeCell ref="M10:M11"/>
    <mergeCell ref="L10:L11"/>
    <mergeCell ref="O10:O11"/>
    <mergeCell ref="P8:P9"/>
    <mergeCell ref="Q8:Q9"/>
    <mergeCell ref="L8:L9"/>
    <mergeCell ref="A4:A23"/>
    <mergeCell ref="E4:E5"/>
    <mergeCell ref="F4:F5"/>
    <mergeCell ref="G4:G5"/>
    <mergeCell ref="R4:R5"/>
    <mergeCell ref="H4:H5"/>
    <mergeCell ref="P4:P5"/>
    <mergeCell ref="Q4:Q5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22:K23"/>
    <mergeCell ref="L4:L5"/>
    <mergeCell ref="O4:O5"/>
    <mergeCell ref="E6:E7"/>
    <mergeCell ref="F6:F7"/>
    <mergeCell ref="G6:G7"/>
    <mergeCell ref="R6:R7"/>
  </mergeCells>
  <conditionalFormatting sqref="O4">
    <cfRule type="cellIs" dxfId="15" priority="17" operator="equal">
      <formula>"OK"</formula>
    </cfRule>
    <cfRule type="cellIs" dxfId="14" priority="18" operator="equal">
      <formula>"NO"</formula>
    </cfRule>
    <cfRule type="colorScale" priority="19">
      <colorScale>
        <cfvo type="num" val="&quot;NO&quot;"/>
        <cfvo type="num" val="&quot;OK&quot;"/>
        <color rgb="FFFF0000"/>
        <color rgb="FF43FF59"/>
      </colorScale>
    </cfRule>
  </conditionalFormatting>
  <conditionalFormatting sqref="A4:A63"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 O8 O10 O12 O14 O16 O18 O20 O22 O24 O26 O28 O30 O32 O34 O36 O38 O40 O42 O44 O46 O48 O50 O52 O54 O56 O58 O60 O62">
    <cfRule type="cellIs" dxfId="13" priority="10" operator="equal">
      <formula>"OK"</formula>
    </cfRule>
    <cfRule type="cellIs" dxfId="12" priority="11" operator="equal">
      <formula>"NO"</formula>
    </cfRule>
    <cfRule type="colorScale" priority="12">
      <colorScale>
        <cfvo type="num" val="&quot;NO&quot;"/>
        <cfvo type="num" val="&quot;OK&quot;"/>
        <color rgb="FFFF0000"/>
        <color rgb="FF43FF59"/>
      </colorScale>
    </cfRule>
  </conditionalFormatting>
  <pageMargins left="0.25" right="0.25" top="0.75" bottom="0.75" header="0.3" footer="0.3"/>
  <pageSetup paperSize="9" scale="4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EEB-6915-479A-890F-8F5FDF514C92}">
  <sheetPr>
    <pageSetUpPr fitToPage="1"/>
  </sheetPr>
  <dimension ref="A1:N133"/>
  <sheetViews>
    <sheetView zoomScale="70" zoomScaleNormal="70" workbookViewId="0">
      <pane ySplit="3" topLeftCell="A21" activePane="bottomLeft" state="frozen"/>
      <selection pane="bottomLeft" activeCell="Q37" sqref="Q37"/>
    </sheetView>
  </sheetViews>
  <sheetFormatPr defaultRowHeight="15" x14ac:dyDescent="0.25"/>
  <cols>
    <col min="1" max="1" width="5.85546875" style="29" customWidth="1"/>
    <col min="2" max="4" width="9.140625" style="30" customWidth="1"/>
    <col min="5" max="5" width="17.7109375" style="30" customWidth="1"/>
    <col min="6" max="6" width="14" style="28" customWidth="1"/>
    <col min="7" max="7" width="14.7109375" style="28" customWidth="1"/>
    <col min="8" max="8" width="18.85546875" style="28" customWidth="1"/>
    <col min="9" max="9" width="12.42578125" style="28" customWidth="1"/>
    <col min="10" max="14" width="9.140625" style="28"/>
    <col min="15" max="15" width="9.140625" style="28" customWidth="1"/>
    <col min="16" max="16384" width="9.140625" style="28"/>
  </cols>
  <sheetData>
    <row r="1" spans="1:14" ht="26.25" x14ac:dyDescent="0.4">
      <c r="B1" s="90" t="s">
        <v>27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8" x14ac:dyDescent="0.35">
      <c r="B2" s="17" t="s">
        <v>0</v>
      </c>
      <c r="C2" s="17" t="s">
        <v>31</v>
      </c>
      <c r="D2" s="18" t="s">
        <v>105</v>
      </c>
      <c r="E2" s="18" t="s">
        <v>106</v>
      </c>
      <c r="F2" s="18" t="s">
        <v>107</v>
      </c>
      <c r="G2" s="18" t="s">
        <v>108</v>
      </c>
      <c r="H2" s="18" t="s">
        <v>109</v>
      </c>
      <c r="I2" s="38" t="s">
        <v>110</v>
      </c>
      <c r="J2" s="18" t="s">
        <v>73</v>
      </c>
      <c r="K2" s="18" t="s">
        <v>74</v>
      </c>
      <c r="L2" s="38" t="s">
        <v>111</v>
      </c>
      <c r="M2" s="18" t="s">
        <v>112</v>
      </c>
      <c r="N2" s="18" t="s">
        <v>29</v>
      </c>
    </row>
    <row r="3" spans="1:14" x14ac:dyDescent="0.25">
      <c r="B3" s="34" t="s">
        <v>1</v>
      </c>
      <c r="C3" s="34" t="s">
        <v>1</v>
      </c>
      <c r="D3" s="35" t="s">
        <v>2</v>
      </c>
      <c r="E3" s="35" t="s">
        <v>72</v>
      </c>
      <c r="F3" s="35" t="s">
        <v>72</v>
      </c>
      <c r="G3" s="35" t="s">
        <v>2</v>
      </c>
      <c r="H3" s="35" t="s">
        <v>2</v>
      </c>
      <c r="I3" s="35" t="s">
        <v>70</v>
      </c>
      <c r="J3" s="35" t="s">
        <v>65</v>
      </c>
      <c r="K3" s="35" t="s">
        <v>65</v>
      </c>
      <c r="L3" s="35" t="s">
        <v>70</v>
      </c>
      <c r="M3" s="35" t="s">
        <v>2</v>
      </c>
      <c r="N3" s="35" t="s">
        <v>70</v>
      </c>
    </row>
    <row r="4" spans="1:14" x14ac:dyDescent="0.25">
      <c r="A4" s="61" t="s">
        <v>24</v>
      </c>
      <c r="B4" s="26" t="s">
        <v>3</v>
      </c>
      <c r="C4" s="26" t="s">
        <v>4</v>
      </c>
      <c r="D4" s="56">
        <v>358.839</v>
      </c>
      <c r="E4" s="58">
        <v>1137.2565405995099</v>
      </c>
      <c r="F4" s="58">
        <v>0</v>
      </c>
      <c r="G4" s="56">
        <v>59.098999999999997</v>
      </c>
      <c r="H4" s="92">
        <f t="shared" ref="H4" si="0">(1.1*(E4+F4)*391)/1000-G4</f>
        <v>430.03503811184925</v>
      </c>
      <c r="I4" s="60">
        <f>IF(F4=0,0.48*(1-30/250),0.6*(1-30/250))</f>
        <v>0.4224</v>
      </c>
      <c r="J4" s="56">
        <v>300</v>
      </c>
      <c r="K4" s="56">
        <v>420</v>
      </c>
      <c r="L4" s="60">
        <f>D4*1000/(500*300*17)</f>
        <v>0.14072117647058824</v>
      </c>
      <c r="M4" s="94">
        <f>(I4*17*J4*K4*SQRT(1-L4/I4))/1000</f>
        <v>738.85381541684694</v>
      </c>
      <c r="N4" s="58" t="str">
        <f>IF(M4&gt;H4,"OK","NO")</f>
        <v>OK</v>
      </c>
    </row>
    <row r="5" spans="1:14" x14ac:dyDescent="0.25">
      <c r="A5" s="61"/>
      <c r="B5" s="26" t="s">
        <v>8</v>
      </c>
      <c r="C5" s="26" t="s">
        <v>4</v>
      </c>
      <c r="D5" s="56"/>
      <c r="E5" s="58"/>
      <c r="F5" s="58"/>
      <c r="G5" s="56"/>
      <c r="H5" s="92"/>
      <c r="I5" s="60"/>
      <c r="J5" s="56"/>
      <c r="K5" s="56"/>
      <c r="L5" s="60"/>
      <c r="M5" s="94"/>
      <c r="N5" s="58"/>
    </row>
    <row r="6" spans="1:14" x14ac:dyDescent="0.25">
      <c r="A6" s="61"/>
      <c r="B6" s="26" t="s">
        <v>4</v>
      </c>
      <c r="C6" s="26" t="s">
        <v>6</v>
      </c>
      <c r="D6" s="56">
        <v>402.06299999999999</v>
      </c>
      <c r="E6" s="58">
        <v>1017.87601976309</v>
      </c>
      <c r="F6" s="58">
        <v>1017.87601976309</v>
      </c>
      <c r="G6" s="56">
        <v>106.607</v>
      </c>
      <c r="H6" s="92">
        <f t="shared" ref="H6" si="1">(1.1*(E6+F6)*391)/1000-G6</f>
        <v>768.96995220021006</v>
      </c>
      <c r="I6" s="60">
        <f>IF(F6=0,0.48*(1-30/250),0.6*(1-30/250))</f>
        <v>0.52800000000000002</v>
      </c>
      <c r="J6" s="56">
        <v>300</v>
      </c>
      <c r="K6" s="56">
        <v>420</v>
      </c>
      <c r="L6" s="60">
        <f>D6*1000/(500*300*17)</f>
        <v>0.15767176470588234</v>
      </c>
      <c r="M6" s="94">
        <f>(I6*17*J6*K6*SQRT(1-L6/I6))/1000</f>
        <v>947.17415803329436</v>
      </c>
      <c r="N6" s="58" t="str">
        <f>IF(M6&gt;H6,"OK","NO")</f>
        <v>OK</v>
      </c>
    </row>
    <row r="7" spans="1:14" x14ac:dyDescent="0.25">
      <c r="A7" s="61"/>
      <c r="B7" s="26" t="s">
        <v>9</v>
      </c>
      <c r="C7" s="26" t="s">
        <v>6</v>
      </c>
      <c r="D7" s="56"/>
      <c r="E7" s="58"/>
      <c r="F7" s="58"/>
      <c r="G7" s="56"/>
      <c r="H7" s="92"/>
      <c r="I7" s="60"/>
      <c r="J7" s="56"/>
      <c r="K7" s="56"/>
      <c r="L7" s="60"/>
      <c r="M7" s="94"/>
      <c r="N7" s="58"/>
    </row>
    <row r="8" spans="1:14" x14ac:dyDescent="0.25">
      <c r="A8" s="61"/>
      <c r="B8" s="26" t="s">
        <v>5</v>
      </c>
      <c r="C8" s="26" t="s">
        <v>8</v>
      </c>
      <c r="D8" s="56">
        <v>460.43099999999998</v>
      </c>
      <c r="E8" s="58">
        <v>1017.87601976309</v>
      </c>
      <c r="F8" s="58">
        <v>816.81408993334605</v>
      </c>
      <c r="G8" s="56">
        <v>92.63</v>
      </c>
      <c r="H8" s="92">
        <f t="shared" ref="H8" si="2">(1.1*(E8+F8)*391)/1000-G8</f>
        <v>696.47021618043721</v>
      </c>
      <c r="I8" s="60">
        <f t="shared" ref="I8" si="3">IF(F8=0,0.48*(1-30/250),0.6*(1-30/250))</f>
        <v>0.52800000000000002</v>
      </c>
      <c r="J8" s="56">
        <v>300</v>
      </c>
      <c r="K8" s="56">
        <v>420</v>
      </c>
      <c r="L8" s="60">
        <f>D8*1000/(500*300*17)</f>
        <v>0.18056117647058822</v>
      </c>
      <c r="M8" s="94">
        <f>(I8*17*J8*K8*SQRT(1-L8/I8))/1000</f>
        <v>917.43562587516749</v>
      </c>
      <c r="N8" s="58" t="str">
        <f>IF(M8&gt;H8,"OK","NO")</f>
        <v>OK</v>
      </c>
    </row>
    <row r="9" spans="1:14" x14ac:dyDescent="0.25">
      <c r="A9" s="61"/>
      <c r="B9" s="26" t="s">
        <v>10</v>
      </c>
      <c r="C9" s="26" t="s">
        <v>8</v>
      </c>
      <c r="D9" s="56"/>
      <c r="E9" s="58"/>
      <c r="F9" s="58"/>
      <c r="G9" s="56"/>
      <c r="H9" s="92"/>
      <c r="I9" s="60"/>
      <c r="J9" s="56"/>
      <c r="K9" s="56"/>
      <c r="L9" s="60"/>
      <c r="M9" s="94"/>
      <c r="N9" s="58"/>
    </row>
    <row r="10" spans="1:14" x14ac:dyDescent="0.25">
      <c r="A10" s="61"/>
      <c r="B10" s="26" t="s">
        <v>6</v>
      </c>
      <c r="C10" s="26" t="s">
        <v>10</v>
      </c>
      <c r="D10" s="56">
        <v>474.40300000000002</v>
      </c>
      <c r="E10" s="58">
        <v>1017.87601976309</v>
      </c>
      <c r="F10" s="58">
        <v>816.81408993334605</v>
      </c>
      <c r="G10" s="56">
        <v>94.667000000000002</v>
      </c>
      <c r="H10" s="92">
        <f t="shared" ref="H10" si="4">(1.1*(E10+F10)*391)/1000-G10</f>
        <v>694.43321618043717</v>
      </c>
      <c r="I10" s="60">
        <f t="shared" ref="I10" si="5">IF(F10=0,0.48*(1-30/250),0.6*(1-30/250))</f>
        <v>0.52800000000000002</v>
      </c>
      <c r="J10" s="56">
        <v>300</v>
      </c>
      <c r="K10" s="56">
        <v>420</v>
      </c>
      <c r="L10" s="60">
        <f>D10*1000/(500*300*17)</f>
        <v>0.18604039215686274</v>
      </c>
      <c r="M10" s="94">
        <f>(I10*17*J10*K10*SQRT(1-L10/I10))/1000</f>
        <v>910.1727585576707</v>
      </c>
      <c r="N10" s="58" t="str">
        <f>IF(M10&gt;H10,"OK","NO")</f>
        <v>OK</v>
      </c>
    </row>
    <row r="11" spans="1:14" x14ac:dyDescent="0.25">
      <c r="A11" s="61"/>
      <c r="B11" s="26" t="s">
        <v>11</v>
      </c>
      <c r="C11" s="26" t="s">
        <v>10</v>
      </c>
      <c r="D11" s="56"/>
      <c r="E11" s="58"/>
      <c r="F11" s="58"/>
      <c r="G11" s="56"/>
      <c r="H11" s="92"/>
      <c r="I11" s="60"/>
      <c r="J11" s="56"/>
      <c r="K11" s="56"/>
      <c r="L11" s="60"/>
      <c r="M11" s="94"/>
      <c r="N11" s="58"/>
    </row>
    <row r="12" spans="1:14" x14ac:dyDescent="0.25">
      <c r="A12" s="61"/>
      <c r="B12" s="26" t="s">
        <v>7</v>
      </c>
      <c r="C12" s="26" t="s">
        <v>12</v>
      </c>
      <c r="D12" s="56">
        <v>359.86500000000001</v>
      </c>
      <c r="E12" s="58">
        <v>1137.2565405995099</v>
      </c>
      <c r="F12" s="58">
        <v>0</v>
      </c>
      <c r="G12" s="56">
        <v>59.244</v>
      </c>
      <c r="H12" s="92">
        <f t="shared" ref="H12" si="6">(1.1*(E12+F12)*391)/1000-G12</f>
        <v>429.89003811184921</v>
      </c>
      <c r="I12" s="60">
        <f t="shared" ref="I12" si="7">IF(F12=0,0.48*(1-30/250),0.6*(1-30/250))</f>
        <v>0.4224</v>
      </c>
      <c r="J12" s="56">
        <v>300</v>
      </c>
      <c r="K12" s="56">
        <v>420</v>
      </c>
      <c r="L12" s="60">
        <f>D12*1000/(500*300*17)</f>
        <v>0.1411235294117647</v>
      </c>
      <c r="M12" s="94">
        <f>(I12*17*J12*K12*SQRT(1-L12/I12))/1000</f>
        <v>738.32593363050705</v>
      </c>
      <c r="N12" s="58" t="str">
        <f>IF(M12&gt;H12,"OK","NO")</f>
        <v>OK</v>
      </c>
    </row>
    <row r="13" spans="1:14" x14ac:dyDescent="0.25">
      <c r="A13" s="61"/>
      <c r="B13" s="26" t="s">
        <v>12</v>
      </c>
      <c r="C13" s="26" t="s">
        <v>12</v>
      </c>
      <c r="D13" s="56"/>
      <c r="E13" s="58"/>
      <c r="F13" s="58"/>
      <c r="G13" s="56"/>
      <c r="H13" s="92"/>
      <c r="I13" s="60"/>
      <c r="J13" s="56"/>
      <c r="K13" s="56"/>
      <c r="L13" s="60"/>
      <c r="M13" s="94"/>
      <c r="N13" s="58"/>
    </row>
    <row r="14" spans="1:14" x14ac:dyDescent="0.25">
      <c r="A14" s="61"/>
      <c r="B14" s="26" t="s">
        <v>33</v>
      </c>
      <c r="C14" s="26" t="s">
        <v>34</v>
      </c>
      <c r="D14" s="56">
        <v>428.39</v>
      </c>
      <c r="E14" s="58">
        <v>678.58401317539494</v>
      </c>
      <c r="F14" s="58">
        <v>0</v>
      </c>
      <c r="G14" s="56">
        <v>11.586</v>
      </c>
      <c r="H14" s="92">
        <f>(1.1*(E14+F14)*391)/1000-G14</f>
        <v>280.27298406673742</v>
      </c>
      <c r="I14" s="60">
        <f t="shared" ref="I14" si="8">IF(F14=0,0.48*(1-30/250),0.6*(1-30/250))</f>
        <v>0.4224</v>
      </c>
      <c r="J14" s="56">
        <v>500</v>
      </c>
      <c r="K14" s="56">
        <v>220</v>
      </c>
      <c r="L14" s="60">
        <f>D14*1000/(500*300*17)</f>
        <v>0.16799607843137254</v>
      </c>
      <c r="M14" s="94">
        <f>(I14*17*J14*K14*SQRT(1-L14/I14))/1000</f>
        <v>613.00703990737327</v>
      </c>
      <c r="N14" s="58" t="str">
        <f>IF(M14&gt;H14,"OK","NO")</f>
        <v>OK</v>
      </c>
    </row>
    <row r="15" spans="1:14" x14ac:dyDescent="0.25">
      <c r="A15" s="61"/>
      <c r="B15" s="26" t="s">
        <v>35</v>
      </c>
      <c r="C15" s="26" t="s">
        <v>34</v>
      </c>
      <c r="D15" s="56"/>
      <c r="E15" s="58"/>
      <c r="F15" s="58"/>
      <c r="G15" s="56"/>
      <c r="H15" s="92"/>
      <c r="I15" s="60"/>
      <c r="J15" s="56"/>
      <c r="K15" s="56"/>
      <c r="L15" s="60"/>
      <c r="M15" s="94"/>
      <c r="N15" s="58"/>
    </row>
    <row r="16" spans="1:14" x14ac:dyDescent="0.25">
      <c r="A16" s="61"/>
      <c r="B16" s="26" t="s">
        <v>36</v>
      </c>
      <c r="C16" s="26" t="s">
        <v>37</v>
      </c>
      <c r="D16" s="56">
        <v>561.84500000000003</v>
      </c>
      <c r="E16" s="58">
        <v>678.58401317539494</v>
      </c>
      <c r="F16" s="58">
        <v>678.58401317539494</v>
      </c>
      <c r="G16" s="56">
        <v>22.344000000000001</v>
      </c>
      <c r="H16" s="92">
        <f t="shared" ref="H16" si="9">(1.1*(E16+F16)*391)/1000-G16</f>
        <v>561.37396813347482</v>
      </c>
      <c r="I16" s="60">
        <f t="shared" ref="I16" si="10">IF(F16=0,0.48*(1-30/250),0.6*(1-30/250))</f>
        <v>0.52800000000000002</v>
      </c>
      <c r="J16" s="56">
        <v>500</v>
      </c>
      <c r="K16" s="56">
        <v>220</v>
      </c>
      <c r="L16" s="60">
        <f>D16*1000/(500*300*17)</f>
        <v>0.22033137254901961</v>
      </c>
      <c r="M16" s="94">
        <f>(I16*17*J16*K16*SQRT(1-L16/I16))/1000</f>
        <v>753.70288013248296</v>
      </c>
      <c r="N16" s="58" t="str">
        <f>IF(M16&gt;H16,"OK","NO")</f>
        <v>OK</v>
      </c>
    </row>
    <row r="17" spans="1:14" x14ac:dyDescent="0.25">
      <c r="A17" s="61"/>
      <c r="B17" s="26" t="s">
        <v>38</v>
      </c>
      <c r="C17" s="26" t="s">
        <v>37</v>
      </c>
      <c r="D17" s="56"/>
      <c r="E17" s="58"/>
      <c r="F17" s="58"/>
      <c r="G17" s="56"/>
      <c r="H17" s="92"/>
      <c r="I17" s="60"/>
      <c r="J17" s="56"/>
      <c r="K17" s="56"/>
      <c r="L17" s="60"/>
      <c r="M17" s="94"/>
      <c r="N17" s="58"/>
    </row>
    <row r="18" spans="1:14" x14ac:dyDescent="0.25">
      <c r="A18" s="61"/>
      <c r="B18" s="26" t="s">
        <v>39</v>
      </c>
      <c r="C18" s="26" t="s">
        <v>40</v>
      </c>
      <c r="D18" s="56">
        <v>647.76599999999996</v>
      </c>
      <c r="E18" s="58">
        <v>678.58401317539494</v>
      </c>
      <c r="F18" s="58">
        <v>678.58401317539494</v>
      </c>
      <c r="G18" s="56">
        <v>18.762</v>
      </c>
      <c r="H18" s="92">
        <f t="shared" ref="H18" si="11">(1.1*(E18+F18)*391)/1000-G18</f>
        <v>564.95596813347493</v>
      </c>
      <c r="I18" s="60">
        <f t="shared" ref="I18" si="12">IF(F18=0,0.48*(1-30/250),0.6*(1-30/250))</f>
        <v>0.52800000000000002</v>
      </c>
      <c r="J18" s="56">
        <v>500</v>
      </c>
      <c r="K18" s="56">
        <v>220</v>
      </c>
      <c r="L18" s="60">
        <f>D18*1000/(500*300*17)</f>
        <v>0.25402588235294116</v>
      </c>
      <c r="M18" s="94">
        <f>(I18*17*J18*K18*SQRT(1-L18/I18))/1000</f>
        <v>711.23535385693549</v>
      </c>
      <c r="N18" s="58" t="str">
        <f>IF(M18&gt;H18,"OK","NO")</f>
        <v>OK</v>
      </c>
    </row>
    <row r="19" spans="1:14" x14ac:dyDescent="0.25">
      <c r="A19" s="61"/>
      <c r="B19" s="26" t="s">
        <v>41</v>
      </c>
      <c r="C19" s="26" t="s">
        <v>40</v>
      </c>
      <c r="D19" s="56"/>
      <c r="E19" s="58"/>
      <c r="F19" s="58"/>
      <c r="G19" s="56"/>
      <c r="H19" s="92"/>
      <c r="I19" s="60"/>
      <c r="J19" s="56"/>
      <c r="K19" s="56"/>
      <c r="L19" s="60"/>
      <c r="M19" s="94"/>
      <c r="N19" s="58"/>
    </row>
    <row r="20" spans="1:14" x14ac:dyDescent="0.25">
      <c r="A20" s="61"/>
      <c r="B20" s="26" t="s">
        <v>42</v>
      </c>
      <c r="C20" s="26" t="s">
        <v>43</v>
      </c>
      <c r="D20" s="56">
        <v>648.66899999999998</v>
      </c>
      <c r="E20" s="58">
        <v>678.58401317539494</v>
      </c>
      <c r="F20" s="58">
        <v>678.58401317539494</v>
      </c>
      <c r="G20" s="56">
        <v>19.024999999999999</v>
      </c>
      <c r="H20" s="92">
        <f t="shared" ref="H20" si="13">(1.1*(E20+F20)*391)/1000-G20</f>
        <v>564.69296813347489</v>
      </c>
      <c r="I20" s="60">
        <f t="shared" ref="I20" si="14">IF(F20=0,0.48*(1-30/250),0.6*(1-30/250))</f>
        <v>0.52800000000000002</v>
      </c>
      <c r="J20" s="56">
        <v>500</v>
      </c>
      <c r="K20" s="56">
        <v>220</v>
      </c>
      <c r="L20" s="60">
        <f>D20*1000/(500*300*17)</f>
        <v>0.25438</v>
      </c>
      <c r="M20" s="94">
        <f>(I20*17*J20*K20*SQRT(1-L20/I20))/1000</f>
        <v>710.77556147070788</v>
      </c>
      <c r="N20" s="58" t="str">
        <f>IF(M20&gt;H20,"OK","NO")</f>
        <v>OK</v>
      </c>
    </row>
    <row r="21" spans="1:14" x14ac:dyDescent="0.25">
      <c r="A21" s="61"/>
      <c r="B21" s="26" t="s">
        <v>44</v>
      </c>
      <c r="C21" s="26" t="s">
        <v>43</v>
      </c>
      <c r="D21" s="56"/>
      <c r="E21" s="58"/>
      <c r="F21" s="58"/>
      <c r="G21" s="56"/>
      <c r="H21" s="92"/>
      <c r="I21" s="60"/>
      <c r="J21" s="56"/>
      <c r="K21" s="56"/>
      <c r="L21" s="60"/>
      <c r="M21" s="94"/>
      <c r="N21" s="58"/>
    </row>
    <row r="22" spans="1:14" x14ac:dyDescent="0.25">
      <c r="A22" s="61"/>
      <c r="B22" s="26" t="s">
        <v>45</v>
      </c>
      <c r="C22" s="26" t="s">
        <v>46</v>
      </c>
      <c r="D22" s="56">
        <v>432.02499999999998</v>
      </c>
      <c r="E22" s="58">
        <v>678.58401317539494</v>
      </c>
      <c r="F22" s="58">
        <v>0</v>
      </c>
      <c r="G22" s="56">
        <v>11.583</v>
      </c>
      <c r="H22" s="92">
        <f t="shared" ref="H22" si="15">(1.1*(E22+F22)*391)/1000-G22</f>
        <v>280.27598406673741</v>
      </c>
      <c r="I22" s="60">
        <f t="shared" ref="I22" si="16">IF(F22=0,0.48*(1-30/250),0.6*(1-30/250))</f>
        <v>0.4224</v>
      </c>
      <c r="J22" s="56">
        <v>500</v>
      </c>
      <c r="K22" s="56">
        <v>220</v>
      </c>
      <c r="L22" s="60">
        <f>D22*1000/(500*300*17)</f>
        <v>0.16942156862745097</v>
      </c>
      <c r="M22" s="94">
        <f>(I22*17*J22*K22*SQRT(1-L22/I22))/1000</f>
        <v>611.28720979912543</v>
      </c>
      <c r="N22" s="58" t="str">
        <f>IF(M22&gt;H22,"OK","NO")</f>
        <v>OK</v>
      </c>
    </row>
    <row r="23" spans="1:14" x14ac:dyDescent="0.25">
      <c r="A23" s="61"/>
      <c r="B23" s="26" t="s">
        <v>47</v>
      </c>
      <c r="C23" s="26" t="s">
        <v>46</v>
      </c>
      <c r="D23" s="56"/>
      <c r="E23" s="58"/>
      <c r="F23" s="58"/>
      <c r="G23" s="56"/>
      <c r="H23" s="92"/>
      <c r="I23" s="60"/>
      <c r="J23" s="56"/>
      <c r="K23" s="56"/>
      <c r="L23" s="60"/>
      <c r="M23" s="94"/>
      <c r="N23" s="58"/>
    </row>
    <row r="24" spans="1:14" x14ac:dyDescent="0.25">
      <c r="A24" s="62" t="s">
        <v>25</v>
      </c>
      <c r="B24" s="26" t="s">
        <v>8</v>
      </c>
      <c r="C24" s="26" t="s">
        <v>13</v>
      </c>
      <c r="D24" s="56">
        <v>197.98</v>
      </c>
      <c r="E24" s="58">
        <v>1137.2565405995099</v>
      </c>
      <c r="F24" s="58">
        <v>0</v>
      </c>
      <c r="G24" s="56">
        <v>42.082000000000001</v>
      </c>
      <c r="H24" s="92">
        <f t="shared" ref="H24" si="17">(1.1*(E24+F24)*391)/1000-G24</f>
        <v>447.05203811184924</v>
      </c>
      <c r="I24" s="60">
        <f t="shared" ref="I24" si="18">IF(F24=0,0.48*(1-30/250),0.6*(1-30/250))</f>
        <v>0.4224</v>
      </c>
      <c r="J24" s="56">
        <v>300</v>
      </c>
      <c r="K24" s="56">
        <f>450-80</f>
        <v>370</v>
      </c>
      <c r="L24" s="60">
        <f>D24*1000/(450*300*17)</f>
        <v>8.6265795206971682E-2</v>
      </c>
      <c r="M24" s="94">
        <f>(I24*17*J24*K24*SQRT(1-L24/I24))/1000</f>
        <v>711.0337394575871</v>
      </c>
      <c r="N24" s="58" t="str">
        <f>IF(M24&gt;H24,"OK","NO")</f>
        <v>OK</v>
      </c>
    </row>
    <row r="25" spans="1:14" x14ac:dyDescent="0.25">
      <c r="A25" s="62"/>
      <c r="B25" s="26" t="s">
        <v>13</v>
      </c>
      <c r="C25" s="26" t="s">
        <v>13</v>
      </c>
      <c r="D25" s="56"/>
      <c r="E25" s="58"/>
      <c r="F25" s="58"/>
      <c r="G25" s="56"/>
      <c r="H25" s="92"/>
      <c r="I25" s="60"/>
      <c r="J25" s="56"/>
      <c r="K25" s="56"/>
      <c r="L25" s="60"/>
      <c r="M25" s="94"/>
      <c r="N25" s="58"/>
    </row>
    <row r="26" spans="1:14" x14ac:dyDescent="0.25">
      <c r="A26" s="62"/>
      <c r="B26" s="26" t="s">
        <v>9</v>
      </c>
      <c r="C26" s="26" t="s">
        <v>14</v>
      </c>
      <c r="D26" s="56">
        <v>233.68100000000001</v>
      </c>
      <c r="E26" s="58">
        <v>1017.87601976309</v>
      </c>
      <c r="F26" s="58">
        <v>1017.87601976309</v>
      </c>
      <c r="G26" s="56">
        <v>76.314999999999998</v>
      </c>
      <c r="H26" s="92">
        <f t="shared" ref="H26" si="19">(1.1*(E26+F26)*391)/1000-G26</f>
        <v>799.26195220021009</v>
      </c>
      <c r="I26" s="60">
        <f t="shared" ref="I26" si="20">IF(F26=0,0.48*(1-30/250),0.6*(1-30/250))</f>
        <v>0.52800000000000002</v>
      </c>
      <c r="J26" s="56">
        <v>300</v>
      </c>
      <c r="K26" s="56">
        <f t="shared" ref="K26" si="21">450-80</f>
        <v>370</v>
      </c>
      <c r="L26" s="60">
        <f>D26*1000/(450*300*17)</f>
        <v>0.10182178649237472</v>
      </c>
      <c r="M26" s="94">
        <f>(I26*17*J26*K26*SQRT(1-L26/I26))/1000</f>
        <v>895.12664263689544</v>
      </c>
      <c r="N26" s="58" t="str">
        <f>IF(M26&gt;H26,"OK","NO")</f>
        <v>OK</v>
      </c>
    </row>
    <row r="27" spans="1:14" x14ac:dyDescent="0.25">
      <c r="A27" s="62"/>
      <c r="B27" s="26" t="s">
        <v>14</v>
      </c>
      <c r="C27" s="26" t="s">
        <v>14</v>
      </c>
      <c r="D27" s="56"/>
      <c r="E27" s="58"/>
      <c r="F27" s="58"/>
      <c r="G27" s="56"/>
      <c r="H27" s="92"/>
      <c r="I27" s="60"/>
      <c r="J27" s="56"/>
      <c r="K27" s="56"/>
      <c r="L27" s="60"/>
      <c r="M27" s="94"/>
      <c r="N27" s="58"/>
    </row>
    <row r="28" spans="1:14" x14ac:dyDescent="0.25">
      <c r="A28" s="62"/>
      <c r="B28" s="26" t="s">
        <v>10</v>
      </c>
      <c r="C28" s="26" t="s">
        <v>15</v>
      </c>
      <c r="D28" s="56">
        <v>268.03199999999998</v>
      </c>
      <c r="E28" s="58">
        <v>1017.87601976309</v>
      </c>
      <c r="F28" s="58">
        <v>816.81408993334605</v>
      </c>
      <c r="G28" s="56">
        <v>66.912999999999997</v>
      </c>
      <c r="H28" s="92">
        <f t="shared" ref="H28" si="22">(1.1*(E28+F28)*391)/1000-G28</f>
        <v>722.18721618043719</v>
      </c>
      <c r="I28" s="60">
        <f t="shared" ref="I28" si="23">IF(F28=0,0.48*(1-30/250),0.6*(1-30/250))</f>
        <v>0.52800000000000002</v>
      </c>
      <c r="J28" s="56">
        <v>300</v>
      </c>
      <c r="K28" s="56">
        <f t="shared" ref="K28" si="24">450-80</f>
        <v>370</v>
      </c>
      <c r="L28" s="60">
        <f>D28*1000/(450*300*17)</f>
        <v>0.11678954248366014</v>
      </c>
      <c r="M28" s="94">
        <f>(I28*17*J28*K28*SQRT(1-L28/I28))/1000</f>
        <v>879.26732987686978</v>
      </c>
      <c r="N28" s="58" t="str">
        <f>IF(M28&gt;H28,"OK","NO")</f>
        <v>OK</v>
      </c>
    </row>
    <row r="29" spans="1:14" x14ac:dyDescent="0.25">
      <c r="A29" s="62"/>
      <c r="B29" s="26" t="s">
        <v>15</v>
      </c>
      <c r="C29" s="26" t="s">
        <v>15</v>
      </c>
      <c r="D29" s="56"/>
      <c r="E29" s="58"/>
      <c r="F29" s="58"/>
      <c r="G29" s="56"/>
      <c r="H29" s="92"/>
      <c r="I29" s="60"/>
      <c r="J29" s="56"/>
      <c r="K29" s="56"/>
      <c r="L29" s="60"/>
      <c r="M29" s="94"/>
      <c r="N29" s="58"/>
    </row>
    <row r="30" spans="1:14" x14ac:dyDescent="0.25">
      <c r="A30" s="62"/>
      <c r="B30" s="26" t="s">
        <v>11</v>
      </c>
      <c r="C30" s="26" t="s">
        <v>16</v>
      </c>
      <c r="D30" s="56">
        <v>273.61399999999998</v>
      </c>
      <c r="E30" s="58">
        <v>1017.87601976309</v>
      </c>
      <c r="F30" s="58">
        <v>816.81408993334605</v>
      </c>
      <c r="G30" s="56">
        <v>67.582999999999998</v>
      </c>
      <c r="H30" s="92">
        <f t="shared" ref="H30" si="25">(1.1*(E30+F30)*391)/1000-G30</f>
        <v>721.51721618043723</v>
      </c>
      <c r="I30" s="60">
        <f t="shared" ref="I30" si="26">IF(F30=0,0.48*(1-30/250),0.6*(1-30/250))</f>
        <v>0.52800000000000002</v>
      </c>
      <c r="J30" s="56">
        <v>300</v>
      </c>
      <c r="K30" s="56">
        <f t="shared" ref="K30" si="27">450-80</f>
        <v>370</v>
      </c>
      <c r="L30" s="60">
        <f>D30*1000/(450*300*17)</f>
        <v>0.11922178649237473</v>
      </c>
      <c r="M30" s="94">
        <f>(I30*17*J30*K30*SQRT(1-L30/I30))/1000</f>
        <v>876.66311055136794</v>
      </c>
      <c r="N30" s="58" t="str">
        <f>IF(M30&gt;H30,"OK","NO")</f>
        <v>OK</v>
      </c>
    </row>
    <row r="31" spans="1:14" x14ac:dyDescent="0.25">
      <c r="A31" s="62"/>
      <c r="B31" s="26" t="s">
        <v>16</v>
      </c>
      <c r="C31" s="26" t="s">
        <v>16</v>
      </c>
      <c r="D31" s="56"/>
      <c r="E31" s="58"/>
      <c r="F31" s="58"/>
      <c r="G31" s="56"/>
      <c r="H31" s="92"/>
      <c r="I31" s="60"/>
      <c r="J31" s="56"/>
      <c r="K31" s="56"/>
      <c r="L31" s="60"/>
      <c r="M31" s="94"/>
      <c r="N31" s="58"/>
    </row>
    <row r="32" spans="1:14" x14ac:dyDescent="0.25">
      <c r="A32" s="62"/>
      <c r="B32" s="26" t="s">
        <v>12</v>
      </c>
      <c r="C32" s="26" t="s">
        <v>17</v>
      </c>
      <c r="D32" s="56">
        <v>198.042</v>
      </c>
      <c r="E32" s="58">
        <v>1137.2565405995099</v>
      </c>
      <c r="F32" s="58">
        <v>0</v>
      </c>
      <c r="G32" s="56">
        <v>41.835000000000001</v>
      </c>
      <c r="H32" s="92">
        <f t="shared" ref="H32" si="28">(1.1*(E32+F32)*391)/1000-G32</f>
        <v>447.29903811184926</v>
      </c>
      <c r="I32" s="60">
        <f t="shared" ref="I32" si="29">IF(F32=0,0.48*(1-30/250),0.6*(1-30/250))</f>
        <v>0.4224</v>
      </c>
      <c r="J32" s="56">
        <v>300</v>
      </c>
      <c r="K32" s="56">
        <f t="shared" ref="K32" si="30">450-80</f>
        <v>370</v>
      </c>
      <c r="L32" s="60">
        <f>D32*1000/(450*300*17)</f>
        <v>8.6292810457516342E-2</v>
      </c>
      <c r="M32" s="94">
        <f>(I32*17*J32*K32*SQRT(1-L32/I32))/1000</f>
        <v>711.00516583979891</v>
      </c>
      <c r="N32" s="58" t="str">
        <f>IF(M32&gt;H32,"OK","NO")</f>
        <v>OK</v>
      </c>
    </row>
    <row r="33" spans="1:14" x14ac:dyDescent="0.25">
      <c r="A33" s="62"/>
      <c r="B33" s="26" t="s">
        <v>17</v>
      </c>
      <c r="C33" s="26" t="s">
        <v>17</v>
      </c>
      <c r="D33" s="56"/>
      <c r="E33" s="58"/>
      <c r="F33" s="58"/>
      <c r="G33" s="56"/>
      <c r="H33" s="92"/>
      <c r="I33" s="60"/>
      <c r="J33" s="56"/>
      <c r="K33" s="56"/>
      <c r="L33" s="60"/>
      <c r="M33" s="94"/>
      <c r="N33" s="58"/>
    </row>
    <row r="34" spans="1:14" x14ac:dyDescent="0.25">
      <c r="A34" s="62"/>
      <c r="B34" s="26" t="s">
        <v>35</v>
      </c>
      <c r="C34" s="26" t="s">
        <v>48</v>
      </c>
      <c r="D34" s="56">
        <v>262.30900000000003</v>
      </c>
      <c r="E34" s="58">
        <v>678.58401317539494</v>
      </c>
      <c r="F34" s="58">
        <v>0</v>
      </c>
      <c r="G34" s="56">
        <v>10.042999999999999</v>
      </c>
      <c r="H34" s="92">
        <f t="shared" ref="H34" si="31">(1.1*(E34+F34)*391)/1000-G34</f>
        <v>281.81598406673743</v>
      </c>
      <c r="I34" s="60">
        <f t="shared" ref="I34" si="32">IF(F34=0,0.48*(1-30/250),0.6*(1-30/250))</f>
        <v>0.4224</v>
      </c>
      <c r="J34" s="56">
        <v>500</v>
      </c>
      <c r="K34" s="56">
        <v>220</v>
      </c>
      <c r="L34" s="60">
        <f>D34*1000/(450*300*17)</f>
        <v>0.1142958605664488</v>
      </c>
      <c r="M34" s="94">
        <f>(I34*17*J34*K34*SQRT(1-L34/I34))/1000</f>
        <v>674.60930608332262</v>
      </c>
      <c r="N34" s="58" t="str">
        <f>IF(M34&gt;H34,"OK","NO")</f>
        <v>OK</v>
      </c>
    </row>
    <row r="35" spans="1:14" x14ac:dyDescent="0.25">
      <c r="A35" s="62"/>
      <c r="B35" s="26" t="s">
        <v>49</v>
      </c>
      <c r="C35" s="26" t="s">
        <v>48</v>
      </c>
      <c r="D35" s="56"/>
      <c r="E35" s="58"/>
      <c r="F35" s="58"/>
      <c r="G35" s="56"/>
      <c r="H35" s="92"/>
      <c r="I35" s="60"/>
      <c r="J35" s="56"/>
      <c r="K35" s="56"/>
      <c r="L35" s="60"/>
      <c r="M35" s="94"/>
      <c r="N35" s="58"/>
    </row>
    <row r="36" spans="1:14" x14ac:dyDescent="0.25">
      <c r="A36" s="62"/>
      <c r="B36" s="26" t="s">
        <v>38</v>
      </c>
      <c r="C36" s="26" t="s">
        <v>18</v>
      </c>
      <c r="D36" s="56">
        <v>359.79700000000003</v>
      </c>
      <c r="E36" s="58">
        <v>678.58401317539494</v>
      </c>
      <c r="F36" s="58">
        <v>678.58401317539494</v>
      </c>
      <c r="G36" s="56">
        <v>18.489999999999998</v>
      </c>
      <c r="H36" s="92">
        <f t="shared" ref="H36" si="33">(1.1*(E36+F36)*391)/1000-G36</f>
        <v>565.22796813347486</v>
      </c>
      <c r="I36" s="60">
        <f t="shared" ref="I36" si="34">IF(F36=0,0.48*(1-30/250),0.6*(1-30/250))</f>
        <v>0.52800000000000002</v>
      </c>
      <c r="J36" s="56">
        <v>500</v>
      </c>
      <c r="K36" s="56">
        <v>220</v>
      </c>
      <c r="L36" s="60">
        <f>D36*1000/(450*300*17)</f>
        <v>0.15677429193899783</v>
      </c>
      <c r="M36" s="94">
        <f>(I36*17*J36*K36*SQRT(1-L36/I36))/1000</f>
        <v>827.89944211708337</v>
      </c>
      <c r="N36" s="58" t="str">
        <f>IF(M36&gt;H36,"OK","NO")</f>
        <v>OK</v>
      </c>
    </row>
    <row r="37" spans="1:14" x14ac:dyDescent="0.25">
      <c r="A37" s="62"/>
      <c r="B37" s="26" t="s">
        <v>50</v>
      </c>
      <c r="C37" s="26" t="s">
        <v>18</v>
      </c>
      <c r="D37" s="56"/>
      <c r="E37" s="58"/>
      <c r="F37" s="58"/>
      <c r="G37" s="56"/>
      <c r="H37" s="92"/>
      <c r="I37" s="60"/>
      <c r="J37" s="56"/>
      <c r="K37" s="56"/>
      <c r="L37" s="60"/>
      <c r="M37" s="94"/>
      <c r="N37" s="58"/>
    </row>
    <row r="38" spans="1:14" x14ac:dyDescent="0.25">
      <c r="A38" s="62"/>
      <c r="B38" s="26" t="s">
        <v>41</v>
      </c>
      <c r="C38" s="26" t="s">
        <v>19</v>
      </c>
      <c r="D38" s="56">
        <v>415.80900000000003</v>
      </c>
      <c r="E38" s="58">
        <v>678.58401317539494</v>
      </c>
      <c r="F38" s="58">
        <v>678.58401317539494</v>
      </c>
      <c r="G38" s="56">
        <v>15.81</v>
      </c>
      <c r="H38" s="92">
        <f t="shared" ref="H38" si="35">(1.1*(E38+F38)*391)/1000-G38</f>
        <v>567.90796813347492</v>
      </c>
      <c r="I38" s="60">
        <f t="shared" ref="I38" si="36">IF(F38=0,0.48*(1-30/250),0.6*(1-30/250))</f>
        <v>0.52800000000000002</v>
      </c>
      <c r="J38" s="56">
        <v>500</v>
      </c>
      <c r="K38" s="56">
        <v>220</v>
      </c>
      <c r="L38" s="60">
        <f>D38*1000/(450*300*17)</f>
        <v>0.18118039215686274</v>
      </c>
      <c r="M38" s="94">
        <f>(I38*17*J38*K38*SQRT(1-L38/I38))/1000</f>
        <v>800.22181984747203</v>
      </c>
      <c r="N38" s="58" t="str">
        <f>IF(M38&gt;H38,"OK","NO")</f>
        <v>OK</v>
      </c>
    </row>
    <row r="39" spans="1:14" x14ac:dyDescent="0.25">
      <c r="A39" s="62"/>
      <c r="B39" s="26" t="s">
        <v>51</v>
      </c>
      <c r="C39" s="26" t="s">
        <v>19</v>
      </c>
      <c r="D39" s="56"/>
      <c r="E39" s="58"/>
      <c r="F39" s="58"/>
      <c r="G39" s="56"/>
      <c r="H39" s="92"/>
      <c r="I39" s="60"/>
      <c r="J39" s="56"/>
      <c r="K39" s="56"/>
      <c r="L39" s="60"/>
      <c r="M39" s="94"/>
      <c r="N39" s="58"/>
    </row>
    <row r="40" spans="1:14" x14ac:dyDescent="0.25">
      <c r="A40" s="62"/>
      <c r="B40" s="26" t="s">
        <v>44</v>
      </c>
      <c r="C40" s="26" t="s">
        <v>20</v>
      </c>
      <c r="D40" s="56">
        <v>415.57600000000002</v>
      </c>
      <c r="E40" s="58">
        <v>678.58401317539494</v>
      </c>
      <c r="F40" s="58">
        <v>678.58401317539494</v>
      </c>
      <c r="G40" s="56">
        <v>15.811999999999999</v>
      </c>
      <c r="H40" s="92">
        <f t="shared" ref="H40" si="37">(1.1*(E40+F40)*391)/1000-G40</f>
        <v>567.90596813347486</v>
      </c>
      <c r="I40" s="60">
        <f t="shared" ref="I40" si="38">IF(F40=0,0.48*(1-30/250),0.6*(1-30/250))</f>
        <v>0.52800000000000002</v>
      </c>
      <c r="J40" s="56">
        <v>500</v>
      </c>
      <c r="K40" s="56">
        <v>220</v>
      </c>
      <c r="L40" s="60">
        <f>D40*1000/(450*300*17)</f>
        <v>0.18107886710239651</v>
      </c>
      <c r="M40" s="94">
        <f>(I40*17*J40*K40*SQRT(1-L40/I40))/1000</f>
        <v>800.33893637910967</v>
      </c>
      <c r="N40" s="58" t="str">
        <f>IF(M40&gt;H40,"OK","NO")</f>
        <v>OK</v>
      </c>
    </row>
    <row r="41" spans="1:14" x14ac:dyDescent="0.25">
      <c r="A41" s="62"/>
      <c r="B41" s="26" t="s">
        <v>52</v>
      </c>
      <c r="C41" s="26" t="s">
        <v>20</v>
      </c>
      <c r="D41" s="56"/>
      <c r="E41" s="58"/>
      <c r="F41" s="58"/>
      <c r="G41" s="56"/>
      <c r="H41" s="92"/>
      <c r="I41" s="60"/>
      <c r="J41" s="56"/>
      <c r="K41" s="56"/>
      <c r="L41" s="60"/>
      <c r="M41" s="94"/>
      <c r="N41" s="58"/>
    </row>
    <row r="42" spans="1:14" x14ac:dyDescent="0.25">
      <c r="A42" s="62"/>
      <c r="B42" s="26" t="s">
        <v>47</v>
      </c>
      <c r="C42" s="26" t="s">
        <v>21</v>
      </c>
      <c r="D42" s="56">
        <v>263.59899999999999</v>
      </c>
      <c r="E42" s="58">
        <v>678.58401317539494</v>
      </c>
      <c r="F42" s="58">
        <v>0</v>
      </c>
      <c r="G42" s="56">
        <v>9.9410000000000007</v>
      </c>
      <c r="H42" s="92">
        <f t="shared" ref="H42" si="39">(1.1*(E42+F42)*391)/1000-G42</f>
        <v>281.91798406673746</v>
      </c>
      <c r="I42" s="60">
        <f t="shared" ref="I42" si="40">IF(F42=0,0.48*(1-30/250),0.6*(1-30/250))</f>
        <v>0.4224</v>
      </c>
      <c r="J42" s="56">
        <v>500</v>
      </c>
      <c r="K42" s="56">
        <v>220</v>
      </c>
      <c r="L42" s="60">
        <f>D42*1000/(450*300*17)</f>
        <v>0.11485795206971677</v>
      </c>
      <c r="M42" s="94">
        <f>(I42*17*J42*K42*SQRT(1-L42/I42))/1000</f>
        <v>673.99366154355539</v>
      </c>
      <c r="N42" s="58" t="str">
        <f>IF(M42&gt;H42,"OK","NO")</f>
        <v>OK</v>
      </c>
    </row>
    <row r="43" spans="1:14" x14ac:dyDescent="0.25">
      <c r="A43" s="62"/>
      <c r="B43" s="26" t="s">
        <v>53</v>
      </c>
      <c r="C43" s="26" t="s">
        <v>21</v>
      </c>
      <c r="D43" s="56"/>
      <c r="E43" s="58"/>
      <c r="F43" s="58"/>
      <c r="G43" s="56"/>
      <c r="H43" s="92"/>
      <c r="I43" s="60"/>
      <c r="J43" s="56"/>
      <c r="K43" s="56"/>
      <c r="L43" s="60"/>
      <c r="M43" s="94"/>
      <c r="N43" s="58"/>
    </row>
    <row r="44" spans="1:14" x14ac:dyDescent="0.25">
      <c r="A44" s="63" t="s">
        <v>26</v>
      </c>
      <c r="B44" s="26" t="s">
        <v>13</v>
      </c>
      <c r="C44" s="26" t="s">
        <v>54</v>
      </c>
      <c r="D44" s="56">
        <v>65.247</v>
      </c>
      <c r="E44" s="54">
        <v>816.81408993334605</v>
      </c>
      <c r="F44" s="58">
        <v>0</v>
      </c>
      <c r="G44" s="56">
        <v>19.190000000000001</v>
      </c>
      <c r="H44" s="92">
        <f t="shared" ref="H44" si="41">(1.1*(E44+F44)*391)/1000-G44</f>
        <v>332.12174008033213</v>
      </c>
      <c r="I44" s="60">
        <f t="shared" ref="I44" si="42">IF(F44=0,0.48*(1-30/250),0.6*(1-30/250))</f>
        <v>0.4224</v>
      </c>
      <c r="J44" s="56">
        <v>300</v>
      </c>
      <c r="K44" s="56">
        <f t="shared" ref="K44" si="43">400-80</f>
        <v>320</v>
      </c>
      <c r="L44" s="60">
        <f>D44*1000/(400*300*17)</f>
        <v>3.1983823529411766E-2</v>
      </c>
      <c r="M44" s="94">
        <f>(I44*17*J44*K44*SQRT(1-L44/I44))/1000</f>
        <v>662.74431510391696</v>
      </c>
      <c r="N44" s="58" t="str">
        <f>IF(M44&gt;H44,"OK","NO")</f>
        <v>OK</v>
      </c>
    </row>
    <row r="45" spans="1:14" x14ac:dyDescent="0.25">
      <c r="A45" s="63"/>
      <c r="B45" s="26" t="s">
        <v>18</v>
      </c>
      <c r="C45" s="26" t="s">
        <v>54</v>
      </c>
      <c r="D45" s="56"/>
      <c r="E45" s="54"/>
      <c r="F45" s="58"/>
      <c r="G45" s="56"/>
      <c r="H45" s="92"/>
      <c r="I45" s="60"/>
      <c r="J45" s="56"/>
      <c r="K45" s="56"/>
      <c r="L45" s="60"/>
      <c r="M45" s="94"/>
      <c r="N45" s="58"/>
    </row>
    <row r="46" spans="1:14" x14ac:dyDescent="0.25">
      <c r="A46" s="63"/>
      <c r="B46" s="26" t="s">
        <v>14</v>
      </c>
      <c r="C46" s="26" t="s">
        <v>55</v>
      </c>
      <c r="D46" s="56">
        <v>84.224999999999994</v>
      </c>
      <c r="E46" s="54">
        <v>735.13268094001205</v>
      </c>
      <c r="F46" s="58">
        <v>615.75216010359895</v>
      </c>
      <c r="G46" s="56">
        <v>37.856999999999999</v>
      </c>
      <c r="H46" s="92">
        <f t="shared" ref="H46" si="44">(1.1*(E46+F46)*391)/1000-G46</f>
        <v>543.15857013285722</v>
      </c>
      <c r="I46" s="60">
        <f t="shared" ref="I46" si="45">IF(F46=0,0.48*(1-30/250),0.6*(1-30/250))</f>
        <v>0.52800000000000002</v>
      </c>
      <c r="J46" s="56">
        <v>300</v>
      </c>
      <c r="K46" s="56">
        <f t="shared" ref="K46" si="46">400-80</f>
        <v>320</v>
      </c>
      <c r="L46" s="60">
        <f>D46*1000/(400*300*17)</f>
        <v>4.1286764705882356E-2</v>
      </c>
      <c r="M46" s="94">
        <f>(I46*17*J46*K46*SQRT(1-L46/I46))/1000</f>
        <v>827.32032486576804</v>
      </c>
      <c r="N46" s="58" t="str">
        <f>IF(M46&gt;H46,"OK","NO")</f>
        <v>OK</v>
      </c>
    </row>
    <row r="47" spans="1:14" x14ac:dyDescent="0.25">
      <c r="A47" s="63"/>
      <c r="B47" s="26" t="s">
        <v>19</v>
      </c>
      <c r="C47" s="26" t="s">
        <v>55</v>
      </c>
      <c r="D47" s="56"/>
      <c r="E47" s="54"/>
      <c r="F47" s="58"/>
      <c r="G47" s="56"/>
      <c r="H47" s="92"/>
      <c r="I47" s="60"/>
      <c r="J47" s="56"/>
      <c r="K47" s="56"/>
      <c r="L47" s="60"/>
      <c r="M47" s="94"/>
      <c r="N47" s="58"/>
    </row>
    <row r="48" spans="1:14" x14ac:dyDescent="0.25">
      <c r="A48" s="63"/>
      <c r="B48" s="26" t="s">
        <v>15</v>
      </c>
      <c r="C48" s="26" t="s">
        <v>56</v>
      </c>
      <c r="D48" s="56">
        <v>96.266999999999996</v>
      </c>
      <c r="E48" s="54">
        <v>735.13268094001205</v>
      </c>
      <c r="F48" s="58">
        <v>615.75216010359895</v>
      </c>
      <c r="G48" s="56">
        <v>34.143999999999998</v>
      </c>
      <c r="H48" s="92">
        <f t="shared" ref="H48" si="47">(1.1*(E48+F48)*391)/1000-G48</f>
        <v>546.87157013285719</v>
      </c>
      <c r="I48" s="60">
        <f t="shared" ref="I48" si="48">IF(F48=0,0.48*(1-30/250),0.6*(1-30/250))</f>
        <v>0.52800000000000002</v>
      </c>
      <c r="J48" s="56">
        <v>300</v>
      </c>
      <c r="K48" s="56">
        <f t="shared" ref="K48" si="49">400-80</f>
        <v>320</v>
      </c>
      <c r="L48" s="60">
        <f>D48*1000/(400*300*17)</f>
        <v>4.7189705882352939E-2</v>
      </c>
      <c r="M48" s="94">
        <f>(I48*17*J48*K48*SQRT(1-L48/I48))/1000</f>
        <v>822.28807929484174</v>
      </c>
      <c r="N48" s="58" t="str">
        <f>IF(M48&gt;H48,"OK","NO")</f>
        <v>OK</v>
      </c>
    </row>
    <row r="49" spans="1:14" x14ac:dyDescent="0.25">
      <c r="A49" s="63"/>
      <c r="B49" s="26" t="s">
        <v>20</v>
      </c>
      <c r="C49" s="26" t="s">
        <v>56</v>
      </c>
      <c r="D49" s="56"/>
      <c r="E49" s="54"/>
      <c r="F49" s="58"/>
      <c r="G49" s="56"/>
      <c r="H49" s="92"/>
      <c r="I49" s="60"/>
      <c r="J49" s="56"/>
      <c r="K49" s="56"/>
      <c r="L49" s="60"/>
      <c r="M49" s="94"/>
      <c r="N49" s="58"/>
    </row>
    <row r="50" spans="1:14" x14ac:dyDescent="0.25">
      <c r="A50" s="63"/>
      <c r="B50" s="26" t="s">
        <v>16</v>
      </c>
      <c r="C50" s="26" t="s">
        <v>57</v>
      </c>
      <c r="D50" s="56">
        <v>96.921000000000006</v>
      </c>
      <c r="E50" s="54">
        <v>735.13268094001205</v>
      </c>
      <c r="F50" s="58">
        <v>615.75216010359895</v>
      </c>
      <c r="G50" s="56">
        <v>33.561</v>
      </c>
      <c r="H50" s="92">
        <f t="shared" ref="H50" si="50">(1.1*(E50+F50)*391)/1000-G50</f>
        <v>547.45457013285716</v>
      </c>
      <c r="I50" s="60">
        <f t="shared" ref="I50" si="51">IF(F50=0,0.48*(1-30/250),0.6*(1-30/250))</f>
        <v>0.52800000000000002</v>
      </c>
      <c r="J50" s="56">
        <v>300</v>
      </c>
      <c r="K50" s="56">
        <f t="shared" ref="K50" si="52">400-80</f>
        <v>320</v>
      </c>
      <c r="L50" s="60">
        <f>D50*1000/(400*300*17)</f>
        <v>4.751029411764706E-2</v>
      </c>
      <c r="M50" s="94">
        <f>(I50*17*J50*K50*SQRT(1-L50/I50))/1000</f>
        <v>822.01389647815563</v>
      </c>
      <c r="N50" s="58" t="str">
        <f>IF(M50&gt;H50,"OK","NO")</f>
        <v>OK</v>
      </c>
    </row>
    <row r="51" spans="1:14" x14ac:dyDescent="0.25">
      <c r="A51" s="63"/>
      <c r="B51" s="26" t="s">
        <v>21</v>
      </c>
      <c r="C51" s="26" t="s">
        <v>57</v>
      </c>
      <c r="D51" s="56"/>
      <c r="E51" s="54"/>
      <c r="F51" s="58"/>
      <c r="G51" s="56"/>
      <c r="H51" s="92"/>
      <c r="I51" s="60"/>
      <c r="J51" s="56"/>
      <c r="K51" s="56"/>
      <c r="L51" s="60"/>
      <c r="M51" s="94"/>
      <c r="N51" s="58"/>
    </row>
    <row r="52" spans="1:14" x14ac:dyDescent="0.25">
      <c r="A52" s="63"/>
      <c r="B52" s="26" t="s">
        <v>17</v>
      </c>
      <c r="C52" s="26" t="s">
        <v>58</v>
      </c>
      <c r="D52" s="56">
        <v>65.165000000000006</v>
      </c>
      <c r="E52" s="54">
        <v>816.81408993334605</v>
      </c>
      <c r="F52" s="58">
        <v>0</v>
      </c>
      <c r="G52" s="56">
        <v>18.292999999999999</v>
      </c>
      <c r="H52" s="92">
        <f t="shared" ref="H52" si="53">(1.1*(E52+F52)*391)/1000-G52</f>
        <v>333.01874008033212</v>
      </c>
      <c r="I52" s="60">
        <f t="shared" ref="I52" si="54">IF(F52=0,0.48*(1-30/250),0.6*(1-30/250))</f>
        <v>0.4224</v>
      </c>
      <c r="J52" s="56">
        <v>300</v>
      </c>
      <c r="K52" s="56">
        <f>400-80</f>
        <v>320</v>
      </c>
      <c r="L52" s="60">
        <f>D52*1000/(400*300*17)</f>
        <v>3.1943627450980394E-2</v>
      </c>
      <c r="M52" s="94">
        <f>(I52*17*J52*K52*SQRT(1-L52/I52))/1000</f>
        <v>662.77843130916688</v>
      </c>
      <c r="N52" s="58" t="str">
        <f>IF(M52&gt;H52,"OK","NO")</f>
        <v>OK</v>
      </c>
    </row>
    <row r="53" spans="1:14" x14ac:dyDescent="0.25">
      <c r="A53" s="63"/>
      <c r="B53" s="26" t="s">
        <v>22</v>
      </c>
      <c r="C53" s="26" t="s">
        <v>58</v>
      </c>
      <c r="D53" s="56"/>
      <c r="E53" s="54"/>
      <c r="F53" s="58"/>
      <c r="G53" s="56"/>
      <c r="H53" s="92"/>
      <c r="I53" s="60"/>
      <c r="J53" s="56"/>
      <c r="K53" s="56"/>
      <c r="L53" s="60"/>
      <c r="M53" s="94"/>
      <c r="N53" s="58"/>
    </row>
    <row r="54" spans="1:14" x14ac:dyDescent="0.25">
      <c r="A54" s="63"/>
      <c r="B54" s="26" t="s">
        <v>49</v>
      </c>
      <c r="C54" s="26" t="s">
        <v>22</v>
      </c>
      <c r="D54" s="56">
        <v>102.518</v>
      </c>
      <c r="E54" s="58">
        <v>678.58401317539494</v>
      </c>
      <c r="F54" s="58">
        <v>0</v>
      </c>
      <c r="G54" s="56">
        <v>3.6179999999999999</v>
      </c>
      <c r="H54" s="92">
        <f t="shared" ref="H54" si="55">(1.1*(E54+F54)*391)/1000-G54</f>
        <v>288.24098406673744</v>
      </c>
      <c r="I54" s="60">
        <f t="shared" ref="I54" si="56">IF(F54=0,0.48*(1-30/250),0.6*(1-30/250))</f>
        <v>0.4224</v>
      </c>
      <c r="J54" s="56">
        <v>500</v>
      </c>
      <c r="K54" s="56">
        <v>220</v>
      </c>
      <c r="L54" s="60">
        <f>D54*1000/(400*300*17)</f>
        <v>5.0253921568627451E-2</v>
      </c>
      <c r="M54" s="94">
        <f>(I54*17*J54*K54*SQRT(1-L54/I54))/1000</f>
        <v>741.41315026913287</v>
      </c>
      <c r="N54" s="58" t="str">
        <f>IF(M54&gt;H54,"OK","NO")</f>
        <v>OK</v>
      </c>
    </row>
    <row r="55" spans="1:14" x14ac:dyDescent="0.25">
      <c r="A55" s="63"/>
      <c r="B55" s="26" t="s">
        <v>59</v>
      </c>
      <c r="C55" s="26" t="s">
        <v>22</v>
      </c>
      <c r="D55" s="56"/>
      <c r="E55" s="58"/>
      <c r="F55" s="58"/>
      <c r="G55" s="56"/>
      <c r="H55" s="92"/>
      <c r="I55" s="60"/>
      <c r="J55" s="56"/>
      <c r="K55" s="56"/>
      <c r="L55" s="60"/>
      <c r="M55" s="94"/>
      <c r="N55" s="58"/>
    </row>
    <row r="56" spans="1:14" x14ac:dyDescent="0.25">
      <c r="A56" s="63"/>
      <c r="B56" s="26" t="s">
        <v>50</v>
      </c>
      <c r="C56" s="26" t="s">
        <v>33</v>
      </c>
      <c r="D56" s="56">
        <v>165.36099999999999</v>
      </c>
      <c r="E56" s="58">
        <v>678.58401317539494</v>
      </c>
      <c r="F56" s="58">
        <v>678.58401317539494</v>
      </c>
      <c r="G56" s="56">
        <v>10.696</v>
      </c>
      <c r="H56" s="92">
        <f t="shared" ref="H56" si="57">(1.1*(E56+F56)*391)/1000-G56</f>
        <v>573.02196813347484</v>
      </c>
      <c r="I56" s="60">
        <f t="shared" ref="I56" si="58">IF(F56=0,0.48*(1-30/250),0.6*(1-30/250))</f>
        <v>0.52800000000000002</v>
      </c>
      <c r="J56" s="56">
        <v>500</v>
      </c>
      <c r="K56" s="56">
        <v>220</v>
      </c>
      <c r="L56" s="60">
        <f>D56*1000/(400*300*17)</f>
        <v>8.105931372549019E-2</v>
      </c>
      <c r="M56" s="94">
        <f>(I56*17*J56*K56*SQRT(1-L56/I56))/1000</f>
        <v>908.41336170269983</v>
      </c>
      <c r="N56" s="58" t="str">
        <f>IF(M56&gt;H56,"OK","NO")</f>
        <v>OK</v>
      </c>
    </row>
    <row r="57" spans="1:14" x14ac:dyDescent="0.25">
      <c r="A57" s="63"/>
      <c r="B57" s="26" t="s">
        <v>60</v>
      </c>
      <c r="C57" s="26" t="s">
        <v>33</v>
      </c>
      <c r="D57" s="56"/>
      <c r="E57" s="58"/>
      <c r="F57" s="58"/>
      <c r="G57" s="56"/>
      <c r="H57" s="92"/>
      <c r="I57" s="60"/>
      <c r="J57" s="56"/>
      <c r="K57" s="56"/>
      <c r="L57" s="60"/>
      <c r="M57" s="94"/>
      <c r="N57" s="58"/>
    </row>
    <row r="58" spans="1:14" x14ac:dyDescent="0.25">
      <c r="A58" s="63"/>
      <c r="B58" s="26" t="s">
        <v>51</v>
      </c>
      <c r="C58" s="26" t="s">
        <v>36</v>
      </c>
      <c r="D58" s="56">
        <v>191.422</v>
      </c>
      <c r="E58" s="58">
        <v>678.58401317539494</v>
      </c>
      <c r="F58" s="58">
        <v>678.58401317539494</v>
      </c>
      <c r="G58" s="56">
        <v>8.343</v>
      </c>
      <c r="H58" s="92">
        <f t="shared" ref="H58" si="59">(1.1*(E58+F58)*391)/1000-G58</f>
        <v>575.37496813347491</v>
      </c>
      <c r="I58" s="60">
        <f t="shared" ref="I58" si="60">IF(F58=0,0.48*(1-30/250),0.6*(1-30/250))</f>
        <v>0.52800000000000002</v>
      </c>
      <c r="J58" s="56">
        <v>500</v>
      </c>
      <c r="K58" s="56">
        <v>220</v>
      </c>
      <c r="L58" s="60">
        <f>D58*1000/(400*300*17)</f>
        <v>9.3834313725490198E-2</v>
      </c>
      <c r="M58" s="94">
        <f>(I58*17*J58*K58*SQRT(1-L58/I58))/1000</f>
        <v>895.33655450897334</v>
      </c>
      <c r="N58" s="58" t="str">
        <f>IF(M58&gt;H58,"OK","NO")</f>
        <v>OK</v>
      </c>
    </row>
    <row r="59" spans="1:14" x14ac:dyDescent="0.25">
      <c r="A59" s="63"/>
      <c r="B59" s="26" t="s">
        <v>61</v>
      </c>
      <c r="C59" s="26" t="s">
        <v>36</v>
      </c>
      <c r="D59" s="56"/>
      <c r="E59" s="58"/>
      <c r="F59" s="58"/>
      <c r="G59" s="56"/>
      <c r="H59" s="92"/>
      <c r="I59" s="60"/>
      <c r="J59" s="56"/>
      <c r="K59" s="56"/>
      <c r="L59" s="60"/>
      <c r="M59" s="94"/>
      <c r="N59" s="58"/>
    </row>
    <row r="60" spans="1:14" x14ac:dyDescent="0.25">
      <c r="A60" s="63"/>
      <c r="B60" s="26" t="s">
        <v>52</v>
      </c>
      <c r="C60" s="26" t="s">
        <v>39</v>
      </c>
      <c r="D60" s="56">
        <v>190.93199999999999</v>
      </c>
      <c r="E60" s="58">
        <v>678.58401317539494</v>
      </c>
      <c r="F60" s="58">
        <v>678.58401317539494</v>
      </c>
      <c r="G60" s="56">
        <v>8.1809999999999992</v>
      </c>
      <c r="H60" s="92">
        <f t="shared" ref="H60" si="61">(1.1*(E60+F60)*391)/1000-G60</f>
        <v>575.53696813347483</v>
      </c>
      <c r="I60" s="60">
        <f t="shared" ref="I60" si="62">IF(F60=0,0.48*(1-30/250),0.6*(1-30/250))</f>
        <v>0.52800000000000002</v>
      </c>
      <c r="J60" s="56">
        <v>500</v>
      </c>
      <c r="K60" s="56">
        <v>220</v>
      </c>
      <c r="L60" s="60">
        <f>D60*1000/(400*300*17)</f>
        <v>9.3594117647058828E-2</v>
      </c>
      <c r="M60" s="94">
        <f>(I60*17*J60*K60*SQRT(1-L60/I60))/1000</f>
        <v>895.58418646155201</v>
      </c>
      <c r="N60" s="58" t="str">
        <f>IF(M60&gt;H60,"OK","NO")</f>
        <v>OK</v>
      </c>
    </row>
    <row r="61" spans="1:14" x14ac:dyDescent="0.25">
      <c r="A61" s="63"/>
      <c r="B61" s="26" t="s">
        <v>62</v>
      </c>
      <c r="C61" s="26" t="s">
        <v>39</v>
      </c>
      <c r="D61" s="56"/>
      <c r="E61" s="58"/>
      <c r="F61" s="58"/>
      <c r="G61" s="56"/>
      <c r="H61" s="92"/>
      <c r="I61" s="60"/>
      <c r="J61" s="56"/>
      <c r="K61" s="56"/>
      <c r="L61" s="60"/>
      <c r="M61" s="94"/>
      <c r="N61" s="58"/>
    </row>
    <row r="62" spans="1:14" x14ac:dyDescent="0.25">
      <c r="A62" s="63"/>
      <c r="B62" s="26" t="s">
        <v>53</v>
      </c>
      <c r="C62" s="26" t="s">
        <v>42</v>
      </c>
      <c r="D62" s="56">
        <v>102.962</v>
      </c>
      <c r="E62" s="58">
        <v>678.58401317539494</v>
      </c>
      <c r="F62" s="58">
        <v>0</v>
      </c>
      <c r="G62" s="56">
        <v>3.39</v>
      </c>
      <c r="H62" s="92">
        <f t="shared" ref="H62" si="63">(1.1*(E62+F62)*391)/1000-G62</f>
        <v>288.46898406673745</v>
      </c>
      <c r="I62" s="60">
        <f t="shared" ref="I62" si="64">IF(F62=0,0.48*(1-30/250),0.6*(1-30/250))</f>
        <v>0.4224</v>
      </c>
      <c r="J62" s="56">
        <v>500</v>
      </c>
      <c r="K62" s="56">
        <v>220</v>
      </c>
      <c r="L62" s="60">
        <f>D62*1000/(400*300*17)</f>
        <v>5.0471568627450981E-2</v>
      </c>
      <c r="M62" s="94">
        <f>(I62*17*J62*K62*SQRT(1-L62/I62))/1000</f>
        <v>741.19631338532702</v>
      </c>
      <c r="N62" s="58" t="str">
        <f>IF(M62&gt;H62,"OK","NO")</f>
        <v>OK</v>
      </c>
    </row>
    <row r="63" spans="1:14" x14ac:dyDescent="0.25">
      <c r="A63" s="63"/>
      <c r="B63" s="26" t="s">
        <v>63</v>
      </c>
      <c r="C63" s="26" t="s">
        <v>42</v>
      </c>
      <c r="D63" s="56"/>
      <c r="E63" s="58"/>
      <c r="F63" s="58"/>
      <c r="G63" s="56"/>
      <c r="H63" s="92"/>
      <c r="I63" s="60"/>
      <c r="J63" s="56"/>
      <c r="K63" s="56"/>
      <c r="L63" s="60"/>
      <c r="M63" s="94"/>
      <c r="N63" s="58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</sheetData>
  <mergeCells count="334">
    <mergeCell ref="F60:F61"/>
    <mergeCell ref="H60:H61"/>
    <mergeCell ref="K60:K61"/>
    <mergeCell ref="L60:L61"/>
    <mergeCell ref="M60:M61"/>
    <mergeCell ref="N60:N61"/>
    <mergeCell ref="I60:I61"/>
    <mergeCell ref="N58:N59"/>
    <mergeCell ref="J56:J57"/>
    <mergeCell ref="K56:K57"/>
    <mergeCell ref="L56:L57"/>
    <mergeCell ref="M56:M57"/>
    <mergeCell ref="N56:N57"/>
    <mergeCell ref="I56:I57"/>
    <mergeCell ref="I62:I63"/>
    <mergeCell ref="J62:J63"/>
    <mergeCell ref="K62:K63"/>
    <mergeCell ref="L62:L63"/>
    <mergeCell ref="M62:M63"/>
    <mergeCell ref="N62:N63"/>
    <mergeCell ref="J60:J61"/>
    <mergeCell ref="D56:D57"/>
    <mergeCell ref="E56:E57"/>
    <mergeCell ref="F56:F57"/>
    <mergeCell ref="H56:H57"/>
    <mergeCell ref="I58:I59"/>
    <mergeCell ref="J58:J59"/>
    <mergeCell ref="K58:K59"/>
    <mergeCell ref="L58:L59"/>
    <mergeCell ref="M58:M59"/>
    <mergeCell ref="D62:D63"/>
    <mergeCell ref="E62:E63"/>
    <mergeCell ref="F62:F63"/>
    <mergeCell ref="H62:H63"/>
    <mergeCell ref="G62:G63"/>
    <mergeCell ref="G60:G61"/>
    <mergeCell ref="D60:D61"/>
    <mergeCell ref="E60:E61"/>
    <mergeCell ref="M50:M51"/>
    <mergeCell ref="I54:I55"/>
    <mergeCell ref="J54:J55"/>
    <mergeCell ref="K54:K55"/>
    <mergeCell ref="L54:L55"/>
    <mergeCell ref="M54:M55"/>
    <mergeCell ref="N54:N55"/>
    <mergeCell ref="J52:J53"/>
    <mergeCell ref="K52:K53"/>
    <mergeCell ref="L52:L53"/>
    <mergeCell ref="M52:M53"/>
    <mergeCell ref="N52:N53"/>
    <mergeCell ref="I48:I49"/>
    <mergeCell ref="J48:J49"/>
    <mergeCell ref="K48:K49"/>
    <mergeCell ref="G46:G47"/>
    <mergeCell ref="N50:N51"/>
    <mergeCell ref="D52:D53"/>
    <mergeCell ref="E52:E53"/>
    <mergeCell ref="F52:F53"/>
    <mergeCell ref="H52:H53"/>
    <mergeCell ref="I52:I53"/>
    <mergeCell ref="G50:G51"/>
    <mergeCell ref="L48:L49"/>
    <mergeCell ref="M48:M49"/>
    <mergeCell ref="N48:N49"/>
    <mergeCell ref="D50:D51"/>
    <mergeCell ref="E50:E51"/>
    <mergeCell ref="F50:F51"/>
    <mergeCell ref="H50:H51"/>
    <mergeCell ref="I50:I51"/>
    <mergeCell ref="J50:J51"/>
    <mergeCell ref="G48:G49"/>
    <mergeCell ref="G52:G53"/>
    <mergeCell ref="K50:K51"/>
    <mergeCell ref="L50:L51"/>
    <mergeCell ref="N44:N45"/>
    <mergeCell ref="D46:D47"/>
    <mergeCell ref="E46:E47"/>
    <mergeCell ref="F46:F47"/>
    <mergeCell ref="H46:H47"/>
    <mergeCell ref="I46:I47"/>
    <mergeCell ref="J46:J47"/>
    <mergeCell ref="K46:K47"/>
    <mergeCell ref="L46:L47"/>
    <mergeCell ref="G44:G45"/>
    <mergeCell ref="H44:H45"/>
    <mergeCell ref="I44:I45"/>
    <mergeCell ref="J44:J45"/>
    <mergeCell ref="K44:K45"/>
    <mergeCell ref="L44:L45"/>
    <mergeCell ref="M44:M45"/>
    <mergeCell ref="M46:M47"/>
    <mergeCell ref="N46:N47"/>
    <mergeCell ref="A44:A63"/>
    <mergeCell ref="D44:D45"/>
    <mergeCell ref="E44:E45"/>
    <mergeCell ref="F44:F45"/>
    <mergeCell ref="G42:G43"/>
    <mergeCell ref="D42:D43"/>
    <mergeCell ref="E42:E43"/>
    <mergeCell ref="F42:F43"/>
    <mergeCell ref="H42:H43"/>
    <mergeCell ref="D48:D49"/>
    <mergeCell ref="E48:E49"/>
    <mergeCell ref="F48:F49"/>
    <mergeCell ref="H48:H49"/>
    <mergeCell ref="D54:D55"/>
    <mergeCell ref="E54:E55"/>
    <mergeCell ref="F54:F55"/>
    <mergeCell ref="H54:H55"/>
    <mergeCell ref="G54:G55"/>
    <mergeCell ref="D58:D59"/>
    <mergeCell ref="E58:E59"/>
    <mergeCell ref="F58:F59"/>
    <mergeCell ref="H58:H59"/>
    <mergeCell ref="G56:G57"/>
    <mergeCell ref="G58:G59"/>
    <mergeCell ref="L38:L39"/>
    <mergeCell ref="M38:M39"/>
    <mergeCell ref="N38:N39"/>
    <mergeCell ref="I38:I39"/>
    <mergeCell ref="J42:J43"/>
    <mergeCell ref="K42:K43"/>
    <mergeCell ref="L42:L43"/>
    <mergeCell ref="M42:M43"/>
    <mergeCell ref="N42:N43"/>
    <mergeCell ref="I42:I43"/>
    <mergeCell ref="N36:N37"/>
    <mergeCell ref="J34:J35"/>
    <mergeCell ref="K34:K35"/>
    <mergeCell ref="L34:L35"/>
    <mergeCell ref="M34:M35"/>
    <mergeCell ref="N34:N35"/>
    <mergeCell ref="D40:D41"/>
    <mergeCell ref="E40:E41"/>
    <mergeCell ref="F40:F41"/>
    <mergeCell ref="H40:H41"/>
    <mergeCell ref="G38:G39"/>
    <mergeCell ref="G40:G41"/>
    <mergeCell ref="D38:D39"/>
    <mergeCell ref="E38:E39"/>
    <mergeCell ref="F38:F39"/>
    <mergeCell ref="H38:H39"/>
    <mergeCell ref="I40:I41"/>
    <mergeCell ref="J40:J41"/>
    <mergeCell ref="K40:K41"/>
    <mergeCell ref="L40:L41"/>
    <mergeCell ref="M40:M41"/>
    <mergeCell ref="N40:N41"/>
    <mergeCell ref="J38:J39"/>
    <mergeCell ref="K38:K39"/>
    <mergeCell ref="I36:I37"/>
    <mergeCell ref="J36:J37"/>
    <mergeCell ref="K36:K37"/>
    <mergeCell ref="L36:L37"/>
    <mergeCell ref="M36:M37"/>
    <mergeCell ref="D34:D35"/>
    <mergeCell ref="E34:E35"/>
    <mergeCell ref="F34:F35"/>
    <mergeCell ref="H34:H35"/>
    <mergeCell ref="I34:I35"/>
    <mergeCell ref="N32:N33"/>
    <mergeCell ref="G26:G27"/>
    <mergeCell ref="H26:H27"/>
    <mergeCell ref="I26:I27"/>
    <mergeCell ref="J26:J27"/>
    <mergeCell ref="K26:K27"/>
    <mergeCell ref="L26:L27"/>
    <mergeCell ref="M26:M27"/>
    <mergeCell ref="M28:M29"/>
    <mergeCell ref="N28:N29"/>
    <mergeCell ref="L30:L31"/>
    <mergeCell ref="M30:M31"/>
    <mergeCell ref="N30:N31"/>
    <mergeCell ref="H32:H33"/>
    <mergeCell ref="I32:I33"/>
    <mergeCell ref="J32:J33"/>
    <mergeCell ref="G30:G31"/>
    <mergeCell ref="H30:H31"/>
    <mergeCell ref="I30:I31"/>
    <mergeCell ref="J30:J31"/>
    <mergeCell ref="K30:K31"/>
    <mergeCell ref="K32:K33"/>
    <mergeCell ref="L32:L33"/>
    <mergeCell ref="M32:M33"/>
    <mergeCell ref="N26:N27"/>
    <mergeCell ref="D28:D29"/>
    <mergeCell ref="E28:E29"/>
    <mergeCell ref="F28:F29"/>
    <mergeCell ref="H28:H29"/>
    <mergeCell ref="I28:I29"/>
    <mergeCell ref="J28:J29"/>
    <mergeCell ref="K28:K29"/>
    <mergeCell ref="L28:L29"/>
    <mergeCell ref="G28:G29"/>
    <mergeCell ref="A24:A43"/>
    <mergeCell ref="D24:D25"/>
    <mergeCell ref="E24:E25"/>
    <mergeCell ref="F24:F25"/>
    <mergeCell ref="H24:H25"/>
    <mergeCell ref="D26:D27"/>
    <mergeCell ref="E26:E27"/>
    <mergeCell ref="F26:F27"/>
    <mergeCell ref="G24:G25"/>
    <mergeCell ref="D32:D33"/>
    <mergeCell ref="E32:E33"/>
    <mergeCell ref="F32:F33"/>
    <mergeCell ref="D30:D31"/>
    <mergeCell ref="E30:E31"/>
    <mergeCell ref="F30:F31"/>
    <mergeCell ref="D36:D37"/>
    <mergeCell ref="E36:E37"/>
    <mergeCell ref="F36:F37"/>
    <mergeCell ref="H36:H37"/>
    <mergeCell ref="G34:G35"/>
    <mergeCell ref="G36:G37"/>
    <mergeCell ref="G32:G33"/>
    <mergeCell ref="M20:M21"/>
    <mergeCell ref="N20:N21"/>
    <mergeCell ref="I20:I21"/>
    <mergeCell ref="I24:I25"/>
    <mergeCell ref="J24:J25"/>
    <mergeCell ref="K24:K25"/>
    <mergeCell ref="L24:L25"/>
    <mergeCell ref="M24:M25"/>
    <mergeCell ref="N24:N25"/>
    <mergeCell ref="K16:K17"/>
    <mergeCell ref="L16:L17"/>
    <mergeCell ref="M16:M17"/>
    <mergeCell ref="N16:N17"/>
    <mergeCell ref="I16:I17"/>
    <mergeCell ref="D22:D23"/>
    <mergeCell ref="E22:E23"/>
    <mergeCell ref="F22:F23"/>
    <mergeCell ref="H22:H23"/>
    <mergeCell ref="G20:G21"/>
    <mergeCell ref="G22:G23"/>
    <mergeCell ref="D20:D21"/>
    <mergeCell ref="E20:E21"/>
    <mergeCell ref="F20:F21"/>
    <mergeCell ref="H20:H21"/>
    <mergeCell ref="I22:I23"/>
    <mergeCell ref="J22:J23"/>
    <mergeCell ref="K22:K23"/>
    <mergeCell ref="L22:L23"/>
    <mergeCell ref="M22:M23"/>
    <mergeCell ref="N22:N23"/>
    <mergeCell ref="J20:J21"/>
    <mergeCell ref="K20:K21"/>
    <mergeCell ref="L20:L21"/>
    <mergeCell ref="N14:N15"/>
    <mergeCell ref="J12:J13"/>
    <mergeCell ref="K12:K13"/>
    <mergeCell ref="L12:L13"/>
    <mergeCell ref="M12:M13"/>
    <mergeCell ref="N12:N13"/>
    <mergeCell ref="I12:I13"/>
    <mergeCell ref="D18:D19"/>
    <mergeCell ref="E18:E19"/>
    <mergeCell ref="F18:F19"/>
    <mergeCell ref="H18:H19"/>
    <mergeCell ref="G16:G17"/>
    <mergeCell ref="G18:G19"/>
    <mergeCell ref="D16:D17"/>
    <mergeCell ref="E16:E17"/>
    <mergeCell ref="F16:F17"/>
    <mergeCell ref="H16:H17"/>
    <mergeCell ref="I18:I19"/>
    <mergeCell ref="J18:J19"/>
    <mergeCell ref="K18:K19"/>
    <mergeCell ref="L18:L19"/>
    <mergeCell ref="M18:M19"/>
    <mergeCell ref="N18:N19"/>
    <mergeCell ref="J16:J17"/>
    <mergeCell ref="D12:D13"/>
    <mergeCell ref="E12:E13"/>
    <mergeCell ref="F12:F13"/>
    <mergeCell ref="H12:H13"/>
    <mergeCell ref="I14:I15"/>
    <mergeCell ref="J14:J15"/>
    <mergeCell ref="K14:K15"/>
    <mergeCell ref="L14:L15"/>
    <mergeCell ref="M14:M15"/>
    <mergeCell ref="L10:L11"/>
    <mergeCell ref="M10:M11"/>
    <mergeCell ref="N10:N11"/>
    <mergeCell ref="J8:J9"/>
    <mergeCell ref="K8:K9"/>
    <mergeCell ref="L8:L9"/>
    <mergeCell ref="M8:M9"/>
    <mergeCell ref="N8:N9"/>
    <mergeCell ref="J6:J7"/>
    <mergeCell ref="D10:D11"/>
    <mergeCell ref="E10:E11"/>
    <mergeCell ref="F10:F11"/>
    <mergeCell ref="H10:H11"/>
    <mergeCell ref="G8:G9"/>
    <mergeCell ref="G10:G11"/>
    <mergeCell ref="K6:K7"/>
    <mergeCell ref="A4:A23"/>
    <mergeCell ref="D4:D5"/>
    <mergeCell ref="E4:E5"/>
    <mergeCell ref="F4:F5"/>
    <mergeCell ref="H4:H5"/>
    <mergeCell ref="I4:I5"/>
    <mergeCell ref="J4:J5"/>
    <mergeCell ref="K4:K5"/>
    <mergeCell ref="I10:I11"/>
    <mergeCell ref="J10:J11"/>
    <mergeCell ref="K10:K11"/>
    <mergeCell ref="D14:D15"/>
    <mergeCell ref="E14:E15"/>
    <mergeCell ref="F14:F15"/>
    <mergeCell ref="H14:H15"/>
    <mergeCell ref="G14:G15"/>
    <mergeCell ref="G12:G13"/>
    <mergeCell ref="B1:N1"/>
    <mergeCell ref="N6:N7"/>
    <mergeCell ref="D8:D9"/>
    <mergeCell ref="E8:E9"/>
    <mergeCell ref="F8:F9"/>
    <mergeCell ref="H8:H9"/>
    <mergeCell ref="I8:I9"/>
    <mergeCell ref="G6:G7"/>
    <mergeCell ref="L4:L5"/>
    <mergeCell ref="M4:M5"/>
    <mergeCell ref="N4:N5"/>
    <mergeCell ref="D6:D7"/>
    <mergeCell ref="E6:E7"/>
    <mergeCell ref="F6:F7"/>
    <mergeCell ref="H6:H7"/>
    <mergeCell ref="I6:I7"/>
    <mergeCell ref="G4:G5"/>
    <mergeCell ref="L6:L7"/>
    <mergeCell ref="M6:M7"/>
  </mergeCells>
  <conditionalFormatting sqref="N4">
    <cfRule type="cellIs" dxfId="11" priority="5" operator="equal">
      <formula>"OK"</formula>
    </cfRule>
    <cfRule type="cellIs" dxfId="10" priority="6" operator="equal">
      <formula>"NO"</formula>
    </cfRule>
    <cfRule type="colorScale" priority="7">
      <colorScale>
        <cfvo type="num" val="&quot;NO&quot;"/>
        <cfvo type="num" val="&quot;OK&quot;"/>
        <color rgb="FFFF0000"/>
        <color rgb="FF43FF59"/>
      </colorScale>
    </cfRule>
  </conditionalFormatting>
  <conditionalFormatting sqref="A4:A6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6 N8 N10 N12 N14 N16 N18 N20 N22 N24 N26 N28 N30 N32 N34 N36 N38 N40 N42 N44 N46 N48 N50 N52 N54 N56 N58 N60 N62">
    <cfRule type="cellIs" dxfId="9" priority="1" operator="equal">
      <formula>"OK"</formula>
    </cfRule>
    <cfRule type="cellIs" dxfId="8" priority="2" operator="equal">
      <formula>"NO"</formula>
    </cfRule>
    <cfRule type="colorScale" priority="3">
      <colorScale>
        <cfvo type="num" val="&quot;NO&quot;"/>
        <cfvo type="num" val="&quot;OK&quot;"/>
        <color rgb="FFFF0000"/>
        <color rgb="FF43FF59"/>
      </colorScale>
    </cfRule>
  </conditionalFormatting>
  <pageMargins left="0.7" right="0.7" top="0.75" bottom="0.75" header="0.3" footer="0.3"/>
  <pageSetup paperSize="9" scale="37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C102-35A0-4BCF-A66A-FAFE379AE60E}">
  <sheetPr>
    <pageSetUpPr fitToPage="1"/>
  </sheetPr>
  <dimension ref="A1:Z133"/>
  <sheetViews>
    <sheetView zoomScale="55" zoomScaleNormal="55" workbookViewId="0">
      <pane ySplit="3" topLeftCell="A4" activePane="bottomLeft" state="frozen"/>
      <selection pane="bottomLeft" activeCell="O2" sqref="O2:S3"/>
    </sheetView>
  </sheetViews>
  <sheetFormatPr defaultRowHeight="15" x14ac:dyDescent="0.25"/>
  <cols>
    <col min="1" max="1" width="5.85546875" style="32" customWidth="1"/>
    <col min="2" max="3" width="9.140625" style="33" customWidth="1"/>
    <col min="4" max="4" width="13.42578125" style="33" customWidth="1"/>
    <col min="5" max="5" width="12.5703125" style="33" customWidth="1"/>
    <col min="6" max="6" width="13" style="36" customWidth="1"/>
    <col min="7" max="7" width="14.7109375" style="36" customWidth="1"/>
    <col min="8" max="8" width="12" style="36" customWidth="1"/>
    <col min="9" max="9" width="13.85546875" style="36" customWidth="1"/>
    <col min="10" max="10" width="13.42578125" style="36" customWidth="1"/>
    <col min="11" max="11" width="11" style="36" customWidth="1"/>
    <col min="12" max="12" width="11.28515625" style="36" customWidth="1"/>
    <col min="13" max="13" width="10.5703125" style="36" customWidth="1"/>
    <col min="14" max="14" width="16.5703125" style="36" customWidth="1"/>
    <col min="15" max="15" width="10.28515625" style="36" customWidth="1"/>
    <col min="16" max="17" width="9.140625" style="36"/>
    <col min="18" max="18" width="13" style="36" customWidth="1"/>
    <col min="19" max="19" width="9.140625" style="36" customWidth="1"/>
    <col min="20" max="23" width="9.140625" style="36"/>
    <col min="24" max="24" width="12.28515625" style="36" bestFit="1" customWidth="1"/>
    <col min="25" max="16384" width="9.140625" style="36"/>
  </cols>
  <sheetData>
    <row r="1" spans="1:26" ht="26.25" x14ac:dyDescent="0.4">
      <c r="B1" s="101" t="s">
        <v>27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26" ht="18" x14ac:dyDescent="0.35">
      <c r="B2" s="17" t="s">
        <v>0</v>
      </c>
      <c r="C2" s="17" t="s">
        <v>31</v>
      </c>
      <c r="D2" s="18" t="s">
        <v>113</v>
      </c>
      <c r="E2" s="18" t="s">
        <v>114</v>
      </c>
      <c r="F2" s="18" t="s">
        <v>115</v>
      </c>
      <c r="G2" s="18" t="s">
        <v>108</v>
      </c>
      <c r="H2" s="18" t="s">
        <v>116</v>
      </c>
      <c r="I2" s="18" t="s">
        <v>76</v>
      </c>
      <c r="J2" s="38" t="s">
        <v>97</v>
      </c>
      <c r="K2" s="18" t="s">
        <v>117</v>
      </c>
      <c r="L2" s="18" t="s">
        <v>118</v>
      </c>
      <c r="M2" s="38" t="s">
        <v>111</v>
      </c>
      <c r="N2" s="18" t="s">
        <v>119</v>
      </c>
      <c r="O2" s="18" t="s">
        <v>29</v>
      </c>
      <c r="P2" s="18" t="s">
        <v>73</v>
      </c>
      <c r="Q2" s="18" t="s">
        <v>74</v>
      </c>
      <c r="R2" s="18" t="s">
        <v>109</v>
      </c>
      <c r="S2" s="99" t="s">
        <v>120</v>
      </c>
    </row>
    <row r="3" spans="1:26" x14ac:dyDescent="0.25">
      <c r="B3" s="34" t="s">
        <v>1</v>
      </c>
      <c r="C3" s="34" t="s">
        <v>1</v>
      </c>
      <c r="D3" s="35" t="s">
        <v>2</v>
      </c>
      <c r="E3" s="35" t="s">
        <v>72</v>
      </c>
      <c r="F3" s="35" t="s">
        <v>72</v>
      </c>
      <c r="G3" s="35" t="s">
        <v>2</v>
      </c>
      <c r="H3" s="35" t="s">
        <v>65</v>
      </c>
      <c r="I3" s="35" t="s">
        <v>65</v>
      </c>
      <c r="J3" s="35" t="s">
        <v>65</v>
      </c>
      <c r="K3" s="35"/>
      <c r="L3" s="35" t="s">
        <v>72</v>
      </c>
      <c r="M3" s="35" t="s">
        <v>70</v>
      </c>
      <c r="N3" s="35"/>
      <c r="O3" s="35" t="s">
        <v>70</v>
      </c>
      <c r="P3" s="35" t="s">
        <v>65</v>
      </c>
      <c r="Q3" s="35" t="s">
        <v>65</v>
      </c>
      <c r="R3" s="35" t="s">
        <v>2</v>
      </c>
      <c r="S3" s="100" t="s">
        <v>121</v>
      </c>
    </row>
    <row r="4" spans="1:26" ht="15" customHeight="1" x14ac:dyDescent="0.25">
      <c r="A4" s="61" t="s">
        <v>24</v>
      </c>
      <c r="B4" s="26" t="s">
        <v>3</v>
      </c>
      <c r="C4" s="26" t="s">
        <v>4</v>
      </c>
      <c r="D4" s="60">
        <v>54.19</v>
      </c>
      <c r="E4" s="58">
        <v>0</v>
      </c>
      <c r="F4" s="58">
        <v>1017.87601976309</v>
      </c>
      <c r="G4" s="54">
        <v>32.432000000000002</v>
      </c>
      <c r="H4" s="96">
        <v>500</v>
      </c>
      <c r="I4" s="96">
        <v>50</v>
      </c>
      <c r="J4" s="96">
        <v>10</v>
      </c>
      <c r="K4" s="96">
        <v>4</v>
      </c>
      <c r="L4" s="96">
        <f>J4^2*PI()/4*K4*(H4/I4)</f>
        <v>3141.5926535897934</v>
      </c>
      <c r="M4" s="60">
        <f>D4*1000/(500*300*Confinamento!P4)</f>
        <v>9.8719750677536723E-3</v>
      </c>
      <c r="N4" s="54">
        <f>1.1*(E4+F4)*391*(1-0.8*M4)</f>
        <v>434331.00656329695</v>
      </c>
      <c r="O4" s="58" t="str">
        <f>IF(L4*391&gt;N4,"OK","NO")</f>
        <v>OK</v>
      </c>
      <c r="P4" s="56">
        <v>500</v>
      </c>
      <c r="Q4" s="56">
        <f>300-80</f>
        <v>220</v>
      </c>
      <c r="R4" s="92">
        <f>(1.1*(E4+F4)*391)/1000-G4</f>
        <v>405.356476100105</v>
      </c>
      <c r="S4" s="60">
        <f>N4/(L4*391)</f>
        <v>0.35358530246868103</v>
      </c>
      <c r="U4" s="97">
        <f>((R4*1000/(P4*Q4))^2/(1.35+M4*17))-1.35</f>
        <v>7.5967966603879535</v>
      </c>
      <c r="V4" s="98">
        <f>L4*391/(P4*420)</f>
        <v>5.8493463216838535</v>
      </c>
      <c r="W4" s="50" t="str">
        <f>IF(V4&gt;U4,"OK","NO")</f>
        <v>NO</v>
      </c>
      <c r="Y4" s="51">
        <f>MIN(I4,'NodoX (Taglio Trazione)'!I4:I5)</f>
        <v>50</v>
      </c>
      <c r="Z4" s="51">
        <f>MIN(I4,'NodoX (Taglio Trazione)'!I4:I5)</f>
        <v>50</v>
      </c>
    </row>
    <row r="5" spans="1:26" x14ac:dyDescent="0.25">
      <c r="A5" s="61"/>
      <c r="B5" s="26" t="s">
        <v>8</v>
      </c>
      <c r="C5" s="26" t="s">
        <v>4</v>
      </c>
      <c r="D5" s="60"/>
      <c r="E5" s="58"/>
      <c r="F5" s="58"/>
      <c r="G5" s="54"/>
      <c r="H5" s="96"/>
      <c r="I5" s="96"/>
      <c r="J5" s="96"/>
      <c r="K5" s="96"/>
      <c r="L5" s="96"/>
      <c r="M5" s="60"/>
      <c r="N5" s="54"/>
      <c r="O5" s="58"/>
      <c r="P5" s="56"/>
      <c r="Q5" s="56"/>
      <c r="R5" s="92"/>
      <c r="S5" s="60"/>
      <c r="U5" s="97"/>
      <c r="V5" s="98"/>
      <c r="W5" s="49"/>
      <c r="Y5" s="52"/>
      <c r="Z5" s="52"/>
    </row>
    <row r="6" spans="1:26" x14ac:dyDescent="0.25">
      <c r="A6" s="61"/>
      <c r="B6" s="26" t="s">
        <v>4</v>
      </c>
      <c r="C6" s="26" t="s">
        <v>6</v>
      </c>
      <c r="D6" s="60">
        <v>201.35</v>
      </c>
      <c r="E6" s="58">
        <v>1017.87601976309</v>
      </c>
      <c r="F6" s="58">
        <v>1017.87601976309</v>
      </c>
      <c r="G6" s="54">
        <v>28.280999999999999</v>
      </c>
      <c r="H6" s="96">
        <v>500</v>
      </c>
      <c r="I6" s="96">
        <v>50</v>
      </c>
      <c r="J6" s="96">
        <v>10</v>
      </c>
      <c r="K6" s="96">
        <v>4</v>
      </c>
      <c r="L6" s="96">
        <f t="shared" ref="L6" si="0">J6^2*PI()/4*K6*(H6/I6)</f>
        <v>3141.5926535897934</v>
      </c>
      <c r="M6" s="60">
        <f>D6*1000/(500*300*Confinamento!P6)</f>
        <v>3.668060859738332E-2</v>
      </c>
      <c r="N6" s="54">
        <f>1.1*(E6+F6)*391*(1-0.8*M6)</f>
        <v>849883.59581577347</v>
      </c>
      <c r="O6" s="58" t="str">
        <f>IF(L6*391&gt;N6,"OK","NO")</f>
        <v>OK</v>
      </c>
      <c r="P6" s="56">
        <v>500</v>
      </c>
      <c r="Q6" s="56">
        <f t="shared" ref="Q6" si="1">300-80</f>
        <v>220</v>
      </c>
      <c r="R6" s="92">
        <f>(1.1*(E6+F6)*391)/1000-G6</f>
        <v>847.29595220021008</v>
      </c>
      <c r="S6" s="60">
        <f t="shared" ref="S6:S37" si="2">N6/(L6*391)</f>
        <v>0.69188324975342608</v>
      </c>
      <c r="U6" s="97">
        <f>((R6*1000/(P6*Q6))^2/(1.35+M6*17))-1.35</f>
        <v>28.712997583166672</v>
      </c>
      <c r="V6" s="98">
        <f>L6*391/(P6*420)</f>
        <v>5.8493463216838535</v>
      </c>
      <c r="W6" s="50" t="str">
        <f t="shared" ref="W6" si="3">IF(V6&gt;U6,"OK","NO")</f>
        <v>NO</v>
      </c>
      <c r="Y6" s="51">
        <f>MIN(I6,'NodoX (Taglio Trazione)'!I6:I7)</f>
        <v>50</v>
      </c>
      <c r="Z6" s="51">
        <f>MIN(I6,'NodoX (Taglio Trazione)'!I6:I7)</f>
        <v>50</v>
      </c>
    </row>
    <row r="7" spans="1:26" x14ac:dyDescent="0.25">
      <c r="A7" s="61"/>
      <c r="B7" s="26" t="s">
        <v>9</v>
      </c>
      <c r="C7" s="26" t="s">
        <v>6</v>
      </c>
      <c r="D7" s="60"/>
      <c r="E7" s="58"/>
      <c r="F7" s="58"/>
      <c r="G7" s="54"/>
      <c r="H7" s="96"/>
      <c r="I7" s="96"/>
      <c r="J7" s="96"/>
      <c r="K7" s="96"/>
      <c r="L7" s="96"/>
      <c r="M7" s="60"/>
      <c r="N7" s="54"/>
      <c r="O7" s="58"/>
      <c r="P7" s="56"/>
      <c r="Q7" s="56"/>
      <c r="R7" s="92"/>
      <c r="S7" s="60"/>
      <c r="U7" s="97"/>
      <c r="V7" s="98"/>
      <c r="W7" s="49"/>
      <c r="Y7" s="52"/>
      <c r="Z7" s="52"/>
    </row>
    <row r="8" spans="1:26" x14ac:dyDescent="0.25">
      <c r="A8" s="61"/>
      <c r="B8" s="26" t="s">
        <v>5</v>
      </c>
      <c r="C8" s="26" t="s">
        <v>8</v>
      </c>
      <c r="D8" s="60">
        <v>244.739</v>
      </c>
      <c r="E8" s="58">
        <v>1017.87601976309</v>
      </c>
      <c r="F8" s="58">
        <v>816.81408993334605</v>
      </c>
      <c r="G8" s="54">
        <v>24.966000000000001</v>
      </c>
      <c r="H8" s="96">
        <v>500</v>
      </c>
      <c r="I8" s="96">
        <v>50</v>
      </c>
      <c r="J8" s="96">
        <v>10</v>
      </c>
      <c r="K8" s="96">
        <v>4</v>
      </c>
      <c r="L8" s="96">
        <f t="shared" ref="L8" si="4">J8^2*PI()/4*K8*(H8/I8)</f>
        <v>3141.5926535897934</v>
      </c>
      <c r="M8" s="60">
        <f>D8*1000/(500*300*Confinamento!P8)</f>
        <v>4.4584929066376934E-2</v>
      </c>
      <c r="N8" s="54">
        <f>1.1*(E8+F8)*391*(1-0.8*M8)</f>
        <v>760954.63444870326</v>
      </c>
      <c r="O8" s="58" t="str">
        <f>IF(L8*391&gt;N8,"OK","NO")</f>
        <v>OK</v>
      </c>
      <c r="P8" s="56">
        <v>500</v>
      </c>
      <c r="Q8" s="56">
        <f t="shared" ref="Q8" si="5">300-80</f>
        <v>220</v>
      </c>
      <c r="R8" s="92">
        <f>(1.1*(E8+F8)*391)/1000-G8</f>
        <v>764.13421618043719</v>
      </c>
      <c r="S8" s="60">
        <f t="shared" ref="S8:S39" si="6">N8/(L8*391)</f>
        <v>0.61948691325420646</v>
      </c>
      <c r="U8" s="97">
        <f>((R8*1000/(P8*Q8))^2/(1.35+M8*17))-1.35</f>
        <v>21.542588226746197</v>
      </c>
      <c r="V8" s="98">
        <f>L8*391/(P8*420)</f>
        <v>5.8493463216838535</v>
      </c>
      <c r="W8" s="50" t="str">
        <f t="shared" ref="W8" si="7">IF(V8&gt;U8,"OK","NO")</f>
        <v>NO</v>
      </c>
      <c r="Y8" s="51">
        <f>MIN(I8,'NodoX (Taglio Trazione)'!I8:I9)</f>
        <v>50</v>
      </c>
      <c r="Z8" s="51">
        <f>MIN(I8,'NodoX (Taglio Trazione)'!I8:I9)</f>
        <v>50</v>
      </c>
    </row>
    <row r="9" spans="1:26" x14ac:dyDescent="0.25">
      <c r="A9" s="61"/>
      <c r="B9" s="26" t="s">
        <v>10</v>
      </c>
      <c r="C9" s="26" t="s">
        <v>8</v>
      </c>
      <c r="D9" s="60"/>
      <c r="E9" s="58"/>
      <c r="F9" s="58"/>
      <c r="G9" s="54"/>
      <c r="H9" s="96"/>
      <c r="I9" s="96"/>
      <c r="J9" s="96"/>
      <c r="K9" s="96"/>
      <c r="L9" s="96"/>
      <c r="M9" s="60"/>
      <c r="N9" s="54"/>
      <c r="O9" s="58"/>
      <c r="P9" s="56"/>
      <c r="Q9" s="56"/>
      <c r="R9" s="92"/>
      <c r="S9" s="60"/>
      <c r="U9" s="97"/>
      <c r="V9" s="98"/>
      <c r="W9" s="49"/>
      <c r="Y9" s="52"/>
      <c r="Z9" s="52"/>
    </row>
    <row r="10" spans="1:26" x14ac:dyDescent="0.25">
      <c r="A10" s="61"/>
      <c r="B10" s="26" t="s">
        <v>6</v>
      </c>
      <c r="C10" s="26" t="s">
        <v>10</v>
      </c>
      <c r="D10" s="60">
        <v>224.60499999999999</v>
      </c>
      <c r="E10" s="58">
        <v>1017.87601976309</v>
      </c>
      <c r="F10" s="58">
        <v>816.81408993334605</v>
      </c>
      <c r="G10" s="54">
        <v>28.747</v>
      </c>
      <c r="H10" s="96">
        <v>500</v>
      </c>
      <c r="I10" s="96">
        <v>50</v>
      </c>
      <c r="J10" s="96">
        <v>10</v>
      </c>
      <c r="K10" s="96">
        <v>4</v>
      </c>
      <c r="L10" s="96">
        <f t="shared" ref="L10" si="8">J10^2*PI()/4*K10*(H10/I10)</f>
        <v>3141.5926535897934</v>
      </c>
      <c r="M10" s="60">
        <f>D10*1000/(500*300*Confinamento!P10)</f>
        <v>4.0917050380011324E-2</v>
      </c>
      <c r="N10" s="54">
        <f>1.1*(E10+F10)*391*(1-0.8*M10)</f>
        <v>763270.09354017104</v>
      </c>
      <c r="O10" s="58" t="str">
        <f>IF(L10*391&gt;N10,"OK","NO")</f>
        <v>OK</v>
      </c>
      <c r="P10" s="56">
        <v>500</v>
      </c>
      <c r="Q10" s="56">
        <f t="shared" ref="Q10" si="9">300-80</f>
        <v>220</v>
      </c>
      <c r="R10" s="92">
        <f>(1.1*(E10+F10)*391)/1000-G10</f>
        <v>760.35321618043724</v>
      </c>
      <c r="S10" s="60">
        <f t="shared" ref="S10:S41" si="10">N10/(L10*391)</f>
        <v>0.62137190946870358</v>
      </c>
      <c r="U10" s="97">
        <f>((R10*1000/(P10*Q10))^2/(1.35+M10*17))-1.35</f>
        <v>22.007526098535365</v>
      </c>
      <c r="V10" s="98">
        <f>L10*391/(P10*420)</f>
        <v>5.8493463216838535</v>
      </c>
      <c r="W10" s="50" t="str">
        <f t="shared" ref="W10" si="11">IF(V10&gt;U10,"OK","NO")</f>
        <v>NO</v>
      </c>
      <c r="Y10" s="51">
        <f>MIN(I10,'NodoX (Taglio Trazione)'!I10:I11)</f>
        <v>50</v>
      </c>
      <c r="Z10" s="51">
        <f>MIN(I10,'NodoX (Taglio Trazione)'!I10:I11)</f>
        <v>50</v>
      </c>
    </row>
    <row r="11" spans="1:26" x14ac:dyDescent="0.25">
      <c r="A11" s="61"/>
      <c r="B11" s="26" t="s">
        <v>11</v>
      </c>
      <c r="C11" s="26" t="s">
        <v>10</v>
      </c>
      <c r="D11" s="60"/>
      <c r="E11" s="58"/>
      <c r="F11" s="58"/>
      <c r="G11" s="54"/>
      <c r="H11" s="96"/>
      <c r="I11" s="96"/>
      <c r="J11" s="96"/>
      <c r="K11" s="96"/>
      <c r="L11" s="96"/>
      <c r="M11" s="60"/>
      <c r="N11" s="54"/>
      <c r="O11" s="58"/>
      <c r="P11" s="56"/>
      <c r="Q11" s="56"/>
      <c r="R11" s="92"/>
      <c r="S11" s="60"/>
      <c r="U11" s="97"/>
      <c r="V11" s="98"/>
      <c r="W11" s="49"/>
      <c r="Y11" s="52"/>
      <c r="Z11" s="52"/>
    </row>
    <row r="12" spans="1:26" x14ac:dyDescent="0.25">
      <c r="A12" s="61"/>
      <c r="B12" s="26" t="s">
        <v>7</v>
      </c>
      <c r="C12" s="26" t="s">
        <v>12</v>
      </c>
      <c r="D12" s="60">
        <v>53.018999999999998</v>
      </c>
      <c r="E12" s="58">
        <v>0</v>
      </c>
      <c r="F12" s="58">
        <v>1017.87601976309</v>
      </c>
      <c r="G12" s="54">
        <v>35.911999999999999</v>
      </c>
      <c r="H12" s="96">
        <v>500</v>
      </c>
      <c r="I12" s="96">
        <v>50</v>
      </c>
      <c r="J12" s="96">
        <v>10</v>
      </c>
      <c r="K12" s="96">
        <v>4</v>
      </c>
      <c r="L12" s="96">
        <f t="shared" ref="L12" si="12">J12^2*PI()/4*K12*(H12/I12)</f>
        <v>3141.5926535897934</v>
      </c>
      <c r="M12" s="60">
        <f>D12*1000/(500*300*Confinamento!P12)</f>
        <v>9.658650048297324E-3</v>
      </c>
      <c r="N12" s="54">
        <f>1.1*(E12+F12)*391*(1-0.8*M12)</f>
        <v>434405.71955144242</v>
      </c>
      <c r="O12" s="58" t="str">
        <f>IF(L12*391&gt;N12,"OK","NO")</f>
        <v>OK</v>
      </c>
      <c r="P12" s="56">
        <v>500</v>
      </c>
      <c r="Q12" s="56">
        <f t="shared" ref="Q12" si="13">300-80</f>
        <v>220</v>
      </c>
      <c r="R12" s="92">
        <f>(1.1*(E12+F12)*391)/1000-G12</f>
        <v>401.87647610010504</v>
      </c>
      <c r="S12" s="60">
        <f t="shared" ref="S12:S43" si="14">N12/(L12*391)</f>
        <v>0.3536461256982284</v>
      </c>
      <c r="U12" s="97">
        <f>((R12*1000/(P12*Q12))^2/(1.35+M12*17))-1.35</f>
        <v>7.4649002993660307</v>
      </c>
      <c r="V12" s="98">
        <f>L12*391/(P12*420)</f>
        <v>5.8493463216838535</v>
      </c>
      <c r="W12" s="50" t="str">
        <f t="shared" ref="W12" si="15">IF(V12&gt;U12,"OK","NO")</f>
        <v>NO</v>
      </c>
      <c r="Y12" s="51">
        <f>MIN(I12,'NodoX (Taglio Trazione)'!I12:I13)</f>
        <v>50</v>
      </c>
      <c r="Z12" s="51">
        <f>MIN(I12,'NodoX (Taglio Trazione)'!I12:I13)</f>
        <v>50</v>
      </c>
    </row>
    <row r="13" spans="1:26" x14ac:dyDescent="0.25">
      <c r="A13" s="61"/>
      <c r="B13" s="26" t="s">
        <v>12</v>
      </c>
      <c r="C13" s="26" t="s">
        <v>12</v>
      </c>
      <c r="D13" s="60"/>
      <c r="E13" s="58"/>
      <c r="F13" s="58"/>
      <c r="G13" s="54"/>
      <c r="H13" s="96"/>
      <c r="I13" s="96"/>
      <c r="J13" s="96"/>
      <c r="K13" s="96"/>
      <c r="L13" s="96"/>
      <c r="M13" s="60"/>
      <c r="N13" s="54"/>
      <c r="O13" s="58"/>
      <c r="P13" s="56"/>
      <c r="Q13" s="56"/>
      <c r="R13" s="92"/>
      <c r="S13" s="60"/>
      <c r="U13" s="97"/>
      <c r="V13" s="98"/>
      <c r="W13" s="49"/>
      <c r="Y13" s="52"/>
      <c r="Z13" s="52"/>
    </row>
    <row r="14" spans="1:26" x14ac:dyDescent="0.25">
      <c r="A14" s="61"/>
      <c r="B14" s="26" t="s">
        <v>33</v>
      </c>
      <c r="C14" s="26" t="s">
        <v>34</v>
      </c>
      <c r="D14" s="60">
        <v>335.93200000000002</v>
      </c>
      <c r="E14" s="58">
        <v>0</v>
      </c>
      <c r="F14" s="58">
        <v>678.58401317539494</v>
      </c>
      <c r="G14" s="54">
        <v>74.137</v>
      </c>
      <c r="H14" s="96">
        <v>500</v>
      </c>
      <c r="I14" s="96">
        <v>50</v>
      </c>
      <c r="J14" s="96">
        <v>10</v>
      </c>
      <c r="K14" s="96">
        <v>2</v>
      </c>
      <c r="L14" s="96">
        <f t="shared" ref="L14" si="16">J14^2*PI()/4*K14*(H14/I14)</f>
        <v>1570.7963267948967</v>
      </c>
      <c r="M14" s="60">
        <f>D14*1000/(500*300*Confinamento!P14)</f>
        <v>5.6132848733115914E-2</v>
      </c>
      <c r="N14" s="54">
        <f>1.1*(E14+F14)*391*(1-0.8*M14)</f>
        <v>278752.68310352217</v>
      </c>
      <c r="O14" s="58" t="str">
        <f>IF(L14*391&gt;N14,"OK","NO")</f>
        <v>OK</v>
      </c>
      <c r="P14" s="56">
        <v>300</v>
      </c>
      <c r="Q14" s="56">
        <v>420</v>
      </c>
      <c r="R14" s="92">
        <f>(1.1*(E14+F14)*391)/1000-G14</f>
        <v>217.72198406673743</v>
      </c>
      <c r="S14" s="60">
        <f t="shared" ref="S14:S45" si="17">N14/(L14*391)</f>
        <v>0.45386053622561839</v>
      </c>
      <c r="U14" s="97">
        <f>((R14*1000/(P14*Q14))^2/(1.35+M14*17))-1.35</f>
        <v>-5.4216958938894999E-2</v>
      </c>
      <c r="V14" s="98">
        <f>L14*391/(P14*420)</f>
        <v>4.8744552680698785</v>
      </c>
      <c r="W14" s="50" t="str">
        <f t="shared" ref="W14" si="18">IF(V14&gt;U14,"OK","NO")</f>
        <v>OK</v>
      </c>
      <c r="Y14" s="51">
        <f>MIN(I14,'NodoX (Taglio Trazione)'!I14:I15)</f>
        <v>50</v>
      </c>
      <c r="Z14" s="51">
        <f>MIN(I14,'NodoX (Taglio Trazione)'!I14:I15)</f>
        <v>50</v>
      </c>
    </row>
    <row r="15" spans="1:26" x14ac:dyDescent="0.25">
      <c r="A15" s="61"/>
      <c r="B15" s="26" t="s">
        <v>35</v>
      </c>
      <c r="C15" s="26" t="s">
        <v>34</v>
      </c>
      <c r="D15" s="60"/>
      <c r="E15" s="58"/>
      <c r="F15" s="58"/>
      <c r="G15" s="54"/>
      <c r="H15" s="96"/>
      <c r="I15" s="96"/>
      <c r="J15" s="96"/>
      <c r="K15" s="96"/>
      <c r="L15" s="96"/>
      <c r="M15" s="60"/>
      <c r="N15" s="54"/>
      <c r="O15" s="58"/>
      <c r="P15" s="56"/>
      <c r="Q15" s="56"/>
      <c r="R15" s="92"/>
      <c r="S15" s="60"/>
      <c r="U15" s="97"/>
      <c r="V15" s="98"/>
      <c r="W15" s="49"/>
      <c r="Y15" s="52"/>
      <c r="Z15" s="52"/>
    </row>
    <row r="16" spans="1:26" x14ac:dyDescent="0.25">
      <c r="A16" s="61"/>
      <c r="B16" s="26" t="s">
        <v>36</v>
      </c>
      <c r="C16" s="26" t="s">
        <v>37</v>
      </c>
      <c r="D16" s="60">
        <v>494.517</v>
      </c>
      <c r="E16" s="58">
        <v>678.58401317539494</v>
      </c>
      <c r="F16" s="58">
        <v>678.58401317539494</v>
      </c>
      <c r="G16" s="54">
        <v>68.141000000000005</v>
      </c>
      <c r="H16" s="96">
        <v>500</v>
      </c>
      <c r="I16" s="96">
        <v>50</v>
      </c>
      <c r="J16" s="96">
        <v>10</v>
      </c>
      <c r="K16" s="96">
        <v>2</v>
      </c>
      <c r="L16" s="96">
        <f t="shared" ref="L16" si="19">J16^2*PI()/4*K16*(H16/I16)</f>
        <v>1570.7963267948967</v>
      </c>
      <c r="M16" s="60">
        <f>D16*1000/(500*300*Confinamento!P16)</f>
        <v>8.2631746773020376E-2</v>
      </c>
      <c r="N16" s="54">
        <f>1.1*(E16+F16)*391*(1-0.8*M16)</f>
        <v>545131.05986974097</v>
      </c>
      <c r="O16" s="58" t="str">
        <f>IF(L16*391&gt;N16,"OK","NO")</f>
        <v>OK</v>
      </c>
      <c r="P16" s="56">
        <v>300</v>
      </c>
      <c r="Q16" s="56">
        <v>420</v>
      </c>
      <c r="R16" s="92">
        <f>(1.1*(E16+F16)*391)/1000-G16</f>
        <v>515.57696813347491</v>
      </c>
      <c r="S16" s="60">
        <f t="shared" ref="S16:S63" si="20">N16/(L16*391)</f>
        <v>0.88757343029353664</v>
      </c>
      <c r="U16" s="97">
        <f>(R16*1000/(P16*Q16))^2/(1.35+M16*17)-1.35</f>
        <v>4.7280652662909919</v>
      </c>
      <c r="V16" s="98">
        <f>L16*391/(P16*420)</f>
        <v>4.8744552680698785</v>
      </c>
      <c r="W16" s="50" t="str">
        <f t="shared" ref="W16" si="21">IF(V16&gt;U16,"OK","NO")</f>
        <v>OK</v>
      </c>
      <c r="Y16" s="51">
        <f>MIN(I16,'NodoX (Taglio Trazione)'!I16:I17)</f>
        <v>50</v>
      </c>
      <c r="Z16" s="51">
        <f>MIN(I16,'NodoX (Taglio Trazione)'!I16:I17)</f>
        <v>50</v>
      </c>
    </row>
    <row r="17" spans="1:26" x14ac:dyDescent="0.25">
      <c r="A17" s="61"/>
      <c r="B17" s="26" t="s">
        <v>38</v>
      </c>
      <c r="C17" s="26" t="s">
        <v>37</v>
      </c>
      <c r="D17" s="60"/>
      <c r="E17" s="58"/>
      <c r="F17" s="58"/>
      <c r="G17" s="54"/>
      <c r="H17" s="96"/>
      <c r="I17" s="96"/>
      <c r="J17" s="96"/>
      <c r="K17" s="96"/>
      <c r="L17" s="96"/>
      <c r="M17" s="60"/>
      <c r="N17" s="54"/>
      <c r="O17" s="58"/>
      <c r="P17" s="56"/>
      <c r="Q17" s="56"/>
      <c r="R17" s="92"/>
      <c r="S17" s="60"/>
      <c r="U17" s="97"/>
      <c r="V17" s="98"/>
      <c r="W17" s="49"/>
      <c r="Y17" s="52"/>
      <c r="Z17" s="52"/>
    </row>
    <row r="18" spans="1:26" x14ac:dyDescent="0.25">
      <c r="A18" s="61"/>
      <c r="B18" s="26" t="s">
        <v>39</v>
      </c>
      <c r="C18" s="26" t="s">
        <v>40</v>
      </c>
      <c r="D18" s="60">
        <v>575.79600000000005</v>
      </c>
      <c r="E18" s="58">
        <v>678.58401317539494</v>
      </c>
      <c r="F18" s="58">
        <v>678.58401317539494</v>
      </c>
      <c r="G18" s="54">
        <v>63.067</v>
      </c>
      <c r="H18" s="96">
        <v>500</v>
      </c>
      <c r="I18" s="96">
        <v>50</v>
      </c>
      <c r="J18" s="96">
        <v>10</v>
      </c>
      <c r="K18" s="96">
        <v>2</v>
      </c>
      <c r="L18" s="96">
        <f t="shared" ref="L18" si="22">J18^2*PI()/4*K18*(H18/I18)</f>
        <v>1570.7963267948967</v>
      </c>
      <c r="M18" s="60">
        <f>D18*1000/(500*300*Confinamento!P18)</f>
        <v>9.6213131732413734E-2</v>
      </c>
      <c r="N18" s="54">
        <f>1.1*(E18+F18)*391*(1-0.8*M18)</f>
        <v>538788.90112339251</v>
      </c>
      <c r="O18" s="58" t="str">
        <f>IF(L18*391&gt;N18,"OK","NO")</f>
        <v>OK</v>
      </c>
      <c r="P18" s="56">
        <v>300</v>
      </c>
      <c r="Q18" s="56">
        <v>420</v>
      </c>
      <c r="R18" s="92">
        <f>(1.1*(E18+F18)*391)/1000-G18</f>
        <v>520.65096813347486</v>
      </c>
      <c r="S18" s="60">
        <f t="shared" ref="S18:S63" si="23">N18/(L18*391)</f>
        <v>0.87724723168121077</v>
      </c>
      <c r="U18" s="97">
        <f>(R18*1000/(P18*Q18))^2/(1.35+M18*17)-1.35</f>
        <v>4.3689627497985306</v>
      </c>
      <c r="V18" s="98">
        <f>L18*391/(P18*420)</f>
        <v>4.8744552680698785</v>
      </c>
      <c r="W18" s="50" t="str">
        <f t="shared" ref="W18" si="24">IF(V18&gt;U18,"OK","NO")</f>
        <v>OK</v>
      </c>
      <c r="Y18" s="51">
        <f>MIN(I18,'NodoX (Taglio Trazione)'!I18:I19)</f>
        <v>50</v>
      </c>
      <c r="Z18" s="51">
        <f>MIN(I18,'NodoX (Taglio Trazione)'!I18:I19)</f>
        <v>50</v>
      </c>
    </row>
    <row r="19" spans="1:26" x14ac:dyDescent="0.25">
      <c r="A19" s="61"/>
      <c r="B19" s="26" t="s">
        <v>41</v>
      </c>
      <c r="C19" s="26" t="s">
        <v>40</v>
      </c>
      <c r="D19" s="60"/>
      <c r="E19" s="58"/>
      <c r="F19" s="58"/>
      <c r="G19" s="54"/>
      <c r="H19" s="96"/>
      <c r="I19" s="96"/>
      <c r="J19" s="96"/>
      <c r="K19" s="96"/>
      <c r="L19" s="96"/>
      <c r="M19" s="60"/>
      <c r="N19" s="54"/>
      <c r="O19" s="58"/>
      <c r="P19" s="56"/>
      <c r="Q19" s="56"/>
      <c r="R19" s="92"/>
      <c r="S19" s="60"/>
      <c r="U19" s="97"/>
      <c r="V19" s="98"/>
      <c r="W19" s="49"/>
      <c r="Y19" s="52"/>
      <c r="Z19" s="52"/>
    </row>
    <row r="20" spans="1:26" x14ac:dyDescent="0.25">
      <c r="A20" s="61"/>
      <c r="B20" s="26" t="s">
        <v>42</v>
      </c>
      <c r="C20" s="26" t="s">
        <v>43</v>
      </c>
      <c r="D20" s="60">
        <v>571.35799999999995</v>
      </c>
      <c r="E20" s="58">
        <v>678.58401317539494</v>
      </c>
      <c r="F20" s="58">
        <v>678.58401317539494</v>
      </c>
      <c r="G20" s="54">
        <v>70.575999999999993</v>
      </c>
      <c r="H20" s="96">
        <v>500</v>
      </c>
      <c r="I20" s="96">
        <v>50</v>
      </c>
      <c r="J20" s="96">
        <v>10</v>
      </c>
      <c r="K20" s="96">
        <v>2</v>
      </c>
      <c r="L20" s="96">
        <f t="shared" ref="L20" si="25">J20^2*PI()/4*K20*(H20/I20)</f>
        <v>1570.7963267948967</v>
      </c>
      <c r="M20" s="60">
        <f>D20*1000/(500*300*Confinamento!P20)</f>
        <v>9.5471560275459444E-2</v>
      </c>
      <c r="N20" s="54">
        <f>1.1*(E20+F20)*391*(1-0.8*M20)</f>
        <v>539135.1959906558</v>
      </c>
      <c r="O20" s="58" t="str">
        <f>IF(L20*391&gt;N20,"OK","NO")</f>
        <v>OK</v>
      </c>
      <c r="P20" s="56">
        <v>300</v>
      </c>
      <c r="Q20" s="56">
        <v>420</v>
      </c>
      <c r="R20" s="92">
        <f>(1.1*(E20+F20)*391)/1000-G20</f>
        <v>513.14196813347485</v>
      </c>
      <c r="S20" s="60">
        <f t="shared" ref="S20:S63" si="26">N20/(L20*391)</f>
        <v>0.87781106329136216</v>
      </c>
      <c r="U20" s="97">
        <f>(R20*1000/(P20*Q20))^2/(1.35+M20*17)-1.35</f>
        <v>4.2287468907138592</v>
      </c>
      <c r="V20" s="98">
        <f>L20*391/(P20*420)</f>
        <v>4.8744552680698785</v>
      </c>
      <c r="W20" s="50" t="str">
        <f t="shared" ref="W20" si="27">IF(V20&gt;U20,"OK","NO")</f>
        <v>OK</v>
      </c>
      <c r="Y20" s="51">
        <f>MIN(I20,'NodoX (Taglio Trazione)'!I20:I21)</f>
        <v>50</v>
      </c>
      <c r="Z20" s="51">
        <f>MIN(I20,'NodoX (Taglio Trazione)'!I20:I21)</f>
        <v>50</v>
      </c>
    </row>
    <row r="21" spans="1:26" x14ac:dyDescent="0.25">
      <c r="A21" s="61"/>
      <c r="B21" s="26" t="s">
        <v>44</v>
      </c>
      <c r="C21" s="26" t="s">
        <v>43</v>
      </c>
      <c r="D21" s="60"/>
      <c r="E21" s="58"/>
      <c r="F21" s="58"/>
      <c r="G21" s="54"/>
      <c r="H21" s="96"/>
      <c r="I21" s="96"/>
      <c r="J21" s="96"/>
      <c r="K21" s="96"/>
      <c r="L21" s="96"/>
      <c r="M21" s="60"/>
      <c r="N21" s="54"/>
      <c r="O21" s="58"/>
      <c r="P21" s="56"/>
      <c r="Q21" s="56"/>
      <c r="R21" s="92"/>
      <c r="S21" s="60"/>
      <c r="U21" s="97"/>
      <c r="V21" s="98"/>
      <c r="W21" s="49"/>
      <c r="Y21" s="52"/>
      <c r="Z21" s="52"/>
    </row>
    <row r="22" spans="1:26" x14ac:dyDescent="0.25">
      <c r="A22" s="61"/>
      <c r="B22" s="26" t="s">
        <v>45</v>
      </c>
      <c r="C22" s="26" t="s">
        <v>46</v>
      </c>
      <c r="D22" s="60">
        <v>333.61500000000001</v>
      </c>
      <c r="E22" s="58">
        <v>0</v>
      </c>
      <c r="F22" s="58">
        <v>678.58401317539494</v>
      </c>
      <c r="G22" s="54">
        <v>81.248000000000005</v>
      </c>
      <c r="H22" s="96">
        <v>500</v>
      </c>
      <c r="I22" s="96">
        <v>50</v>
      </c>
      <c r="J22" s="96">
        <v>10</v>
      </c>
      <c r="K22" s="96">
        <v>2</v>
      </c>
      <c r="L22" s="96">
        <f t="shared" ref="L22" si="28">J22^2*PI()/4*K22*(H22/I22)</f>
        <v>1570.7963267948967</v>
      </c>
      <c r="M22" s="60">
        <f>D22*1000/(500*300*Confinamento!P22)</f>
        <v>5.5745687609690252E-2</v>
      </c>
      <c r="N22" s="54">
        <f>1.1*(E22+F22)*391*(1-0.8*M22)</f>
        <v>278843.0802652447</v>
      </c>
      <c r="O22" s="58" t="str">
        <f>IF(L22*391&gt;N22,"OK","NO")</f>
        <v>OK</v>
      </c>
      <c r="P22" s="56">
        <v>300</v>
      </c>
      <c r="Q22" s="56">
        <v>420</v>
      </c>
      <c r="R22" s="92">
        <f>(1.1*(E22+F22)*391)/1000-G22</f>
        <v>210.61098406673744</v>
      </c>
      <c r="S22" s="60">
        <f t="shared" ref="S22:S63" si="29">N22/(L22*391)</f>
        <v>0.45400771939829992</v>
      </c>
      <c r="U22" s="97">
        <f>(R22*1000/(P22*Q22))^2/(1.35+M22*17)-1.35</f>
        <v>-0.13400433623443231</v>
      </c>
      <c r="V22" s="98">
        <f>L22*391/(P22*420)</f>
        <v>4.8744552680698785</v>
      </c>
      <c r="W22" s="50" t="str">
        <f t="shared" ref="W22" si="30">IF(V22&gt;U22,"OK","NO")</f>
        <v>OK</v>
      </c>
      <c r="Y22" s="51">
        <f>MIN(I22,'NodoX (Taglio Trazione)'!I22:I23)</f>
        <v>50</v>
      </c>
      <c r="Z22" s="51">
        <f>MIN(I22,'NodoX (Taglio Trazione)'!I22:I23)</f>
        <v>50</v>
      </c>
    </row>
    <row r="23" spans="1:26" x14ac:dyDescent="0.25">
      <c r="A23" s="61"/>
      <c r="B23" s="26" t="s">
        <v>47</v>
      </c>
      <c r="C23" s="26" t="s">
        <v>46</v>
      </c>
      <c r="D23" s="60"/>
      <c r="E23" s="58"/>
      <c r="F23" s="58"/>
      <c r="G23" s="54"/>
      <c r="H23" s="96"/>
      <c r="I23" s="96"/>
      <c r="J23" s="96"/>
      <c r="K23" s="96"/>
      <c r="L23" s="96"/>
      <c r="M23" s="60"/>
      <c r="N23" s="54"/>
      <c r="O23" s="58"/>
      <c r="P23" s="56"/>
      <c r="Q23" s="56"/>
      <c r="R23" s="92"/>
      <c r="S23" s="60"/>
      <c r="U23" s="97"/>
      <c r="V23" s="98"/>
      <c r="W23" s="49"/>
      <c r="Y23" s="52"/>
      <c r="Z23" s="52"/>
    </row>
    <row r="24" spans="1:26" ht="15" customHeight="1" x14ac:dyDescent="0.25">
      <c r="A24" s="62" t="s">
        <v>25</v>
      </c>
      <c r="B24" s="26" t="s">
        <v>8</v>
      </c>
      <c r="C24" s="26" t="s">
        <v>13</v>
      </c>
      <c r="D24" s="60">
        <v>51.828000000000003</v>
      </c>
      <c r="E24" s="58">
        <v>0</v>
      </c>
      <c r="F24" s="58">
        <v>1017.87601976309</v>
      </c>
      <c r="G24" s="54">
        <v>23.262</v>
      </c>
      <c r="H24" s="96">
        <v>500</v>
      </c>
      <c r="I24" s="96">
        <v>50</v>
      </c>
      <c r="J24" s="96">
        <v>10</v>
      </c>
      <c r="K24" s="96">
        <v>4</v>
      </c>
      <c r="L24" s="96">
        <f t="shared" ref="L24" si="31">J24^2*PI()/4*K24*(H24/I24)</f>
        <v>3141.5926535897934</v>
      </c>
      <c r="M24" s="60">
        <f>D24*1000/(500*300*Confinamento!P24)</f>
        <v>9.1796251351258951E-3</v>
      </c>
      <c r="N24" s="54">
        <f>1.1*(E24+F24)*391*(1-0.8*M24)</f>
        <v>434573.48882084346</v>
      </c>
      <c r="O24" s="58" t="str">
        <f>IF(L24*391&gt;N24,"OK","NO")</f>
        <v>OK</v>
      </c>
      <c r="P24" s="56">
        <v>450</v>
      </c>
      <c r="Q24" s="56">
        <f>300-80</f>
        <v>220</v>
      </c>
      <c r="R24" s="92">
        <f>(1.1*(E24+F24)*391)/1000-G24</f>
        <v>414.52647610010501</v>
      </c>
      <c r="S24" s="60">
        <f t="shared" ref="S24:S63" si="32">N24/(L24*391)</f>
        <v>0.35378270528147188</v>
      </c>
      <c r="U24" s="97">
        <f>(R24*1000/(P24*Q24))^2/(1.35+M24*17)-1.35</f>
        <v>10.291092048953974</v>
      </c>
      <c r="V24" s="98">
        <f>L24*391/(P24*420)</f>
        <v>6.4992736907598374</v>
      </c>
      <c r="W24" s="50" t="str">
        <f t="shared" ref="W24" si="33">IF(V24&gt;U24,"OK","NO")</f>
        <v>NO</v>
      </c>
      <c r="Y24" s="51">
        <f>MIN(I24,'NodoX (Taglio Trazione)'!I24:I25)</f>
        <v>50</v>
      </c>
      <c r="Z24" s="51">
        <f>MIN(I24,'NodoX (Taglio Trazione)'!I24:I25)</f>
        <v>50</v>
      </c>
    </row>
    <row r="25" spans="1:26" x14ac:dyDescent="0.25">
      <c r="A25" s="62"/>
      <c r="B25" s="26" t="s">
        <v>13</v>
      </c>
      <c r="C25" s="26" t="s">
        <v>13</v>
      </c>
      <c r="D25" s="60"/>
      <c r="E25" s="58"/>
      <c r="F25" s="58"/>
      <c r="G25" s="54"/>
      <c r="H25" s="96"/>
      <c r="I25" s="96"/>
      <c r="J25" s="96"/>
      <c r="K25" s="96"/>
      <c r="L25" s="96"/>
      <c r="M25" s="60"/>
      <c r="N25" s="54"/>
      <c r="O25" s="58"/>
      <c r="P25" s="56"/>
      <c r="Q25" s="56"/>
      <c r="R25" s="92"/>
      <c r="S25" s="60"/>
      <c r="U25" s="97"/>
      <c r="V25" s="98"/>
      <c r="W25" s="49"/>
      <c r="Y25" s="52"/>
      <c r="Z25" s="52"/>
    </row>
    <row r="26" spans="1:26" x14ac:dyDescent="0.25">
      <c r="A26" s="62"/>
      <c r="B26" s="26" t="s">
        <v>9</v>
      </c>
      <c r="C26" s="26" t="s">
        <v>14</v>
      </c>
      <c r="D26" s="60">
        <v>137.89400000000001</v>
      </c>
      <c r="E26" s="58">
        <v>1017.87601976309</v>
      </c>
      <c r="F26" s="58">
        <v>1017.87601976309</v>
      </c>
      <c r="G26" s="54">
        <v>19.71</v>
      </c>
      <c r="H26" s="96">
        <v>500</v>
      </c>
      <c r="I26" s="96">
        <v>50</v>
      </c>
      <c r="J26" s="96">
        <v>10</v>
      </c>
      <c r="K26" s="96">
        <v>4</v>
      </c>
      <c r="L26" s="96">
        <f t="shared" ref="L26" si="34">J26^2*PI()/4*K26*(H26/I26)</f>
        <v>3141.5926535897934</v>
      </c>
      <c r="M26" s="60">
        <f>D26*1000/(500*300*Confinamento!P26)</f>
        <v>2.4423385590473301E-2</v>
      </c>
      <c r="N26" s="54">
        <f>1.1*(E26+F26)*391*(1-0.8*M26)</f>
        <v>858469.30938603636</v>
      </c>
      <c r="O26" s="58" t="str">
        <f>IF(L26*391&gt;N26,"OK","NO")</f>
        <v>OK</v>
      </c>
      <c r="P26" s="56">
        <v>450</v>
      </c>
      <c r="Q26" s="56">
        <f t="shared" ref="Q26" si="35">300-80</f>
        <v>220</v>
      </c>
      <c r="R26" s="92">
        <f>(1.1*(E26+F26)*391)/1000-G26</f>
        <v>855.86695220020999</v>
      </c>
      <c r="S26" s="60">
        <f t="shared" ref="S26:S63" si="36">N26/(L26*391)</f>
        <v>0.69887280860088641</v>
      </c>
      <c r="U26" s="97">
        <f>(R26*1000/(P26*Q26))^2/(1.35+M26*17)-1.35</f>
        <v>40.989800557040816</v>
      </c>
      <c r="V26" s="98">
        <f>L26*391/(P26*420)</f>
        <v>6.4992736907598374</v>
      </c>
      <c r="W26" s="50" t="str">
        <f t="shared" ref="W26" si="37">IF(V26&gt;U26,"OK","NO")</f>
        <v>NO</v>
      </c>
      <c r="Y26" s="51">
        <f>MIN(I26,'NodoX (Taglio Trazione)'!I26:I27)</f>
        <v>50</v>
      </c>
      <c r="Z26" s="51">
        <f>MIN(I26,'NodoX (Taglio Trazione)'!I26:I27)</f>
        <v>50</v>
      </c>
    </row>
    <row r="27" spans="1:26" x14ac:dyDescent="0.25">
      <c r="A27" s="62"/>
      <c r="B27" s="26" t="s">
        <v>14</v>
      </c>
      <c r="C27" s="26" t="s">
        <v>14</v>
      </c>
      <c r="D27" s="60"/>
      <c r="E27" s="58"/>
      <c r="F27" s="58"/>
      <c r="G27" s="54"/>
      <c r="H27" s="96"/>
      <c r="I27" s="96"/>
      <c r="J27" s="96"/>
      <c r="K27" s="96"/>
      <c r="L27" s="96"/>
      <c r="M27" s="60"/>
      <c r="N27" s="54"/>
      <c r="O27" s="58"/>
      <c r="P27" s="56"/>
      <c r="Q27" s="56"/>
      <c r="R27" s="92"/>
      <c r="S27" s="60"/>
      <c r="U27" s="97"/>
      <c r="V27" s="98"/>
      <c r="W27" s="49"/>
      <c r="Y27" s="52"/>
      <c r="Z27" s="52"/>
    </row>
    <row r="28" spans="1:26" x14ac:dyDescent="0.25">
      <c r="A28" s="62"/>
      <c r="B28" s="26" t="s">
        <v>10</v>
      </c>
      <c r="C28" s="26" t="s">
        <v>15</v>
      </c>
      <c r="D28" s="60">
        <v>166.45400000000001</v>
      </c>
      <c r="E28" s="58">
        <v>1017.87601976309</v>
      </c>
      <c r="F28" s="58">
        <v>816.81408993334605</v>
      </c>
      <c r="G28" s="54">
        <v>16.998999999999999</v>
      </c>
      <c r="H28" s="96">
        <v>500</v>
      </c>
      <c r="I28" s="96">
        <v>50</v>
      </c>
      <c r="J28" s="96">
        <v>10</v>
      </c>
      <c r="K28" s="96">
        <v>4</v>
      </c>
      <c r="L28" s="96">
        <f t="shared" ref="L28" si="38">J28^2*PI()/4*K28*(H28/I28)</f>
        <v>3141.5926535897934</v>
      </c>
      <c r="M28" s="60">
        <f>D28*1000/(500*300*Confinamento!P28)</f>
        <v>2.9481850008532953E-2</v>
      </c>
      <c r="N28" s="54">
        <f>1.1*(E28+F28)*391*(1-0.8*M28)</f>
        <v>770488.90880833112</v>
      </c>
      <c r="O28" s="58" t="str">
        <f>IF(L28*391&gt;N28,"OK","NO")</f>
        <v>OK</v>
      </c>
      <c r="P28" s="56">
        <v>450</v>
      </c>
      <c r="Q28" s="56">
        <f t="shared" ref="Q28" si="39">300-80</f>
        <v>220</v>
      </c>
      <c r="R28" s="92">
        <f>(1.1*(E28+F28)*391)/1000-G28</f>
        <v>772.10121618043718</v>
      </c>
      <c r="S28" s="60">
        <f t="shared" ref="S28:S63" si="40">N28/(L28*391)</f>
        <v>0.62724868764361363</v>
      </c>
      <c r="U28" s="97">
        <f>(R28*1000/(P28*Q28))^2/(1.35+M28*17)-1.35</f>
        <v>31.506912263541082</v>
      </c>
      <c r="V28" s="98">
        <f>L28*391/(P28*420)</f>
        <v>6.4992736907598374</v>
      </c>
      <c r="W28" s="50" t="str">
        <f t="shared" ref="W28" si="41">IF(V28&gt;U28,"OK","NO")</f>
        <v>NO</v>
      </c>
      <c r="Y28" s="51">
        <f>MIN(I28,'NodoX (Taglio Trazione)'!I28:I29)</f>
        <v>50</v>
      </c>
      <c r="Z28" s="51">
        <f>MIN(I28,'NodoX (Taglio Trazione)'!I28:I29)</f>
        <v>50</v>
      </c>
    </row>
    <row r="29" spans="1:26" x14ac:dyDescent="0.25">
      <c r="A29" s="62"/>
      <c r="B29" s="26" t="s">
        <v>15</v>
      </c>
      <c r="C29" s="26" t="s">
        <v>15</v>
      </c>
      <c r="D29" s="60"/>
      <c r="E29" s="58"/>
      <c r="F29" s="58"/>
      <c r="G29" s="54"/>
      <c r="H29" s="96"/>
      <c r="I29" s="96"/>
      <c r="J29" s="96"/>
      <c r="K29" s="96"/>
      <c r="L29" s="96"/>
      <c r="M29" s="60"/>
      <c r="N29" s="54"/>
      <c r="O29" s="58"/>
      <c r="P29" s="56"/>
      <c r="Q29" s="56"/>
      <c r="R29" s="92"/>
      <c r="S29" s="60"/>
      <c r="U29" s="97"/>
      <c r="V29" s="98"/>
      <c r="W29" s="49"/>
      <c r="Y29" s="52"/>
      <c r="Z29" s="52"/>
    </row>
    <row r="30" spans="1:26" x14ac:dyDescent="0.25">
      <c r="A30" s="62"/>
      <c r="B30" s="26" t="s">
        <v>11</v>
      </c>
      <c r="C30" s="26" t="s">
        <v>16</v>
      </c>
      <c r="D30" s="60">
        <v>156.28100000000001</v>
      </c>
      <c r="E30" s="58">
        <v>1017.87601976309</v>
      </c>
      <c r="F30" s="58">
        <v>816.81408993334605</v>
      </c>
      <c r="G30" s="54">
        <v>19.786000000000001</v>
      </c>
      <c r="H30" s="96">
        <v>500</v>
      </c>
      <c r="I30" s="96">
        <v>50</v>
      </c>
      <c r="J30" s="96">
        <v>10</v>
      </c>
      <c r="K30" s="96">
        <v>4</v>
      </c>
      <c r="L30" s="96">
        <f t="shared" ref="L30" si="42">J30^2*PI()/4*K30*(H30/I30)</f>
        <v>3141.5926535897934</v>
      </c>
      <c r="M30" s="60">
        <f>D30*1000/(500*300*Confinamento!P30)</f>
        <v>2.7680037735251409E-2</v>
      </c>
      <c r="N30" s="54">
        <f>1.1*(E30+F30)*391*(1-0.8*M30)</f>
        <v>771626.35717182164</v>
      </c>
      <c r="O30" s="58" t="str">
        <f>IF(L30*391&gt;N30,"OK","NO")</f>
        <v>OK</v>
      </c>
      <c r="P30" s="56">
        <v>450</v>
      </c>
      <c r="Q30" s="56">
        <f t="shared" ref="Q30" si="43">300-80</f>
        <v>220</v>
      </c>
      <c r="R30" s="92">
        <f>(1.1*(E30+F30)*391)/1000-G30</f>
        <v>769.31421618043714</v>
      </c>
      <c r="S30" s="60">
        <f t="shared" ref="S30:S63" si="44">N30/(L30*391)</f>
        <v>0.62817467500709856</v>
      </c>
      <c r="U30" s="97">
        <f>(R30*1000/(P30*Q30))^2/(1.35+M30*17)-1.35</f>
        <v>31.818969346843986</v>
      </c>
      <c r="V30" s="98">
        <f>L30*391/(P30*420)</f>
        <v>6.4992736907598374</v>
      </c>
      <c r="W30" s="50" t="str">
        <f t="shared" ref="W30" si="45">IF(V30&gt;U30,"OK","NO")</f>
        <v>NO</v>
      </c>
      <c r="Y30" s="51">
        <f>MIN(I30,'NodoX (Taglio Trazione)'!I30:I31)</f>
        <v>50</v>
      </c>
      <c r="Z30" s="51">
        <f>MIN(I30,'NodoX (Taglio Trazione)'!I30:I31)</f>
        <v>50</v>
      </c>
    </row>
    <row r="31" spans="1:26" x14ac:dyDescent="0.25">
      <c r="A31" s="62"/>
      <c r="B31" s="26" t="s">
        <v>16</v>
      </c>
      <c r="C31" s="26" t="s">
        <v>16</v>
      </c>
      <c r="D31" s="60"/>
      <c r="E31" s="58"/>
      <c r="F31" s="58"/>
      <c r="G31" s="54"/>
      <c r="H31" s="96"/>
      <c r="I31" s="96"/>
      <c r="J31" s="96"/>
      <c r="K31" s="96"/>
      <c r="L31" s="96"/>
      <c r="M31" s="60"/>
      <c r="N31" s="54"/>
      <c r="O31" s="58"/>
      <c r="P31" s="56"/>
      <c r="Q31" s="56"/>
      <c r="R31" s="92"/>
      <c r="S31" s="60"/>
      <c r="U31" s="97"/>
      <c r="V31" s="98"/>
      <c r="W31" s="49"/>
      <c r="Y31" s="52"/>
      <c r="Z31" s="52"/>
    </row>
    <row r="32" spans="1:26" x14ac:dyDescent="0.25">
      <c r="A32" s="62"/>
      <c r="B32" s="26" t="s">
        <v>12</v>
      </c>
      <c r="C32" s="26" t="s">
        <v>17</v>
      </c>
      <c r="D32" s="60">
        <v>51.773000000000003</v>
      </c>
      <c r="E32" s="58">
        <v>0</v>
      </c>
      <c r="F32" s="58">
        <v>1017.87601976309</v>
      </c>
      <c r="G32" s="54">
        <v>25.957999999999998</v>
      </c>
      <c r="H32" s="96">
        <v>500</v>
      </c>
      <c r="I32" s="96">
        <v>50</v>
      </c>
      <c r="J32" s="96">
        <v>10</v>
      </c>
      <c r="K32" s="96">
        <v>4</v>
      </c>
      <c r="L32" s="96">
        <f t="shared" ref="L32" si="46">J32^2*PI()/4*K32*(H32/I32)</f>
        <v>3141.5926535897934</v>
      </c>
      <c r="M32" s="60">
        <f>D32*1000/(500*300*Confinamento!P32)</f>
        <v>9.1698836945448992E-3</v>
      </c>
      <c r="N32" s="54">
        <f>1.1*(E32+F32)*391*(1-0.8*M32)</f>
        <v>434576.900573185</v>
      </c>
      <c r="O32" s="58" t="str">
        <f>IF(L32*391&gt;N32,"OK","NO")</f>
        <v>OK</v>
      </c>
      <c r="P32" s="56">
        <v>450</v>
      </c>
      <c r="Q32" s="56">
        <f t="shared" ref="Q32" si="47">300-80</f>
        <v>220</v>
      </c>
      <c r="R32" s="92">
        <f>(1.1*(E32+F32)*391)/1000-G32</f>
        <v>411.83047610010499</v>
      </c>
      <c r="S32" s="60">
        <f t="shared" ref="S32:S63" si="48">N32/(L32*391)</f>
        <v>0.35378548276101029</v>
      </c>
      <c r="U32" s="97">
        <f>(R32*1000/(P32*Q32))^2/(1.35+M32*17)-1.35</f>
        <v>10.141425228683312</v>
      </c>
      <c r="V32" s="98">
        <f>L32*391/(P32*420)</f>
        <v>6.4992736907598374</v>
      </c>
      <c r="W32" s="50" t="str">
        <f t="shared" ref="W32" si="49">IF(V32&gt;U32,"OK","NO")</f>
        <v>NO</v>
      </c>
      <c r="Y32" s="51">
        <f>MIN(I32,'NodoX (Taglio Trazione)'!I32:I33)</f>
        <v>50</v>
      </c>
      <c r="Z32" s="51">
        <f>MIN(I32,'NodoX (Taglio Trazione)'!I32:I33)</f>
        <v>50</v>
      </c>
    </row>
    <row r="33" spans="1:26" x14ac:dyDescent="0.25">
      <c r="A33" s="62"/>
      <c r="B33" s="26" t="s">
        <v>17</v>
      </c>
      <c r="C33" s="26" t="s">
        <v>17</v>
      </c>
      <c r="D33" s="60"/>
      <c r="E33" s="58"/>
      <c r="F33" s="58"/>
      <c r="G33" s="54"/>
      <c r="H33" s="96"/>
      <c r="I33" s="96"/>
      <c r="J33" s="96"/>
      <c r="K33" s="96"/>
      <c r="L33" s="96"/>
      <c r="M33" s="60"/>
      <c r="N33" s="54"/>
      <c r="O33" s="58"/>
      <c r="P33" s="56"/>
      <c r="Q33" s="56"/>
      <c r="R33" s="92"/>
      <c r="S33" s="60"/>
      <c r="U33" s="97"/>
      <c r="V33" s="98"/>
      <c r="W33" s="49"/>
      <c r="Y33" s="52"/>
      <c r="Z33" s="52"/>
    </row>
    <row r="34" spans="1:26" x14ac:dyDescent="0.25">
      <c r="A34" s="62"/>
      <c r="B34" s="26" t="s">
        <v>35</v>
      </c>
      <c r="C34" s="26" t="s">
        <v>48</v>
      </c>
      <c r="D34" s="60">
        <v>213.893</v>
      </c>
      <c r="E34" s="58">
        <v>0</v>
      </c>
      <c r="F34" s="58">
        <v>678.58401317539494</v>
      </c>
      <c r="G34" s="54">
        <v>52.168999999999997</v>
      </c>
      <c r="H34" s="96">
        <v>500</v>
      </c>
      <c r="I34" s="96">
        <v>50</v>
      </c>
      <c r="J34" s="96">
        <v>10</v>
      </c>
      <c r="K34" s="96">
        <v>2</v>
      </c>
      <c r="L34" s="96">
        <f t="shared" ref="L34" si="50">J34^2*PI()/4*K34*(H34/I34)</f>
        <v>1570.7963267948967</v>
      </c>
      <c r="M34" s="60">
        <f>D34*1000/(500*300*Confinamento!P34)</f>
        <v>3.2016281047219951E-2</v>
      </c>
      <c r="N34" s="54">
        <f>1.1*(E34+F34)*391*(1-0.8*M34)</f>
        <v>284383.59265870799</v>
      </c>
      <c r="O34" s="58" t="str">
        <f>IF(L34*391&gt;N34,"OK","NO")</f>
        <v>OK</v>
      </c>
      <c r="P34" s="56">
        <v>300</v>
      </c>
      <c r="Q34" s="56">
        <f>450-80</f>
        <v>370</v>
      </c>
      <c r="R34" s="92">
        <f>(1.1*(E34+F34)*391)/1000-G34</f>
        <v>239.68998406673745</v>
      </c>
      <c r="S34" s="60">
        <f t="shared" ref="S34:S63" si="51">N34/(L34*391)</f>
        <v>0.46302869059708857</v>
      </c>
      <c r="U34" s="97">
        <f>(R34*1000/(P34*Q34))^2/(1.35+M34*17)-1.35</f>
        <v>1.1115597404171682</v>
      </c>
      <c r="V34" s="98">
        <f>L34*391/(P34*420)</f>
        <v>4.8744552680698785</v>
      </c>
      <c r="W34" s="50" t="str">
        <f t="shared" ref="W34" si="52">IF(V34&gt;U34,"OK","NO")</f>
        <v>OK</v>
      </c>
      <c r="Y34" s="51">
        <f>MIN(I34,'NodoX (Taglio Trazione)'!I34:I35)</f>
        <v>50</v>
      </c>
      <c r="Z34" s="51">
        <f>MIN(I34,'NodoX (Taglio Trazione)'!I34:I35)</f>
        <v>50</v>
      </c>
    </row>
    <row r="35" spans="1:26" x14ac:dyDescent="0.25">
      <c r="A35" s="62"/>
      <c r="B35" s="26" t="s">
        <v>49</v>
      </c>
      <c r="C35" s="26" t="s">
        <v>48</v>
      </c>
      <c r="D35" s="60"/>
      <c r="E35" s="58"/>
      <c r="F35" s="58"/>
      <c r="G35" s="54"/>
      <c r="H35" s="96"/>
      <c r="I35" s="96"/>
      <c r="J35" s="96"/>
      <c r="K35" s="96"/>
      <c r="L35" s="96"/>
      <c r="M35" s="60"/>
      <c r="N35" s="54"/>
      <c r="O35" s="58"/>
      <c r="P35" s="56"/>
      <c r="Q35" s="56"/>
      <c r="R35" s="92"/>
      <c r="S35" s="60"/>
      <c r="U35" s="97"/>
      <c r="V35" s="98"/>
      <c r="W35" s="49"/>
      <c r="Y35" s="52"/>
      <c r="Z35" s="52"/>
    </row>
    <row r="36" spans="1:26" x14ac:dyDescent="0.25">
      <c r="A36" s="62"/>
      <c r="B36" s="26" t="s">
        <v>38</v>
      </c>
      <c r="C36" s="26" t="s">
        <v>18</v>
      </c>
      <c r="D36" s="60">
        <v>328.63200000000001</v>
      </c>
      <c r="E36" s="58">
        <v>678.58401317539494</v>
      </c>
      <c r="F36" s="58">
        <v>678.58401317539494</v>
      </c>
      <c r="G36" s="54">
        <v>47.494999999999997</v>
      </c>
      <c r="H36" s="96">
        <v>500</v>
      </c>
      <c r="I36" s="96">
        <v>50</v>
      </c>
      <c r="J36" s="96">
        <v>10</v>
      </c>
      <c r="K36" s="96">
        <v>2</v>
      </c>
      <c r="L36" s="96">
        <f t="shared" ref="L36" si="53">J36^2*PI()/4*K36*(H36/I36)</f>
        <v>1570.7963267948967</v>
      </c>
      <c r="M36" s="60">
        <f>D36*1000/(500*300*Confinamento!P36)</f>
        <v>4.9190831271289794E-2</v>
      </c>
      <c r="N36" s="54">
        <f>1.1*(E36+F36)*391*(1-0.8*M36)</f>
        <v>560747.11046909576</v>
      </c>
      <c r="O36" s="58" t="str">
        <f>IF(L36*391&gt;N36,"OK","NO")</f>
        <v>OK</v>
      </c>
      <c r="P36" s="56">
        <v>300</v>
      </c>
      <c r="Q36" s="56">
        <f t="shared" ref="Q36" si="54">450-80</f>
        <v>370</v>
      </c>
      <c r="R36" s="92">
        <f>(1.1*(E36+F36)*391)/1000-G36</f>
        <v>536.22296813347486</v>
      </c>
      <c r="S36" s="60">
        <f t="shared" ref="S36:S63" si="55">N36/(L36*391)</f>
        <v>0.91299922716781245</v>
      </c>
      <c r="U36" s="97">
        <f>(R36*1000/(P36*Q36))^2/(1.35+M36*17)-1.35</f>
        <v>9.324467276694012</v>
      </c>
      <c r="V36" s="98">
        <f>L36*391/(P36*420)</f>
        <v>4.8744552680698785</v>
      </c>
      <c r="W36" s="50" t="str">
        <f t="shared" ref="W36" si="56">IF(V36&gt;U36,"OK","NO")</f>
        <v>NO</v>
      </c>
      <c r="Y36" s="51">
        <f>MIN(I36,'NodoX (Taglio Trazione)'!I36:I37)</f>
        <v>50</v>
      </c>
      <c r="Z36" s="51">
        <f>MIN(I36,'NodoX (Taglio Trazione)'!I36:I37)</f>
        <v>50</v>
      </c>
    </row>
    <row r="37" spans="1:26" x14ac:dyDescent="0.25">
      <c r="A37" s="62"/>
      <c r="B37" s="26" t="s">
        <v>50</v>
      </c>
      <c r="C37" s="26" t="s">
        <v>18</v>
      </c>
      <c r="D37" s="60"/>
      <c r="E37" s="58"/>
      <c r="F37" s="58"/>
      <c r="G37" s="54"/>
      <c r="H37" s="96"/>
      <c r="I37" s="96"/>
      <c r="J37" s="96"/>
      <c r="K37" s="96"/>
      <c r="L37" s="96"/>
      <c r="M37" s="60"/>
      <c r="N37" s="54"/>
      <c r="O37" s="58"/>
      <c r="P37" s="56"/>
      <c r="Q37" s="56"/>
      <c r="R37" s="92"/>
      <c r="S37" s="60"/>
      <c r="U37" s="97"/>
      <c r="V37" s="98"/>
      <c r="W37" s="49"/>
      <c r="Y37" s="52"/>
      <c r="Z37" s="52"/>
    </row>
    <row r="38" spans="1:26" x14ac:dyDescent="0.25">
      <c r="A38" s="62"/>
      <c r="B38" s="26" t="s">
        <v>41</v>
      </c>
      <c r="C38" s="26" t="s">
        <v>19</v>
      </c>
      <c r="D38" s="60">
        <v>381.7</v>
      </c>
      <c r="E38" s="58">
        <v>678.58401317539494</v>
      </c>
      <c r="F38" s="58">
        <v>678.58401317539494</v>
      </c>
      <c r="G38" s="54">
        <v>43.7</v>
      </c>
      <c r="H38" s="96">
        <v>500</v>
      </c>
      <c r="I38" s="96">
        <v>50</v>
      </c>
      <c r="J38" s="96">
        <v>10</v>
      </c>
      <c r="K38" s="96">
        <v>2</v>
      </c>
      <c r="L38" s="96">
        <f t="shared" ref="L38" si="57">J38^2*PI()/4*K38*(H38/I38)</f>
        <v>1570.7963267948967</v>
      </c>
      <c r="M38" s="60">
        <f>D38*1000/(500*300*Confinamento!P38)</f>
        <v>5.71342422413256E-2</v>
      </c>
      <c r="N38" s="54">
        <f>1.1*(E38+F38)*391*(1-0.8*M38)</f>
        <v>557037.74109991302</v>
      </c>
      <c r="O38" s="58" t="str">
        <f>IF(L38*391&gt;N38,"OK","NO")</f>
        <v>OK</v>
      </c>
      <c r="P38" s="56">
        <v>300</v>
      </c>
      <c r="Q38" s="56">
        <f t="shared" ref="Q38" si="58">450-80</f>
        <v>370</v>
      </c>
      <c r="R38" s="92">
        <f>(1.1*(E38+F38)*391)/1000-G38</f>
        <v>540.01796813347482</v>
      </c>
      <c r="S38" s="60">
        <f t="shared" ref="S38:S63" si="59">N38/(L38*391)</f>
        <v>0.90695969293907497</v>
      </c>
      <c r="U38" s="97">
        <f>(R38*1000/(P38*Q38))^2/(1.35+M38*17)-1.35</f>
        <v>8.8462984144685333</v>
      </c>
      <c r="V38" s="98">
        <f>L38*391/(P38*420)</f>
        <v>4.8744552680698785</v>
      </c>
      <c r="W38" s="50" t="str">
        <f t="shared" ref="W38" si="60">IF(V38&gt;U38,"OK","NO")</f>
        <v>NO</v>
      </c>
      <c r="Y38" s="51">
        <f>MIN(I38,'NodoX (Taglio Trazione)'!I38:I39)</f>
        <v>50</v>
      </c>
      <c r="Z38" s="51">
        <f>MIN(I38,'NodoX (Taglio Trazione)'!I38:I39)</f>
        <v>50</v>
      </c>
    </row>
    <row r="39" spans="1:26" x14ac:dyDescent="0.25">
      <c r="A39" s="62"/>
      <c r="B39" s="26" t="s">
        <v>51</v>
      </c>
      <c r="C39" s="26" t="s">
        <v>19</v>
      </c>
      <c r="D39" s="60"/>
      <c r="E39" s="58"/>
      <c r="F39" s="58"/>
      <c r="G39" s="54"/>
      <c r="H39" s="96"/>
      <c r="I39" s="96"/>
      <c r="J39" s="96"/>
      <c r="K39" s="96"/>
      <c r="L39" s="96"/>
      <c r="M39" s="60"/>
      <c r="N39" s="54"/>
      <c r="O39" s="58"/>
      <c r="P39" s="56"/>
      <c r="Q39" s="56"/>
      <c r="R39" s="92"/>
      <c r="S39" s="60"/>
      <c r="U39" s="97"/>
      <c r="V39" s="98"/>
      <c r="W39" s="49"/>
      <c r="Y39" s="52"/>
      <c r="Z39" s="52"/>
    </row>
    <row r="40" spans="1:26" x14ac:dyDescent="0.25">
      <c r="A40" s="62"/>
      <c r="B40" s="26" t="s">
        <v>44</v>
      </c>
      <c r="C40" s="26" t="s">
        <v>20</v>
      </c>
      <c r="D40" s="60">
        <v>379.26900000000001</v>
      </c>
      <c r="E40" s="58">
        <v>678.58401317539494</v>
      </c>
      <c r="F40" s="58">
        <v>678.58401317539494</v>
      </c>
      <c r="G40" s="54">
        <v>48.945</v>
      </c>
      <c r="H40" s="96">
        <v>500</v>
      </c>
      <c r="I40" s="96">
        <v>50</v>
      </c>
      <c r="J40" s="96">
        <v>10</v>
      </c>
      <c r="K40" s="96">
        <v>2</v>
      </c>
      <c r="L40" s="96">
        <f t="shared" ref="L40" si="61">J40^2*PI()/4*K40*(H40/I40)</f>
        <v>1570.7963267948967</v>
      </c>
      <c r="M40" s="60">
        <f>D40*1000/(500*300*Confinamento!P40)</f>
        <v>5.677036133252638E-2</v>
      </c>
      <c r="N40" s="54">
        <f>1.1*(E40+F40)*391*(1-0.8*M40)</f>
        <v>557207.66415969445</v>
      </c>
      <c r="O40" s="58" t="str">
        <f>IF(L40*391&gt;N40,"OK","NO")</f>
        <v>OK</v>
      </c>
      <c r="P40" s="56">
        <v>300</v>
      </c>
      <c r="Q40" s="56">
        <f t="shared" ref="Q40" si="62">450-80</f>
        <v>370</v>
      </c>
      <c r="R40" s="92">
        <f>(1.1*(E40+F40)*391)/1000-G40</f>
        <v>534.77296813347482</v>
      </c>
      <c r="S40" s="60">
        <f t="shared" ref="S40:S63" si="63">N40/(L40*391)</f>
        <v>0.9072363588716531</v>
      </c>
      <c r="U40" s="97">
        <f>(R40*1000/(P40*Q40))^2/(1.35+M40*17)-1.35</f>
        <v>8.6759123526629924</v>
      </c>
      <c r="V40" s="98">
        <f>L40*391/(P40*420)</f>
        <v>4.8744552680698785</v>
      </c>
      <c r="W40" s="50" t="str">
        <f t="shared" ref="W40" si="64">IF(V40&gt;U40,"OK","NO")</f>
        <v>NO</v>
      </c>
      <c r="Y40" s="51">
        <f>MIN(I40,'NodoX (Taglio Trazione)'!I40:I41)</f>
        <v>50</v>
      </c>
      <c r="Z40" s="51">
        <f>MIN(I40,'NodoX (Taglio Trazione)'!I40:I41)</f>
        <v>50</v>
      </c>
    </row>
    <row r="41" spans="1:26" x14ac:dyDescent="0.25">
      <c r="A41" s="62"/>
      <c r="B41" s="26" t="s">
        <v>52</v>
      </c>
      <c r="C41" s="26" t="s">
        <v>20</v>
      </c>
      <c r="D41" s="60"/>
      <c r="E41" s="58"/>
      <c r="F41" s="58"/>
      <c r="G41" s="54"/>
      <c r="H41" s="96"/>
      <c r="I41" s="96"/>
      <c r="J41" s="96"/>
      <c r="K41" s="96"/>
      <c r="L41" s="96"/>
      <c r="M41" s="60"/>
      <c r="N41" s="54"/>
      <c r="O41" s="58"/>
      <c r="P41" s="56"/>
      <c r="Q41" s="56"/>
      <c r="R41" s="92"/>
      <c r="S41" s="60"/>
      <c r="U41" s="97"/>
      <c r="V41" s="98"/>
      <c r="W41" s="49"/>
      <c r="Y41" s="52"/>
      <c r="Z41" s="52"/>
    </row>
    <row r="42" spans="1:26" x14ac:dyDescent="0.25">
      <c r="A42" s="62"/>
      <c r="B42" s="26" t="s">
        <v>47</v>
      </c>
      <c r="C42" s="26" t="s">
        <v>21</v>
      </c>
      <c r="D42" s="60">
        <v>213.54</v>
      </c>
      <c r="E42" s="58">
        <v>0</v>
      </c>
      <c r="F42" s="58">
        <v>678.58401317539494</v>
      </c>
      <c r="G42" s="54">
        <v>57.374000000000002</v>
      </c>
      <c r="H42" s="96">
        <v>500</v>
      </c>
      <c r="I42" s="96">
        <v>50</v>
      </c>
      <c r="J42" s="96">
        <v>10</v>
      </c>
      <c r="K42" s="96">
        <v>2</v>
      </c>
      <c r="L42" s="96">
        <f t="shared" ref="L42" si="65">J42^2*PI()/4*K42*(H42/I42)</f>
        <v>1570.7963267948967</v>
      </c>
      <c r="M42" s="60">
        <f>D42*1000/(500*300*Confinamento!P42)</f>
        <v>3.1963442725210033E-2</v>
      </c>
      <c r="N42" s="54">
        <f>1.1*(E42+F42)*391*(1-0.8*M42)</f>
        <v>284395.92972989328</v>
      </c>
      <c r="O42" s="58" t="str">
        <f>IF(L42*391&gt;N42,"OK","NO")</f>
        <v>OK</v>
      </c>
      <c r="P42" s="56">
        <v>300</v>
      </c>
      <c r="Q42" s="56">
        <f t="shared" ref="Q42" si="66">450-80</f>
        <v>370</v>
      </c>
      <c r="R42" s="92">
        <f>(1.1*(E42+F42)*391)/1000-G42</f>
        <v>234.48498406673744</v>
      </c>
      <c r="S42" s="60">
        <f t="shared" ref="S42:S63" si="67">N42/(L42*391)</f>
        <v>0.46304877761358387</v>
      </c>
      <c r="U42" s="97">
        <f>(R42*1000/(P42*Q42))^2/(1.35+M42*17)-1.35</f>
        <v>1.0069299135554353</v>
      </c>
      <c r="V42" s="98">
        <f>L42*391/(P42*420)</f>
        <v>4.8744552680698785</v>
      </c>
      <c r="W42" s="50" t="str">
        <f t="shared" ref="W42" si="68">IF(V42&gt;U42,"OK","NO")</f>
        <v>OK</v>
      </c>
      <c r="Y42" s="51">
        <f>MIN(I42,'NodoX (Taglio Trazione)'!I42:I43)</f>
        <v>50</v>
      </c>
      <c r="Z42" s="51">
        <f>MIN(I42,'NodoX (Taglio Trazione)'!I42:I43)</f>
        <v>50</v>
      </c>
    </row>
    <row r="43" spans="1:26" x14ac:dyDescent="0.25">
      <c r="A43" s="62"/>
      <c r="B43" s="26" t="s">
        <v>53</v>
      </c>
      <c r="C43" s="26" t="s">
        <v>21</v>
      </c>
      <c r="D43" s="60"/>
      <c r="E43" s="58"/>
      <c r="F43" s="58"/>
      <c r="G43" s="54"/>
      <c r="H43" s="96"/>
      <c r="I43" s="96"/>
      <c r="J43" s="96"/>
      <c r="K43" s="96"/>
      <c r="L43" s="96"/>
      <c r="M43" s="60"/>
      <c r="N43" s="54"/>
      <c r="O43" s="58"/>
      <c r="P43" s="56"/>
      <c r="Q43" s="56"/>
      <c r="R43" s="92"/>
      <c r="S43" s="60"/>
      <c r="U43" s="97"/>
      <c r="V43" s="98"/>
      <c r="W43" s="49"/>
      <c r="Y43" s="52"/>
      <c r="Z43" s="52"/>
    </row>
    <row r="44" spans="1:26" ht="15" customHeight="1" x14ac:dyDescent="0.25">
      <c r="A44" s="63" t="s">
        <v>26</v>
      </c>
      <c r="B44" s="26" t="s">
        <v>13</v>
      </c>
      <c r="C44" s="26" t="s">
        <v>54</v>
      </c>
      <c r="D44" s="60">
        <v>24.209</v>
      </c>
      <c r="E44" s="54">
        <v>0</v>
      </c>
      <c r="F44" s="58">
        <v>615.75216010359895</v>
      </c>
      <c r="G44" s="54">
        <v>8.9529999999999994</v>
      </c>
      <c r="H44" s="96">
        <v>500</v>
      </c>
      <c r="I44" s="96">
        <v>50</v>
      </c>
      <c r="J44" s="96">
        <v>10</v>
      </c>
      <c r="K44" s="96">
        <v>3</v>
      </c>
      <c r="L44" s="96">
        <f t="shared" ref="L44" si="69">J44^2*PI()/4*K44*(H44/I44)</f>
        <v>2356.1944901923448</v>
      </c>
      <c r="M44" s="60">
        <f>D44*1000/(500*300*Confinamento!P44)</f>
        <v>4.1716498141618711E-3</v>
      </c>
      <c r="N44" s="54">
        <f>1.1*(E44+F44)*391*(1-0.8*M44)</f>
        <v>263951.16494417971</v>
      </c>
      <c r="O44" s="58" t="str">
        <f>IF(L44*391&gt;N44,"OK","NO")</f>
        <v>OK</v>
      </c>
      <c r="P44" s="56">
        <v>400</v>
      </c>
      <c r="Q44" s="56">
        <f>300-80</f>
        <v>220</v>
      </c>
      <c r="R44" s="92">
        <f>(1.1*(E44+F44)*391)/1000-G44</f>
        <v>255.88200406055793</v>
      </c>
      <c r="S44" s="60">
        <f t="shared" ref="S44:S63" si="70">N44/(L44*391)</f>
        <v>0.28650729845340428</v>
      </c>
      <c r="U44" s="97">
        <f>(R44*1000/(P44*Q44))^2/(1.35+M44*17)-1.35</f>
        <v>4.6003856324730634</v>
      </c>
      <c r="V44" s="98">
        <f>L44*391/(P44*420)</f>
        <v>5.4837621765786126</v>
      </c>
      <c r="W44" s="50" t="str">
        <f t="shared" ref="W44" si="71">IF(V44&gt;U44,"OK","NO")</f>
        <v>OK</v>
      </c>
      <c r="Y44" s="51">
        <f>MIN(I44,'NodoX (Taglio Trazione)'!I44:I45)</f>
        <v>50</v>
      </c>
      <c r="Z44" s="51">
        <f>MIN(I44,'NodoX (Taglio Trazione)'!I44:I45)</f>
        <v>50</v>
      </c>
    </row>
    <row r="45" spans="1:26" x14ac:dyDescent="0.25">
      <c r="A45" s="63"/>
      <c r="B45" s="26" t="s">
        <v>18</v>
      </c>
      <c r="C45" s="26" t="s">
        <v>54</v>
      </c>
      <c r="D45" s="60"/>
      <c r="E45" s="54"/>
      <c r="F45" s="58"/>
      <c r="G45" s="54"/>
      <c r="H45" s="96"/>
      <c r="I45" s="96"/>
      <c r="J45" s="96"/>
      <c r="K45" s="96"/>
      <c r="L45" s="96"/>
      <c r="M45" s="60"/>
      <c r="N45" s="54"/>
      <c r="O45" s="58"/>
      <c r="P45" s="56"/>
      <c r="Q45" s="56"/>
      <c r="R45" s="92"/>
      <c r="S45" s="60"/>
      <c r="U45" s="97"/>
      <c r="V45" s="98"/>
      <c r="W45" s="49"/>
      <c r="Y45" s="52"/>
      <c r="Z45" s="52"/>
    </row>
    <row r="46" spans="1:26" x14ac:dyDescent="0.25">
      <c r="A46" s="63"/>
      <c r="B46" s="26" t="s">
        <v>14</v>
      </c>
      <c r="C46" s="26" t="s">
        <v>55</v>
      </c>
      <c r="D46" s="60">
        <v>57.822000000000003</v>
      </c>
      <c r="E46" s="54">
        <v>735.13268094001205</v>
      </c>
      <c r="F46" s="58">
        <v>615.75216010359895</v>
      </c>
      <c r="G46" s="54">
        <v>4.9359999999999999</v>
      </c>
      <c r="H46" s="96">
        <v>500</v>
      </c>
      <c r="I46" s="96">
        <v>50</v>
      </c>
      <c r="J46" s="96">
        <v>10</v>
      </c>
      <c r="K46" s="96">
        <v>4</v>
      </c>
      <c r="L46" s="96">
        <f t="shared" ref="L46" si="72">J46^2*PI()/4*K46*(H46/I46)</f>
        <v>3141.5926535897934</v>
      </c>
      <c r="M46" s="60">
        <f>D46*1000/(500*300*Confinamento!P46)</f>
        <v>9.9637794024729533E-3</v>
      </c>
      <c r="N46" s="54">
        <f>1.1*(E46+F46)*391*(1-0.8*M46)</f>
        <v>576384.28135669255</v>
      </c>
      <c r="O46" s="58" t="str">
        <f>IF(L46*391&gt;N46,"OK","NO")</f>
        <v>OK</v>
      </c>
      <c r="P46" s="56">
        <v>400</v>
      </c>
      <c r="Q46" s="56">
        <f t="shared" ref="Q46" si="73">300-80</f>
        <v>220</v>
      </c>
      <c r="R46" s="92">
        <f>(1.1*(E46+F46)*391)/1000-G46</f>
        <v>576.07957013285716</v>
      </c>
      <c r="S46" s="60">
        <f t="shared" ref="S46:S63" si="74">N46/(L46*391)</f>
        <v>0.46922970587410423</v>
      </c>
      <c r="U46" s="97">
        <f>(R46*1000/(P46*Q46))^2/(1.35+M46*17)-1.35</f>
        <v>26.855381823540345</v>
      </c>
      <c r="V46" s="98">
        <f>L46*391/(P46*420)</f>
        <v>7.3116829021048169</v>
      </c>
      <c r="W46" s="50" t="str">
        <f t="shared" ref="W46" si="75">IF(V46&gt;U46,"OK","NO")</f>
        <v>NO</v>
      </c>
      <c r="Y46" s="51">
        <f>MIN(I46,'NodoX (Taglio Trazione)'!I46:I47)</f>
        <v>50</v>
      </c>
      <c r="Z46" s="51">
        <f>MIN(I46,'NodoX (Taglio Trazione)'!I46:I47)</f>
        <v>50</v>
      </c>
    </row>
    <row r="47" spans="1:26" x14ac:dyDescent="0.25">
      <c r="A47" s="63"/>
      <c r="B47" s="26" t="s">
        <v>19</v>
      </c>
      <c r="C47" s="26" t="s">
        <v>55</v>
      </c>
      <c r="D47" s="60"/>
      <c r="E47" s="54"/>
      <c r="F47" s="58"/>
      <c r="G47" s="54"/>
      <c r="H47" s="96"/>
      <c r="I47" s="96"/>
      <c r="J47" s="96"/>
      <c r="K47" s="96"/>
      <c r="L47" s="96"/>
      <c r="M47" s="60"/>
      <c r="N47" s="54"/>
      <c r="O47" s="58"/>
      <c r="P47" s="56"/>
      <c r="Q47" s="56"/>
      <c r="R47" s="92"/>
      <c r="S47" s="60"/>
      <c r="U47" s="97"/>
      <c r="V47" s="98"/>
      <c r="W47" s="49"/>
      <c r="Y47" s="52"/>
      <c r="Z47" s="52"/>
    </row>
    <row r="48" spans="1:26" x14ac:dyDescent="0.25">
      <c r="A48" s="63"/>
      <c r="B48" s="26" t="s">
        <v>15</v>
      </c>
      <c r="C48" s="26" t="s">
        <v>56</v>
      </c>
      <c r="D48" s="60">
        <v>69.266999999999996</v>
      </c>
      <c r="E48" s="54">
        <v>735.13268094001205</v>
      </c>
      <c r="F48" s="58">
        <v>615.75216010359895</v>
      </c>
      <c r="G48" s="54">
        <v>2.7410000000000001</v>
      </c>
      <c r="H48" s="96">
        <v>500</v>
      </c>
      <c r="I48" s="96">
        <v>50</v>
      </c>
      <c r="J48" s="96">
        <v>10</v>
      </c>
      <c r="K48" s="96">
        <v>4</v>
      </c>
      <c r="L48" s="96">
        <f t="shared" ref="L48" si="76">J48^2*PI()/4*K48*(H48/I48)</f>
        <v>3141.5926535897934</v>
      </c>
      <c r="M48" s="60">
        <f>D48*1000/(500*300*Confinamento!P48)</f>
        <v>1.1935960497234515E-2</v>
      </c>
      <c r="N48" s="54">
        <f>1.1*(E48+F48)*391*(1-0.8*M48)</f>
        <v>575467.58701815002</v>
      </c>
      <c r="O48" s="58" t="str">
        <f>IF(L48*391&gt;N48,"OK","NO")</f>
        <v>OK</v>
      </c>
      <c r="P48" s="56">
        <v>400</v>
      </c>
      <c r="Q48" s="56">
        <f t="shared" ref="Q48" si="77">300-80</f>
        <v>220</v>
      </c>
      <c r="R48" s="92">
        <f>(1.1*(E48+F48)*391)/1000-G48</f>
        <v>578.27457013285721</v>
      </c>
      <c r="S48" s="60">
        <f t="shared" ref="S48:S63" si="78">N48/(L48*391)</f>
        <v>0.46848343254784647</v>
      </c>
      <c r="U48" s="97">
        <f>(R48*1000/(P48*Q48))^2/(1.35+M48*17)-1.35</f>
        <v>26.457131230073056</v>
      </c>
      <c r="V48" s="98">
        <f>L48*391/(P48*420)</f>
        <v>7.3116829021048169</v>
      </c>
      <c r="W48" s="50" t="str">
        <f t="shared" ref="W48" si="79">IF(V48&gt;U48,"OK","NO")</f>
        <v>NO</v>
      </c>
      <c r="Y48" s="51">
        <f>MIN(I48,'NodoX (Taglio Trazione)'!I48:I49)</f>
        <v>50</v>
      </c>
      <c r="Z48" s="51">
        <f>MIN(I48,'NodoX (Taglio Trazione)'!I48:I49)</f>
        <v>50</v>
      </c>
    </row>
    <row r="49" spans="1:26" x14ac:dyDescent="0.25">
      <c r="A49" s="63"/>
      <c r="B49" s="26" t="s">
        <v>20</v>
      </c>
      <c r="C49" s="26" t="s">
        <v>56</v>
      </c>
      <c r="D49" s="60"/>
      <c r="E49" s="54"/>
      <c r="F49" s="58"/>
      <c r="G49" s="54"/>
      <c r="H49" s="96"/>
      <c r="I49" s="96"/>
      <c r="J49" s="96"/>
      <c r="K49" s="96"/>
      <c r="L49" s="96"/>
      <c r="M49" s="60"/>
      <c r="N49" s="54"/>
      <c r="O49" s="58"/>
      <c r="P49" s="56"/>
      <c r="Q49" s="56"/>
      <c r="R49" s="92"/>
      <c r="S49" s="60"/>
      <c r="U49" s="97"/>
      <c r="V49" s="98"/>
      <c r="W49" s="49"/>
      <c r="Y49" s="52"/>
      <c r="Z49" s="52"/>
    </row>
    <row r="50" spans="1:26" x14ac:dyDescent="0.25">
      <c r="A50" s="63"/>
      <c r="B50" s="26" t="s">
        <v>16</v>
      </c>
      <c r="C50" s="26" t="s">
        <v>57</v>
      </c>
      <c r="D50" s="60">
        <v>65.649000000000001</v>
      </c>
      <c r="E50" s="54">
        <v>735.13268094001205</v>
      </c>
      <c r="F50" s="58">
        <v>615.75216010359895</v>
      </c>
      <c r="G50" s="54">
        <v>4.2300000000000004</v>
      </c>
      <c r="H50" s="96">
        <v>500</v>
      </c>
      <c r="I50" s="96">
        <v>50</v>
      </c>
      <c r="J50" s="96">
        <v>10</v>
      </c>
      <c r="K50" s="96">
        <v>4</v>
      </c>
      <c r="L50" s="96">
        <f t="shared" ref="L50" si="80">J50^2*PI()/4*K50*(H50/I50)</f>
        <v>3141.5926535897934</v>
      </c>
      <c r="M50" s="60">
        <f>D50*1000/(500*300*Confinamento!P50)</f>
        <v>1.1312513472258775E-2</v>
      </c>
      <c r="N50" s="54">
        <f>1.1*(E50+F50)*391*(1-0.8*M50)</f>
        <v>575757.37296108122</v>
      </c>
      <c r="O50" s="58" t="str">
        <f>IF(L50*391&gt;N50,"OK","NO")</f>
        <v>OK</v>
      </c>
      <c r="P50" s="56">
        <v>400</v>
      </c>
      <c r="Q50" s="56">
        <f t="shared" ref="Q50" si="81">300-80</f>
        <v>220</v>
      </c>
      <c r="R50" s="92">
        <f>(1.1*(E50+F50)*391)/1000-G50</f>
        <v>576.78557013285717</v>
      </c>
      <c r="S50" s="60">
        <f t="shared" ref="S50:S63" si="82">N50/(L50*391)</f>
        <v>0.46871934490209732</v>
      </c>
      <c r="U50" s="97">
        <f>(R50*1000/(P50*Q50))^2/(1.35+M50*17)-1.35</f>
        <v>26.504219031486453</v>
      </c>
      <c r="V50" s="98">
        <f>L50*391/(P50*420)</f>
        <v>7.3116829021048169</v>
      </c>
      <c r="W50" s="50" t="str">
        <f t="shared" ref="W50" si="83">IF(V50&gt;U50,"OK","NO")</f>
        <v>NO</v>
      </c>
      <c r="Y50" s="51">
        <f>MIN(I50,'NodoX (Taglio Trazione)'!I50:I51)</f>
        <v>50</v>
      </c>
      <c r="Z50" s="51">
        <f>MIN(I50,'NodoX (Taglio Trazione)'!I50:I51)</f>
        <v>50</v>
      </c>
    </row>
    <row r="51" spans="1:26" x14ac:dyDescent="0.25">
      <c r="A51" s="63"/>
      <c r="B51" s="26" t="s">
        <v>21</v>
      </c>
      <c r="C51" s="26" t="s">
        <v>57</v>
      </c>
      <c r="D51" s="60"/>
      <c r="E51" s="54"/>
      <c r="F51" s="58"/>
      <c r="G51" s="54"/>
      <c r="H51" s="96"/>
      <c r="I51" s="96"/>
      <c r="J51" s="96"/>
      <c r="K51" s="96"/>
      <c r="L51" s="96"/>
      <c r="M51" s="60"/>
      <c r="N51" s="54"/>
      <c r="O51" s="58"/>
      <c r="P51" s="56"/>
      <c r="Q51" s="56"/>
      <c r="R51" s="92"/>
      <c r="S51" s="60"/>
      <c r="U51" s="97"/>
      <c r="V51" s="98"/>
      <c r="W51" s="49"/>
      <c r="Y51" s="52"/>
      <c r="Z51" s="52"/>
    </row>
    <row r="52" spans="1:26" x14ac:dyDescent="0.25">
      <c r="A52" s="63"/>
      <c r="B52" s="26" t="s">
        <v>17</v>
      </c>
      <c r="C52" s="26" t="s">
        <v>58</v>
      </c>
      <c r="D52" s="60">
        <v>24.734000000000002</v>
      </c>
      <c r="E52" s="54">
        <v>0</v>
      </c>
      <c r="F52" s="58">
        <v>615.75216010359895</v>
      </c>
      <c r="G52" s="54">
        <v>10.332000000000001</v>
      </c>
      <c r="H52" s="96">
        <v>500</v>
      </c>
      <c r="I52" s="96">
        <v>50</v>
      </c>
      <c r="J52" s="96">
        <v>10</v>
      </c>
      <c r="K52" s="96">
        <v>3</v>
      </c>
      <c r="L52" s="96">
        <f t="shared" ref="L52" si="84">J52^2*PI()/4*K52*(H52/I52)</f>
        <v>2356.1944901923448</v>
      </c>
      <c r="M52" s="60">
        <f>D52*1000/(500*300*Confinamento!P52)</f>
        <v>4.2621168368573558E-3</v>
      </c>
      <c r="N52" s="54">
        <f>1.1*(E52+F52)*391*(1-0.8*M52)</f>
        <v>263931.99787672138</v>
      </c>
      <c r="O52" s="58" t="str">
        <f>IF(L52*391&gt;N52,"OK","NO")</f>
        <v>OK</v>
      </c>
      <c r="P52" s="56">
        <v>400</v>
      </c>
      <c r="Q52" s="56">
        <f t="shared" ref="Q52" si="85">300-80</f>
        <v>220</v>
      </c>
      <c r="R52" s="92">
        <f>(1.1*(E52+F52)*391)/1000-G52</f>
        <v>254.50300406055794</v>
      </c>
      <c r="S52" s="60">
        <f t="shared" ref="S52:S63" si="86">N52/(L52*391)</f>
        <v>0.28648649345063826</v>
      </c>
      <c r="U52" s="97">
        <f>(R52*1000/(P52*Q52))^2/(1.35+M52*17)-1.35</f>
        <v>4.530058465865979</v>
      </c>
      <c r="V52" s="98">
        <f>L52*391/(P52*420)</f>
        <v>5.4837621765786126</v>
      </c>
      <c r="W52" s="50" t="str">
        <f t="shared" ref="W52" si="87">IF(V52&gt;U52,"OK","NO")</f>
        <v>OK</v>
      </c>
      <c r="Y52" s="51">
        <f>MIN(I52,'NodoX (Taglio Trazione)'!I52:I53)</f>
        <v>50</v>
      </c>
      <c r="Z52" s="51">
        <f>MIN(I52,'NodoX (Taglio Trazione)'!I52:I53)</f>
        <v>50</v>
      </c>
    </row>
    <row r="53" spans="1:26" x14ac:dyDescent="0.25">
      <c r="A53" s="63"/>
      <c r="B53" s="26" t="s">
        <v>22</v>
      </c>
      <c r="C53" s="26" t="s">
        <v>58</v>
      </c>
      <c r="D53" s="60"/>
      <c r="E53" s="54"/>
      <c r="F53" s="58"/>
      <c r="G53" s="54"/>
      <c r="H53" s="96"/>
      <c r="I53" s="96"/>
      <c r="J53" s="96"/>
      <c r="K53" s="96"/>
      <c r="L53" s="96"/>
      <c r="M53" s="60"/>
      <c r="N53" s="54"/>
      <c r="O53" s="58"/>
      <c r="P53" s="56"/>
      <c r="Q53" s="56"/>
      <c r="R53" s="92"/>
      <c r="S53" s="60"/>
      <c r="U53" s="97"/>
      <c r="V53" s="98"/>
      <c r="W53" s="49"/>
      <c r="Y53" s="52"/>
      <c r="Z53" s="52"/>
    </row>
    <row r="54" spans="1:26" x14ac:dyDescent="0.25">
      <c r="A54" s="63"/>
      <c r="B54" s="26" t="s">
        <v>49</v>
      </c>
      <c r="C54" s="26" t="s">
        <v>22</v>
      </c>
      <c r="D54" s="60">
        <v>86.903000000000006</v>
      </c>
      <c r="E54" s="58">
        <v>0</v>
      </c>
      <c r="F54" s="58">
        <v>678.58401317539494</v>
      </c>
      <c r="G54" s="54">
        <v>22.844999999999999</v>
      </c>
      <c r="H54" s="96">
        <v>500</v>
      </c>
      <c r="I54" s="96">
        <v>50</v>
      </c>
      <c r="J54" s="96">
        <v>10</v>
      </c>
      <c r="K54" s="96">
        <v>2</v>
      </c>
      <c r="L54" s="96">
        <f t="shared" ref="L54" si="88">J54^2*PI()/4*K54*(H54/I54)</f>
        <v>1570.7963267948967</v>
      </c>
      <c r="M54" s="60">
        <f>D54*1000/(500*300*Confinamento!P54)</f>
        <v>1.1666551835626843E-2</v>
      </c>
      <c r="N54" s="54">
        <f>1.1*(E54+F54)*391*(1-0.8*M54)</f>
        <v>289134.99369369104</v>
      </c>
      <c r="O54" s="58" t="str">
        <f>IF(L54*391&gt;N54,"OK","NO")</f>
        <v>OK</v>
      </c>
      <c r="P54" s="56">
        <v>300</v>
      </c>
      <c r="Q54" s="56">
        <f>400-80</f>
        <v>320</v>
      </c>
      <c r="R54" s="92">
        <f>(1.1*(E54+F54)*391)/1000-G54</f>
        <v>269.01398406673741</v>
      </c>
      <c r="S54" s="60">
        <f t="shared" ref="S54:S63" si="89">N54/(L54*391)</f>
        <v>0.47076484365416787</v>
      </c>
      <c r="U54" s="97">
        <f>(R54*1000/(P54*Q54))^2/(1.35+M54*17)-1.35</f>
        <v>3.7215805851732662</v>
      </c>
      <c r="V54" s="98">
        <f>L54*391/(P54*420)</f>
        <v>4.8744552680698785</v>
      </c>
      <c r="W54" s="50" t="str">
        <f t="shared" ref="W54" si="90">IF(V54&gt;U54,"OK","NO")</f>
        <v>OK</v>
      </c>
      <c r="Y54" s="51">
        <f>MIN(I54,'NodoX (Taglio Trazione)'!I54:I55)</f>
        <v>50</v>
      </c>
      <c r="Z54" s="51">
        <f>MIN(I54,'NodoX (Taglio Trazione)'!I54:I55)</f>
        <v>50</v>
      </c>
    </row>
    <row r="55" spans="1:26" x14ac:dyDescent="0.25">
      <c r="A55" s="63"/>
      <c r="B55" s="26" t="s">
        <v>59</v>
      </c>
      <c r="C55" s="26" t="s">
        <v>22</v>
      </c>
      <c r="D55" s="60"/>
      <c r="E55" s="58"/>
      <c r="F55" s="58"/>
      <c r="G55" s="54"/>
      <c r="H55" s="96"/>
      <c r="I55" s="96"/>
      <c r="J55" s="96"/>
      <c r="K55" s="96"/>
      <c r="L55" s="96"/>
      <c r="M55" s="60"/>
      <c r="N55" s="54"/>
      <c r="O55" s="58"/>
      <c r="P55" s="56"/>
      <c r="Q55" s="56"/>
      <c r="R55" s="92"/>
      <c r="S55" s="60"/>
      <c r="U55" s="97"/>
      <c r="V55" s="98"/>
      <c r="W55" s="49"/>
      <c r="Y55" s="52"/>
      <c r="Z55" s="52"/>
    </row>
    <row r="56" spans="1:26" x14ac:dyDescent="0.25">
      <c r="A56" s="63"/>
      <c r="B56" s="26" t="s">
        <v>50</v>
      </c>
      <c r="C56" s="26" t="s">
        <v>33</v>
      </c>
      <c r="D56" s="60">
        <v>157.72900000000001</v>
      </c>
      <c r="E56" s="58">
        <v>678.58401317539494</v>
      </c>
      <c r="F56" s="58">
        <v>678.58401317539494</v>
      </c>
      <c r="G56" s="54">
        <v>18.577000000000002</v>
      </c>
      <c r="H56" s="96">
        <v>500</v>
      </c>
      <c r="I56" s="96">
        <v>50</v>
      </c>
      <c r="J56" s="96">
        <v>10</v>
      </c>
      <c r="K56" s="96">
        <v>2</v>
      </c>
      <c r="L56" s="96">
        <f t="shared" ref="L56" si="91">J56^2*PI()/4*K56*(H56/I56)</f>
        <v>1570.7963267948967</v>
      </c>
      <c r="M56" s="60">
        <f>D56*1000/(500*300*Confinamento!P56)</f>
        <v>2.1174798965301382E-2</v>
      </c>
      <c r="N56" s="54">
        <f>1.1*(E56+F56)*391*(1-0.8*M56)</f>
        <v>573829.87963134644</v>
      </c>
      <c r="O56" s="58" t="str">
        <f>IF(L56*391&gt;N56,"OK","NO")</f>
        <v>OK</v>
      </c>
      <c r="P56" s="56">
        <v>300</v>
      </c>
      <c r="Q56" s="56">
        <f t="shared" ref="Q56" si="92">400-80</f>
        <v>320</v>
      </c>
      <c r="R56" s="92">
        <f>(1.1*(E56+F56)*391)/1000-G56</f>
        <v>565.14096813347487</v>
      </c>
      <c r="S56" s="60">
        <f t="shared" ref="S56:S63" si="93">N56/(L56*391)</f>
        <v>0.93430037685070166</v>
      </c>
      <c r="U56" s="97">
        <f>(R56*1000/(P56*Q56))^2/(1.35+M56*17)-1.35</f>
        <v>18.916661947619712</v>
      </c>
      <c r="V56" s="98">
        <f>L56*391/(P56*420)</f>
        <v>4.8744552680698785</v>
      </c>
      <c r="W56" s="50" t="str">
        <f t="shared" ref="W56" si="94">IF(V56&gt;U56,"OK","NO")</f>
        <v>NO</v>
      </c>
      <c r="Y56" s="51">
        <f>MIN(I56,'NodoX (Taglio Trazione)'!I56:I57)</f>
        <v>50</v>
      </c>
      <c r="Z56" s="51">
        <f>MIN(I56,'NodoX (Taglio Trazione)'!I56:I57)</f>
        <v>50</v>
      </c>
    </row>
    <row r="57" spans="1:26" x14ac:dyDescent="0.25">
      <c r="A57" s="63"/>
      <c r="B57" s="26" t="s">
        <v>60</v>
      </c>
      <c r="C57" s="26" t="s">
        <v>33</v>
      </c>
      <c r="D57" s="60"/>
      <c r="E57" s="58"/>
      <c r="F57" s="58"/>
      <c r="G57" s="54"/>
      <c r="H57" s="96"/>
      <c r="I57" s="96"/>
      <c r="J57" s="96"/>
      <c r="K57" s="96"/>
      <c r="L57" s="96"/>
      <c r="M57" s="60"/>
      <c r="N57" s="54"/>
      <c r="O57" s="58"/>
      <c r="P57" s="56"/>
      <c r="Q57" s="56"/>
      <c r="R57" s="92"/>
      <c r="S57" s="60"/>
      <c r="U57" s="97"/>
      <c r="V57" s="98"/>
      <c r="W57" s="49"/>
      <c r="Y57" s="52"/>
      <c r="Z57" s="52"/>
    </row>
    <row r="58" spans="1:26" x14ac:dyDescent="0.25">
      <c r="A58" s="63"/>
      <c r="B58" s="26" t="s">
        <v>51</v>
      </c>
      <c r="C58" s="26" t="s">
        <v>36</v>
      </c>
      <c r="D58" s="60">
        <v>182.61099999999999</v>
      </c>
      <c r="E58" s="58">
        <v>678.58401317539494</v>
      </c>
      <c r="F58" s="58">
        <v>678.58401317539494</v>
      </c>
      <c r="G58" s="54">
        <v>16.13</v>
      </c>
      <c r="H58" s="96">
        <v>500</v>
      </c>
      <c r="I58" s="96">
        <v>50</v>
      </c>
      <c r="J58" s="96">
        <v>10</v>
      </c>
      <c r="K58" s="96">
        <v>2</v>
      </c>
      <c r="L58" s="96">
        <f t="shared" ref="L58" si="95">J58^2*PI()/4*K58*(H58/I58)</f>
        <v>1570.7963267948967</v>
      </c>
      <c r="M58" s="60">
        <f>D58*1000/(500*300*Confinamento!P58)</f>
        <v>2.4515157097633605E-2</v>
      </c>
      <c r="N58" s="54">
        <f>1.1*(E58+F58)*391*(1-0.8*M58)</f>
        <v>572270.01798187196</v>
      </c>
      <c r="O58" s="58" t="str">
        <f>IF(L58*391&gt;N58,"OK","NO")</f>
        <v>OK</v>
      </c>
      <c r="P58" s="56">
        <v>300</v>
      </c>
      <c r="Q58" s="56">
        <f t="shared" ref="Q58" si="96">400-80</f>
        <v>320</v>
      </c>
      <c r="R58" s="92">
        <f>(1.1*(E58+F58)*391)/1000-G58</f>
        <v>567.58796813347487</v>
      </c>
      <c r="S58" s="60">
        <f t="shared" ref="S58:S63" si="97">N58/(L58*391)</f>
        <v>0.93176063575552681</v>
      </c>
      <c r="U58" s="97">
        <f>(R58*1000/(P58*Q58))^2/(1.35+M58*17)-1.35</f>
        <v>18.435494522533222</v>
      </c>
      <c r="V58" s="98">
        <f>L58*391/(P58*420)</f>
        <v>4.8744552680698785</v>
      </c>
      <c r="W58" s="50" t="str">
        <f t="shared" ref="W58" si="98">IF(V58&gt;U58,"OK","NO")</f>
        <v>NO</v>
      </c>
      <c r="Y58" s="51">
        <f>MIN(I58,'NodoX (Taglio Trazione)'!I58:I59)</f>
        <v>50</v>
      </c>
      <c r="Z58" s="51">
        <f>MIN(I58,'NodoX (Taglio Trazione)'!I58:I59)</f>
        <v>50</v>
      </c>
    </row>
    <row r="59" spans="1:26" x14ac:dyDescent="0.25">
      <c r="A59" s="63"/>
      <c r="B59" s="26" t="s">
        <v>61</v>
      </c>
      <c r="C59" s="26" t="s">
        <v>36</v>
      </c>
      <c r="D59" s="60"/>
      <c r="E59" s="58"/>
      <c r="F59" s="58"/>
      <c r="G59" s="54"/>
      <c r="H59" s="96"/>
      <c r="I59" s="96"/>
      <c r="J59" s="96"/>
      <c r="K59" s="96"/>
      <c r="L59" s="96"/>
      <c r="M59" s="60"/>
      <c r="N59" s="54"/>
      <c r="O59" s="58"/>
      <c r="P59" s="56"/>
      <c r="Q59" s="56"/>
      <c r="R59" s="92"/>
      <c r="S59" s="60"/>
      <c r="U59" s="97"/>
      <c r="V59" s="98"/>
      <c r="W59" s="49"/>
      <c r="Y59" s="52"/>
      <c r="Z59" s="52"/>
    </row>
    <row r="60" spans="1:26" x14ac:dyDescent="0.25">
      <c r="A60" s="63"/>
      <c r="B60" s="26" t="s">
        <v>52</v>
      </c>
      <c r="C60" s="26" t="s">
        <v>39</v>
      </c>
      <c r="D60" s="60">
        <v>181.703</v>
      </c>
      <c r="E60" s="58">
        <v>678.58401317539494</v>
      </c>
      <c r="F60" s="58">
        <v>678.58401317539494</v>
      </c>
      <c r="G60" s="54">
        <v>18.57</v>
      </c>
      <c r="H60" s="96">
        <v>500</v>
      </c>
      <c r="I60" s="96">
        <v>50</v>
      </c>
      <c r="J60" s="96">
        <v>10</v>
      </c>
      <c r="K60" s="96">
        <v>2</v>
      </c>
      <c r="L60" s="96">
        <f t="shared" ref="L60" si="99">J60^2*PI()/4*K60*(H60/I60)</f>
        <v>1570.7963267948967</v>
      </c>
      <c r="M60" s="60">
        <f>D60*1000/(500*300*Confinamento!P60)</f>
        <v>2.4393259935662798E-2</v>
      </c>
      <c r="N60" s="54">
        <f>1.1*(E60+F60)*391*(1-0.8*M60)</f>
        <v>572326.94083283737</v>
      </c>
      <c r="O60" s="58" t="str">
        <f>IF(L60*391&gt;N60,"OK","NO")</f>
        <v>OK</v>
      </c>
      <c r="P60" s="56">
        <v>300</v>
      </c>
      <c r="Q60" s="56">
        <f t="shared" ref="Q60" si="100">400-80</f>
        <v>320</v>
      </c>
      <c r="R60" s="92">
        <f>(1.1*(E60+F60)*391)/1000-G60</f>
        <v>565.14796813347482</v>
      </c>
      <c r="S60" s="60">
        <f t="shared" ref="S60:S63" si="101">N60/(L60*391)</f>
        <v>0.93185331660571635</v>
      </c>
      <c r="U60" s="97">
        <f>(R60*1000/(P60*Q60))^2/(1.35+M60*17)-1.35</f>
        <v>18.288783286152828</v>
      </c>
      <c r="V60" s="98">
        <f>L60*391/(P60*420)</f>
        <v>4.8744552680698785</v>
      </c>
      <c r="W60" s="50" t="str">
        <f t="shared" ref="W60" si="102">IF(V60&gt;U60,"OK","NO")</f>
        <v>NO</v>
      </c>
      <c r="Y60" s="51">
        <f>MIN(I60,'NodoX (Taglio Trazione)'!I60:I61)</f>
        <v>50</v>
      </c>
      <c r="Z60" s="51">
        <f>MIN(I60,'NodoX (Taglio Trazione)'!I60:I61)</f>
        <v>50</v>
      </c>
    </row>
    <row r="61" spans="1:26" x14ac:dyDescent="0.25">
      <c r="A61" s="63"/>
      <c r="B61" s="26" t="s">
        <v>62</v>
      </c>
      <c r="C61" s="26" t="s">
        <v>39</v>
      </c>
      <c r="D61" s="60"/>
      <c r="E61" s="58"/>
      <c r="F61" s="58"/>
      <c r="G61" s="54"/>
      <c r="H61" s="96"/>
      <c r="I61" s="96"/>
      <c r="J61" s="96"/>
      <c r="K61" s="96"/>
      <c r="L61" s="96"/>
      <c r="M61" s="60"/>
      <c r="N61" s="54"/>
      <c r="O61" s="58"/>
      <c r="P61" s="56"/>
      <c r="Q61" s="56"/>
      <c r="R61" s="92"/>
      <c r="S61" s="60"/>
      <c r="U61" s="97"/>
      <c r="V61" s="98"/>
      <c r="W61" s="49"/>
      <c r="Y61" s="52"/>
      <c r="Z61" s="52"/>
    </row>
    <row r="62" spans="1:26" x14ac:dyDescent="0.25">
      <c r="A62" s="63"/>
      <c r="B62" s="26" t="s">
        <v>53</v>
      </c>
      <c r="C62" s="26" t="s">
        <v>42</v>
      </c>
      <c r="D62" s="60">
        <v>86.835999999999999</v>
      </c>
      <c r="E62" s="58">
        <v>0</v>
      </c>
      <c r="F62" s="58">
        <v>678.58401317539494</v>
      </c>
      <c r="G62" s="54">
        <v>25.384</v>
      </c>
      <c r="H62" s="96">
        <v>500</v>
      </c>
      <c r="I62" s="96">
        <v>50</v>
      </c>
      <c r="J62" s="96">
        <v>10</v>
      </c>
      <c r="K62" s="96">
        <v>2</v>
      </c>
      <c r="L62" s="96">
        <f t="shared" ref="L62" si="103">J62^2*PI()/4*K62*(H62/I62)</f>
        <v>1570.7963267948967</v>
      </c>
      <c r="M62" s="60">
        <f>D62*1000/(500*300*Confinamento!P62)</f>
        <v>1.1657557221252344E-2</v>
      </c>
      <c r="N62" s="54">
        <f>1.1*(E62+F62)*391*(1-0.8*M62)</f>
        <v>289137.09382090176</v>
      </c>
      <c r="O62" s="58" t="str">
        <f>IF(L62*391&gt;N62,"OK","NO")</f>
        <v>OK</v>
      </c>
      <c r="P62" s="56">
        <v>300</v>
      </c>
      <c r="Q62" s="56">
        <f t="shared" ref="Q62" si="104">400-80</f>
        <v>320</v>
      </c>
      <c r="R62" s="92">
        <f>(1.1*(E62+F62)*391)/1000-G62</f>
        <v>266.47498406673742</v>
      </c>
      <c r="S62" s="60">
        <f t="shared" ref="S62:S63" si="105">N62/(L62*391)</f>
        <v>0.47076826304676844</v>
      </c>
      <c r="U62" s="97">
        <f>(R62*1000/(P62*Q62))^2/(1.35+M62*17)-1.35</f>
        <v>3.6267909591897074</v>
      </c>
      <c r="V62" s="98">
        <f>L62*391/(P62*420)</f>
        <v>4.8744552680698785</v>
      </c>
      <c r="W62" s="50" t="str">
        <f t="shared" ref="W62" si="106">IF(V62&gt;U62,"OK","NO")</f>
        <v>OK</v>
      </c>
      <c r="Y62" s="51">
        <f>MIN(I62,'NodoX (Taglio Trazione)'!I62:I63)</f>
        <v>50</v>
      </c>
      <c r="Z62" s="51">
        <f>MIN(I62,'NodoX (Taglio Trazione)'!I62:I63)</f>
        <v>50</v>
      </c>
    </row>
    <row r="63" spans="1:26" x14ac:dyDescent="0.25">
      <c r="A63" s="63"/>
      <c r="B63" s="26" t="s">
        <v>63</v>
      </c>
      <c r="C63" s="26" t="s">
        <v>42</v>
      </c>
      <c r="D63" s="60"/>
      <c r="E63" s="58"/>
      <c r="F63" s="58"/>
      <c r="G63" s="54"/>
      <c r="H63" s="96"/>
      <c r="I63" s="96"/>
      <c r="J63" s="96"/>
      <c r="K63" s="96"/>
      <c r="L63" s="96"/>
      <c r="M63" s="60"/>
      <c r="N63" s="54"/>
      <c r="O63" s="58"/>
      <c r="P63" s="56"/>
      <c r="Q63" s="56"/>
      <c r="R63" s="92"/>
      <c r="S63" s="60"/>
      <c r="U63" s="97"/>
      <c r="V63" s="98"/>
      <c r="W63" s="49"/>
      <c r="Y63" s="52"/>
      <c r="Z63" s="52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</sheetData>
  <mergeCells count="544">
    <mergeCell ref="S60:S61"/>
    <mergeCell ref="S62:S63"/>
    <mergeCell ref="B1:S1"/>
    <mergeCell ref="S42:S43"/>
    <mergeCell ref="S44:S45"/>
    <mergeCell ref="S46:S47"/>
    <mergeCell ref="S48:S49"/>
    <mergeCell ref="S50:S51"/>
    <mergeCell ref="S52:S53"/>
    <mergeCell ref="S54:S55"/>
    <mergeCell ref="S56:S57"/>
    <mergeCell ref="S58:S59"/>
    <mergeCell ref="S22:S23"/>
    <mergeCell ref="S24:S25"/>
    <mergeCell ref="S26:S27"/>
    <mergeCell ref="S28:S29"/>
    <mergeCell ref="S30:S31"/>
    <mergeCell ref="S32:S33"/>
    <mergeCell ref="S34:S35"/>
    <mergeCell ref="S36:S37"/>
    <mergeCell ref="S38:S39"/>
    <mergeCell ref="S4:S5"/>
    <mergeCell ref="S6:S7"/>
    <mergeCell ref="S8:S9"/>
    <mergeCell ref="S10:S11"/>
    <mergeCell ref="S12:S13"/>
    <mergeCell ref="S14:S15"/>
    <mergeCell ref="S16:S17"/>
    <mergeCell ref="S18:S19"/>
    <mergeCell ref="S20:S21"/>
    <mergeCell ref="F8:F9"/>
    <mergeCell ref="G8:G9"/>
    <mergeCell ref="K6:K7"/>
    <mergeCell ref="L6:L7"/>
    <mergeCell ref="A4:A23"/>
    <mergeCell ref="D4:D5"/>
    <mergeCell ref="E4:E5"/>
    <mergeCell ref="F4:F5"/>
    <mergeCell ref="G4:G5"/>
    <mergeCell ref="H4:H5"/>
    <mergeCell ref="I4:I5"/>
    <mergeCell ref="J4:J5"/>
    <mergeCell ref="K4:K5"/>
    <mergeCell ref="R4:R5"/>
    <mergeCell ref="M6:M7"/>
    <mergeCell ref="N6:N7"/>
    <mergeCell ref="O6:O7"/>
    <mergeCell ref="D10:D11"/>
    <mergeCell ref="E10:E11"/>
    <mergeCell ref="F10:F11"/>
    <mergeCell ref="G10:G11"/>
    <mergeCell ref="H10:H11"/>
    <mergeCell ref="I10:I11"/>
    <mergeCell ref="D8:D9"/>
    <mergeCell ref="E8:E9"/>
    <mergeCell ref="Q8:Q9"/>
    <mergeCell ref="R8:R9"/>
    <mergeCell ref="U4:U5"/>
    <mergeCell ref="V4:V5"/>
    <mergeCell ref="D6:D7"/>
    <mergeCell ref="E6:E7"/>
    <mergeCell ref="F6:F7"/>
    <mergeCell ref="G6:G7"/>
    <mergeCell ref="H6:H7"/>
    <mergeCell ref="I6:I7"/>
    <mergeCell ref="L4:L5"/>
    <mergeCell ref="M4:M5"/>
    <mergeCell ref="N4:N5"/>
    <mergeCell ref="O4:O5"/>
    <mergeCell ref="P4:P5"/>
    <mergeCell ref="Q4:Q5"/>
    <mergeCell ref="P6:P7"/>
    <mergeCell ref="Q6:Q7"/>
    <mergeCell ref="R6:R7"/>
    <mergeCell ref="U6:U7"/>
    <mergeCell ref="V6:V7"/>
    <mergeCell ref="J6:J7"/>
    <mergeCell ref="H8:H9"/>
    <mergeCell ref="I8:I9"/>
    <mergeCell ref="P10:P11"/>
    <mergeCell ref="Q10:Q11"/>
    <mergeCell ref="R10:R11"/>
    <mergeCell ref="U10:U11"/>
    <mergeCell ref="V10:V11"/>
    <mergeCell ref="J10:J11"/>
    <mergeCell ref="K10:K11"/>
    <mergeCell ref="L10:L11"/>
    <mergeCell ref="M10:M11"/>
    <mergeCell ref="N10:N11"/>
    <mergeCell ref="O10:O11"/>
    <mergeCell ref="U8:U9"/>
    <mergeCell ref="V8:V9"/>
    <mergeCell ref="J8:J9"/>
    <mergeCell ref="K8:K9"/>
    <mergeCell ref="L8:L9"/>
    <mergeCell ref="M8:M9"/>
    <mergeCell ref="N8:N9"/>
    <mergeCell ref="O8:O9"/>
    <mergeCell ref="P8:P9"/>
    <mergeCell ref="U12:U13"/>
    <mergeCell ref="V12:V13"/>
    <mergeCell ref="J12:J13"/>
    <mergeCell ref="K12:K13"/>
    <mergeCell ref="L12:L13"/>
    <mergeCell ref="M12:M13"/>
    <mergeCell ref="N12:N13"/>
    <mergeCell ref="O12:O13"/>
    <mergeCell ref="D14:D15"/>
    <mergeCell ref="E14:E15"/>
    <mergeCell ref="F14:F15"/>
    <mergeCell ref="G14:G15"/>
    <mergeCell ref="H14:H15"/>
    <mergeCell ref="I14:I15"/>
    <mergeCell ref="P12:P13"/>
    <mergeCell ref="Q12:Q13"/>
    <mergeCell ref="R12:R13"/>
    <mergeCell ref="D12:D13"/>
    <mergeCell ref="E12:E13"/>
    <mergeCell ref="F12:F13"/>
    <mergeCell ref="G12:G13"/>
    <mergeCell ref="H12:H13"/>
    <mergeCell ref="I12:I13"/>
    <mergeCell ref="P14:P15"/>
    <mergeCell ref="Q14:Q15"/>
    <mergeCell ref="R14:R15"/>
    <mergeCell ref="U14:U15"/>
    <mergeCell ref="V14:V15"/>
    <mergeCell ref="J14:J15"/>
    <mergeCell ref="K14:K15"/>
    <mergeCell ref="L14:L15"/>
    <mergeCell ref="M14:M15"/>
    <mergeCell ref="N14:N15"/>
    <mergeCell ref="O14:O15"/>
    <mergeCell ref="U16:U17"/>
    <mergeCell ref="V16:V17"/>
    <mergeCell ref="J16:J17"/>
    <mergeCell ref="K16:K17"/>
    <mergeCell ref="L16:L17"/>
    <mergeCell ref="M16:M17"/>
    <mergeCell ref="N16:N17"/>
    <mergeCell ref="O16:O17"/>
    <mergeCell ref="D18:D19"/>
    <mergeCell ref="E18:E19"/>
    <mergeCell ref="F18:F19"/>
    <mergeCell ref="G18:G19"/>
    <mergeCell ref="H18:H19"/>
    <mergeCell ref="I18:I19"/>
    <mergeCell ref="P16:P17"/>
    <mergeCell ref="Q16:Q17"/>
    <mergeCell ref="R16:R17"/>
    <mergeCell ref="D16:D17"/>
    <mergeCell ref="E16:E17"/>
    <mergeCell ref="F16:F17"/>
    <mergeCell ref="G16:G17"/>
    <mergeCell ref="H16:H17"/>
    <mergeCell ref="I16:I17"/>
    <mergeCell ref="P18:P19"/>
    <mergeCell ref="Q18:Q19"/>
    <mergeCell ref="R18:R19"/>
    <mergeCell ref="U18:U19"/>
    <mergeCell ref="V18:V19"/>
    <mergeCell ref="J18:J19"/>
    <mergeCell ref="K18:K19"/>
    <mergeCell ref="L18:L19"/>
    <mergeCell ref="M18:M19"/>
    <mergeCell ref="N18:N19"/>
    <mergeCell ref="O18:O19"/>
    <mergeCell ref="U20:U21"/>
    <mergeCell ref="V20:V21"/>
    <mergeCell ref="J20:J21"/>
    <mergeCell ref="K20:K21"/>
    <mergeCell ref="L20:L21"/>
    <mergeCell ref="M20:M21"/>
    <mergeCell ref="N20:N21"/>
    <mergeCell ref="O20:O21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D20:D21"/>
    <mergeCell ref="E20:E21"/>
    <mergeCell ref="F20:F21"/>
    <mergeCell ref="G20:G21"/>
    <mergeCell ref="H20:H21"/>
    <mergeCell ref="I20:I21"/>
    <mergeCell ref="G24:G25"/>
    <mergeCell ref="H24:H25"/>
    <mergeCell ref="P22:P23"/>
    <mergeCell ref="Q22:Q23"/>
    <mergeCell ref="R22:R23"/>
    <mergeCell ref="U22:U23"/>
    <mergeCell ref="V22:V23"/>
    <mergeCell ref="J22:J23"/>
    <mergeCell ref="K22:K23"/>
    <mergeCell ref="L22:L23"/>
    <mergeCell ref="M22:M23"/>
    <mergeCell ref="N22:N23"/>
    <mergeCell ref="O22:O23"/>
    <mergeCell ref="O24:O25"/>
    <mergeCell ref="P24:P25"/>
    <mergeCell ref="Q24:Q25"/>
    <mergeCell ref="R24:R25"/>
    <mergeCell ref="U24:U25"/>
    <mergeCell ref="V24:V25"/>
    <mergeCell ref="I24:I25"/>
    <mergeCell ref="J24:J25"/>
    <mergeCell ref="K24:K25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L24:L25"/>
    <mergeCell ref="M24:M25"/>
    <mergeCell ref="N24:N25"/>
    <mergeCell ref="D24:D25"/>
    <mergeCell ref="E24:E25"/>
    <mergeCell ref="U26:U27"/>
    <mergeCell ref="V26:V27"/>
    <mergeCell ref="D28:D29"/>
    <mergeCell ref="E28:E29"/>
    <mergeCell ref="F28:F29"/>
    <mergeCell ref="G28:G29"/>
    <mergeCell ref="H28:H29"/>
    <mergeCell ref="I28:I29"/>
    <mergeCell ref="J28:J29"/>
    <mergeCell ref="M26:M27"/>
    <mergeCell ref="N26:N27"/>
    <mergeCell ref="O26:O27"/>
    <mergeCell ref="P26:P27"/>
    <mergeCell ref="Q26:Q27"/>
    <mergeCell ref="R26:R27"/>
    <mergeCell ref="Q28:Q29"/>
    <mergeCell ref="R28:R29"/>
    <mergeCell ref="U28:U29"/>
    <mergeCell ref="V28:V29"/>
    <mergeCell ref="D30:D31"/>
    <mergeCell ref="E30:E31"/>
    <mergeCell ref="F30:F31"/>
    <mergeCell ref="G30:G31"/>
    <mergeCell ref="H30:H31"/>
    <mergeCell ref="K28:K29"/>
    <mergeCell ref="L28:L29"/>
    <mergeCell ref="M28:M29"/>
    <mergeCell ref="N28:N29"/>
    <mergeCell ref="O28:O29"/>
    <mergeCell ref="P28:P29"/>
    <mergeCell ref="O30:O31"/>
    <mergeCell ref="P30:P31"/>
    <mergeCell ref="Q30:Q31"/>
    <mergeCell ref="R30:R31"/>
    <mergeCell ref="U30:U31"/>
    <mergeCell ref="V30:V31"/>
    <mergeCell ref="I30:I31"/>
    <mergeCell ref="J30:J31"/>
    <mergeCell ref="K30:K31"/>
    <mergeCell ref="L30:L31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M30:M31"/>
    <mergeCell ref="N30:N31"/>
    <mergeCell ref="U32:U33"/>
    <mergeCell ref="V32:V33"/>
    <mergeCell ref="D34:D35"/>
    <mergeCell ref="E34:E35"/>
    <mergeCell ref="F34:F35"/>
    <mergeCell ref="G34:G35"/>
    <mergeCell ref="H34:H35"/>
    <mergeCell ref="I34:I35"/>
    <mergeCell ref="J34:J35"/>
    <mergeCell ref="M32:M33"/>
    <mergeCell ref="N32:N33"/>
    <mergeCell ref="O32:O33"/>
    <mergeCell ref="P32:P33"/>
    <mergeCell ref="Q32:Q33"/>
    <mergeCell ref="R32:R33"/>
    <mergeCell ref="Q34:Q35"/>
    <mergeCell ref="R34:R35"/>
    <mergeCell ref="U34:U35"/>
    <mergeCell ref="V34:V35"/>
    <mergeCell ref="O34:O35"/>
    <mergeCell ref="D36:D37"/>
    <mergeCell ref="E36:E37"/>
    <mergeCell ref="F36:F37"/>
    <mergeCell ref="G36:G37"/>
    <mergeCell ref="H36:H37"/>
    <mergeCell ref="K34:K35"/>
    <mergeCell ref="L34:L35"/>
    <mergeCell ref="M34:M35"/>
    <mergeCell ref="N34:N35"/>
    <mergeCell ref="P34:P35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O36:O37"/>
    <mergeCell ref="P36:P37"/>
    <mergeCell ref="Q36:Q37"/>
    <mergeCell ref="R36:R37"/>
    <mergeCell ref="U36:U37"/>
    <mergeCell ref="V36:V37"/>
    <mergeCell ref="I36:I37"/>
    <mergeCell ref="J36:J37"/>
    <mergeCell ref="K36:K37"/>
    <mergeCell ref="L36:L37"/>
    <mergeCell ref="M36:M37"/>
    <mergeCell ref="N36:N37"/>
    <mergeCell ref="U38:U39"/>
    <mergeCell ref="V38:V39"/>
    <mergeCell ref="D40:D41"/>
    <mergeCell ref="E40:E41"/>
    <mergeCell ref="F40:F41"/>
    <mergeCell ref="G40:G41"/>
    <mergeCell ref="H40:H41"/>
    <mergeCell ref="I40:I41"/>
    <mergeCell ref="J40:J41"/>
    <mergeCell ref="M38:M39"/>
    <mergeCell ref="N38:N39"/>
    <mergeCell ref="O38:O39"/>
    <mergeCell ref="P38:P39"/>
    <mergeCell ref="Q38:Q39"/>
    <mergeCell ref="R38:R39"/>
    <mergeCell ref="Q40:Q41"/>
    <mergeCell ref="R40:R41"/>
    <mergeCell ref="U40:U41"/>
    <mergeCell ref="V40:V41"/>
    <mergeCell ref="O40:O41"/>
    <mergeCell ref="P40:P41"/>
    <mergeCell ref="S40:S41"/>
    <mergeCell ref="D42:D43"/>
    <mergeCell ref="E42:E43"/>
    <mergeCell ref="F42:F43"/>
    <mergeCell ref="G42:G43"/>
    <mergeCell ref="H42:H43"/>
    <mergeCell ref="K40:K41"/>
    <mergeCell ref="L40:L41"/>
    <mergeCell ref="M40:M41"/>
    <mergeCell ref="N40:N41"/>
    <mergeCell ref="A44:A63"/>
    <mergeCell ref="D44:D45"/>
    <mergeCell ref="E44:E45"/>
    <mergeCell ref="F44:F45"/>
    <mergeCell ref="G44:G45"/>
    <mergeCell ref="H44:H45"/>
    <mergeCell ref="I44:I45"/>
    <mergeCell ref="J44:J45"/>
    <mergeCell ref="K44:K45"/>
    <mergeCell ref="O42:O43"/>
    <mergeCell ref="P42:P43"/>
    <mergeCell ref="Q42:Q43"/>
    <mergeCell ref="R42:R43"/>
    <mergeCell ref="U42:U43"/>
    <mergeCell ref="V42:V43"/>
    <mergeCell ref="I42:I43"/>
    <mergeCell ref="J42:J43"/>
    <mergeCell ref="K42:K43"/>
    <mergeCell ref="L42:L43"/>
    <mergeCell ref="M42:M43"/>
    <mergeCell ref="N42:N43"/>
    <mergeCell ref="A24:A43"/>
    <mergeCell ref="F24:F25"/>
    <mergeCell ref="U44:U45"/>
    <mergeCell ref="V44:V45"/>
    <mergeCell ref="D46:D47"/>
    <mergeCell ref="E46:E47"/>
    <mergeCell ref="F46:F47"/>
    <mergeCell ref="G46:G47"/>
    <mergeCell ref="H46:H47"/>
    <mergeCell ref="I46:I47"/>
    <mergeCell ref="L44:L45"/>
    <mergeCell ref="M44:M45"/>
    <mergeCell ref="N44:N45"/>
    <mergeCell ref="O44:O45"/>
    <mergeCell ref="P44:P45"/>
    <mergeCell ref="Q44:Q45"/>
    <mergeCell ref="U46:U47"/>
    <mergeCell ref="V46:V47"/>
    <mergeCell ref="J46:J47"/>
    <mergeCell ref="K46:K47"/>
    <mergeCell ref="L46:L47"/>
    <mergeCell ref="M46:M47"/>
    <mergeCell ref="N46:N47"/>
    <mergeCell ref="D48:D49"/>
    <mergeCell ref="E48:E49"/>
    <mergeCell ref="F48:F49"/>
    <mergeCell ref="G48:G49"/>
    <mergeCell ref="H48:H49"/>
    <mergeCell ref="I48:I49"/>
    <mergeCell ref="P46:P47"/>
    <mergeCell ref="Q46:Q47"/>
    <mergeCell ref="R44:R45"/>
    <mergeCell ref="R46:R47"/>
    <mergeCell ref="P48:P49"/>
    <mergeCell ref="Q48:Q49"/>
    <mergeCell ref="R48:R49"/>
    <mergeCell ref="O46:O47"/>
    <mergeCell ref="U48:U49"/>
    <mergeCell ref="V48:V49"/>
    <mergeCell ref="J48:J49"/>
    <mergeCell ref="K48:K49"/>
    <mergeCell ref="L48:L49"/>
    <mergeCell ref="M48:M49"/>
    <mergeCell ref="N48:N49"/>
    <mergeCell ref="O48:O49"/>
    <mergeCell ref="U50:U51"/>
    <mergeCell ref="V50:V51"/>
    <mergeCell ref="J50:J51"/>
    <mergeCell ref="K50:K51"/>
    <mergeCell ref="L50:L51"/>
    <mergeCell ref="M50:M51"/>
    <mergeCell ref="N50:N51"/>
    <mergeCell ref="O50:O51"/>
    <mergeCell ref="D52:D53"/>
    <mergeCell ref="E52:E53"/>
    <mergeCell ref="F52:F53"/>
    <mergeCell ref="G52:G53"/>
    <mergeCell ref="H52:H53"/>
    <mergeCell ref="I52:I53"/>
    <mergeCell ref="P50:P51"/>
    <mergeCell ref="Q50:Q51"/>
    <mergeCell ref="R50:R51"/>
    <mergeCell ref="D50:D51"/>
    <mergeCell ref="E50:E51"/>
    <mergeCell ref="F50:F51"/>
    <mergeCell ref="G50:G51"/>
    <mergeCell ref="H50:H51"/>
    <mergeCell ref="I50:I51"/>
    <mergeCell ref="P52:P53"/>
    <mergeCell ref="Q52:Q53"/>
    <mergeCell ref="R52:R53"/>
    <mergeCell ref="U52:U53"/>
    <mergeCell ref="V52:V53"/>
    <mergeCell ref="J52:J53"/>
    <mergeCell ref="K52:K53"/>
    <mergeCell ref="L52:L53"/>
    <mergeCell ref="M52:M53"/>
    <mergeCell ref="N52:N53"/>
    <mergeCell ref="O52:O53"/>
    <mergeCell ref="U54:U55"/>
    <mergeCell ref="V54:V55"/>
    <mergeCell ref="J54:J55"/>
    <mergeCell ref="K54:K55"/>
    <mergeCell ref="L54:L55"/>
    <mergeCell ref="M54:M55"/>
    <mergeCell ref="N54:N55"/>
    <mergeCell ref="O54:O55"/>
    <mergeCell ref="D56:D57"/>
    <mergeCell ref="E56:E57"/>
    <mergeCell ref="F56:F57"/>
    <mergeCell ref="G56:G57"/>
    <mergeCell ref="H56:H57"/>
    <mergeCell ref="I56:I57"/>
    <mergeCell ref="P54:P55"/>
    <mergeCell ref="Q54:Q55"/>
    <mergeCell ref="R54:R55"/>
    <mergeCell ref="D54:D55"/>
    <mergeCell ref="E54:E55"/>
    <mergeCell ref="F54:F55"/>
    <mergeCell ref="G54:G55"/>
    <mergeCell ref="H54:H55"/>
    <mergeCell ref="I54:I55"/>
    <mergeCell ref="P56:P57"/>
    <mergeCell ref="Q56:Q57"/>
    <mergeCell ref="R56:R57"/>
    <mergeCell ref="U56:U57"/>
    <mergeCell ref="V56:V57"/>
    <mergeCell ref="J56:J57"/>
    <mergeCell ref="K56:K57"/>
    <mergeCell ref="L56:L57"/>
    <mergeCell ref="M56:M57"/>
    <mergeCell ref="N56:N57"/>
    <mergeCell ref="O56:O57"/>
    <mergeCell ref="J58:J59"/>
    <mergeCell ref="K58:K59"/>
    <mergeCell ref="L58:L59"/>
    <mergeCell ref="M58:M59"/>
    <mergeCell ref="N58:N59"/>
    <mergeCell ref="O58:O59"/>
    <mergeCell ref="D58:D59"/>
    <mergeCell ref="E58:E59"/>
    <mergeCell ref="F58:F59"/>
    <mergeCell ref="G58:G59"/>
    <mergeCell ref="H58:H59"/>
    <mergeCell ref="I58:I59"/>
    <mergeCell ref="J60:J61"/>
    <mergeCell ref="K60:K61"/>
    <mergeCell ref="L60:L61"/>
    <mergeCell ref="M60:M61"/>
    <mergeCell ref="N60:N61"/>
    <mergeCell ref="O60:O61"/>
    <mergeCell ref="D60:D61"/>
    <mergeCell ref="E60:E61"/>
    <mergeCell ref="F60:F61"/>
    <mergeCell ref="G60:G61"/>
    <mergeCell ref="H60:H61"/>
    <mergeCell ref="I60:I61"/>
    <mergeCell ref="J62:J63"/>
    <mergeCell ref="K62:K63"/>
    <mergeCell ref="L62:L63"/>
    <mergeCell ref="M62:M63"/>
    <mergeCell ref="N62:N63"/>
    <mergeCell ref="O62:O63"/>
    <mergeCell ref="D62:D63"/>
    <mergeCell ref="E62:E63"/>
    <mergeCell ref="F62:F63"/>
    <mergeCell ref="G62:G63"/>
    <mergeCell ref="H62:H63"/>
    <mergeCell ref="I62:I63"/>
    <mergeCell ref="P62:P63"/>
    <mergeCell ref="Q62:Q63"/>
    <mergeCell ref="R62:R63"/>
    <mergeCell ref="U62:U63"/>
    <mergeCell ref="V62:V63"/>
    <mergeCell ref="P60:P61"/>
    <mergeCell ref="Q60:Q61"/>
    <mergeCell ref="R60:R61"/>
    <mergeCell ref="U60:U61"/>
    <mergeCell ref="V60:V61"/>
    <mergeCell ref="P58:P59"/>
    <mergeCell ref="Q58:Q59"/>
    <mergeCell ref="R58:R59"/>
    <mergeCell ref="U58:U59"/>
    <mergeCell ref="V58:V59"/>
  </mergeCells>
  <conditionalFormatting sqref="O4">
    <cfRule type="cellIs" dxfId="7" priority="11" operator="equal">
      <formula>"OK"</formula>
    </cfRule>
    <cfRule type="cellIs" dxfId="6" priority="12" operator="equal">
      <formula>"NO"</formula>
    </cfRule>
    <cfRule type="colorScale" priority="13">
      <colorScale>
        <cfvo type="num" val="&quot;NO&quot;"/>
        <cfvo type="num" val="&quot;OK&quot;"/>
        <color rgb="FFFF0000"/>
        <color rgb="FF43FF59"/>
      </colorScale>
    </cfRule>
  </conditionalFormatting>
  <conditionalFormatting sqref="A4:A63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 O8 O10 O12 O14 O16 O18 O20 O22 O24 O26 O28 O30 O32 O34 O36 O38 O40 O42 O44 O46 O48 O50 O52 O54 O56 O58 O60 O62">
    <cfRule type="cellIs" dxfId="5" priority="7" operator="equal">
      <formula>"OK"</formula>
    </cfRule>
    <cfRule type="cellIs" dxfId="4" priority="8" operator="equal">
      <formula>"NO"</formula>
    </cfRule>
    <cfRule type="colorScale" priority="9">
      <colorScale>
        <cfvo type="num" val="&quot;NO&quot;"/>
        <cfvo type="num" val="&quot;OK&quot;"/>
        <color rgb="FFFF0000"/>
        <color rgb="FF43FF59"/>
      </colorScale>
    </cfRule>
  </conditionalFormatting>
  <conditionalFormatting sqref="W4">
    <cfRule type="cellIs" dxfId="3" priority="4" operator="equal">
      <formula>"OK"</formula>
    </cfRule>
    <cfRule type="cellIs" dxfId="2" priority="5" operator="equal">
      <formula>"NO"</formula>
    </cfRule>
    <cfRule type="colorScale" priority="6">
      <colorScale>
        <cfvo type="num" val="&quot;NO&quot;"/>
        <cfvo type="num" val="&quot;OK&quot;"/>
        <color rgb="FFFF0000"/>
        <color rgb="FF43FF59"/>
      </colorScale>
    </cfRule>
  </conditionalFormatting>
  <conditionalFormatting sqref="W6 W8 W10 W12 W14 W16 W18 W20 W22 W24 W26 W28 W30 W32 W34 W36 W38 W40 W42 W44 W46 W48 W50 W52 W54 W56 W58 W60 W62">
    <cfRule type="cellIs" dxfId="1" priority="1" operator="equal">
      <formula>"OK"</formula>
    </cfRule>
    <cfRule type="cellIs" dxfId="0" priority="2" operator="equal">
      <formula>"NO"</formula>
    </cfRule>
    <cfRule type="colorScale" priority="3">
      <colorScale>
        <cfvo type="num" val="&quot;NO&quot;"/>
        <cfvo type="num" val="&quot;OK&quot;"/>
        <color rgb="FFFF0000"/>
        <color rgb="FF43FF59"/>
      </colorScale>
    </cfRule>
  </conditionalFormatting>
  <pageMargins left="0.25" right="0.25" top="0.75" bottom="0.75" header="0.3" footer="0.3"/>
  <pageSetup paperSize="9" scale="3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PressoflessioneX</vt:lpstr>
      <vt:lpstr>Pressoflessione</vt:lpstr>
      <vt:lpstr>Taglio</vt:lpstr>
      <vt:lpstr>Confinamento</vt:lpstr>
      <vt:lpstr>NodoX (Taglio Compressione)</vt:lpstr>
      <vt:lpstr>NodoX (Taglio Trazione)</vt:lpstr>
      <vt:lpstr>NodoY (Taglio Compressione)</vt:lpstr>
      <vt:lpstr>NodoY (Taglio Trazione)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2020-01-10T17:29:45Z</cp:lastPrinted>
  <dcterms:created xsi:type="dcterms:W3CDTF">2019-10-09T19:20:55Z</dcterms:created>
  <dcterms:modified xsi:type="dcterms:W3CDTF">2020-01-10T17:31:34Z</dcterms:modified>
</cp:coreProperties>
</file>