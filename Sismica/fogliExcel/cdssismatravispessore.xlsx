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8.xml" ContentType="application/vnd.openxmlformats-officedocument.themeOverrid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9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0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1.xml" ContentType="application/vnd.openxmlformats-officedocument.themeOverrid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2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3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24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293C499E-ECAD-43E1-B461-16F7E4FCD6D5}" xr6:coauthVersionLast="44" xr6:coauthVersionMax="44" xr10:uidLastSave="{00000000-0000-0000-0000-000000000000}"/>
  <bookViews>
    <workbookView xWindow="-120" yWindow="-120" windowWidth="20730" windowHeight="11160" firstSheet="9" activeTab="9" xr2:uid="{B3BFE6EC-98D6-4891-AA3F-45AFE3AB4376}"/>
  </bookViews>
  <sheets>
    <sheet name="TRAVE A SPESSORE (P1)" sheetId="5" r:id="rId1"/>
    <sheet name="TRAVE A SPESSORE (P2) " sheetId="13" r:id="rId2"/>
    <sheet name="TRAVE A SPESSORE (P3)" sheetId="14" r:id="rId3"/>
    <sheet name="TRAVE A SPESSORE (P4)" sheetId="15" r:id="rId4"/>
    <sheet name="TRAVE ESTERNA(P1)" sheetId="6" r:id="rId5"/>
    <sheet name="TRAVE ESTERNA(P2)" sheetId="16" r:id="rId6"/>
    <sheet name="TRAVE ESTERNA(P3)" sheetId="17" r:id="rId7"/>
    <sheet name="TRAVE ESTERNA(P4)" sheetId="18" r:id="rId8"/>
    <sheet name="Grafici insieme" sheetId="19" r:id="rId9"/>
    <sheet name="TRAVI PRINCIPALI (P1)" sheetId="7" r:id="rId10"/>
    <sheet name="TRAVI PRINCIPALI (P2) " sheetId="8" r:id="rId11"/>
    <sheet name="TRAVI PRINCIPALI (P3) " sheetId="9" r:id="rId12"/>
    <sheet name="TRAVI PRINCIPALI (P4) " sheetId="10" r:id="rId13"/>
    <sheet name="CDS travi 3" sheetId="11" r:id="rId14"/>
    <sheet name="CDS travi 4" sheetId="12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29" i="12" l="1"/>
  <c r="AG225" i="7"/>
  <c r="AH225" i="7"/>
  <c r="AG226" i="7"/>
  <c r="AH226" i="7"/>
  <c r="AG227" i="7"/>
  <c r="AH227" i="7"/>
  <c r="AG228" i="7"/>
  <c r="AH228" i="7"/>
  <c r="AG229" i="7"/>
  <c r="AH229" i="7"/>
  <c r="AG230" i="7"/>
  <c r="AH230" i="7"/>
  <c r="AG231" i="7"/>
  <c r="AH231" i="7"/>
  <c r="AG232" i="7"/>
  <c r="AH232" i="7"/>
  <c r="AG233" i="7"/>
  <c r="AH233" i="7"/>
  <c r="AG234" i="7"/>
  <c r="AH234" i="7"/>
  <c r="AG235" i="7"/>
  <c r="AH235" i="7"/>
  <c r="AG236" i="7"/>
  <c r="AH236" i="7"/>
  <c r="AG237" i="7"/>
  <c r="AH237" i="7"/>
  <c r="AG238" i="7"/>
  <c r="AH238" i="7"/>
  <c r="AG239" i="7"/>
  <c r="AH239" i="7"/>
  <c r="AG240" i="7"/>
  <c r="AH240" i="7"/>
  <c r="AG241" i="7"/>
  <c r="AH241" i="7"/>
  <c r="AG242" i="7"/>
  <c r="AH242" i="7"/>
  <c r="AG243" i="7"/>
  <c r="AH243" i="7"/>
  <c r="AG244" i="7"/>
  <c r="AH244" i="7"/>
  <c r="AG245" i="7"/>
  <c r="AH245" i="7"/>
  <c r="AG246" i="7"/>
  <c r="AH246" i="7"/>
  <c r="AG247" i="7"/>
  <c r="AH247" i="7"/>
  <c r="AG248" i="7"/>
  <c r="AH248" i="7"/>
  <c r="AG249" i="7"/>
  <c r="AH249" i="7"/>
  <c r="AG250" i="7"/>
  <c r="AH250" i="7"/>
  <c r="AG251" i="7"/>
  <c r="AH251" i="7"/>
  <c r="AG252" i="7"/>
  <c r="AH252" i="7"/>
  <c r="AG253" i="7"/>
  <c r="AH253" i="7"/>
  <c r="AH224" i="7"/>
  <c r="AG224" i="7"/>
  <c r="AL224" i="7"/>
  <c r="R39" i="16" l="1"/>
  <c r="G5" i="18" l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" i="18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" i="17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" i="6"/>
  <c r="N2" i="7" l="1"/>
  <c r="AB8" i="6"/>
  <c r="AD5" i="5" l="1"/>
  <c r="AD7" i="5" s="1"/>
  <c r="AD9" i="5" s="1"/>
  <c r="AD8" i="5"/>
  <c r="AD11" i="5" l="1"/>
  <c r="AD10" i="5"/>
  <c r="AD6" i="5"/>
  <c r="Y42" i="18"/>
  <c r="AA42" i="18" s="1"/>
  <c r="AB42" i="18" s="1"/>
  <c r="M42" i="18"/>
  <c r="O42" i="18" s="1"/>
  <c r="P42" i="18" s="1"/>
  <c r="T42" i="18"/>
  <c r="Y41" i="18"/>
  <c r="AA41" i="18" s="1"/>
  <c r="AB41" i="18" s="1"/>
  <c r="T41" i="18"/>
  <c r="M41" i="18"/>
  <c r="O41" i="18" s="1"/>
  <c r="P41" i="18" s="1"/>
  <c r="H41" i="18"/>
  <c r="Y40" i="18"/>
  <c r="M40" i="18"/>
  <c r="Y39" i="18"/>
  <c r="AA39" i="18" s="1"/>
  <c r="AB39" i="18" s="1"/>
  <c r="M39" i="18"/>
  <c r="H39" i="18"/>
  <c r="T39" i="18"/>
  <c r="Y38" i="18"/>
  <c r="AA38" i="18" s="1"/>
  <c r="AB38" i="18" s="1"/>
  <c r="T38" i="18"/>
  <c r="M38" i="18"/>
  <c r="O38" i="18" s="1"/>
  <c r="P38" i="18" s="1"/>
  <c r="H38" i="18"/>
  <c r="Y37" i="18"/>
  <c r="AA37" i="18" s="1"/>
  <c r="AB37" i="18" s="1"/>
  <c r="T37" i="18"/>
  <c r="M37" i="18"/>
  <c r="O37" i="18" s="1"/>
  <c r="P37" i="18" s="1"/>
  <c r="H37" i="18"/>
  <c r="Y36" i="18"/>
  <c r="M36" i="18"/>
  <c r="Y35" i="18"/>
  <c r="AA35" i="18" s="1"/>
  <c r="AB35" i="18" s="1"/>
  <c r="M35" i="18"/>
  <c r="H35" i="18"/>
  <c r="T35" i="18"/>
  <c r="Y34" i="18"/>
  <c r="AA34" i="18" s="1"/>
  <c r="AB34" i="18" s="1"/>
  <c r="T34" i="18"/>
  <c r="M34" i="18"/>
  <c r="O34" i="18" s="1"/>
  <c r="P34" i="18" s="1"/>
  <c r="H34" i="18"/>
  <c r="Y33" i="18"/>
  <c r="T33" i="18"/>
  <c r="M33" i="18"/>
  <c r="O33" i="18" s="1"/>
  <c r="P33" i="18" s="1"/>
  <c r="H33" i="18"/>
  <c r="N33" i="18" s="1"/>
  <c r="Y32" i="18"/>
  <c r="M32" i="18"/>
  <c r="O32" i="18"/>
  <c r="P32" i="18" s="1"/>
  <c r="Y31" i="18"/>
  <c r="AA31" i="18" s="1"/>
  <c r="AB31" i="18" s="1"/>
  <c r="M31" i="18"/>
  <c r="H31" i="18"/>
  <c r="T31" i="18"/>
  <c r="Y30" i="18"/>
  <c r="AA30" i="18" s="1"/>
  <c r="AB30" i="18" s="1"/>
  <c r="T30" i="18"/>
  <c r="M30" i="18"/>
  <c r="O30" i="18" s="1"/>
  <c r="P30" i="18" s="1"/>
  <c r="H30" i="18"/>
  <c r="AA29" i="18"/>
  <c r="AB29" i="18" s="1"/>
  <c r="Y29" i="18"/>
  <c r="T29" i="18"/>
  <c r="M29" i="18"/>
  <c r="O29" i="18" s="1"/>
  <c r="P29" i="18" s="1"/>
  <c r="H29" i="18"/>
  <c r="N29" i="18" s="1"/>
  <c r="Y28" i="18"/>
  <c r="M28" i="18"/>
  <c r="O28" i="18"/>
  <c r="P28" i="18" s="1"/>
  <c r="Y27" i="18"/>
  <c r="AA27" i="18" s="1"/>
  <c r="AB27" i="18" s="1"/>
  <c r="M27" i="18"/>
  <c r="H27" i="18"/>
  <c r="N27" i="18" s="1"/>
  <c r="T27" i="18"/>
  <c r="Y26" i="18"/>
  <c r="AA26" i="18" s="1"/>
  <c r="AB26" i="18" s="1"/>
  <c r="T26" i="18"/>
  <c r="M26" i="18"/>
  <c r="O26" i="18" s="1"/>
  <c r="P26" i="18" s="1"/>
  <c r="H26" i="18"/>
  <c r="Y25" i="18"/>
  <c r="AA25" i="18" s="1"/>
  <c r="AB25" i="18" s="1"/>
  <c r="T25" i="18"/>
  <c r="M25" i="18"/>
  <c r="O25" i="18" s="1"/>
  <c r="P25" i="18" s="1"/>
  <c r="H25" i="18"/>
  <c r="Y24" i="18"/>
  <c r="M24" i="18"/>
  <c r="Y23" i="18"/>
  <c r="AA23" i="18" s="1"/>
  <c r="AB23" i="18" s="1"/>
  <c r="M23" i="18"/>
  <c r="H23" i="18"/>
  <c r="N23" i="18" s="1"/>
  <c r="T23" i="18"/>
  <c r="Y22" i="18"/>
  <c r="AA22" i="18" s="1"/>
  <c r="AB22" i="18" s="1"/>
  <c r="T22" i="18"/>
  <c r="M22" i="18"/>
  <c r="O22" i="18" s="1"/>
  <c r="P22" i="18" s="1"/>
  <c r="H22" i="18"/>
  <c r="AA21" i="18"/>
  <c r="AB21" i="18" s="1"/>
  <c r="Y21" i="18"/>
  <c r="T21" i="18"/>
  <c r="M21" i="18"/>
  <c r="O21" i="18" s="1"/>
  <c r="P21" i="18" s="1"/>
  <c r="H21" i="18"/>
  <c r="Y20" i="18"/>
  <c r="M20" i="18"/>
  <c r="Y19" i="18"/>
  <c r="AA19" i="18" s="1"/>
  <c r="AB19" i="18" s="1"/>
  <c r="M19" i="18"/>
  <c r="H19" i="18"/>
  <c r="T19" i="18"/>
  <c r="Y18" i="18"/>
  <c r="AA18" i="18" s="1"/>
  <c r="AB18" i="18" s="1"/>
  <c r="T18" i="18"/>
  <c r="M18" i="18"/>
  <c r="O18" i="18" s="1"/>
  <c r="P18" i="18" s="1"/>
  <c r="H18" i="18"/>
  <c r="Y17" i="18"/>
  <c r="T17" i="18"/>
  <c r="M17" i="18"/>
  <c r="O17" i="18" s="1"/>
  <c r="P17" i="18" s="1"/>
  <c r="H17" i="18"/>
  <c r="Y16" i="18"/>
  <c r="M16" i="18"/>
  <c r="Y15" i="18"/>
  <c r="AA15" i="18" s="1"/>
  <c r="AB15" i="18" s="1"/>
  <c r="M15" i="18"/>
  <c r="H15" i="18"/>
  <c r="T15" i="18"/>
  <c r="Y14" i="18"/>
  <c r="AA14" i="18" s="1"/>
  <c r="AB14" i="18" s="1"/>
  <c r="T14" i="18"/>
  <c r="M14" i="18"/>
  <c r="O14" i="18" s="1"/>
  <c r="P14" i="18" s="1"/>
  <c r="H14" i="18"/>
  <c r="AA13" i="18"/>
  <c r="AB13" i="18" s="1"/>
  <c r="Y13" i="18"/>
  <c r="T13" i="18"/>
  <c r="M13" i="18"/>
  <c r="O13" i="18" s="1"/>
  <c r="P13" i="18" s="1"/>
  <c r="H13" i="18"/>
  <c r="Y12" i="18"/>
  <c r="M12" i="18"/>
  <c r="Y11" i="18"/>
  <c r="AA11" i="18" s="1"/>
  <c r="AB11" i="18" s="1"/>
  <c r="M11" i="18"/>
  <c r="H11" i="18"/>
  <c r="T11" i="18"/>
  <c r="Y10" i="18"/>
  <c r="AA10" i="18" s="1"/>
  <c r="AB10" i="18" s="1"/>
  <c r="T10" i="18"/>
  <c r="Z10" i="18" s="1"/>
  <c r="M10" i="18"/>
  <c r="O10" i="18" s="1"/>
  <c r="P10" i="18" s="1"/>
  <c r="H10" i="18"/>
  <c r="Y9" i="18"/>
  <c r="AA9" i="18" s="1"/>
  <c r="AB9" i="18" s="1"/>
  <c r="T9" i="18"/>
  <c r="M9" i="18"/>
  <c r="O9" i="18" s="1"/>
  <c r="P9" i="18" s="1"/>
  <c r="H9" i="18"/>
  <c r="Y8" i="18"/>
  <c r="M8" i="18"/>
  <c r="Y7" i="18"/>
  <c r="AA7" i="18" s="1"/>
  <c r="AB7" i="18" s="1"/>
  <c r="M7" i="18"/>
  <c r="H7" i="18"/>
  <c r="T7" i="18"/>
  <c r="Y6" i="18"/>
  <c r="AA6" i="18" s="1"/>
  <c r="AB6" i="18" s="1"/>
  <c r="T6" i="18"/>
  <c r="M6" i="18"/>
  <c r="O6" i="18" s="1"/>
  <c r="P6" i="18" s="1"/>
  <c r="H6" i="18"/>
  <c r="Y5" i="18"/>
  <c r="T5" i="18"/>
  <c r="M5" i="18"/>
  <c r="O5" i="18" s="1"/>
  <c r="P5" i="18" s="1"/>
  <c r="H5" i="18"/>
  <c r="Y4" i="18"/>
  <c r="M4" i="18"/>
  <c r="W42" i="17"/>
  <c r="Y42" i="17" s="1"/>
  <c r="Z42" i="17" s="1"/>
  <c r="L42" i="17"/>
  <c r="N42" i="17" s="1"/>
  <c r="O42" i="17" s="1"/>
  <c r="R42" i="17"/>
  <c r="W41" i="17"/>
  <c r="Y41" i="17" s="1"/>
  <c r="Z41" i="17" s="1"/>
  <c r="L41" i="17"/>
  <c r="N41" i="17" s="1"/>
  <c r="O41" i="17" s="1"/>
  <c r="G41" i="17"/>
  <c r="W40" i="17"/>
  <c r="L40" i="17"/>
  <c r="N40" i="17" s="1"/>
  <c r="O40" i="17" s="1"/>
  <c r="G40" i="17"/>
  <c r="R40" i="17"/>
  <c r="W39" i="17"/>
  <c r="L39" i="17"/>
  <c r="R39" i="17"/>
  <c r="W38" i="17"/>
  <c r="L38" i="17"/>
  <c r="R38" i="17"/>
  <c r="W37" i="17"/>
  <c r="L37" i="17"/>
  <c r="N37" i="17" s="1"/>
  <c r="O37" i="17" s="1"/>
  <c r="G37" i="17"/>
  <c r="W36" i="17"/>
  <c r="L36" i="17"/>
  <c r="G36" i="17"/>
  <c r="R36" i="17"/>
  <c r="W35" i="17"/>
  <c r="Y35" i="17" s="1"/>
  <c r="Z35" i="17" s="1"/>
  <c r="L35" i="17"/>
  <c r="R35" i="17"/>
  <c r="W34" i="17"/>
  <c r="L34" i="17"/>
  <c r="R34" i="17"/>
  <c r="W33" i="17"/>
  <c r="L33" i="17"/>
  <c r="G33" i="17"/>
  <c r="W32" i="17"/>
  <c r="L32" i="17"/>
  <c r="R32" i="17"/>
  <c r="W31" i="17"/>
  <c r="L31" i="17"/>
  <c r="R31" i="17"/>
  <c r="W30" i="17"/>
  <c r="L30" i="17"/>
  <c r="R30" i="17"/>
  <c r="W29" i="17"/>
  <c r="L29" i="17"/>
  <c r="G29" i="17"/>
  <c r="W28" i="17"/>
  <c r="L28" i="17"/>
  <c r="R28" i="17"/>
  <c r="W27" i="17"/>
  <c r="L27" i="17"/>
  <c r="R27" i="17"/>
  <c r="W26" i="17"/>
  <c r="L26" i="17"/>
  <c r="R26" i="17"/>
  <c r="W25" i="17"/>
  <c r="Y25" i="17" s="1"/>
  <c r="Z25" i="17" s="1"/>
  <c r="L25" i="17"/>
  <c r="N25" i="17" s="1"/>
  <c r="O25" i="17" s="1"/>
  <c r="G25" i="17"/>
  <c r="W24" i="17"/>
  <c r="L24" i="17"/>
  <c r="N24" i="17" s="1"/>
  <c r="O24" i="17" s="1"/>
  <c r="G24" i="17"/>
  <c r="R24" i="17"/>
  <c r="W23" i="17"/>
  <c r="L23" i="17"/>
  <c r="R23" i="17"/>
  <c r="W22" i="17"/>
  <c r="L22" i="17"/>
  <c r="R22" i="17"/>
  <c r="W21" i="17"/>
  <c r="L21" i="17"/>
  <c r="G21" i="17"/>
  <c r="W20" i="17"/>
  <c r="L20" i="17"/>
  <c r="R20" i="17"/>
  <c r="W19" i="17"/>
  <c r="L19" i="17"/>
  <c r="G19" i="17"/>
  <c r="W18" i="17"/>
  <c r="Y18" i="17" s="1"/>
  <c r="Z18" i="17" s="1"/>
  <c r="L18" i="17"/>
  <c r="N18" i="17" s="1"/>
  <c r="O18" i="17" s="1"/>
  <c r="G18" i="17"/>
  <c r="R18" i="17"/>
  <c r="W17" i="17"/>
  <c r="L17" i="17"/>
  <c r="G17" i="17"/>
  <c r="W16" i="17"/>
  <c r="L16" i="17"/>
  <c r="R16" i="17"/>
  <c r="W15" i="17"/>
  <c r="L15" i="17"/>
  <c r="G15" i="17"/>
  <c r="W14" i="17"/>
  <c r="L14" i="17"/>
  <c r="N14" i="17" s="1"/>
  <c r="O14" i="17" s="1"/>
  <c r="R14" i="17"/>
  <c r="W13" i="17"/>
  <c r="L13" i="17"/>
  <c r="G13" i="17"/>
  <c r="W12" i="17"/>
  <c r="L12" i="17"/>
  <c r="N12" i="17" s="1"/>
  <c r="O12" i="17" s="1"/>
  <c r="G12" i="17"/>
  <c r="M12" i="17" s="1"/>
  <c r="R12" i="17"/>
  <c r="W11" i="17"/>
  <c r="Y11" i="17" s="1"/>
  <c r="Z11" i="17" s="1"/>
  <c r="R11" i="17"/>
  <c r="L11" i="17"/>
  <c r="G11" i="17"/>
  <c r="W10" i="17"/>
  <c r="L10" i="17"/>
  <c r="R10" i="17"/>
  <c r="W9" i="17"/>
  <c r="L9" i="17"/>
  <c r="G9" i="17"/>
  <c r="W8" i="17"/>
  <c r="L8" i="17"/>
  <c r="R8" i="17"/>
  <c r="W7" i="17"/>
  <c r="R7" i="17"/>
  <c r="L7" i="17"/>
  <c r="G7" i="17"/>
  <c r="W6" i="17"/>
  <c r="Y6" i="17" s="1"/>
  <c r="Z6" i="17" s="1"/>
  <c r="L6" i="17"/>
  <c r="R6" i="17"/>
  <c r="W5" i="17"/>
  <c r="Y5" i="17" s="1"/>
  <c r="Z5" i="17" s="1"/>
  <c r="L5" i="17"/>
  <c r="G5" i="17"/>
  <c r="W4" i="17"/>
  <c r="L4" i="17"/>
  <c r="R4" i="17"/>
  <c r="W42" i="16"/>
  <c r="L42" i="16"/>
  <c r="R42" i="16"/>
  <c r="W41" i="16"/>
  <c r="R41" i="16"/>
  <c r="L41" i="16"/>
  <c r="G41" i="16"/>
  <c r="Y41" i="16"/>
  <c r="Z41" i="16" s="1"/>
  <c r="W40" i="16"/>
  <c r="L40" i="16"/>
  <c r="W39" i="16"/>
  <c r="L39" i="16"/>
  <c r="W38" i="16"/>
  <c r="Y38" i="16" s="1"/>
  <c r="Z38" i="16" s="1"/>
  <c r="L38" i="16"/>
  <c r="R38" i="16"/>
  <c r="W37" i="16"/>
  <c r="Y37" i="16" s="1"/>
  <c r="Z37" i="16" s="1"/>
  <c r="L37" i="16"/>
  <c r="R37" i="16"/>
  <c r="W36" i="16"/>
  <c r="L36" i="16"/>
  <c r="G36" i="16"/>
  <c r="W35" i="16"/>
  <c r="L35" i="16"/>
  <c r="R35" i="16"/>
  <c r="W34" i="16"/>
  <c r="L34" i="16"/>
  <c r="N34" i="16" s="1"/>
  <c r="O34" i="16" s="1"/>
  <c r="G34" i="16"/>
  <c r="W33" i="16"/>
  <c r="Y33" i="16" s="1"/>
  <c r="Z33" i="16" s="1"/>
  <c r="L33" i="16"/>
  <c r="R33" i="16"/>
  <c r="W32" i="16"/>
  <c r="L32" i="16"/>
  <c r="G32" i="16"/>
  <c r="W31" i="16"/>
  <c r="L31" i="16"/>
  <c r="W30" i="16"/>
  <c r="L30" i="16"/>
  <c r="G30" i="16"/>
  <c r="M30" i="16" s="1"/>
  <c r="R30" i="16"/>
  <c r="W29" i="16"/>
  <c r="L29" i="16"/>
  <c r="R29" i="16"/>
  <c r="W28" i="16"/>
  <c r="L28" i="16"/>
  <c r="G28" i="16"/>
  <c r="W27" i="16"/>
  <c r="L27" i="16"/>
  <c r="W26" i="16"/>
  <c r="L26" i="16"/>
  <c r="N26" i="16" s="1"/>
  <c r="O26" i="16" s="1"/>
  <c r="G26" i="16"/>
  <c r="W25" i="16"/>
  <c r="Y25" i="16" s="1"/>
  <c r="Z25" i="16" s="1"/>
  <c r="L25" i="16"/>
  <c r="R25" i="16"/>
  <c r="W24" i="16"/>
  <c r="L24" i="16"/>
  <c r="W23" i="16"/>
  <c r="Y23" i="16" s="1"/>
  <c r="Z23" i="16" s="1"/>
  <c r="L23" i="16"/>
  <c r="R23" i="16"/>
  <c r="W22" i="16"/>
  <c r="L22" i="16"/>
  <c r="G22" i="16"/>
  <c r="R22" i="16"/>
  <c r="W21" i="16"/>
  <c r="Y21" i="16" s="1"/>
  <c r="Z21" i="16" s="1"/>
  <c r="L21" i="16"/>
  <c r="N21" i="16" s="1"/>
  <c r="O21" i="16" s="1"/>
  <c r="G21" i="16"/>
  <c r="W20" i="16"/>
  <c r="L20" i="16"/>
  <c r="G20" i="16"/>
  <c r="W19" i="16"/>
  <c r="L19" i="16"/>
  <c r="R19" i="16"/>
  <c r="W18" i="16"/>
  <c r="L18" i="16"/>
  <c r="G18" i="16"/>
  <c r="R18" i="16"/>
  <c r="W17" i="16"/>
  <c r="L17" i="16"/>
  <c r="N17" i="16" s="1"/>
  <c r="O17" i="16" s="1"/>
  <c r="G17" i="16"/>
  <c r="W16" i="16"/>
  <c r="L16" i="16"/>
  <c r="G16" i="16"/>
  <c r="M16" i="16" s="1"/>
  <c r="N16" i="16"/>
  <c r="O16" i="16" s="1"/>
  <c r="W15" i="16"/>
  <c r="L15" i="16"/>
  <c r="W14" i="16"/>
  <c r="L14" i="16"/>
  <c r="G14" i="16"/>
  <c r="R14" i="16"/>
  <c r="W13" i="16"/>
  <c r="L13" i="16"/>
  <c r="G13" i="16"/>
  <c r="W12" i="16"/>
  <c r="Y12" i="16" s="1"/>
  <c r="Z12" i="16" s="1"/>
  <c r="L12" i="16"/>
  <c r="W11" i="16"/>
  <c r="L11" i="16"/>
  <c r="W10" i="16"/>
  <c r="L10" i="16"/>
  <c r="N10" i="16" s="1"/>
  <c r="O10" i="16" s="1"/>
  <c r="G10" i="16"/>
  <c r="R10" i="16"/>
  <c r="W9" i="16"/>
  <c r="L9" i="16"/>
  <c r="R9" i="16"/>
  <c r="W8" i="16"/>
  <c r="L8" i="16"/>
  <c r="W7" i="16"/>
  <c r="L7" i="16"/>
  <c r="W6" i="16"/>
  <c r="L6" i="16"/>
  <c r="N6" i="16" s="1"/>
  <c r="O6" i="16" s="1"/>
  <c r="G6" i="16"/>
  <c r="W5" i="16"/>
  <c r="Y5" i="16" s="1"/>
  <c r="Z5" i="16" s="1"/>
  <c r="L5" i="16"/>
  <c r="R5" i="16"/>
  <c r="X5" i="16" s="1"/>
  <c r="W4" i="16"/>
  <c r="Y4" i="16" s="1"/>
  <c r="Z4" i="16" s="1"/>
  <c r="L4" i="16"/>
  <c r="G4" i="16"/>
  <c r="W42" i="15"/>
  <c r="R42" i="15"/>
  <c r="L42" i="15"/>
  <c r="F42" i="15"/>
  <c r="N42" i="15" s="1"/>
  <c r="O42" i="15" s="1"/>
  <c r="W41" i="15"/>
  <c r="Y41" i="15" s="1"/>
  <c r="Z41" i="15" s="1"/>
  <c r="R41" i="15"/>
  <c r="L41" i="15"/>
  <c r="G41" i="15"/>
  <c r="F41" i="15"/>
  <c r="Y40" i="15"/>
  <c r="Z40" i="15" s="1"/>
  <c r="W40" i="15"/>
  <c r="R40" i="15"/>
  <c r="X40" i="15" s="1"/>
  <c r="L40" i="15"/>
  <c r="N40" i="15" s="1"/>
  <c r="O40" i="15" s="1"/>
  <c r="G40" i="15"/>
  <c r="F40" i="15"/>
  <c r="Y39" i="15"/>
  <c r="Z39" i="15" s="1"/>
  <c r="W39" i="15"/>
  <c r="R39" i="15"/>
  <c r="X39" i="15" s="1"/>
  <c r="N39" i="15"/>
  <c r="O39" i="15" s="1"/>
  <c r="L39" i="15"/>
  <c r="F39" i="15"/>
  <c r="G39" i="15" s="1"/>
  <c r="M39" i="15" s="1"/>
  <c r="W38" i="15"/>
  <c r="R38" i="15"/>
  <c r="L38" i="15"/>
  <c r="F38" i="15"/>
  <c r="N38" i="15" s="1"/>
  <c r="O38" i="15" s="1"/>
  <c r="W37" i="15"/>
  <c r="Y37" i="15" s="1"/>
  <c r="Z37" i="15" s="1"/>
  <c r="R37" i="15"/>
  <c r="L37" i="15"/>
  <c r="G37" i="15"/>
  <c r="F37" i="15"/>
  <c r="Y36" i="15"/>
  <c r="Z36" i="15" s="1"/>
  <c r="W36" i="15"/>
  <c r="R36" i="15"/>
  <c r="X36" i="15" s="1"/>
  <c r="O36" i="15"/>
  <c r="L36" i="15"/>
  <c r="N36" i="15" s="1"/>
  <c r="G36" i="15"/>
  <c r="F36" i="15"/>
  <c r="Y35" i="15"/>
  <c r="Z35" i="15" s="1"/>
  <c r="X35" i="15"/>
  <c r="W35" i="15"/>
  <c r="R35" i="15"/>
  <c r="N35" i="15"/>
  <c r="O35" i="15" s="1"/>
  <c r="L35" i="15"/>
  <c r="F35" i="15"/>
  <c r="G35" i="15" s="1"/>
  <c r="M35" i="15" s="1"/>
  <c r="W34" i="15"/>
  <c r="R34" i="15"/>
  <c r="L34" i="15"/>
  <c r="F34" i="15"/>
  <c r="N34" i="15" s="1"/>
  <c r="O34" i="15" s="1"/>
  <c r="Z33" i="15"/>
  <c r="W33" i="15"/>
  <c r="Y33" i="15" s="1"/>
  <c r="R33" i="15"/>
  <c r="L33" i="15"/>
  <c r="G33" i="15"/>
  <c r="F33" i="15"/>
  <c r="Y32" i="15"/>
  <c r="Z32" i="15" s="1"/>
  <c r="W32" i="15"/>
  <c r="R32" i="15"/>
  <c r="X32" i="15" s="1"/>
  <c r="L32" i="15"/>
  <c r="N32" i="15" s="1"/>
  <c r="O32" i="15" s="1"/>
  <c r="G32" i="15"/>
  <c r="F32" i="15"/>
  <c r="Y31" i="15"/>
  <c r="Z31" i="15" s="1"/>
  <c r="W31" i="15"/>
  <c r="R31" i="15"/>
  <c r="X31" i="15" s="1"/>
  <c r="L31" i="15"/>
  <c r="F31" i="15"/>
  <c r="G31" i="15" s="1"/>
  <c r="W30" i="15"/>
  <c r="R30" i="15"/>
  <c r="L30" i="15"/>
  <c r="F30" i="15"/>
  <c r="N30" i="15" s="1"/>
  <c r="O30" i="15" s="1"/>
  <c r="W29" i="15"/>
  <c r="Y29" i="15" s="1"/>
  <c r="Z29" i="15" s="1"/>
  <c r="R29" i="15"/>
  <c r="L29" i="15"/>
  <c r="G29" i="15"/>
  <c r="F29" i="15"/>
  <c r="Y28" i="15"/>
  <c r="Z28" i="15" s="1"/>
  <c r="W28" i="15"/>
  <c r="R28" i="15"/>
  <c r="X28" i="15" s="1"/>
  <c r="L28" i="15"/>
  <c r="N28" i="15" s="1"/>
  <c r="O28" i="15" s="1"/>
  <c r="G28" i="15"/>
  <c r="F28" i="15"/>
  <c r="Y27" i="15"/>
  <c r="Z27" i="15" s="1"/>
  <c r="X27" i="15"/>
  <c r="W27" i="15"/>
  <c r="R27" i="15"/>
  <c r="L27" i="15"/>
  <c r="F27" i="15"/>
  <c r="G27" i="15" s="1"/>
  <c r="W26" i="15"/>
  <c r="R26" i="15"/>
  <c r="L26" i="15"/>
  <c r="F26" i="15"/>
  <c r="N26" i="15" s="1"/>
  <c r="O26" i="15" s="1"/>
  <c r="W25" i="15"/>
  <c r="Y25" i="15" s="1"/>
  <c r="Z25" i="15" s="1"/>
  <c r="R25" i="15"/>
  <c r="L25" i="15"/>
  <c r="G25" i="15"/>
  <c r="F25" i="15"/>
  <c r="Y24" i="15"/>
  <c r="Z24" i="15" s="1"/>
  <c r="W24" i="15"/>
  <c r="R24" i="15"/>
  <c r="X24" i="15" s="1"/>
  <c r="L24" i="15"/>
  <c r="N24" i="15" s="1"/>
  <c r="O24" i="15" s="1"/>
  <c r="G24" i="15"/>
  <c r="F24" i="15"/>
  <c r="Y23" i="15"/>
  <c r="Z23" i="15" s="1"/>
  <c r="W23" i="15"/>
  <c r="R23" i="15"/>
  <c r="X23" i="15" s="1"/>
  <c r="N23" i="15"/>
  <c r="O23" i="15" s="1"/>
  <c r="L23" i="15"/>
  <c r="F23" i="15"/>
  <c r="G23" i="15" s="1"/>
  <c r="W22" i="15"/>
  <c r="R22" i="15"/>
  <c r="L22" i="15"/>
  <c r="F22" i="15"/>
  <c r="W21" i="15"/>
  <c r="R21" i="15"/>
  <c r="L21" i="15"/>
  <c r="N21" i="15" s="1"/>
  <c r="O21" i="15" s="1"/>
  <c r="G21" i="15"/>
  <c r="F21" i="15"/>
  <c r="Y20" i="15"/>
  <c r="Z20" i="15" s="1"/>
  <c r="W20" i="15"/>
  <c r="R20" i="15"/>
  <c r="X20" i="15" s="1"/>
  <c r="L20" i="15"/>
  <c r="G20" i="15"/>
  <c r="F20" i="15"/>
  <c r="Y19" i="15"/>
  <c r="Z19" i="15" s="1"/>
  <c r="X19" i="15"/>
  <c r="W19" i="15"/>
  <c r="R19" i="15"/>
  <c r="N19" i="15"/>
  <c r="O19" i="15" s="1"/>
  <c r="L19" i="15"/>
  <c r="F19" i="15"/>
  <c r="G19" i="15" s="1"/>
  <c r="W18" i="15"/>
  <c r="Y18" i="15" s="1"/>
  <c r="Z18" i="15" s="1"/>
  <c r="R18" i="15"/>
  <c r="N18" i="15"/>
  <c r="O18" i="15" s="1"/>
  <c r="M18" i="15"/>
  <c r="L18" i="15"/>
  <c r="F18" i="15"/>
  <c r="G18" i="15" s="1"/>
  <c r="W17" i="15"/>
  <c r="R17" i="15"/>
  <c r="L17" i="15"/>
  <c r="N17" i="15" s="1"/>
  <c r="O17" i="15" s="1"/>
  <c r="G17" i="15"/>
  <c r="F17" i="15"/>
  <c r="Y16" i="15"/>
  <c r="Z16" i="15" s="1"/>
  <c r="W16" i="15"/>
  <c r="R16" i="15"/>
  <c r="X16" i="15" s="1"/>
  <c r="L16" i="15"/>
  <c r="G16" i="15"/>
  <c r="F16" i="15"/>
  <c r="Y15" i="15"/>
  <c r="Z15" i="15" s="1"/>
  <c r="W15" i="15"/>
  <c r="R15" i="15"/>
  <c r="X15" i="15" s="1"/>
  <c r="N15" i="15"/>
  <c r="O15" i="15" s="1"/>
  <c r="L15" i="15"/>
  <c r="G15" i="15"/>
  <c r="M15" i="15" s="1"/>
  <c r="F15" i="15"/>
  <c r="W14" i="15"/>
  <c r="Y14" i="15" s="1"/>
  <c r="Z14" i="15" s="1"/>
  <c r="R14" i="15"/>
  <c r="L14" i="15"/>
  <c r="F14" i="15"/>
  <c r="G14" i="15" s="1"/>
  <c r="M14" i="15" s="1"/>
  <c r="W13" i="15"/>
  <c r="R13" i="15"/>
  <c r="M13" i="15"/>
  <c r="L13" i="15"/>
  <c r="N13" i="15" s="1"/>
  <c r="O13" i="15" s="1"/>
  <c r="G13" i="15"/>
  <c r="F13" i="15"/>
  <c r="Z12" i="15"/>
  <c r="Y12" i="15"/>
  <c r="W12" i="15"/>
  <c r="R12" i="15"/>
  <c r="X12" i="15" s="1"/>
  <c r="L12" i="15"/>
  <c r="G12" i="15"/>
  <c r="F12" i="15"/>
  <c r="Y11" i="15"/>
  <c r="Z11" i="15" s="1"/>
  <c r="X11" i="15"/>
  <c r="W11" i="15"/>
  <c r="R11" i="15"/>
  <c r="L11" i="15"/>
  <c r="F11" i="15"/>
  <c r="N11" i="15" s="1"/>
  <c r="O11" i="15" s="1"/>
  <c r="W10" i="15"/>
  <c r="Y10" i="15" s="1"/>
  <c r="Z10" i="15" s="1"/>
  <c r="R10" i="15"/>
  <c r="N10" i="15"/>
  <c r="O10" i="15" s="1"/>
  <c r="L10" i="15"/>
  <c r="F10" i="15"/>
  <c r="G10" i="15" s="1"/>
  <c r="M10" i="15" s="1"/>
  <c r="W9" i="15"/>
  <c r="R9" i="15"/>
  <c r="L9" i="15"/>
  <c r="N9" i="15" s="1"/>
  <c r="O9" i="15" s="1"/>
  <c r="G9" i="15"/>
  <c r="F9" i="15"/>
  <c r="Y8" i="15"/>
  <c r="Z8" i="15" s="1"/>
  <c r="W8" i="15"/>
  <c r="R8" i="15"/>
  <c r="X8" i="15" s="1"/>
  <c r="L8" i="15"/>
  <c r="G8" i="15"/>
  <c r="F8" i="15"/>
  <c r="Y7" i="15"/>
  <c r="Z7" i="15" s="1"/>
  <c r="W7" i="15"/>
  <c r="R7" i="15"/>
  <c r="X7" i="15" s="1"/>
  <c r="N7" i="15"/>
  <c r="O7" i="15" s="1"/>
  <c r="L7" i="15"/>
  <c r="F7" i="15"/>
  <c r="G7" i="15" s="1"/>
  <c r="M7" i="15" s="1"/>
  <c r="X6" i="15"/>
  <c r="W6" i="15"/>
  <c r="Y6" i="15" s="1"/>
  <c r="Z6" i="15" s="1"/>
  <c r="R6" i="15"/>
  <c r="N6" i="15"/>
  <c r="O6" i="15" s="1"/>
  <c r="M6" i="15"/>
  <c r="L6" i="15"/>
  <c r="F6" i="15"/>
  <c r="G6" i="15" s="1"/>
  <c r="W5" i="15"/>
  <c r="R5" i="15"/>
  <c r="L5" i="15"/>
  <c r="N5" i="15" s="1"/>
  <c r="O5" i="15" s="1"/>
  <c r="G5" i="15"/>
  <c r="F5" i="15"/>
  <c r="Y4" i="15"/>
  <c r="Z4" i="15" s="1"/>
  <c r="W4" i="15"/>
  <c r="R4" i="15"/>
  <c r="X4" i="15" s="1"/>
  <c r="L4" i="15"/>
  <c r="G4" i="15"/>
  <c r="F4" i="15"/>
  <c r="W42" i="14"/>
  <c r="R42" i="14"/>
  <c r="M42" i="14"/>
  <c r="L42" i="14"/>
  <c r="F42" i="14"/>
  <c r="G42" i="14" s="1"/>
  <c r="W41" i="14"/>
  <c r="Y41" i="14" s="1"/>
  <c r="Z41" i="14" s="1"/>
  <c r="R41" i="14"/>
  <c r="L41" i="14"/>
  <c r="G41" i="14"/>
  <c r="F41" i="14"/>
  <c r="Y40" i="14"/>
  <c r="Z40" i="14" s="1"/>
  <c r="W40" i="14"/>
  <c r="R40" i="14"/>
  <c r="X40" i="14" s="1"/>
  <c r="L40" i="14"/>
  <c r="N40" i="14" s="1"/>
  <c r="O40" i="14" s="1"/>
  <c r="G40" i="14"/>
  <c r="F40" i="14"/>
  <c r="Y39" i="14"/>
  <c r="Z39" i="14" s="1"/>
  <c r="X39" i="14"/>
  <c r="W39" i="14"/>
  <c r="R39" i="14"/>
  <c r="N39" i="14"/>
  <c r="O39" i="14" s="1"/>
  <c r="L39" i="14"/>
  <c r="F39" i="14"/>
  <c r="G39" i="14" s="1"/>
  <c r="M39" i="14" s="1"/>
  <c r="W38" i="14"/>
  <c r="R38" i="14"/>
  <c r="L38" i="14"/>
  <c r="F38" i="14"/>
  <c r="N38" i="14" s="1"/>
  <c r="O38" i="14" s="1"/>
  <c r="W37" i="14"/>
  <c r="Y37" i="14" s="1"/>
  <c r="Z37" i="14" s="1"/>
  <c r="R37" i="14"/>
  <c r="L37" i="14"/>
  <c r="G37" i="14"/>
  <c r="F37" i="14"/>
  <c r="Y36" i="14"/>
  <c r="Z36" i="14" s="1"/>
  <c r="W36" i="14"/>
  <c r="R36" i="14"/>
  <c r="X36" i="14" s="1"/>
  <c r="O36" i="14"/>
  <c r="L36" i="14"/>
  <c r="N36" i="14" s="1"/>
  <c r="G36" i="14"/>
  <c r="F36" i="14"/>
  <c r="Y35" i="14"/>
  <c r="Z35" i="14" s="1"/>
  <c r="W35" i="14"/>
  <c r="R35" i="14"/>
  <c r="X35" i="14" s="1"/>
  <c r="N35" i="14"/>
  <c r="O35" i="14" s="1"/>
  <c r="L35" i="14"/>
  <c r="M35" i="14" s="1"/>
  <c r="F35" i="14"/>
  <c r="G35" i="14" s="1"/>
  <c r="W34" i="14"/>
  <c r="R34" i="14"/>
  <c r="L34" i="14"/>
  <c r="F34" i="14"/>
  <c r="N34" i="14" s="1"/>
  <c r="O34" i="14" s="1"/>
  <c r="Z33" i="14"/>
  <c r="W33" i="14"/>
  <c r="Y33" i="14" s="1"/>
  <c r="R33" i="14"/>
  <c r="L33" i="14"/>
  <c r="G33" i="14"/>
  <c r="F33" i="14"/>
  <c r="Y32" i="14"/>
  <c r="Z32" i="14" s="1"/>
  <c r="W32" i="14"/>
  <c r="R32" i="14"/>
  <c r="X32" i="14" s="1"/>
  <c r="O32" i="14"/>
  <c r="L32" i="14"/>
  <c r="N32" i="14" s="1"/>
  <c r="G32" i="14"/>
  <c r="F32" i="14"/>
  <c r="Y31" i="14"/>
  <c r="Z31" i="14" s="1"/>
  <c r="W31" i="14"/>
  <c r="R31" i="14"/>
  <c r="X31" i="14" s="1"/>
  <c r="L31" i="14"/>
  <c r="F31" i="14"/>
  <c r="G31" i="14" s="1"/>
  <c r="M31" i="14" s="1"/>
  <c r="W30" i="14"/>
  <c r="R30" i="14"/>
  <c r="L30" i="14"/>
  <c r="F30" i="14"/>
  <c r="G30" i="14" s="1"/>
  <c r="M30" i="14" s="1"/>
  <c r="Z29" i="14"/>
  <c r="W29" i="14"/>
  <c r="Y29" i="14" s="1"/>
  <c r="R29" i="14"/>
  <c r="L29" i="14"/>
  <c r="G29" i="14"/>
  <c r="F29" i="14"/>
  <c r="Y28" i="14"/>
  <c r="Z28" i="14" s="1"/>
  <c r="W28" i="14"/>
  <c r="R28" i="14"/>
  <c r="X28" i="14" s="1"/>
  <c r="L28" i="14"/>
  <c r="N28" i="14" s="1"/>
  <c r="O28" i="14" s="1"/>
  <c r="G28" i="14"/>
  <c r="F28" i="14"/>
  <c r="Y27" i="14"/>
  <c r="Z27" i="14" s="1"/>
  <c r="X27" i="14"/>
  <c r="W27" i="14"/>
  <c r="R27" i="14"/>
  <c r="L27" i="14"/>
  <c r="F27" i="14"/>
  <c r="G27" i="14" s="1"/>
  <c r="W26" i="14"/>
  <c r="R26" i="14"/>
  <c r="L26" i="14"/>
  <c r="F26" i="14"/>
  <c r="N26" i="14" s="1"/>
  <c r="O26" i="14" s="1"/>
  <c r="W25" i="14"/>
  <c r="Y25" i="14" s="1"/>
  <c r="Z25" i="14" s="1"/>
  <c r="R25" i="14"/>
  <c r="L25" i="14"/>
  <c r="G25" i="14"/>
  <c r="F25" i="14"/>
  <c r="Y24" i="14"/>
  <c r="Z24" i="14" s="1"/>
  <c r="W24" i="14"/>
  <c r="R24" i="14"/>
  <c r="X24" i="14" s="1"/>
  <c r="L24" i="14"/>
  <c r="N24" i="14" s="1"/>
  <c r="O24" i="14" s="1"/>
  <c r="G24" i="14"/>
  <c r="F24" i="14"/>
  <c r="Y23" i="14"/>
  <c r="Z23" i="14" s="1"/>
  <c r="W23" i="14"/>
  <c r="R23" i="14"/>
  <c r="X23" i="14" s="1"/>
  <c r="N23" i="14"/>
  <c r="O23" i="14" s="1"/>
  <c r="L23" i="14"/>
  <c r="F23" i="14"/>
  <c r="G23" i="14" s="1"/>
  <c r="W22" i="14"/>
  <c r="R22" i="14"/>
  <c r="M22" i="14"/>
  <c r="L22" i="14"/>
  <c r="F22" i="14"/>
  <c r="G22" i="14" s="1"/>
  <c r="W21" i="14"/>
  <c r="R21" i="14"/>
  <c r="L21" i="14"/>
  <c r="N21" i="14" s="1"/>
  <c r="O21" i="14" s="1"/>
  <c r="G21" i="14"/>
  <c r="F21" i="14"/>
  <c r="Y20" i="14"/>
  <c r="Z20" i="14" s="1"/>
  <c r="W20" i="14"/>
  <c r="X20" i="14" s="1"/>
  <c r="R20" i="14"/>
  <c r="L20" i="14"/>
  <c r="G20" i="14"/>
  <c r="F20" i="14"/>
  <c r="Y19" i="14"/>
  <c r="Z19" i="14" s="1"/>
  <c r="X19" i="14"/>
  <c r="W19" i="14"/>
  <c r="R19" i="14"/>
  <c r="N19" i="14"/>
  <c r="O19" i="14" s="1"/>
  <c r="L19" i="14"/>
  <c r="M19" i="14" s="1"/>
  <c r="G19" i="14"/>
  <c r="F19" i="14"/>
  <c r="W18" i="14"/>
  <c r="Y18" i="14" s="1"/>
  <c r="Z18" i="14" s="1"/>
  <c r="R18" i="14"/>
  <c r="M18" i="14"/>
  <c r="L18" i="14"/>
  <c r="F18" i="14"/>
  <c r="G18" i="14" s="1"/>
  <c r="W17" i="14"/>
  <c r="R17" i="14"/>
  <c r="L17" i="14"/>
  <c r="N17" i="14" s="1"/>
  <c r="O17" i="14" s="1"/>
  <c r="G17" i="14"/>
  <c r="M17" i="14" s="1"/>
  <c r="F17" i="14"/>
  <c r="Z16" i="14"/>
  <c r="Y16" i="14"/>
  <c r="W16" i="14"/>
  <c r="R16" i="14"/>
  <c r="L16" i="14"/>
  <c r="G16" i="14"/>
  <c r="F16" i="14"/>
  <c r="Y15" i="14"/>
  <c r="Z15" i="14" s="1"/>
  <c r="X15" i="14"/>
  <c r="W15" i="14"/>
  <c r="R15" i="14"/>
  <c r="L15" i="14"/>
  <c r="G15" i="14"/>
  <c r="F15" i="14"/>
  <c r="N15" i="14" s="1"/>
  <c r="O15" i="14" s="1"/>
  <c r="W14" i="14"/>
  <c r="Y14" i="14" s="1"/>
  <c r="Z14" i="14" s="1"/>
  <c r="R14" i="14"/>
  <c r="L14" i="14"/>
  <c r="F14" i="14"/>
  <c r="G14" i="14" s="1"/>
  <c r="M14" i="14" s="1"/>
  <c r="W13" i="14"/>
  <c r="R13" i="14"/>
  <c r="L13" i="14"/>
  <c r="N13" i="14" s="1"/>
  <c r="O13" i="14" s="1"/>
  <c r="G13" i="14"/>
  <c r="M13" i="14" s="1"/>
  <c r="F13" i="14"/>
  <c r="Z12" i="14"/>
  <c r="Y12" i="14"/>
  <c r="W12" i="14"/>
  <c r="R12" i="14"/>
  <c r="X12" i="14" s="1"/>
  <c r="L12" i="14"/>
  <c r="G12" i="14"/>
  <c r="F12" i="14"/>
  <c r="Y11" i="14"/>
  <c r="Z11" i="14" s="1"/>
  <c r="X11" i="14"/>
  <c r="W11" i="14"/>
  <c r="R11" i="14"/>
  <c r="L11" i="14"/>
  <c r="F11" i="14"/>
  <c r="N11" i="14" s="1"/>
  <c r="O11" i="14" s="1"/>
  <c r="X10" i="14"/>
  <c r="W10" i="14"/>
  <c r="Y10" i="14" s="1"/>
  <c r="Z10" i="14" s="1"/>
  <c r="R10" i="14"/>
  <c r="N10" i="14"/>
  <c r="O10" i="14" s="1"/>
  <c r="L10" i="14"/>
  <c r="F10" i="14"/>
  <c r="G10" i="14" s="1"/>
  <c r="M10" i="14" s="1"/>
  <c r="W9" i="14"/>
  <c r="R9" i="14"/>
  <c r="L9" i="14"/>
  <c r="N9" i="14" s="1"/>
  <c r="O9" i="14" s="1"/>
  <c r="G9" i="14"/>
  <c r="F9" i="14"/>
  <c r="Y8" i="14"/>
  <c r="Z8" i="14" s="1"/>
  <c r="W8" i="14"/>
  <c r="R8" i="14"/>
  <c r="X8" i="14" s="1"/>
  <c r="L8" i="14"/>
  <c r="G8" i="14"/>
  <c r="F8" i="14"/>
  <c r="Y7" i="14"/>
  <c r="Z7" i="14" s="1"/>
  <c r="W7" i="14"/>
  <c r="R7" i="14"/>
  <c r="X7" i="14" s="1"/>
  <c r="N7" i="14"/>
  <c r="O7" i="14" s="1"/>
  <c r="L7" i="14"/>
  <c r="F7" i="14"/>
  <c r="G7" i="14" s="1"/>
  <c r="X6" i="14"/>
  <c r="W6" i="14"/>
  <c r="Y6" i="14" s="1"/>
  <c r="Z6" i="14" s="1"/>
  <c r="R6" i="14"/>
  <c r="N6" i="14"/>
  <c r="O6" i="14" s="1"/>
  <c r="M6" i="14"/>
  <c r="L6" i="14"/>
  <c r="F6" i="14"/>
  <c r="G6" i="14" s="1"/>
  <c r="W5" i="14"/>
  <c r="R5" i="14"/>
  <c r="L5" i="14"/>
  <c r="N5" i="14" s="1"/>
  <c r="O5" i="14" s="1"/>
  <c r="G5" i="14"/>
  <c r="F5" i="14"/>
  <c r="Y4" i="14"/>
  <c r="Z4" i="14" s="1"/>
  <c r="W4" i="14"/>
  <c r="R4" i="14"/>
  <c r="L4" i="14"/>
  <c r="G4" i="14"/>
  <c r="F4" i="14"/>
  <c r="W42" i="13"/>
  <c r="Y42" i="13" s="1"/>
  <c r="Z42" i="13" s="1"/>
  <c r="R42" i="13"/>
  <c r="L42" i="13"/>
  <c r="N42" i="13" s="1"/>
  <c r="O42" i="13" s="1"/>
  <c r="F42" i="13"/>
  <c r="G42" i="13" s="1"/>
  <c r="M42" i="13" s="1"/>
  <c r="Z41" i="13"/>
  <c r="Y41" i="13"/>
  <c r="W41" i="13"/>
  <c r="R41" i="13"/>
  <c r="L41" i="13"/>
  <c r="N41" i="13" s="1"/>
  <c r="O41" i="13" s="1"/>
  <c r="G41" i="13"/>
  <c r="F41" i="13"/>
  <c r="Y40" i="13"/>
  <c r="Z40" i="13" s="1"/>
  <c r="W40" i="13"/>
  <c r="R40" i="13"/>
  <c r="X40" i="13" s="1"/>
  <c r="L40" i="13"/>
  <c r="M40" i="13" s="1"/>
  <c r="G40" i="13"/>
  <c r="F40" i="13"/>
  <c r="N40" i="13" s="1"/>
  <c r="O40" i="13" s="1"/>
  <c r="W39" i="13"/>
  <c r="Y39" i="13" s="1"/>
  <c r="Z39" i="13" s="1"/>
  <c r="R39" i="13"/>
  <c r="X39" i="13" s="1"/>
  <c r="L39" i="13"/>
  <c r="F39" i="13"/>
  <c r="G39" i="13" s="1"/>
  <c r="M39" i="13" s="1"/>
  <c r="W38" i="13"/>
  <c r="Y38" i="13" s="1"/>
  <c r="Z38" i="13" s="1"/>
  <c r="R38" i="13"/>
  <c r="L38" i="13"/>
  <c r="N38" i="13" s="1"/>
  <c r="O38" i="13" s="1"/>
  <c r="G38" i="13"/>
  <c r="M38" i="13" s="1"/>
  <c r="F38" i="13"/>
  <c r="Z37" i="13"/>
  <c r="Y37" i="13"/>
  <c r="W37" i="13"/>
  <c r="R37" i="13"/>
  <c r="X37" i="13" s="1"/>
  <c r="L37" i="13"/>
  <c r="N37" i="13" s="1"/>
  <c r="O37" i="13" s="1"/>
  <c r="G37" i="13"/>
  <c r="F37" i="13"/>
  <c r="Y36" i="13"/>
  <c r="Z36" i="13" s="1"/>
  <c r="X36" i="13"/>
  <c r="W36" i="13"/>
  <c r="R36" i="13"/>
  <c r="L36" i="13"/>
  <c r="G36" i="13"/>
  <c r="F36" i="13"/>
  <c r="N36" i="13" s="1"/>
  <c r="O36" i="13" s="1"/>
  <c r="W35" i="13"/>
  <c r="Y35" i="13" s="1"/>
  <c r="Z35" i="13" s="1"/>
  <c r="R35" i="13"/>
  <c r="X35" i="13" s="1"/>
  <c r="L35" i="13"/>
  <c r="F35" i="13"/>
  <c r="N35" i="13" s="1"/>
  <c r="O35" i="13" s="1"/>
  <c r="W34" i="13"/>
  <c r="Y34" i="13" s="1"/>
  <c r="Z34" i="13" s="1"/>
  <c r="R34" i="13"/>
  <c r="M34" i="13"/>
  <c r="L34" i="13"/>
  <c r="N34" i="13" s="1"/>
  <c r="O34" i="13" s="1"/>
  <c r="G34" i="13"/>
  <c r="F34" i="13"/>
  <c r="Z33" i="13"/>
  <c r="Y33" i="13"/>
  <c r="W33" i="13"/>
  <c r="R33" i="13"/>
  <c r="X33" i="13" s="1"/>
  <c r="L33" i="13"/>
  <c r="N33" i="13" s="1"/>
  <c r="O33" i="13" s="1"/>
  <c r="G33" i="13"/>
  <c r="F33" i="13"/>
  <c r="Y32" i="13"/>
  <c r="Z32" i="13" s="1"/>
  <c r="X32" i="13"/>
  <c r="W32" i="13"/>
  <c r="R32" i="13"/>
  <c r="L32" i="13"/>
  <c r="G32" i="13"/>
  <c r="F32" i="13"/>
  <c r="N32" i="13" s="1"/>
  <c r="O32" i="13" s="1"/>
  <c r="W31" i="13"/>
  <c r="Y31" i="13" s="1"/>
  <c r="Z31" i="13" s="1"/>
  <c r="R31" i="13"/>
  <c r="X31" i="13" s="1"/>
  <c r="L31" i="13"/>
  <c r="F31" i="13"/>
  <c r="G31" i="13" s="1"/>
  <c r="M31" i="13" s="1"/>
  <c r="W30" i="13"/>
  <c r="Y30" i="13" s="1"/>
  <c r="Z30" i="13" s="1"/>
  <c r="R30" i="13"/>
  <c r="M30" i="13"/>
  <c r="L30" i="13"/>
  <c r="N30" i="13" s="1"/>
  <c r="O30" i="13" s="1"/>
  <c r="G30" i="13"/>
  <c r="F30" i="13"/>
  <c r="Z29" i="13"/>
  <c r="Y29" i="13"/>
  <c r="W29" i="13"/>
  <c r="R29" i="13"/>
  <c r="X29" i="13" s="1"/>
  <c r="L29" i="13"/>
  <c r="N29" i="13" s="1"/>
  <c r="O29" i="13" s="1"/>
  <c r="G29" i="13"/>
  <c r="F29" i="13"/>
  <c r="Y28" i="13"/>
  <c r="Z28" i="13" s="1"/>
  <c r="W28" i="13"/>
  <c r="R28" i="13"/>
  <c r="X28" i="13" s="1"/>
  <c r="L28" i="13"/>
  <c r="G28" i="13"/>
  <c r="M28" i="13" s="1"/>
  <c r="F28" i="13"/>
  <c r="N28" i="13" s="1"/>
  <c r="O28" i="13" s="1"/>
  <c r="W27" i="13"/>
  <c r="Y27" i="13" s="1"/>
  <c r="Z27" i="13" s="1"/>
  <c r="R27" i="13"/>
  <c r="X27" i="13" s="1"/>
  <c r="L27" i="13"/>
  <c r="F27" i="13"/>
  <c r="G27" i="13" s="1"/>
  <c r="M27" i="13" s="1"/>
  <c r="W26" i="13"/>
  <c r="Y26" i="13" s="1"/>
  <c r="Z26" i="13" s="1"/>
  <c r="R26" i="13"/>
  <c r="L26" i="13"/>
  <c r="N26" i="13" s="1"/>
  <c r="O26" i="13" s="1"/>
  <c r="G26" i="13"/>
  <c r="M26" i="13" s="1"/>
  <c r="F26" i="13"/>
  <c r="Z25" i="13"/>
  <c r="Y25" i="13"/>
  <c r="W25" i="13"/>
  <c r="R25" i="13"/>
  <c r="L25" i="13"/>
  <c r="N25" i="13" s="1"/>
  <c r="O25" i="13" s="1"/>
  <c r="G25" i="13"/>
  <c r="F25" i="13"/>
  <c r="Y24" i="13"/>
  <c r="Z24" i="13" s="1"/>
  <c r="W24" i="13"/>
  <c r="R24" i="13"/>
  <c r="X24" i="13" s="1"/>
  <c r="L24" i="13"/>
  <c r="M24" i="13" s="1"/>
  <c r="G24" i="13"/>
  <c r="F24" i="13"/>
  <c r="N24" i="13" s="1"/>
  <c r="O24" i="13" s="1"/>
  <c r="X23" i="13"/>
  <c r="W23" i="13"/>
  <c r="Y23" i="13" s="1"/>
  <c r="Z23" i="13" s="1"/>
  <c r="R23" i="13"/>
  <c r="L23" i="13"/>
  <c r="F23" i="13"/>
  <c r="N23" i="13" s="1"/>
  <c r="O23" i="13" s="1"/>
  <c r="W22" i="13"/>
  <c r="Y22" i="13" s="1"/>
  <c r="Z22" i="13" s="1"/>
  <c r="R22" i="13"/>
  <c r="L22" i="13"/>
  <c r="N22" i="13" s="1"/>
  <c r="O22" i="13" s="1"/>
  <c r="G22" i="13"/>
  <c r="M22" i="13" s="1"/>
  <c r="F22" i="13"/>
  <c r="Z21" i="13"/>
  <c r="Y21" i="13"/>
  <c r="W21" i="13"/>
  <c r="R21" i="13"/>
  <c r="L21" i="13"/>
  <c r="N21" i="13" s="1"/>
  <c r="O21" i="13" s="1"/>
  <c r="G21" i="13"/>
  <c r="F21" i="13"/>
  <c r="Y20" i="13"/>
  <c r="Z20" i="13" s="1"/>
  <c r="W20" i="13"/>
  <c r="R20" i="13"/>
  <c r="X20" i="13" s="1"/>
  <c r="L20" i="13"/>
  <c r="G20" i="13"/>
  <c r="F20" i="13"/>
  <c r="N20" i="13" s="1"/>
  <c r="O20" i="13" s="1"/>
  <c r="X19" i="13"/>
  <c r="W19" i="13"/>
  <c r="Y19" i="13" s="1"/>
  <c r="Z19" i="13" s="1"/>
  <c r="R19" i="13"/>
  <c r="L19" i="13"/>
  <c r="F19" i="13"/>
  <c r="N19" i="13" s="1"/>
  <c r="O19" i="13" s="1"/>
  <c r="W18" i="13"/>
  <c r="Y18" i="13" s="1"/>
  <c r="Z18" i="13" s="1"/>
  <c r="R18" i="13"/>
  <c r="L18" i="13"/>
  <c r="N18" i="13" s="1"/>
  <c r="O18" i="13" s="1"/>
  <c r="F18" i="13"/>
  <c r="G18" i="13" s="1"/>
  <c r="M18" i="13" s="1"/>
  <c r="Z17" i="13"/>
  <c r="Y17" i="13"/>
  <c r="W17" i="13"/>
  <c r="R17" i="13"/>
  <c r="L17" i="13"/>
  <c r="N17" i="13" s="1"/>
  <c r="O17" i="13" s="1"/>
  <c r="G17" i="13"/>
  <c r="F17" i="13"/>
  <c r="Y16" i="13"/>
  <c r="Z16" i="13" s="1"/>
  <c r="X16" i="13"/>
  <c r="W16" i="13"/>
  <c r="R16" i="13"/>
  <c r="L16" i="13"/>
  <c r="M16" i="13" s="1"/>
  <c r="G16" i="13"/>
  <c r="F16" i="13"/>
  <c r="N16" i="13" s="1"/>
  <c r="O16" i="13" s="1"/>
  <c r="W15" i="13"/>
  <c r="Y15" i="13" s="1"/>
  <c r="Z15" i="13" s="1"/>
  <c r="R15" i="13"/>
  <c r="X15" i="13" s="1"/>
  <c r="L15" i="13"/>
  <c r="F15" i="13"/>
  <c r="N15" i="13" s="1"/>
  <c r="O15" i="13" s="1"/>
  <c r="W14" i="13"/>
  <c r="Y14" i="13" s="1"/>
  <c r="Z14" i="13" s="1"/>
  <c r="R14" i="13"/>
  <c r="L14" i="13"/>
  <c r="N14" i="13" s="1"/>
  <c r="O14" i="13" s="1"/>
  <c r="G14" i="13"/>
  <c r="M14" i="13" s="1"/>
  <c r="F14" i="13"/>
  <c r="Z13" i="13"/>
  <c r="Y13" i="13"/>
  <c r="W13" i="13"/>
  <c r="R13" i="13"/>
  <c r="X13" i="13" s="1"/>
  <c r="L13" i="13"/>
  <c r="N13" i="13" s="1"/>
  <c r="O13" i="13" s="1"/>
  <c r="G13" i="13"/>
  <c r="F13" i="13"/>
  <c r="Y12" i="13"/>
  <c r="Z12" i="13" s="1"/>
  <c r="X12" i="13"/>
  <c r="W12" i="13"/>
  <c r="R12" i="13"/>
  <c r="L12" i="13"/>
  <c r="G12" i="13"/>
  <c r="M12" i="13" s="1"/>
  <c r="F12" i="13"/>
  <c r="N12" i="13" s="1"/>
  <c r="O12" i="13" s="1"/>
  <c r="W11" i="13"/>
  <c r="Y11" i="13" s="1"/>
  <c r="Z11" i="13" s="1"/>
  <c r="R11" i="13"/>
  <c r="X11" i="13" s="1"/>
  <c r="L11" i="13"/>
  <c r="F11" i="13"/>
  <c r="N11" i="13" s="1"/>
  <c r="O11" i="13" s="1"/>
  <c r="W10" i="13"/>
  <c r="Y10" i="13" s="1"/>
  <c r="Z10" i="13" s="1"/>
  <c r="R10" i="13"/>
  <c r="M10" i="13"/>
  <c r="L10" i="13"/>
  <c r="N10" i="13" s="1"/>
  <c r="O10" i="13" s="1"/>
  <c r="G10" i="13"/>
  <c r="F10" i="13"/>
  <c r="Z9" i="13"/>
  <c r="Y9" i="13"/>
  <c r="W9" i="13"/>
  <c r="R9" i="13"/>
  <c r="X9" i="13" s="1"/>
  <c r="L9" i="13"/>
  <c r="N9" i="13" s="1"/>
  <c r="O9" i="13" s="1"/>
  <c r="G9" i="13"/>
  <c r="F9" i="13"/>
  <c r="Y8" i="13"/>
  <c r="Z8" i="13" s="1"/>
  <c r="W8" i="13"/>
  <c r="R8" i="13"/>
  <c r="X8" i="13" s="1"/>
  <c r="L8" i="13"/>
  <c r="G8" i="13"/>
  <c r="M8" i="13" s="1"/>
  <c r="F8" i="13"/>
  <c r="N8" i="13" s="1"/>
  <c r="O8" i="13" s="1"/>
  <c r="X7" i="13"/>
  <c r="W7" i="13"/>
  <c r="Y7" i="13" s="1"/>
  <c r="Z7" i="13" s="1"/>
  <c r="R7" i="13"/>
  <c r="L7" i="13"/>
  <c r="M7" i="13" s="1"/>
  <c r="F7" i="13"/>
  <c r="G7" i="13" s="1"/>
  <c r="W6" i="13"/>
  <c r="Y6" i="13" s="1"/>
  <c r="Z6" i="13" s="1"/>
  <c r="R6" i="13"/>
  <c r="M6" i="13"/>
  <c r="L6" i="13"/>
  <c r="N6" i="13" s="1"/>
  <c r="O6" i="13" s="1"/>
  <c r="G6" i="13"/>
  <c r="F6" i="13"/>
  <c r="Z5" i="13"/>
  <c r="Y5" i="13"/>
  <c r="W5" i="13"/>
  <c r="R5" i="13"/>
  <c r="X5" i="13" s="1"/>
  <c r="L5" i="13"/>
  <c r="N5" i="13" s="1"/>
  <c r="O5" i="13" s="1"/>
  <c r="F5" i="13"/>
  <c r="G5" i="13" s="1"/>
  <c r="Y4" i="13"/>
  <c r="Z4" i="13" s="1"/>
  <c r="W4" i="13"/>
  <c r="R4" i="13"/>
  <c r="L4" i="13"/>
  <c r="G4" i="13"/>
  <c r="M4" i="13" s="1"/>
  <c r="F4" i="13"/>
  <c r="N4" i="13" s="1"/>
  <c r="O4" i="13" s="1"/>
  <c r="W42" i="5"/>
  <c r="Y42" i="5" s="1"/>
  <c r="Z42" i="5" s="1"/>
  <c r="R42" i="5"/>
  <c r="W41" i="5"/>
  <c r="Y41" i="5" s="1"/>
  <c r="Z41" i="5" s="1"/>
  <c r="R41" i="5"/>
  <c r="W40" i="5"/>
  <c r="Y40" i="5" s="1"/>
  <c r="Z40" i="5" s="1"/>
  <c r="R40" i="5"/>
  <c r="W39" i="5"/>
  <c r="Y39" i="5" s="1"/>
  <c r="Z39" i="5" s="1"/>
  <c r="R39" i="5"/>
  <c r="W38" i="5"/>
  <c r="Y38" i="5" s="1"/>
  <c r="Z38" i="5" s="1"/>
  <c r="R38" i="5"/>
  <c r="X37" i="5"/>
  <c r="W37" i="5"/>
  <c r="Y37" i="5" s="1"/>
  <c r="Z37" i="5" s="1"/>
  <c r="R37" i="5"/>
  <c r="X36" i="5"/>
  <c r="W36" i="5"/>
  <c r="Y36" i="5" s="1"/>
  <c r="Z36" i="5" s="1"/>
  <c r="R36" i="5"/>
  <c r="Y35" i="5"/>
  <c r="Z35" i="5" s="1"/>
  <c r="W35" i="5"/>
  <c r="R35" i="5"/>
  <c r="W34" i="5"/>
  <c r="Y34" i="5" s="1"/>
  <c r="Z34" i="5" s="1"/>
  <c r="R34" i="5"/>
  <c r="X33" i="5"/>
  <c r="W33" i="5"/>
  <c r="Y33" i="5" s="1"/>
  <c r="Z33" i="5" s="1"/>
  <c r="R33" i="5"/>
  <c r="Y32" i="5"/>
  <c r="Z32" i="5" s="1"/>
  <c r="X32" i="5"/>
  <c r="W32" i="5"/>
  <c r="R32" i="5"/>
  <c r="Z31" i="5"/>
  <c r="Y31" i="5"/>
  <c r="W31" i="5"/>
  <c r="R31" i="5"/>
  <c r="W30" i="5"/>
  <c r="Y30" i="5" s="1"/>
  <c r="Z30" i="5" s="1"/>
  <c r="R30" i="5"/>
  <c r="X29" i="5"/>
  <c r="W29" i="5"/>
  <c r="Y29" i="5" s="1"/>
  <c r="Z29" i="5" s="1"/>
  <c r="R29" i="5"/>
  <c r="Y28" i="5"/>
  <c r="Z28" i="5" s="1"/>
  <c r="X28" i="5"/>
  <c r="W28" i="5"/>
  <c r="R28" i="5"/>
  <c r="Z27" i="5"/>
  <c r="Y27" i="5"/>
  <c r="W27" i="5"/>
  <c r="R27" i="5"/>
  <c r="X27" i="5" s="1"/>
  <c r="W26" i="5"/>
  <c r="Y26" i="5" s="1"/>
  <c r="Z26" i="5" s="1"/>
  <c r="R26" i="5"/>
  <c r="W25" i="5"/>
  <c r="Y25" i="5" s="1"/>
  <c r="Z25" i="5" s="1"/>
  <c r="R25" i="5"/>
  <c r="W24" i="5"/>
  <c r="Y24" i="5" s="1"/>
  <c r="Z24" i="5" s="1"/>
  <c r="R24" i="5"/>
  <c r="W23" i="5"/>
  <c r="Y23" i="5" s="1"/>
  <c r="Z23" i="5" s="1"/>
  <c r="R23" i="5"/>
  <c r="W22" i="5"/>
  <c r="Y22" i="5" s="1"/>
  <c r="Z22" i="5" s="1"/>
  <c r="R22" i="5"/>
  <c r="W21" i="5"/>
  <c r="Y21" i="5" s="1"/>
  <c r="Z21" i="5" s="1"/>
  <c r="R21" i="5"/>
  <c r="X21" i="5" s="1"/>
  <c r="X20" i="5"/>
  <c r="W20" i="5"/>
  <c r="Y20" i="5" s="1"/>
  <c r="Z20" i="5" s="1"/>
  <c r="R20" i="5"/>
  <c r="Y19" i="5"/>
  <c r="Z19" i="5" s="1"/>
  <c r="W19" i="5"/>
  <c r="R19" i="5"/>
  <c r="W18" i="5"/>
  <c r="Y18" i="5" s="1"/>
  <c r="Z18" i="5" s="1"/>
  <c r="R18" i="5"/>
  <c r="X17" i="5"/>
  <c r="W17" i="5"/>
  <c r="Y17" i="5" s="1"/>
  <c r="Z17" i="5" s="1"/>
  <c r="R17" i="5"/>
  <c r="Y16" i="5"/>
  <c r="Z16" i="5" s="1"/>
  <c r="X16" i="5"/>
  <c r="W16" i="5"/>
  <c r="R16" i="5"/>
  <c r="Z15" i="5"/>
  <c r="Y15" i="5"/>
  <c r="W15" i="5"/>
  <c r="R15" i="5"/>
  <c r="W14" i="5"/>
  <c r="Y14" i="5" s="1"/>
  <c r="Z14" i="5" s="1"/>
  <c r="R14" i="5"/>
  <c r="W13" i="5"/>
  <c r="Y13" i="5" s="1"/>
  <c r="Z13" i="5" s="1"/>
  <c r="R13" i="5"/>
  <c r="X13" i="5" s="1"/>
  <c r="Y12" i="5"/>
  <c r="Z12" i="5" s="1"/>
  <c r="W12" i="5"/>
  <c r="R12" i="5"/>
  <c r="X12" i="5" s="1"/>
  <c r="Y11" i="5"/>
  <c r="Z11" i="5" s="1"/>
  <c r="W11" i="5"/>
  <c r="R11" i="5"/>
  <c r="X11" i="5" s="1"/>
  <c r="W10" i="5"/>
  <c r="Y10" i="5" s="1"/>
  <c r="Z10" i="5" s="1"/>
  <c r="R10" i="5"/>
  <c r="W9" i="5"/>
  <c r="Y9" i="5" s="1"/>
  <c r="Z9" i="5" s="1"/>
  <c r="R9" i="5"/>
  <c r="W8" i="5"/>
  <c r="Y8" i="5" s="1"/>
  <c r="Z8" i="5" s="1"/>
  <c r="R8" i="5"/>
  <c r="W7" i="5"/>
  <c r="Y7" i="5" s="1"/>
  <c r="Z7" i="5" s="1"/>
  <c r="R7" i="5"/>
  <c r="W6" i="5"/>
  <c r="Y6" i="5" s="1"/>
  <c r="Z6" i="5" s="1"/>
  <c r="R6" i="5"/>
  <c r="W5" i="5"/>
  <c r="Y5" i="5" s="1"/>
  <c r="Z5" i="5" s="1"/>
  <c r="R5" i="5"/>
  <c r="X5" i="5" s="1"/>
  <c r="W4" i="5"/>
  <c r="Y4" i="5" s="1"/>
  <c r="Z4" i="5" s="1"/>
  <c r="R4" i="5"/>
  <c r="L42" i="5"/>
  <c r="F42" i="5"/>
  <c r="G42" i="5" s="1"/>
  <c r="L41" i="5"/>
  <c r="F41" i="5"/>
  <c r="G41" i="5" s="1"/>
  <c r="L40" i="5"/>
  <c r="F40" i="5"/>
  <c r="G40" i="5" s="1"/>
  <c r="L39" i="5"/>
  <c r="F39" i="5"/>
  <c r="G39" i="5" s="1"/>
  <c r="L38" i="5"/>
  <c r="F38" i="5"/>
  <c r="G38" i="5" s="1"/>
  <c r="L37" i="5"/>
  <c r="F37" i="5"/>
  <c r="G37" i="5" s="1"/>
  <c r="L36" i="5"/>
  <c r="F36" i="5"/>
  <c r="G36" i="5" s="1"/>
  <c r="L35" i="5"/>
  <c r="F35" i="5"/>
  <c r="G35" i="5" s="1"/>
  <c r="L34" i="5"/>
  <c r="F34" i="5"/>
  <c r="G34" i="5" s="1"/>
  <c r="L33" i="5"/>
  <c r="F33" i="5"/>
  <c r="G33" i="5" s="1"/>
  <c r="L32" i="5"/>
  <c r="F32" i="5"/>
  <c r="G32" i="5" s="1"/>
  <c r="L31" i="5"/>
  <c r="F31" i="5"/>
  <c r="G31" i="5" s="1"/>
  <c r="L30" i="5"/>
  <c r="F30" i="5"/>
  <c r="G30" i="5" s="1"/>
  <c r="L29" i="5"/>
  <c r="F29" i="5"/>
  <c r="G29" i="5" s="1"/>
  <c r="L28" i="5"/>
  <c r="F28" i="5"/>
  <c r="G28" i="5" s="1"/>
  <c r="L27" i="5"/>
  <c r="F27" i="5"/>
  <c r="N27" i="5" s="1"/>
  <c r="O27" i="5" s="1"/>
  <c r="L26" i="5"/>
  <c r="F26" i="5"/>
  <c r="G26" i="5" s="1"/>
  <c r="L25" i="5"/>
  <c r="F25" i="5"/>
  <c r="N25" i="5" s="1"/>
  <c r="O25" i="5" s="1"/>
  <c r="L24" i="5"/>
  <c r="F24" i="5"/>
  <c r="G24" i="5" s="1"/>
  <c r="L23" i="5"/>
  <c r="F23" i="5"/>
  <c r="N23" i="5" s="1"/>
  <c r="O23" i="5" s="1"/>
  <c r="L22" i="5"/>
  <c r="F22" i="5"/>
  <c r="G22" i="5" s="1"/>
  <c r="L21" i="5"/>
  <c r="F21" i="5"/>
  <c r="N21" i="5" s="1"/>
  <c r="O21" i="5" s="1"/>
  <c r="L20" i="5"/>
  <c r="F20" i="5"/>
  <c r="G20" i="5" s="1"/>
  <c r="L19" i="5"/>
  <c r="F19" i="5"/>
  <c r="N19" i="5" s="1"/>
  <c r="O19" i="5" s="1"/>
  <c r="L18" i="5"/>
  <c r="F18" i="5"/>
  <c r="G18" i="5" s="1"/>
  <c r="L17" i="5"/>
  <c r="F17" i="5"/>
  <c r="G17" i="5" s="1"/>
  <c r="L16" i="5"/>
  <c r="F16" i="5"/>
  <c r="G16" i="5" s="1"/>
  <c r="L15" i="5"/>
  <c r="F15" i="5"/>
  <c r="G15" i="5" s="1"/>
  <c r="L14" i="5"/>
  <c r="F14" i="5"/>
  <c r="G14" i="5" s="1"/>
  <c r="L13" i="5"/>
  <c r="F13" i="5"/>
  <c r="N13" i="5" s="1"/>
  <c r="O13" i="5" s="1"/>
  <c r="L12" i="5"/>
  <c r="F12" i="5"/>
  <c r="G12" i="5" s="1"/>
  <c r="L11" i="5"/>
  <c r="F11" i="5"/>
  <c r="N11" i="5" s="1"/>
  <c r="O11" i="5" s="1"/>
  <c r="L10" i="5"/>
  <c r="F10" i="5"/>
  <c r="G10" i="5" s="1"/>
  <c r="L9" i="5"/>
  <c r="F9" i="5"/>
  <c r="N9" i="5" s="1"/>
  <c r="O9" i="5" s="1"/>
  <c r="L8" i="5"/>
  <c r="F8" i="5"/>
  <c r="G8" i="5" s="1"/>
  <c r="L7" i="5"/>
  <c r="F7" i="5"/>
  <c r="G7" i="5" s="1"/>
  <c r="L6" i="5"/>
  <c r="F6" i="5"/>
  <c r="G6" i="5" s="1"/>
  <c r="L5" i="5"/>
  <c r="F5" i="5"/>
  <c r="N5" i="5" s="1"/>
  <c r="O5" i="5" s="1"/>
  <c r="L4" i="5"/>
  <c r="F4" i="5"/>
  <c r="G4" i="5" s="1"/>
  <c r="R10" i="6"/>
  <c r="R34" i="6"/>
  <c r="W42" i="6"/>
  <c r="W41" i="6"/>
  <c r="Y41" i="6" s="1"/>
  <c r="Z41" i="6" s="1"/>
  <c r="W40" i="6"/>
  <c r="W39" i="6"/>
  <c r="W38" i="6"/>
  <c r="W37" i="6"/>
  <c r="Y37" i="6" s="1"/>
  <c r="Z37" i="6" s="1"/>
  <c r="W36" i="6"/>
  <c r="W35" i="6"/>
  <c r="W34" i="6"/>
  <c r="W33" i="6"/>
  <c r="Y33" i="6" s="1"/>
  <c r="Z33" i="6" s="1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Y17" i="6" s="1"/>
  <c r="Z17" i="6" s="1"/>
  <c r="W16" i="6"/>
  <c r="W15" i="6"/>
  <c r="W14" i="6"/>
  <c r="W13" i="6"/>
  <c r="W12" i="6"/>
  <c r="W11" i="6"/>
  <c r="W10" i="6"/>
  <c r="W9" i="6"/>
  <c r="W8" i="6"/>
  <c r="W7" i="6"/>
  <c r="W6" i="6"/>
  <c r="W5" i="6"/>
  <c r="Y5" i="6" s="1"/>
  <c r="Z5" i="6" s="1"/>
  <c r="W4" i="6"/>
  <c r="G12" i="6"/>
  <c r="L12" i="6"/>
  <c r="N12" i="6" s="1"/>
  <c r="O12" i="6" s="1"/>
  <c r="R13" i="6"/>
  <c r="L13" i="6"/>
  <c r="N13" i="6" s="1"/>
  <c r="O13" i="6" s="1"/>
  <c r="G14" i="6"/>
  <c r="L14" i="6"/>
  <c r="R15" i="6"/>
  <c r="L15" i="6"/>
  <c r="G16" i="6"/>
  <c r="L16" i="6"/>
  <c r="R17" i="6"/>
  <c r="L17" i="6"/>
  <c r="G18" i="6"/>
  <c r="L18" i="6"/>
  <c r="N18" i="6" s="1"/>
  <c r="O18" i="6" s="1"/>
  <c r="R19" i="6"/>
  <c r="G19" i="6"/>
  <c r="L19" i="6"/>
  <c r="G20" i="6"/>
  <c r="L20" i="6"/>
  <c r="G21" i="6"/>
  <c r="L21" i="6"/>
  <c r="G22" i="6"/>
  <c r="L22" i="6"/>
  <c r="R23" i="6"/>
  <c r="X23" i="6" s="1"/>
  <c r="L23" i="6"/>
  <c r="G24" i="6"/>
  <c r="L24" i="6"/>
  <c r="R25" i="6"/>
  <c r="L25" i="6"/>
  <c r="N25" i="6" s="1"/>
  <c r="O25" i="6" s="1"/>
  <c r="G26" i="6"/>
  <c r="L26" i="6"/>
  <c r="R27" i="6"/>
  <c r="L27" i="6"/>
  <c r="G28" i="6"/>
  <c r="L28" i="6"/>
  <c r="G29" i="6"/>
  <c r="L29" i="6"/>
  <c r="N29" i="6" s="1"/>
  <c r="O29" i="6" s="1"/>
  <c r="G30" i="6"/>
  <c r="L30" i="6"/>
  <c r="R31" i="6"/>
  <c r="L31" i="6"/>
  <c r="G32" i="6"/>
  <c r="L32" i="6"/>
  <c r="N32" i="6" s="1"/>
  <c r="O32" i="6" s="1"/>
  <c r="R33" i="6"/>
  <c r="G33" i="6"/>
  <c r="L33" i="6"/>
  <c r="N33" i="6" s="1"/>
  <c r="O33" i="6" s="1"/>
  <c r="G34" i="6"/>
  <c r="L34" i="6"/>
  <c r="N34" i="6" s="1"/>
  <c r="O34" i="6" s="1"/>
  <c r="R35" i="6"/>
  <c r="G35" i="6"/>
  <c r="L35" i="6"/>
  <c r="G36" i="6"/>
  <c r="L36" i="6"/>
  <c r="R37" i="6"/>
  <c r="L37" i="6"/>
  <c r="G38" i="6"/>
  <c r="L38" i="6"/>
  <c r="R39" i="6"/>
  <c r="X39" i="6" s="1"/>
  <c r="L39" i="6"/>
  <c r="G40" i="6"/>
  <c r="L40" i="6"/>
  <c r="R41" i="6"/>
  <c r="L41" i="6"/>
  <c r="N41" i="6" s="1"/>
  <c r="O41" i="6" s="1"/>
  <c r="G42" i="6"/>
  <c r="L42" i="6"/>
  <c r="G6" i="6"/>
  <c r="G10" i="6"/>
  <c r="L11" i="6"/>
  <c r="R11" i="6"/>
  <c r="L10" i="6"/>
  <c r="L9" i="6"/>
  <c r="R9" i="6"/>
  <c r="L8" i="6"/>
  <c r="R8" i="6"/>
  <c r="L7" i="6"/>
  <c r="R7" i="6"/>
  <c r="L6" i="6"/>
  <c r="R6" i="6"/>
  <c r="L5" i="6"/>
  <c r="R5" i="6"/>
  <c r="L4" i="6"/>
  <c r="R4" i="6"/>
  <c r="Z17" i="18" l="1"/>
  <c r="Z5" i="18"/>
  <c r="Z21" i="18"/>
  <c r="M22" i="16"/>
  <c r="X25" i="6"/>
  <c r="X9" i="16"/>
  <c r="M40" i="17"/>
  <c r="X23" i="17"/>
  <c r="M18" i="17"/>
  <c r="AA5" i="18"/>
  <c r="AB5" i="18" s="1"/>
  <c r="Z18" i="18"/>
  <c r="Z26" i="18"/>
  <c r="Z42" i="18"/>
  <c r="Z34" i="18"/>
  <c r="O12" i="18"/>
  <c r="P12" i="18" s="1"/>
  <c r="N13" i="18"/>
  <c r="N7" i="18"/>
  <c r="N11" i="18"/>
  <c r="O16" i="18"/>
  <c r="P16" i="18" s="1"/>
  <c r="N17" i="18"/>
  <c r="N39" i="18"/>
  <c r="X25" i="16"/>
  <c r="X29" i="16"/>
  <c r="X33" i="16"/>
  <c r="X7" i="17"/>
  <c r="X39" i="17"/>
  <c r="Z33" i="18"/>
  <c r="X14" i="17"/>
  <c r="X36" i="17"/>
  <c r="Z6" i="18"/>
  <c r="AA17" i="18"/>
  <c r="AB17" i="18" s="1"/>
  <c r="Z22" i="18"/>
  <c r="AA33" i="18"/>
  <c r="AB33" i="18" s="1"/>
  <c r="Z38" i="18"/>
  <c r="Z14" i="18"/>
  <c r="Z30" i="18"/>
  <c r="N5" i="18"/>
  <c r="N15" i="18"/>
  <c r="O20" i="18"/>
  <c r="P20" i="18" s="1"/>
  <c r="N21" i="18"/>
  <c r="N31" i="18"/>
  <c r="O36" i="18"/>
  <c r="P36" i="18" s="1"/>
  <c r="N37" i="18"/>
  <c r="O8" i="18"/>
  <c r="P8" i="18" s="1"/>
  <c r="N9" i="18"/>
  <c r="N19" i="18"/>
  <c r="O24" i="18"/>
  <c r="P24" i="18" s="1"/>
  <c r="N25" i="18"/>
  <c r="N35" i="18"/>
  <c r="O40" i="18"/>
  <c r="P40" i="18" s="1"/>
  <c r="N41" i="18"/>
  <c r="O4" i="18"/>
  <c r="P4" i="18" s="1"/>
  <c r="M24" i="17"/>
  <c r="M28" i="16"/>
  <c r="M34" i="16"/>
  <c r="M14" i="16"/>
  <c r="N31" i="16"/>
  <c r="O31" i="16" s="1"/>
  <c r="M32" i="16"/>
  <c r="M36" i="16"/>
  <c r="N40" i="16"/>
  <c r="O40" i="16" s="1"/>
  <c r="M11" i="17"/>
  <c r="M38" i="6"/>
  <c r="X4" i="14"/>
  <c r="X4" i="13"/>
  <c r="X21" i="13"/>
  <c r="X25" i="13"/>
  <c r="X17" i="13"/>
  <c r="X41" i="13"/>
  <c r="M23" i="15"/>
  <c r="M23" i="14"/>
  <c r="M32" i="13"/>
  <c r="M20" i="13"/>
  <c r="M36" i="13"/>
  <c r="Z37" i="18"/>
  <c r="Z29" i="18"/>
  <c r="Z13" i="18"/>
  <c r="Z25" i="18"/>
  <c r="Z9" i="18"/>
  <c r="Z41" i="18"/>
  <c r="Y21" i="6"/>
  <c r="Z21" i="6" s="1"/>
  <c r="G11" i="6"/>
  <c r="N42" i="6"/>
  <c r="O42" i="6" s="1"/>
  <c r="G41" i="6"/>
  <c r="M41" i="6" s="1"/>
  <c r="G27" i="6"/>
  <c r="M27" i="6" s="1"/>
  <c r="N24" i="6"/>
  <c r="O24" i="6" s="1"/>
  <c r="G15" i="6"/>
  <c r="R26" i="6"/>
  <c r="R42" i="6"/>
  <c r="X42" i="6" s="1"/>
  <c r="R18" i="6"/>
  <c r="Y25" i="6"/>
  <c r="Z25" i="6" s="1"/>
  <c r="G8" i="6"/>
  <c r="N40" i="6"/>
  <c r="O40" i="6" s="1"/>
  <c r="M30" i="6"/>
  <c r="N26" i="6"/>
  <c r="O26" i="6" s="1"/>
  <c r="G25" i="6"/>
  <c r="M25" i="6" s="1"/>
  <c r="N21" i="6"/>
  <c r="O21" i="6" s="1"/>
  <c r="N14" i="6"/>
  <c r="O14" i="6" s="1"/>
  <c r="G13" i="6"/>
  <c r="M13" i="6" s="1"/>
  <c r="Y4" i="6"/>
  <c r="Z4" i="6" s="1"/>
  <c r="Y8" i="6"/>
  <c r="Z8" i="6" s="1"/>
  <c r="Y12" i="6"/>
  <c r="Z12" i="6" s="1"/>
  <c r="Y20" i="6"/>
  <c r="Z20" i="6" s="1"/>
  <c r="Y40" i="6"/>
  <c r="Z40" i="6" s="1"/>
  <c r="R38" i="6"/>
  <c r="X38" i="6" s="1"/>
  <c r="R14" i="6"/>
  <c r="R30" i="6"/>
  <c r="X30" i="6" s="1"/>
  <c r="G9" i="6"/>
  <c r="G5" i="6"/>
  <c r="N38" i="6"/>
  <c r="O38" i="6" s="1"/>
  <c r="G37" i="6"/>
  <c r="M37" i="6" s="1"/>
  <c r="M35" i="6"/>
  <c r="M34" i="6"/>
  <c r="G31" i="6"/>
  <c r="M31" i="6" s="1"/>
  <c r="N28" i="6"/>
  <c r="O28" i="6" s="1"/>
  <c r="G23" i="6"/>
  <c r="N20" i="6"/>
  <c r="O20" i="6" s="1"/>
  <c r="G17" i="6"/>
  <c r="M17" i="6" s="1"/>
  <c r="M15" i="6"/>
  <c r="M14" i="6"/>
  <c r="X9" i="6"/>
  <c r="Y13" i="6"/>
  <c r="Z13" i="6" s="1"/>
  <c r="X17" i="6"/>
  <c r="Y23" i="6"/>
  <c r="Z23" i="6" s="1"/>
  <c r="Y26" i="6"/>
  <c r="Z26" i="6" s="1"/>
  <c r="Y30" i="6"/>
  <c r="Z30" i="6" s="1"/>
  <c r="Y34" i="6"/>
  <c r="Z34" i="6" s="1"/>
  <c r="Y38" i="6"/>
  <c r="Z38" i="6" s="1"/>
  <c r="R29" i="6"/>
  <c r="X29" i="6" s="1"/>
  <c r="R21" i="6"/>
  <c r="X21" i="6" s="1"/>
  <c r="Y29" i="6"/>
  <c r="Z29" i="6" s="1"/>
  <c r="M23" i="6"/>
  <c r="M29" i="6"/>
  <c r="M21" i="6"/>
  <c r="N17" i="6"/>
  <c r="O17" i="6" s="1"/>
  <c r="Y6" i="6"/>
  <c r="Z6" i="6" s="1"/>
  <c r="Y10" i="6"/>
  <c r="Z10" i="6" s="1"/>
  <c r="Y14" i="6"/>
  <c r="Z14" i="6" s="1"/>
  <c r="Y18" i="6"/>
  <c r="Z18" i="6" s="1"/>
  <c r="Y24" i="6"/>
  <c r="Z24" i="6" s="1"/>
  <c r="Y27" i="6"/>
  <c r="Z27" i="6" s="1"/>
  <c r="Y31" i="6"/>
  <c r="Z31" i="6" s="1"/>
  <c r="Y35" i="6"/>
  <c r="Z35" i="6" s="1"/>
  <c r="Y42" i="6"/>
  <c r="Z42" i="6" s="1"/>
  <c r="R40" i="6"/>
  <c r="X40" i="6" s="1"/>
  <c r="R36" i="6"/>
  <c r="R32" i="6"/>
  <c r="R28" i="6"/>
  <c r="R24" i="6"/>
  <c r="X24" i="6" s="1"/>
  <c r="R20" i="6"/>
  <c r="R16" i="6"/>
  <c r="X16" i="6" s="1"/>
  <c r="R12" i="6"/>
  <c r="X12" i="6" s="1"/>
  <c r="Y16" i="6"/>
  <c r="Z16" i="6" s="1"/>
  <c r="R22" i="6"/>
  <c r="G7" i="6"/>
  <c r="M42" i="6"/>
  <c r="G39" i="6"/>
  <c r="M39" i="6" s="1"/>
  <c r="N37" i="6"/>
  <c r="O37" i="6" s="1"/>
  <c r="N36" i="6"/>
  <c r="O36" i="6" s="1"/>
  <c r="M33" i="6"/>
  <c r="N30" i="6"/>
  <c r="O30" i="6" s="1"/>
  <c r="M26" i="6"/>
  <c r="N23" i="6"/>
  <c r="O23" i="6" s="1"/>
  <c r="N22" i="6"/>
  <c r="O22" i="6" s="1"/>
  <c r="M19" i="6"/>
  <c r="M18" i="6"/>
  <c r="N16" i="6"/>
  <c r="O16" i="6" s="1"/>
  <c r="Y7" i="6"/>
  <c r="Z7" i="6" s="1"/>
  <c r="X11" i="6"/>
  <c r="X15" i="6"/>
  <c r="X19" i="6"/>
  <c r="Y22" i="6"/>
  <c r="Z22" i="6" s="1"/>
  <c r="Y28" i="6"/>
  <c r="Z28" i="6" s="1"/>
  <c r="Y32" i="6"/>
  <c r="Z32" i="6" s="1"/>
  <c r="X36" i="6"/>
  <c r="Y39" i="6"/>
  <c r="Z39" i="6" s="1"/>
  <c r="N4" i="17"/>
  <c r="O4" i="17" s="1"/>
  <c r="N10" i="17"/>
  <c r="O10" i="17" s="1"/>
  <c r="G22" i="17"/>
  <c r="M22" i="17" s="1"/>
  <c r="G28" i="17"/>
  <c r="M28" i="17" s="1"/>
  <c r="N29" i="17"/>
  <c r="O29" i="17" s="1"/>
  <c r="N34" i="17"/>
  <c r="O34" i="17" s="1"/>
  <c r="M9" i="17"/>
  <c r="N22" i="17"/>
  <c r="O22" i="17" s="1"/>
  <c r="N28" i="17"/>
  <c r="O28" i="17" s="1"/>
  <c r="Y29" i="17"/>
  <c r="Z29" i="17" s="1"/>
  <c r="X31" i="17"/>
  <c r="G32" i="17"/>
  <c r="M32" i="17" s="1"/>
  <c r="N33" i="17"/>
  <c r="O33" i="17" s="1"/>
  <c r="G6" i="17"/>
  <c r="M6" i="17" s="1"/>
  <c r="N8" i="17"/>
  <c r="O8" i="17" s="1"/>
  <c r="Y9" i="17"/>
  <c r="Z9" i="17" s="1"/>
  <c r="G14" i="17"/>
  <c r="M14" i="17" s="1"/>
  <c r="Y22" i="17"/>
  <c r="Z22" i="17" s="1"/>
  <c r="N26" i="17"/>
  <c r="O26" i="17" s="1"/>
  <c r="Y27" i="17"/>
  <c r="Z27" i="17" s="1"/>
  <c r="X28" i="17"/>
  <c r="N32" i="17"/>
  <c r="O32" i="17" s="1"/>
  <c r="Y33" i="17"/>
  <c r="Z33" i="17" s="1"/>
  <c r="M36" i="17"/>
  <c r="G42" i="17"/>
  <c r="Y7" i="17"/>
  <c r="Z7" i="17" s="1"/>
  <c r="X11" i="17"/>
  <c r="G16" i="17"/>
  <c r="M16" i="17" s="1"/>
  <c r="M17" i="17"/>
  <c r="M19" i="17"/>
  <c r="G20" i="17"/>
  <c r="M20" i="17" s="1"/>
  <c r="Y26" i="17"/>
  <c r="Z26" i="17" s="1"/>
  <c r="G30" i="17"/>
  <c r="M30" i="17" s="1"/>
  <c r="Y34" i="17"/>
  <c r="Z34" i="17" s="1"/>
  <c r="G38" i="17"/>
  <c r="M38" i="17" s="1"/>
  <c r="Y10" i="17"/>
  <c r="Z10" i="17" s="1"/>
  <c r="Y13" i="17"/>
  <c r="Z13" i="17" s="1"/>
  <c r="R15" i="17"/>
  <c r="X15" i="17" s="1"/>
  <c r="N16" i="17"/>
  <c r="O16" i="17" s="1"/>
  <c r="Y17" i="17"/>
  <c r="Z17" i="17" s="1"/>
  <c r="R19" i="17"/>
  <c r="X19" i="17" s="1"/>
  <c r="N20" i="17"/>
  <c r="O20" i="17" s="1"/>
  <c r="Y21" i="17"/>
  <c r="Z21" i="17" s="1"/>
  <c r="Y23" i="17"/>
  <c r="Z23" i="17" s="1"/>
  <c r="X27" i="17"/>
  <c r="N30" i="17"/>
  <c r="O30" i="17" s="1"/>
  <c r="Y31" i="17"/>
  <c r="Z31" i="17" s="1"/>
  <c r="X35" i="17"/>
  <c r="N38" i="17"/>
  <c r="O38" i="17" s="1"/>
  <c r="Y39" i="17"/>
  <c r="Z39" i="17" s="1"/>
  <c r="G4" i="17"/>
  <c r="M4" i="17" s="1"/>
  <c r="N6" i="17"/>
  <c r="O6" i="17" s="1"/>
  <c r="G8" i="17"/>
  <c r="M8" i="17" s="1"/>
  <c r="G10" i="17"/>
  <c r="M10" i="17" s="1"/>
  <c r="Y14" i="17"/>
  <c r="Z14" i="17" s="1"/>
  <c r="Y15" i="17"/>
  <c r="Z15" i="17" s="1"/>
  <c r="Y19" i="17"/>
  <c r="Z19" i="17" s="1"/>
  <c r="G26" i="17"/>
  <c r="M26" i="17" s="1"/>
  <c r="Y30" i="17"/>
  <c r="Z30" i="17" s="1"/>
  <c r="G34" i="17"/>
  <c r="M34" i="17" s="1"/>
  <c r="N36" i="17"/>
  <c r="O36" i="17" s="1"/>
  <c r="Y37" i="17"/>
  <c r="Z37" i="17" s="1"/>
  <c r="Y38" i="17"/>
  <c r="Z38" i="17" s="1"/>
  <c r="M42" i="17"/>
  <c r="M13" i="17"/>
  <c r="M15" i="17"/>
  <c r="G5" i="16"/>
  <c r="Y9" i="16"/>
  <c r="Z9" i="16" s="1"/>
  <c r="N12" i="16"/>
  <c r="O12" i="16" s="1"/>
  <c r="Y17" i="16"/>
  <c r="Z17" i="16" s="1"/>
  <c r="Y19" i="16"/>
  <c r="Z19" i="16" s="1"/>
  <c r="Y20" i="16"/>
  <c r="Z20" i="16" s="1"/>
  <c r="Y22" i="16"/>
  <c r="Z22" i="16" s="1"/>
  <c r="G25" i="16"/>
  <c r="M25" i="16" s="1"/>
  <c r="N27" i="16"/>
  <c r="O27" i="16" s="1"/>
  <c r="N30" i="16"/>
  <c r="O30" i="16" s="1"/>
  <c r="R34" i="16"/>
  <c r="Y36" i="16"/>
  <c r="Z36" i="16" s="1"/>
  <c r="X39" i="16"/>
  <c r="N4" i="16"/>
  <c r="O4" i="16" s="1"/>
  <c r="M6" i="16"/>
  <c r="Y8" i="16"/>
  <c r="Z8" i="16" s="1"/>
  <c r="Y13" i="16"/>
  <c r="Z13" i="16" s="1"/>
  <c r="Y16" i="16"/>
  <c r="Z16" i="16" s="1"/>
  <c r="N20" i="16"/>
  <c r="O20" i="16" s="1"/>
  <c r="N25" i="16"/>
  <c r="O25" i="16" s="1"/>
  <c r="Y29" i="16"/>
  <c r="Z29" i="16" s="1"/>
  <c r="Y32" i="16"/>
  <c r="Z32" i="16" s="1"/>
  <c r="X37" i="16"/>
  <c r="G38" i="16"/>
  <c r="M38" i="16" s="1"/>
  <c r="M4" i="16"/>
  <c r="M10" i="16"/>
  <c r="M18" i="16"/>
  <c r="M20" i="16"/>
  <c r="Y28" i="16"/>
  <c r="Z28" i="16" s="1"/>
  <c r="X35" i="16"/>
  <c r="N38" i="16"/>
  <c r="O38" i="16" s="1"/>
  <c r="Y40" i="16"/>
  <c r="Z40" i="16" s="1"/>
  <c r="R6" i="16"/>
  <c r="G9" i="16"/>
  <c r="N11" i="16"/>
  <c r="O11" i="16" s="1"/>
  <c r="G12" i="16"/>
  <c r="M12" i="16" s="1"/>
  <c r="R13" i="16"/>
  <c r="X13" i="16" s="1"/>
  <c r="R17" i="16"/>
  <c r="X17" i="16" s="1"/>
  <c r="Y18" i="16"/>
  <c r="Z18" i="16" s="1"/>
  <c r="R21" i="16"/>
  <c r="X21" i="16" s="1"/>
  <c r="M26" i="16"/>
  <c r="G29" i="16"/>
  <c r="G33" i="16"/>
  <c r="M33" i="16" s="1"/>
  <c r="G37" i="16"/>
  <c r="M37" i="16" s="1"/>
  <c r="G40" i="16"/>
  <c r="X41" i="16"/>
  <c r="N42" i="16"/>
  <c r="O42" i="16" s="1"/>
  <c r="N8" i="16"/>
  <c r="O8" i="16" s="1"/>
  <c r="X19" i="16"/>
  <c r="N24" i="16"/>
  <c r="O24" i="16" s="1"/>
  <c r="Y24" i="16"/>
  <c r="Z24" i="16" s="1"/>
  <c r="R26" i="16"/>
  <c r="X26" i="16" s="1"/>
  <c r="Y27" i="16"/>
  <c r="Z27" i="16" s="1"/>
  <c r="N29" i="16"/>
  <c r="O29" i="16" s="1"/>
  <c r="Y31" i="16"/>
  <c r="Z31" i="16" s="1"/>
  <c r="N33" i="16"/>
  <c r="O33" i="16" s="1"/>
  <c r="Y35" i="16"/>
  <c r="Z35" i="16" s="1"/>
  <c r="N37" i="16"/>
  <c r="O37" i="16" s="1"/>
  <c r="M40" i="16"/>
  <c r="Y42" i="16"/>
  <c r="Z42" i="16" s="1"/>
  <c r="G8" i="16"/>
  <c r="M8" i="16" s="1"/>
  <c r="N14" i="16"/>
  <c r="O14" i="16" s="1"/>
  <c r="N18" i="16"/>
  <c r="O18" i="16" s="1"/>
  <c r="N22" i="16"/>
  <c r="O22" i="16" s="1"/>
  <c r="X23" i="16"/>
  <c r="G24" i="16"/>
  <c r="M24" i="16" s="1"/>
  <c r="Y26" i="16"/>
  <c r="Z26" i="16" s="1"/>
  <c r="N28" i="16"/>
  <c r="O28" i="16" s="1"/>
  <c r="Y30" i="16"/>
  <c r="Z30" i="16" s="1"/>
  <c r="N32" i="16"/>
  <c r="O32" i="16" s="1"/>
  <c r="Y34" i="16"/>
  <c r="Z34" i="16" s="1"/>
  <c r="N36" i="16"/>
  <c r="O36" i="16" s="1"/>
  <c r="Y39" i="16"/>
  <c r="Z39" i="16" s="1"/>
  <c r="N41" i="16"/>
  <c r="O41" i="16" s="1"/>
  <c r="H4" i="18"/>
  <c r="N4" i="18" s="1"/>
  <c r="AA4" i="18"/>
  <c r="AB4" i="18" s="1"/>
  <c r="N6" i="18"/>
  <c r="O7" i="18"/>
  <c r="P7" i="18" s="1"/>
  <c r="Z7" i="18"/>
  <c r="H8" i="18"/>
  <c r="N8" i="18" s="1"/>
  <c r="AA8" i="18"/>
  <c r="AB8" i="18" s="1"/>
  <c r="N10" i="18"/>
  <c r="O11" i="18"/>
  <c r="P11" i="18" s="1"/>
  <c r="Z11" i="18"/>
  <c r="H12" i="18"/>
  <c r="N12" i="18" s="1"/>
  <c r="AA12" i="18"/>
  <c r="AB12" i="18" s="1"/>
  <c r="N14" i="18"/>
  <c r="O15" i="18"/>
  <c r="P15" i="18" s="1"/>
  <c r="Z15" i="18"/>
  <c r="H16" i="18"/>
  <c r="N16" i="18" s="1"/>
  <c r="AA16" i="18"/>
  <c r="AB16" i="18" s="1"/>
  <c r="N18" i="18"/>
  <c r="O19" i="18"/>
  <c r="P19" i="18" s="1"/>
  <c r="Z19" i="18"/>
  <c r="H20" i="18"/>
  <c r="N20" i="18" s="1"/>
  <c r="AA20" i="18"/>
  <c r="AB20" i="18" s="1"/>
  <c r="N22" i="18"/>
  <c r="O23" i="18"/>
  <c r="P23" i="18" s="1"/>
  <c r="Z23" i="18"/>
  <c r="H24" i="18"/>
  <c r="N24" i="18" s="1"/>
  <c r="AA24" i="18"/>
  <c r="AB24" i="18" s="1"/>
  <c r="N26" i="18"/>
  <c r="O27" i="18"/>
  <c r="P27" i="18" s="1"/>
  <c r="Z27" i="18"/>
  <c r="H28" i="18"/>
  <c r="N28" i="18" s="1"/>
  <c r="AA28" i="18"/>
  <c r="AB28" i="18" s="1"/>
  <c r="N30" i="18"/>
  <c r="O31" i="18"/>
  <c r="P31" i="18" s="1"/>
  <c r="Z31" i="18"/>
  <c r="H32" i="18"/>
  <c r="N32" i="18" s="1"/>
  <c r="AA32" i="18"/>
  <c r="AB32" i="18" s="1"/>
  <c r="N34" i="18"/>
  <c r="O35" i="18"/>
  <c r="P35" i="18" s="1"/>
  <c r="Z35" i="18"/>
  <c r="H36" i="18"/>
  <c r="N36" i="18" s="1"/>
  <c r="AA36" i="18"/>
  <c r="AB36" i="18" s="1"/>
  <c r="N38" i="18"/>
  <c r="O39" i="18"/>
  <c r="P39" i="18" s="1"/>
  <c r="Z39" i="18"/>
  <c r="H40" i="18"/>
  <c r="N40" i="18" s="1"/>
  <c r="AA40" i="18"/>
  <c r="AB40" i="18" s="1"/>
  <c r="T4" i="18"/>
  <c r="Z4" i="18" s="1"/>
  <c r="T8" i="18"/>
  <c r="Z8" i="18" s="1"/>
  <c r="T12" i="18"/>
  <c r="Z12" i="18" s="1"/>
  <c r="T16" i="18"/>
  <c r="Z16" i="18" s="1"/>
  <c r="T20" i="18"/>
  <c r="Z20" i="18" s="1"/>
  <c r="T24" i="18"/>
  <c r="Z24" i="18" s="1"/>
  <c r="T28" i="18"/>
  <c r="Z28" i="18" s="1"/>
  <c r="T32" i="18"/>
  <c r="Z32" i="18" s="1"/>
  <c r="T36" i="18"/>
  <c r="Z36" i="18" s="1"/>
  <c r="T40" i="18"/>
  <c r="Z40" i="18" s="1"/>
  <c r="H42" i="18"/>
  <c r="N42" i="18" s="1"/>
  <c r="X6" i="17"/>
  <c r="X16" i="17"/>
  <c r="X22" i="17"/>
  <c r="X24" i="17"/>
  <c r="X32" i="17"/>
  <c r="X40" i="17"/>
  <c r="X4" i="17"/>
  <c r="X10" i="17"/>
  <c r="X20" i="17"/>
  <c r="X8" i="17"/>
  <c r="M5" i="17"/>
  <c r="M7" i="17"/>
  <c r="X12" i="17"/>
  <c r="X18" i="17"/>
  <c r="M21" i="17"/>
  <c r="Y4" i="17"/>
  <c r="Z4" i="17" s="1"/>
  <c r="R5" i="17"/>
  <c r="X5" i="17" s="1"/>
  <c r="N7" i="17"/>
  <c r="O7" i="17" s="1"/>
  <c r="Y8" i="17"/>
  <c r="Z8" i="17" s="1"/>
  <c r="R9" i="17"/>
  <c r="X9" i="17" s="1"/>
  <c r="N11" i="17"/>
  <c r="O11" i="17" s="1"/>
  <c r="Y12" i="17"/>
  <c r="Z12" i="17" s="1"/>
  <c r="R13" i="17"/>
  <c r="X13" i="17" s="1"/>
  <c r="N15" i="17"/>
  <c r="O15" i="17" s="1"/>
  <c r="Y16" i="17"/>
  <c r="Z16" i="17" s="1"/>
  <c r="R17" i="17"/>
  <c r="X17" i="17" s="1"/>
  <c r="N19" i="17"/>
  <c r="O19" i="17" s="1"/>
  <c r="Y20" i="17"/>
  <c r="Z20" i="17" s="1"/>
  <c r="R21" i="17"/>
  <c r="X21" i="17" s="1"/>
  <c r="N23" i="17"/>
  <c r="O23" i="17" s="1"/>
  <c r="Y24" i="17"/>
  <c r="Z24" i="17" s="1"/>
  <c r="R25" i="17"/>
  <c r="X25" i="17" s="1"/>
  <c r="N27" i="17"/>
  <c r="O27" i="17" s="1"/>
  <c r="Y28" i="17"/>
  <c r="Z28" i="17" s="1"/>
  <c r="R29" i="17"/>
  <c r="X29" i="17" s="1"/>
  <c r="N31" i="17"/>
  <c r="O31" i="17" s="1"/>
  <c r="Y32" i="17"/>
  <c r="Z32" i="17" s="1"/>
  <c r="R33" i="17"/>
  <c r="X33" i="17" s="1"/>
  <c r="N35" i="17"/>
  <c r="O35" i="17" s="1"/>
  <c r="Y36" i="17"/>
  <c r="Z36" i="17" s="1"/>
  <c r="R37" i="17"/>
  <c r="X37" i="17" s="1"/>
  <c r="N39" i="17"/>
  <c r="O39" i="17" s="1"/>
  <c r="Y40" i="17"/>
  <c r="Z40" i="17" s="1"/>
  <c r="R41" i="17"/>
  <c r="X41" i="17" s="1"/>
  <c r="G23" i="17"/>
  <c r="M23" i="17" s="1"/>
  <c r="M25" i="17"/>
  <c r="X26" i="17"/>
  <c r="G27" i="17"/>
  <c r="M27" i="17" s="1"/>
  <c r="M29" i="17"/>
  <c r="X30" i="17"/>
  <c r="G31" i="17"/>
  <c r="M31" i="17" s="1"/>
  <c r="M33" i="17"/>
  <c r="X34" i="17"/>
  <c r="G35" i="17"/>
  <c r="M35" i="17" s="1"/>
  <c r="M37" i="17"/>
  <c r="X38" i="17"/>
  <c r="G39" i="17"/>
  <c r="M39" i="17" s="1"/>
  <c r="M41" i="17"/>
  <c r="X42" i="17"/>
  <c r="N5" i="17"/>
  <c r="O5" i="17" s="1"/>
  <c r="N9" i="17"/>
  <c r="O9" i="17" s="1"/>
  <c r="N13" i="17"/>
  <c r="O13" i="17" s="1"/>
  <c r="N17" i="17"/>
  <c r="O17" i="17" s="1"/>
  <c r="N21" i="17"/>
  <c r="O21" i="17" s="1"/>
  <c r="R7" i="16"/>
  <c r="X7" i="16" s="1"/>
  <c r="G7" i="16"/>
  <c r="M7" i="16" s="1"/>
  <c r="N5" i="16"/>
  <c r="O5" i="16" s="1"/>
  <c r="M5" i="16"/>
  <c r="N9" i="16"/>
  <c r="O9" i="16" s="1"/>
  <c r="M9" i="16"/>
  <c r="N13" i="16"/>
  <c r="O13" i="16" s="1"/>
  <c r="M13" i="16"/>
  <c r="N15" i="16"/>
  <c r="O15" i="16" s="1"/>
  <c r="R15" i="16"/>
  <c r="X15" i="16" s="1"/>
  <c r="G15" i="16"/>
  <c r="M15" i="16" s="1"/>
  <c r="N7" i="16"/>
  <c r="O7" i="16" s="1"/>
  <c r="Y15" i="16"/>
  <c r="Z15" i="16" s="1"/>
  <c r="R11" i="16"/>
  <c r="X11" i="16" s="1"/>
  <c r="G11" i="16"/>
  <c r="M11" i="16" s="1"/>
  <c r="Y6" i="16"/>
  <c r="Z6" i="16" s="1"/>
  <c r="X6" i="16"/>
  <c r="Y7" i="16"/>
  <c r="Z7" i="16" s="1"/>
  <c r="Y10" i="16"/>
  <c r="Z10" i="16" s="1"/>
  <c r="X10" i="16"/>
  <c r="Y11" i="16"/>
  <c r="Z11" i="16" s="1"/>
  <c r="Y14" i="16"/>
  <c r="Z14" i="16" s="1"/>
  <c r="X14" i="16"/>
  <c r="N23" i="16"/>
  <c r="O23" i="16" s="1"/>
  <c r="N35" i="16"/>
  <c r="O35" i="16" s="1"/>
  <c r="R4" i="16"/>
  <c r="X4" i="16" s="1"/>
  <c r="R8" i="16"/>
  <c r="X8" i="16" s="1"/>
  <c r="R12" i="16"/>
  <c r="X12" i="16" s="1"/>
  <c r="R16" i="16"/>
  <c r="X16" i="16" s="1"/>
  <c r="M17" i="16"/>
  <c r="X18" i="16"/>
  <c r="G19" i="16"/>
  <c r="M19" i="16" s="1"/>
  <c r="R20" i="16"/>
  <c r="X20" i="16" s="1"/>
  <c r="M21" i="16"/>
  <c r="X22" i="16"/>
  <c r="G23" i="16"/>
  <c r="M23" i="16" s="1"/>
  <c r="R24" i="16"/>
  <c r="X24" i="16" s="1"/>
  <c r="G27" i="16"/>
  <c r="M27" i="16" s="1"/>
  <c r="R28" i="16"/>
  <c r="X28" i="16" s="1"/>
  <c r="M29" i="16"/>
  <c r="X30" i="16"/>
  <c r="G31" i="16"/>
  <c r="M31" i="16" s="1"/>
  <c r="R32" i="16"/>
  <c r="X32" i="16" s="1"/>
  <c r="X34" i="16"/>
  <c r="G35" i="16"/>
  <c r="M35" i="16" s="1"/>
  <c r="R36" i="16"/>
  <c r="X36" i="16" s="1"/>
  <c r="X38" i="16"/>
  <c r="G39" i="16"/>
  <c r="M39" i="16" s="1"/>
  <c r="R40" i="16"/>
  <c r="X40" i="16" s="1"/>
  <c r="M41" i="16"/>
  <c r="X42" i="16"/>
  <c r="N19" i="16"/>
  <c r="O19" i="16" s="1"/>
  <c r="N39" i="16"/>
  <c r="O39" i="16" s="1"/>
  <c r="R27" i="16"/>
  <c r="X27" i="16" s="1"/>
  <c r="R31" i="16"/>
  <c r="X31" i="16" s="1"/>
  <c r="G42" i="16"/>
  <c r="M42" i="16" s="1"/>
  <c r="Y5" i="15"/>
  <c r="Z5" i="15" s="1"/>
  <c r="X5" i="15"/>
  <c r="N8" i="15"/>
  <c r="O8" i="15" s="1"/>
  <c r="M8" i="15"/>
  <c r="M19" i="15"/>
  <c r="Y21" i="15"/>
  <c r="Z21" i="15" s="1"/>
  <c r="X21" i="15"/>
  <c r="N29" i="15"/>
  <c r="O29" i="15" s="1"/>
  <c r="M29" i="15"/>
  <c r="X30" i="15"/>
  <c r="Y30" i="15"/>
  <c r="Z30" i="15" s="1"/>
  <c r="N4" i="15"/>
  <c r="O4" i="15" s="1"/>
  <c r="M4" i="15"/>
  <c r="M9" i="15"/>
  <c r="G11" i="15"/>
  <c r="M11" i="15" s="1"/>
  <c r="Y17" i="15"/>
  <c r="Z17" i="15" s="1"/>
  <c r="X17" i="15"/>
  <c r="X18" i="15"/>
  <c r="N20" i="15"/>
  <c r="O20" i="15" s="1"/>
  <c r="M20" i="15"/>
  <c r="M27" i="15"/>
  <c r="N33" i="15"/>
  <c r="O33" i="15" s="1"/>
  <c r="M33" i="15"/>
  <c r="Y34" i="15"/>
  <c r="Z34" i="15" s="1"/>
  <c r="X34" i="15"/>
  <c r="M5" i="15"/>
  <c r="Y13" i="15"/>
  <c r="Z13" i="15" s="1"/>
  <c r="X13" i="15"/>
  <c r="X14" i="15"/>
  <c r="N16" i="15"/>
  <c r="O16" i="15" s="1"/>
  <c r="M16" i="15"/>
  <c r="M21" i="15"/>
  <c r="N22" i="15"/>
  <c r="O22" i="15" s="1"/>
  <c r="G22" i="15"/>
  <c r="M22" i="15" s="1"/>
  <c r="X22" i="15"/>
  <c r="Y22" i="15"/>
  <c r="Z22" i="15" s="1"/>
  <c r="N27" i="15"/>
  <c r="O27" i="15" s="1"/>
  <c r="M31" i="15"/>
  <c r="N37" i="15"/>
  <c r="O37" i="15" s="1"/>
  <c r="M37" i="15"/>
  <c r="Y38" i="15"/>
  <c r="Z38" i="15" s="1"/>
  <c r="X38" i="15"/>
  <c r="Y9" i="15"/>
  <c r="Z9" i="15" s="1"/>
  <c r="X9" i="15"/>
  <c r="X10" i="15"/>
  <c r="N12" i="15"/>
  <c r="O12" i="15" s="1"/>
  <c r="M12" i="15"/>
  <c r="N14" i="15"/>
  <c r="O14" i="15" s="1"/>
  <c r="M17" i="15"/>
  <c r="N25" i="15"/>
  <c r="O25" i="15" s="1"/>
  <c r="M25" i="15"/>
  <c r="Y26" i="15"/>
  <c r="Z26" i="15" s="1"/>
  <c r="X26" i="15"/>
  <c r="N31" i="15"/>
  <c r="O31" i="15" s="1"/>
  <c r="N41" i="15"/>
  <c r="O41" i="15" s="1"/>
  <c r="M41" i="15"/>
  <c r="Y42" i="15"/>
  <c r="Z42" i="15" s="1"/>
  <c r="X42" i="15"/>
  <c r="M24" i="15"/>
  <c r="X25" i="15"/>
  <c r="G26" i="15"/>
  <c r="M26" i="15" s="1"/>
  <c r="M28" i="15"/>
  <c r="X29" i="15"/>
  <c r="G30" i="15"/>
  <c r="M30" i="15" s="1"/>
  <c r="M32" i="15"/>
  <c r="X33" i="15"/>
  <c r="G34" i="15"/>
  <c r="M34" i="15" s="1"/>
  <c r="M36" i="15"/>
  <c r="X37" i="15"/>
  <c r="G38" i="15"/>
  <c r="M38" i="15" s="1"/>
  <c r="M40" i="15"/>
  <c r="X41" i="15"/>
  <c r="G42" i="15"/>
  <c r="M42" i="15" s="1"/>
  <c r="Y5" i="14"/>
  <c r="Z5" i="14" s="1"/>
  <c r="X5" i="14"/>
  <c r="N8" i="14"/>
  <c r="O8" i="14" s="1"/>
  <c r="M8" i="14"/>
  <c r="M29" i="14"/>
  <c r="N29" i="14"/>
  <c r="O29" i="14" s="1"/>
  <c r="X30" i="14"/>
  <c r="Y30" i="14"/>
  <c r="Z30" i="14" s="1"/>
  <c r="N4" i="14"/>
  <c r="O4" i="14" s="1"/>
  <c r="M4" i="14"/>
  <c r="M9" i="14"/>
  <c r="Y17" i="14"/>
  <c r="Z17" i="14" s="1"/>
  <c r="X17" i="14"/>
  <c r="X18" i="14"/>
  <c r="M27" i="14"/>
  <c r="N33" i="14"/>
  <c r="O33" i="14" s="1"/>
  <c r="M33" i="14"/>
  <c r="X34" i="14"/>
  <c r="Y34" i="14"/>
  <c r="Z34" i="14" s="1"/>
  <c r="M5" i="14"/>
  <c r="Y13" i="14"/>
  <c r="Z13" i="14" s="1"/>
  <c r="X13" i="14"/>
  <c r="X14" i="14"/>
  <c r="N16" i="14"/>
  <c r="O16" i="14" s="1"/>
  <c r="M16" i="14"/>
  <c r="N18" i="14"/>
  <c r="O18" i="14" s="1"/>
  <c r="M21" i="14"/>
  <c r="X22" i="14"/>
  <c r="Y22" i="14"/>
  <c r="Z22" i="14" s="1"/>
  <c r="N27" i="14"/>
  <c r="O27" i="14" s="1"/>
  <c r="N37" i="14"/>
  <c r="O37" i="14" s="1"/>
  <c r="M37" i="14"/>
  <c r="Y38" i="14"/>
  <c r="Z38" i="14" s="1"/>
  <c r="X38" i="14"/>
  <c r="Y21" i="14"/>
  <c r="Z21" i="14" s="1"/>
  <c r="X21" i="14"/>
  <c r="G11" i="14"/>
  <c r="M11" i="14" s="1"/>
  <c r="M15" i="14"/>
  <c r="X16" i="14"/>
  <c r="N20" i="14"/>
  <c r="O20" i="14" s="1"/>
  <c r="M20" i="14"/>
  <c r="M7" i="14"/>
  <c r="Y9" i="14"/>
  <c r="Z9" i="14" s="1"/>
  <c r="X9" i="14"/>
  <c r="N12" i="14"/>
  <c r="O12" i="14" s="1"/>
  <c r="M12" i="14"/>
  <c r="N14" i="14"/>
  <c r="O14" i="14" s="1"/>
  <c r="N25" i="14"/>
  <c r="O25" i="14" s="1"/>
  <c r="M25" i="14"/>
  <c r="Y26" i="14"/>
  <c r="Z26" i="14" s="1"/>
  <c r="X26" i="14"/>
  <c r="N31" i="14"/>
  <c r="O31" i="14" s="1"/>
  <c r="M41" i="14"/>
  <c r="N41" i="14"/>
  <c r="O41" i="14" s="1"/>
  <c r="X42" i="14"/>
  <c r="Y42" i="14"/>
  <c r="Z42" i="14" s="1"/>
  <c r="N22" i="14"/>
  <c r="O22" i="14" s="1"/>
  <c r="N30" i="14"/>
  <c r="O30" i="14" s="1"/>
  <c r="N42" i="14"/>
  <c r="O42" i="14" s="1"/>
  <c r="M24" i="14"/>
  <c r="X25" i="14"/>
  <c r="G26" i="14"/>
  <c r="M26" i="14" s="1"/>
  <c r="M28" i="14"/>
  <c r="X29" i="14"/>
  <c r="M32" i="14"/>
  <c r="X33" i="14"/>
  <c r="G34" i="14"/>
  <c r="M34" i="14" s="1"/>
  <c r="M36" i="14"/>
  <c r="X37" i="14"/>
  <c r="G38" i="14"/>
  <c r="M38" i="14" s="1"/>
  <c r="M40" i="14"/>
  <c r="X41" i="14"/>
  <c r="N7" i="13"/>
  <c r="O7" i="13" s="1"/>
  <c r="N27" i="13"/>
  <c r="O27" i="13" s="1"/>
  <c r="N31" i="13"/>
  <c r="O31" i="13" s="1"/>
  <c r="N39" i="13"/>
  <c r="O39" i="13" s="1"/>
  <c r="M5" i="13"/>
  <c r="X6" i="13"/>
  <c r="M9" i="13"/>
  <c r="X10" i="13"/>
  <c r="G11" i="13"/>
  <c r="M11" i="13" s="1"/>
  <c r="M13" i="13"/>
  <c r="X14" i="13"/>
  <c r="G15" i="13"/>
  <c r="M15" i="13" s="1"/>
  <c r="M17" i="13"/>
  <c r="X18" i="13"/>
  <c r="G19" i="13"/>
  <c r="M19" i="13" s="1"/>
  <c r="M21" i="13"/>
  <c r="X22" i="13"/>
  <c r="G23" i="13"/>
  <c r="M23" i="13" s="1"/>
  <c r="M25" i="13"/>
  <c r="X26" i="13"/>
  <c r="M29" i="13"/>
  <c r="X30" i="13"/>
  <c r="M33" i="13"/>
  <c r="X34" i="13"/>
  <c r="G35" i="13"/>
  <c r="M35" i="13" s="1"/>
  <c r="M37" i="13"/>
  <c r="X38" i="13"/>
  <c r="M41" i="13"/>
  <c r="X42" i="13"/>
  <c r="X8" i="5"/>
  <c r="X9" i="5"/>
  <c r="X15" i="5"/>
  <c r="X24" i="5"/>
  <c r="X25" i="5"/>
  <c r="X31" i="5"/>
  <c r="X40" i="5"/>
  <c r="X41" i="5"/>
  <c r="X19" i="5"/>
  <c r="X35" i="5"/>
  <c r="X7" i="5"/>
  <c r="X23" i="5"/>
  <c r="X39" i="5"/>
  <c r="X4" i="5"/>
  <c r="X6" i="5"/>
  <c r="X10" i="5"/>
  <c r="X14" i="5"/>
  <c r="X18" i="5"/>
  <c r="X22" i="5"/>
  <c r="X26" i="5"/>
  <c r="X30" i="5"/>
  <c r="X34" i="5"/>
  <c r="X38" i="5"/>
  <c r="X42" i="5"/>
  <c r="N4" i="5"/>
  <c r="O4" i="5" s="1"/>
  <c r="N6" i="5"/>
  <c r="O6" i="5" s="1"/>
  <c r="N8" i="5"/>
  <c r="O8" i="5" s="1"/>
  <c r="N10" i="5"/>
  <c r="O10" i="5" s="1"/>
  <c r="N12" i="5"/>
  <c r="O12" i="5" s="1"/>
  <c r="N14" i="5"/>
  <c r="O14" i="5" s="1"/>
  <c r="N16" i="5"/>
  <c r="O16" i="5" s="1"/>
  <c r="N18" i="5"/>
  <c r="O18" i="5" s="1"/>
  <c r="N20" i="5"/>
  <c r="O20" i="5" s="1"/>
  <c r="N22" i="5"/>
  <c r="O22" i="5" s="1"/>
  <c r="N24" i="5"/>
  <c r="O24" i="5" s="1"/>
  <c r="N26" i="5"/>
  <c r="O26" i="5" s="1"/>
  <c r="N28" i="5"/>
  <c r="O28" i="5" s="1"/>
  <c r="N30" i="5"/>
  <c r="O30" i="5" s="1"/>
  <c r="N32" i="5"/>
  <c r="O32" i="5" s="1"/>
  <c r="N34" i="5"/>
  <c r="O34" i="5" s="1"/>
  <c r="N36" i="5"/>
  <c r="O36" i="5" s="1"/>
  <c r="N38" i="5"/>
  <c r="O38" i="5" s="1"/>
  <c r="N40" i="5"/>
  <c r="O40" i="5" s="1"/>
  <c r="N42" i="5"/>
  <c r="O42" i="5" s="1"/>
  <c r="M7" i="5"/>
  <c r="M15" i="5"/>
  <c r="M17" i="5"/>
  <c r="M29" i="5"/>
  <c r="M31" i="5"/>
  <c r="M33" i="5"/>
  <c r="M35" i="5"/>
  <c r="M37" i="5"/>
  <c r="M39" i="5"/>
  <c r="M41" i="5"/>
  <c r="N7" i="5"/>
  <c r="O7" i="5" s="1"/>
  <c r="N15" i="5"/>
  <c r="O15" i="5" s="1"/>
  <c r="N17" i="5"/>
  <c r="O17" i="5" s="1"/>
  <c r="N29" i="5"/>
  <c r="O29" i="5" s="1"/>
  <c r="N31" i="5"/>
  <c r="O31" i="5" s="1"/>
  <c r="N33" i="5"/>
  <c r="O33" i="5" s="1"/>
  <c r="N35" i="5"/>
  <c r="O35" i="5" s="1"/>
  <c r="N37" i="5"/>
  <c r="O37" i="5" s="1"/>
  <c r="N39" i="5"/>
  <c r="O39" i="5" s="1"/>
  <c r="N41" i="5"/>
  <c r="O41" i="5" s="1"/>
  <c r="M4" i="5"/>
  <c r="G5" i="5"/>
  <c r="M5" i="5" s="1"/>
  <c r="M6" i="5"/>
  <c r="M8" i="5"/>
  <c r="G9" i="5"/>
  <c r="M9" i="5" s="1"/>
  <c r="M10" i="5"/>
  <c r="G11" i="5"/>
  <c r="M11" i="5" s="1"/>
  <c r="M12" i="5"/>
  <c r="G13" i="5"/>
  <c r="M13" i="5" s="1"/>
  <c r="M14" i="5"/>
  <c r="M16" i="5"/>
  <c r="M18" i="5"/>
  <c r="G19" i="5"/>
  <c r="M19" i="5" s="1"/>
  <c r="M20" i="5"/>
  <c r="G21" i="5"/>
  <c r="M21" i="5" s="1"/>
  <c r="M22" i="5"/>
  <c r="G23" i="5"/>
  <c r="M23" i="5" s="1"/>
  <c r="M24" i="5"/>
  <c r="G25" i="5"/>
  <c r="M25" i="5" s="1"/>
  <c r="M26" i="5"/>
  <c r="G27" i="5"/>
  <c r="M27" i="5" s="1"/>
  <c r="M28" i="5"/>
  <c r="M30" i="5"/>
  <c r="M32" i="5"/>
  <c r="M34" i="5"/>
  <c r="M36" i="5"/>
  <c r="M38" i="5"/>
  <c r="M40" i="5"/>
  <c r="M42" i="5"/>
  <c r="X7" i="6"/>
  <c r="X13" i="6"/>
  <c r="X35" i="6"/>
  <c r="Y36" i="6"/>
  <c r="Z36" i="6" s="1"/>
  <c r="Y9" i="6"/>
  <c r="Z9" i="6" s="1"/>
  <c r="X20" i="6"/>
  <c r="X8" i="6"/>
  <c r="Y19" i="6"/>
  <c r="Z19" i="6" s="1"/>
  <c r="Y15" i="6"/>
  <c r="Z15" i="6" s="1"/>
  <c r="Y11" i="6"/>
  <c r="Z11" i="6" s="1"/>
  <c r="X4" i="6"/>
  <c r="X28" i="6"/>
  <c r="X32" i="6"/>
  <c r="X5" i="6"/>
  <c r="X33" i="6"/>
  <c r="X37" i="6"/>
  <c r="X41" i="6"/>
  <c r="X6" i="6"/>
  <c r="X10" i="6"/>
  <c r="X14" i="6"/>
  <c r="X18" i="6"/>
  <c r="X22" i="6"/>
  <c r="X26" i="6"/>
  <c r="X34" i="6"/>
  <c r="X27" i="6"/>
  <c r="X31" i="6"/>
  <c r="N39" i="6"/>
  <c r="O39" i="6" s="1"/>
  <c r="M36" i="6"/>
  <c r="N31" i="6"/>
  <c r="O31" i="6" s="1"/>
  <c r="M28" i="6"/>
  <c r="M20" i="6"/>
  <c r="M16" i="6"/>
  <c r="M22" i="6"/>
  <c r="M40" i="6"/>
  <c r="N35" i="6"/>
  <c r="O35" i="6" s="1"/>
  <c r="M32" i="6"/>
  <c r="N27" i="6"/>
  <c r="O27" i="6" s="1"/>
  <c r="M24" i="6"/>
  <c r="N19" i="6"/>
  <c r="O19" i="6" s="1"/>
  <c r="N15" i="6"/>
  <c r="O15" i="6" s="1"/>
  <c r="M12" i="6"/>
  <c r="N5" i="6"/>
  <c r="O5" i="6" s="1"/>
  <c r="N7" i="6"/>
  <c r="O7" i="6" s="1"/>
  <c r="N9" i="6"/>
  <c r="O9" i="6" s="1"/>
  <c r="N11" i="6"/>
  <c r="O11" i="6" s="1"/>
  <c r="N4" i="6"/>
  <c r="O4" i="6" s="1"/>
  <c r="N6" i="6"/>
  <c r="O6" i="6" s="1"/>
  <c r="N8" i="6"/>
  <c r="O8" i="6" s="1"/>
  <c r="N10" i="6"/>
  <c r="O10" i="6" s="1"/>
  <c r="G4" i="6"/>
  <c r="M4" i="6" s="1"/>
  <c r="AG253" i="10"/>
  <c r="AI253" i="10" s="1"/>
  <c r="AJ253" i="10" s="1"/>
  <c r="AA253" i="10"/>
  <c r="AB253" i="10" s="1"/>
  <c r="O253" i="10"/>
  <c r="I253" i="10"/>
  <c r="AG252" i="10"/>
  <c r="AI252" i="10" s="1"/>
  <c r="AJ252" i="10" s="1"/>
  <c r="AA252" i="10"/>
  <c r="AB252" i="10" s="1"/>
  <c r="O252" i="10"/>
  <c r="I252" i="10"/>
  <c r="AG251" i="10"/>
  <c r="AI251" i="10" s="1"/>
  <c r="AJ251" i="10" s="1"/>
  <c r="AA251" i="10"/>
  <c r="AB251" i="10" s="1"/>
  <c r="O251" i="10"/>
  <c r="I251" i="10"/>
  <c r="AG250" i="10"/>
  <c r="AI250" i="10" s="1"/>
  <c r="AJ250" i="10" s="1"/>
  <c r="AA250" i="10"/>
  <c r="AB250" i="10" s="1"/>
  <c r="O250" i="10"/>
  <c r="I250" i="10"/>
  <c r="AG249" i="10"/>
  <c r="AI249" i="10" s="1"/>
  <c r="AJ249" i="10" s="1"/>
  <c r="AA249" i="10"/>
  <c r="AB249" i="10" s="1"/>
  <c r="O249" i="10"/>
  <c r="I249" i="10"/>
  <c r="AG248" i="10"/>
  <c r="AI248" i="10" s="1"/>
  <c r="AJ248" i="10" s="1"/>
  <c r="AA248" i="10"/>
  <c r="AB248" i="10" s="1"/>
  <c r="O248" i="10"/>
  <c r="I248" i="10"/>
  <c r="AG247" i="10"/>
  <c r="AI247" i="10" s="1"/>
  <c r="AJ247" i="10" s="1"/>
  <c r="AA247" i="10"/>
  <c r="AB247" i="10" s="1"/>
  <c r="O247" i="10"/>
  <c r="I247" i="10"/>
  <c r="AG246" i="10"/>
  <c r="AI246" i="10" s="1"/>
  <c r="AJ246" i="10" s="1"/>
  <c r="AA246" i="10"/>
  <c r="AB246" i="10" s="1"/>
  <c r="O246" i="10"/>
  <c r="I246" i="10"/>
  <c r="AG245" i="10"/>
  <c r="AI245" i="10" s="1"/>
  <c r="AJ245" i="10" s="1"/>
  <c r="AA245" i="10"/>
  <c r="AB245" i="10" s="1"/>
  <c r="O245" i="10"/>
  <c r="I245" i="10"/>
  <c r="AG244" i="10"/>
  <c r="AI244" i="10" s="1"/>
  <c r="AJ244" i="10" s="1"/>
  <c r="AA244" i="10"/>
  <c r="AB244" i="10" s="1"/>
  <c r="O244" i="10"/>
  <c r="I244" i="10"/>
  <c r="AG243" i="10"/>
  <c r="AI243" i="10" s="1"/>
  <c r="AJ243" i="10" s="1"/>
  <c r="AA243" i="10"/>
  <c r="AB243" i="10" s="1"/>
  <c r="O243" i="10"/>
  <c r="I243" i="10"/>
  <c r="AG242" i="10"/>
  <c r="AI242" i="10" s="1"/>
  <c r="AJ242" i="10" s="1"/>
  <c r="AA242" i="10"/>
  <c r="AB242" i="10" s="1"/>
  <c r="O242" i="10"/>
  <c r="I242" i="10"/>
  <c r="AG241" i="10"/>
  <c r="AI241" i="10" s="1"/>
  <c r="AJ241" i="10" s="1"/>
  <c r="AA241" i="10"/>
  <c r="AB241" i="10" s="1"/>
  <c r="O241" i="10"/>
  <c r="I241" i="10"/>
  <c r="AG240" i="10"/>
  <c r="AI240" i="10" s="1"/>
  <c r="AJ240" i="10" s="1"/>
  <c r="AA240" i="10"/>
  <c r="AB240" i="10" s="1"/>
  <c r="O240" i="10"/>
  <c r="I240" i="10"/>
  <c r="AG239" i="10"/>
  <c r="AI239" i="10" s="1"/>
  <c r="AJ239" i="10" s="1"/>
  <c r="AB239" i="10"/>
  <c r="AA239" i="10"/>
  <c r="O239" i="10"/>
  <c r="Q239" i="10" s="1"/>
  <c r="R239" i="10" s="1"/>
  <c r="J239" i="10"/>
  <c r="I239" i="10"/>
  <c r="AG238" i="10"/>
  <c r="AI238" i="10" s="1"/>
  <c r="AJ238" i="10" s="1"/>
  <c r="AB238" i="10"/>
  <c r="AA238" i="10"/>
  <c r="O238" i="10"/>
  <c r="Q238" i="10" s="1"/>
  <c r="R238" i="10" s="1"/>
  <c r="I238" i="10"/>
  <c r="J238" i="10" s="1"/>
  <c r="AG237" i="10"/>
  <c r="AB237" i="10"/>
  <c r="AA237" i="10"/>
  <c r="O237" i="10"/>
  <c r="Q237" i="10" s="1"/>
  <c r="R237" i="10" s="1"/>
  <c r="I237" i="10"/>
  <c r="J237" i="10" s="1"/>
  <c r="AG236" i="10"/>
  <c r="AI236" i="10" s="1"/>
  <c r="AJ236" i="10" s="1"/>
  <c r="AB236" i="10"/>
  <c r="AA236" i="10"/>
  <c r="O236" i="10"/>
  <c r="I236" i="10"/>
  <c r="AG235" i="10"/>
  <c r="AI235" i="10" s="1"/>
  <c r="AJ235" i="10" s="1"/>
  <c r="AB235" i="10"/>
  <c r="AA235" i="10"/>
  <c r="Q235" i="10"/>
  <c r="R235" i="10" s="1"/>
  <c r="O235" i="10"/>
  <c r="J235" i="10"/>
  <c r="I235" i="10"/>
  <c r="AG234" i="10"/>
  <c r="AI234" i="10" s="1"/>
  <c r="AJ234" i="10" s="1"/>
  <c r="AB234" i="10"/>
  <c r="AA234" i="10"/>
  <c r="O234" i="10"/>
  <c r="Q234" i="10" s="1"/>
  <c r="R234" i="10" s="1"/>
  <c r="I234" i="10"/>
  <c r="J234" i="10" s="1"/>
  <c r="AG233" i="10"/>
  <c r="AA233" i="10"/>
  <c r="AB233" i="10" s="1"/>
  <c r="O233" i="10"/>
  <c r="Q233" i="10" s="1"/>
  <c r="R233" i="10" s="1"/>
  <c r="I233" i="10"/>
  <c r="J233" i="10" s="1"/>
  <c r="AG232" i="10"/>
  <c r="AA232" i="10"/>
  <c r="AB232" i="10" s="1"/>
  <c r="Q232" i="10"/>
  <c r="R232" i="10" s="1"/>
  <c r="O232" i="10"/>
  <c r="I232" i="10"/>
  <c r="J232" i="10" s="1"/>
  <c r="AG231" i="10"/>
  <c r="AA231" i="10"/>
  <c r="AB231" i="10" s="1"/>
  <c r="O231" i="10"/>
  <c r="Q231" i="10" s="1"/>
  <c r="R231" i="10" s="1"/>
  <c r="I231" i="10"/>
  <c r="J231" i="10" s="1"/>
  <c r="AG230" i="10"/>
  <c r="AI230" i="10" s="1"/>
  <c r="AJ230" i="10" s="1"/>
  <c r="AA230" i="10"/>
  <c r="AB230" i="10" s="1"/>
  <c r="O230" i="10"/>
  <c r="Q230" i="10" s="1"/>
  <c r="R230" i="10" s="1"/>
  <c r="I230" i="10"/>
  <c r="J230" i="10" s="1"/>
  <c r="AG229" i="10"/>
  <c r="AH229" i="10" s="1"/>
  <c r="AA229" i="10"/>
  <c r="AB229" i="10" s="1"/>
  <c r="O229" i="10"/>
  <c r="I229" i="10"/>
  <c r="J229" i="10" s="1"/>
  <c r="AG228" i="10"/>
  <c r="AI228" i="10" s="1"/>
  <c r="AJ228" i="10" s="1"/>
  <c r="AA228" i="10"/>
  <c r="AB228" i="10" s="1"/>
  <c r="O228" i="10"/>
  <c r="J228" i="10"/>
  <c r="I228" i="10"/>
  <c r="AG227" i="10"/>
  <c r="AA227" i="10"/>
  <c r="AB227" i="10" s="1"/>
  <c r="O227" i="10"/>
  <c r="I227" i="10"/>
  <c r="J227" i="10" s="1"/>
  <c r="AG226" i="10"/>
  <c r="AI226" i="10" s="1"/>
  <c r="AJ226" i="10" s="1"/>
  <c r="AA226" i="10"/>
  <c r="AB226" i="10" s="1"/>
  <c r="O226" i="10"/>
  <c r="Q226" i="10" s="1"/>
  <c r="R226" i="10" s="1"/>
  <c r="I226" i="10"/>
  <c r="J226" i="10" s="1"/>
  <c r="AG225" i="10"/>
  <c r="AI225" i="10" s="1"/>
  <c r="AJ225" i="10" s="1"/>
  <c r="AA225" i="10"/>
  <c r="AB225" i="10" s="1"/>
  <c r="O225" i="10"/>
  <c r="I225" i="10"/>
  <c r="J225" i="10" s="1"/>
  <c r="AG224" i="10"/>
  <c r="AA224" i="10"/>
  <c r="AB224" i="10" s="1"/>
  <c r="O224" i="10"/>
  <c r="J224" i="10"/>
  <c r="I224" i="10"/>
  <c r="AG198" i="10"/>
  <c r="AA198" i="10"/>
  <c r="AB198" i="10" s="1"/>
  <c r="O198" i="10"/>
  <c r="P198" i="10" s="1"/>
  <c r="J198" i="10"/>
  <c r="I198" i="10"/>
  <c r="AG197" i="10"/>
  <c r="AI197" i="10" s="1"/>
  <c r="AJ197" i="10" s="1"/>
  <c r="AA197" i="10"/>
  <c r="AB197" i="10" s="1"/>
  <c r="O197" i="10"/>
  <c r="J197" i="10"/>
  <c r="I197" i="10"/>
  <c r="AG196" i="10"/>
  <c r="AI196" i="10" s="1"/>
  <c r="AJ196" i="10" s="1"/>
  <c r="AA196" i="10"/>
  <c r="AB196" i="10" s="1"/>
  <c r="O196" i="10"/>
  <c r="P196" i="10" s="1"/>
  <c r="J196" i="10"/>
  <c r="I196" i="10"/>
  <c r="AG195" i="10"/>
  <c r="AI195" i="10" s="1"/>
  <c r="AJ195" i="10" s="1"/>
  <c r="AA195" i="10"/>
  <c r="AB195" i="10" s="1"/>
  <c r="O195" i="10"/>
  <c r="J195" i="10"/>
  <c r="I195" i="10"/>
  <c r="Q195" i="10" s="1"/>
  <c r="R195" i="10" s="1"/>
  <c r="AG194" i="10"/>
  <c r="AI194" i="10" s="1"/>
  <c r="AJ194" i="10" s="1"/>
  <c r="AA194" i="10"/>
  <c r="AB194" i="10" s="1"/>
  <c r="O194" i="10"/>
  <c r="P194" i="10" s="1"/>
  <c r="J194" i="10"/>
  <c r="I194" i="10"/>
  <c r="AG193" i="10"/>
  <c r="AI193" i="10" s="1"/>
  <c r="AJ193" i="10" s="1"/>
  <c r="AA193" i="10"/>
  <c r="AB193" i="10" s="1"/>
  <c r="O193" i="10"/>
  <c r="J193" i="10"/>
  <c r="I193" i="10"/>
  <c r="AG192" i="10"/>
  <c r="AI192" i="10" s="1"/>
  <c r="AJ192" i="10" s="1"/>
  <c r="AA192" i="10"/>
  <c r="AB192" i="10" s="1"/>
  <c r="O192" i="10"/>
  <c r="P192" i="10" s="1"/>
  <c r="J192" i="10"/>
  <c r="I192" i="10"/>
  <c r="Q192" i="10" s="1"/>
  <c r="R192" i="10" s="1"/>
  <c r="AG191" i="10"/>
  <c r="AI191" i="10" s="1"/>
  <c r="AJ191" i="10" s="1"/>
  <c r="AA191" i="10"/>
  <c r="AB191" i="10" s="1"/>
  <c r="O191" i="10"/>
  <c r="J191" i="10"/>
  <c r="I191" i="10"/>
  <c r="Q191" i="10" s="1"/>
  <c r="R191" i="10" s="1"/>
  <c r="AG190" i="10"/>
  <c r="AA190" i="10"/>
  <c r="AB190" i="10" s="1"/>
  <c r="O190" i="10"/>
  <c r="P190" i="10" s="1"/>
  <c r="J190" i="10"/>
  <c r="I190" i="10"/>
  <c r="AG189" i="10"/>
  <c r="AA189" i="10"/>
  <c r="AB189" i="10" s="1"/>
  <c r="O189" i="10"/>
  <c r="J189" i="10"/>
  <c r="I189" i="10"/>
  <c r="AG188" i="10"/>
  <c r="AA188" i="10"/>
  <c r="AB188" i="10" s="1"/>
  <c r="O188" i="10"/>
  <c r="P188" i="10" s="1"/>
  <c r="J188" i="10"/>
  <c r="I188" i="10"/>
  <c r="Q188" i="10" s="1"/>
  <c r="R188" i="10" s="1"/>
  <c r="AG187" i="10"/>
  <c r="AA187" i="10"/>
  <c r="AB187" i="10" s="1"/>
  <c r="O187" i="10"/>
  <c r="J187" i="10"/>
  <c r="I187" i="10"/>
  <c r="Q187" i="10" s="1"/>
  <c r="R187" i="10" s="1"/>
  <c r="AG186" i="10"/>
  <c r="AA186" i="10"/>
  <c r="AB186" i="10" s="1"/>
  <c r="O186" i="10"/>
  <c r="P186" i="10" s="1"/>
  <c r="J186" i="10"/>
  <c r="I186" i="10"/>
  <c r="AG185" i="10"/>
  <c r="AA185" i="10"/>
  <c r="AB185" i="10" s="1"/>
  <c r="O185" i="10"/>
  <c r="J185" i="10"/>
  <c r="I185" i="10"/>
  <c r="AG184" i="10"/>
  <c r="AA184" i="10"/>
  <c r="AB184" i="10" s="1"/>
  <c r="O184" i="10"/>
  <c r="P184" i="10" s="1"/>
  <c r="J184" i="10"/>
  <c r="I184" i="10"/>
  <c r="Q184" i="10" s="1"/>
  <c r="R184" i="10" s="1"/>
  <c r="AG183" i="10"/>
  <c r="AA183" i="10"/>
  <c r="AB183" i="10" s="1"/>
  <c r="O183" i="10"/>
  <c r="J183" i="10"/>
  <c r="I183" i="10"/>
  <c r="Q183" i="10" s="1"/>
  <c r="R183" i="10" s="1"/>
  <c r="AG182" i="10"/>
  <c r="AA182" i="10"/>
  <c r="AB182" i="10" s="1"/>
  <c r="O182" i="10"/>
  <c r="P182" i="10" s="1"/>
  <c r="J182" i="10"/>
  <c r="I182" i="10"/>
  <c r="AG181" i="10"/>
  <c r="AA181" i="10"/>
  <c r="AB181" i="10" s="1"/>
  <c r="O181" i="10"/>
  <c r="J181" i="10"/>
  <c r="I181" i="10"/>
  <c r="AG180" i="10"/>
  <c r="AA180" i="10"/>
  <c r="AB180" i="10" s="1"/>
  <c r="O180" i="10"/>
  <c r="J180" i="10"/>
  <c r="I180" i="10"/>
  <c r="Q180" i="10" s="1"/>
  <c r="R180" i="10" s="1"/>
  <c r="AG179" i="10"/>
  <c r="AI179" i="10" s="1"/>
  <c r="AJ179" i="10" s="1"/>
  <c r="AA179" i="10"/>
  <c r="AB179" i="10" s="1"/>
  <c r="O179" i="10"/>
  <c r="P179" i="10" s="1"/>
  <c r="J179" i="10"/>
  <c r="I179" i="10"/>
  <c r="AG178" i="10"/>
  <c r="AI178" i="10" s="1"/>
  <c r="AJ178" i="10" s="1"/>
  <c r="AA178" i="10"/>
  <c r="AB178" i="10" s="1"/>
  <c r="O178" i="10"/>
  <c r="I178" i="10"/>
  <c r="J178" i="10" s="1"/>
  <c r="AG177" i="10"/>
  <c r="AI177" i="10" s="1"/>
  <c r="AJ177" i="10" s="1"/>
  <c r="AA177" i="10"/>
  <c r="AB177" i="10" s="1"/>
  <c r="O177" i="10"/>
  <c r="I177" i="10"/>
  <c r="AG176" i="10"/>
  <c r="AA176" i="10"/>
  <c r="AB176" i="10" s="1"/>
  <c r="O176" i="10"/>
  <c r="J176" i="10"/>
  <c r="I176" i="10"/>
  <c r="AG175" i="10"/>
  <c r="AI175" i="10" s="1"/>
  <c r="AJ175" i="10" s="1"/>
  <c r="AA175" i="10"/>
  <c r="AB175" i="10" s="1"/>
  <c r="O175" i="10"/>
  <c r="J175" i="10"/>
  <c r="I175" i="10"/>
  <c r="AG174" i="10"/>
  <c r="AI174" i="10" s="1"/>
  <c r="AJ174" i="10" s="1"/>
  <c r="AA174" i="10"/>
  <c r="AB174" i="10" s="1"/>
  <c r="O174" i="10"/>
  <c r="Q174" i="10" s="1"/>
  <c r="R174" i="10" s="1"/>
  <c r="I174" i="10"/>
  <c r="J174" i="10" s="1"/>
  <c r="AG173" i="10"/>
  <c r="AI173" i="10" s="1"/>
  <c r="AJ173" i="10" s="1"/>
  <c r="AA173" i="10"/>
  <c r="AB173" i="10" s="1"/>
  <c r="O173" i="10"/>
  <c r="J173" i="10"/>
  <c r="I173" i="10"/>
  <c r="Q173" i="10" s="1"/>
  <c r="R173" i="10" s="1"/>
  <c r="AG172" i="10"/>
  <c r="AA172" i="10"/>
  <c r="AB172" i="10" s="1"/>
  <c r="O172" i="10"/>
  <c r="J172" i="10"/>
  <c r="I172" i="10"/>
  <c r="AG171" i="10"/>
  <c r="AI171" i="10" s="1"/>
  <c r="AJ171" i="10" s="1"/>
  <c r="AA171" i="10"/>
  <c r="AB171" i="10" s="1"/>
  <c r="O171" i="10"/>
  <c r="P171" i="10" s="1"/>
  <c r="J171" i="10"/>
  <c r="I171" i="10"/>
  <c r="AG170" i="10"/>
  <c r="AI170" i="10" s="1"/>
  <c r="AJ170" i="10" s="1"/>
  <c r="AA170" i="10"/>
  <c r="AB170" i="10" s="1"/>
  <c r="O170" i="10"/>
  <c r="Q170" i="10" s="1"/>
  <c r="R170" i="10" s="1"/>
  <c r="I170" i="10"/>
  <c r="J170" i="10" s="1"/>
  <c r="AG169" i="10"/>
  <c r="AA169" i="10"/>
  <c r="AB169" i="10" s="1"/>
  <c r="O169" i="10"/>
  <c r="I169" i="10"/>
  <c r="AG143" i="10"/>
  <c r="AA143" i="10"/>
  <c r="AB143" i="10" s="1"/>
  <c r="O143" i="10"/>
  <c r="J143" i="10"/>
  <c r="I143" i="10"/>
  <c r="AG142" i="10"/>
  <c r="AI142" i="10" s="1"/>
  <c r="AJ142" i="10" s="1"/>
  <c r="AA142" i="10"/>
  <c r="AB142" i="10" s="1"/>
  <c r="O142" i="10"/>
  <c r="P142" i="10" s="1"/>
  <c r="J142" i="10"/>
  <c r="I142" i="10"/>
  <c r="AG141" i="10"/>
  <c r="AI141" i="10" s="1"/>
  <c r="AJ141" i="10" s="1"/>
  <c r="AA141" i="10"/>
  <c r="AB141" i="10" s="1"/>
  <c r="O141" i="10"/>
  <c r="I141" i="10"/>
  <c r="J141" i="10" s="1"/>
  <c r="AG140" i="10"/>
  <c r="AA140" i="10"/>
  <c r="AB140" i="10" s="1"/>
  <c r="O140" i="10"/>
  <c r="I140" i="10"/>
  <c r="Q140" i="10" s="1"/>
  <c r="R140" i="10" s="1"/>
  <c r="AG139" i="10"/>
  <c r="AA139" i="10"/>
  <c r="AB139" i="10" s="1"/>
  <c r="O139" i="10"/>
  <c r="J139" i="10"/>
  <c r="I139" i="10"/>
  <c r="AG138" i="10"/>
  <c r="AI138" i="10" s="1"/>
  <c r="AJ138" i="10" s="1"/>
  <c r="AA138" i="10"/>
  <c r="AB138" i="10" s="1"/>
  <c r="Q138" i="10"/>
  <c r="R138" i="10" s="1"/>
  <c r="O138" i="10"/>
  <c r="J138" i="10"/>
  <c r="I138" i="10"/>
  <c r="AG137" i="10"/>
  <c r="AI137" i="10" s="1"/>
  <c r="AJ137" i="10" s="1"/>
  <c r="AA137" i="10"/>
  <c r="AB137" i="10" s="1"/>
  <c r="O137" i="10"/>
  <c r="I137" i="10"/>
  <c r="J137" i="10" s="1"/>
  <c r="AG136" i="10"/>
  <c r="AI136" i="10" s="1"/>
  <c r="AJ136" i="10" s="1"/>
  <c r="AA136" i="10"/>
  <c r="AB136" i="10" s="1"/>
  <c r="O136" i="10"/>
  <c r="I136" i="10"/>
  <c r="Q136" i="10" s="1"/>
  <c r="R136" i="10" s="1"/>
  <c r="AG135" i="10"/>
  <c r="AA135" i="10"/>
  <c r="AB135" i="10" s="1"/>
  <c r="O135" i="10"/>
  <c r="J135" i="10"/>
  <c r="I135" i="10"/>
  <c r="AG134" i="10"/>
  <c r="AI134" i="10" s="1"/>
  <c r="AJ134" i="10" s="1"/>
  <c r="AA134" i="10"/>
  <c r="AB134" i="10" s="1"/>
  <c r="O134" i="10"/>
  <c r="P134" i="10" s="1"/>
  <c r="J134" i="10"/>
  <c r="I134" i="10"/>
  <c r="AG133" i="10"/>
  <c r="AI133" i="10" s="1"/>
  <c r="AJ133" i="10" s="1"/>
  <c r="AA133" i="10"/>
  <c r="AB133" i="10" s="1"/>
  <c r="Q133" i="10"/>
  <c r="R133" i="10" s="1"/>
  <c r="O133" i="10"/>
  <c r="J133" i="10"/>
  <c r="P133" i="10" s="1"/>
  <c r="I133" i="10"/>
  <c r="AG132" i="10"/>
  <c r="AI132" i="10" s="1"/>
  <c r="AJ132" i="10" s="1"/>
  <c r="AB132" i="10"/>
  <c r="AA132" i="10"/>
  <c r="O132" i="10"/>
  <c r="I132" i="10"/>
  <c r="J132" i="10" s="1"/>
  <c r="AG131" i="10"/>
  <c r="AB131" i="10"/>
  <c r="AA131" i="10"/>
  <c r="O131" i="10"/>
  <c r="Q131" i="10" s="1"/>
  <c r="R131" i="10" s="1"/>
  <c r="J131" i="10"/>
  <c r="I131" i="10"/>
  <c r="AG130" i="10"/>
  <c r="AI130" i="10" s="1"/>
  <c r="AJ130" i="10" s="1"/>
  <c r="AB130" i="10"/>
  <c r="AH130" i="10" s="1"/>
  <c r="AA130" i="10"/>
  <c r="O130" i="10"/>
  <c r="I130" i="10"/>
  <c r="AG129" i="10"/>
  <c r="AI129" i="10" s="1"/>
  <c r="AJ129" i="10" s="1"/>
  <c r="AB129" i="10"/>
  <c r="AA129" i="10"/>
  <c r="O129" i="10"/>
  <c r="Q129" i="10" s="1"/>
  <c r="R129" i="10" s="1"/>
  <c r="J129" i="10"/>
  <c r="I129" i="10"/>
  <c r="AG128" i="10"/>
  <c r="AI128" i="10" s="1"/>
  <c r="AJ128" i="10" s="1"/>
  <c r="AB128" i="10"/>
  <c r="AA128" i="10"/>
  <c r="O128" i="10"/>
  <c r="I128" i="10"/>
  <c r="AG127" i="10"/>
  <c r="AB127" i="10"/>
  <c r="AA127" i="10"/>
  <c r="O127" i="10"/>
  <c r="Q127" i="10" s="1"/>
  <c r="R127" i="10" s="1"/>
  <c r="J127" i="10"/>
  <c r="I127" i="10"/>
  <c r="AG126" i="10"/>
  <c r="AI126" i="10" s="1"/>
  <c r="AJ126" i="10" s="1"/>
  <c r="AB126" i="10"/>
  <c r="AA126" i="10"/>
  <c r="O126" i="10"/>
  <c r="I126" i="10"/>
  <c r="AG125" i="10"/>
  <c r="AI125" i="10" s="1"/>
  <c r="AJ125" i="10" s="1"/>
  <c r="AB125" i="10"/>
  <c r="AA125" i="10"/>
  <c r="O125" i="10"/>
  <c r="J125" i="10"/>
  <c r="P125" i="10" s="1"/>
  <c r="I125" i="10"/>
  <c r="Q125" i="10" s="1"/>
  <c r="R125" i="10" s="1"/>
  <c r="AG124" i="10"/>
  <c r="AA124" i="10"/>
  <c r="AB124" i="10" s="1"/>
  <c r="Q124" i="10"/>
  <c r="R124" i="10" s="1"/>
  <c r="O124" i="10"/>
  <c r="P124" i="10" s="1"/>
  <c r="I124" i="10"/>
  <c r="J124" i="10" s="1"/>
  <c r="AG123" i="10"/>
  <c r="AI123" i="10" s="1"/>
  <c r="AJ123" i="10" s="1"/>
  <c r="AA123" i="10"/>
  <c r="AB123" i="10" s="1"/>
  <c r="O123" i="10"/>
  <c r="I123" i="10"/>
  <c r="J123" i="10" s="1"/>
  <c r="AG122" i="10"/>
  <c r="AA122" i="10"/>
  <c r="Q122" i="10"/>
  <c r="R122" i="10" s="1"/>
  <c r="O122" i="10"/>
  <c r="I122" i="10"/>
  <c r="J122" i="10" s="1"/>
  <c r="AG121" i="10"/>
  <c r="AI121" i="10" s="1"/>
  <c r="AJ121" i="10" s="1"/>
  <c r="AA121" i="10"/>
  <c r="AB121" i="10" s="1"/>
  <c r="O121" i="10"/>
  <c r="I121" i="10"/>
  <c r="J121" i="10" s="1"/>
  <c r="AG120" i="10"/>
  <c r="AA120" i="10"/>
  <c r="Q120" i="10"/>
  <c r="R120" i="10" s="1"/>
  <c r="O120" i="10"/>
  <c r="P120" i="10" s="1"/>
  <c r="I120" i="10"/>
  <c r="J120" i="10" s="1"/>
  <c r="AG119" i="10"/>
  <c r="AI119" i="10" s="1"/>
  <c r="AJ119" i="10" s="1"/>
  <c r="AA119" i="10"/>
  <c r="AB119" i="10" s="1"/>
  <c r="O119" i="10"/>
  <c r="I119" i="10"/>
  <c r="J119" i="10" s="1"/>
  <c r="AG118" i="10"/>
  <c r="AA118" i="10"/>
  <c r="AB118" i="10" s="1"/>
  <c r="O118" i="10"/>
  <c r="J118" i="10"/>
  <c r="I118" i="10"/>
  <c r="AG117" i="10"/>
  <c r="AI117" i="10" s="1"/>
  <c r="AJ117" i="10" s="1"/>
  <c r="AA117" i="10"/>
  <c r="AB117" i="10" s="1"/>
  <c r="Q117" i="10"/>
  <c r="R117" i="10" s="1"/>
  <c r="O117" i="10"/>
  <c r="P117" i="10" s="1"/>
  <c r="J117" i="10"/>
  <c r="I117" i="10"/>
  <c r="AG116" i="10"/>
  <c r="AH116" i="10" s="1"/>
  <c r="AA116" i="10"/>
  <c r="AB116" i="10" s="1"/>
  <c r="O116" i="10"/>
  <c r="I116" i="10"/>
  <c r="AG115" i="10"/>
  <c r="AA115" i="10"/>
  <c r="O115" i="10"/>
  <c r="J115" i="10"/>
  <c r="I115" i="10"/>
  <c r="AG114" i="10"/>
  <c r="AA114" i="10"/>
  <c r="AB114" i="10" s="1"/>
  <c r="O114" i="10"/>
  <c r="J114" i="10"/>
  <c r="I114" i="10"/>
  <c r="AG87" i="10"/>
  <c r="AI87" i="10" s="1"/>
  <c r="AJ87" i="10" s="1"/>
  <c r="AA87" i="10"/>
  <c r="AB87" i="10" s="1"/>
  <c r="O87" i="10"/>
  <c r="Q87" i="10" s="1"/>
  <c r="R87" i="10" s="1"/>
  <c r="J87" i="10"/>
  <c r="I87" i="10"/>
  <c r="AG86" i="10"/>
  <c r="AI86" i="10" s="1"/>
  <c r="AJ86" i="10" s="1"/>
  <c r="AA86" i="10"/>
  <c r="AB86" i="10" s="1"/>
  <c r="O86" i="10"/>
  <c r="I86" i="10"/>
  <c r="AG85" i="10"/>
  <c r="AA85" i="10"/>
  <c r="O85" i="10"/>
  <c r="J85" i="10"/>
  <c r="I85" i="10"/>
  <c r="AG84" i="10"/>
  <c r="AA84" i="10"/>
  <c r="AB84" i="10" s="1"/>
  <c r="O84" i="10"/>
  <c r="J84" i="10"/>
  <c r="I84" i="10"/>
  <c r="AG83" i="10"/>
  <c r="AI83" i="10" s="1"/>
  <c r="AJ83" i="10" s="1"/>
  <c r="AA83" i="10"/>
  <c r="AB83" i="10" s="1"/>
  <c r="O83" i="10"/>
  <c r="J83" i="10"/>
  <c r="I83" i="10"/>
  <c r="AH82" i="10"/>
  <c r="AG82" i="10"/>
  <c r="AI82" i="10" s="1"/>
  <c r="AJ82" i="10" s="1"/>
  <c r="AA82" i="10"/>
  <c r="AB82" i="10" s="1"/>
  <c r="O82" i="10"/>
  <c r="Q82" i="10" s="1"/>
  <c r="R82" i="10" s="1"/>
  <c r="I82" i="10"/>
  <c r="J82" i="10" s="1"/>
  <c r="AG81" i="10"/>
  <c r="AI81" i="10" s="1"/>
  <c r="AJ81" i="10" s="1"/>
  <c r="AA81" i="10"/>
  <c r="AB81" i="10" s="1"/>
  <c r="O81" i="10"/>
  <c r="J81" i="10"/>
  <c r="I81" i="10"/>
  <c r="Q81" i="10" s="1"/>
  <c r="R81" i="10" s="1"/>
  <c r="AG80" i="10"/>
  <c r="AA80" i="10"/>
  <c r="AB80" i="10" s="1"/>
  <c r="O80" i="10"/>
  <c r="J80" i="10"/>
  <c r="I80" i="10"/>
  <c r="AG79" i="10"/>
  <c r="AI79" i="10" s="1"/>
  <c r="AJ79" i="10" s="1"/>
  <c r="AA79" i="10"/>
  <c r="AB79" i="10" s="1"/>
  <c r="O79" i="10"/>
  <c r="P79" i="10" s="1"/>
  <c r="J79" i="10"/>
  <c r="I79" i="10"/>
  <c r="AG78" i="10"/>
  <c r="AI78" i="10" s="1"/>
  <c r="AJ78" i="10" s="1"/>
  <c r="AA78" i="10"/>
  <c r="AB78" i="10" s="1"/>
  <c r="O78" i="10"/>
  <c r="Q78" i="10" s="1"/>
  <c r="R78" i="10" s="1"/>
  <c r="I78" i="10"/>
  <c r="J78" i="10" s="1"/>
  <c r="AG77" i="10"/>
  <c r="AB77" i="10"/>
  <c r="AA77" i="10"/>
  <c r="O77" i="10"/>
  <c r="Q77" i="10" s="1"/>
  <c r="R77" i="10" s="1"/>
  <c r="J77" i="10"/>
  <c r="I77" i="10"/>
  <c r="AG76" i="10"/>
  <c r="AI76" i="10" s="1"/>
  <c r="AJ76" i="10" s="1"/>
  <c r="AB76" i="10"/>
  <c r="AA76" i="10"/>
  <c r="O76" i="10"/>
  <c r="Q76" i="10" s="1"/>
  <c r="R76" i="10" s="1"/>
  <c r="J76" i="10"/>
  <c r="I76" i="10"/>
  <c r="AG75" i="10"/>
  <c r="AI75" i="10" s="1"/>
  <c r="AJ75" i="10" s="1"/>
  <c r="AA75" i="10"/>
  <c r="AB75" i="10" s="1"/>
  <c r="O75" i="10"/>
  <c r="Q75" i="10" s="1"/>
  <c r="R75" i="10" s="1"/>
  <c r="J75" i="10"/>
  <c r="P75" i="10" s="1"/>
  <c r="I75" i="10"/>
  <c r="AG74" i="10"/>
  <c r="AA74" i="10"/>
  <c r="P74" i="10"/>
  <c r="O74" i="10"/>
  <c r="Q74" i="10" s="1"/>
  <c r="R74" i="10" s="1"/>
  <c r="J74" i="10"/>
  <c r="I74" i="10"/>
  <c r="AG73" i="10"/>
  <c r="AB73" i="10"/>
  <c r="AA73" i="10"/>
  <c r="O73" i="10"/>
  <c r="Q73" i="10" s="1"/>
  <c r="R73" i="10" s="1"/>
  <c r="J73" i="10"/>
  <c r="I73" i="10"/>
  <c r="AG72" i="10"/>
  <c r="AI72" i="10" s="1"/>
  <c r="AJ72" i="10" s="1"/>
  <c r="AB72" i="10"/>
  <c r="AA72" i="10"/>
  <c r="O72" i="10"/>
  <c r="Q72" i="10" s="1"/>
  <c r="R72" i="10" s="1"/>
  <c r="J72" i="10"/>
  <c r="I72" i="10"/>
  <c r="AG71" i="10"/>
  <c r="AI71" i="10" s="1"/>
  <c r="AJ71" i="10" s="1"/>
  <c r="AA71" i="10"/>
  <c r="AB71" i="10" s="1"/>
  <c r="O71" i="10"/>
  <c r="Q71" i="10" s="1"/>
  <c r="R71" i="10" s="1"/>
  <c r="J71" i="10"/>
  <c r="I71" i="10"/>
  <c r="AG70" i="10"/>
  <c r="AA70" i="10"/>
  <c r="O70" i="10"/>
  <c r="Q70" i="10" s="1"/>
  <c r="R70" i="10" s="1"/>
  <c r="I70" i="10"/>
  <c r="J70" i="10" s="1"/>
  <c r="AG69" i="10"/>
  <c r="AA69" i="10"/>
  <c r="O69" i="10"/>
  <c r="Q69" i="10" s="1"/>
  <c r="R69" i="10" s="1"/>
  <c r="I69" i="10"/>
  <c r="J69" i="10" s="1"/>
  <c r="AG68" i="10"/>
  <c r="AA68" i="10"/>
  <c r="O68" i="10"/>
  <c r="Q68" i="10" s="1"/>
  <c r="R68" i="10" s="1"/>
  <c r="I68" i="10"/>
  <c r="J68" i="10" s="1"/>
  <c r="AG67" i="10"/>
  <c r="AA67" i="10"/>
  <c r="O67" i="10"/>
  <c r="Q67" i="10" s="1"/>
  <c r="R67" i="10" s="1"/>
  <c r="I67" i="10"/>
  <c r="J67" i="10" s="1"/>
  <c r="AG66" i="10"/>
  <c r="AA66" i="10"/>
  <c r="O66" i="10"/>
  <c r="Q66" i="10" s="1"/>
  <c r="R66" i="10" s="1"/>
  <c r="I66" i="10"/>
  <c r="J66" i="10" s="1"/>
  <c r="AG65" i="10"/>
  <c r="AA65" i="10"/>
  <c r="O65" i="10"/>
  <c r="Q65" i="10" s="1"/>
  <c r="R65" i="10" s="1"/>
  <c r="I65" i="10"/>
  <c r="J65" i="10" s="1"/>
  <c r="AG64" i="10"/>
  <c r="AA64" i="10"/>
  <c r="O64" i="10"/>
  <c r="Q64" i="10" s="1"/>
  <c r="R64" i="10" s="1"/>
  <c r="I64" i="10"/>
  <c r="J64" i="10" s="1"/>
  <c r="AG63" i="10"/>
  <c r="AA63" i="10"/>
  <c r="O63" i="10"/>
  <c r="Q63" i="10" s="1"/>
  <c r="R63" i="10" s="1"/>
  <c r="I63" i="10"/>
  <c r="J63" i="10" s="1"/>
  <c r="AG62" i="10"/>
  <c r="AA62" i="10"/>
  <c r="O62" i="10"/>
  <c r="Q62" i="10" s="1"/>
  <c r="R62" i="10" s="1"/>
  <c r="I62" i="10"/>
  <c r="J62" i="10" s="1"/>
  <c r="AG61" i="10"/>
  <c r="AA61" i="10"/>
  <c r="O61" i="10"/>
  <c r="Q61" i="10" s="1"/>
  <c r="R61" i="10" s="1"/>
  <c r="I61" i="10"/>
  <c r="J61" i="10" s="1"/>
  <c r="AG60" i="10"/>
  <c r="AA60" i="10"/>
  <c r="O60" i="10"/>
  <c r="Q60" i="10" s="1"/>
  <c r="R60" i="10" s="1"/>
  <c r="I60" i="10"/>
  <c r="J60" i="10" s="1"/>
  <c r="AG59" i="10"/>
  <c r="AA59" i="10"/>
  <c r="O59" i="10"/>
  <c r="Q59" i="10" s="1"/>
  <c r="R59" i="10" s="1"/>
  <c r="I59" i="10"/>
  <c r="J59" i="10" s="1"/>
  <c r="AG58" i="10"/>
  <c r="AB58" i="10"/>
  <c r="AA58" i="10"/>
  <c r="O58" i="10"/>
  <c r="Q58" i="10" s="1"/>
  <c r="R58" i="10" s="1"/>
  <c r="I58" i="10"/>
  <c r="J58" i="10" s="1"/>
  <c r="AG33" i="10"/>
  <c r="AI33" i="10" s="1"/>
  <c r="AJ33" i="10" s="1"/>
  <c r="AA33" i="10"/>
  <c r="AB33" i="10" s="1"/>
  <c r="O33" i="10"/>
  <c r="P33" i="10" s="1"/>
  <c r="I33" i="10"/>
  <c r="J33" i="10" s="1"/>
  <c r="AG32" i="10"/>
  <c r="AI32" i="10" s="1"/>
  <c r="AJ32" i="10" s="1"/>
  <c r="AA32" i="10"/>
  <c r="AB32" i="10" s="1"/>
  <c r="O32" i="10"/>
  <c r="Q32" i="10" s="1"/>
  <c r="R32" i="10" s="1"/>
  <c r="I32" i="10"/>
  <c r="J32" i="10" s="1"/>
  <c r="AG31" i="10"/>
  <c r="AA31" i="10"/>
  <c r="AB31" i="10" s="1"/>
  <c r="O31" i="10"/>
  <c r="Q31" i="10" s="1"/>
  <c r="R31" i="10" s="1"/>
  <c r="I31" i="10"/>
  <c r="J31" i="10" s="1"/>
  <c r="AG30" i="10"/>
  <c r="AI30" i="10" s="1"/>
  <c r="AJ30" i="10" s="1"/>
  <c r="AA30" i="10"/>
  <c r="AB30" i="10" s="1"/>
  <c r="O30" i="10"/>
  <c r="I30" i="10"/>
  <c r="J30" i="10" s="1"/>
  <c r="AG29" i="10"/>
  <c r="AI29" i="10" s="1"/>
  <c r="AJ29" i="10" s="1"/>
  <c r="AA29" i="10"/>
  <c r="AB29" i="10" s="1"/>
  <c r="O29" i="10"/>
  <c r="I29" i="10"/>
  <c r="AG28" i="10"/>
  <c r="AI28" i="10" s="1"/>
  <c r="AJ28" i="10" s="1"/>
  <c r="AA28" i="10"/>
  <c r="AB28" i="10" s="1"/>
  <c r="O28" i="10"/>
  <c r="I28" i="10"/>
  <c r="AG27" i="10"/>
  <c r="AI27" i="10" s="1"/>
  <c r="AJ27" i="10" s="1"/>
  <c r="AA27" i="10"/>
  <c r="AB27" i="10" s="1"/>
  <c r="O27" i="10"/>
  <c r="I27" i="10"/>
  <c r="J27" i="10" s="1"/>
  <c r="AG26" i="10"/>
  <c r="AI26" i="10" s="1"/>
  <c r="AJ26" i="10" s="1"/>
  <c r="AA26" i="10"/>
  <c r="AB26" i="10" s="1"/>
  <c r="O26" i="10"/>
  <c r="I26" i="10"/>
  <c r="AG25" i="10"/>
  <c r="AI25" i="10" s="1"/>
  <c r="AJ25" i="10" s="1"/>
  <c r="AA25" i="10"/>
  <c r="AB25" i="10" s="1"/>
  <c r="O25" i="10"/>
  <c r="I25" i="10"/>
  <c r="AG24" i="10"/>
  <c r="AI24" i="10" s="1"/>
  <c r="AJ24" i="10" s="1"/>
  <c r="AA24" i="10"/>
  <c r="AB24" i="10" s="1"/>
  <c r="O24" i="10"/>
  <c r="I24" i="10"/>
  <c r="AG23" i="10"/>
  <c r="AI23" i="10" s="1"/>
  <c r="AJ23" i="10" s="1"/>
  <c r="AA23" i="10"/>
  <c r="AB23" i="10" s="1"/>
  <c r="O23" i="10"/>
  <c r="I23" i="10"/>
  <c r="AG22" i="10"/>
  <c r="AI22" i="10" s="1"/>
  <c r="AJ22" i="10" s="1"/>
  <c r="AA22" i="10"/>
  <c r="AB22" i="10" s="1"/>
  <c r="O22" i="10"/>
  <c r="I22" i="10"/>
  <c r="AG21" i="10"/>
  <c r="AI21" i="10" s="1"/>
  <c r="AJ21" i="10" s="1"/>
  <c r="AA21" i="10"/>
  <c r="AB21" i="10" s="1"/>
  <c r="O21" i="10"/>
  <c r="I21" i="10"/>
  <c r="AG20" i="10"/>
  <c r="AI20" i="10" s="1"/>
  <c r="AJ20" i="10" s="1"/>
  <c r="AA20" i="10"/>
  <c r="AB20" i="10" s="1"/>
  <c r="O20" i="10"/>
  <c r="I20" i="10"/>
  <c r="AG19" i="10"/>
  <c r="AI19" i="10" s="1"/>
  <c r="AJ19" i="10" s="1"/>
  <c r="AA19" i="10"/>
  <c r="AB19" i="10" s="1"/>
  <c r="O19" i="10"/>
  <c r="I19" i="10"/>
  <c r="AG18" i="10"/>
  <c r="AI18" i="10" s="1"/>
  <c r="AJ18" i="10" s="1"/>
  <c r="AA18" i="10"/>
  <c r="AB18" i="10" s="1"/>
  <c r="O18" i="10"/>
  <c r="I18" i="10"/>
  <c r="AG17" i="10"/>
  <c r="AI17" i="10" s="1"/>
  <c r="AJ17" i="10" s="1"/>
  <c r="AA17" i="10"/>
  <c r="AB17" i="10" s="1"/>
  <c r="O17" i="10"/>
  <c r="I17" i="10"/>
  <c r="AG16" i="10"/>
  <c r="AI16" i="10" s="1"/>
  <c r="AJ16" i="10" s="1"/>
  <c r="AA16" i="10"/>
  <c r="AB16" i="10" s="1"/>
  <c r="O16" i="10"/>
  <c r="I16" i="10"/>
  <c r="J16" i="10" s="1"/>
  <c r="AG15" i="10"/>
  <c r="AI15" i="10" s="1"/>
  <c r="AJ15" i="10" s="1"/>
  <c r="AA15" i="10"/>
  <c r="AB15" i="10" s="1"/>
  <c r="O15" i="10"/>
  <c r="I15" i="10"/>
  <c r="J15" i="10" s="1"/>
  <c r="AG14" i="10"/>
  <c r="AI14" i="10" s="1"/>
  <c r="AJ14" i="10" s="1"/>
  <c r="AA14" i="10"/>
  <c r="AB14" i="10" s="1"/>
  <c r="O14" i="10"/>
  <c r="I14" i="10"/>
  <c r="J14" i="10" s="1"/>
  <c r="AG13" i="10"/>
  <c r="AI13" i="10" s="1"/>
  <c r="AJ13" i="10" s="1"/>
  <c r="AA13" i="10"/>
  <c r="AB13" i="10" s="1"/>
  <c r="Q13" i="10"/>
  <c r="R13" i="10" s="1"/>
  <c r="O13" i="10"/>
  <c r="P13" i="10" s="1"/>
  <c r="I13" i="10"/>
  <c r="J13" i="10" s="1"/>
  <c r="AG12" i="10"/>
  <c r="AI12" i="10" s="1"/>
  <c r="AJ12" i="10" s="1"/>
  <c r="AA12" i="10"/>
  <c r="AB12" i="10" s="1"/>
  <c r="O12" i="10"/>
  <c r="I12" i="10"/>
  <c r="AG11" i="10"/>
  <c r="AI11" i="10" s="1"/>
  <c r="AJ11" i="10" s="1"/>
  <c r="AA11" i="10"/>
  <c r="AB11" i="10" s="1"/>
  <c r="O11" i="10"/>
  <c r="I11" i="10"/>
  <c r="AG10" i="10"/>
  <c r="AI10" i="10" s="1"/>
  <c r="AJ10" i="10" s="1"/>
  <c r="AA10" i="10"/>
  <c r="AB10" i="10" s="1"/>
  <c r="O10" i="10"/>
  <c r="P10" i="10" s="1"/>
  <c r="I10" i="10"/>
  <c r="J10" i="10" s="1"/>
  <c r="AG9" i="10"/>
  <c r="AI9" i="10" s="1"/>
  <c r="AJ9" i="10" s="1"/>
  <c r="AA9" i="10"/>
  <c r="AB9" i="10" s="1"/>
  <c r="O9" i="10"/>
  <c r="I9" i="10"/>
  <c r="AG8" i="10"/>
  <c r="AI8" i="10" s="1"/>
  <c r="AJ8" i="10" s="1"/>
  <c r="AA8" i="10"/>
  <c r="AB8" i="10" s="1"/>
  <c r="O8" i="10"/>
  <c r="I8" i="10"/>
  <c r="AG7" i="10"/>
  <c r="AI7" i="10" s="1"/>
  <c r="AJ7" i="10" s="1"/>
  <c r="AA7" i="10"/>
  <c r="AB7" i="10" s="1"/>
  <c r="O7" i="10"/>
  <c r="I7" i="10"/>
  <c r="AG6" i="10"/>
  <c r="AI6" i="10" s="1"/>
  <c r="AJ6" i="10" s="1"/>
  <c r="AA6" i="10"/>
  <c r="AB6" i="10" s="1"/>
  <c r="O6" i="10"/>
  <c r="I6" i="10"/>
  <c r="AG5" i="10"/>
  <c r="AI5" i="10" s="1"/>
  <c r="AJ5" i="10" s="1"/>
  <c r="AA5" i="10"/>
  <c r="AB5" i="10" s="1"/>
  <c r="O5" i="10"/>
  <c r="I5" i="10"/>
  <c r="AG4" i="10"/>
  <c r="AI4" i="10" s="1"/>
  <c r="AJ4" i="10" s="1"/>
  <c r="AA4" i="10"/>
  <c r="AB4" i="10" s="1"/>
  <c r="O4" i="10"/>
  <c r="I4" i="10"/>
  <c r="AG253" i="9"/>
  <c r="AA253" i="9"/>
  <c r="AB253" i="9" s="1"/>
  <c r="O253" i="9"/>
  <c r="I253" i="9"/>
  <c r="J253" i="9" s="1"/>
  <c r="AG252" i="9"/>
  <c r="AA252" i="9"/>
  <c r="AB252" i="9" s="1"/>
  <c r="O252" i="9"/>
  <c r="Q252" i="9" s="1"/>
  <c r="R252" i="9" s="1"/>
  <c r="I252" i="9"/>
  <c r="J252" i="9" s="1"/>
  <c r="AG251" i="9"/>
  <c r="AA251" i="9"/>
  <c r="AB251" i="9" s="1"/>
  <c r="O251" i="9"/>
  <c r="I251" i="9"/>
  <c r="J251" i="9" s="1"/>
  <c r="AG250" i="9"/>
  <c r="AA250" i="9"/>
  <c r="AB250" i="9" s="1"/>
  <c r="O250" i="9"/>
  <c r="I250" i="9"/>
  <c r="AG249" i="9"/>
  <c r="AA249" i="9"/>
  <c r="AB249" i="9" s="1"/>
  <c r="O249" i="9"/>
  <c r="P249" i="9" s="1"/>
  <c r="I249" i="9"/>
  <c r="J249" i="9" s="1"/>
  <c r="AG248" i="9"/>
  <c r="AA248" i="9"/>
  <c r="AB248" i="9" s="1"/>
  <c r="O248" i="9"/>
  <c r="I248" i="9"/>
  <c r="J248" i="9" s="1"/>
  <c r="AG247" i="9"/>
  <c r="AA247" i="9"/>
  <c r="AB247" i="9" s="1"/>
  <c r="O247" i="9"/>
  <c r="I247" i="9"/>
  <c r="J247" i="9" s="1"/>
  <c r="AG246" i="9"/>
  <c r="AA246" i="9"/>
  <c r="AB246" i="9" s="1"/>
  <c r="O246" i="9"/>
  <c r="I246" i="9"/>
  <c r="AG245" i="9"/>
  <c r="AA245" i="9"/>
  <c r="AB245" i="9" s="1"/>
  <c r="O245" i="9"/>
  <c r="I245" i="9"/>
  <c r="J245" i="9" s="1"/>
  <c r="AG244" i="9"/>
  <c r="AA244" i="9"/>
  <c r="AB244" i="9" s="1"/>
  <c r="O244" i="9"/>
  <c r="Q244" i="9" s="1"/>
  <c r="R244" i="9" s="1"/>
  <c r="I244" i="9"/>
  <c r="J244" i="9" s="1"/>
  <c r="AG243" i="9"/>
  <c r="AA243" i="9"/>
  <c r="AB243" i="9" s="1"/>
  <c r="O243" i="9"/>
  <c r="I243" i="9"/>
  <c r="J243" i="9" s="1"/>
  <c r="AG242" i="9"/>
  <c r="AA242" i="9"/>
  <c r="AB242" i="9" s="1"/>
  <c r="O242" i="9"/>
  <c r="I242" i="9"/>
  <c r="AG241" i="9"/>
  <c r="AA241" i="9"/>
  <c r="AB241" i="9" s="1"/>
  <c r="O241" i="9"/>
  <c r="I241" i="9"/>
  <c r="J241" i="9" s="1"/>
  <c r="AG240" i="9"/>
  <c r="AA240" i="9"/>
  <c r="AB240" i="9" s="1"/>
  <c r="O240" i="9"/>
  <c r="Q240" i="9" s="1"/>
  <c r="R240" i="9" s="1"/>
  <c r="I240" i="9"/>
  <c r="J240" i="9" s="1"/>
  <c r="AG239" i="9"/>
  <c r="AA239" i="9"/>
  <c r="AB239" i="9" s="1"/>
  <c r="O239" i="9"/>
  <c r="P239" i="9" s="1"/>
  <c r="I239" i="9"/>
  <c r="J239" i="9" s="1"/>
  <c r="AG238" i="9"/>
  <c r="AA238" i="9"/>
  <c r="AB238" i="9" s="1"/>
  <c r="O238" i="9"/>
  <c r="I238" i="9"/>
  <c r="AG237" i="9"/>
  <c r="AA237" i="9"/>
  <c r="AB237" i="9" s="1"/>
  <c r="O237" i="9"/>
  <c r="I237" i="9"/>
  <c r="AG236" i="9"/>
  <c r="AA236" i="9"/>
  <c r="AB236" i="9" s="1"/>
  <c r="O236" i="9"/>
  <c r="I236" i="9"/>
  <c r="AG235" i="9"/>
  <c r="AA235" i="9"/>
  <c r="AB235" i="9" s="1"/>
  <c r="O235" i="9"/>
  <c r="Q235" i="9" s="1"/>
  <c r="R235" i="9" s="1"/>
  <c r="I235" i="9"/>
  <c r="J235" i="9" s="1"/>
  <c r="AG234" i="9"/>
  <c r="AA234" i="9"/>
  <c r="AB234" i="9" s="1"/>
  <c r="O234" i="9"/>
  <c r="I234" i="9"/>
  <c r="J234" i="9" s="1"/>
  <c r="AG233" i="9"/>
  <c r="AH233" i="9" s="1"/>
  <c r="AA233" i="9"/>
  <c r="AB233" i="9" s="1"/>
  <c r="O233" i="9"/>
  <c r="I233" i="9"/>
  <c r="J233" i="9" s="1"/>
  <c r="AG232" i="9"/>
  <c r="AA232" i="9"/>
  <c r="AB232" i="9" s="1"/>
  <c r="O232" i="9"/>
  <c r="I232" i="9"/>
  <c r="J232" i="9" s="1"/>
  <c r="AG231" i="9"/>
  <c r="AA231" i="9"/>
  <c r="AB231" i="9" s="1"/>
  <c r="O231" i="9"/>
  <c r="I231" i="9"/>
  <c r="J231" i="9" s="1"/>
  <c r="AG230" i="9"/>
  <c r="AA230" i="9"/>
  <c r="AB230" i="9" s="1"/>
  <c r="O230" i="9"/>
  <c r="I230" i="9"/>
  <c r="J230" i="9" s="1"/>
  <c r="AG229" i="9"/>
  <c r="AA229" i="9"/>
  <c r="AB229" i="9" s="1"/>
  <c r="O229" i="9"/>
  <c r="I229" i="9"/>
  <c r="J229" i="9" s="1"/>
  <c r="AG228" i="9"/>
  <c r="AA228" i="9"/>
  <c r="AB228" i="9" s="1"/>
  <c r="O228" i="9"/>
  <c r="I228" i="9"/>
  <c r="J228" i="9" s="1"/>
  <c r="AG227" i="9"/>
  <c r="AA227" i="9"/>
  <c r="AB227" i="9" s="1"/>
  <c r="O227" i="9"/>
  <c r="I227" i="9"/>
  <c r="J227" i="9" s="1"/>
  <c r="AG226" i="9"/>
  <c r="AA226" i="9"/>
  <c r="AB226" i="9" s="1"/>
  <c r="O226" i="9"/>
  <c r="I226" i="9"/>
  <c r="J226" i="9" s="1"/>
  <c r="AG225" i="9"/>
  <c r="AA225" i="9"/>
  <c r="AB225" i="9" s="1"/>
  <c r="O225" i="9"/>
  <c r="J225" i="9"/>
  <c r="I225" i="9"/>
  <c r="AG224" i="9"/>
  <c r="AA224" i="9"/>
  <c r="AB224" i="9" s="1"/>
  <c r="O224" i="9"/>
  <c r="I224" i="9"/>
  <c r="J224" i="9" s="1"/>
  <c r="AG198" i="9"/>
  <c r="AA198" i="9"/>
  <c r="AB198" i="9" s="1"/>
  <c r="O198" i="9"/>
  <c r="Q198" i="9" s="1"/>
  <c r="R198" i="9" s="1"/>
  <c r="I198" i="9"/>
  <c r="J198" i="9" s="1"/>
  <c r="P198" i="9" s="1"/>
  <c r="AG197" i="9"/>
  <c r="AA197" i="9"/>
  <c r="O197" i="9"/>
  <c r="I197" i="9"/>
  <c r="J197" i="9" s="1"/>
  <c r="AG196" i="9"/>
  <c r="AA196" i="9"/>
  <c r="AB196" i="9" s="1"/>
  <c r="O196" i="9"/>
  <c r="J196" i="9"/>
  <c r="P196" i="9" s="1"/>
  <c r="I196" i="9"/>
  <c r="AG195" i="9"/>
  <c r="AA195" i="9"/>
  <c r="O195" i="9"/>
  <c r="I195" i="9"/>
  <c r="J195" i="9" s="1"/>
  <c r="AG194" i="9"/>
  <c r="AA194" i="9"/>
  <c r="AB194" i="9" s="1"/>
  <c r="O194" i="9"/>
  <c r="I194" i="9"/>
  <c r="J194" i="9" s="1"/>
  <c r="AG193" i="9"/>
  <c r="AA193" i="9"/>
  <c r="O193" i="9"/>
  <c r="I193" i="9"/>
  <c r="J193" i="9" s="1"/>
  <c r="AG192" i="9"/>
  <c r="AA192" i="9"/>
  <c r="AB192" i="9" s="1"/>
  <c r="O192" i="9"/>
  <c r="J192" i="9"/>
  <c r="I192" i="9"/>
  <c r="AG191" i="9"/>
  <c r="AA191" i="9"/>
  <c r="AB191" i="9" s="1"/>
  <c r="O191" i="9"/>
  <c r="I191" i="9"/>
  <c r="J191" i="9" s="1"/>
  <c r="AG190" i="9"/>
  <c r="AI190" i="9" s="1"/>
  <c r="AJ190" i="9" s="1"/>
  <c r="AA190" i="9"/>
  <c r="AB190" i="9" s="1"/>
  <c r="O190" i="9"/>
  <c r="Q190" i="9" s="1"/>
  <c r="R190" i="9" s="1"/>
  <c r="I190" i="9"/>
  <c r="J190" i="9" s="1"/>
  <c r="AG189" i="9"/>
  <c r="AA189" i="9"/>
  <c r="AB189" i="9" s="1"/>
  <c r="AH189" i="9" s="1"/>
  <c r="O189" i="9"/>
  <c r="I189" i="9"/>
  <c r="J189" i="9" s="1"/>
  <c r="AG188" i="9"/>
  <c r="AA188" i="9"/>
  <c r="AB188" i="9" s="1"/>
  <c r="O188" i="9"/>
  <c r="J188" i="9"/>
  <c r="I188" i="9"/>
  <c r="AG187" i="9"/>
  <c r="AA187" i="9"/>
  <c r="AB187" i="9" s="1"/>
  <c r="O187" i="9"/>
  <c r="I187" i="9"/>
  <c r="J187" i="9" s="1"/>
  <c r="AG186" i="9"/>
  <c r="AI186" i="9" s="1"/>
  <c r="AJ186" i="9" s="1"/>
  <c r="AA186" i="9"/>
  <c r="AB186" i="9" s="1"/>
  <c r="O186" i="9"/>
  <c r="I186" i="9"/>
  <c r="J186" i="9" s="1"/>
  <c r="P186" i="9" s="1"/>
  <c r="AG185" i="9"/>
  <c r="AA185" i="9"/>
  <c r="AB185" i="9" s="1"/>
  <c r="O185" i="9"/>
  <c r="I185" i="9"/>
  <c r="J185" i="9" s="1"/>
  <c r="AG184" i="9"/>
  <c r="AA184" i="9"/>
  <c r="AB184" i="9" s="1"/>
  <c r="O184" i="9"/>
  <c r="I184" i="9"/>
  <c r="J184" i="9" s="1"/>
  <c r="AG183" i="9"/>
  <c r="AI183" i="9" s="1"/>
  <c r="AJ183" i="9" s="1"/>
  <c r="AB183" i="9"/>
  <c r="AA183" i="9"/>
  <c r="O183" i="9"/>
  <c r="I183" i="9"/>
  <c r="J183" i="9" s="1"/>
  <c r="AG182" i="9"/>
  <c r="AA182" i="9"/>
  <c r="AB182" i="9" s="1"/>
  <c r="O182" i="9"/>
  <c r="Q182" i="9" s="1"/>
  <c r="R182" i="9" s="1"/>
  <c r="I182" i="9"/>
  <c r="J182" i="9" s="1"/>
  <c r="AG181" i="9"/>
  <c r="AA181" i="9"/>
  <c r="AB181" i="9" s="1"/>
  <c r="O181" i="9"/>
  <c r="I181" i="9"/>
  <c r="J181" i="9" s="1"/>
  <c r="P181" i="9" s="1"/>
  <c r="AG180" i="9"/>
  <c r="AA180" i="9"/>
  <c r="AB180" i="9" s="1"/>
  <c r="O180" i="9"/>
  <c r="I180" i="9"/>
  <c r="J180" i="9" s="1"/>
  <c r="AG179" i="9"/>
  <c r="AB179" i="9"/>
  <c r="AA179" i="9"/>
  <c r="O179" i="9"/>
  <c r="I179" i="9"/>
  <c r="J179" i="9" s="1"/>
  <c r="AG178" i="9"/>
  <c r="AA178" i="9"/>
  <c r="AB178" i="9" s="1"/>
  <c r="O178" i="9"/>
  <c r="Q178" i="9" s="1"/>
  <c r="R178" i="9" s="1"/>
  <c r="I178" i="9"/>
  <c r="J178" i="9" s="1"/>
  <c r="AG177" i="9"/>
  <c r="AI177" i="9" s="1"/>
  <c r="AJ177" i="9" s="1"/>
  <c r="AA177" i="9"/>
  <c r="AB177" i="9" s="1"/>
  <c r="O177" i="9"/>
  <c r="I177" i="9"/>
  <c r="J177" i="9" s="1"/>
  <c r="AG176" i="9"/>
  <c r="AA176" i="9"/>
  <c r="AB176" i="9" s="1"/>
  <c r="O176" i="9"/>
  <c r="I176" i="9"/>
  <c r="J176" i="9" s="1"/>
  <c r="AG175" i="9"/>
  <c r="AI175" i="9" s="1"/>
  <c r="AJ175" i="9" s="1"/>
  <c r="AB175" i="9"/>
  <c r="AA175" i="9"/>
  <c r="O175" i="9"/>
  <c r="I175" i="9"/>
  <c r="J175" i="9" s="1"/>
  <c r="AG174" i="9"/>
  <c r="AA174" i="9"/>
  <c r="AB174" i="9" s="1"/>
  <c r="O174" i="9"/>
  <c r="Q174" i="9" s="1"/>
  <c r="R174" i="9" s="1"/>
  <c r="I174" i="9"/>
  <c r="J174" i="9" s="1"/>
  <c r="AG173" i="9"/>
  <c r="AA173" i="9"/>
  <c r="AB173" i="9" s="1"/>
  <c r="O173" i="9"/>
  <c r="I173" i="9"/>
  <c r="J173" i="9" s="1"/>
  <c r="AG172" i="9"/>
  <c r="AA172" i="9"/>
  <c r="AB172" i="9" s="1"/>
  <c r="AH172" i="9" s="1"/>
  <c r="O172" i="9"/>
  <c r="I172" i="9"/>
  <c r="J172" i="9" s="1"/>
  <c r="AG171" i="9"/>
  <c r="AB171" i="9"/>
  <c r="AA171" i="9"/>
  <c r="O171" i="9"/>
  <c r="I171" i="9"/>
  <c r="J171" i="9" s="1"/>
  <c r="AG170" i="9"/>
  <c r="AA170" i="9"/>
  <c r="AB170" i="9" s="1"/>
  <c r="O170" i="9"/>
  <c r="Q170" i="9" s="1"/>
  <c r="R170" i="9" s="1"/>
  <c r="I170" i="9"/>
  <c r="J170" i="9" s="1"/>
  <c r="AG169" i="9"/>
  <c r="AI169" i="9" s="1"/>
  <c r="AJ169" i="9" s="1"/>
  <c r="AA169" i="9"/>
  <c r="AB169" i="9" s="1"/>
  <c r="O169" i="9"/>
  <c r="I169" i="9"/>
  <c r="J169" i="9" s="1"/>
  <c r="AG143" i="9"/>
  <c r="AA143" i="9"/>
  <c r="AB143" i="9" s="1"/>
  <c r="O143" i="9"/>
  <c r="I143" i="9"/>
  <c r="J143" i="9" s="1"/>
  <c r="P143" i="9" s="1"/>
  <c r="AG142" i="9"/>
  <c r="AI142" i="9" s="1"/>
  <c r="AJ142" i="9" s="1"/>
  <c r="AB142" i="9"/>
  <c r="AA142" i="9"/>
  <c r="O142" i="9"/>
  <c r="I142" i="9"/>
  <c r="J142" i="9" s="1"/>
  <c r="AG141" i="9"/>
  <c r="AA141" i="9"/>
  <c r="AB141" i="9" s="1"/>
  <c r="O141" i="9"/>
  <c r="Q141" i="9" s="1"/>
  <c r="R141" i="9" s="1"/>
  <c r="I141" i="9"/>
  <c r="J141" i="9" s="1"/>
  <c r="AG140" i="9"/>
  <c r="AA140" i="9"/>
  <c r="AB140" i="9" s="1"/>
  <c r="O140" i="9"/>
  <c r="I140" i="9"/>
  <c r="J140" i="9" s="1"/>
  <c r="P140" i="9" s="1"/>
  <c r="AG139" i="9"/>
  <c r="AA139" i="9"/>
  <c r="AB139" i="9" s="1"/>
  <c r="O139" i="9"/>
  <c r="J139" i="9"/>
  <c r="I139" i="9"/>
  <c r="AG138" i="9"/>
  <c r="AA138" i="9"/>
  <c r="AB138" i="9" s="1"/>
  <c r="O138" i="9"/>
  <c r="I138" i="9"/>
  <c r="AG137" i="9"/>
  <c r="AA137" i="9"/>
  <c r="AB137" i="9" s="1"/>
  <c r="O137" i="9"/>
  <c r="I137" i="9"/>
  <c r="J137" i="9" s="1"/>
  <c r="AG136" i="9"/>
  <c r="AI136" i="9" s="1"/>
  <c r="AJ136" i="9" s="1"/>
  <c r="AA136" i="9"/>
  <c r="AB136" i="9" s="1"/>
  <c r="O136" i="9"/>
  <c r="I136" i="9"/>
  <c r="AG135" i="9"/>
  <c r="AA135" i="9"/>
  <c r="AB135" i="9" s="1"/>
  <c r="O135" i="9"/>
  <c r="I135" i="9"/>
  <c r="J135" i="9" s="1"/>
  <c r="AG134" i="9"/>
  <c r="AA134" i="9"/>
  <c r="AB134" i="9" s="1"/>
  <c r="O134" i="9"/>
  <c r="I134" i="9"/>
  <c r="AG133" i="9"/>
  <c r="AI133" i="9" s="1"/>
  <c r="AJ133" i="9" s="1"/>
  <c r="AA133" i="9"/>
  <c r="AB133" i="9" s="1"/>
  <c r="O133" i="9"/>
  <c r="I133" i="9"/>
  <c r="AG132" i="9"/>
  <c r="AA132" i="9"/>
  <c r="AB132" i="9" s="1"/>
  <c r="O132" i="9"/>
  <c r="I132" i="9"/>
  <c r="J132" i="9" s="1"/>
  <c r="AG131" i="9"/>
  <c r="AA131" i="9"/>
  <c r="AB131" i="9" s="1"/>
  <c r="O131" i="9"/>
  <c r="I131" i="9"/>
  <c r="J131" i="9" s="1"/>
  <c r="AG130" i="9"/>
  <c r="AA130" i="9"/>
  <c r="AB130" i="9" s="1"/>
  <c r="O130" i="9"/>
  <c r="I130" i="9"/>
  <c r="J130" i="9" s="1"/>
  <c r="AG129" i="9"/>
  <c r="AA129" i="9"/>
  <c r="AB129" i="9" s="1"/>
  <c r="O129" i="9"/>
  <c r="I129" i="9"/>
  <c r="J129" i="9" s="1"/>
  <c r="AG128" i="9"/>
  <c r="AA128" i="9"/>
  <c r="AB128" i="9" s="1"/>
  <c r="O128" i="9"/>
  <c r="I128" i="9"/>
  <c r="J128" i="9" s="1"/>
  <c r="AG127" i="9"/>
  <c r="AA127" i="9"/>
  <c r="AB127" i="9" s="1"/>
  <c r="O127" i="9"/>
  <c r="I127" i="9"/>
  <c r="J127" i="9" s="1"/>
  <c r="AG126" i="9"/>
  <c r="AA126" i="9"/>
  <c r="AB126" i="9" s="1"/>
  <c r="O126" i="9"/>
  <c r="I126" i="9"/>
  <c r="J126" i="9" s="1"/>
  <c r="AG125" i="9"/>
  <c r="AA125" i="9"/>
  <c r="AB125" i="9" s="1"/>
  <c r="O125" i="9"/>
  <c r="I125" i="9"/>
  <c r="J125" i="9" s="1"/>
  <c r="AG124" i="9"/>
  <c r="AA124" i="9"/>
  <c r="AB124" i="9" s="1"/>
  <c r="O124" i="9"/>
  <c r="I124" i="9"/>
  <c r="J124" i="9" s="1"/>
  <c r="AG123" i="9"/>
  <c r="AA123" i="9"/>
  <c r="AB123" i="9" s="1"/>
  <c r="O123" i="9"/>
  <c r="I123" i="9"/>
  <c r="J123" i="9" s="1"/>
  <c r="AG122" i="9"/>
  <c r="AA122" i="9"/>
  <c r="AB122" i="9" s="1"/>
  <c r="O122" i="9"/>
  <c r="Q122" i="9" s="1"/>
  <c r="R122" i="9" s="1"/>
  <c r="I122" i="9"/>
  <c r="J122" i="9" s="1"/>
  <c r="AG121" i="9"/>
  <c r="AA121" i="9"/>
  <c r="AB121" i="9" s="1"/>
  <c r="O121" i="9"/>
  <c r="I121" i="9"/>
  <c r="J121" i="9" s="1"/>
  <c r="AG120" i="9"/>
  <c r="AA120" i="9"/>
  <c r="AB120" i="9" s="1"/>
  <c r="O120" i="9"/>
  <c r="Q120" i="9" s="1"/>
  <c r="R120" i="9" s="1"/>
  <c r="I120" i="9"/>
  <c r="J120" i="9" s="1"/>
  <c r="AG119" i="9"/>
  <c r="AA119" i="9"/>
  <c r="AB119" i="9" s="1"/>
  <c r="O119" i="9"/>
  <c r="I119" i="9"/>
  <c r="J119" i="9" s="1"/>
  <c r="AG118" i="9"/>
  <c r="AI118" i="9" s="1"/>
  <c r="AJ118" i="9" s="1"/>
  <c r="AA118" i="9"/>
  <c r="AB118" i="9" s="1"/>
  <c r="O118" i="9"/>
  <c r="I118" i="9"/>
  <c r="J118" i="9" s="1"/>
  <c r="AG117" i="9"/>
  <c r="AA117" i="9"/>
  <c r="AB117" i="9" s="1"/>
  <c r="O117" i="9"/>
  <c r="I117" i="9"/>
  <c r="J117" i="9" s="1"/>
  <c r="AG116" i="9"/>
  <c r="AA116" i="9"/>
  <c r="AB116" i="9" s="1"/>
  <c r="O116" i="9"/>
  <c r="I116" i="9"/>
  <c r="J116" i="9" s="1"/>
  <c r="AG115" i="9"/>
  <c r="AA115" i="9"/>
  <c r="AB115" i="9" s="1"/>
  <c r="O115" i="9"/>
  <c r="I115" i="9"/>
  <c r="J115" i="9" s="1"/>
  <c r="AG114" i="9"/>
  <c r="AA114" i="9"/>
  <c r="AB114" i="9" s="1"/>
  <c r="O114" i="9"/>
  <c r="Q114" i="9" s="1"/>
  <c r="R114" i="9" s="1"/>
  <c r="I114" i="9"/>
  <c r="J114" i="9" s="1"/>
  <c r="AG87" i="9"/>
  <c r="AH87" i="9" s="1"/>
  <c r="AA87" i="9"/>
  <c r="AB87" i="9" s="1"/>
  <c r="O87" i="9"/>
  <c r="I87" i="9"/>
  <c r="J87" i="9" s="1"/>
  <c r="AG86" i="9"/>
  <c r="AA86" i="9"/>
  <c r="AB86" i="9" s="1"/>
  <c r="O86" i="9"/>
  <c r="I86" i="9"/>
  <c r="J86" i="9" s="1"/>
  <c r="AG85" i="9"/>
  <c r="AA85" i="9"/>
  <c r="AB85" i="9" s="1"/>
  <c r="O85" i="9"/>
  <c r="I85" i="9"/>
  <c r="J85" i="9" s="1"/>
  <c r="AG84" i="9"/>
  <c r="AA84" i="9"/>
  <c r="AB84" i="9" s="1"/>
  <c r="O84" i="9"/>
  <c r="Q84" i="9" s="1"/>
  <c r="R84" i="9" s="1"/>
  <c r="I84" i="9"/>
  <c r="J84" i="9" s="1"/>
  <c r="AG83" i="9"/>
  <c r="AA83" i="9"/>
  <c r="AB83" i="9" s="1"/>
  <c r="O83" i="9"/>
  <c r="I83" i="9"/>
  <c r="J83" i="9" s="1"/>
  <c r="AG82" i="9"/>
  <c r="AA82" i="9"/>
  <c r="AB82" i="9" s="1"/>
  <c r="AH82" i="9" s="1"/>
  <c r="O82" i="9"/>
  <c r="Q82" i="9" s="1"/>
  <c r="R82" i="9" s="1"/>
  <c r="I82" i="9"/>
  <c r="J82" i="9" s="1"/>
  <c r="AG81" i="9"/>
  <c r="AA81" i="9"/>
  <c r="AB81" i="9" s="1"/>
  <c r="O81" i="9"/>
  <c r="I81" i="9"/>
  <c r="J81" i="9" s="1"/>
  <c r="AG80" i="9"/>
  <c r="AH80" i="9" s="1"/>
  <c r="AA80" i="9"/>
  <c r="AB80" i="9" s="1"/>
  <c r="O80" i="9"/>
  <c r="Q80" i="9" s="1"/>
  <c r="R80" i="9" s="1"/>
  <c r="J80" i="9"/>
  <c r="I80" i="9"/>
  <c r="AG79" i="9"/>
  <c r="AA79" i="9"/>
  <c r="AB79" i="9" s="1"/>
  <c r="O79" i="9"/>
  <c r="I79" i="9"/>
  <c r="J79" i="9" s="1"/>
  <c r="AG78" i="9"/>
  <c r="AA78" i="9"/>
  <c r="AB78" i="9" s="1"/>
  <c r="O78" i="9"/>
  <c r="Q78" i="9" s="1"/>
  <c r="R78" i="9" s="1"/>
  <c r="I78" i="9"/>
  <c r="J78" i="9" s="1"/>
  <c r="AG77" i="9"/>
  <c r="AA77" i="9"/>
  <c r="AB77" i="9" s="1"/>
  <c r="O77" i="9"/>
  <c r="I77" i="9"/>
  <c r="J77" i="9" s="1"/>
  <c r="AG76" i="9"/>
  <c r="AA76" i="9"/>
  <c r="AB76" i="9" s="1"/>
  <c r="O76" i="9"/>
  <c r="I76" i="9"/>
  <c r="J76" i="9" s="1"/>
  <c r="AG75" i="9"/>
  <c r="AA75" i="9"/>
  <c r="AB75" i="9" s="1"/>
  <c r="O75" i="9"/>
  <c r="I75" i="9"/>
  <c r="J75" i="9" s="1"/>
  <c r="AG74" i="9"/>
  <c r="AA74" i="9"/>
  <c r="AB74" i="9" s="1"/>
  <c r="O74" i="9"/>
  <c r="J74" i="9"/>
  <c r="I74" i="9"/>
  <c r="AG73" i="9"/>
  <c r="AA73" i="9"/>
  <c r="AB73" i="9" s="1"/>
  <c r="O73" i="9"/>
  <c r="I73" i="9"/>
  <c r="J73" i="9" s="1"/>
  <c r="AG72" i="9"/>
  <c r="AA72" i="9"/>
  <c r="AB72" i="9" s="1"/>
  <c r="O72" i="9"/>
  <c r="I72" i="9"/>
  <c r="J72" i="9" s="1"/>
  <c r="AG71" i="9"/>
  <c r="AA71" i="9"/>
  <c r="AB71" i="9" s="1"/>
  <c r="O71" i="9"/>
  <c r="I71" i="9"/>
  <c r="J71" i="9" s="1"/>
  <c r="AG70" i="9"/>
  <c r="AA70" i="9"/>
  <c r="AB70" i="9" s="1"/>
  <c r="O70" i="9"/>
  <c r="I70" i="9"/>
  <c r="J70" i="9" s="1"/>
  <c r="AG69" i="9"/>
  <c r="AA69" i="9"/>
  <c r="AB69" i="9" s="1"/>
  <c r="O69" i="9"/>
  <c r="I69" i="9"/>
  <c r="J69" i="9" s="1"/>
  <c r="AG68" i="9"/>
  <c r="AA68" i="9"/>
  <c r="AB68" i="9" s="1"/>
  <c r="O68" i="9"/>
  <c r="J68" i="9"/>
  <c r="I68" i="9"/>
  <c r="AG67" i="9"/>
  <c r="AA67" i="9"/>
  <c r="AB67" i="9" s="1"/>
  <c r="O67" i="9"/>
  <c r="P67" i="9" s="1"/>
  <c r="I67" i="9"/>
  <c r="J67" i="9" s="1"/>
  <c r="AG66" i="9"/>
  <c r="AA66" i="9"/>
  <c r="AB66" i="9" s="1"/>
  <c r="O66" i="9"/>
  <c r="Q66" i="9" s="1"/>
  <c r="R66" i="9" s="1"/>
  <c r="I66" i="9"/>
  <c r="J66" i="9" s="1"/>
  <c r="AG65" i="9"/>
  <c r="AA65" i="9"/>
  <c r="AB65" i="9" s="1"/>
  <c r="O65" i="9"/>
  <c r="I65" i="9"/>
  <c r="J65" i="9" s="1"/>
  <c r="AG64" i="9"/>
  <c r="AA64" i="9"/>
  <c r="AB64" i="9" s="1"/>
  <c r="O64" i="9"/>
  <c r="Q64" i="9" s="1"/>
  <c r="R64" i="9" s="1"/>
  <c r="I64" i="9"/>
  <c r="J64" i="9" s="1"/>
  <c r="AG63" i="9"/>
  <c r="AA63" i="9"/>
  <c r="AB63" i="9" s="1"/>
  <c r="O63" i="9"/>
  <c r="I63" i="9"/>
  <c r="J63" i="9" s="1"/>
  <c r="AG62" i="9"/>
  <c r="AA62" i="9"/>
  <c r="AB62" i="9" s="1"/>
  <c r="O62" i="9"/>
  <c r="Q62" i="9" s="1"/>
  <c r="R62" i="9" s="1"/>
  <c r="I62" i="9"/>
  <c r="J62" i="9" s="1"/>
  <c r="AG61" i="9"/>
  <c r="AA61" i="9"/>
  <c r="AB61" i="9" s="1"/>
  <c r="O61" i="9"/>
  <c r="I61" i="9"/>
  <c r="J61" i="9" s="1"/>
  <c r="AG60" i="9"/>
  <c r="AA60" i="9"/>
  <c r="AB60" i="9" s="1"/>
  <c r="O60" i="9"/>
  <c r="I60" i="9"/>
  <c r="J60" i="9" s="1"/>
  <c r="AG59" i="9"/>
  <c r="AA59" i="9"/>
  <c r="AB59" i="9" s="1"/>
  <c r="O59" i="9"/>
  <c r="I59" i="9"/>
  <c r="J59" i="9" s="1"/>
  <c r="AG58" i="9"/>
  <c r="AI58" i="9" s="1"/>
  <c r="AJ58" i="9" s="1"/>
  <c r="AB58" i="9"/>
  <c r="AA58" i="9"/>
  <c r="O58" i="9"/>
  <c r="I58" i="9"/>
  <c r="J58" i="9" s="1"/>
  <c r="AG33" i="9"/>
  <c r="AA33" i="9"/>
  <c r="AB33" i="9" s="1"/>
  <c r="O33" i="9"/>
  <c r="Q33" i="9" s="1"/>
  <c r="R33" i="9" s="1"/>
  <c r="I33" i="9"/>
  <c r="J33" i="9" s="1"/>
  <c r="AG32" i="9"/>
  <c r="AI32" i="9" s="1"/>
  <c r="AJ32" i="9" s="1"/>
  <c r="AA32" i="9"/>
  <c r="AB32" i="9" s="1"/>
  <c r="O32" i="9"/>
  <c r="I32" i="9"/>
  <c r="J32" i="9" s="1"/>
  <c r="P32" i="9" s="1"/>
  <c r="AG31" i="9"/>
  <c r="AA31" i="9"/>
  <c r="AB31" i="9" s="1"/>
  <c r="O31" i="9"/>
  <c r="I31" i="9"/>
  <c r="J31" i="9" s="1"/>
  <c r="AG30" i="9"/>
  <c r="AA30" i="9"/>
  <c r="AB30" i="9" s="1"/>
  <c r="AH30" i="9" s="1"/>
  <c r="O30" i="9"/>
  <c r="Q30" i="9" s="1"/>
  <c r="R30" i="9" s="1"/>
  <c r="J30" i="9"/>
  <c r="P30" i="9" s="1"/>
  <c r="I30" i="9"/>
  <c r="AG29" i="9"/>
  <c r="AA29" i="9"/>
  <c r="AB29" i="9" s="1"/>
  <c r="O29" i="9"/>
  <c r="Q29" i="9" s="1"/>
  <c r="R29" i="9" s="1"/>
  <c r="I29" i="9"/>
  <c r="J29" i="9" s="1"/>
  <c r="AG28" i="9"/>
  <c r="AA28" i="9"/>
  <c r="AB28" i="9" s="1"/>
  <c r="O28" i="9"/>
  <c r="I28" i="9"/>
  <c r="J28" i="9" s="1"/>
  <c r="AG27" i="9"/>
  <c r="AA27" i="9"/>
  <c r="AB27" i="9" s="1"/>
  <c r="O27" i="9"/>
  <c r="I27" i="9"/>
  <c r="J27" i="9" s="1"/>
  <c r="AG26" i="9"/>
  <c r="AA26" i="9"/>
  <c r="AB26" i="9" s="1"/>
  <c r="O26" i="9"/>
  <c r="Q26" i="9" s="1"/>
  <c r="R26" i="9" s="1"/>
  <c r="I26" i="9"/>
  <c r="J26" i="9" s="1"/>
  <c r="AG25" i="9"/>
  <c r="AA25" i="9"/>
  <c r="AB25" i="9" s="1"/>
  <c r="O25" i="9"/>
  <c r="I25" i="9"/>
  <c r="J25" i="9" s="1"/>
  <c r="AG24" i="9"/>
  <c r="AA24" i="9"/>
  <c r="AB24" i="9" s="1"/>
  <c r="O24" i="9"/>
  <c r="I24" i="9"/>
  <c r="J24" i="9" s="1"/>
  <c r="AG23" i="9"/>
  <c r="AA23" i="9"/>
  <c r="AB23" i="9" s="1"/>
  <c r="O23" i="9"/>
  <c r="I23" i="9"/>
  <c r="J23" i="9" s="1"/>
  <c r="AG22" i="9"/>
  <c r="AA22" i="9"/>
  <c r="AB22" i="9" s="1"/>
  <c r="O22" i="9"/>
  <c r="J22" i="9"/>
  <c r="I22" i="9"/>
  <c r="AG21" i="9"/>
  <c r="AA21" i="9"/>
  <c r="AB21" i="9" s="1"/>
  <c r="O21" i="9"/>
  <c r="Q21" i="9" s="1"/>
  <c r="R21" i="9" s="1"/>
  <c r="I21" i="9"/>
  <c r="J21" i="9" s="1"/>
  <c r="AG20" i="9"/>
  <c r="AA20" i="9"/>
  <c r="AB20" i="9" s="1"/>
  <c r="O20" i="9"/>
  <c r="I20" i="9"/>
  <c r="J20" i="9" s="1"/>
  <c r="AG19" i="9"/>
  <c r="AA19" i="9"/>
  <c r="AB19" i="9" s="1"/>
  <c r="O19" i="9"/>
  <c r="I19" i="9"/>
  <c r="J19" i="9" s="1"/>
  <c r="AG18" i="9"/>
  <c r="AA18" i="9"/>
  <c r="AB18" i="9" s="1"/>
  <c r="O18" i="9"/>
  <c r="I18" i="9"/>
  <c r="J18" i="9" s="1"/>
  <c r="AG17" i="9"/>
  <c r="AA17" i="9"/>
  <c r="AB17" i="9" s="1"/>
  <c r="O17" i="9"/>
  <c r="I17" i="9"/>
  <c r="J17" i="9" s="1"/>
  <c r="AG16" i="9"/>
  <c r="AA16" i="9"/>
  <c r="AB16" i="9" s="1"/>
  <c r="O16" i="9"/>
  <c r="I16" i="9"/>
  <c r="J16" i="9" s="1"/>
  <c r="AG15" i="9"/>
  <c r="AA15" i="9"/>
  <c r="AB15" i="9" s="1"/>
  <c r="O15" i="9"/>
  <c r="I15" i="9"/>
  <c r="J15" i="9" s="1"/>
  <c r="AG14" i="9"/>
  <c r="AA14" i="9"/>
  <c r="AB14" i="9" s="1"/>
  <c r="O14" i="9"/>
  <c r="J14" i="9"/>
  <c r="I14" i="9"/>
  <c r="AG13" i="9"/>
  <c r="AA13" i="9"/>
  <c r="AB13" i="9" s="1"/>
  <c r="O13" i="9"/>
  <c r="Q13" i="9" s="1"/>
  <c r="R13" i="9" s="1"/>
  <c r="I13" i="9"/>
  <c r="J13" i="9" s="1"/>
  <c r="AG12" i="9"/>
  <c r="AA12" i="9"/>
  <c r="AB12" i="9" s="1"/>
  <c r="O12" i="9"/>
  <c r="I12" i="9"/>
  <c r="J12" i="9" s="1"/>
  <c r="AG11" i="9"/>
  <c r="AA11" i="9"/>
  <c r="AB11" i="9" s="1"/>
  <c r="O11" i="9"/>
  <c r="I11" i="9"/>
  <c r="J11" i="9" s="1"/>
  <c r="AG10" i="9"/>
  <c r="AA10" i="9"/>
  <c r="AB10" i="9" s="1"/>
  <c r="O10" i="9"/>
  <c r="Q10" i="9" s="1"/>
  <c r="R10" i="9" s="1"/>
  <c r="I10" i="9"/>
  <c r="J10" i="9" s="1"/>
  <c r="AG9" i="9"/>
  <c r="AA9" i="9"/>
  <c r="AB9" i="9" s="1"/>
  <c r="O9" i="9"/>
  <c r="I9" i="9"/>
  <c r="J9" i="9" s="1"/>
  <c r="AG8" i="9"/>
  <c r="AA8" i="9"/>
  <c r="AB8" i="9" s="1"/>
  <c r="O8" i="9"/>
  <c r="I8" i="9"/>
  <c r="J8" i="9" s="1"/>
  <c r="AG7" i="9"/>
  <c r="AA7" i="9"/>
  <c r="AB7" i="9" s="1"/>
  <c r="O7" i="9"/>
  <c r="I7" i="9"/>
  <c r="J7" i="9" s="1"/>
  <c r="AG6" i="9"/>
  <c r="AA6" i="9"/>
  <c r="AB6" i="9" s="1"/>
  <c r="O6" i="9"/>
  <c r="Q6" i="9" s="1"/>
  <c r="R6" i="9" s="1"/>
  <c r="J6" i="9"/>
  <c r="I6" i="9"/>
  <c r="AG5" i="9"/>
  <c r="AA5" i="9"/>
  <c r="AB5" i="9" s="1"/>
  <c r="O5" i="9"/>
  <c r="Q5" i="9" s="1"/>
  <c r="R5" i="9" s="1"/>
  <c r="I5" i="9"/>
  <c r="J5" i="9" s="1"/>
  <c r="AG4" i="9"/>
  <c r="AA4" i="9"/>
  <c r="AB4" i="9" s="1"/>
  <c r="O4" i="9"/>
  <c r="I4" i="9"/>
  <c r="J4" i="9" s="1"/>
  <c r="AG253" i="8"/>
  <c r="AA253" i="8"/>
  <c r="AB253" i="8" s="1"/>
  <c r="O253" i="8"/>
  <c r="J253" i="8"/>
  <c r="I253" i="8"/>
  <c r="AG252" i="8"/>
  <c r="AB252" i="8"/>
  <c r="AA252" i="8"/>
  <c r="O252" i="8"/>
  <c r="I252" i="8"/>
  <c r="AG251" i="8"/>
  <c r="AA251" i="8"/>
  <c r="AB251" i="8" s="1"/>
  <c r="O251" i="8"/>
  <c r="I251" i="8"/>
  <c r="AG250" i="8"/>
  <c r="AA250" i="8"/>
  <c r="AB250" i="8" s="1"/>
  <c r="O250" i="8"/>
  <c r="I250" i="8"/>
  <c r="AG249" i="8"/>
  <c r="AA249" i="8"/>
  <c r="AB249" i="8" s="1"/>
  <c r="O249" i="8"/>
  <c r="I249" i="8"/>
  <c r="Q249" i="8" s="1"/>
  <c r="R249" i="8" s="1"/>
  <c r="AG248" i="8"/>
  <c r="AI248" i="8" s="1"/>
  <c r="AJ248" i="8" s="1"/>
  <c r="AA248" i="8"/>
  <c r="AB248" i="8" s="1"/>
  <c r="O248" i="8"/>
  <c r="I248" i="8"/>
  <c r="AG247" i="8"/>
  <c r="AA247" i="8"/>
  <c r="AB247" i="8" s="1"/>
  <c r="O247" i="8"/>
  <c r="I247" i="8"/>
  <c r="Q247" i="8" s="1"/>
  <c r="R247" i="8" s="1"/>
  <c r="AG246" i="8"/>
  <c r="AH246" i="8" s="1"/>
  <c r="AA246" i="8"/>
  <c r="AB246" i="8" s="1"/>
  <c r="O246" i="8"/>
  <c r="I246" i="8"/>
  <c r="AG245" i="8"/>
  <c r="AA245" i="8"/>
  <c r="AB245" i="8" s="1"/>
  <c r="O245" i="8"/>
  <c r="I245" i="8"/>
  <c r="J245" i="8" s="1"/>
  <c r="AG244" i="8"/>
  <c r="AA244" i="8"/>
  <c r="AB244" i="8" s="1"/>
  <c r="O244" i="8"/>
  <c r="I244" i="8"/>
  <c r="AG243" i="8"/>
  <c r="AA243" i="8"/>
  <c r="AB243" i="8" s="1"/>
  <c r="O243" i="8"/>
  <c r="I243" i="8"/>
  <c r="AG242" i="8"/>
  <c r="AA242" i="8"/>
  <c r="AB242" i="8" s="1"/>
  <c r="O242" i="8"/>
  <c r="I242" i="8"/>
  <c r="Q242" i="8" s="1"/>
  <c r="R242" i="8" s="1"/>
  <c r="AG241" i="8"/>
  <c r="AH241" i="8" s="1"/>
  <c r="AA241" i="8"/>
  <c r="AB241" i="8" s="1"/>
  <c r="O241" i="8"/>
  <c r="I241" i="8"/>
  <c r="AG240" i="8"/>
  <c r="AA240" i="8"/>
  <c r="AB240" i="8" s="1"/>
  <c r="O240" i="8"/>
  <c r="I240" i="8"/>
  <c r="AG239" i="8"/>
  <c r="AA239" i="8"/>
  <c r="AB239" i="8" s="1"/>
  <c r="O239" i="8"/>
  <c r="I239" i="8"/>
  <c r="J239" i="8" s="1"/>
  <c r="AG238" i="8"/>
  <c r="AA238" i="8"/>
  <c r="AB238" i="8" s="1"/>
  <c r="O238" i="8"/>
  <c r="I238" i="8"/>
  <c r="AG237" i="8"/>
  <c r="AI237" i="8" s="1"/>
  <c r="AJ237" i="8" s="1"/>
  <c r="AA237" i="8"/>
  <c r="AB237" i="8" s="1"/>
  <c r="O237" i="8"/>
  <c r="J237" i="8"/>
  <c r="I237" i="8"/>
  <c r="AG236" i="8"/>
  <c r="AA236" i="8"/>
  <c r="AB236" i="8" s="1"/>
  <c r="O236" i="8"/>
  <c r="Q236" i="8" s="1"/>
  <c r="R236" i="8" s="1"/>
  <c r="I236" i="8"/>
  <c r="J236" i="8" s="1"/>
  <c r="AG235" i="8"/>
  <c r="AA235" i="8"/>
  <c r="AB235" i="8" s="1"/>
  <c r="O235" i="8"/>
  <c r="Q235" i="8" s="1"/>
  <c r="R235" i="8" s="1"/>
  <c r="J235" i="8"/>
  <c r="I235" i="8"/>
  <c r="AG234" i="8"/>
  <c r="AA234" i="8"/>
  <c r="AB234" i="8" s="1"/>
  <c r="O234" i="8"/>
  <c r="Q234" i="8" s="1"/>
  <c r="R234" i="8" s="1"/>
  <c r="I234" i="8"/>
  <c r="J234" i="8" s="1"/>
  <c r="AG233" i="8"/>
  <c r="AA233" i="8"/>
  <c r="AB233" i="8" s="1"/>
  <c r="O233" i="8"/>
  <c r="I233" i="8"/>
  <c r="J233" i="8" s="1"/>
  <c r="AG232" i="8"/>
  <c r="AH232" i="8" s="1"/>
  <c r="AA232" i="8"/>
  <c r="AB232" i="8" s="1"/>
  <c r="O232" i="8"/>
  <c r="I232" i="8"/>
  <c r="J232" i="8" s="1"/>
  <c r="AG231" i="8"/>
  <c r="AA231" i="8"/>
  <c r="O231" i="8"/>
  <c r="I231" i="8"/>
  <c r="J231" i="8" s="1"/>
  <c r="AG230" i="8"/>
  <c r="AA230" i="8"/>
  <c r="AB230" i="8" s="1"/>
  <c r="O230" i="8"/>
  <c r="Q230" i="8" s="1"/>
  <c r="R230" i="8" s="1"/>
  <c r="J230" i="8"/>
  <c r="I230" i="8"/>
  <c r="AG229" i="8"/>
  <c r="AA229" i="8"/>
  <c r="AB229" i="8" s="1"/>
  <c r="O229" i="8"/>
  <c r="I229" i="8"/>
  <c r="J229" i="8" s="1"/>
  <c r="AG228" i="8"/>
  <c r="AA228" i="8"/>
  <c r="O228" i="8"/>
  <c r="I228" i="8"/>
  <c r="AG227" i="8"/>
  <c r="AA227" i="8"/>
  <c r="AB227" i="8" s="1"/>
  <c r="O227" i="8"/>
  <c r="I227" i="8"/>
  <c r="J227" i="8" s="1"/>
  <c r="AG226" i="8"/>
  <c r="AA226" i="8"/>
  <c r="AB226" i="8" s="1"/>
  <c r="O226" i="8"/>
  <c r="I226" i="8"/>
  <c r="J226" i="8" s="1"/>
  <c r="AG225" i="8"/>
  <c r="AI225" i="8" s="1"/>
  <c r="AJ225" i="8" s="1"/>
  <c r="AA225" i="8"/>
  <c r="AB225" i="8" s="1"/>
  <c r="O225" i="8"/>
  <c r="I225" i="8"/>
  <c r="J225" i="8" s="1"/>
  <c r="AG224" i="8"/>
  <c r="AI224" i="8" s="1"/>
  <c r="AJ224" i="8" s="1"/>
  <c r="AA224" i="8"/>
  <c r="AB224" i="8" s="1"/>
  <c r="O224" i="8"/>
  <c r="I224" i="8"/>
  <c r="J224" i="8" s="1"/>
  <c r="AG198" i="8"/>
  <c r="AA198" i="8"/>
  <c r="O198" i="8"/>
  <c r="I198" i="8"/>
  <c r="J198" i="8" s="1"/>
  <c r="AG197" i="8"/>
  <c r="AA197" i="8"/>
  <c r="AB197" i="8" s="1"/>
  <c r="O197" i="8"/>
  <c r="I197" i="8"/>
  <c r="J197" i="8" s="1"/>
  <c r="AG196" i="8"/>
  <c r="AA196" i="8"/>
  <c r="AB196" i="8" s="1"/>
  <c r="O196" i="8"/>
  <c r="I196" i="8"/>
  <c r="J196" i="8" s="1"/>
  <c r="AG195" i="8"/>
  <c r="AA195" i="8"/>
  <c r="O195" i="8"/>
  <c r="Q195" i="8" s="1"/>
  <c r="R195" i="8" s="1"/>
  <c r="I195" i="8"/>
  <c r="J195" i="8" s="1"/>
  <c r="AG194" i="8"/>
  <c r="AA194" i="8"/>
  <c r="O194" i="8"/>
  <c r="I194" i="8"/>
  <c r="J194" i="8" s="1"/>
  <c r="AG193" i="8"/>
  <c r="AA193" i="8"/>
  <c r="AB193" i="8" s="1"/>
  <c r="O193" i="8"/>
  <c r="I193" i="8"/>
  <c r="J193" i="8" s="1"/>
  <c r="AG192" i="8"/>
  <c r="AA192" i="8"/>
  <c r="AB192" i="8" s="1"/>
  <c r="O192" i="8"/>
  <c r="I192" i="8"/>
  <c r="J192" i="8" s="1"/>
  <c r="AG191" i="8"/>
  <c r="AI191" i="8" s="1"/>
  <c r="AJ191" i="8" s="1"/>
  <c r="AA191" i="8"/>
  <c r="AB191" i="8" s="1"/>
  <c r="O191" i="8"/>
  <c r="I191" i="8"/>
  <c r="J191" i="8" s="1"/>
  <c r="AG190" i="8"/>
  <c r="AA190" i="8"/>
  <c r="O190" i="8"/>
  <c r="I190" i="8"/>
  <c r="J190" i="8" s="1"/>
  <c r="AG189" i="8"/>
  <c r="AA189" i="8"/>
  <c r="AB189" i="8" s="1"/>
  <c r="O189" i="8"/>
  <c r="I189" i="8"/>
  <c r="J189" i="8" s="1"/>
  <c r="AG188" i="8"/>
  <c r="AA188" i="8"/>
  <c r="AB188" i="8" s="1"/>
  <c r="O188" i="8"/>
  <c r="I188" i="8"/>
  <c r="J188" i="8" s="1"/>
  <c r="AG187" i="8"/>
  <c r="AA187" i="8"/>
  <c r="O187" i="8"/>
  <c r="Q187" i="8" s="1"/>
  <c r="R187" i="8" s="1"/>
  <c r="I187" i="8"/>
  <c r="J187" i="8" s="1"/>
  <c r="AG186" i="8"/>
  <c r="AA186" i="8"/>
  <c r="O186" i="8"/>
  <c r="I186" i="8"/>
  <c r="J186" i="8" s="1"/>
  <c r="AG185" i="8"/>
  <c r="AA185" i="8"/>
  <c r="AB185" i="8" s="1"/>
  <c r="O185" i="8"/>
  <c r="I185" i="8"/>
  <c r="J185" i="8" s="1"/>
  <c r="AG184" i="8"/>
  <c r="AA184" i="8"/>
  <c r="AB184" i="8" s="1"/>
  <c r="O184" i="8"/>
  <c r="I184" i="8"/>
  <c r="J184" i="8" s="1"/>
  <c r="AG183" i="8"/>
  <c r="AI183" i="8" s="1"/>
  <c r="AJ183" i="8" s="1"/>
  <c r="AA183" i="8"/>
  <c r="AB183" i="8" s="1"/>
  <c r="O183" i="8"/>
  <c r="I183" i="8"/>
  <c r="J183" i="8" s="1"/>
  <c r="AG182" i="8"/>
  <c r="AA182" i="8"/>
  <c r="O182" i="8"/>
  <c r="I182" i="8"/>
  <c r="J182" i="8" s="1"/>
  <c r="AG181" i="8"/>
  <c r="AA181" i="8"/>
  <c r="AB181" i="8" s="1"/>
  <c r="O181" i="8"/>
  <c r="I181" i="8"/>
  <c r="J181" i="8" s="1"/>
  <c r="AG180" i="8"/>
  <c r="AA180" i="8"/>
  <c r="AB180" i="8" s="1"/>
  <c r="O180" i="8"/>
  <c r="I180" i="8"/>
  <c r="J180" i="8" s="1"/>
  <c r="AG179" i="8"/>
  <c r="AA179" i="8"/>
  <c r="O179" i="8"/>
  <c r="Q179" i="8" s="1"/>
  <c r="R179" i="8" s="1"/>
  <c r="I179" i="8"/>
  <c r="J179" i="8" s="1"/>
  <c r="AG178" i="8"/>
  <c r="AA178" i="8"/>
  <c r="O178" i="8"/>
  <c r="I178" i="8"/>
  <c r="J178" i="8" s="1"/>
  <c r="AG177" i="8"/>
  <c r="AA177" i="8"/>
  <c r="AB177" i="8" s="1"/>
  <c r="O177" i="8"/>
  <c r="I177" i="8"/>
  <c r="J177" i="8" s="1"/>
  <c r="AG176" i="8"/>
  <c r="AA176" i="8"/>
  <c r="AB176" i="8" s="1"/>
  <c r="O176" i="8"/>
  <c r="I176" i="8"/>
  <c r="J176" i="8" s="1"/>
  <c r="AG175" i="8"/>
  <c r="AI175" i="8" s="1"/>
  <c r="AJ175" i="8" s="1"/>
  <c r="AA175" i="8"/>
  <c r="AB175" i="8" s="1"/>
  <c r="O175" i="8"/>
  <c r="I175" i="8"/>
  <c r="J175" i="8" s="1"/>
  <c r="AG174" i="8"/>
  <c r="AA174" i="8"/>
  <c r="O174" i="8"/>
  <c r="I174" i="8"/>
  <c r="J174" i="8" s="1"/>
  <c r="AG173" i="8"/>
  <c r="AA173" i="8"/>
  <c r="AB173" i="8" s="1"/>
  <c r="O173" i="8"/>
  <c r="I173" i="8"/>
  <c r="J173" i="8" s="1"/>
  <c r="AG172" i="8"/>
  <c r="AA172" i="8"/>
  <c r="AB172" i="8" s="1"/>
  <c r="O172" i="8"/>
  <c r="I172" i="8"/>
  <c r="J172" i="8" s="1"/>
  <c r="AG171" i="8"/>
  <c r="AA171" i="8"/>
  <c r="O171" i="8"/>
  <c r="Q171" i="8" s="1"/>
  <c r="R171" i="8" s="1"/>
  <c r="I171" i="8"/>
  <c r="J171" i="8" s="1"/>
  <c r="AG170" i="8"/>
  <c r="AA170" i="8"/>
  <c r="O170" i="8"/>
  <c r="I170" i="8"/>
  <c r="J170" i="8" s="1"/>
  <c r="AG169" i="8"/>
  <c r="AA169" i="8"/>
  <c r="AB169" i="8" s="1"/>
  <c r="O169" i="8"/>
  <c r="I169" i="8"/>
  <c r="J169" i="8" s="1"/>
  <c r="AG143" i="8"/>
  <c r="AA143" i="8"/>
  <c r="AB143" i="8" s="1"/>
  <c r="O143" i="8"/>
  <c r="Q143" i="8" s="1"/>
  <c r="R143" i="8" s="1"/>
  <c r="I143" i="8"/>
  <c r="J143" i="8" s="1"/>
  <c r="AG142" i="8"/>
  <c r="AI142" i="8" s="1"/>
  <c r="AJ142" i="8" s="1"/>
  <c r="AA142" i="8"/>
  <c r="AB142" i="8" s="1"/>
  <c r="O142" i="8"/>
  <c r="I142" i="8"/>
  <c r="J142" i="8" s="1"/>
  <c r="AG141" i="8"/>
  <c r="AA141" i="8"/>
  <c r="O141" i="8"/>
  <c r="I141" i="8"/>
  <c r="J141" i="8" s="1"/>
  <c r="AG140" i="8"/>
  <c r="AA140" i="8"/>
  <c r="AB140" i="8" s="1"/>
  <c r="O140" i="8"/>
  <c r="I140" i="8"/>
  <c r="J140" i="8" s="1"/>
  <c r="AG139" i="8"/>
  <c r="AA139" i="8"/>
  <c r="AB139" i="8" s="1"/>
  <c r="O139" i="8"/>
  <c r="I139" i="8"/>
  <c r="J139" i="8" s="1"/>
  <c r="AG138" i="8"/>
  <c r="AA138" i="8"/>
  <c r="AB138" i="8" s="1"/>
  <c r="O138" i="8"/>
  <c r="I138" i="8"/>
  <c r="J138" i="8" s="1"/>
  <c r="P138" i="8" s="1"/>
  <c r="AG137" i="8"/>
  <c r="AA137" i="8"/>
  <c r="O137" i="8"/>
  <c r="I137" i="8"/>
  <c r="J137" i="8" s="1"/>
  <c r="AG136" i="8"/>
  <c r="AA136" i="8"/>
  <c r="AB136" i="8" s="1"/>
  <c r="O136" i="8"/>
  <c r="I136" i="8"/>
  <c r="J136" i="8" s="1"/>
  <c r="AG135" i="8"/>
  <c r="AA135" i="8"/>
  <c r="AB135" i="8" s="1"/>
  <c r="O135" i="8"/>
  <c r="I135" i="8"/>
  <c r="J135" i="8" s="1"/>
  <c r="AG134" i="8"/>
  <c r="AI134" i="8" s="1"/>
  <c r="AJ134" i="8" s="1"/>
  <c r="AA134" i="8"/>
  <c r="AB134" i="8" s="1"/>
  <c r="O134" i="8"/>
  <c r="I134" i="8"/>
  <c r="J134" i="8" s="1"/>
  <c r="AG133" i="8"/>
  <c r="AA133" i="8"/>
  <c r="AB133" i="8" s="1"/>
  <c r="O133" i="8"/>
  <c r="Q133" i="8" s="1"/>
  <c r="R133" i="8" s="1"/>
  <c r="I133" i="8"/>
  <c r="J133" i="8" s="1"/>
  <c r="AG132" i="8"/>
  <c r="AA132" i="8"/>
  <c r="AB132" i="8" s="1"/>
  <c r="O132" i="8"/>
  <c r="I132" i="8"/>
  <c r="J132" i="8" s="1"/>
  <c r="AG131" i="8"/>
  <c r="AA131" i="8"/>
  <c r="AB131" i="8" s="1"/>
  <c r="O131" i="8"/>
  <c r="I131" i="8"/>
  <c r="J131" i="8" s="1"/>
  <c r="AG130" i="8"/>
  <c r="AA130" i="8"/>
  <c r="AB130" i="8" s="1"/>
  <c r="O130" i="8"/>
  <c r="I130" i="8"/>
  <c r="J130" i="8" s="1"/>
  <c r="AG129" i="8"/>
  <c r="AA129" i="8"/>
  <c r="AB129" i="8" s="1"/>
  <c r="O129" i="8"/>
  <c r="I129" i="8"/>
  <c r="J129" i="8" s="1"/>
  <c r="AG128" i="8"/>
  <c r="AA128" i="8"/>
  <c r="AB128" i="8" s="1"/>
  <c r="O128" i="8"/>
  <c r="I128" i="8"/>
  <c r="J128" i="8" s="1"/>
  <c r="AG127" i="8"/>
  <c r="AA127" i="8"/>
  <c r="AB127" i="8" s="1"/>
  <c r="O127" i="8"/>
  <c r="I127" i="8"/>
  <c r="J127" i="8" s="1"/>
  <c r="AG126" i="8"/>
  <c r="AA126" i="8"/>
  <c r="AB126" i="8" s="1"/>
  <c r="O126" i="8"/>
  <c r="Q126" i="8" s="1"/>
  <c r="R126" i="8" s="1"/>
  <c r="I126" i="8"/>
  <c r="J126" i="8" s="1"/>
  <c r="AG125" i="8"/>
  <c r="AI125" i="8" s="1"/>
  <c r="AJ125" i="8" s="1"/>
  <c r="AA125" i="8"/>
  <c r="AB125" i="8" s="1"/>
  <c r="O125" i="8"/>
  <c r="I125" i="8"/>
  <c r="J125" i="8" s="1"/>
  <c r="AG124" i="8"/>
  <c r="AA124" i="8"/>
  <c r="AB124" i="8" s="1"/>
  <c r="O124" i="8"/>
  <c r="I124" i="8"/>
  <c r="J124" i="8" s="1"/>
  <c r="AG123" i="8"/>
  <c r="AI123" i="8" s="1"/>
  <c r="AJ123" i="8" s="1"/>
  <c r="AA123" i="8"/>
  <c r="AB123" i="8" s="1"/>
  <c r="O123" i="8"/>
  <c r="I123" i="8"/>
  <c r="J123" i="8" s="1"/>
  <c r="P123" i="8" s="1"/>
  <c r="AG122" i="8"/>
  <c r="AA122" i="8"/>
  <c r="AB122" i="8" s="1"/>
  <c r="O122" i="8"/>
  <c r="I122" i="8"/>
  <c r="J122" i="8" s="1"/>
  <c r="AG121" i="8"/>
  <c r="AI121" i="8" s="1"/>
  <c r="AJ121" i="8" s="1"/>
  <c r="AA121" i="8"/>
  <c r="AB121" i="8" s="1"/>
  <c r="O121" i="8"/>
  <c r="I121" i="8"/>
  <c r="J121" i="8" s="1"/>
  <c r="AG120" i="8"/>
  <c r="AA120" i="8"/>
  <c r="O120" i="8"/>
  <c r="I120" i="8"/>
  <c r="J120" i="8" s="1"/>
  <c r="AG119" i="8"/>
  <c r="AA119" i="8"/>
  <c r="O119" i="8"/>
  <c r="Q119" i="8" s="1"/>
  <c r="R119" i="8" s="1"/>
  <c r="I119" i="8"/>
  <c r="J119" i="8" s="1"/>
  <c r="AG118" i="8"/>
  <c r="AA118" i="8"/>
  <c r="O118" i="8"/>
  <c r="Q118" i="8" s="1"/>
  <c r="R118" i="8" s="1"/>
  <c r="I118" i="8"/>
  <c r="J118" i="8" s="1"/>
  <c r="AG117" i="8"/>
  <c r="AA117" i="8"/>
  <c r="O117" i="8"/>
  <c r="I117" i="8"/>
  <c r="J117" i="8" s="1"/>
  <c r="AG116" i="8"/>
  <c r="AB116" i="8"/>
  <c r="AA116" i="8"/>
  <c r="O116" i="8"/>
  <c r="I116" i="8"/>
  <c r="J116" i="8" s="1"/>
  <c r="AG115" i="8"/>
  <c r="AA115" i="8"/>
  <c r="O115" i="8"/>
  <c r="Q115" i="8" s="1"/>
  <c r="R115" i="8" s="1"/>
  <c r="I115" i="8"/>
  <c r="J115" i="8" s="1"/>
  <c r="AG114" i="8"/>
  <c r="AB114" i="8"/>
  <c r="AA114" i="8"/>
  <c r="O114" i="8"/>
  <c r="I114" i="8"/>
  <c r="J114" i="8" s="1"/>
  <c r="AG87" i="8"/>
  <c r="AA87" i="8"/>
  <c r="O87" i="8"/>
  <c r="I87" i="8"/>
  <c r="J87" i="8" s="1"/>
  <c r="AG86" i="8"/>
  <c r="AA86" i="8"/>
  <c r="O86" i="8"/>
  <c r="I86" i="8"/>
  <c r="J86" i="8" s="1"/>
  <c r="AG85" i="8"/>
  <c r="AB85" i="8"/>
  <c r="AA85" i="8"/>
  <c r="O85" i="8"/>
  <c r="I85" i="8"/>
  <c r="J85" i="8" s="1"/>
  <c r="AG84" i="8"/>
  <c r="AA84" i="8"/>
  <c r="O84" i="8"/>
  <c r="I84" i="8"/>
  <c r="J84" i="8" s="1"/>
  <c r="AG83" i="8"/>
  <c r="AA83" i="8"/>
  <c r="O83" i="8"/>
  <c r="I83" i="8"/>
  <c r="J83" i="8" s="1"/>
  <c r="AG82" i="8"/>
  <c r="AA82" i="8"/>
  <c r="O82" i="8"/>
  <c r="P82" i="8" s="1"/>
  <c r="I82" i="8"/>
  <c r="J82" i="8" s="1"/>
  <c r="AG81" i="8"/>
  <c r="AA81" i="8"/>
  <c r="O81" i="8"/>
  <c r="I81" i="8"/>
  <c r="J81" i="8" s="1"/>
  <c r="AG80" i="8"/>
  <c r="AA80" i="8"/>
  <c r="O80" i="8"/>
  <c r="Q80" i="8" s="1"/>
  <c r="R80" i="8" s="1"/>
  <c r="I80" i="8"/>
  <c r="J80" i="8" s="1"/>
  <c r="AG79" i="8"/>
  <c r="AA79" i="8"/>
  <c r="AB79" i="8" s="1"/>
  <c r="O79" i="8"/>
  <c r="I79" i="8"/>
  <c r="J79" i="8" s="1"/>
  <c r="AG78" i="8"/>
  <c r="AA78" i="8"/>
  <c r="O78" i="8"/>
  <c r="I78" i="8"/>
  <c r="J78" i="8" s="1"/>
  <c r="AG77" i="8"/>
  <c r="AA77" i="8"/>
  <c r="O77" i="8"/>
  <c r="I77" i="8"/>
  <c r="J77" i="8" s="1"/>
  <c r="AG76" i="8"/>
  <c r="AA76" i="8"/>
  <c r="O76" i="8"/>
  <c r="I76" i="8"/>
  <c r="J76" i="8" s="1"/>
  <c r="AG75" i="8"/>
  <c r="AA75" i="8"/>
  <c r="O75" i="8"/>
  <c r="I75" i="8"/>
  <c r="J75" i="8" s="1"/>
  <c r="AG74" i="8"/>
  <c r="AA74" i="8"/>
  <c r="AB74" i="8" s="1"/>
  <c r="O74" i="8"/>
  <c r="I74" i="8"/>
  <c r="J74" i="8" s="1"/>
  <c r="AG73" i="8"/>
  <c r="AA73" i="8"/>
  <c r="O73" i="8"/>
  <c r="I73" i="8"/>
  <c r="J73" i="8" s="1"/>
  <c r="AG72" i="8"/>
  <c r="AA72" i="8"/>
  <c r="AB72" i="8" s="1"/>
  <c r="O72" i="8"/>
  <c r="I72" i="8"/>
  <c r="J72" i="8" s="1"/>
  <c r="AG71" i="8"/>
  <c r="AA71" i="8"/>
  <c r="O71" i="8"/>
  <c r="I71" i="8"/>
  <c r="J71" i="8" s="1"/>
  <c r="AG70" i="8"/>
  <c r="AA70" i="8"/>
  <c r="AB70" i="8" s="1"/>
  <c r="O70" i="8"/>
  <c r="I70" i="8"/>
  <c r="J70" i="8" s="1"/>
  <c r="AG69" i="8"/>
  <c r="AA69" i="8"/>
  <c r="AB69" i="8" s="1"/>
  <c r="O69" i="8"/>
  <c r="I69" i="8"/>
  <c r="J69" i="8" s="1"/>
  <c r="AG68" i="8"/>
  <c r="AI68" i="8" s="1"/>
  <c r="AJ68" i="8" s="1"/>
  <c r="AA68" i="8"/>
  <c r="AB68" i="8" s="1"/>
  <c r="O68" i="8"/>
  <c r="Q68" i="8" s="1"/>
  <c r="R68" i="8" s="1"/>
  <c r="I68" i="8"/>
  <c r="J68" i="8" s="1"/>
  <c r="AG67" i="8"/>
  <c r="AI67" i="8" s="1"/>
  <c r="AJ67" i="8" s="1"/>
  <c r="AB67" i="8"/>
  <c r="AA67" i="8"/>
  <c r="O67" i="8"/>
  <c r="I67" i="8"/>
  <c r="J67" i="8" s="1"/>
  <c r="AG66" i="8"/>
  <c r="AI66" i="8" s="1"/>
  <c r="AJ66" i="8" s="1"/>
  <c r="AA66" i="8"/>
  <c r="AB66" i="8" s="1"/>
  <c r="O66" i="8"/>
  <c r="I66" i="8"/>
  <c r="J66" i="8" s="1"/>
  <c r="AG65" i="8"/>
  <c r="AA65" i="8"/>
  <c r="AB65" i="8" s="1"/>
  <c r="O65" i="8"/>
  <c r="I65" i="8"/>
  <c r="J65" i="8" s="1"/>
  <c r="AG64" i="8"/>
  <c r="AI64" i="8" s="1"/>
  <c r="AJ64" i="8" s="1"/>
  <c r="AA64" i="8"/>
  <c r="AB64" i="8" s="1"/>
  <c r="O64" i="8"/>
  <c r="Q64" i="8" s="1"/>
  <c r="R64" i="8" s="1"/>
  <c r="I64" i="8"/>
  <c r="J64" i="8" s="1"/>
  <c r="AG63" i="8"/>
  <c r="AI63" i="8" s="1"/>
  <c r="AJ63" i="8" s="1"/>
  <c r="AB63" i="8"/>
  <c r="AA63" i="8"/>
  <c r="O63" i="8"/>
  <c r="I63" i="8"/>
  <c r="J63" i="8" s="1"/>
  <c r="AG62" i="8"/>
  <c r="AI62" i="8" s="1"/>
  <c r="AJ62" i="8" s="1"/>
  <c r="AA62" i="8"/>
  <c r="AB62" i="8" s="1"/>
  <c r="O62" i="8"/>
  <c r="I62" i="8"/>
  <c r="J62" i="8" s="1"/>
  <c r="AG61" i="8"/>
  <c r="AA61" i="8"/>
  <c r="AB61" i="8" s="1"/>
  <c r="O61" i="8"/>
  <c r="I61" i="8"/>
  <c r="J61" i="8" s="1"/>
  <c r="AG60" i="8"/>
  <c r="AI60" i="8" s="1"/>
  <c r="AJ60" i="8" s="1"/>
  <c r="AA60" i="8"/>
  <c r="AB60" i="8" s="1"/>
  <c r="O60" i="8"/>
  <c r="I60" i="8"/>
  <c r="J60" i="8" s="1"/>
  <c r="AG59" i="8"/>
  <c r="AA59" i="8"/>
  <c r="AB59" i="8" s="1"/>
  <c r="O59" i="8"/>
  <c r="Q59" i="8" s="1"/>
  <c r="R59" i="8" s="1"/>
  <c r="I59" i="8"/>
  <c r="J59" i="8" s="1"/>
  <c r="AG58" i="8"/>
  <c r="AA58" i="8"/>
  <c r="AB58" i="8" s="1"/>
  <c r="O58" i="8"/>
  <c r="Q58" i="8" s="1"/>
  <c r="R58" i="8" s="1"/>
  <c r="I58" i="8"/>
  <c r="J58" i="8" s="1"/>
  <c r="AG33" i="8"/>
  <c r="AA33" i="8"/>
  <c r="AB33" i="8" s="1"/>
  <c r="O33" i="8"/>
  <c r="Q33" i="8" s="1"/>
  <c r="R33" i="8" s="1"/>
  <c r="I33" i="8"/>
  <c r="J33" i="8" s="1"/>
  <c r="AG32" i="8"/>
  <c r="AI32" i="8" s="1"/>
  <c r="AJ32" i="8" s="1"/>
  <c r="AA32" i="8"/>
  <c r="AB32" i="8" s="1"/>
  <c r="O32" i="8"/>
  <c r="I32" i="8"/>
  <c r="J32" i="8" s="1"/>
  <c r="AG31" i="8"/>
  <c r="AA31" i="8"/>
  <c r="AB31" i="8" s="1"/>
  <c r="O31" i="8"/>
  <c r="I31" i="8"/>
  <c r="J31" i="8" s="1"/>
  <c r="AG30" i="8"/>
  <c r="AA30" i="8"/>
  <c r="AB30" i="8" s="1"/>
  <c r="O30" i="8"/>
  <c r="I30" i="8"/>
  <c r="J30" i="8" s="1"/>
  <c r="AG29" i="8"/>
  <c r="AA29" i="8"/>
  <c r="AB29" i="8" s="1"/>
  <c r="O29" i="8"/>
  <c r="I29" i="8"/>
  <c r="J29" i="8" s="1"/>
  <c r="AI28" i="8"/>
  <c r="AJ28" i="8" s="1"/>
  <c r="AG28" i="8"/>
  <c r="AA28" i="8"/>
  <c r="AB28" i="8" s="1"/>
  <c r="O28" i="8"/>
  <c r="I28" i="8"/>
  <c r="J28" i="8" s="1"/>
  <c r="AG27" i="8"/>
  <c r="AA27" i="8"/>
  <c r="AB27" i="8" s="1"/>
  <c r="O27" i="8"/>
  <c r="I27" i="8"/>
  <c r="J27" i="8" s="1"/>
  <c r="AG26" i="8"/>
  <c r="AA26" i="8"/>
  <c r="AB26" i="8" s="1"/>
  <c r="O26" i="8"/>
  <c r="I26" i="8"/>
  <c r="J26" i="8" s="1"/>
  <c r="AG25" i="8"/>
  <c r="AA25" i="8"/>
  <c r="AB25" i="8" s="1"/>
  <c r="O25" i="8"/>
  <c r="I25" i="8"/>
  <c r="J25" i="8" s="1"/>
  <c r="AG24" i="8"/>
  <c r="AI24" i="8" s="1"/>
  <c r="AJ24" i="8" s="1"/>
  <c r="AA24" i="8"/>
  <c r="AB24" i="8" s="1"/>
  <c r="O24" i="8"/>
  <c r="I24" i="8"/>
  <c r="J24" i="8" s="1"/>
  <c r="AG23" i="8"/>
  <c r="AA23" i="8"/>
  <c r="AB23" i="8" s="1"/>
  <c r="O23" i="8"/>
  <c r="I23" i="8"/>
  <c r="AG22" i="8"/>
  <c r="AA22" i="8"/>
  <c r="AB22" i="8" s="1"/>
  <c r="O22" i="8"/>
  <c r="Q22" i="8" s="1"/>
  <c r="R22" i="8" s="1"/>
  <c r="I22" i="8"/>
  <c r="J22" i="8" s="1"/>
  <c r="AG21" i="8"/>
  <c r="AA21" i="8"/>
  <c r="AB21" i="8" s="1"/>
  <c r="O21" i="8"/>
  <c r="I21" i="8"/>
  <c r="AG20" i="8"/>
  <c r="AA20" i="8"/>
  <c r="AB20" i="8" s="1"/>
  <c r="O20" i="8"/>
  <c r="I20" i="8"/>
  <c r="AG19" i="8"/>
  <c r="AA19" i="8"/>
  <c r="AB19" i="8" s="1"/>
  <c r="O19" i="8"/>
  <c r="I19" i="8"/>
  <c r="J19" i="8" s="1"/>
  <c r="AG18" i="8"/>
  <c r="AA18" i="8"/>
  <c r="AB18" i="8" s="1"/>
  <c r="O18" i="8"/>
  <c r="I18" i="8"/>
  <c r="AG17" i="8"/>
  <c r="AA17" i="8"/>
  <c r="AB17" i="8" s="1"/>
  <c r="O17" i="8"/>
  <c r="I17" i="8"/>
  <c r="J17" i="8" s="1"/>
  <c r="AG16" i="8"/>
  <c r="AA16" i="8"/>
  <c r="AB16" i="8" s="1"/>
  <c r="O16" i="8"/>
  <c r="I16" i="8"/>
  <c r="J16" i="8" s="1"/>
  <c r="AG15" i="8"/>
  <c r="AA15" i="8"/>
  <c r="AB15" i="8" s="1"/>
  <c r="O15" i="8"/>
  <c r="I15" i="8"/>
  <c r="J15" i="8" s="1"/>
  <c r="AG14" i="8"/>
  <c r="AA14" i="8"/>
  <c r="AB14" i="8" s="1"/>
  <c r="O14" i="8"/>
  <c r="I14" i="8"/>
  <c r="J14" i="8" s="1"/>
  <c r="AG13" i="8"/>
  <c r="AA13" i="8"/>
  <c r="AB13" i="8" s="1"/>
  <c r="O13" i="8"/>
  <c r="I13" i="8"/>
  <c r="J13" i="8" s="1"/>
  <c r="AG12" i="8"/>
  <c r="AA12" i="8"/>
  <c r="AB12" i="8" s="1"/>
  <c r="O12" i="8"/>
  <c r="I12" i="8"/>
  <c r="J12" i="8" s="1"/>
  <c r="AG11" i="8"/>
  <c r="AA11" i="8"/>
  <c r="AB11" i="8" s="1"/>
  <c r="O11" i="8"/>
  <c r="I11" i="8"/>
  <c r="AG10" i="8"/>
  <c r="AA10" i="8"/>
  <c r="AB10" i="8" s="1"/>
  <c r="O10" i="8"/>
  <c r="I10" i="8"/>
  <c r="J10" i="8" s="1"/>
  <c r="AG9" i="8"/>
  <c r="AA9" i="8"/>
  <c r="AB9" i="8" s="1"/>
  <c r="O9" i="8"/>
  <c r="I9" i="8"/>
  <c r="J9" i="8" s="1"/>
  <c r="AG8" i="8"/>
  <c r="AA8" i="8"/>
  <c r="AB8" i="8" s="1"/>
  <c r="O8" i="8"/>
  <c r="I8" i="8"/>
  <c r="J8" i="8" s="1"/>
  <c r="AG7" i="8"/>
  <c r="AA7" i="8"/>
  <c r="AB7" i="8" s="1"/>
  <c r="O7" i="8"/>
  <c r="I7" i="8"/>
  <c r="J7" i="8" s="1"/>
  <c r="AG6" i="8"/>
  <c r="AA6" i="8"/>
  <c r="AB6" i="8" s="1"/>
  <c r="O6" i="8"/>
  <c r="I6" i="8"/>
  <c r="J6" i="8" s="1"/>
  <c r="AG5" i="8"/>
  <c r="AA5" i="8"/>
  <c r="AB5" i="8" s="1"/>
  <c r="O5" i="8"/>
  <c r="I5" i="8"/>
  <c r="AG4" i="8"/>
  <c r="AA4" i="8"/>
  <c r="AB4" i="8" s="1"/>
  <c r="O4" i="8"/>
  <c r="I4" i="8"/>
  <c r="J4" i="8" s="1"/>
  <c r="P173" i="9" l="1"/>
  <c r="P188" i="9"/>
  <c r="P190" i="9"/>
  <c r="P177" i="9"/>
  <c r="P192" i="9"/>
  <c r="P194" i="9"/>
  <c r="P169" i="9"/>
  <c r="AI197" i="9"/>
  <c r="AJ197" i="9" s="1"/>
  <c r="AH183" i="9"/>
  <c r="AH184" i="9"/>
  <c r="AH185" i="9"/>
  <c r="AH227" i="9"/>
  <c r="P225" i="9"/>
  <c r="Q177" i="10"/>
  <c r="R177" i="10" s="1"/>
  <c r="Q196" i="10"/>
  <c r="R196" i="10" s="1"/>
  <c r="Q169" i="10"/>
  <c r="R169" i="10" s="1"/>
  <c r="P114" i="8"/>
  <c r="P115" i="8"/>
  <c r="AH176" i="9"/>
  <c r="AI193" i="9"/>
  <c r="AJ193" i="9" s="1"/>
  <c r="AH180" i="9"/>
  <c r="AH181" i="9"/>
  <c r="AH139" i="9"/>
  <c r="AH25" i="9"/>
  <c r="Q14" i="9"/>
  <c r="R14" i="9" s="1"/>
  <c r="Q17" i="9"/>
  <c r="R17" i="9" s="1"/>
  <c r="AH29" i="9"/>
  <c r="Q68" i="9"/>
  <c r="R68" i="9" s="1"/>
  <c r="Q136" i="9"/>
  <c r="R136" i="9" s="1"/>
  <c r="Q143" i="9"/>
  <c r="R143" i="9" s="1"/>
  <c r="P171" i="9"/>
  <c r="AI171" i="9"/>
  <c r="AJ171" i="9" s="1"/>
  <c r="AH174" i="9"/>
  <c r="Q176" i="9"/>
  <c r="R176" i="9" s="1"/>
  <c r="P179" i="9"/>
  <c r="AI179" i="9"/>
  <c r="AJ179" i="9" s="1"/>
  <c r="AH182" i="9"/>
  <c r="Q184" i="9"/>
  <c r="R184" i="9" s="1"/>
  <c r="AI188" i="9"/>
  <c r="AJ188" i="9" s="1"/>
  <c r="AH191" i="9"/>
  <c r="Q192" i="9"/>
  <c r="R192" i="9" s="1"/>
  <c r="Q225" i="9"/>
  <c r="R225" i="9" s="1"/>
  <c r="Q229" i="9"/>
  <c r="R229" i="9" s="1"/>
  <c r="Q18" i="9"/>
  <c r="R18" i="9" s="1"/>
  <c r="Q32" i="9"/>
  <c r="R32" i="9" s="1"/>
  <c r="Q72" i="9"/>
  <c r="R72" i="9" s="1"/>
  <c r="AI75" i="9"/>
  <c r="AJ75" i="9" s="1"/>
  <c r="Q116" i="9"/>
  <c r="R116" i="9" s="1"/>
  <c r="AI140" i="9"/>
  <c r="AJ140" i="9" s="1"/>
  <c r="AI173" i="9"/>
  <c r="AJ173" i="9" s="1"/>
  <c r="AI181" i="9"/>
  <c r="AJ181" i="9" s="1"/>
  <c r="Q186" i="9"/>
  <c r="R186" i="9" s="1"/>
  <c r="Q194" i="9"/>
  <c r="R194" i="9" s="1"/>
  <c r="Q231" i="9"/>
  <c r="R231" i="9" s="1"/>
  <c r="AH5" i="9"/>
  <c r="Q9" i="9"/>
  <c r="R9" i="9" s="1"/>
  <c r="AH18" i="9"/>
  <c r="Q22" i="9"/>
  <c r="R22" i="9" s="1"/>
  <c r="Q25" i="9"/>
  <c r="R25" i="9" s="1"/>
  <c r="AI30" i="9"/>
  <c r="AJ30" i="9" s="1"/>
  <c r="AH32" i="9"/>
  <c r="Q60" i="9"/>
  <c r="R60" i="9" s="1"/>
  <c r="AH71" i="9"/>
  <c r="Q74" i="9"/>
  <c r="R74" i="9" s="1"/>
  <c r="Q133" i="9"/>
  <c r="R133" i="9" s="1"/>
  <c r="Q134" i="9"/>
  <c r="R134" i="9" s="1"/>
  <c r="AH135" i="9"/>
  <c r="P142" i="9"/>
  <c r="AH170" i="9"/>
  <c r="Q172" i="9"/>
  <c r="R172" i="9" s="1"/>
  <c r="P175" i="9"/>
  <c r="AH178" i="9"/>
  <c r="Q180" i="9"/>
  <c r="R180" i="9" s="1"/>
  <c r="P183" i="9"/>
  <c r="AH187" i="9"/>
  <c r="Q188" i="9"/>
  <c r="R188" i="9" s="1"/>
  <c r="AI192" i="9"/>
  <c r="AJ192" i="9" s="1"/>
  <c r="AI195" i="9"/>
  <c r="AJ195" i="9" s="1"/>
  <c r="Q196" i="9"/>
  <c r="R196" i="9" s="1"/>
  <c r="P224" i="9"/>
  <c r="AH231" i="9"/>
  <c r="AH235" i="9"/>
  <c r="AH59" i="9"/>
  <c r="AI64" i="9"/>
  <c r="AJ64" i="9" s="1"/>
  <c r="AH65" i="9"/>
  <c r="AI76" i="9"/>
  <c r="AJ76" i="9" s="1"/>
  <c r="J133" i="9"/>
  <c r="J136" i="9"/>
  <c r="AI137" i="9"/>
  <c r="AJ137" i="9" s="1"/>
  <c r="AB193" i="9"/>
  <c r="AH193" i="9" s="1"/>
  <c r="AB195" i="9"/>
  <c r="AH195" i="9" s="1"/>
  <c r="AB197" i="9"/>
  <c r="AH197" i="9" s="1"/>
  <c r="AI228" i="9"/>
  <c r="AJ228" i="9" s="1"/>
  <c r="AH225" i="9"/>
  <c r="Q7" i="9"/>
  <c r="R7" i="9" s="1"/>
  <c r="Q11" i="9"/>
  <c r="R11" i="9" s="1"/>
  <c r="Q15" i="9"/>
  <c r="R15" i="9" s="1"/>
  <c r="Q19" i="9"/>
  <c r="R19" i="9" s="1"/>
  <c r="Q23" i="9"/>
  <c r="R23" i="9" s="1"/>
  <c r="Q27" i="9"/>
  <c r="R27" i="9" s="1"/>
  <c r="AI31" i="9"/>
  <c r="AJ31" i="9" s="1"/>
  <c r="Q58" i="9"/>
  <c r="R58" i="9" s="1"/>
  <c r="AI67" i="9"/>
  <c r="AJ67" i="9" s="1"/>
  <c r="Q70" i="9"/>
  <c r="R70" i="9" s="1"/>
  <c r="AI72" i="9"/>
  <c r="AJ72" i="9" s="1"/>
  <c r="AI78" i="9"/>
  <c r="AJ78" i="9" s="1"/>
  <c r="AH79" i="9"/>
  <c r="AI83" i="9"/>
  <c r="AJ83" i="9" s="1"/>
  <c r="Q86" i="9"/>
  <c r="R86" i="9" s="1"/>
  <c r="AI114" i="9"/>
  <c r="AJ114" i="9" s="1"/>
  <c r="Q118" i="9"/>
  <c r="R118" i="9" s="1"/>
  <c r="AI120" i="9"/>
  <c r="AJ120" i="9" s="1"/>
  <c r="AH121" i="9"/>
  <c r="P133" i="9"/>
  <c r="J134" i="9"/>
  <c r="AI134" i="9"/>
  <c r="AJ134" i="9" s="1"/>
  <c r="Q138" i="9"/>
  <c r="R138" i="9" s="1"/>
  <c r="AI138" i="9"/>
  <c r="AJ138" i="9" s="1"/>
  <c r="Q140" i="9"/>
  <c r="R140" i="9" s="1"/>
  <c r="Q142" i="9"/>
  <c r="R142" i="9" s="1"/>
  <c r="Q169" i="9"/>
  <c r="R169" i="9" s="1"/>
  <c r="Q171" i="9"/>
  <c r="R171" i="9" s="1"/>
  <c r="Q173" i="9"/>
  <c r="R173" i="9" s="1"/>
  <c r="Q175" i="9"/>
  <c r="R175" i="9" s="1"/>
  <c r="Q177" i="9"/>
  <c r="R177" i="9" s="1"/>
  <c r="Q179" i="9"/>
  <c r="R179" i="9" s="1"/>
  <c r="Q181" i="9"/>
  <c r="R181" i="9" s="1"/>
  <c r="Q183" i="9"/>
  <c r="R183" i="9" s="1"/>
  <c r="AI185" i="9"/>
  <c r="AJ185" i="9" s="1"/>
  <c r="AI187" i="9"/>
  <c r="AJ187" i="9" s="1"/>
  <c r="AI189" i="9"/>
  <c r="AJ189" i="9" s="1"/>
  <c r="AI191" i="9"/>
  <c r="AJ191" i="9" s="1"/>
  <c r="AH224" i="9"/>
  <c r="Q233" i="9"/>
  <c r="R233" i="9" s="1"/>
  <c r="AI236" i="9"/>
  <c r="AJ236" i="9" s="1"/>
  <c r="AI237" i="9"/>
  <c r="AJ237" i="9" s="1"/>
  <c r="Q248" i="9"/>
  <c r="R248" i="9" s="1"/>
  <c r="P253" i="9"/>
  <c r="Q4" i="9"/>
  <c r="R4" i="9" s="1"/>
  <c r="AH7" i="9"/>
  <c r="Q8" i="9"/>
  <c r="R8" i="9" s="1"/>
  <c r="Q12" i="9"/>
  <c r="R12" i="9" s="1"/>
  <c r="Q16" i="9"/>
  <c r="R16" i="9" s="1"/>
  <c r="Q20" i="9"/>
  <c r="R20" i="9" s="1"/>
  <c r="Q24" i="9"/>
  <c r="R24" i="9" s="1"/>
  <c r="Q28" i="9"/>
  <c r="R28" i="9" s="1"/>
  <c r="Q31" i="9"/>
  <c r="R31" i="9" s="1"/>
  <c r="AI33" i="9"/>
  <c r="AJ33" i="9" s="1"/>
  <c r="AI62" i="9"/>
  <c r="AJ62" i="9" s="1"/>
  <c r="AI68" i="9"/>
  <c r="AJ68" i="9" s="1"/>
  <c r="AI74" i="9"/>
  <c r="AJ74" i="9" s="1"/>
  <c r="Q76" i="9"/>
  <c r="R76" i="9" s="1"/>
  <c r="AI80" i="9"/>
  <c r="AJ80" i="9" s="1"/>
  <c r="AI84" i="9"/>
  <c r="AJ84" i="9" s="1"/>
  <c r="AI116" i="9"/>
  <c r="AJ116" i="9" s="1"/>
  <c r="AI117" i="9"/>
  <c r="AJ117" i="9" s="1"/>
  <c r="AI122" i="9"/>
  <c r="AJ122" i="9" s="1"/>
  <c r="AI132" i="9"/>
  <c r="AJ132" i="9" s="1"/>
  <c r="AI135" i="9"/>
  <c r="AJ135" i="9" s="1"/>
  <c r="J138" i="9"/>
  <c r="P138" i="9" s="1"/>
  <c r="AI139" i="9"/>
  <c r="AJ139" i="9" s="1"/>
  <c r="AI141" i="9"/>
  <c r="AJ141" i="9" s="1"/>
  <c r="AI143" i="9"/>
  <c r="AJ143" i="9" s="1"/>
  <c r="AI170" i="9"/>
  <c r="AJ170" i="9" s="1"/>
  <c r="AI172" i="9"/>
  <c r="AJ172" i="9" s="1"/>
  <c r="AI174" i="9"/>
  <c r="AJ174" i="9" s="1"/>
  <c r="AI176" i="9"/>
  <c r="AJ176" i="9" s="1"/>
  <c r="AI178" i="9"/>
  <c r="AJ178" i="9" s="1"/>
  <c r="AI180" i="9"/>
  <c r="AJ180" i="9" s="1"/>
  <c r="AI182" i="9"/>
  <c r="AJ182" i="9" s="1"/>
  <c r="AI184" i="9"/>
  <c r="AJ184" i="9" s="1"/>
  <c r="Q185" i="9"/>
  <c r="R185" i="9" s="1"/>
  <c r="Q187" i="9"/>
  <c r="R187" i="9" s="1"/>
  <c r="Q189" i="9"/>
  <c r="R189" i="9" s="1"/>
  <c r="Q191" i="9"/>
  <c r="R191" i="9" s="1"/>
  <c r="Q193" i="9"/>
  <c r="R193" i="9" s="1"/>
  <c r="Q195" i="9"/>
  <c r="R195" i="9" s="1"/>
  <c r="Q197" i="9"/>
  <c r="R197" i="9" s="1"/>
  <c r="Q224" i="9"/>
  <c r="R224" i="9" s="1"/>
  <c r="Q227" i="9"/>
  <c r="R227" i="9" s="1"/>
  <c r="AH232" i="9"/>
  <c r="AH117" i="10"/>
  <c r="Q33" i="10"/>
  <c r="R33" i="10" s="1"/>
  <c r="P237" i="10"/>
  <c r="AI74" i="10"/>
  <c r="AJ74" i="10" s="1"/>
  <c r="AH24" i="9"/>
  <c r="AH28" i="9"/>
  <c r="AH12" i="9"/>
  <c r="AH170" i="10"/>
  <c r="AH177" i="10"/>
  <c r="AH178" i="10"/>
  <c r="AH76" i="10"/>
  <c r="AH81" i="10"/>
  <c r="AH86" i="10"/>
  <c r="AI225" i="9"/>
  <c r="AJ225" i="9" s="1"/>
  <c r="AI232" i="9"/>
  <c r="AJ232" i="9" s="1"/>
  <c r="AI224" i="9"/>
  <c r="AJ224" i="9" s="1"/>
  <c r="AH229" i="9"/>
  <c r="AI194" i="9"/>
  <c r="AJ194" i="9" s="1"/>
  <c r="AI196" i="9"/>
  <c r="AJ196" i="9" s="1"/>
  <c r="AI198" i="9"/>
  <c r="AJ198" i="9" s="1"/>
  <c r="AH179" i="9"/>
  <c r="AH169" i="9"/>
  <c r="AH171" i="9"/>
  <c r="AH173" i="9"/>
  <c r="AH175" i="9"/>
  <c r="AH177" i="9"/>
  <c r="AH186" i="9"/>
  <c r="AH188" i="9"/>
  <c r="AH190" i="9"/>
  <c r="AH192" i="9"/>
  <c r="AH194" i="9"/>
  <c r="AH196" i="9"/>
  <c r="AH198" i="9"/>
  <c r="AH133" i="9"/>
  <c r="AH138" i="9"/>
  <c r="AH122" i="9"/>
  <c r="AH120" i="9"/>
  <c r="AH116" i="9"/>
  <c r="AH114" i="9"/>
  <c r="AH132" i="9"/>
  <c r="AH143" i="9"/>
  <c r="AH118" i="9"/>
  <c r="AI121" i="9"/>
  <c r="AJ121" i="9" s="1"/>
  <c r="AH141" i="9"/>
  <c r="AH142" i="9"/>
  <c r="AH134" i="9"/>
  <c r="AH136" i="9"/>
  <c r="AH137" i="9"/>
  <c r="AH140" i="9"/>
  <c r="AI87" i="9"/>
  <c r="AJ87" i="9" s="1"/>
  <c r="AH58" i="9"/>
  <c r="AH62" i="9"/>
  <c r="AH70" i="9"/>
  <c r="AH84" i="9"/>
  <c r="AH64" i="9"/>
  <c r="AH76" i="9"/>
  <c r="P170" i="9"/>
  <c r="P172" i="9"/>
  <c r="P174" i="9"/>
  <c r="P176" i="9"/>
  <c r="P178" i="9"/>
  <c r="P185" i="9"/>
  <c r="P187" i="9"/>
  <c r="P189" i="9"/>
  <c r="P191" i="9"/>
  <c r="P193" i="9"/>
  <c r="P195" i="9"/>
  <c r="P197" i="9"/>
  <c r="P180" i="9"/>
  <c r="P182" i="9"/>
  <c r="P184" i="9"/>
  <c r="Q139" i="9"/>
  <c r="R139" i="9" s="1"/>
  <c r="Q135" i="9"/>
  <c r="R135" i="9" s="1"/>
  <c r="Q137" i="9"/>
  <c r="R137" i="9" s="1"/>
  <c r="P141" i="9"/>
  <c r="P58" i="9"/>
  <c r="AH72" i="9"/>
  <c r="AI79" i="9"/>
  <c r="AJ79" i="9" s="1"/>
  <c r="AI59" i="9"/>
  <c r="AJ59" i="9" s="1"/>
  <c r="AI65" i="9"/>
  <c r="AJ65" i="9" s="1"/>
  <c r="AH68" i="9"/>
  <c r="AI71" i="9"/>
  <c r="AJ71" i="9" s="1"/>
  <c r="AH74" i="9"/>
  <c r="AH86" i="9"/>
  <c r="AH60" i="9"/>
  <c r="AH66" i="9"/>
  <c r="AH78" i="9"/>
  <c r="AH22" i="9"/>
  <c r="AH26" i="9"/>
  <c r="AH23" i="9"/>
  <c r="AH27" i="9"/>
  <c r="AH13" i="9"/>
  <c r="AH14" i="9"/>
  <c r="AH11" i="9"/>
  <c r="AH15" i="9"/>
  <c r="AH9" i="9"/>
  <c r="AH10" i="9"/>
  <c r="AH31" i="9"/>
  <c r="AH33" i="9"/>
  <c r="AH19" i="9"/>
  <c r="AH20" i="9"/>
  <c r="AH17" i="9"/>
  <c r="AH21" i="9"/>
  <c r="AH16" i="9"/>
  <c r="AH8" i="9"/>
  <c r="AH6" i="9"/>
  <c r="AH4" i="9"/>
  <c r="P31" i="9"/>
  <c r="P33" i="9"/>
  <c r="P73" i="8"/>
  <c r="P76" i="8"/>
  <c r="P84" i="8"/>
  <c r="P85" i="8"/>
  <c r="P87" i="8"/>
  <c r="Q251" i="8"/>
  <c r="R251" i="8" s="1"/>
  <c r="Q253" i="8"/>
  <c r="R253" i="8" s="1"/>
  <c r="P253" i="8"/>
  <c r="AH240" i="8"/>
  <c r="AH243" i="8"/>
  <c r="AI119" i="8"/>
  <c r="AJ119" i="8" s="1"/>
  <c r="AI87" i="8"/>
  <c r="AJ87" i="8" s="1"/>
  <c r="AI71" i="8"/>
  <c r="AJ71" i="8" s="1"/>
  <c r="AI80" i="8"/>
  <c r="AJ80" i="8" s="1"/>
  <c r="AI82" i="8"/>
  <c r="AJ82" i="8" s="1"/>
  <c r="P29" i="8"/>
  <c r="AH134" i="10"/>
  <c r="AI116" i="10"/>
  <c r="AJ116" i="10" s="1"/>
  <c r="AH126" i="10"/>
  <c r="AH140" i="10"/>
  <c r="AH141" i="10"/>
  <c r="AH78" i="10"/>
  <c r="AH75" i="10"/>
  <c r="AI73" i="10"/>
  <c r="AJ73" i="10" s="1"/>
  <c r="AH71" i="10"/>
  <c r="P235" i="10"/>
  <c r="P239" i="10"/>
  <c r="P234" i="10"/>
  <c r="P238" i="10"/>
  <c r="AH226" i="10"/>
  <c r="AI229" i="10"/>
  <c r="AJ229" i="10" s="1"/>
  <c r="AH230" i="10"/>
  <c r="AH236" i="10"/>
  <c r="AH169" i="10"/>
  <c r="AH174" i="10"/>
  <c r="AH173" i="10"/>
  <c r="AH175" i="10"/>
  <c r="Q179" i="10"/>
  <c r="R179" i="10" s="1"/>
  <c r="Q181" i="10"/>
  <c r="R181" i="10" s="1"/>
  <c r="Q185" i="10"/>
  <c r="R185" i="10" s="1"/>
  <c r="Q189" i="10"/>
  <c r="R189" i="10" s="1"/>
  <c r="Q193" i="10"/>
  <c r="R193" i="10" s="1"/>
  <c r="Q197" i="10"/>
  <c r="R197" i="10" s="1"/>
  <c r="Q182" i="10"/>
  <c r="R182" i="10" s="1"/>
  <c r="Q186" i="10"/>
  <c r="R186" i="10" s="1"/>
  <c r="Q190" i="10"/>
  <c r="R190" i="10" s="1"/>
  <c r="Q194" i="10"/>
  <c r="R194" i="10" s="1"/>
  <c r="Q198" i="10"/>
  <c r="R198" i="10" s="1"/>
  <c r="AH137" i="10"/>
  <c r="AH128" i="10"/>
  <c r="AH132" i="10"/>
  <c r="AH136" i="10"/>
  <c r="AH133" i="10"/>
  <c r="AH125" i="10"/>
  <c r="P127" i="10"/>
  <c r="P129" i="10"/>
  <c r="P131" i="10"/>
  <c r="Q115" i="10"/>
  <c r="R115" i="10" s="1"/>
  <c r="P132" i="10"/>
  <c r="P71" i="10"/>
  <c r="Q85" i="10"/>
  <c r="R85" i="10" s="1"/>
  <c r="P63" i="10"/>
  <c r="P64" i="10"/>
  <c r="P65" i="10"/>
  <c r="P66" i="10"/>
  <c r="P67" i="10"/>
  <c r="P68" i="10"/>
  <c r="P69" i="10"/>
  <c r="P70" i="10"/>
  <c r="AI59" i="10"/>
  <c r="AJ59" i="10" s="1"/>
  <c r="AI60" i="10"/>
  <c r="AJ60" i="10" s="1"/>
  <c r="AI61" i="10"/>
  <c r="AJ61" i="10" s="1"/>
  <c r="AI62" i="10"/>
  <c r="AJ62" i="10" s="1"/>
  <c r="AI63" i="10"/>
  <c r="AJ63" i="10" s="1"/>
  <c r="AI64" i="10"/>
  <c r="AJ64" i="10" s="1"/>
  <c r="AI65" i="10"/>
  <c r="AJ65" i="10" s="1"/>
  <c r="AI66" i="10"/>
  <c r="AJ66" i="10" s="1"/>
  <c r="AI67" i="10"/>
  <c r="AJ67" i="10" s="1"/>
  <c r="AI68" i="10"/>
  <c r="AJ68" i="10" s="1"/>
  <c r="AI69" i="10"/>
  <c r="AJ69" i="10" s="1"/>
  <c r="AI70" i="10"/>
  <c r="AJ70" i="10" s="1"/>
  <c r="AH73" i="10"/>
  <c r="AI77" i="10"/>
  <c r="AJ77" i="10" s="1"/>
  <c r="AH72" i="10"/>
  <c r="AH77" i="10"/>
  <c r="AH83" i="10"/>
  <c r="AH87" i="10"/>
  <c r="Q9" i="10"/>
  <c r="R9" i="10" s="1"/>
  <c r="Q11" i="10"/>
  <c r="R11" i="10" s="1"/>
  <c r="Q12" i="10"/>
  <c r="R12" i="10" s="1"/>
  <c r="Q17" i="10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4" i="10"/>
  <c r="R24" i="10" s="1"/>
  <c r="Q25" i="10"/>
  <c r="R25" i="10" s="1"/>
  <c r="Q26" i="10"/>
  <c r="R26" i="10" s="1"/>
  <c r="Q28" i="10"/>
  <c r="R28" i="10" s="1"/>
  <c r="Q29" i="10"/>
  <c r="R29" i="10" s="1"/>
  <c r="Q5" i="10"/>
  <c r="R5" i="10" s="1"/>
  <c r="Q6" i="10"/>
  <c r="R6" i="10" s="1"/>
  <c r="Q7" i="10"/>
  <c r="R7" i="10" s="1"/>
  <c r="Q8" i="10"/>
  <c r="R8" i="10" s="1"/>
  <c r="Q4" i="10"/>
  <c r="R4" i="10" s="1"/>
  <c r="AH225" i="10"/>
  <c r="AH119" i="10"/>
  <c r="AH123" i="10"/>
  <c r="AH121" i="10"/>
  <c r="P232" i="10"/>
  <c r="P185" i="10"/>
  <c r="P189" i="10"/>
  <c r="P193" i="10"/>
  <c r="P197" i="10"/>
  <c r="P175" i="10"/>
  <c r="P183" i="10"/>
  <c r="P187" i="10"/>
  <c r="P191" i="10"/>
  <c r="P195" i="10"/>
  <c r="P138" i="10"/>
  <c r="P122" i="10"/>
  <c r="P87" i="10"/>
  <c r="P83" i="10"/>
  <c r="P32" i="10"/>
  <c r="P241" i="9"/>
  <c r="P243" i="9"/>
  <c r="P245" i="9"/>
  <c r="P247" i="9"/>
  <c r="P251" i="9"/>
  <c r="AH228" i="9"/>
  <c r="P135" i="9"/>
  <c r="P137" i="9"/>
  <c r="P139" i="9"/>
  <c r="AH117" i="9"/>
  <c r="AH63" i="9"/>
  <c r="AH61" i="9"/>
  <c r="AH67" i="9"/>
  <c r="AH75" i="9"/>
  <c r="AH83" i="9"/>
  <c r="AH229" i="8"/>
  <c r="AH252" i="8"/>
  <c r="AH250" i="8"/>
  <c r="P134" i="8"/>
  <c r="P61" i="8"/>
  <c r="Q26" i="8"/>
  <c r="R26" i="8" s="1"/>
  <c r="Q27" i="8"/>
  <c r="R27" i="8" s="1"/>
  <c r="Q61" i="8"/>
  <c r="R61" i="8" s="1"/>
  <c r="Q62" i="8"/>
  <c r="R62" i="8" s="1"/>
  <c r="Q66" i="8"/>
  <c r="R66" i="8" s="1"/>
  <c r="Q73" i="8"/>
  <c r="R73" i="8" s="1"/>
  <c r="Q122" i="8"/>
  <c r="R122" i="8" s="1"/>
  <c r="Q138" i="8"/>
  <c r="R138" i="8" s="1"/>
  <c r="Q174" i="8"/>
  <c r="R174" i="8" s="1"/>
  <c r="Q175" i="8"/>
  <c r="R175" i="8" s="1"/>
  <c r="Q182" i="8"/>
  <c r="R182" i="8" s="1"/>
  <c r="Q183" i="8"/>
  <c r="R183" i="8" s="1"/>
  <c r="Q190" i="8"/>
  <c r="R190" i="8" s="1"/>
  <c r="Q191" i="8"/>
  <c r="R191" i="8" s="1"/>
  <c r="Q198" i="8"/>
  <c r="R198" i="8" s="1"/>
  <c r="Q224" i="8"/>
  <c r="R224" i="8" s="1"/>
  <c r="AI229" i="8"/>
  <c r="AJ229" i="8" s="1"/>
  <c r="Q232" i="8"/>
  <c r="R232" i="8" s="1"/>
  <c r="AI239" i="8"/>
  <c r="AJ239" i="8" s="1"/>
  <c r="J242" i="8"/>
  <c r="P242" i="8" s="1"/>
  <c r="AI242" i="8"/>
  <c r="AJ242" i="8" s="1"/>
  <c r="AI244" i="8"/>
  <c r="AJ244" i="8" s="1"/>
  <c r="J247" i="8"/>
  <c r="J251" i="8"/>
  <c r="P251" i="8" s="1"/>
  <c r="AH70" i="8"/>
  <c r="AI4" i="8"/>
  <c r="AJ4" i="8" s="1"/>
  <c r="AI5" i="8"/>
  <c r="AJ5" i="8" s="1"/>
  <c r="AI6" i="8"/>
  <c r="AJ6" i="8" s="1"/>
  <c r="AI8" i="8"/>
  <c r="AJ8" i="8" s="1"/>
  <c r="AI9" i="8"/>
  <c r="AJ9" i="8" s="1"/>
  <c r="AI11" i="8"/>
  <c r="AJ11" i="8" s="1"/>
  <c r="AI12" i="8"/>
  <c r="AJ12" i="8" s="1"/>
  <c r="AI18" i="8"/>
  <c r="AJ18" i="8" s="1"/>
  <c r="AI19" i="8"/>
  <c r="AJ19" i="8" s="1"/>
  <c r="AI20" i="8"/>
  <c r="AJ20" i="8" s="1"/>
  <c r="Q30" i="8"/>
  <c r="R30" i="8" s="1"/>
  <c r="Q31" i="8"/>
  <c r="R31" i="8" s="1"/>
  <c r="Q32" i="8"/>
  <c r="R32" i="8" s="1"/>
  <c r="P33" i="8"/>
  <c r="Q71" i="8"/>
  <c r="R71" i="8" s="1"/>
  <c r="Q76" i="8"/>
  <c r="R76" i="8" s="1"/>
  <c r="Q77" i="8"/>
  <c r="R77" i="8" s="1"/>
  <c r="P118" i="8"/>
  <c r="P130" i="8"/>
  <c r="AI131" i="8"/>
  <c r="AJ131" i="8" s="1"/>
  <c r="AI133" i="8"/>
  <c r="AJ133" i="8" s="1"/>
  <c r="Q141" i="8"/>
  <c r="R141" i="8" s="1"/>
  <c r="Q142" i="8"/>
  <c r="R142" i="8" s="1"/>
  <c r="P176" i="8"/>
  <c r="P184" i="8"/>
  <c r="P192" i="8"/>
  <c r="P225" i="8"/>
  <c r="AI236" i="8"/>
  <c r="AJ236" i="8" s="1"/>
  <c r="Q240" i="8"/>
  <c r="R240" i="8" s="1"/>
  <c r="J249" i="8"/>
  <c r="Q18" i="8"/>
  <c r="R18" i="8" s="1"/>
  <c r="Q20" i="8"/>
  <c r="R20" i="8" s="1"/>
  <c r="Q21" i="8"/>
  <c r="R21" i="8" s="1"/>
  <c r="AI65" i="8"/>
  <c r="AJ65" i="8" s="1"/>
  <c r="P69" i="8"/>
  <c r="P71" i="8"/>
  <c r="P72" i="8"/>
  <c r="AI77" i="8"/>
  <c r="AJ77" i="8" s="1"/>
  <c r="P81" i="8"/>
  <c r="P143" i="8"/>
  <c r="Q176" i="8"/>
  <c r="R176" i="8" s="1"/>
  <c r="Q184" i="8"/>
  <c r="R184" i="8" s="1"/>
  <c r="Q192" i="8"/>
  <c r="R192" i="8" s="1"/>
  <c r="AH225" i="8"/>
  <c r="AH233" i="8"/>
  <c r="Q237" i="8"/>
  <c r="R237" i="8" s="1"/>
  <c r="AH238" i="8"/>
  <c r="J240" i="8"/>
  <c r="AH247" i="8"/>
  <c r="AH251" i="8"/>
  <c r="AH17" i="8"/>
  <c r="AI118" i="8"/>
  <c r="AJ118" i="8" s="1"/>
  <c r="AB118" i="8"/>
  <c r="Q180" i="8"/>
  <c r="R180" i="8" s="1"/>
  <c r="P180" i="8"/>
  <c r="Q196" i="8"/>
  <c r="R196" i="8" s="1"/>
  <c r="P196" i="8"/>
  <c r="Q25" i="8"/>
  <c r="R25" i="8" s="1"/>
  <c r="P28" i="8"/>
  <c r="Q28" i="8"/>
  <c r="R28" i="8" s="1"/>
  <c r="Q70" i="8"/>
  <c r="R70" i="8" s="1"/>
  <c r="P70" i="8"/>
  <c r="AI120" i="8"/>
  <c r="AJ120" i="8" s="1"/>
  <c r="AB120" i="8"/>
  <c r="Q125" i="8"/>
  <c r="R125" i="8" s="1"/>
  <c r="P125" i="8"/>
  <c r="Q135" i="8"/>
  <c r="R135" i="8" s="1"/>
  <c r="Q136" i="8"/>
  <c r="R136" i="8" s="1"/>
  <c r="P136" i="8"/>
  <c r="Q139" i="8"/>
  <c r="R139" i="8" s="1"/>
  <c r="P139" i="8"/>
  <c r="AB171" i="8"/>
  <c r="AI171" i="8"/>
  <c r="AJ171" i="8" s="1"/>
  <c r="AB179" i="8"/>
  <c r="AI179" i="8"/>
  <c r="AJ179" i="8" s="1"/>
  <c r="AB187" i="8"/>
  <c r="AI187" i="8"/>
  <c r="AJ187" i="8" s="1"/>
  <c r="AB195" i="8"/>
  <c r="AI195" i="8"/>
  <c r="AJ195" i="8" s="1"/>
  <c r="Q238" i="8"/>
  <c r="R238" i="8" s="1"/>
  <c r="J238" i="8"/>
  <c r="P238" i="8" s="1"/>
  <c r="AI73" i="8"/>
  <c r="AJ73" i="8" s="1"/>
  <c r="AB73" i="8"/>
  <c r="AH73" i="8" s="1"/>
  <c r="Q75" i="8"/>
  <c r="R75" i="8" s="1"/>
  <c r="P75" i="8"/>
  <c r="Q243" i="8"/>
  <c r="R243" i="8" s="1"/>
  <c r="J243" i="8"/>
  <c r="P243" i="8" s="1"/>
  <c r="AI245" i="8"/>
  <c r="AJ245" i="8" s="1"/>
  <c r="AH245" i="8"/>
  <c r="AI249" i="8"/>
  <c r="AJ249" i="8" s="1"/>
  <c r="AH249" i="8"/>
  <c r="AI78" i="8"/>
  <c r="AJ78" i="8" s="1"/>
  <c r="AB78" i="8"/>
  <c r="AH78" i="8" s="1"/>
  <c r="Q172" i="8"/>
  <c r="R172" i="8" s="1"/>
  <c r="P172" i="8"/>
  <c r="Q188" i="8"/>
  <c r="R188" i="8" s="1"/>
  <c r="P188" i="8"/>
  <c r="AI226" i="8"/>
  <c r="AJ226" i="8" s="1"/>
  <c r="AH226" i="8"/>
  <c r="Q5" i="8"/>
  <c r="R5" i="8" s="1"/>
  <c r="Q11" i="8"/>
  <c r="R11" i="8" s="1"/>
  <c r="P60" i="8"/>
  <c r="Q60" i="8"/>
  <c r="R60" i="8" s="1"/>
  <c r="AI76" i="8"/>
  <c r="AJ76" i="8" s="1"/>
  <c r="AB76" i="8"/>
  <c r="AH76" i="8" s="1"/>
  <c r="AI83" i="8"/>
  <c r="AJ83" i="8" s="1"/>
  <c r="AB83" i="8"/>
  <c r="AH83" i="8" s="1"/>
  <c r="Q86" i="8"/>
  <c r="R86" i="8" s="1"/>
  <c r="P86" i="8"/>
  <c r="AI115" i="8"/>
  <c r="AJ115" i="8" s="1"/>
  <c r="AB115" i="8"/>
  <c r="Q117" i="8"/>
  <c r="R117" i="8" s="1"/>
  <c r="P117" i="8"/>
  <c r="Q130" i="8"/>
  <c r="R130" i="8" s="1"/>
  <c r="AI138" i="8"/>
  <c r="AJ138" i="8" s="1"/>
  <c r="AB228" i="8"/>
  <c r="AH228" i="8" s="1"/>
  <c r="AI228" i="8"/>
  <c r="AJ228" i="8" s="1"/>
  <c r="AI21" i="8"/>
  <c r="AJ21" i="8" s="1"/>
  <c r="AI29" i="8"/>
  <c r="AJ29" i="8" s="1"/>
  <c r="AI33" i="8"/>
  <c r="AJ33" i="8" s="1"/>
  <c r="Q74" i="8"/>
  <c r="R74" i="8" s="1"/>
  <c r="AH74" i="8"/>
  <c r="Q79" i="8"/>
  <c r="R79" i="8" s="1"/>
  <c r="Q81" i="8"/>
  <c r="R81" i="8" s="1"/>
  <c r="Q84" i="8"/>
  <c r="R84" i="8" s="1"/>
  <c r="Q116" i="8"/>
  <c r="R116" i="8" s="1"/>
  <c r="AH116" i="8"/>
  <c r="Q121" i="8"/>
  <c r="R121" i="8" s="1"/>
  <c r="Q123" i="8"/>
  <c r="R123" i="8" s="1"/>
  <c r="P171" i="8"/>
  <c r="P179" i="8"/>
  <c r="P187" i="8"/>
  <c r="P195" i="8"/>
  <c r="AH230" i="8"/>
  <c r="AI232" i="8"/>
  <c r="AJ232" i="8" s="1"/>
  <c r="AI233" i="8"/>
  <c r="AJ233" i="8" s="1"/>
  <c r="P234" i="8"/>
  <c r="P236" i="8"/>
  <c r="AI238" i="8"/>
  <c r="AJ238" i="8" s="1"/>
  <c r="AI240" i="8"/>
  <c r="AJ240" i="8" s="1"/>
  <c r="AI243" i="8"/>
  <c r="AJ243" i="8" s="1"/>
  <c r="AH244" i="8"/>
  <c r="P245" i="8"/>
  <c r="AI247" i="8"/>
  <c r="AJ247" i="8" s="1"/>
  <c r="AH248" i="8"/>
  <c r="P249" i="8"/>
  <c r="AI251" i="8"/>
  <c r="AJ251" i="8" s="1"/>
  <c r="AI22" i="8"/>
  <c r="AJ22" i="8" s="1"/>
  <c r="AI23" i="8"/>
  <c r="AJ23" i="8" s="1"/>
  <c r="P25" i="8"/>
  <c r="Q63" i="8"/>
  <c r="R63" i="8" s="1"/>
  <c r="Q65" i="8"/>
  <c r="R65" i="8" s="1"/>
  <c r="Q67" i="8"/>
  <c r="R67" i="8" s="1"/>
  <c r="Q69" i="8"/>
  <c r="R69" i="8" s="1"/>
  <c r="AI70" i="8"/>
  <c r="AJ70" i="8" s="1"/>
  <c r="AB71" i="8"/>
  <c r="AH71" i="8" s="1"/>
  <c r="Q72" i="8"/>
  <c r="R72" i="8" s="1"/>
  <c r="P74" i="8"/>
  <c r="AI75" i="8"/>
  <c r="AJ75" i="8" s="1"/>
  <c r="AB77" i="8"/>
  <c r="AH77" i="8" s="1"/>
  <c r="Q78" i="8"/>
  <c r="R78" i="8" s="1"/>
  <c r="P79" i="8"/>
  <c r="AB80" i="8"/>
  <c r="AH80" i="8" s="1"/>
  <c r="AI81" i="8"/>
  <c r="AJ81" i="8" s="1"/>
  <c r="AB82" i="8"/>
  <c r="Q83" i="8"/>
  <c r="R83" i="8" s="1"/>
  <c r="AI84" i="8"/>
  <c r="AJ84" i="8" s="1"/>
  <c r="Q85" i="8"/>
  <c r="R85" i="8" s="1"/>
  <c r="AI86" i="8"/>
  <c r="AJ86" i="8" s="1"/>
  <c r="AB87" i="8"/>
  <c r="Q114" i="8"/>
  <c r="R114" i="8" s="1"/>
  <c r="P116" i="8"/>
  <c r="AI117" i="8"/>
  <c r="AJ117" i="8" s="1"/>
  <c r="AB119" i="8"/>
  <c r="AH119" i="8" s="1"/>
  <c r="Q120" i="8"/>
  <c r="R120" i="8" s="1"/>
  <c r="AH120" i="8"/>
  <c r="P121" i="8"/>
  <c r="Q124" i="8"/>
  <c r="R124" i="8" s="1"/>
  <c r="AI124" i="8"/>
  <c r="AJ124" i="8" s="1"/>
  <c r="P126" i="8"/>
  <c r="P135" i="8"/>
  <c r="Q241" i="8"/>
  <c r="R241" i="8" s="1"/>
  <c r="Q244" i="8"/>
  <c r="R244" i="8" s="1"/>
  <c r="Q246" i="8"/>
  <c r="R246" i="8" s="1"/>
  <c r="Q248" i="8"/>
  <c r="R248" i="8" s="1"/>
  <c r="Q250" i="8"/>
  <c r="R250" i="8" s="1"/>
  <c r="Q252" i="8"/>
  <c r="R252" i="8" s="1"/>
  <c r="AI253" i="8"/>
  <c r="AJ253" i="8" s="1"/>
  <c r="Q23" i="8"/>
  <c r="R23" i="8" s="1"/>
  <c r="Q29" i="8"/>
  <c r="R29" i="8" s="1"/>
  <c r="AI69" i="8"/>
  <c r="AJ69" i="8" s="1"/>
  <c r="AI72" i="8"/>
  <c r="AJ72" i="8" s="1"/>
  <c r="AI74" i="8"/>
  <c r="AJ74" i="8" s="1"/>
  <c r="AB75" i="8"/>
  <c r="AH75" i="8" s="1"/>
  <c r="P77" i="8"/>
  <c r="P78" i="8"/>
  <c r="AI79" i="8"/>
  <c r="AJ79" i="8" s="1"/>
  <c r="P80" i="8"/>
  <c r="AB81" i="8"/>
  <c r="AH81" i="8" s="1"/>
  <c r="Q82" i="8"/>
  <c r="R82" i="8" s="1"/>
  <c r="AH82" i="8"/>
  <c r="P83" i="8"/>
  <c r="AB84" i="8"/>
  <c r="AH84" i="8" s="1"/>
  <c r="AI85" i="8"/>
  <c r="AJ85" i="8" s="1"/>
  <c r="AB86" i="8"/>
  <c r="AH86" i="8" s="1"/>
  <c r="Q87" i="8"/>
  <c r="R87" i="8" s="1"/>
  <c r="AI114" i="8"/>
  <c r="AJ114" i="8" s="1"/>
  <c r="AI116" i="8"/>
  <c r="AJ116" i="8" s="1"/>
  <c r="AB117" i="8"/>
  <c r="P119" i="8"/>
  <c r="P120" i="8"/>
  <c r="P122" i="8"/>
  <c r="AI122" i="8"/>
  <c r="AJ122" i="8" s="1"/>
  <c r="P124" i="8"/>
  <c r="P128" i="8"/>
  <c r="P142" i="8"/>
  <c r="P175" i="8"/>
  <c r="P183" i="8"/>
  <c r="P191" i="8"/>
  <c r="P224" i="8"/>
  <c r="Q225" i="8"/>
  <c r="R225" i="8" s="1"/>
  <c r="P230" i="8"/>
  <c r="AH236" i="8"/>
  <c r="AH237" i="8"/>
  <c r="Q239" i="8"/>
  <c r="R239" i="8" s="1"/>
  <c r="AH239" i="8"/>
  <c r="J241" i="8"/>
  <c r="P241" i="8" s="1"/>
  <c r="AI241" i="8"/>
  <c r="AJ241" i="8" s="1"/>
  <c r="AH242" i="8"/>
  <c r="J244" i="8"/>
  <c r="P244" i="8" s="1"/>
  <c r="Q245" i="8"/>
  <c r="R245" i="8" s="1"/>
  <c r="J246" i="8"/>
  <c r="P246" i="8" s="1"/>
  <c r="AI246" i="8"/>
  <c r="AJ246" i="8" s="1"/>
  <c r="J248" i="8"/>
  <c r="P248" i="8" s="1"/>
  <c r="J250" i="8"/>
  <c r="P250" i="8" s="1"/>
  <c r="AI250" i="8"/>
  <c r="AJ250" i="8" s="1"/>
  <c r="J252" i="8"/>
  <c r="P252" i="8" s="1"/>
  <c r="AI252" i="8"/>
  <c r="AJ252" i="8" s="1"/>
  <c r="AH253" i="8"/>
  <c r="AH14" i="8"/>
  <c r="AH16" i="8"/>
  <c r="AH7" i="8"/>
  <c r="AH10" i="8"/>
  <c r="AH13" i="8"/>
  <c r="AH15" i="8"/>
  <c r="P32" i="8"/>
  <c r="P14" i="10"/>
  <c r="P15" i="10"/>
  <c r="P16" i="10"/>
  <c r="P27" i="10"/>
  <c r="P30" i="10"/>
  <c r="Q10" i="10"/>
  <c r="R10" i="10" s="1"/>
  <c r="Q14" i="10"/>
  <c r="R14" i="10" s="1"/>
  <c r="Q15" i="10"/>
  <c r="R15" i="10" s="1"/>
  <c r="Q16" i="10"/>
  <c r="R16" i="10" s="1"/>
  <c r="Q27" i="10"/>
  <c r="R27" i="10" s="1"/>
  <c r="Q30" i="10"/>
  <c r="R30" i="10" s="1"/>
  <c r="J4" i="10"/>
  <c r="P4" i="10" s="1"/>
  <c r="AH4" i="10"/>
  <c r="J5" i="10"/>
  <c r="P5" i="10" s="1"/>
  <c r="AH5" i="10"/>
  <c r="J6" i="10"/>
  <c r="P6" i="10" s="1"/>
  <c r="AH6" i="10"/>
  <c r="J7" i="10"/>
  <c r="P7" i="10" s="1"/>
  <c r="AH7" i="10"/>
  <c r="J8" i="10"/>
  <c r="P8" i="10" s="1"/>
  <c r="AH8" i="10"/>
  <c r="J9" i="10"/>
  <c r="P9" i="10" s="1"/>
  <c r="AH9" i="10"/>
  <c r="AH10" i="10"/>
  <c r="J11" i="10"/>
  <c r="P11" i="10" s="1"/>
  <c r="AH11" i="10"/>
  <c r="J12" i="10"/>
  <c r="P12" i="10" s="1"/>
  <c r="AH12" i="10"/>
  <c r="AH13" i="10"/>
  <c r="AH14" i="10"/>
  <c r="AH15" i="10"/>
  <c r="AH16" i="10"/>
  <c r="J17" i="10"/>
  <c r="P17" i="10" s="1"/>
  <c r="AH17" i="10"/>
  <c r="J18" i="10"/>
  <c r="P18" i="10" s="1"/>
  <c r="AH18" i="10"/>
  <c r="J19" i="10"/>
  <c r="P19" i="10" s="1"/>
  <c r="AH19" i="10"/>
  <c r="J20" i="10"/>
  <c r="P20" i="10" s="1"/>
  <c r="AH20" i="10"/>
  <c r="J21" i="10"/>
  <c r="P21" i="10" s="1"/>
  <c r="AH21" i="10"/>
  <c r="J22" i="10"/>
  <c r="P22" i="10" s="1"/>
  <c r="AH22" i="10"/>
  <c r="J23" i="10"/>
  <c r="P23" i="10" s="1"/>
  <c r="AH23" i="10"/>
  <c r="J24" i="10"/>
  <c r="P24" i="10" s="1"/>
  <c r="AH24" i="10"/>
  <c r="J25" i="10"/>
  <c r="P25" i="10" s="1"/>
  <c r="AH25" i="10"/>
  <c r="J26" i="10"/>
  <c r="P26" i="10" s="1"/>
  <c r="AH26" i="10"/>
  <c r="AH27" i="10"/>
  <c r="J28" i="10"/>
  <c r="P28" i="10" s="1"/>
  <c r="AH28" i="10"/>
  <c r="J29" i="10"/>
  <c r="P29" i="10" s="1"/>
  <c r="AH29" i="10"/>
  <c r="AH30" i="10"/>
  <c r="P58" i="10"/>
  <c r="AH58" i="10"/>
  <c r="AB59" i="10"/>
  <c r="AB60" i="10"/>
  <c r="AH60" i="10" s="1"/>
  <c r="AB61" i="10"/>
  <c r="AH61" i="10" s="1"/>
  <c r="AB62" i="10"/>
  <c r="AH62" i="10" s="1"/>
  <c r="AB63" i="10"/>
  <c r="AB64" i="10"/>
  <c r="AB65" i="10"/>
  <c r="AH65" i="10" s="1"/>
  <c r="AB66" i="10"/>
  <c r="AH66" i="10" s="1"/>
  <c r="AB67" i="10"/>
  <c r="AB68" i="10"/>
  <c r="AH68" i="10" s="1"/>
  <c r="AB69" i="10"/>
  <c r="AH69" i="10" s="1"/>
  <c r="AB70" i="10"/>
  <c r="AH70" i="10" s="1"/>
  <c r="P72" i="10"/>
  <c r="AB74" i="10"/>
  <c r="AH74" i="10" s="1"/>
  <c r="P76" i="10"/>
  <c r="AH79" i="10"/>
  <c r="Q83" i="10"/>
  <c r="R83" i="10" s="1"/>
  <c r="AI84" i="10"/>
  <c r="AJ84" i="10" s="1"/>
  <c r="AH84" i="10"/>
  <c r="AB85" i="10"/>
  <c r="AH85" i="10" s="1"/>
  <c r="AI85" i="10"/>
  <c r="AJ85" i="10" s="1"/>
  <c r="AI114" i="10"/>
  <c r="AJ114" i="10" s="1"/>
  <c r="AH114" i="10"/>
  <c r="AB115" i="10"/>
  <c r="AH115" i="10" s="1"/>
  <c r="AI115" i="10"/>
  <c r="AJ115" i="10" s="1"/>
  <c r="AI118" i="10"/>
  <c r="AJ118" i="10" s="1"/>
  <c r="AH118" i="10"/>
  <c r="P121" i="10"/>
  <c r="Q121" i="10"/>
  <c r="R121" i="10" s="1"/>
  <c r="AH33" i="10"/>
  <c r="P31" i="10"/>
  <c r="AH31" i="10"/>
  <c r="AI58" i="10"/>
  <c r="AJ58" i="10" s="1"/>
  <c r="P59" i="10"/>
  <c r="AH59" i="10"/>
  <c r="AH63" i="10"/>
  <c r="AH64" i="10"/>
  <c r="AH67" i="10"/>
  <c r="P73" i="10"/>
  <c r="P77" i="10"/>
  <c r="Q79" i="10"/>
  <c r="R79" i="10" s="1"/>
  <c r="AI80" i="10"/>
  <c r="AJ80" i="10" s="1"/>
  <c r="AH80" i="10"/>
  <c r="AB120" i="10"/>
  <c r="AI120" i="10"/>
  <c r="AJ120" i="10" s="1"/>
  <c r="P80" i="10"/>
  <c r="Q80" i="10"/>
  <c r="R80" i="10" s="1"/>
  <c r="AB122" i="10"/>
  <c r="AH122" i="10" s="1"/>
  <c r="AI122" i="10"/>
  <c r="AJ122" i="10" s="1"/>
  <c r="AI31" i="10"/>
  <c r="AJ31" i="10" s="1"/>
  <c r="AH32" i="10"/>
  <c r="P60" i="10"/>
  <c r="P61" i="10"/>
  <c r="P62" i="10"/>
  <c r="P84" i="10"/>
  <c r="Q84" i="10"/>
  <c r="R84" i="10" s="1"/>
  <c r="Q86" i="10"/>
  <c r="R86" i="10" s="1"/>
  <c r="J86" i="10"/>
  <c r="P114" i="10"/>
  <c r="Q114" i="10"/>
  <c r="R114" i="10" s="1"/>
  <c r="Q116" i="10"/>
  <c r="R116" i="10" s="1"/>
  <c r="J116" i="10"/>
  <c r="P118" i="10"/>
  <c r="Q118" i="10"/>
  <c r="R118" i="10" s="1"/>
  <c r="P119" i="10"/>
  <c r="Q119" i="10"/>
  <c r="R119" i="10" s="1"/>
  <c r="P123" i="10"/>
  <c r="Q123" i="10"/>
  <c r="R123" i="10" s="1"/>
  <c r="P81" i="10"/>
  <c r="P85" i="10"/>
  <c r="P115" i="10"/>
  <c r="AH120" i="10"/>
  <c r="AI124" i="10"/>
  <c r="AJ124" i="10" s="1"/>
  <c r="AH124" i="10"/>
  <c r="Q126" i="10"/>
  <c r="R126" i="10" s="1"/>
  <c r="J126" i="10"/>
  <c r="P126" i="10" s="1"/>
  <c r="Q130" i="10"/>
  <c r="R130" i="10" s="1"/>
  <c r="J130" i="10"/>
  <c r="P130" i="10" s="1"/>
  <c r="P78" i="10"/>
  <c r="P82" i="10"/>
  <c r="P86" i="10"/>
  <c r="P116" i="10"/>
  <c r="AI127" i="10"/>
  <c r="AJ127" i="10" s="1"/>
  <c r="AH127" i="10"/>
  <c r="AI131" i="10"/>
  <c r="AJ131" i="10" s="1"/>
  <c r="AH131" i="10"/>
  <c r="J128" i="10"/>
  <c r="P128" i="10" s="1"/>
  <c r="Q128" i="10"/>
  <c r="R128" i="10" s="1"/>
  <c r="P139" i="10"/>
  <c r="Q139" i="10"/>
  <c r="R139" i="10" s="1"/>
  <c r="J140" i="10"/>
  <c r="P140" i="10" s="1"/>
  <c r="Q141" i="10"/>
  <c r="R141" i="10" s="1"/>
  <c r="AH142" i="10"/>
  <c r="AI169" i="10"/>
  <c r="AJ169" i="10" s="1"/>
  <c r="Q171" i="10"/>
  <c r="R171" i="10" s="1"/>
  <c r="AI172" i="10"/>
  <c r="AJ172" i="10" s="1"/>
  <c r="AH172" i="10"/>
  <c r="P180" i="10"/>
  <c r="AI182" i="10"/>
  <c r="AJ182" i="10" s="1"/>
  <c r="AH182" i="10"/>
  <c r="AI186" i="10"/>
  <c r="AJ186" i="10" s="1"/>
  <c r="AH186" i="10"/>
  <c r="AI190" i="10"/>
  <c r="AJ190" i="10" s="1"/>
  <c r="AH190" i="10"/>
  <c r="Q132" i="10"/>
  <c r="R132" i="10" s="1"/>
  <c r="P135" i="10"/>
  <c r="Q135" i="10"/>
  <c r="R135" i="10" s="1"/>
  <c r="J136" i="10"/>
  <c r="Q137" i="10"/>
  <c r="R137" i="10" s="1"/>
  <c r="AH138" i="10"/>
  <c r="AI140" i="10"/>
  <c r="AJ140" i="10" s="1"/>
  <c r="Q142" i="10"/>
  <c r="R142" i="10" s="1"/>
  <c r="AI143" i="10"/>
  <c r="AJ143" i="10" s="1"/>
  <c r="AH143" i="10"/>
  <c r="P176" i="10"/>
  <c r="Q176" i="10"/>
  <c r="R176" i="10" s="1"/>
  <c r="J177" i="10"/>
  <c r="P177" i="10" s="1"/>
  <c r="Q178" i="10"/>
  <c r="R178" i="10" s="1"/>
  <c r="AH179" i="10"/>
  <c r="P181" i="10"/>
  <c r="AI183" i="10"/>
  <c r="AJ183" i="10" s="1"/>
  <c r="AH183" i="10"/>
  <c r="AI187" i="10"/>
  <c r="AJ187" i="10" s="1"/>
  <c r="AH187" i="10"/>
  <c r="AI139" i="10"/>
  <c r="AJ139" i="10" s="1"/>
  <c r="AH139" i="10"/>
  <c r="P172" i="10"/>
  <c r="Q172" i="10"/>
  <c r="R172" i="10" s="1"/>
  <c r="AI180" i="10"/>
  <c r="AJ180" i="10" s="1"/>
  <c r="AH180" i="10"/>
  <c r="AI184" i="10"/>
  <c r="AJ184" i="10" s="1"/>
  <c r="AH184" i="10"/>
  <c r="AI188" i="10"/>
  <c r="AJ188" i="10" s="1"/>
  <c r="AH188" i="10"/>
  <c r="AH129" i="10"/>
  <c r="Q134" i="10"/>
  <c r="R134" i="10" s="1"/>
  <c r="AI135" i="10"/>
  <c r="AJ135" i="10" s="1"/>
  <c r="AH135" i="10"/>
  <c r="P143" i="10"/>
  <c r="Q143" i="10"/>
  <c r="R143" i="10" s="1"/>
  <c r="J169" i="10"/>
  <c r="P169" i="10" s="1"/>
  <c r="AH171" i="10"/>
  <c r="Q175" i="10"/>
  <c r="R175" i="10" s="1"/>
  <c r="AI176" i="10"/>
  <c r="AJ176" i="10" s="1"/>
  <c r="AH176" i="10"/>
  <c r="AI181" i="10"/>
  <c r="AJ181" i="10" s="1"/>
  <c r="AH181" i="10"/>
  <c r="AI185" i="10"/>
  <c r="AJ185" i="10" s="1"/>
  <c r="AH185" i="10"/>
  <c r="AI189" i="10"/>
  <c r="AJ189" i="10" s="1"/>
  <c r="AH189" i="10"/>
  <c r="P136" i="10"/>
  <c r="P173" i="10"/>
  <c r="AH191" i="10"/>
  <c r="AH192" i="10"/>
  <c r="AH193" i="10"/>
  <c r="AH194" i="10"/>
  <c r="AH195" i="10"/>
  <c r="AH196" i="10"/>
  <c r="AH197" i="10"/>
  <c r="AI224" i="10"/>
  <c r="AJ224" i="10" s="1"/>
  <c r="AI231" i="10"/>
  <c r="AJ231" i="10" s="1"/>
  <c r="AH231" i="10"/>
  <c r="Q236" i="10"/>
  <c r="R236" i="10" s="1"/>
  <c r="J236" i="10"/>
  <c r="P236" i="10" s="1"/>
  <c r="AI237" i="10"/>
  <c r="AJ237" i="10" s="1"/>
  <c r="AH237" i="10"/>
  <c r="Q242" i="10"/>
  <c r="R242" i="10" s="1"/>
  <c r="J242" i="10"/>
  <c r="Q246" i="10"/>
  <c r="R246" i="10" s="1"/>
  <c r="J246" i="10"/>
  <c r="P246" i="10" s="1"/>
  <c r="Q250" i="10"/>
  <c r="R250" i="10" s="1"/>
  <c r="J250" i="10"/>
  <c r="P137" i="10"/>
  <c r="P141" i="10"/>
  <c r="P170" i="10"/>
  <c r="P174" i="10"/>
  <c r="P178" i="10"/>
  <c r="AI227" i="10"/>
  <c r="AJ227" i="10" s="1"/>
  <c r="AH227" i="10"/>
  <c r="P231" i="10"/>
  <c r="AI232" i="10"/>
  <c r="AJ232" i="10" s="1"/>
  <c r="AH232" i="10"/>
  <c r="Q243" i="10"/>
  <c r="R243" i="10" s="1"/>
  <c r="J243" i="10"/>
  <c r="Q247" i="10"/>
  <c r="R247" i="10" s="1"/>
  <c r="J247" i="10"/>
  <c r="P247" i="10" s="1"/>
  <c r="Q251" i="10"/>
  <c r="R251" i="10" s="1"/>
  <c r="J251" i="10"/>
  <c r="AI233" i="10"/>
  <c r="AJ233" i="10" s="1"/>
  <c r="AH233" i="10"/>
  <c r="Q240" i="10"/>
  <c r="R240" i="10" s="1"/>
  <c r="J240" i="10"/>
  <c r="Q244" i="10"/>
  <c r="R244" i="10" s="1"/>
  <c r="J244" i="10"/>
  <c r="Q248" i="10"/>
  <c r="R248" i="10" s="1"/>
  <c r="J248" i="10"/>
  <c r="Q252" i="10"/>
  <c r="R252" i="10" s="1"/>
  <c r="J252" i="10"/>
  <c r="AI198" i="10"/>
  <c r="AJ198" i="10" s="1"/>
  <c r="AH198" i="10"/>
  <c r="P227" i="10"/>
  <c r="Q227" i="10"/>
  <c r="R227" i="10" s="1"/>
  <c r="P233" i="10"/>
  <c r="Q241" i="10"/>
  <c r="R241" i="10" s="1"/>
  <c r="J241" i="10"/>
  <c r="Q245" i="10"/>
  <c r="R245" i="10" s="1"/>
  <c r="J245" i="10"/>
  <c r="Q249" i="10"/>
  <c r="R249" i="10" s="1"/>
  <c r="J249" i="10"/>
  <c r="Q253" i="10"/>
  <c r="R253" i="10" s="1"/>
  <c r="J253" i="10"/>
  <c r="P224" i="10"/>
  <c r="P228" i="10"/>
  <c r="Q224" i="10"/>
  <c r="R224" i="10" s="1"/>
  <c r="AH224" i="10"/>
  <c r="P225" i="10"/>
  <c r="Q228" i="10"/>
  <c r="R228" i="10" s="1"/>
  <c r="AH228" i="10"/>
  <c r="P229" i="10"/>
  <c r="AH234" i="10"/>
  <c r="AH238" i="10"/>
  <c r="P240" i="10"/>
  <c r="P241" i="10"/>
  <c r="P242" i="10"/>
  <c r="P243" i="10"/>
  <c r="P244" i="10"/>
  <c r="P245" i="10"/>
  <c r="P248" i="10"/>
  <c r="P249" i="10"/>
  <c r="P250" i="10"/>
  <c r="P251" i="10"/>
  <c r="P252" i="10"/>
  <c r="P253" i="10"/>
  <c r="Q225" i="10"/>
  <c r="R225" i="10" s="1"/>
  <c r="P226" i="10"/>
  <c r="Q229" i="10"/>
  <c r="R229" i="10" s="1"/>
  <c r="P230" i="10"/>
  <c r="AH235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P65" i="9"/>
  <c r="Q65" i="9"/>
  <c r="R65" i="9" s="1"/>
  <c r="AI69" i="9"/>
  <c r="AJ69" i="9" s="1"/>
  <c r="AH69" i="9"/>
  <c r="P77" i="9"/>
  <c r="Q77" i="9"/>
  <c r="R77" i="9" s="1"/>
  <c r="AI85" i="9"/>
  <c r="AJ85" i="9" s="1"/>
  <c r="AH85" i="9"/>
  <c r="P119" i="9"/>
  <c r="Q119" i="9"/>
  <c r="R119" i="9" s="1"/>
  <c r="AI4" i="9"/>
  <c r="AJ4" i="9" s="1"/>
  <c r="AI5" i="9"/>
  <c r="AJ5" i="9" s="1"/>
  <c r="AI7" i="9"/>
  <c r="AJ7" i="9" s="1"/>
  <c r="AI8" i="9"/>
  <c r="AJ8" i="9" s="1"/>
  <c r="AI9" i="9"/>
  <c r="AJ9" i="9" s="1"/>
  <c r="AI10" i="9"/>
  <c r="AJ10" i="9" s="1"/>
  <c r="AI11" i="9"/>
  <c r="AJ11" i="9" s="1"/>
  <c r="AI12" i="9"/>
  <c r="AJ12" i="9" s="1"/>
  <c r="AI13" i="9"/>
  <c r="AJ13" i="9" s="1"/>
  <c r="AI14" i="9"/>
  <c r="AJ14" i="9" s="1"/>
  <c r="AI15" i="9"/>
  <c r="AJ15" i="9" s="1"/>
  <c r="AI16" i="9"/>
  <c r="AJ16" i="9" s="1"/>
  <c r="AI17" i="9"/>
  <c r="AJ17" i="9" s="1"/>
  <c r="AI18" i="9"/>
  <c r="AJ18" i="9" s="1"/>
  <c r="AI19" i="9"/>
  <c r="AJ19" i="9" s="1"/>
  <c r="AI20" i="9"/>
  <c r="AJ20" i="9" s="1"/>
  <c r="AI21" i="9"/>
  <c r="AJ21" i="9" s="1"/>
  <c r="AI22" i="9"/>
  <c r="AJ22" i="9" s="1"/>
  <c r="AI23" i="9"/>
  <c r="AJ23" i="9" s="1"/>
  <c r="AI24" i="9"/>
  <c r="AJ24" i="9" s="1"/>
  <c r="AI25" i="9"/>
  <c r="AJ25" i="9" s="1"/>
  <c r="AI26" i="9"/>
  <c r="AJ26" i="9" s="1"/>
  <c r="AI27" i="9"/>
  <c r="AJ27" i="9" s="1"/>
  <c r="AI28" i="9"/>
  <c r="AJ28" i="9" s="1"/>
  <c r="AI29" i="9"/>
  <c r="AJ29" i="9" s="1"/>
  <c r="P59" i="9"/>
  <c r="Q59" i="9"/>
  <c r="R59" i="9" s="1"/>
  <c r="P73" i="9"/>
  <c r="Q73" i="9"/>
  <c r="R73" i="9" s="1"/>
  <c r="AI81" i="9"/>
  <c r="AJ81" i="9" s="1"/>
  <c r="AH81" i="9"/>
  <c r="P115" i="9"/>
  <c r="Q115" i="9"/>
  <c r="R115" i="9" s="1"/>
  <c r="AI123" i="9"/>
  <c r="AJ123" i="9" s="1"/>
  <c r="AH123" i="9"/>
  <c r="AI124" i="9"/>
  <c r="AJ124" i="9" s="1"/>
  <c r="AH124" i="9"/>
  <c r="AI125" i="9"/>
  <c r="AJ125" i="9" s="1"/>
  <c r="AH125" i="9"/>
  <c r="AI126" i="9"/>
  <c r="AJ126" i="9" s="1"/>
  <c r="AH126" i="9"/>
  <c r="AI127" i="9"/>
  <c r="AJ127" i="9" s="1"/>
  <c r="AH127" i="9"/>
  <c r="AI128" i="9"/>
  <c r="AJ128" i="9" s="1"/>
  <c r="AH128" i="9"/>
  <c r="AI129" i="9"/>
  <c r="AJ129" i="9" s="1"/>
  <c r="AH129" i="9"/>
  <c r="AI130" i="9"/>
  <c r="AJ130" i="9" s="1"/>
  <c r="AH130" i="9"/>
  <c r="AI131" i="9"/>
  <c r="AJ131" i="9" s="1"/>
  <c r="AH131" i="9"/>
  <c r="AI6" i="9"/>
  <c r="AJ6" i="9" s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61" i="9"/>
  <c r="Q61" i="9"/>
  <c r="R61" i="9" s="1"/>
  <c r="AI61" i="9"/>
  <c r="AJ61" i="9" s="1"/>
  <c r="AI66" i="9"/>
  <c r="AJ66" i="9" s="1"/>
  <c r="P69" i="9"/>
  <c r="Q69" i="9"/>
  <c r="R69" i="9" s="1"/>
  <c r="AI70" i="9"/>
  <c r="AJ70" i="9" s="1"/>
  <c r="AI77" i="9"/>
  <c r="AJ77" i="9" s="1"/>
  <c r="AH77" i="9"/>
  <c r="P85" i="9"/>
  <c r="Q85" i="9"/>
  <c r="R85" i="9" s="1"/>
  <c r="AI86" i="9"/>
  <c r="AJ86" i="9" s="1"/>
  <c r="AI119" i="9"/>
  <c r="AJ119" i="9" s="1"/>
  <c r="AH119" i="9"/>
  <c r="AI60" i="9"/>
  <c r="AJ60" i="9" s="1"/>
  <c r="P63" i="9"/>
  <c r="Q63" i="9"/>
  <c r="R63" i="9" s="1"/>
  <c r="AI63" i="9"/>
  <c r="AJ63" i="9" s="1"/>
  <c r="AI73" i="9"/>
  <c r="AJ73" i="9" s="1"/>
  <c r="AH73" i="9"/>
  <c r="P81" i="9"/>
  <c r="Q81" i="9"/>
  <c r="R81" i="9" s="1"/>
  <c r="AI82" i="9"/>
  <c r="AJ82" i="9" s="1"/>
  <c r="AI115" i="9"/>
  <c r="AJ115" i="9" s="1"/>
  <c r="AH115" i="9"/>
  <c r="P123" i="9"/>
  <c r="P124" i="9"/>
  <c r="P125" i="9"/>
  <c r="P126" i="9"/>
  <c r="P127" i="9"/>
  <c r="P128" i="9"/>
  <c r="P129" i="9"/>
  <c r="P130" i="9"/>
  <c r="P131" i="9"/>
  <c r="P132" i="9"/>
  <c r="J238" i="9"/>
  <c r="P238" i="9" s="1"/>
  <c r="Q238" i="9"/>
  <c r="R238" i="9" s="1"/>
  <c r="AI242" i="9"/>
  <c r="AJ242" i="9" s="1"/>
  <c r="AH242" i="9"/>
  <c r="P62" i="9"/>
  <c r="P66" i="9"/>
  <c r="P70" i="9"/>
  <c r="P74" i="9"/>
  <c r="P78" i="9"/>
  <c r="P82" i="9"/>
  <c r="P86" i="9"/>
  <c r="P116" i="9"/>
  <c r="P120" i="9"/>
  <c r="Q123" i="9"/>
  <c r="R123" i="9" s="1"/>
  <c r="Q124" i="9"/>
  <c r="R124" i="9" s="1"/>
  <c r="Q125" i="9"/>
  <c r="R125" i="9" s="1"/>
  <c r="Q126" i="9"/>
  <c r="R126" i="9" s="1"/>
  <c r="Q127" i="9"/>
  <c r="R127" i="9" s="1"/>
  <c r="Q128" i="9"/>
  <c r="R128" i="9" s="1"/>
  <c r="Q129" i="9"/>
  <c r="R129" i="9" s="1"/>
  <c r="Q130" i="9"/>
  <c r="R130" i="9" s="1"/>
  <c r="Q131" i="9"/>
  <c r="R131" i="9" s="1"/>
  <c r="Q132" i="9"/>
  <c r="R132" i="9" s="1"/>
  <c r="P136" i="9"/>
  <c r="P71" i="9"/>
  <c r="P75" i="9"/>
  <c r="P79" i="9"/>
  <c r="P83" i="9"/>
  <c r="P87" i="9"/>
  <c r="P117" i="9"/>
  <c r="P121" i="9"/>
  <c r="AI230" i="9"/>
  <c r="AJ230" i="9" s="1"/>
  <c r="AH230" i="9"/>
  <c r="P60" i="9"/>
  <c r="P64" i="9"/>
  <c r="Q67" i="9"/>
  <c r="R67" i="9" s="1"/>
  <c r="P68" i="9"/>
  <c r="Q71" i="9"/>
  <c r="R71" i="9" s="1"/>
  <c r="P72" i="9"/>
  <c r="Q75" i="9"/>
  <c r="R75" i="9" s="1"/>
  <c r="P76" i="9"/>
  <c r="Q79" i="9"/>
  <c r="R79" i="9" s="1"/>
  <c r="P80" i="9"/>
  <c r="Q83" i="9"/>
  <c r="R83" i="9" s="1"/>
  <c r="P84" i="9"/>
  <c r="Q87" i="9"/>
  <c r="R87" i="9" s="1"/>
  <c r="P114" i="9"/>
  <c r="Q117" i="9"/>
  <c r="R117" i="9" s="1"/>
  <c r="P118" i="9"/>
  <c r="Q121" i="9"/>
  <c r="R121" i="9" s="1"/>
  <c r="P122" i="9"/>
  <c r="P134" i="9"/>
  <c r="AI226" i="9"/>
  <c r="AJ226" i="9" s="1"/>
  <c r="AH226" i="9"/>
  <c r="P234" i="9"/>
  <c r="Q234" i="9"/>
  <c r="R234" i="9" s="1"/>
  <c r="AI235" i="9"/>
  <c r="AJ235" i="9" s="1"/>
  <c r="J242" i="9"/>
  <c r="P242" i="9" s="1"/>
  <c r="Q242" i="9"/>
  <c r="R242" i="9" s="1"/>
  <c r="AI246" i="9"/>
  <c r="AJ246" i="9" s="1"/>
  <c r="AH246" i="9"/>
  <c r="P230" i="9"/>
  <c r="Q230" i="9"/>
  <c r="R230" i="9" s="1"/>
  <c r="AI231" i="9"/>
  <c r="AJ231" i="9" s="1"/>
  <c r="Q236" i="9"/>
  <c r="R236" i="9" s="1"/>
  <c r="J236" i="9"/>
  <c r="P236" i="9" s="1"/>
  <c r="J246" i="9"/>
  <c r="P246" i="9" s="1"/>
  <c r="Q246" i="9"/>
  <c r="R246" i="9" s="1"/>
  <c r="AI250" i="9"/>
  <c r="AJ250" i="9" s="1"/>
  <c r="AH250" i="9"/>
  <c r="P226" i="9"/>
  <c r="Q226" i="9"/>
  <c r="R226" i="9" s="1"/>
  <c r="AI227" i="9"/>
  <c r="AJ227" i="9" s="1"/>
  <c r="AI234" i="9"/>
  <c r="AJ234" i="9" s="1"/>
  <c r="AH234" i="9"/>
  <c r="Q237" i="9"/>
  <c r="R237" i="9" s="1"/>
  <c r="J237" i="9"/>
  <c r="P237" i="9" s="1"/>
  <c r="AI238" i="9"/>
  <c r="AJ238" i="9" s="1"/>
  <c r="AH238" i="9"/>
  <c r="J250" i="9"/>
  <c r="P250" i="9" s="1"/>
  <c r="Q250" i="9"/>
  <c r="R250" i="9" s="1"/>
  <c r="P227" i="9"/>
  <c r="AI229" i="9"/>
  <c r="AJ229" i="9" s="1"/>
  <c r="P231" i="9"/>
  <c r="AI233" i="9"/>
  <c r="AJ233" i="9" s="1"/>
  <c r="P235" i="9"/>
  <c r="AI239" i="9"/>
  <c r="AJ239" i="9" s="1"/>
  <c r="AH239" i="9"/>
  <c r="Q241" i="9"/>
  <c r="R241" i="9" s="1"/>
  <c r="AI243" i="9"/>
  <c r="AJ243" i="9" s="1"/>
  <c r="AH243" i="9"/>
  <c r="Q245" i="9"/>
  <c r="R245" i="9" s="1"/>
  <c r="AI247" i="9"/>
  <c r="AJ247" i="9" s="1"/>
  <c r="AH247" i="9"/>
  <c r="Q249" i="9"/>
  <c r="R249" i="9" s="1"/>
  <c r="AI251" i="9"/>
  <c r="AJ251" i="9" s="1"/>
  <c r="AH251" i="9"/>
  <c r="Q253" i="9"/>
  <c r="R253" i="9" s="1"/>
  <c r="P228" i="9"/>
  <c r="P232" i="9"/>
  <c r="AI240" i="9"/>
  <c r="AJ240" i="9" s="1"/>
  <c r="AH240" i="9"/>
  <c r="AI244" i="9"/>
  <c r="AJ244" i="9" s="1"/>
  <c r="AH244" i="9"/>
  <c r="AI248" i="9"/>
  <c r="AJ248" i="9" s="1"/>
  <c r="AH248" i="9"/>
  <c r="AI252" i="9"/>
  <c r="AJ252" i="9" s="1"/>
  <c r="AH252" i="9"/>
  <c r="Q228" i="9"/>
  <c r="R228" i="9" s="1"/>
  <c r="P229" i="9"/>
  <c r="Q232" i="9"/>
  <c r="R232" i="9" s="1"/>
  <c r="P233" i="9"/>
  <c r="AH236" i="9"/>
  <c r="AH237" i="9"/>
  <c r="Q239" i="9"/>
  <c r="R239" i="9" s="1"/>
  <c r="P240" i="9"/>
  <c r="AI241" i="9"/>
  <c r="AJ241" i="9" s="1"/>
  <c r="AH241" i="9"/>
  <c r="Q243" i="9"/>
  <c r="R243" i="9" s="1"/>
  <c r="P244" i="9"/>
  <c r="AI245" i="9"/>
  <c r="AJ245" i="9" s="1"/>
  <c r="AH245" i="9"/>
  <c r="Q247" i="9"/>
  <c r="R247" i="9" s="1"/>
  <c r="P248" i="9"/>
  <c r="AI249" i="9"/>
  <c r="AJ249" i="9" s="1"/>
  <c r="AH249" i="9"/>
  <c r="Q251" i="9"/>
  <c r="R251" i="9" s="1"/>
  <c r="P252" i="9"/>
  <c r="AI253" i="9"/>
  <c r="AJ253" i="9" s="1"/>
  <c r="AH253" i="9"/>
  <c r="P4" i="8"/>
  <c r="P6" i="8"/>
  <c r="P7" i="8"/>
  <c r="P8" i="8"/>
  <c r="P9" i="8"/>
  <c r="P10" i="8"/>
  <c r="P12" i="8"/>
  <c r="P13" i="8"/>
  <c r="P14" i="8"/>
  <c r="P15" i="8"/>
  <c r="P16" i="8"/>
  <c r="P17" i="8"/>
  <c r="P19" i="8"/>
  <c r="P22" i="8"/>
  <c r="P24" i="8"/>
  <c r="Q7" i="8"/>
  <c r="R7" i="8" s="1"/>
  <c r="Q8" i="8"/>
  <c r="R8" i="8" s="1"/>
  <c r="Q14" i="8"/>
  <c r="R14" i="8" s="1"/>
  <c r="Q15" i="8"/>
  <c r="R15" i="8" s="1"/>
  <c r="AH61" i="8"/>
  <c r="AH143" i="8"/>
  <c r="AI143" i="8"/>
  <c r="AJ143" i="8" s="1"/>
  <c r="AH6" i="8"/>
  <c r="AH9" i="8"/>
  <c r="AH12" i="8"/>
  <c r="AH18" i="8"/>
  <c r="AH19" i="8"/>
  <c r="AH20" i="8"/>
  <c r="AH21" i="8"/>
  <c r="AH22" i="8"/>
  <c r="AH23" i="8"/>
  <c r="P26" i="8"/>
  <c r="P30" i="8"/>
  <c r="AH30" i="8"/>
  <c r="P58" i="8"/>
  <c r="AH58" i="8"/>
  <c r="AI61" i="8"/>
  <c r="AJ61" i="8" s="1"/>
  <c r="P62" i="8"/>
  <c r="AH62" i="8"/>
  <c r="AH63" i="8"/>
  <c r="AH64" i="8"/>
  <c r="AH65" i="8"/>
  <c r="AH66" i="8"/>
  <c r="AH67" i="8"/>
  <c r="AH68" i="8"/>
  <c r="AH69" i="8"/>
  <c r="AH85" i="8"/>
  <c r="AH115" i="8"/>
  <c r="AI126" i="8"/>
  <c r="AJ126" i="8" s="1"/>
  <c r="AH126" i="8"/>
  <c r="P129" i="8"/>
  <c r="Q129" i="8"/>
  <c r="R129" i="8" s="1"/>
  <c r="AH184" i="8"/>
  <c r="AI184" i="8"/>
  <c r="AJ184" i="8" s="1"/>
  <c r="AI186" i="8"/>
  <c r="AJ186" i="8" s="1"/>
  <c r="AB186" i="8"/>
  <c r="Q228" i="8"/>
  <c r="R228" i="8" s="1"/>
  <c r="J228" i="8"/>
  <c r="P228" i="8" s="1"/>
  <c r="Q4" i="8"/>
  <c r="R4" i="8" s="1"/>
  <c r="Q6" i="8"/>
  <c r="R6" i="8" s="1"/>
  <c r="Q10" i="8"/>
  <c r="R10" i="8" s="1"/>
  <c r="Q13" i="8"/>
  <c r="R13" i="8" s="1"/>
  <c r="Q16" i="8"/>
  <c r="R16" i="8" s="1"/>
  <c r="Q17" i="8"/>
  <c r="R17" i="8" s="1"/>
  <c r="Q19" i="8"/>
  <c r="R19" i="8" s="1"/>
  <c r="Q24" i="8"/>
  <c r="R24" i="8" s="1"/>
  <c r="AH29" i="8"/>
  <c r="Q132" i="8"/>
  <c r="R132" i="8" s="1"/>
  <c r="P132" i="8"/>
  <c r="J5" i="8"/>
  <c r="P5" i="8" s="1"/>
  <c r="AH5" i="8"/>
  <c r="AH8" i="8"/>
  <c r="J11" i="8"/>
  <c r="P11" i="8" s="1"/>
  <c r="AH11" i="8"/>
  <c r="J18" i="8"/>
  <c r="P18" i="8" s="1"/>
  <c r="J20" i="8"/>
  <c r="P20" i="8" s="1"/>
  <c r="J21" i="8"/>
  <c r="P21" i="8" s="1"/>
  <c r="J23" i="8"/>
  <c r="P23" i="8" s="1"/>
  <c r="AH26" i="8"/>
  <c r="AI7" i="8"/>
  <c r="AJ7" i="8" s="1"/>
  <c r="AI10" i="8"/>
  <c r="AJ10" i="8" s="1"/>
  <c r="AI13" i="8"/>
  <c r="AJ13" i="8" s="1"/>
  <c r="AI14" i="8"/>
  <c r="AJ14" i="8" s="1"/>
  <c r="AI15" i="8"/>
  <c r="AJ15" i="8" s="1"/>
  <c r="AI16" i="8"/>
  <c r="AJ16" i="8" s="1"/>
  <c r="AI17" i="8"/>
  <c r="AJ17" i="8" s="1"/>
  <c r="AI26" i="8"/>
  <c r="AJ26" i="8" s="1"/>
  <c r="P27" i="8"/>
  <c r="AH27" i="8"/>
  <c r="AI30" i="8"/>
  <c r="AJ30" i="8" s="1"/>
  <c r="P31" i="8"/>
  <c r="AH31" i="8"/>
  <c r="AI58" i="8"/>
  <c r="AJ58" i="8" s="1"/>
  <c r="P59" i="8"/>
  <c r="AH59" i="8"/>
  <c r="P63" i="8"/>
  <c r="P64" i="8"/>
  <c r="P65" i="8"/>
  <c r="P66" i="8"/>
  <c r="P67" i="8"/>
  <c r="P68" i="8"/>
  <c r="AH72" i="8"/>
  <c r="AH114" i="8"/>
  <c r="AH118" i="8"/>
  <c r="AI127" i="8"/>
  <c r="AJ127" i="8" s="1"/>
  <c r="Q131" i="8"/>
  <c r="R131" i="8" s="1"/>
  <c r="P131" i="8"/>
  <c r="AH132" i="8"/>
  <c r="AI132" i="8"/>
  <c r="AJ132" i="8" s="1"/>
  <c r="AH135" i="8"/>
  <c r="AI135" i="8"/>
  <c r="AJ135" i="8" s="1"/>
  <c r="Q177" i="8"/>
  <c r="R177" i="8" s="1"/>
  <c r="P177" i="8"/>
  <c r="Q9" i="8"/>
  <c r="R9" i="8" s="1"/>
  <c r="Q12" i="8"/>
  <c r="R12" i="8" s="1"/>
  <c r="AH25" i="8"/>
  <c r="AH33" i="8"/>
  <c r="AH130" i="8"/>
  <c r="AI130" i="8"/>
  <c r="AJ130" i="8" s="1"/>
  <c r="AI170" i="8"/>
  <c r="AJ170" i="8" s="1"/>
  <c r="AB170" i="8"/>
  <c r="AH170" i="8" s="1"/>
  <c r="AH4" i="8"/>
  <c r="AI25" i="8"/>
  <c r="AJ25" i="8" s="1"/>
  <c r="AH24" i="8"/>
  <c r="AI27" i="8"/>
  <c r="AJ27" i="8" s="1"/>
  <c r="AH28" i="8"/>
  <c r="AI31" i="8"/>
  <c r="AJ31" i="8" s="1"/>
  <c r="AH32" i="8"/>
  <c r="AI59" i="8"/>
  <c r="AJ59" i="8" s="1"/>
  <c r="AH60" i="8"/>
  <c r="AH79" i="8"/>
  <c r="AH87" i="8"/>
  <c r="AH117" i="8"/>
  <c r="Q193" i="8"/>
  <c r="R193" i="8" s="1"/>
  <c r="P193" i="8"/>
  <c r="P127" i="8"/>
  <c r="Q128" i="8"/>
  <c r="R128" i="8" s="1"/>
  <c r="AH128" i="8"/>
  <c r="AI128" i="8"/>
  <c r="AJ128" i="8" s="1"/>
  <c r="AI129" i="8"/>
  <c r="AJ129" i="8" s="1"/>
  <c r="AH131" i="8"/>
  <c r="Q134" i="8"/>
  <c r="R134" i="8" s="1"/>
  <c r="Q137" i="8"/>
  <c r="R137" i="8" s="1"/>
  <c r="AH139" i="8"/>
  <c r="AI139" i="8"/>
  <c r="AJ139" i="8" s="1"/>
  <c r="AI141" i="8"/>
  <c r="AJ141" i="8" s="1"/>
  <c r="AB141" i="8"/>
  <c r="AH141" i="8" s="1"/>
  <c r="Q173" i="8"/>
  <c r="R173" i="8" s="1"/>
  <c r="P173" i="8"/>
  <c r="Q178" i="8"/>
  <c r="R178" i="8" s="1"/>
  <c r="AH180" i="8"/>
  <c r="AI180" i="8"/>
  <c r="AJ180" i="8" s="1"/>
  <c r="AI182" i="8"/>
  <c r="AJ182" i="8" s="1"/>
  <c r="AB182" i="8"/>
  <c r="Q189" i="8"/>
  <c r="R189" i="8" s="1"/>
  <c r="P189" i="8"/>
  <c r="Q194" i="8"/>
  <c r="R194" i="8" s="1"/>
  <c r="AH196" i="8"/>
  <c r="AI196" i="8"/>
  <c r="AJ196" i="8" s="1"/>
  <c r="AI198" i="8"/>
  <c r="AJ198" i="8" s="1"/>
  <c r="AB198" i="8"/>
  <c r="AH198" i="8" s="1"/>
  <c r="AB231" i="8"/>
  <c r="AH231" i="8" s="1"/>
  <c r="AI231" i="8"/>
  <c r="AJ231" i="8" s="1"/>
  <c r="AH121" i="8"/>
  <c r="AH122" i="8"/>
  <c r="AH123" i="8"/>
  <c r="AH124" i="8"/>
  <c r="AH125" i="8"/>
  <c r="Q127" i="8"/>
  <c r="R127" i="8" s="1"/>
  <c r="AH127" i="8"/>
  <c r="AI137" i="8"/>
  <c r="AJ137" i="8" s="1"/>
  <c r="AB137" i="8"/>
  <c r="AH137" i="8" s="1"/>
  <c r="Q169" i="8"/>
  <c r="R169" i="8" s="1"/>
  <c r="P169" i="8"/>
  <c r="AH176" i="8"/>
  <c r="AI176" i="8"/>
  <c r="AJ176" i="8" s="1"/>
  <c r="AI178" i="8"/>
  <c r="AJ178" i="8" s="1"/>
  <c r="AB178" i="8"/>
  <c r="Q185" i="8"/>
  <c r="R185" i="8" s="1"/>
  <c r="P185" i="8"/>
  <c r="AH192" i="8"/>
  <c r="AI192" i="8"/>
  <c r="AJ192" i="8" s="1"/>
  <c r="AI194" i="8"/>
  <c r="AJ194" i="8" s="1"/>
  <c r="AB194" i="8"/>
  <c r="AH194" i="8" s="1"/>
  <c r="AI235" i="8"/>
  <c r="AJ235" i="8" s="1"/>
  <c r="AH235" i="8"/>
  <c r="P133" i="8"/>
  <c r="AH134" i="8"/>
  <c r="AH136" i="8"/>
  <c r="Q140" i="8"/>
  <c r="R140" i="8" s="1"/>
  <c r="P140" i="8"/>
  <c r="Q170" i="8"/>
  <c r="R170" i="8" s="1"/>
  <c r="AH172" i="8"/>
  <c r="AI172" i="8"/>
  <c r="AJ172" i="8" s="1"/>
  <c r="AI174" i="8"/>
  <c r="AJ174" i="8" s="1"/>
  <c r="AB174" i="8"/>
  <c r="AH174" i="8" s="1"/>
  <c r="Q181" i="8"/>
  <c r="R181" i="8" s="1"/>
  <c r="P181" i="8"/>
  <c r="Q186" i="8"/>
  <c r="R186" i="8" s="1"/>
  <c r="AH188" i="8"/>
  <c r="AI188" i="8"/>
  <c r="AJ188" i="8" s="1"/>
  <c r="AI190" i="8"/>
  <c r="AJ190" i="8" s="1"/>
  <c r="AB190" i="8"/>
  <c r="AH190" i="8" s="1"/>
  <c r="Q197" i="8"/>
  <c r="R197" i="8" s="1"/>
  <c r="P197" i="8"/>
  <c r="P226" i="8"/>
  <c r="Q226" i="8"/>
  <c r="R226" i="8" s="1"/>
  <c r="P233" i="8"/>
  <c r="Q233" i="8"/>
  <c r="R233" i="8" s="1"/>
  <c r="AH140" i="8"/>
  <c r="AH169" i="8"/>
  <c r="AH173" i="8"/>
  <c r="AH177" i="8"/>
  <c r="AH181" i="8"/>
  <c r="AH185" i="8"/>
  <c r="AH189" i="8"/>
  <c r="AH193" i="8"/>
  <c r="AH197" i="8"/>
  <c r="P235" i="8"/>
  <c r="P237" i="8"/>
  <c r="AH129" i="8"/>
  <c r="AH133" i="8"/>
  <c r="AI136" i="8"/>
  <c r="AJ136" i="8" s="1"/>
  <c r="P137" i="8"/>
  <c r="AI140" i="8"/>
  <c r="AJ140" i="8" s="1"/>
  <c r="P141" i="8"/>
  <c r="AI169" i="8"/>
  <c r="AJ169" i="8" s="1"/>
  <c r="P170" i="8"/>
  <c r="AI173" i="8"/>
  <c r="AJ173" i="8" s="1"/>
  <c r="P174" i="8"/>
  <c r="AI177" i="8"/>
  <c r="AJ177" i="8" s="1"/>
  <c r="P178" i="8"/>
  <c r="AH178" i="8"/>
  <c r="AI181" i="8"/>
  <c r="AJ181" i="8" s="1"/>
  <c r="P182" i="8"/>
  <c r="AH182" i="8"/>
  <c r="AI185" i="8"/>
  <c r="AJ185" i="8" s="1"/>
  <c r="P186" i="8"/>
  <c r="AH186" i="8"/>
  <c r="AI189" i="8"/>
  <c r="AJ189" i="8" s="1"/>
  <c r="P190" i="8"/>
  <c r="AI193" i="8"/>
  <c r="AJ193" i="8" s="1"/>
  <c r="P194" i="8"/>
  <c r="AI197" i="8"/>
  <c r="AJ197" i="8" s="1"/>
  <c r="P198" i="8"/>
  <c r="AH227" i="8"/>
  <c r="P229" i="8"/>
  <c r="AI230" i="8"/>
  <c r="AJ230" i="8" s="1"/>
  <c r="P231" i="8"/>
  <c r="AI234" i="8"/>
  <c r="AJ234" i="8" s="1"/>
  <c r="AH234" i="8"/>
  <c r="AH138" i="8"/>
  <c r="AH142" i="8"/>
  <c r="AH171" i="8"/>
  <c r="AH175" i="8"/>
  <c r="AH179" i="8"/>
  <c r="AH183" i="8"/>
  <c r="AH187" i="8"/>
  <c r="AH191" i="8"/>
  <c r="AH195" i="8"/>
  <c r="AH224" i="8"/>
  <c r="P227" i="8"/>
  <c r="Q227" i="8"/>
  <c r="R227" i="8" s="1"/>
  <c r="AI227" i="8"/>
  <c r="AJ227" i="8" s="1"/>
  <c r="Q229" i="8"/>
  <c r="R229" i="8" s="1"/>
  <c r="P240" i="8"/>
  <c r="Q231" i="8"/>
  <c r="R231" i="8" s="1"/>
  <c r="P232" i="8"/>
  <c r="P239" i="8"/>
  <c r="P247" i="8"/>
  <c r="AC253" i="7"/>
  <c r="W253" i="7"/>
  <c r="X253" i="7" s="1"/>
  <c r="AC252" i="7"/>
  <c r="W252" i="7"/>
  <c r="X252" i="7" s="1"/>
  <c r="AC251" i="7"/>
  <c r="W251" i="7"/>
  <c r="X251" i="7" s="1"/>
  <c r="AC250" i="7"/>
  <c r="W250" i="7"/>
  <c r="X250" i="7" s="1"/>
  <c r="AC249" i="7"/>
  <c r="W249" i="7"/>
  <c r="X249" i="7" s="1"/>
  <c r="AC248" i="7"/>
  <c r="W248" i="7"/>
  <c r="X248" i="7" s="1"/>
  <c r="AC247" i="7"/>
  <c r="W247" i="7"/>
  <c r="X247" i="7" s="1"/>
  <c r="AC246" i="7"/>
  <c r="W246" i="7"/>
  <c r="X246" i="7" s="1"/>
  <c r="AC245" i="7"/>
  <c r="W245" i="7"/>
  <c r="X245" i="7" s="1"/>
  <c r="AC244" i="7"/>
  <c r="W244" i="7"/>
  <c r="X244" i="7" s="1"/>
  <c r="AC243" i="7"/>
  <c r="W243" i="7"/>
  <c r="X243" i="7" s="1"/>
  <c r="AC242" i="7"/>
  <c r="W242" i="7"/>
  <c r="X242" i="7" s="1"/>
  <c r="AC241" i="7"/>
  <c r="W241" i="7"/>
  <c r="X241" i="7" s="1"/>
  <c r="AC240" i="7"/>
  <c r="W240" i="7"/>
  <c r="X240" i="7" s="1"/>
  <c r="AC239" i="7"/>
  <c r="W239" i="7"/>
  <c r="X239" i="7" s="1"/>
  <c r="AC238" i="7"/>
  <c r="W238" i="7"/>
  <c r="X238" i="7" s="1"/>
  <c r="AC237" i="7"/>
  <c r="W237" i="7"/>
  <c r="X237" i="7" s="1"/>
  <c r="AC236" i="7"/>
  <c r="W236" i="7"/>
  <c r="X236" i="7" s="1"/>
  <c r="AC235" i="7"/>
  <c r="W235" i="7"/>
  <c r="X235" i="7" s="1"/>
  <c r="AC234" i="7"/>
  <c r="W234" i="7"/>
  <c r="X234" i="7" s="1"/>
  <c r="AC233" i="7"/>
  <c r="W233" i="7"/>
  <c r="X233" i="7" s="1"/>
  <c r="AC232" i="7"/>
  <c r="W232" i="7"/>
  <c r="X232" i="7" s="1"/>
  <c r="AC231" i="7"/>
  <c r="W231" i="7"/>
  <c r="X231" i="7" s="1"/>
  <c r="AC230" i="7"/>
  <c r="W230" i="7"/>
  <c r="X230" i="7" s="1"/>
  <c r="AC229" i="7"/>
  <c r="W229" i="7"/>
  <c r="X229" i="7" s="1"/>
  <c r="AC228" i="7"/>
  <c r="W228" i="7"/>
  <c r="X228" i="7" s="1"/>
  <c r="AC227" i="7"/>
  <c r="W227" i="7"/>
  <c r="X227" i="7" s="1"/>
  <c r="AC226" i="7"/>
  <c r="W226" i="7"/>
  <c r="X226" i="7" s="1"/>
  <c r="AC225" i="7"/>
  <c r="W225" i="7"/>
  <c r="X225" i="7" s="1"/>
  <c r="AC224" i="7"/>
  <c r="W224" i="7"/>
  <c r="X224" i="7" s="1"/>
  <c r="M253" i="7"/>
  <c r="G253" i="7"/>
  <c r="H253" i="7" s="1"/>
  <c r="M252" i="7"/>
  <c r="G252" i="7"/>
  <c r="H252" i="7" s="1"/>
  <c r="M251" i="7"/>
  <c r="G251" i="7"/>
  <c r="H251" i="7" s="1"/>
  <c r="M250" i="7"/>
  <c r="G250" i="7"/>
  <c r="H250" i="7" s="1"/>
  <c r="M249" i="7"/>
  <c r="G249" i="7"/>
  <c r="H249" i="7" s="1"/>
  <c r="M248" i="7"/>
  <c r="G248" i="7"/>
  <c r="H248" i="7" s="1"/>
  <c r="M247" i="7"/>
  <c r="G247" i="7"/>
  <c r="H247" i="7" s="1"/>
  <c r="M246" i="7"/>
  <c r="G246" i="7"/>
  <c r="H246" i="7" s="1"/>
  <c r="M245" i="7"/>
  <c r="G245" i="7"/>
  <c r="H245" i="7" s="1"/>
  <c r="M244" i="7"/>
  <c r="G244" i="7"/>
  <c r="H244" i="7" s="1"/>
  <c r="M243" i="7"/>
  <c r="G243" i="7"/>
  <c r="H243" i="7" s="1"/>
  <c r="M242" i="7"/>
  <c r="G242" i="7"/>
  <c r="H242" i="7" s="1"/>
  <c r="M241" i="7"/>
  <c r="G241" i="7"/>
  <c r="H241" i="7" s="1"/>
  <c r="M240" i="7"/>
  <c r="G240" i="7"/>
  <c r="H240" i="7" s="1"/>
  <c r="M239" i="7"/>
  <c r="G239" i="7"/>
  <c r="H239" i="7" s="1"/>
  <c r="M238" i="7"/>
  <c r="G238" i="7"/>
  <c r="H238" i="7" s="1"/>
  <c r="M237" i="7"/>
  <c r="G237" i="7"/>
  <c r="H237" i="7" s="1"/>
  <c r="M236" i="7"/>
  <c r="G236" i="7"/>
  <c r="H236" i="7" s="1"/>
  <c r="M235" i="7"/>
  <c r="G235" i="7"/>
  <c r="H235" i="7" s="1"/>
  <c r="M234" i="7"/>
  <c r="G234" i="7"/>
  <c r="H234" i="7" s="1"/>
  <c r="M233" i="7"/>
  <c r="G233" i="7"/>
  <c r="H233" i="7" s="1"/>
  <c r="M232" i="7"/>
  <c r="G232" i="7"/>
  <c r="H232" i="7" s="1"/>
  <c r="M231" i="7"/>
  <c r="G231" i="7"/>
  <c r="H231" i="7" s="1"/>
  <c r="M230" i="7"/>
  <c r="G230" i="7"/>
  <c r="H230" i="7" s="1"/>
  <c r="M229" i="7"/>
  <c r="G229" i="7"/>
  <c r="H229" i="7" s="1"/>
  <c r="M228" i="7"/>
  <c r="G228" i="7"/>
  <c r="H228" i="7" s="1"/>
  <c r="M227" i="7"/>
  <c r="G227" i="7"/>
  <c r="H227" i="7" s="1"/>
  <c r="M226" i="7"/>
  <c r="G226" i="7"/>
  <c r="H226" i="7" s="1"/>
  <c r="M225" i="7"/>
  <c r="G225" i="7"/>
  <c r="H225" i="7" s="1"/>
  <c r="M224" i="7"/>
  <c r="G224" i="7"/>
  <c r="H224" i="7" s="1"/>
  <c r="G169" i="7"/>
  <c r="H169" i="7" s="1"/>
  <c r="M169" i="7"/>
  <c r="G170" i="7"/>
  <c r="H170" i="7" s="1"/>
  <c r="M170" i="7"/>
  <c r="G171" i="7"/>
  <c r="H171" i="7" s="1"/>
  <c r="M171" i="7"/>
  <c r="G172" i="7"/>
  <c r="H172" i="7" s="1"/>
  <c r="M172" i="7"/>
  <c r="G173" i="7"/>
  <c r="H173" i="7" s="1"/>
  <c r="M173" i="7"/>
  <c r="G174" i="7"/>
  <c r="H174" i="7" s="1"/>
  <c r="M174" i="7"/>
  <c r="G175" i="7"/>
  <c r="H175" i="7" s="1"/>
  <c r="M175" i="7"/>
  <c r="G176" i="7"/>
  <c r="H176" i="7" s="1"/>
  <c r="M176" i="7"/>
  <c r="G177" i="7"/>
  <c r="H177" i="7" s="1"/>
  <c r="M177" i="7"/>
  <c r="G178" i="7"/>
  <c r="H178" i="7" s="1"/>
  <c r="M178" i="7"/>
  <c r="G179" i="7"/>
  <c r="H179" i="7" s="1"/>
  <c r="M179" i="7"/>
  <c r="G180" i="7"/>
  <c r="H180" i="7" s="1"/>
  <c r="M180" i="7"/>
  <c r="G181" i="7"/>
  <c r="H181" i="7" s="1"/>
  <c r="M181" i="7"/>
  <c r="G182" i="7"/>
  <c r="H182" i="7" s="1"/>
  <c r="M182" i="7"/>
  <c r="G183" i="7"/>
  <c r="H183" i="7" s="1"/>
  <c r="M183" i="7"/>
  <c r="G184" i="7"/>
  <c r="H184" i="7" s="1"/>
  <c r="M184" i="7"/>
  <c r="G185" i="7"/>
  <c r="H185" i="7" s="1"/>
  <c r="M185" i="7"/>
  <c r="G186" i="7"/>
  <c r="H186" i="7" s="1"/>
  <c r="M186" i="7"/>
  <c r="G187" i="7"/>
  <c r="H187" i="7" s="1"/>
  <c r="M187" i="7"/>
  <c r="G188" i="7"/>
  <c r="H188" i="7" s="1"/>
  <c r="M188" i="7"/>
  <c r="G189" i="7"/>
  <c r="H189" i="7" s="1"/>
  <c r="M189" i="7"/>
  <c r="G190" i="7"/>
  <c r="H190" i="7" s="1"/>
  <c r="M190" i="7"/>
  <c r="G191" i="7"/>
  <c r="H191" i="7" s="1"/>
  <c r="M191" i="7"/>
  <c r="G192" i="7"/>
  <c r="H192" i="7" s="1"/>
  <c r="M192" i="7"/>
  <c r="G193" i="7"/>
  <c r="H193" i="7" s="1"/>
  <c r="M193" i="7"/>
  <c r="G194" i="7"/>
  <c r="H194" i="7" s="1"/>
  <c r="M194" i="7"/>
  <c r="G195" i="7"/>
  <c r="H195" i="7" s="1"/>
  <c r="M195" i="7"/>
  <c r="G196" i="7"/>
  <c r="H196" i="7" s="1"/>
  <c r="M196" i="7"/>
  <c r="G197" i="7"/>
  <c r="H197" i="7" s="1"/>
  <c r="M197" i="7"/>
  <c r="G198" i="7"/>
  <c r="H198" i="7" s="1"/>
  <c r="M198" i="7"/>
  <c r="AC198" i="7"/>
  <c r="W198" i="7"/>
  <c r="X198" i="7" s="1"/>
  <c r="AC197" i="7"/>
  <c r="W197" i="7"/>
  <c r="X197" i="7" s="1"/>
  <c r="AC196" i="7"/>
  <c r="W196" i="7"/>
  <c r="X196" i="7" s="1"/>
  <c r="AC195" i="7"/>
  <c r="W195" i="7"/>
  <c r="X195" i="7" s="1"/>
  <c r="AC194" i="7"/>
  <c r="W194" i="7"/>
  <c r="X194" i="7" s="1"/>
  <c r="AC193" i="7"/>
  <c r="W193" i="7"/>
  <c r="X193" i="7" s="1"/>
  <c r="AC192" i="7"/>
  <c r="W192" i="7"/>
  <c r="X192" i="7" s="1"/>
  <c r="AC191" i="7"/>
  <c r="W191" i="7"/>
  <c r="X191" i="7" s="1"/>
  <c r="AC190" i="7"/>
  <c r="W190" i="7"/>
  <c r="X190" i="7" s="1"/>
  <c r="AC189" i="7"/>
  <c r="W189" i="7"/>
  <c r="X189" i="7" s="1"/>
  <c r="AC188" i="7"/>
  <c r="W188" i="7"/>
  <c r="X188" i="7" s="1"/>
  <c r="AC187" i="7"/>
  <c r="W187" i="7"/>
  <c r="X187" i="7" s="1"/>
  <c r="AC186" i="7"/>
  <c r="W186" i="7"/>
  <c r="X186" i="7" s="1"/>
  <c r="AC185" i="7"/>
  <c r="W185" i="7"/>
  <c r="X185" i="7" s="1"/>
  <c r="AC184" i="7"/>
  <c r="W184" i="7"/>
  <c r="X184" i="7" s="1"/>
  <c r="AC183" i="7"/>
  <c r="W183" i="7"/>
  <c r="X183" i="7" s="1"/>
  <c r="AC182" i="7"/>
  <c r="W182" i="7"/>
  <c r="X182" i="7" s="1"/>
  <c r="AC181" i="7"/>
  <c r="W181" i="7"/>
  <c r="X181" i="7" s="1"/>
  <c r="AC180" i="7"/>
  <c r="W180" i="7"/>
  <c r="X180" i="7" s="1"/>
  <c r="AC179" i="7"/>
  <c r="W179" i="7"/>
  <c r="X179" i="7" s="1"/>
  <c r="AC178" i="7"/>
  <c r="W178" i="7"/>
  <c r="X178" i="7" s="1"/>
  <c r="AC177" i="7"/>
  <c r="W177" i="7"/>
  <c r="X177" i="7" s="1"/>
  <c r="AC176" i="7"/>
  <c r="W176" i="7"/>
  <c r="X176" i="7" s="1"/>
  <c r="AC175" i="7"/>
  <c r="W175" i="7"/>
  <c r="X175" i="7" s="1"/>
  <c r="AC174" i="7"/>
  <c r="W174" i="7"/>
  <c r="X174" i="7" s="1"/>
  <c r="AC173" i="7"/>
  <c r="W173" i="7"/>
  <c r="X173" i="7" s="1"/>
  <c r="AC172" i="7"/>
  <c r="W172" i="7"/>
  <c r="X172" i="7" s="1"/>
  <c r="AC171" i="7"/>
  <c r="W171" i="7"/>
  <c r="X171" i="7" s="1"/>
  <c r="AC170" i="7"/>
  <c r="W170" i="7"/>
  <c r="X170" i="7" s="1"/>
  <c r="AC169" i="7"/>
  <c r="W169" i="7"/>
  <c r="X169" i="7" s="1"/>
  <c r="AC143" i="7"/>
  <c r="W143" i="7"/>
  <c r="X143" i="7" s="1"/>
  <c r="AC142" i="7"/>
  <c r="W142" i="7"/>
  <c r="X142" i="7" s="1"/>
  <c r="AC141" i="7"/>
  <c r="W141" i="7"/>
  <c r="X141" i="7" s="1"/>
  <c r="AC140" i="7"/>
  <c r="W140" i="7"/>
  <c r="X140" i="7" s="1"/>
  <c r="AC139" i="7"/>
  <c r="W139" i="7"/>
  <c r="X139" i="7" s="1"/>
  <c r="AC138" i="7"/>
  <c r="W138" i="7"/>
  <c r="X138" i="7" s="1"/>
  <c r="AC137" i="7"/>
  <c r="W137" i="7"/>
  <c r="X137" i="7" s="1"/>
  <c r="AC136" i="7"/>
  <c r="W136" i="7"/>
  <c r="X136" i="7" s="1"/>
  <c r="AC135" i="7"/>
  <c r="W135" i="7"/>
  <c r="X135" i="7" s="1"/>
  <c r="AC134" i="7"/>
  <c r="W134" i="7"/>
  <c r="X134" i="7" s="1"/>
  <c r="AC133" i="7"/>
  <c r="W133" i="7"/>
  <c r="X133" i="7" s="1"/>
  <c r="AC132" i="7"/>
  <c r="W132" i="7"/>
  <c r="X132" i="7" s="1"/>
  <c r="AC131" i="7"/>
  <c r="W131" i="7"/>
  <c r="X131" i="7" s="1"/>
  <c r="AC130" i="7"/>
  <c r="W130" i="7"/>
  <c r="X130" i="7" s="1"/>
  <c r="AC129" i="7"/>
  <c r="W129" i="7"/>
  <c r="X129" i="7" s="1"/>
  <c r="AC128" i="7"/>
  <c r="W128" i="7"/>
  <c r="X128" i="7" s="1"/>
  <c r="AC127" i="7"/>
  <c r="W127" i="7"/>
  <c r="X127" i="7" s="1"/>
  <c r="AC126" i="7"/>
  <c r="W126" i="7"/>
  <c r="X126" i="7" s="1"/>
  <c r="AC125" i="7"/>
  <c r="W125" i="7"/>
  <c r="X125" i="7" s="1"/>
  <c r="AC124" i="7"/>
  <c r="W124" i="7"/>
  <c r="X124" i="7" s="1"/>
  <c r="AC123" i="7"/>
  <c r="W123" i="7"/>
  <c r="X123" i="7" s="1"/>
  <c r="AC122" i="7"/>
  <c r="W122" i="7"/>
  <c r="X122" i="7" s="1"/>
  <c r="AC121" i="7"/>
  <c r="W121" i="7"/>
  <c r="X121" i="7" s="1"/>
  <c r="AC120" i="7"/>
  <c r="W120" i="7"/>
  <c r="X120" i="7" s="1"/>
  <c r="AC119" i="7"/>
  <c r="W119" i="7"/>
  <c r="X119" i="7" s="1"/>
  <c r="AC118" i="7"/>
  <c r="W118" i="7"/>
  <c r="X118" i="7" s="1"/>
  <c r="AC117" i="7"/>
  <c r="W117" i="7"/>
  <c r="X117" i="7" s="1"/>
  <c r="AC116" i="7"/>
  <c r="W116" i="7"/>
  <c r="X116" i="7" s="1"/>
  <c r="AC115" i="7"/>
  <c r="W115" i="7"/>
  <c r="X115" i="7" s="1"/>
  <c r="AC114" i="7"/>
  <c r="W114" i="7"/>
  <c r="X114" i="7" s="1"/>
  <c r="M143" i="7"/>
  <c r="G143" i="7"/>
  <c r="H143" i="7" s="1"/>
  <c r="M142" i="7"/>
  <c r="G142" i="7"/>
  <c r="H142" i="7" s="1"/>
  <c r="M141" i="7"/>
  <c r="G141" i="7"/>
  <c r="H141" i="7" s="1"/>
  <c r="M140" i="7"/>
  <c r="G140" i="7"/>
  <c r="H140" i="7" s="1"/>
  <c r="M139" i="7"/>
  <c r="G139" i="7"/>
  <c r="H139" i="7" s="1"/>
  <c r="M138" i="7"/>
  <c r="G138" i="7"/>
  <c r="H138" i="7" s="1"/>
  <c r="M137" i="7"/>
  <c r="G137" i="7"/>
  <c r="H137" i="7" s="1"/>
  <c r="M136" i="7"/>
  <c r="G136" i="7"/>
  <c r="H136" i="7" s="1"/>
  <c r="M135" i="7"/>
  <c r="G135" i="7"/>
  <c r="H135" i="7" s="1"/>
  <c r="M134" i="7"/>
  <c r="G134" i="7"/>
  <c r="H134" i="7" s="1"/>
  <c r="M133" i="7"/>
  <c r="G133" i="7"/>
  <c r="H133" i="7" s="1"/>
  <c r="M132" i="7"/>
  <c r="G132" i="7"/>
  <c r="H132" i="7" s="1"/>
  <c r="M131" i="7"/>
  <c r="G131" i="7"/>
  <c r="H131" i="7" s="1"/>
  <c r="M130" i="7"/>
  <c r="G130" i="7"/>
  <c r="H130" i="7" s="1"/>
  <c r="M129" i="7"/>
  <c r="G129" i="7"/>
  <c r="H129" i="7" s="1"/>
  <c r="M128" i="7"/>
  <c r="G128" i="7"/>
  <c r="H128" i="7" s="1"/>
  <c r="M127" i="7"/>
  <c r="G127" i="7"/>
  <c r="H127" i="7" s="1"/>
  <c r="M126" i="7"/>
  <c r="G126" i="7"/>
  <c r="H126" i="7" s="1"/>
  <c r="M125" i="7"/>
  <c r="G125" i="7"/>
  <c r="H125" i="7" s="1"/>
  <c r="M124" i="7"/>
  <c r="G124" i="7"/>
  <c r="H124" i="7" s="1"/>
  <c r="M123" i="7"/>
  <c r="G123" i="7"/>
  <c r="H123" i="7" s="1"/>
  <c r="M122" i="7"/>
  <c r="G122" i="7"/>
  <c r="H122" i="7" s="1"/>
  <c r="M121" i="7"/>
  <c r="G121" i="7"/>
  <c r="H121" i="7" s="1"/>
  <c r="M120" i="7"/>
  <c r="G120" i="7"/>
  <c r="H120" i="7" s="1"/>
  <c r="M119" i="7"/>
  <c r="G119" i="7"/>
  <c r="H119" i="7" s="1"/>
  <c r="M118" i="7"/>
  <c r="G118" i="7"/>
  <c r="H118" i="7" s="1"/>
  <c r="M117" i="7"/>
  <c r="G117" i="7"/>
  <c r="H117" i="7" s="1"/>
  <c r="M116" i="7"/>
  <c r="G116" i="7"/>
  <c r="H116" i="7" s="1"/>
  <c r="M115" i="7"/>
  <c r="G115" i="7"/>
  <c r="H115" i="7" s="1"/>
  <c r="M114" i="7"/>
  <c r="G114" i="7"/>
  <c r="H114" i="7" s="1"/>
  <c r="AC87" i="7"/>
  <c r="W87" i="7"/>
  <c r="X87" i="7" s="1"/>
  <c r="AC86" i="7"/>
  <c r="W86" i="7"/>
  <c r="X86" i="7" s="1"/>
  <c r="AC85" i="7"/>
  <c r="W85" i="7"/>
  <c r="AC84" i="7"/>
  <c r="W84" i="7"/>
  <c r="X84" i="7" s="1"/>
  <c r="AC83" i="7"/>
  <c r="W83" i="7"/>
  <c r="X83" i="7" s="1"/>
  <c r="AC82" i="7"/>
  <c r="W82" i="7"/>
  <c r="X82" i="7" s="1"/>
  <c r="AC81" i="7"/>
  <c r="W81" i="7"/>
  <c r="X81" i="7" s="1"/>
  <c r="AC80" i="7"/>
  <c r="W80" i="7"/>
  <c r="X80" i="7" s="1"/>
  <c r="AC79" i="7"/>
  <c r="W79" i="7"/>
  <c r="X79" i="7" s="1"/>
  <c r="AC78" i="7"/>
  <c r="W78" i="7"/>
  <c r="X78" i="7" s="1"/>
  <c r="AC77" i="7"/>
  <c r="W77" i="7"/>
  <c r="X77" i="7" s="1"/>
  <c r="AC76" i="7"/>
  <c r="W76" i="7"/>
  <c r="X76" i="7" s="1"/>
  <c r="AC75" i="7"/>
  <c r="W75" i="7"/>
  <c r="X75" i="7" s="1"/>
  <c r="AC74" i="7"/>
  <c r="W74" i="7"/>
  <c r="X74" i="7" s="1"/>
  <c r="AC73" i="7"/>
  <c r="W73" i="7"/>
  <c r="X73" i="7" s="1"/>
  <c r="AC72" i="7"/>
  <c r="W72" i="7"/>
  <c r="X72" i="7" s="1"/>
  <c r="AC71" i="7"/>
  <c r="W71" i="7"/>
  <c r="X71" i="7" s="1"/>
  <c r="AC70" i="7"/>
  <c r="W70" i="7"/>
  <c r="X70" i="7" s="1"/>
  <c r="AC69" i="7"/>
  <c r="W69" i="7"/>
  <c r="X69" i="7" s="1"/>
  <c r="AC68" i="7"/>
  <c r="W68" i="7"/>
  <c r="X68" i="7" s="1"/>
  <c r="AC67" i="7"/>
  <c r="W67" i="7"/>
  <c r="X67" i="7" s="1"/>
  <c r="AC66" i="7"/>
  <c r="W66" i="7"/>
  <c r="X66" i="7" s="1"/>
  <c r="AC65" i="7"/>
  <c r="W65" i="7"/>
  <c r="X65" i="7" s="1"/>
  <c r="AC64" i="7"/>
  <c r="W64" i="7"/>
  <c r="X64" i="7" s="1"/>
  <c r="AC63" i="7"/>
  <c r="W63" i="7"/>
  <c r="AC62" i="7"/>
  <c r="W62" i="7"/>
  <c r="X62" i="7" s="1"/>
  <c r="AC61" i="7"/>
  <c r="W61" i="7"/>
  <c r="AC60" i="7"/>
  <c r="W60" i="7"/>
  <c r="X60" i="7" s="1"/>
  <c r="AC59" i="7"/>
  <c r="W59" i="7"/>
  <c r="X59" i="7" s="1"/>
  <c r="AC58" i="7"/>
  <c r="W58" i="7"/>
  <c r="X58" i="7" s="1"/>
  <c r="M87" i="7"/>
  <c r="G87" i="7"/>
  <c r="H87" i="7" s="1"/>
  <c r="M86" i="7"/>
  <c r="G86" i="7"/>
  <c r="H86" i="7" s="1"/>
  <c r="M85" i="7"/>
  <c r="G85" i="7"/>
  <c r="H85" i="7" s="1"/>
  <c r="M84" i="7"/>
  <c r="G84" i="7"/>
  <c r="H84" i="7" s="1"/>
  <c r="M83" i="7"/>
  <c r="G83" i="7"/>
  <c r="H83" i="7" s="1"/>
  <c r="M82" i="7"/>
  <c r="G82" i="7"/>
  <c r="H82" i="7" s="1"/>
  <c r="M81" i="7"/>
  <c r="G81" i="7"/>
  <c r="H81" i="7" s="1"/>
  <c r="M80" i="7"/>
  <c r="G80" i="7"/>
  <c r="H80" i="7" s="1"/>
  <c r="M79" i="7"/>
  <c r="G79" i="7"/>
  <c r="H79" i="7" s="1"/>
  <c r="M78" i="7"/>
  <c r="G78" i="7"/>
  <c r="H78" i="7" s="1"/>
  <c r="M77" i="7"/>
  <c r="G77" i="7"/>
  <c r="H77" i="7" s="1"/>
  <c r="M76" i="7"/>
  <c r="G76" i="7"/>
  <c r="H76" i="7" s="1"/>
  <c r="M75" i="7"/>
  <c r="G75" i="7"/>
  <c r="H75" i="7" s="1"/>
  <c r="M74" i="7"/>
  <c r="G74" i="7"/>
  <c r="H74" i="7" s="1"/>
  <c r="M73" i="7"/>
  <c r="G73" i="7"/>
  <c r="H73" i="7" s="1"/>
  <c r="M72" i="7"/>
  <c r="G72" i="7"/>
  <c r="H72" i="7" s="1"/>
  <c r="M71" i="7"/>
  <c r="G71" i="7"/>
  <c r="H71" i="7" s="1"/>
  <c r="M70" i="7"/>
  <c r="G70" i="7"/>
  <c r="H70" i="7" s="1"/>
  <c r="M69" i="7"/>
  <c r="G69" i="7"/>
  <c r="H69" i="7" s="1"/>
  <c r="M68" i="7"/>
  <c r="G68" i="7"/>
  <c r="H68" i="7" s="1"/>
  <c r="M67" i="7"/>
  <c r="G67" i="7"/>
  <c r="H67" i="7" s="1"/>
  <c r="M66" i="7"/>
  <c r="G66" i="7"/>
  <c r="H66" i="7" s="1"/>
  <c r="M65" i="7"/>
  <c r="G65" i="7"/>
  <c r="H65" i="7" s="1"/>
  <c r="M64" i="7"/>
  <c r="G64" i="7"/>
  <c r="H64" i="7" s="1"/>
  <c r="M63" i="7"/>
  <c r="G63" i="7"/>
  <c r="H63" i="7" s="1"/>
  <c r="M62" i="7"/>
  <c r="G62" i="7"/>
  <c r="H62" i="7" s="1"/>
  <c r="M61" i="7"/>
  <c r="G61" i="7"/>
  <c r="H61" i="7" s="1"/>
  <c r="M60" i="7"/>
  <c r="G60" i="7"/>
  <c r="H60" i="7" s="1"/>
  <c r="M59" i="7"/>
  <c r="G59" i="7"/>
  <c r="H59" i="7" s="1"/>
  <c r="M58" i="7"/>
  <c r="G58" i="7"/>
  <c r="H58" i="7" s="1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M33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W33" i="7"/>
  <c r="X33" i="7" s="1"/>
  <c r="W32" i="7"/>
  <c r="X32" i="7" s="1"/>
  <c r="W31" i="7"/>
  <c r="X31" i="7" s="1"/>
  <c r="W30" i="7"/>
  <c r="X30" i="7" s="1"/>
  <c r="W29" i="7"/>
  <c r="X29" i="7" s="1"/>
  <c r="W28" i="7"/>
  <c r="X28" i="7" s="1"/>
  <c r="W27" i="7"/>
  <c r="X27" i="7" s="1"/>
  <c r="W26" i="7"/>
  <c r="X26" i="7" s="1"/>
  <c r="W25" i="7"/>
  <c r="X25" i="7" s="1"/>
  <c r="W24" i="7"/>
  <c r="X24" i="7" s="1"/>
  <c r="W23" i="7"/>
  <c r="X23" i="7" s="1"/>
  <c r="W22" i="7"/>
  <c r="X22" i="7" s="1"/>
  <c r="W21" i="7"/>
  <c r="X21" i="7" s="1"/>
  <c r="W20" i="7"/>
  <c r="X20" i="7" s="1"/>
  <c r="W19" i="7"/>
  <c r="X19" i="7" s="1"/>
  <c r="W18" i="7"/>
  <c r="W17" i="7"/>
  <c r="X17" i="7" s="1"/>
  <c r="W16" i="7"/>
  <c r="W15" i="7"/>
  <c r="X15" i="7" s="1"/>
  <c r="W14" i="7"/>
  <c r="X14" i="7" s="1"/>
  <c r="W13" i="7"/>
  <c r="X13" i="7" s="1"/>
  <c r="W12" i="7"/>
  <c r="X12" i="7" s="1"/>
  <c r="W11" i="7"/>
  <c r="X11" i="7" s="1"/>
  <c r="W10" i="7"/>
  <c r="X10" i="7" s="1"/>
  <c r="W9" i="7"/>
  <c r="X9" i="7" s="1"/>
  <c r="W8" i="7"/>
  <c r="X8" i="7" s="1"/>
  <c r="W7" i="7"/>
  <c r="X7" i="7" s="1"/>
  <c r="W6" i="7"/>
  <c r="X6" i="7" s="1"/>
  <c r="W5" i="7"/>
  <c r="X5" i="7" s="1"/>
  <c r="AC4" i="7"/>
  <c r="W4" i="7"/>
  <c r="X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M4" i="7"/>
  <c r="G4" i="7"/>
  <c r="H4" i="7" s="1"/>
  <c r="O29" i="7" l="1"/>
  <c r="P29" i="7" s="1"/>
  <c r="O25" i="7"/>
  <c r="P25" i="7" s="1"/>
  <c r="O21" i="7"/>
  <c r="P21" i="7" s="1"/>
  <c r="O17" i="7"/>
  <c r="P17" i="7" s="1"/>
  <c r="O13" i="7"/>
  <c r="P13" i="7" s="1"/>
  <c r="O9" i="7"/>
  <c r="P9" i="7" s="1"/>
  <c r="O5" i="7"/>
  <c r="P5" i="7" s="1"/>
  <c r="O58" i="7"/>
  <c r="P58" i="7" s="1"/>
  <c r="O60" i="7"/>
  <c r="P60" i="7" s="1"/>
  <c r="O62" i="7"/>
  <c r="P62" i="7" s="1"/>
  <c r="O64" i="7"/>
  <c r="P64" i="7" s="1"/>
  <c r="O66" i="7"/>
  <c r="P66" i="7" s="1"/>
  <c r="O68" i="7"/>
  <c r="P68" i="7" s="1"/>
  <c r="O70" i="7"/>
  <c r="P70" i="7" s="1"/>
  <c r="O72" i="7"/>
  <c r="P72" i="7" s="1"/>
  <c r="O74" i="7"/>
  <c r="P74" i="7" s="1"/>
  <c r="O76" i="7"/>
  <c r="P76" i="7" s="1"/>
  <c r="O78" i="7"/>
  <c r="P78" i="7" s="1"/>
  <c r="O80" i="7"/>
  <c r="P80" i="7" s="1"/>
  <c r="O82" i="7"/>
  <c r="P82" i="7" s="1"/>
  <c r="O84" i="7"/>
  <c r="P84" i="7" s="1"/>
  <c r="AE58" i="7"/>
  <c r="AF58" i="7" s="1"/>
  <c r="AE60" i="7"/>
  <c r="AF60" i="7" s="1"/>
  <c r="AE62" i="7"/>
  <c r="AF62" i="7" s="1"/>
  <c r="AE64" i="7"/>
  <c r="AF64" i="7" s="1"/>
  <c r="AE66" i="7"/>
  <c r="AF66" i="7" s="1"/>
  <c r="AE68" i="7"/>
  <c r="AF68" i="7" s="1"/>
  <c r="AE70" i="7"/>
  <c r="AF70" i="7" s="1"/>
  <c r="AE72" i="7"/>
  <c r="AF72" i="7" s="1"/>
  <c r="AE74" i="7"/>
  <c r="AF74" i="7" s="1"/>
  <c r="AE76" i="7"/>
  <c r="AF76" i="7" s="1"/>
  <c r="AE78" i="7"/>
  <c r="AF78" i="7" s="1"/>
  <c r="AE80" i="7"/>
  <c r="AF80" i="7" s="1"/>
  <c r="AE82" i="7"/>
  <c r="AF82" i="7" s="1"/>
  <c r="AE84" i="7"/>
  <c r="AF84" i="7" s="1"/>
  <c r="AE86" i="7"/>
  <c r="AF86" i="7" s="1"/>
  <c r="O114" i="7"/>
  <c r="P114" i="7" s="1"/>
  <c r="O116" i="7"/>
  <c r="P116" i="7" s="1"/>
  <c r="O118" i="7"/>
  <c r="P118" i="7" s="1"/>
  <c r="O120" i="7"/>
  <c r="P120" i="7" s="1"/>
  <c r="O122" i="7"/>
  <c r="P122" i="7" s="1"/>
  <c r="O124" i="7"/>
  <c r="P124" i="7" s="1"/>
  <c r="O126" i="7"/>
  <c r="P126" i="7" s="1"/>
  <c r="O128" i="7"/>
  <c r="P128" i="7" s="1"/>
  <c r="O130" i="7"/>
  <c r="P130" i="7" s="1"/>
  <c r="O132" i="7"/>
  <c r="P132" i="7" s="1"/>
  <c r="O134" i="7"/>
  <c r="P134" i="7" s="1"/>
  <c r="O136" i="7"/>
  <c r="P136" i="7" s="1"/>
  <c r="O138" i="7"/>
  <c r="P138" i="7" s="1"/>
  <c r="O140" i="7"/>
  <c r="P140" i="7" s="1"/>
  <c r="O142" i="7"/>
  <c r="P142" i="7" s="1"/>
  <c r="AE114" i="7"/>
  <c r="AF114" i="7" s="1"/>
  <c r="AE116" i="7"/>
  <c r="AF116" i="7" s="1"/>
  <c r="AE118" i="7"/>
  <c r="AF118" i="7" s="1"/>
  <c r="AE120" i="7"/>
  <c r="AF120" i="7" s="1"/>
  <c r="AE122" i="7"/>
  <c r="AF122" i="7" s="1"/>
  <c r="AE124" i="7"/>
  <c r="AF124" i="7" s="1"/>
  <c r="AE126" i="7"/>
  <c r="AF126" i="7" s="1"/>
  <c r="AE128" i="7"/>
  <c r="AF128" i="7" s="1"/>
  <c r="AE130" i="7"/>
  <c r="AF130" i="7" s="1"/>
  <c r="AE132" i="7"/>
  <c r="AF132" i="7" s="1"/>
  <c r="AE134" i="7"/>
  <c r="AF134" i="7" s="1"/>
  <c r="AE136" i="7"/>
  <c r="AF136" i="7" s="1"/>
  <c r="AE138" i="7"/>
  <c r="AF138" i="7" s="1"/>
  <c r="AE140" i="7"/>
  <c r="AF140" i="7" s="1"/>
  <c r="AE142" i="7"/>
  <c r="AF142" i="7" s="1"/>
  <c r="AE169" i="7"/>
  <c r="AF169" i="7" s="1"/>
  <c r="AE171" i="7"/>
  <c r="AF171" i="7" s="1"/>
  <c r="AE173" i="7"/>
  <c r="AF173" i="7" s="1"/>
  <c r="AE175" i="7"/>
  <c r="AF175" i="7" s="1"/>
  <c r="AE177" i="7"/>
  <c r="AF177" i="7" s="1"/>
  <c r="AE179" i="7"/>
  <c r="AF179" i="7" s="1"/>
  <c r="AE181" i="7"/>
  <c r="AF181" i="7" s="1"/>
  <c r="AE183" i="7"/>
  <c r="AF183" i="7" s="1"/>
  <c r="AE185" i="7"/>
  <c r="AF185" i="7" s="1"/>
  <c r="AE187" i="7"/>
  <c r="AF187" i="7" s="1"/>
  <c r="AE189" i="7"/>
  <c r="AF189" i="7" s="1"/>
  <c r="AE191" i="7"/>
  <c r="AF191" i="7" s="1"/>
  <c r="AE193" i="7"/>
  <c r="AF193" i="7" s="1"/>
  <c r="AE195" i="7"/>
  <c r="AF195" i="7" s="1"/>
  <c r="AE197" i="7"/>
  <c r="AF197" i="7" s="1"/>
  <c r="AE224" i="7"/>
  <c r="AF224" i="7" s="1"/>
  <c r="AE226" i="7"/>
  <c r="AF226" i="7" s="1"/>
  <c r="AE228" i="7"/>
  <c r="AF228" i="7" s="1"/>
  <c r="AE230" i="7"/>
  <c r="AF230" i="7" s="1"/>
  <c r="AE232" i="7"/>
  <c r="AF232" i="7" s="1"/>
  <c r="AE234" i="7"/>
  <c r="AF234" i="7" s="1"/>
  <c r="AE236" i="7"/>
  <c r="AF236" i="7" s="1"/>
  <c r="AE238" i="7"/>
  <c r="AF238" i="7" s="1"/>
  <c r="AE240" i="7"/>
  <c r="AF240" i="7" s="1"/>
  <c r="AE242" i="7"/>
  <c r="AF242" i="7" s="1"/>
  <c r="AE244" i="7"/>
  <c r="AF244" i="7" s="1"/>
  <c r="O4" i="7"/>
  <c r="P4" i="7" s="1"/>
  <c r="O31" i="7"/>
  <c r="P31" i="7" s="1"/>
  <c r="O27" i="7"/>
  <c r="P27" i="7" s="1"/>
  <c r="O23" i="7"/>
  <c r="P23" i="7" s="1"/>
  <c r="O19" i="7"/>
  <c r="P19" i="7" s="1"/>
  <c r="O15" i="7"/>
  <c r="P15" i="7" s="1"/>
  <c r="O11" i="7"/>
  <c r="P11" i="7" s="1"/>
  <c r="O7" i="7"/>
  <c r="P7" i="7" s="1"/>
  <c r="AE33" i="7"/>
  <c r="AF33" i="7" s="1"/>
  <c r="AE29" i="7"/>
  <c r="AF29" i="7" s="1"/>
  <c r="AE25" i="7"/>
  <c r="AF25" i="7" s="1"/>
  <c r="AE21" i="7"/>
  <c r="AF21" i="7" s="1"/>
  <c r="AE17" i="7"/>
  <c r="AF17" i="7" s="1"/>
  <c r="AE13" i="7"/>
  <c r="AF13" i="7" s="1"/>
  <c r="AE9" i="7"/>
  <c r="AF9" i="7" s="1"/>
  <c r="AE5" i="7"/>
  <c r="AF5" i="7" s="1"/>
  <c r="O59" i="7"/>
  <c r="P59" i="7" s="1"/>
  <c r="O61" i="7"/>
  <c r="P61" i="7" s="1"/>
  <c r="O63" i="7"/>
  <c r="P63" i="7" s="1"/>
  <c r="O65" i="7"/>
  <c r="P65" i="7" s="1"/>
  <c r="O67" i="7"/>
  <c r="P67" i="7" s="1"/>
  <c r="O69" i="7"/>
  <c r="P69" i="7" s="1"/>
  <c r="O71" i="7"/>
  <c r="P71" i="7" s="1"/>
  <c r="O73" i="7"/>
  <c r="P73" i="7" s="1"/>
  <c r="O75" i="7"/>
  <c r="P75" i="7" s="1"/>
  <c r="O77" i="7"/>
  <c r="P77" i="7" s="1"/>
  <c r="O79" i="7"/>
  <c r="P79" i="7" s="1"/>
  <c r="O81" i="7"/>
  <c r="P81" i="7" s="1"/>
  <c r="AE59" i="7"/>
  <c r="AF59" i="7" s="1"/>
  <c r="AE61" i="7"/>
  <c r="AF61" i="7" s="1"/>
  <c r="AE63" i="7"/>
  <c r="AF63" i="7" s="1"/>
  <c r="AE65" i="7"/>
  <c r="AF65" i="7" s="1"/>
  <c r="AE67" i="7"/>
  <c r="AF67" i="7" s="1"/>
  <c r="AE69" i="7"/>
  <c r="AF69" i="7" s="1"/>
  <c r="AE71" i="7"/>
  <c r="AF71" i="7" s="1"/>
  <c r="AE73" i="7"/>
  <c r="AF73" i="7" s="1"/>
  <c r="AE75" i="7"/>
  <c r="AF75" i="7" s="1"/>
  <c r="AE77" i="7"/>
  <c r="AF77" i="7" s="1"/>
  <c r="AE79" i="7"/>
  <c r="AF79" i="7" s="1"/>
  <c r="AE81" i="7"/>
  <c r="AF81" i="7" s="1"/>
  <c r="AE83" i="7"/>
  <c r="AF83" i="7" s="1"/>
  <c r="AE85" i="7"/>
  <c r="AF85" i="7" s="1"/>
  <c r="AE87" i="7"/>
  <c r="AF87" i="7" s="1"/>
  <c r="O115" i="7"/>
  <c r="P115" i="7" s="1"/>
  <c r="O117" i="7"/>
  <c r="P117" i="7" s="1"/>
  <c r="O119" i="7"/>
  <c r="P119" i="7" s="1"/>
  <c r="O121" i="7"/>
  <c r="P121" i="7" s="1"/>
  <c r="O123" i="7"/>
  <c r="P123" i="7" s="1"/>
  <c r="O125" i="7"/>
  <c r="P125" i="7" s="1"/>
  <c r="O127" i="7"/>
  <c r="P127" i="7" s="1"/>
  <c r="O129" i="7"/>
  <c r="P129" i="7" s="1"/>
  <c r="O131" i="7"/>
  <c r="P131" i="7" s="1"/>
  <c r="O133" i="7"/>
  <c r="P133" i="7" s="1"/>
  <c r="O135" i="7"/>
  <c r="P135" i="7" s="1"/>
  <c r="O137" i="7"/>
  <c r="P137" i="7" s="1"/>
  <c r="O139" i="7"/>
  <c r="P139" i="7" s="1"/>
  <c r="O141" i="7"/>
  <c r="P141" i="7" s="1"/>
  <c r="O143" i="7"/>
  <c r="P143" i="7" s="1"/>
  <c r="AE115" i="7"/>
  <c r="AF115" i="7" s="1"/>
  <c r="AE117" i="7"/>
  <c r="AF117" i="7" s="1"/>
  <c r="AE119" i="7"/>
  <c r="AF119" i="7" s="1"/>
  <c r="AE121" i="7"/>
  <c r="AF121" i="7" s="1"/>
  <c r="AE123" i="7"/>
  <c r="AF123" i="7" s="1"/>
  <c r="AE125" i="7"/>
  <c r="AF125" i="7" s="1"/>
  <c r="AE127" i="7"/>
  <c r="AF127" i="7" s="1"/>
  <c r="AE129" i="7"/>
  <c r="AF129" i="7" s="1"/>
  <c r="AE131" i="7"/>
  <c r="AF131" i="7" s="1"/>
  <c r="AE133" i="7"/>
  <c r="AF133" i="7" s="1"/>
  <c r="AE135" i="7"/>
  <c r="AF135" i="7" s="1"/>
  <c r="AE137" i="7"/>
  <c r="AF137" i="7" s="1"/>
  <c r="AE139" i="7"/>
  <c r="AF139" i="7" s="1"/>
  <c r="AE141" i="7"/>
  <c r="AF141" i="7" s="1"/>
  <c r="AE143" i="7"/>
  <c r="AF143" i="7" s="1"/>
  <c r="AE170" i="7"/>
  <c r="AF170" i="7" s="1"/>
  <c r="AE172" i="7"/>
  <c r="AF172" i="7" s="1"/>
  <c r="AE174" i="7"/>
  <c r="AF174" i="7" s="1"/>
  <c r="AE176" i="7"/>
  <c r="AF176" i="7" s="1"/>
  <c r="AE178" i="7"/>
  <c r="AF178" i="7" s="1"/>
  <c r="AE180" i="7"/>
  <c r="AF180" i="7" s="1"/>
  <c r="AE182" i="7"/>
  <c r="AF182" i="7" s="1"/>
  <c r="AE184" i="7"/>
  <c r="AF184" i="7" s="1"/>
  <c r="AE186" i="7"/>
  <c r="AF186" i="7" s="1"/>
  <c r="AE188" i="7"/>
  <c r="AF188" i="7" s="1"/>
  <c r="AE190" i="7"/>
  <c r="AF190" i="7" s="1"/>
  <c r="AE192" i="7"/>
  <c r="AF192" i="7" s="1"/>
  <c r="AE194" i="7"/>
  <c r="AF194" i="7" s="1"/>
  <c r="AE196" i="7"/>
  <c r="AF196" i="7" s="1"/>
  <c r="AE198" i="7"/>
  <c r="AF198" i="7" s="1"/>
  <c r="AE225" i="7"/>
  <c r="AF225" i="7" s="1"/>
  <c r="AE227" i="7"/>
  <c r="AF227" i="7" s="1"/>
  <c r="AE229" i="7"/>
  <c r="AF229" i="7" s="1"/>
  <c r="AE231" i="7"/>
  <c r="AF231" i="7" s="1"/>
  <c r="AE233" i="7"/>
  <c r="AF233" i="7" s="1"/>
  <c r="AE235" i="7"/>
  <c r="AF235" i="7" s="1"/>
  <c r="AE237" i="7"/>
  <c r="AF237" i="7" s="1"/>
  <c r="AE239" i="7"/>
  <c r="AF239" i="7" s="1"/>
  <c r="AE241" i="7"/>
  <c r="AF241" i="7" s="1"/>
  <c r="AE243" i="7"/>
  <c r="AF243" i="7" s="1"/>
  <c r="AE245" i="7"/>
  <c r="AF245" i="7" s="1"/>
  <c r="AE247" i="7"/>
  <c r="AF247" i="7" s="1"/>
  <c r="AE249" i="7"/>
  <c r="AF249" i="7" s="1"/>
  <c r="AE251" i="7"/>
  <c r="AF251" i="7" s="1"/>
  <c r="AE253" i="7"/>
  <c r="AF253" i="7" s="1"/>
  <c r="AE4" i="7"/>
  <c r="AF4" i="7" s="1"/>
  <c r="O30" i="7"/>
  <c r="P30" i="7" s="1"/>
  <c r="O26" i="7"/>
  <c r="P26" i="7" s="1"/>
  <c r="O22" i="7"/>
  <c r="P22" i="7" s="1"/>
  <c r="O18" i="7"/>
  <c r="P18" i="7" s="1"/>
  <c r="AE31" i="7"/>
  <c r="AF31" i="7" s="1"/>
  <c r="AE23" i="7"/>
  <c r="AF23" i="7" s="1"/>
  <c r="AE11" i="7"/>
  <c r="AF11" i="7" s="1"/>
  <c r="AE27" i="7"/>
  <c r="AF27" i="7" s="1"/>
  <c r="AE19" i="7"/>
  <c r="AF19" i="7" s="1"/>
  <c r="AE15" i="7"/>
  <c r="AF15" i="7" s="1"/>
  <c r="AE7" i="7"/>
  <c r="AF7" i="7" s="1"/>
  <c r="O32" i="7"/>
  <c r="P32" i="7" s="1"/>
  <c r="O28" i="7"/>
  <c r="P28" i="7" s="1"/>
  <c r="O24" i="7"/>
  <c r="P24" i="7" s="1"/>
  <c r="O20" i="7"/>
  <c r="P20" i="7" s="1"/>
  <c r="O16" i="7"/>
  <c r="P16" i="7" s="1"/>
  <c r="O14" i="7"/>
  <c r="P14" i="7" s="1"/>
  <c r="O10" i="7"/>
  <c r="P10" i="7" s="1"/>
  <c r="O6" i="7"/>
  <c r="P6" i="7" s="1"/>
  <c r="AE32" i="7"/>
  <c r="AF32" i="7" s="1"/>
  <c r="AE28" i="7"/>
  <c r="AF28" i="7" s="1"/>
  <c r="AE24" i="7"/>
  <c r="AF24" i="7" s="1"/>
  <c r="AE20" i="7"/>
  <c r="AF20" i="7" s="1"/>
  <c r="AE16" i="7"/>
  <c r="AF16" i="7" s="1"/>
  <c r="AE12" i="7"/>
  <c r="AF12" i="7" s="1"/>
  <c r="AE8" i="7"/>
  <c r="AF8" i="7" s="1"/>
  <c r="O198" i="7"/>
  <c r="P198" i="7" s="1"/>
  <c r="O196" i="7"/>
  <c r="P196" i="7" s="1"/>
  <c r="O194" i="7"/>
  <c r="P194" i="7" s="1"/>
  <c r="O192" i="7"/>
  <c r="P192" i="7" s="1"/>
  <c r="O190" i="7"/>
  <c r="P190" i="7" s="1"/>
  <c r="O188" i="7"/>
  <c r="P188" i="7" s="1"/>
  <c r="O186" i="7"/>
  <c r="P186" i="7" s="1"/>
  <c r="O184" i="7"/>
  <c r="P184" i="7" s="1"/>
  <c r="O182" i="7"/>
  <c r="P182" i="7" s="1"/>
  <c r="O180" i="7"/>
  <c r="P180" i="7" s="1"/>
  <c r="O178" i="7"/>
  <c r="P178" i="7" s="1"/>
  <c r="O176" i="7"/>
  <c r="P176" i="7" s="1"/>
  <c r="O174" i="7"/>
  <c r="P174" i="7" s="1"/>
  <c r="O172" i="7"/>
  <c r="P172" i="7" s="1"/>
  <c r="O170" i="7"/>
  <c r="P170" i="7" s="1"/>
  <c r="AE246" i="7"/>
  <c r="AF246" i="7" s="1"/>
  <c r="AE248" i="7"/>
  <c r="AF248" i="7" s="1"/>
  <c r="AE250" i="7"/>
  <c r="AF250" i="7" s="1"/>
  <c r="AE252" i="7"/>
  <c r="AF252" i="7" s="1"/>
  <c r="O12" i="7"/>
  <c r="P12" i="7" s="1"/>
  <c r="O8" i="7"/>
  <c r="P8" i="7" s="1"/>
  <c r="O33" i="7"/>
  <c r="P33" i="7" s="1"/>
  <c r="AE30" i="7"/>
  <c r="AF30" i="7" s="1"/>
  <c r="AE26" i="7"/>
  <c r="AF26" i="7" s="1"/>
  <c r="AE22" i="7"/>
  <c r="AF22" i="7" s="1"/>
  <c r="AE18" i="7"/>
  <c r="AF18" i="7" s="1"/>
  <c r="AE14" i="7"/>
  <c r="AF14" i="7" s="1"/>
  <c r="AE10" i="7"/>
  <c r="AF10" i="7" s="1"/>
  <c r="AE6" i="7"/>
  <c r="AF6" i="7" s="1"/>
  <c r="O197" i="7"/>
  <c r="P197" i="7" s="1"/>
  <c r="O195" i="7"/>
  <c r="P195" i="7" s="1"/>
  <c r="O193" i="7"/>
  <c r="P193" i="7" s="1"/>
  <c r="O191" i="7"/>
  <c r="P191" i="7" s="1"/>
  <c r="O189" i="7"/>
  <c r="P189" i="7" s="1"/>
  <c r="O187" i="7"/>
  <c r="P187" i="7" s="1"/>
  <c r="O185" i="7"/>
  <c r="P185" i="7" s="1"/>
  <c r="O183" i="7"/>
  <c r="P183" i="7" s="1"/>
  <c r="O181" i="7"/>
  <c r="P181" i="7" s="1"/>
  <c r="O179" i="7"/>
  <c r="P179" i="7" s="1"/>
  <c r="O177" i="7"/>
  <c r="P177" i="7" s="1"/>
  <c r="O175" i="7"/>
  <c r="P175" i="7" s="1"/>
  <c r="O173" i="7"/>
  <c r="P173" i="7" s="1"/>
  <c r="O171" i="7"/>
  <c r="P171" i="7" s="1"/>
  <c r="O169" i="7"/>
  <c r="P169" i="7" s="1"/>
  <c r="N83" i="7"/>
  <c r="O83" i="7"/>
  <c r="P83" i="7" s="1"/>
  <c r="N87" i="7"/>
  <c r="O87" i="7"/>
  <c r="P87" i="7" s="1"/>
  <c r="N85" i="7"/>
  <c r="O85" i="7"/>
  <c r="P85" i="7" s="1"/>
  <c r="N86" i="7"/>
  <c r="O86" i="7"/>
  <c r="P86" i="7" s="1"/>
  <c r="N84" i="7"/>
  <c r="N82" i="7"/>
  <c r="N193" i="7"/>
  <c r="AD83" i="7"/>
  <c r="AD87" i="7"/>
  <c r="N73" i="7"/>
  <c r="O237" i="7"/>
  <c r="P237" i="7" s="1"/>
  <c r="O239" i="7"/>
  <c r="P239" i="7" s="1"/>
  <c r="O241" i="7"/>
  <c r="P241" i="7" s="1"/>
  <c r="O243" i="7"/>
  <c r="P243" i="7" s="1"/>
  <c r="O245" i="7"/>
  <c r="P245" i="7" s="1"/>
  <c r="O247" i="7"/>
  <c r="P247" i="7" s="1"/>
  <c r="O249" i="7"/>
  <c r="P249" i="7" s="1"/>
  <c r="O251" i="7"/>
  <c r="P251" i="7" s="1"/>
  <c r="O253" i="7"/>
  <c r="P253" i="7" s="1"/>
  <c r="N177" i="7"/>
  <c r="AD67" i="7"/>
  <c r="AD68" i="7"/>
  <c r="AD70" i="7"/>
  <c r="N197" i="7"/>
  <c r="N189" i="7"/>
  <c r="N183" i="7"/>
  <c r="AD244" i="7"/>
  <c r="N185" i="7"/>
  <c r="N181" i="7"/>
  <c r="N173" i="7"/>
  <c r="AD226" i="7"/>
  <c r="AD232" i="7"/>
  <c r="AD32" i="7"/>
  <c r="AD28" i="7"/>
  <c r="AD79" i="7"/>
  <c r="AD81" i="7"/>
  <c r="N169" i="7"/>
  <c r="AD242" i="7"/>
  <c r="N30" i="7"/>
  <c r="N26" i="7"/>
  <c r="N22" i="7"/>
  <c r="N18" i="7"/>
  <c r="N14" i="7"/>
  <c r="N10" i="7"/>
  <c r="N6" i="7"/>
  <c r="N192" i="7"/>
  <c r="N191" i="7"/>
  <c r="N176" i="7"/>
  <c r="N175" i="7"/>
  <c r="O228" i="7"/>
  <c r="P228" i="7" s="1"/>
  <c r="O230" i="7"/>
  <c r="P230" i="7" s="1"/>
  <c r="O234" i="7"/>
  <c r="P234" i="7" s="1"/>
  <c r="O238" i="7"/>
  <c r="P238" i="7" s="1"/>
  <c r="O242" i="7"/>
  <c r="P242" i="7" s="1"/>
  <c r="O244" i="7"/>
  <c r="P244" i="7" s="1"/>
  <c r="N29" i="7"/>
  <c r="N25" i="7"/>
  <c r="N21" i="7"/>
  <c r="N17" i="7"/>
  <c r="N13" i="7"/>
  <c r="N9" i="7"/>
  <c r="N5" i="7"/>
  <c r="AD30" i="7"/>
  <c r="AD26" i="7"/>
  <c r="AD22" i="7"/>
  <c r="AD14" i="7"/>
  <c r="AD10" i="7"/>
  <c r="AD6" i="7"/>
  <c r="AD84" i="7"/>
  <c r="N134" i="7"/>
  <c r="N194" i="7"/>
  <c r="N186" i="7"/>
  <c r="N178" i="7"/>
  <c r="N170" i="7"/>
  <c r="AD252" i="7"/>
  <c r="N32" i="7"/>
  <c r="N28" i="7"/>
  <c r="N24" i="7"/>
  <c r="N20" i="7"/>
  <c r="N16" i="7"/>
  <c r="N12" i="7"/>
  <c r="N8" i="7"/>
  <c r="N33" i="7"/>
  <c r="AD25" i="7"/>
  <c r="AD21" i="7"/>
  <c r="AD17" i="7"/>
  <c r="AD13" i="7"/>
  <c r="AD9" i="7"/>
  <c r="AD5" i="7"/>
  <c r="AD114" i="7"/>
  <c r="AD116" i="7"/>
  <c r="AD118" i="7"/>
  <c r="AD122" i="7"/>
  <c r="AD126" i="7"/>
  <c r="AD128" i="7"/>
  <c r="AD130" i="7"/>
  <c r="AD132" i="7"/>
  <c r="AD134" i="7"/>
  <c r="N196" i="7"/>
  <c r="N195" i="7"/>
  <c r="N188" i="7"/>
  <c r="N187" i="7"/>
  <c r="N184" i="7"/>
  <c r="N180" i="7"/>
  <c r="N179" i="7"/>
  <c r="N172" i="7"/>
  <c r="N171" i="7"/>
  <c r="AD234" i="7"/>
  <c r="AD238" i="7"/>
  <c r="N31" i="7"/>
  <c r="N27" i="7"/>
  <c r="N23" i="7"/>
  <c r="N19" i="7"/>
  <c r="N15" i="7"/>
  <c r="N11" i="7"/>
  <c r="N7" i="7"/>
  <c r="AD33" i="7"/>
  <c r="AD31" i="7"/>
  <c r="AD29" i="7"/>
  <c r="AD27" i="7"/>
  <c r="AD24" i="7"/>
  <c r="AD20" i="7"/>
  <c r="AD12" i="7"/>
  <c r="AD8" i="7"/>
  <c r="AD74" i="7"/>
  <c r="AD76" i="7"/>
  <c r="AD77" i="7"/>
  <c r="X85" i="7"/>
  <c r="AD85" i="7" s="1"/>
  <c r="N198" i="7"/>
  <c r="N190" i="7"/>
  <c r="N182" i="7"/>
  <c r="N174" i="7"/>
  <c r="N224" i="7"/>
  <c r="N236" i="7"/>
  <c r="O236" i="7"/>
  <c r="P236" i="7" s="1"/>
  <c r="N226" i="7"/>
  <c r="N232" i="7"/>
  <c r="O225" i="7"/>
  <c r="P225" i="7" s="1"/>
  <c r="O227" i="7"/>
  <c r="P227" i="7" s="1"/>
  <c r="O229" i="7"/>
  <c r="P229" i="7" s="1"/>
  <c r="O231" i="7"/>
  <c r="P231" i="7" s="1"/>
  <c r="O233" i="7"/>
  <c r="P233" i="7" s="1"/>
  <c r="O235" i="7"/>
  <c r="P235" i="7" s="1"/>
  <c r="AD224" i="7"/>
  <c r="AD225" i="7"/>
  <c r="AD227" i="7"/>
  <c r="AD228" i="7"/>
  <c r="AD229" i="7"/>
  <c r="AD230" i="7"/>
  <c r="AD231" i="7"/>
  <c r="AD233" i="7"/>
  <c r="AD235" i="7"/>
  <c r="AD236" i="7"/>
  <c r="AD237" i="7"/>
  <c r="AD239" i="7"/>
  <c r="AD240" i="7"/>
  <c r="AD241" i="7"/>
  <c r="AD243" i="7"/>
  <c r="AD245" i="7"/>
  <c r="AD246" i="7"/>
  <c r="AD247" i="7"/>
  <c r="AD248" i="7"/>
  <c r="AD249" i="7"/>
  <c r="AD250" i="7"/>
  <c r="AD251" i="7"/>
  <c r="AD253" i="7"/>
  <c r="N240" i="7"/>
  <c r="N246" i="7"/>
  <c r="N248" i="7"/>
  <c r="N250" i="7"/>
  <c r="N252" i="7"/>
  <c r="O224" i="7"/>
  <c r="P224" i="7" s="1"/>
  <c r="O226" i="7"/>
  <c r="P226" i="7" s="1"/>
  <c r="O232" i="7"/>
  <c r="P232" i="7" s="1"/>
  <c r="O240" i="7"/>
  <c r="P240" i="7" s="1"/>
  <c r="O246" i="7"/>
  <c r="P246" i="7" s="1"/>
  <c r="O248" i="7"/>
  <c r="P248" i="7" s="1"/>
  <c r="O250" i="7"/>
  <c r="P250" i="7" s="1"/>
  <c r="O252" i="7"/>
  <c r="P252" i="7" s="1"/>
  <c r="N225" i="7"/>
  <c r="N227" i="7"/>
  <c r="N228" i="7"/>
  <c r="N229" i="7"/>
  <c r="N230" i="7"/>
  <c r="N231" i="7"/>
  <c r="N233" i="7"/>
  <c r="N234" i="7"/>
  <c r="N235" i="7"/>
  <c r="N237" i="7"/>
  <c r="N238" i="7"/>
  <c r="N239" i="7"/>
  <c r="N241" i="7"/>
  <c r="N242" i="7"/>
  <c r="N243" i="7"/>
  <c r="N244" i="7"/>
  <c r="N245" i="7"/>
  <c r="N247" i="7"/>
  <c r="N249" i="7"/>
  <c r="N251" i="7"/>
  <c r="N253" i="7"/>
  <c r="AD179" i="7"/>
  <c r="AD193" i="7"/>
  <c r="AD197" i="7"/>
  <c r="AD173" i="7"/>
  <c r="AD189" i="7"/>
  <c r="AD195" i="7"/>
  <c r="AD169" i="7"/>
  <c r="AD170" i="7"/>
  <c r="AD171" i="7"/>
  <c r="AD172" i="7"/>
  <c r="AD174" i="7"/>
  <c r="AD175" i="7"/>
  <c r="AD176" i="7"/>
  <c r="AD177" i="7"/>
  <c r="AD178" i="7"/>
  <c r="AD180" i="7"/>
  <c r="AD181" i="7"/>
  <c r="AD182" i="7"/>
  <c r="AD183" i="7"/>
  <c r="AD184" i="7"/>
  <c r="AD185" i="7"/>
  <c r="AD186" i="7"/>
  <c r="AD187" i="7"/>
  <c r="AD188" i="7"/>
  <c r="AD190" i="7"/>
  <c r="AD191" i="7"/>
  <c r="AD192" i="7"/>
  <c r="AD194" i="7"/>
  <c r="AD196" i="7"/>
  <c r="AD198" i="7"/>
  <c r="AD136" i="7"/>
  <c r="AD138" i="7"/>
  <c r="AD142" i="7"/>
  <c r="AD123" i="7"/>
  <c r="AD127" i="7"/>
  <c r="AD129" i="7"/>
  <c r="AD133" i="7"/>
  <c r="AD140" i="7"/>
  <c r="AD135" i="7"/>
  <c r="AD141" i="7"/>
  <c r="AD143" i="7"/>
  <c r="AD115" i="7"/>
  <c r="AD117" i="7"/>
  <c r="AD120" i="7"/>
  <c r="AD121" i="7"/>
  <c r="AD124" i="7"/>
  <c r="AD125" i="7"/>
  <c r="AD131" i="7"/>
  <c r="AD137" i="7"/>
  <c r="AD139" i="7"/>
  <c r="AD119" i="7"/>
  <c r="N136" i="7"/>
  <c r="N138" i="7"/>
  <c r="N140" i="7"/>
  <c r="N142" i="7"/>
  <c r="N116" i="7"/>
  <c r="N120" i="7"/>
  <c r="N126" i="7"/>
  <c r="N130" i="7"/>
  <c r="N132" i="7"/>
  <c r="N114" i="7"/>
  <c r="N115" i="7"/>
  <c r="N117" i="7"/>
  <c r="N118" i="7"/>
  <c r="N119" i="7"/>
  <c r="N121" i="7"/>
  <c r="N122" i="7"/>
  <c r="N123" i="7"/>
  <c r="N124" i="7"/>
  <c r="N125" i="7"/>
  <c r="N127" i="7"/>
  <c r="N128" i="7"/>
  <c r="N129" i="7"/>
  <c r="N131" i="7"/>
  <c r="N133" i="7"/>
  <c r="N135" i="7"/>
  <c r="N137" i="7"/>
  <c r="N139" i="7"/>
  <c r="N141" i="7"/>
  <c r="N143" i="7"/>
  <c r="AD59" i="7"/>
  <c r="AD65" i="7"/>
  <c r="AD72" i="7"/>
  <c r="AD80" i="7"/>
  <c r="AD58" i="7"/>
  <c r="AD60" i="7"/>
  <c r="X61" i="7"/>
  <c r="AD61" i="7" s="1"/>
  <c r="AD62" i="7"/>
  <c r="X63" i="7"/>
  <c r="AD63" i="7" s="1"/>
  <c r="AD64" i="7"/>
  <c r="AD66" i="7"/>
  <c r="AD69" i="7"/>
  <c r="AD71" i="7"/>
  <c r="AD73" i="7"/>
  <c r="AD75" i="7"/>
  <c r="AD78" i="7"/>
  <c r="AD82" i="7"/>
  <c r="AD86" i="7"/>
  <c r="N64" i="7"/>
  <c r="N75" i="7"/>
  <c r="N79" i="7"/>
  <c r="N66" i="7"/>
  <c r="N68" i="7"/>
  <c r="N70" i="7"/>
  <c r="N77" i="7"/>
  <c r="N81" i="7"/>
  <c r="N72" i="7"/>
  <c r="N61" i="7"/>
  <c r="N63" i="7"/>
  <c r="N65" i="7"/>
  <c r="N67" i="7"/>
  <c r="N69" i="7"/>
  <c r="N71" i="7"/>
  <c r="N74" i="7"/>
  <c r="N76" i="7"/>
  <c r="N78" i="7"/>
  <c r="N80" i="7"/>
  <c r="N58" i="7"/>
  <c r="N62" i="7"/>
  <c r="N59" i="7"/>
  <c r="N60" i="7"/>
  <c r="AD11" i="7"/>
  <c r="AD23" i="7"/>
  <c r="AD19" i="7"/>
  <c r="AD15" i="7"/>
  <c r="AD7" i="7"/>
  <c r="N4" i="7"/>
  <c r="AD4" i="7"/>
  <c r="X16" i="7"/>
  <c r="AD16" i="7" s="1"/>
  <c r="X18" i="7"/>
  <c r="AD18" i="7" s="1"/>
  <c r="M7" i="6" l="1"/>
  <c r="M9" i="6"/>
  <c r="M5" i="6"/>
  <c r="M10" i="6"/>
  <c r="M8" i="6"/>
  <c r="M11" i="6"/>
  <c r="M6" i="6"/>
</calcChain>
</file>

<file path=xl/sharedStrings.xml><?xml version="1.0" encoding="utf-8"?>
<sst xmlns="http://schemas.openxmlformats.org/spreadsheetml/2006/main" count="7169" uniqueCount="105">
  <si>
    <t>TABLE:  Element Forces - Frames</t>
  </si>
  <si>
    <t>Frame</t>
  </si>
  <si>
    <t>Station</t>
  </si>
  <si>
    <t>StepType</t>
  </si>
  <si>
    <t>V2</t>
  </si>
  <si>
    <t>M3</t>
  </si>
  <si>
    <t>Text</t>
  </si>
  <si>
    <t>m</t>
  </si>
  <si>
    <t>KN</t>
  </si>
  <si>
    <t>KN-m</t>
  </si>
  <si>
    <t>21</t>
  </si>
  <si>
    <t>Max</t>
  </si>
  <si>
    <t>Min</t>
  </si>
  <si>
    <t>22</t>
  </si>
  <si>
    <t>23</t>
  </si>
  <si>
    <t>24</t>
  </si>
  <si>
    <t>57</t>
  </si>
  <si>
    <t>58</t>
  </si>
  <si>
    <t>59</t>
  </si>
  <si>
    <t>60</t>
  </si>
  <si>
    <t>b</t>
  </si>
  <si>
    <t>h</t>
  </si>
  <si>
    <t>mm</t>
  </si>
  <si>
    <t>As</t>
  </si>
  <si>
    <t>mm^2</t>
  </si>
  <si>
    <t>d</t>
  </si>
  <si>
    <t>$\phi$</t>
  </si>
  <si>
    <t>$n \phi$</t>
  </si>
  <si>
    <t>-</t>
  </si>
  <si>
    <t>MAX</t>
  </si>
  <si>
    <t>MIN</t>
  </si>
  <si>
    <t>Mrd</t>
  </si>
  <si>
    <t>MEd/Mrd</t>
  </si>
  <si>
    <t>Med/Mrd</t>
  </si>
  <si>
    <t>OutputCase</t>
  </si>
  <si>
    <t>159</t>
  </si>
  <si>
    <t>FONDA+SLV</t>
  </si>
  <si>
    <t>160</t>
  </si>
  <si>
    <t>161</t>
  </si>
  <si>
    <t>171</t>
  </si>
  <si>
    <t>172</t>
  </si>
  <si>
    <t>173</t>
  </si>
  <si>
    <t>183</t>
  </si>
  <si>
    <t>184</t>
  </si>
  <si>
    <t>185</t>
  </si>
  <si>
    <t>195</t>
  </si>
  <si>
    <t>196</t>
  </si>
  <si>
    <t>197</t>
  </si>
  <si>
    <t>207</t>
  </si>
  <si>
    <t>208</t>
  </si>
  <si>
    <t>209</t>
  </si>
  <si>
    <t>153</t>
  </si>
  <si>
    <t>154</t>
  </si>
  <si>
    <t>155</t>
  </si>
  <si>
    <t>165</t>
  </si>
  <si>
    <t>166</t>
  </si>
  <si>
    <t>167</t>
  </si>
  <si>
    <t>177</t>
  </si>
  <si>
    <t>178</t>
  </si>
  <si>
    <t>179</t>
  </si>
  <si>
    <t>189</t>
  </si>
  <si>
    <t>190</t>
  </si>
  <si>
    <t>191</t>
  </si>
  <si>
    <t>201</t>
  </si>
  <si>
    <t>202</t>
  </si>
  <si>
    <t>203</t>
  </si>
  <si>
    <t>150</t>
  </si>
  <si>
    <t>151</t>
  </si>
  <si>
    <t>152</t>
  </si>
  <si>
    <t>162</t>
  </si>
  <si>
    <t>163</t>
  </si>
  <si>
    <t>164</t>
  </si>
  <si>
    <t>174</t>
  </si>
  <si>
    <t>175</t>
  </si>
  <si>
    <t>176</t>
  </si>
  <si>
    <t>186</t>
  </si>
  <si>
    <t>187</t>
  </si>
  <si>
    <t>188</t>
  </si>
  <si>
    <t>198</t>
  </si>
  <si>
    <t>199</t>
  </si>
  <si>
    <t>200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</si>
  <si>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</si>
  <si>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</si>
  <si>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</si>
  <si>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</si>
  <si>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</si>
  <si>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</si>
  <si>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</si>
  <si>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</si>
  <si>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</si>
  <si>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</si>
  <si>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</si>
  <si>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</si>
  <si>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$f_{yk}$</t>
  </si>
  <si>
    <t>N/mm^2</t>
  </si>
  <si>
    <t>$f_{yd}$</t>
  </si>
  <si>
    <t>$A_s$</t>
  </si>
  <si>
    <t>$A_s-A_s^{comp}$</t>
  </si>
  <si>
    <t>$\rho_{min}$</t>
  </si>
  <si>
    <t>$\rho_{comp}$</t>
  </si>
  <si>
    <t>Nelle zone dissipative</t>
  </si>
  <si>
    <t>s1</t>
  </si>
  <si>
    <t>s2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</si>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</sst>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3" xfId="0" applyFill="1" applyBorder="1" applyAlignment="1"/>
    <xf numFmtId="164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0" fontId="0" fillId="0" borderId="6" xfId="0" applyBorder="1"/>
    <xf numFmtId="2" fontId="0" fillId="0" borderId="4" xfId="0" applyNumberFormat="1" applyBorder="1"/>
    <xf numFmtId="2" fontId="0" fillId="0" borderId="0" xfId="0" applyNumberFormat="1"/>
    <xf numFmtId="0" fontId="0" fillId="4" borderId="4" xfId="0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2" fontId="0" fillId="0" borderId="0" xfId="0" applyNumberFormat="1" applyBorder="1" applyAlignment="1">
      <alignment horizontal="center"/>
    </xf>
    <xf numFmtId="0" fontId="0" fillId="5" borderId="4" xfId="0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4" xfId="0" applyNumberFormat="1" applyFill="1" applyBorder="1" applyAlignment="1">
      <alignment horizontal="center"/>
    </xf>
    <xf numFmtId="164" fontId="0" fillId="0" borderId="4" xfId="0" applyNumberFormat="1" applyBorder="1"/>
    <xf numFmtId="164" fontId="0" fillId="0" borderId="0" xfId="0" applyNumberFormat="1"/>
    <xf numFmtId="0" fontId="0" fillId="3" borderId="7" xfId="0" applyFill="1" applyBorder="1" applyAlignment="1">
      <alignment horizontal="center"/>
    </xf>
  </cellXfs>
  <cellStyles count="1">
    <cellStyle name="Normale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A2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a spessore" -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(P1)'!$B$4:$B$42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(P1)'!$C$4:$C$42</c:f>
              <c:numCache>
                <c:formatCode>General</c:formatCode>
                <c:ptCount val="39"/>
                <c:pt idx="0">
                  <c:v>24.2044</c:v>
                </c:pt>
                <c:pt idx="1">
                  <c:v>19.852799999999998</c:v>
                </c:pt>
                <c:pt idx="2">
                  <c:v>14.8139</c:v>
                </c:pt>
                <c:pt idx="3">
                  <c:v>9.0876999999999999</c:v>
                </c:pt>
                <c:pt idx="4">
                  <c:v>2.6745999999999999</c:v>
                </c:pt>
                <c:pt idx="5">
                  <c:v>7.7134999999999998</c:v>
                </c:pt>
                <c:pt idx="6">
                  <c:v>13.542899999999999</c:v>
                </c:pt>
                <c:pt idx="7">
                  <c:v>18.684999999999999</c:v>
                </c:pt>
                <c:pt idx="8">
                  <c:v>23.139800000000001</c:v>
                </c:pt>
                <c:pt idx="9">
                  <c:v>21.755600000000001</c:v>
                </c:pt>
                <c:pt idx="10">
                  <c:v>17.7332</c:v>
                </c:pt>
                <c:pt idx="11">
                  <c:v>13.0235</c:v>
                </c:pt>
                <c:pt idx="12">
                  <c:v>7.6265000000000001</c:v>
                </c:pt>
                <c:pt idx="13">
                  <c:v>1.9572000000000001</c:v>
                </c:pt>
                <c:pt idx="14">
                  <c:v>8.0629000000000008</c:v>
                </c:pt>
                <c:pt idx="15">
                  <c:v>13.4815</c:v>
                </c:pt>
                <c:pt idx="16">
                  <c:v>18.212800000000001</c:v>
                </c:pt>
                <c:pt idx="17">
                  <c:v>22.256799999999998</c:v>
                </c:pt>
                <c:pt idx="18">
                  <c:v>12.5067</c:v>
                </c:pt>
                <c:pt idx="19">
                  <c:v>12.439</c:v>
                </c:pt>
                <c:pt idx="20">
                  <c:v>11.683999999999999</c:v>
                </c:pt>
                <c:pt idx="21">
                  <c:v>10.2417</c:v>
                </c:pt>
                <c:pt idx="22">
                  <c:v>8.1120000000000001</c:v>
                </c:pt>
                <c:pt idx="23">
                  <c:v>5.2950999999999997</c:v>
                </c:pt>
                <c:pt idx="24">
                  <c:v>5.2447999999999997</c:v>
                </c:pt>
                <c:pt idx="25">
                  <c:v>8.0657999999999994</c:v>
                </c:pt>
                <c:pt idx="26">
                  <c:v>10.1996</c:v>
                </c:pt>
                <c:pt idx="27">
                  <c:v>11.646000000000001</c:v>
                </c:pt>
                <c:pt idx="28">
                  <c:v>12.405200000000001</c:v>
                </c:pt>
                <c:pt idx="29">
                  <c:v>12.477</c:v>
                </c:pt>
                <c:pt idx="30">
                  <c:v>23.7103</c:v>
                </c:pt>
                <c:pt idx="31">
                  <c:v>19.135899999999999</c:v>
                </c:pt>
                <c:pt idx="32">
                  <c:v>13.8743</c:v>
                </c:pt>
                <c:pt idx="33">
                  <c:v>7.9253</c:v>
                </c:pt>
                <c:pt idx="34">
                  <c:v>2.4079999999999999</c:v>
                </c:pt>
                <c:pt idx="35">
                  <c:v>8.9131999999999998</c:v>
                </c:pt>
                <c:pt idx="36">
                  <c:v>14.731400000000001</c:v>
                </c:pt>
                <c:pt idx="37">
                  <c:v>19.862400000000001</c:v>
                </c:pt>
                <c:pt idx="38">
                  <c:v>24.306000000000001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(P1)'!$Q$4:$Q$42</c:f>
              <c:numCache>
                <c:formatCode>General</c:formatCode>
                <c:ptCount val="39"/>
                <c:pt idx="0">
                  <c:v>-31.743099999999998</c:v>
                </c:pt>
                <c:pt idx="1">
                  <c:v>-22.4772</c:v>
                </c:pt>
                <c:pt idx="2">
                  <c:v>-13.8986</c:v>
                </c:pt>
                <c:pt idx="3">
                  <c:v>-6.0072999999999999</c:v>
                </c:pt>
                <c:pt idx="4">
                  <c:v>1.1961999999999999</c:v>
                </c:pt>
                <c:pt idx="5">
                  <c:v>-4.4268000000000001</c:v>
                </c:pt>
                <c:pt idx="6">
                  <c:v>-12.2148</c:v>
                </c:pt>
                <c:pt idx="7">
                  <c:v>-20.690200000000001</c:v>
                </c:pt>
                <c:pt idx="8">
                  <c:v>-29.852900000000002</c:v>
                </c:pt>
                <c:pt idx="9">
                  <c:v>-29.339600000000001</c:v>
                </c:pt>
                <c:pt idx="10">
                  <c:v>-20.484500000000001</c:v>
                </c:pt>
                <c:pt idx="11">
                  <c:v>-12.316700000000001</c:v>
                </c:pt>
                <c:pt idx="12">
                  <c:v>-4.8361999999999998</c:v>
                </c:pt>
                <c:pt idx="13">
                  <c:v>1.5419</c:v>
                </c:pt>
                <c:pt idx="14">
                  <c:v>-5.2294</c:v>
                </c:pt>
                <c:pt idx="15">
                  <c:v>-12.6883</c:v>
                </c:pt>
                <c:pt idx="16">
                  <c:v>-20.834499999999998</c:v>
                </c:pt>
                <c:pt idx="17">
                  <c:v>-29.667999999999999</c:v>
                </c:pt>
                <c:pt idx="18">
                  <c:v>-26.114699999999999</c:v>
                </c:pt>
                <c:pt idx="19">
                  <c:v>-19.169899999999998</c:v>
                </c:pt>
                <c:pt idx="20">
                  <c:v>-12.9124</c:v>
                </c:pt>
                <c:pt idx="21">
                  <c:v>-7.3421000000000003</c:v>
                </c:pt>
                <c:pt idx="22">
                  <c:v>-2.4592000000000001</c:v>
                </c:pt>
                <c:pt idx="23">
                  <c:v>1.7363999999999999</c:v>
                </c:pt>
                <c:pt idx="24">
                  <c:v>1.7908999999999999</c:v>
                </c:pt>
                <c:pt idx="25">
                  <c:v>-2.4005999999999998</c:v>
                </c:pt>
                <c:pt idx="26">
                  <c:v>-7.2793999999999999</c:v>
                </c:pt>
                <c:pt idx="27">
                  <c:v>-12.845499999999999</c:v>
                </c:pt>
                <c:pt idx="28">
                  <c:v>-19.0989</c:v>
                </c:pt>
                <c:pt idx="29">
                  <c:v>-26.0396</c:v>
                </c:pt>
                <c:pt idx="30">
                  <c:v>-30.4876</c:v>
                </c:pt>
                <c:pt idx="31">
                  <c:v>-21.232800000000001</c:v>
                </c:pt>
                <c:pt idx="32">
                  <c:v>-12.6654</c:v>
                </c:pt>
                <c:pt idx="33">
                  <c:v>-4.7853000000000003</c:v>
                </c:pt>
                <c:pt idx="34">
                  <c:v>1.2887</c:v>
                </c:pt>
                <c:pt idx="35">
                  <c:v>-6.0345000000000004</c:v>
                </c:pt>
                <c:pt idx="36">
                  <c:v>-14.045400000000001</c:v>
                </c:pt>
                <c:pt idx="37">
                  <c:v>-22.743500000000001</c:v>
                </c:pt>
                <c:pt idx="38">
                  <c:v>-32.128999999999998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(P1)'!$N$4:$N$42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(P1)'!$Y$4:$Y$42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a spessore" -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(P2) 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(P2) '!$C$4:$C$42</c:f>
              <c:numCache>
                <c:formatCode>General</c:formatCode>
                <c:ptCount val="39"/>
                <c:pt idx="0">
                  <c:v>24.3249</c:v>
                </c:pt>
                <c:pt idx="1">
                  <c:v>19.936199999999999</c:v>
                </c:pt>
                <c:pt idx="2">
                  <c:v>14.860200000000001</c:v>
                </c:pt>
                <c:pt idx="3">
                  <c:v>9.0968999999999998</c:v>
                </c:pt>
                <c:pt idx="4">
                  <c:v>2.6465000000000001</c:v>
                </c:pt>
                <c:pt idx="5">
                  <c:v>7.9516</c:v>
                </c:pt>
                <c:pt idx="6">
                  <c:v>14.0236</c:v>
                </c:pt>
                <c:pt idx="7">
                  <c:v>19.408300000000001</c:v>
                </c:pt>
                <c:pt idx="8">
                  <c:v>24.105699999999999</c:v>
                </c:pt>
                <c:pt idx="9">
                  <c:v>22.210899999999999</c:v>
                </c:pt>
                <c:pt idx="10">
                  <c:v>18.082699999999999</c:v>
                </c:pt>
                <c:pt idx="11">
                  <c:v>13.267300000000001</c:v>
                </c:pt>
                <c:pt idx="12">
                  <c:v>7.7645999999999997</c:v>
                </c:pt>
                <c:pt idx="13">
                  <c:v>1.9672000000000001</c:v>
                </c:pt>
                <c:pt idx="14">
                  <c:v>8.2887000000000004</c:v>
                </c:pt>
                <c:pt idx="15">
                  <c:v>13.923</c:v>
                </c:pt>
                <c:pt idx="16">
                  <c:v>18.87</c:v>
                </c:pt>
                <c:pt idx="17">
                  <c:v>23.129799999999999</c:v>
                </c:pt>
                <c:pt idx="18">
                  <c:v>13.0259</c:v>
                </c:pt>
                <c:pt idx="19">
                  <c:v>12.8644</c:v>
                </c:pt>
                <c:pt idx="20">
                  <c:v>12.015700000000001</c:v>
                </c:pt>
                <c:pt idx="21">
                  <c:v>10.479699999999999</c:v>
                </c:pt>
                <c:pt idx="22">
                  <c:v>8.2563999999999993</c:v>
                </c:pt>
                <c:pt idx="23">
                  <c:v>5.3457999999999997</c:v>
                </c:pt>
                <c:pt idx="24">
                  <c:v>5.3102999999999998</c:v>
                </c:pt>
                <c:pt idx="25">
                  <c:v>8.2353000000000005</c:v>
                </c:pt>
                <c:pt idx="26">
                  <c:v>10.473100000000001</c:v>
                </c:pt>
                <c:pt idx="27">
                  <c:v>12.0235</c:v>
                </c:pt>
                <c:pt idx="28">
                  <c:v>12.8866</c:v>
                </c:pt>
                <c:pt idx="29">
                  <c:v>13.0624</c:v>
                </c:pt>
                <c:pt idx="30">
                  <c:v>24.8886</c:v>
                </c:pt>
                <c:pt idx="31">
                  <c:v>20.021000000000001</c:v>
                </c:pt>
                <c:pt idx="32">
                  <c:v>14.466100000000001</c:v>
                </c:pt>
                <c:pt idx="33">
                  <c:v>8.2239000000000004</c:v>
                </c:pt>
                <c:pt idx="34">
                  <c:v>2.4049999999999998</c:v>
                </c:pt>
                <c:pt idx="35">
                  <c:v>8.8699999999999992</c:v>
                </c:pt>
                <c:pt idx="36">
                  <c:v>14.648</c:v>
                </c:pt>
                <c:pt idx="37">
                  <c:v>19.738600000000002</c:v>
                </c:pt>
                <c:pt idx="38">
                  <c:v>24.141999999999999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(P2) '!$Q$4:$Q$42</c:f>
              <c:numCache>
                <c:formatCode>General</c:formatCode>
                <c:ptCount val="39"/>
                <c:pt idx="0">
                  <c:v>-32.717700000000001</c:v>
                </c:pt>
                <c:pt idx="1">
                  <c:v>-23.209299999999999</c:v>
                </c:pt>
                <c:pt idx="2">
                  <c:v>-14.3881</c:v>
                </c:pt>
                <c:pt idx="3">
                  <c:v>-6.2542999999999997</c:v>
                </c:pt>
                <c:pt idx="4">
                  <c:v>1.1920999999999999</c:v>
                </c:pt>
                <c:pt idx="5">
                  <c:v>-4.4917999999999996</c:v>
                </c:pt>
                <c:pt idx="6">
                  <c:v>-12.317</c:v>
                </c:pt>
                <c:pt idx="7">
                  <c:v>-20.829499999999999</c:v>
                </c:pt>
                <c:pt idx="8">
                  <c:v>-30.029299999999999</c:v>
                </c:pt>
                <c:pt idx="9">
                  <c:v>-30.192499999999999</c:v>
                </c:pt>
                <c:pt idx="10">
                  <c:v>-21.121700000000001</c:v>
                </c:pt>
                <c:pt idx="11">
                  <c:v>-12.738099999999999</c:v>
                </c:pt>
                <c:pt idx="12">
                  <c:v>-5.0419</c:v>
                </c:pt>
                <c:pt idx="13">
                  <c:v>1.5744</c:v>
                </c:pt>
                <c:pt idx="14">
                  <c:v>-5.3028000000000004</c:v>
                </c:pt>
                <c:pt idx="15">
                  <c:v>-12.8674</c:v>
                </c:pt>
                <c:pt idx="16">
                  <c:v>-21.119299999999999</c:v>
                </c:pt>
                <c:pt idx="17">
                  <c:v>-30.058599999999998</c:v>
                </c:pt>
                <c:pt idx="18">
                  <c:v>-26.672999999999998</c:v>
                </c:pt>
                <c:pt idx="19">
                  <c:v>-19.624199999999998</c:v>
                </c:pt>
                <c:pt idx="20">
                  <c:v>-13.262700000000001</c:v>
                </c:pt>
                <c:pt idx="21">
                  <c:v>-7.5884999999999998</c:v>
                </c:pt>
                <c:pt idx="22">
                  <c:v>-2.6015999999999999</c:v>
                </c:pt>
                <c:pt idx="23">
                  <c:v>1.698</c:v>
                </c:pt>
                <c:pt idx="24">
                  <c:v>1.7479</c:v>
                </c:pt>
                <c:pt idx="25">
                  <c:v>-2.5371999999999999</c:v>
                </c:pt>
                <c:pt idx="26">
                  <c:v>-7.5096999999999996</c:v>
                </c:pt>
                <c:pt idx="27">
                  <c:v>-13.169499999999999</c:v>
                </c:pt>
                <c:pt idx="28">
                  <c:v>-19.5166</c:v>
                </c:pt>
                <c:pt idx="29">
                  <c:v>-26.550999999999998</c:v>
                </c:pt>
                <c:pt idx="30">
                  <c:v>-30.3291</c:v>
                </c:pt>
                <c:pt idx="31">
                  <c:v>-21.114699999999999</c:v>
                </c:pt>
                <c:pt idx="32">
                  <c:v>-12.5876</c:v>
                </c:pt>
                <c:pt idx="33">
                  <c:v>-4.7477999999999998</c:v>
                </c:pt>
                <c:pt idx="34">
                  <c:v>1.2942</c:v>
                </c:pt>
                <c:pt idx="35">
                  <c:v>-6.3224999999999998</c:v>
                </c:pt>
                <c:pt idx="36">
                  <c:v>-14.6265</c:v>
                </c:pt>
                <c:pt idx="37">
                  <c:v>-23.617899999999999</c:v>
                </c:pt>
                <c:pt idx="38" formatCode="0">
                  <c:v>-26.4937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(P2) 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(P2) 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"</a:t>
            </a:r>
            <a:r>
              <a:rPr lang="it-IT"/>
              <a:t>trave a spessore"  - Piano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(P3)'!$B$4:$B$42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(P3)'!$C$4:$C$42</c:f>
              <c:numCache>
                <c:formatCode>General</c:formatCode>
                <c:ptCount val="39"/>
                <c:pt idx="0">
                  <c:v>16.4224</c:v>
                </c:pt>
                <c:pt idx="1">
                  <c:v>13.965299999999999</c:v>
                </c:pt>
                <c:pt idx="2">
                  <c:v>10.8209</c:v>
                </c:pt>
                <c:pt idx="3">
                  <c:v>6.9893000000000001</c:v>
                </c:pt>
                <c:pt idx="4">
                  <c:v>2.4706000000000001</c:v>
                </c:pt>
                <c:pt idx="5">
                  <c:v>6.3536999999999999</c:v>
                </c:pt>
                <c:pt idx="6">
                  <c:v>10.6723</c:v>
                </c:pt>
                <c:pt idx="7">
                  <c:v>14.303599999999999</c:v>
                </c:pt>
                <c:pt idx="8">
                  <c:v>17.247599999999998</c:v>
                </c:pt>
                <c:pt idx="9">
                  <c:v>15.132400000000001</c:v>
                </c:pt>
                <c:pt idx="10">
                  <c:v>12.788600000000001</c:v>
                </c:pt>
                <c:pt idx="11">
                  <c:v>9.7574000000000005</c:v>
                </c:pt>
                <c:pt idx="12">
                  <c:v>6.0388999999999999</c:v>
                </c:pt>
                <c:pt idx="13">
                  <c:v>1.9274</c:v>
                </c:pt>
                <c:pt idx="14">
                  <c:v>6.5469999999999997</c:v>
                </c:pt>
                <c:pt idx="15">
                  <c:v>10.4795</c:v>
                </c:pt>
                <c:pt idx="16">
                  <c:v>13.7247</c:v>
                </c:pt>
                <c:pt idx="17">
                  <c:v>16.282599999999999</c:v>
                </c:pt>
                <c:pt idx="18">
                  <c:v>7.8834</c:v>
                </c:pt>
                <c:pt idx="19">
                  <c:v>8.6570999999999998</c:v>
                </c:pt>
                <c:pt idx="20">
                  <c:v>8.7433999999999994</c:v>
                </c:pt>
                <c:pt idx="21">
                  <c:v>8.1425000000000001</c:v>
                </c:pt>
                <c:pt idx="22">
                  <c:v>6.8543000000000003</c:v>
                </c:pt>
                <c:pt idx="23">
                  <c:v>4.8788</c:v>
                </c:pt>
                <c:pt idx="24">
                  <c:v>4.8644999999999996</c:v>
                </c:pt>
                <c:pt idx="25">
                  <c:v>6.8617999999999997</c:v>
                </c:pt>
                <c:pt idx="26">
                  <c:v>8.1716999999999995</c:v>
                </c:pt>
                <c:pt idx="27">
                  <c:v>8.7942999999999998</c:v>
                </c:pt>
                <c:pt idx="28">
                  <c:v>8.7295999999999996</c:v>
                </c:pt>
                <c:pt idx="29">
                  <c:v>7.9776999999999996</c:v>
                </c:pt>
                <c:pt idx="30">
                  <c:v>18.034099999999999</c:v>
                </c:pt>
                <c:pt idx="31">
                  <c:v>14.910500000000001</c:v>
                </c:pt>
                <c:pt idx="32">
                  <c:v>11.0997</c:v>
                </c:pt>
                <c:pt idx="33">
                  <c:v>6.6016000000000004</c:v>
                </c:pt>
                <c:pt idx="34">
                  <c:v>2.2717000000000001</c:v>
                </c:pt>
                <c:pt idx="35">
                  <c:v>6.7274000000000003</c:v>
                </c:pt>
                <c:pt idx="36">
                  <c:v>10.4961</c:v>
                </c:pt>
                <c:pt idx="37">
                  <c:v>13.577400000000001</c:v>
                </c:pt>
                <c:pt idx="38">
                  <c:v>15.971500000000001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(P3)'!$Q$4:$Q$42</c:f>
              <c:numCache>
                <c:formatCode>General</c:formatCode>
                <c:ptCount val="39"/>
                <c:pt idx="0">
                  <c:v>-33.296599999999998</c:v>
                </c:pt>
                <c:pt idx="1">
                  <c:v>-25.5489</c:v>
                </c:pt>
                <c:pt idx="2">
                  <c:v>-17.793800000000001</c:v>
                </c:pt>
                <c:pt idx="3">
                  <c:v>-10.726000000000001</c:v>
                </c:pt>
                <c:pt idx="4">
                  <c:v>-4.3455000000000004</c:v>
                </c:pt>
                <c:pt idx="5">
                  <c:v>1.3473999999999999</c:v>
                </c:pt>
                <c:pt idx="6">
                  <c:v>-2.7361</c:v>
                </c:pt>
                <c:pt idx="7">
                  <c:v>-8.6296999999999997</c:v>
                </c:pt>
                <c:pt idx="8">
                  <c:v>-15.210599999999999</c:v>
                </c:pt>
                <c:pt idx="9">
                  <c:v>-22.4788</c:v>
                </c:pt>
                <c:pt idx="10">
                  <c:v>-23.425000000000001</c:v>
                </c:pt>
                <c:pt idx="11">
                  <c:v>-16.056000000000001</c:v>
                </c:pt>
                <c:pt idx="12">
                  <c:v>-9.3742999999999999</c:v>
                </c:pt>
                <c:pt idx="13">
                  <c:v>-3.3799000000000001</c:v>
                </c:pt>
                <c:pt idx="14">
                  <c:v>1.633</c:v>
                </c:pt>
                <c:pt idx="15">
                  <c:v>-3.4599000000000002</c:v>
                </c:pt>
                <c:pt idx="16">
                  <c:v>-9.2401999999999997</c:v>
                </c:pt>
                <c:pt idx="17">
                  <c:v>-15.7079</c:v>
                </c:pt>
                <c:pt idx="18">
                  <c:v>-22.8628</c:v>
                </c:pt>
                <c:pt idx="19">
                  <c:v>-21.552</c:v>
                </c:pt>
                <c:pt idx="20">
                  <c:v>-15.430999999999999</c:v>
                </c:pt>
                <c:pt idx="21">
                  <c:v>-9.9972999999999992</c:v>
                </c:pt>
                <c:pt idx="22">
                  <c:v>-5.2508999999999997</c:v>
                </c:pt>
                <c:pt idx="23">
                  <c:v>-1.1918</c:v>
                </c:pt>
                <c:pt idx="24">
                  <c:v>2.1800000000000002</c:v>
                </c:pt>
                <c:pt idx="25">
                  <c:v>2.2160000000000002</c:v>
                </c:pt>
                <c:pt idx="26">
                  <c:v>-1.1341000000000001</c:v>
                </c:pt>
                <c:pt idx="27">
                  <c:v>-5.1715</c:v>
                </c:pt>
                <c:pt idx="28">
                  <c:v>-9.8962000000000003</c:v>
                </c:pt>
                <c:pt idx="29">
                  <c:v>-15.308199999999999</c:v>
                </c:pt>
                <c:pt idx="30">
                  <c:v>-21.407499999999999</c:v>
                </c:pt>
                <c:pt idx="31">
                  <c:v>-22.4254</c:v>
                </c:pt>
                <c:pt idx="32">
                  <c:v>-15.2203</c:v>
                </c:pt>
                <c:pt idx="33">
                  <c:v>-8.7024000000000008</c:v>
                </c:pt>
                <c:pt idx="34">
                  <c:v>-2.8719000000000001</c:v>
                </c:pt>
                <c:pt idx="35">
                  <c:v>1.4158999999999999</c:v>
                </c:pt>
                <c:pt idx="36">
                  <c:v>-4.4565999999999999</c:v>
                </c:pt>
                <c:pt idx="37">
                  <c:v>-11.0166</c:v>
                </c:pt>
                <c:pt idx="38">
                  <c:v>-18.2639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(P3)'!$N$4:$N$42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(P3)'!$Y$4:$Y$42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paperSize="8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a spessore" - Piano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(P4)'!$B$4:$B$42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(P4)'!$C$4:$C$42</c:f>
              <c:numCache>
                <c:formatCode>General</c:formatCode>
                <c:ptCount val="39"/>
                <c:pt idx="0">
                  <c:v>6.8895999999999997</c:v>
                </c:pt>
                <c:pt idx="1">
                  <c:v>6.8467000000000002</c:v>
                </c:pt>
                <c:pt idx="2">
                  <c:v>6.1163999999999996</c:v>
                </c:pt>
                <c:pt idx="3">
                  <c:v>4.6989999999999998</c:v>
                </c:pt>
                <c:pt idx="4">
                  <c:v>2.5952999999999999</c:v>
                </c:pt>
                <c:pt idx="5">
                  <c:v>3.9182999999999999</c:v>
                </c:pt>
                <c:pt idx="6">
                  <c:v>5.6367000000000003</c:v>
                </c:pt>
                <c:pt idx="7">
                  <c:v>6.6680000000000001</c:v>
                </c:pt>
                <c:pt idx="8">
                  <c:v>7.0119999999999996</c:v>
                </c:pt>
                <c:pt idx="9">
                  <c:v>5.4024000000000001</c:v>
                </c:pt>
                <c:pt idx="10">
                  <c:v>5.4772999999999996</c:v>
                </c:pt>
                <c:pt idx="11">
                  <c:v>4.8650000000000002</c:v>
                </c:pt>
                <c:pt idx="12">
                  <c:v>3.5653999999999999</c:v>
                </c:pt>
                <c:pt idx="13">
                  <c:v>1.8267</c:v>
                </c:pt>
                <c:pt idx="14">
                  <c:v>3.8494000000000002</c:v>
                </c:pt>
                <c:pt idx="15">
                  <c:v>5.1879</c:v>
                </c:pt>
                <c:pt idx="16">
                  <c:v>5.8391999999999999</c:v>
                </c:pt>
                <c:pt idx="17">
                  <c:v>5.8032000000000004</c:v>
                </c:pt>
                <c:pt idx="18">
                  <c:v>0.63049999999999995</c:v>
                </c:pt>
                <c:pt idx="19">
                  <c:v>2.7589999999999999</c:v>
                </c:pt>
                <c:pt idx="20">
                  <c:v>4.2003000000000004</c:v>
                </c:pt>
                <c:pt idx="21">
                  <c:v>4.9542000000000002</c:v>
                </c:pt>
                <c:pt idx="22">
                  <c:v>5.0209000000000001</c:v>
                </c:pt>
                <c:pt idx="23">
                  <c:v>4.4002999999999997</c:v>
                </c:pt>
                <c:pt idx="24">
                  <c:v>4.3806000000000003</c:v>
                </c:pt>
                <c:pt idx="25">
                  <c:v>5.0456000000000003</c:v>
                </c:pt>
                <c:pt idx="26">
                  <c:v>5.0232999999999999</c:v>
                </c:pt>
                <c:pt idx="27">
                  <c:v>4.3136999999999999</c:v>
                </c:pt>
                <c:pt idx="28">
                  <c:v>2.9169</c:v>
                </c:pt>
                <c:pt idx="29">
                  <c:v>0.8327</c:v>
                </c:pt>
                <c:pt idx="30">
                  <c:v>7.2991999999999999</c:v>
                </c:pt>
                <c:pt idx="31">
                  <c:v>6.8666999999999998</c:v>
                </c:pt>
                <c:pt idx="32">
                  <c:v>5.7469000000000001</c:v>
                </c:pt>
                <c:pt idx="33">
                  <c:v>3.9399000000000002</c:v>
                </c:pt>
                <c:pt idx="34">
                  <c:v>2.3530000000000002</c:v>
                </c:pt>
                <c:pt idx="35">
                  <c:v>4.4440999999999997</c:v>
                </c:pt>
                <c:pt idx="36">
                  <c:v>5.8483999999999998</c:v>
                </c:pt>
                <c:pt idx="37">
                  <c:v>6.5654000000000003</c:v>
                </c:pt>
                <c:pt idx="38">
                  <c:v>6.5951000000000004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(P4)'!$Q$4:$Q$42</c:f>
              <c:numCache>
                <c:formatCode>General</c:formatCode>
                <c:ptCount val="39"/>
                <c:pt idx="0">
                  <c:v>-26.198599999999999</c:v>
                </c:pt>
                <c:pt idx="1">
                  <c:v>-14.9847</c:v>
                </c:pt>
                <c:pt idx="2">
                  <c:v>-9.8295999999999992</c:v>
                </c:pt>
                <c:pt idx="3">
                  <c:v>-5.3619000000000003</c:v>
                </c:pt>
                <c:pt idx="4">
                  <c:v>-1.5814999999999999</c:v>
                </c:pt>
                <c:pt idx="5">
                  <c:v>1.5105</c:v>
                </c:pt>
                <c:pt idx="6">
                  <c:v>-0.19869999999999999</c:v>
                </c:pt>
                <c:pt idx="7">
                  <c:v>-3.6779999999999999</c:v>
                </c:pt>
                <c:pt idx="8">
                  <c:v>-7.8446999999999996</c:v>
                </c:pt>
                <c:pt idx="9">
                  <c:v>-12.698700000000001</c:v>
                </c:pt>
                <c:pt idx="10">
                  <c:v>-13.1532</c:v>
                </c:pt>
                <c:pt idx="11">
                  <c:v>-8.3781999999999996</c:v>
                </c:pt>
                <c:pt idx="12">
                  <c:v>-4.2904</c:v>
                </c:pt>
                <c:pt idx="13">
                  <c:v>-0.89</c:v>
                </c:pt>
                <c:pt idx="14">
                  <c:v>1.575</c:v>
                </c:pt>
                <c:pt idx="15">
                  <c:v>-1.0961000000000001</c:v>
                </c:pt>
                <c:pt idx="16">
                  <c:v>-4.4576000000000002</c:v>
                </c:pt>
                <c:pt idx="17">
                  <c:v>-8.5063999999999993</c:v>
                </c:pt>
                <c:pt idx="18">
                  <c:v>-13.242599999999999</c:v>
                </c:pt>
                <c:pt idx="19">
                  <c:v>-14.042899999999999</c:v>
                </c:pt>
                <c:pt idx="20">
                  <c:v>-9.2540999999999993</c:v>
                </c:pt>
                <c:pt idx="21">
                  <c:v>-5.1525999999999996</c:v>
                </c:pt>
                <c:pt idx="22">
                  <c:v>-1.7383999999999999</c:v>
                </c:pt>
                <c:pt idx="23">
                  <c:v>0.98850000000000005</c:v>
                </c:pt>
                <c:pt idx="24">
                  <c:v>3.028</c:v>
                </c:pt>
                <c:pt idx="25">
                  <c:v>3.0920999999999998</c:v>
                </c:pt>
                <c:pt idx="26">
                  <c:v>1.097</c:v>
                </c:pt>
                <c:pt idx="27">
                  <c:v>-1.5854999999999999</c:v>
                </c:pt>
                <c:pt idx="28">
                  <c:v>-4.9554</c:v>
                </c:pt>
                <c:pt idx="29">
                  <c:v>-9.0124999999999993</c:v>
                </c:pt>
                <c:pt idx="30">
                  <c:v>-13.7569</c:v>
                </c:pt>
                <c:pt idx="31">
                  <c:v>-12.886900000000001</c:v>
                </c:pt>
                <c:pt idx="32">
                  <c:v>-8.0460999999999991</c:v>
                </c:pt>
                <c:pt idx="33">
                  <c:v>-3.8925999999999998</c:v>
                </c:pt>
                <c:pt idx="34">
                  <c:v>-0.42649999999999999</c:v>
                </c:pt>
                <c:pt idx="35">
                  <c:v>1.4448000000000001</c:v>
                </c:pt>
                <c:pt idx="36">
                  <c:v>-1.7363999999999999</c:v>
                </c:pt>
                <c:pt idx="37">
                  <c:v>-5.6054000000000004</c:v>
                </c:pt>
                <c:pt idx="38">
                  <c:v>-10.1617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(P4)'!$N$4:$N$42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(P4)'!$Y$4:$Y$42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</a:t>
            </a:r>
            <a:r>
              <a:rPr lang="it-IT" sz="1800" b="1" i="0" u="none" strike="noStrike" baseline="0">
                <a:effectLst/>
              </a:rPr>
              <a:t>dirX </a:t>
            </a:r>
            <a:r>
              <a:rPr lang="it-IT"/>
              <a:t>" - Piano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ESTERNA(P1)'!$B$4:$B$42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ESTERNA(P1)'!$C$4:$C$42</c:f>
              <c:numCache>
                <c:formatCode>General</c:formatCode>
                <c:ptCount val="39"/>
                <c:pt idx="0">
                  <c:v>148.6995</c:v>
                </c:pt>
                <c:pt idx="1">
                  <c:v>119.9532</c:v>
                </c:pt>
                <c:pt idx="2">
                  <c:v>88.397099999999995</c:v>
                </c:pt>
                <c:pt idx="3">
                  <c:v>54.031500000000001</c:v>
                </c:pt>
                <c:pt idx="4">
                  <c:v>16.858000000000001</c:v>
                </c:pt>
                <c:pt idx="5">
                  <c:v>37.1008</c:v>
                </c:pt>
                <c:pt idx="6">
                  <c:v>71.390900000000002</c:v>
                </c:pt>
                <c:pt idx="7">
                  <c:v>102.8717</c:v>
                </c:pt>
                <c:pt idx="8">
                  <c:v>131.5428</c:v>
                </c:pt>
                <c:pt idx="9">
                  <c:v>122.6417</c:v>
                </c:pt>
                <c:pt idx="10">
                  <c:v>97.337400000000002</c:v>
                </c:pt>
                <c:pt idx="11">
                  <c:v>69.223500000000001</c:v>
                </c:pt>
                <c:pt idx="12">
                  <c:v>38.299900000000001</c:v>
                </c:pt>
                <c:pt idx="13">
                  <c:v>8.9707000000000008</c:v>
                </c:pt>
                <c:pt idx="14">
                  <c:v>42.309800000000003</c:v>
                </c:pt>
                <c:pt idx="15">
                  <c:v>72.842799999999997</c:v>
                </c:pt>
                <c:pt idx="16">
                  <c:v>100.56610000000001</c:v>
                </c:pt>
                <c:pt idx="17">
                  <c:v>125.47969999999999</c:v>
                </c:pt>
                <c:pt idx="18">
                  <c:v>83.171300000000002</c:v>
                </c:pt>
                <c:pt idx="19">
                  <c:v>77.221100000000007</c:v>
                </c:pt>
                <c:pt idx="20">
                  <c:v>68.461100000000002</c:v>
                </c:pt>
                <c:pt idx="21">
                  <c:v>56.891500000000001</c:v>
                </c:pt>
                <c:pt idx="22">
                  <c:v>42.512099999999997</c:v>
                </c:pt>
                <c:pt idx="23">
                  <c:v>25.3232</c:v>
                </c:pt>
                <c:pt idx="24">
                  <c:v>24.532800000000002</c:v>
                </c:pt>
                <c:pt idx="25">
                  <c:v>41.735500000000002</c:v>
                </c:pt>
                <c:pt idx="26">
                  <c:v>56.128500000000003</c:v>
                </c:pt>
                <c:pt idx="27">
                  <c:v>67.7119</c:v>
                </c:pt>
                <c:pt idx="28">
                  <c:v>76.485500000000002</c:v>
                </c:pt>
                <c:pt idx="29">
                  <c:v>82.449399999999997</c:v>
                </c:pt>
                <c:pt idx="30">
                  <c:v>134.59889999999999</c:v>
                </c:pt>
                <c:pt idx="31">
                  <c:v>105.4072</c:v>
                </c:pt>
                <c:pt idx="32">
                  <c:v>73.405699999999996</c:v>
                </c:pt>
                <c:pt idx="33">
                  <c:v>38.594700000000003</c:v>
                </c:pt>
                <c:pt idx="34">
                  <c:v>14.346</c:v>
                </c:pt>
                <c:pt idx="35">
                  <c:v>52.430799999999998</c:v>
                </c:pt>
                <c:pt idx="36">
                  <c:v>87.706999999999994</c:v>
                </c:pt>
                <c:pt idx="37">
                  <c:v>120.17359999999999</c:v>
                </c:pt>
                <c:pt idx="38">
                  <c:v>149.8304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ESTERNA(P1)'!$Q$4:$Q$42</c:f>
              <c:numCache>
                <c:formatCode>General</c:formatCode>
                <c:ptCount val="39"/>
                <c:pt idx="0">
                  <c:v>-176.49879999999999</c:v>
                </c:pt>
                <c:pt idx="1">
                  <c:v>-128.15960000000001</c:v>
                </c:pt>
                <c:pt idx="2">
                  <c:v>-82.630200000000002</c:v>
                </c:pt>
                <c:pt idx="3">
                  <c:v>-39.910699999999999</c:v>
                </c:pt>
                <c:pt idx="4">
                  <c:v>-2.7000000000000001E-3</c:v>
                </c:pt>
                <c:pt idx="5">
                  <c:v>-23.130500000000001</c:v>
                </c:pt>
                <c:pt idx="6">
                  <c:v>-65.9251</c:v>
                </c:pt>
                <c:pt idx="7">
                  <c:v>-111.52979999999999</c:v>
                </c:pt>
                <c:pt idx="8">
                  <c:v>-159.9442</c:v>
                </c:pt>
                <c:pt idx="9">
                  <c:v>-152.5017</c:v>
                </c:pt>
                <c:pt idx="10">
                  <c:v>-107.92010000000001</c:v>
                </c:pt>
                <c:pt idx="11">
                  <c:v>-66.148099999999999</c:v>
                </c:pt>
                <c:pt idx="12">
                  <c:v>-27.186</c:v>
                </c:pt>
                <c:pt idx="13">
                  <c:v>4.5621999999999998</c:v>
                </c:pt>
                <c:pt idx="14">
                  <c:v>-31.9772</c:v>
                </c:pt>
                <c:pt idx="15">
                  <c:v>-71.33</c:v>
                </c:pt>
                <c:pt idx="16">
                  <c:v>-113.4926</c:v>
                </c:pt>
                <c:pt idx="17">
                  <c:v>-158.4649</c:v>
                </c:pt>
                <c:pt idx="18">
                  <c:v>-137.6884</c:v>
                </c:pt>
                <c:pt idx="19">
                  <c:v>-103.6272</c:v>
                </c:pt>
                <c:pt idx="20">
                  <c:v>-72.375799999999998</c:v>
                </c:pt>
                <c:pt idx="21">
                  <c:v>-43.934199999999997</c:v>
                </c:pt>
                <c:pt idx="22">
                  <c:v>-18.302199999999999</c:v>
                </c:pt>
                <c:pt idx="23">
                  <c:v>4.5198999999999998</c:v>
                </c:pt>
                <c:pt idx="24">
                  <c:v>5.3239000000000001</c:v>
                </c:pt>
                <c:pt idx="25">
                  <c:v>-17.484500000000001</c:v>
                </c:pt>
                <c:pt idx="26">
                  <c:v>-43.102699999999999</c:v>
                </c:pt>
                <c:pt idx="27">
                  <c:v>-71.530699999999996</c:v>
                </c:pt>
                <c:pt idx="28">
                  <c:v>-102.7684</c:v>
                </c:pt>
                <c:pt idx="29">
                  <c:v>-136.8159</c:v>
                </c:pt>
                <c:pt idx="30">
                  <c:v>-166.0968</c:v>
                </c:pt>
                <c:pt idx="31">
                  <c:v>-116.7719</c:v>
                </c:pt>
                <c:pt idx="32">
                  <c:v>-70.256799999999998</c:v>
                </c:pt>
                <c:pt idx="33">
                  <c:v>-26.551500000000001</c:v>
                </c:pt>
                <c:pt idx="34">
                  <c:v>0.97209999999999996</c:v>
                </c:pt>
                <c:pt idx="35">
                  <c:v>-39.4574</c:v>
                </c:pt>
                <c:pt idx="36">
                  <c:v>-82.697599999999994</c:v>
                </c:pt>
                <c:pt idx="37">
                  <c:v>-128.74770000000001</c:v>
                </c:pt>
                <c:pt idx="38">
                  <c:v>-177.60749999999999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ESTERNA(P1)'!$N$4:$N$42</c:f>
              <c:numCache>
                <c:formatCode>0.0</c:formatCode>
                <c:ptCount val="39"/>
                <c:pt idx="0">
                  <c:v>163.69309110906701</c:v>
                </c:pt>
                <c:pt idx="1">
                  <c:v>163.69309110906701</c:v>
                </c:pt>
                <c:pt idx="2">
                  <c:v>163.69309110906701</c:v>
                </c:pt>
                <c:pt idx="3">
                  <c:v>163.69309110906701</c:v>
                </c:pt>
                <c:pt idx="4">
                  <c:v>163.69309110906701</c:v>
                </c:pt>
                <c:pt idx="5">
                  <c:v>163.69309110906701</c:v>
                </c:pt>
                <c:pt idx="6">
                  <c:v>163.69309110906701</c:v>
                </c:pt>
                <c:pt idx="7">
                  <c:v>163.69309110906701</c:v>
                </c:pt>
                <c:pt idx="8">
                  <c:v>163.69309110906701</c:v>
                </c:pt>
                <c:pt idx="9">
                  <c:v>163.69309110906701</c:v>
                </c:pt>
                <c:pt idx="10">
                  <c:v>131.35865335912786</c:v>
                </c:pt>
                <c:pt idx="11">
                  <c:v>131.35865335912786</c:v>
                </c:pt>
                <c:pt idx="12">
                  <c:v>131.35865335912786</c:v>
                </c:pt>
                <c:pt idx="13">
                  <c:v>131.35865335912786</c:v>
                </c:pt>
                <c:pt idx="14">
                  <c:v>131.35865335912786</c:v>
                </c:pt>
                <c:pt idx="15">
                  <c:v>131.35865335912786</c:v>
                </c:pt>
                <c:pt idx="16">
                  <c:v>131.35865335912786</c:v>
                </c:pt>
                <c:pt idx="17">
                  <c:v>131.35865335912786</c:v>
                </c:pt>
                <c:pt idx="18">
                  <c:v>131.35865335912786</c:v>
                </c:pt>
                <c:pt idx="19">
                  <c:v>131.35865335912786</c:v>
                </c:pt>
                <c:pt idx="20">
                  <c:v>131.35865335912786</c:v>
                </c:pt>
                <c:pt idx="21">
                  <c:v>131.35865335912786</c:v>
                </c:pt>
                <c:pt idx="22">
                  <c:v>131.35865335912786</c:v>
                </c:pt>
                <c:pt idx="23">
                  <c:v>131.35865335912786</c:v>
                </c:pt>
                <c:pt idx="24">
                  <c:v>131.35865335912786</c:v>
                </c:pt>
                <c:pt idx="25">
                  <c:v>131.35865335912786</c:v>
                </c:pt>
                <c:pt idx="26">
                  <c:v>131.35865335912786</c:v>
                </c:pt>
                <c:pt idx="27">
                  <c:v>131.35865335912786</c:v>
                </c:pt>
                <c:pt idx="28">
                  <c:v>131.35865335912786</c:v>
                </c:pt>
                <c:pt idx="29">
                  <c:v>163.69309110906701</c:v>
                </c:pt>
                <c:pt idx="30">
                  <c:v>163.69309110906701</c:v>
                </c:pt>
                <c:pt idx="31">
                  <c:v>163.69309110906701</c:v>
                </c:pt>
                <c:pt idx="32">
                  <c:v>163.69309110906701</c:v>
                </c:pt>
                <c:pt idx="33">
                  <c:v>163.69309110906701</c:v>
                </c:pt>
                <c:pt idx="34">
                  <c:v>163.69309110906701</c:v>
                </c:pt>
                <c:pt idx="35">
                  <c:v>163.69309110906701</c:v>
                </c:pt>
                <c:pt idx="36">
                  <c:v>163.69309110906701</c:v>
                </c:pt>
                <c:pt idx="37">
                  <c:v>163.69309110906701</c:v>
                </c:pt>
                <c:pt idx="38">
                  <c:v>163.69309110906701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ESTERNA(P1)'!$Y$4:$Y$42</c:f>
              <c:numCache>
                <c:formatCode>0.0</c:formatCode>
                <c:ptCount val="39"/>
                <c:pt idx="0">
                  <c:v>-182.8916635230934</c:v>
                </c:pt>
                <c:pt idx="1">
                  <c:v>-182.8916635230934</c:v>
                </c:pt>
                <c:pt idx="2">
                  <c:v>-182.8916635230934</c:v>
                </c:pt>
                <c:pt idx="3">
                  <c:v>-101.04511796855988</c:v>
                </c:pt>
                <c:pt idx="4">
                  <c:v>-101.04511796855988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-163.69309110906701</c:v>
                </c:pt>
                <c:pt idx="8">
                  <c:v>-163.69309110906701</c:v>
                </c:pt>
                <c:pt idx="9">
                  <c:v>-163.69309110906701</c:v>
                </c:pt>
                <c:pt idx="10">
                  <c:v>-163.69309110906701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-163.69309110906701</c:v>
                </c:pt>
                <c:pt idx="17">
                  <c:v>-163.69309110906701</c:v>
                </c:pt>
                <c:pt idx="18">
                  <c:v>-163.69309110906701</c:v>
                </c:pt>
                <c:pt idx="19">
                  <c:v>-163.69309110906701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-182.8916635230934</c:v>
                </c:pt>
                <c:pt idx="29">
                  <c:v>-182.8916635230934</c:v>
                </c:pt>
                <c:pt idx="30">
                  <c:v>-182.8916635230934</c:v>
                </c:pt>
                <c:pt idx="31">
                  <c:v>-182.8916635230934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-101.04511796855988</c:v>
                </c:pt>
                <c:pt idx="35">
                  <c:v>-101.04511796855988</c:v>
                </c:pt>
                <c:pt idx="36">
                  <c:v>-182.8916635230934</c:v>
                </c:pt>
                <c:pt idx="37">
                  <c:v>-182.8916635230934</c:v>
                </c:pt>
                <c:pt idx="38">
                  <c:v>-182.8916635230934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</a:t>
            </a:r>
            <a:r>
              <a:rPr lang="it-IT" sz="1800" b="1" i="0" u="none" strike="noStrike" baseline="0">
                <a:effectLst/>
              </a:rPr>
              <a:t>dirX</a:t>
            </a:r>
            <a:r>
              <a:rPr lang="it-IT"/>
              <a:t>" - Piano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ESTERNA(P2)'!$B$4:$B$42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ESTERNA(P2)'!$C$4:$C$42</c:f>
              <c:numCache>
                <c:formatCode>General</c:formatCode>
                <c:ptCount val="39"/>
                <c:pt idx="0">
                  <c:v>141.53479999999999</c:v>
                </c:pt>
                <c:pt idx="1">
                  <c:v>114.738</c:v>
                </c:pt>
                <c:pt idx="2">
                  <c:v>85.131500000000003</c:v>
                </c:pt>
                <c:pt idx="3">
                  <c:v>52.715400000000002</c:v>
                </c:pt>
                <c:pt idx="4">
                  <c:v>17.490500000000001</c:v>
                </c:pt>
                <c:pt idx="5">
                  <c:v>35.084800000000001</c:v>
                </c:pt>
                <c:pt idx="6">
                  <c:v>68.0214</c:v>
                </c:pt>
                <c:pt idx="7">
                  <c:v>98.148600000000002</c:v>
                </c:pt>
                <c:pt idx="8">
                  <c:v>125.46599999999999</c:v>
                </c:pt>
                <c:pt idx="9">
                  <c:v>116.3051</c:v>
                </c:pt>
                <c:pt idx="10">
                  <c:v>92.6267</c:v>
                </c:pt>
                <c:pt idx="11">
                  <c:v>66.138599999999997</c:v>
                </c:pt>
                <c:pt idx="12">
                  <c:v>36.840899999999998</c:v>
                </c:pt>
                <c:pt idx="13">
                  <c:v>9.0128000000000004</c:v>
                </c:pt>
                <c:pt idx="14">
                  <c:v>40.896999999999998</c:v>
                </c:pt>
                <c:pt idx="15">
                  <c:v>70.008700000000005</c:v>
                </c:pt>
                <c:pt idx="16">
                  <c:v>96.3108</c:v>
                </c:pt>
                <c:pt idx="17">
                  <c:v>119.8031</c:v>
                </c:pt>
                <c:pt idx="18">
                  <c:v>80.521100000000004</c:v>
                </c:pt>
                <c:pt idx="19">
                  <c:v>75.078900000000004</c:v>
                </c:pt>
                <c:pt idx="20">
                  <c:v>66.827100000000002</c:v>
                </c:pt>
                <c:pt idx="21">
                  <c:v>55.765500000000003</c:v>
                </c:pt>
                <c:pt idx="22">
                  <c:v>41.894199999999998</c:v>
                </c:pt>
                <c:pt idx="23">
                  <c:v>25.2133</c:v>
                </c:pt>
                <c:pt idx="24">
                  <c:v>24.603200000000001</c:v>
                </c:pt>
                <c:pt idx="25">
                  <c:v>41.381900000000002</c:v>
                </c:pt>
                <c:pt idx="26">
                  <c:v>55.350999999999999</c:v>
                </c:pt>
                <c:pt idx="27">
                  <c:v>66.510400000000004</c:v>
                </c:pt>
                <c:pt idx="28">
                  <c:v>74.860100000000003</c:v>
                </c:pt>
                <c:pt idx="29">
                  <c:v>80.400099999999995</c:v>
                </c:pt>
                <c:pt idx="30">
                  <c:v>128.34739999999999</c:v>
                </c:pt>
                <c:pt idx="31">
                  <c:v>100.5536</c:v>
                </c:pt>
                <c:pt idx="32">
                  <c:v>69.95</c:v>
                </c:pt>
                <c:pt idx="33">
                  <c:v>36.536900000000003</c:v>
                </c:pt>
                <c:pt idx="34">
                  <c:v>15.0871</c:v>
                </c:pt>
                <c:pt idx="35">
                  <c:v>50.830500000000001</c:v>
                </c:pt>
                <c:pt idx="36">
                  <c:v>83.764899999999997</c:v>
                </c:pt>
                <c:pt idx="37">
                  <c:v>113.8897</c:v>
                </c:pt>
                <c:pt idx="38">
                  <c:v>141.20480000000001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ESTERNA(P2)'!$Q$4:$Q$42</c:f>
              <c:numCache>
                <c:formatCode>General</c:formatCode>
                <c:ptCount val="39"/>
                <c:pt idx="0">
                  <c:v>-171.74610000000001</c:v>
                </c:pt>
                <c:pt idx="1">
                  <c:v>-124.7606</c:v>
                </c:pt>
                <c:pt idx="2">
                  <c:v>-80.584800000000001</c:v>
                </c:pt>
                <c:pt idx="3">
                  <c:v>-39.218899999999998</c:v>
                </c:pt>
                <c:pt idx="4">
                  <c:v>-0.66359999999999997</c:v>
                </c:pt>
                <c:pt idx="5">
                  <c:v>-20.547000000000001</c:v>
                </c:pt>
                <c:pt idx="6">
                  <c:v>-61.392099999999999</c:v>
                </c:pt>
                <c:pt idx="7">
                  <c:v>-105.0472</c:v>
                </c:pt>
                <c:pt idx="8">
                  <c:v>-151.512</c:v>
                </c:pt>
                <c:pt idx="9">
                  <c:v>-146.8081</c:v>
                </c:pt>
                <c:pt idx="10">
                  <c:v>-103.6477</c:v>
                </c:pt>
                <c:pt idx="11">
                  <c:v>-63.296999999999997</c:v>
                </c:pt>
                <c:pt idx="12">
                  <c:v>-25.7561</c:v>
                </c:pt>
                <c:pt idx="13">
                  <c:v>4.7308000000000003</c:v>
                </c:pt>
                <c:pt idx="14">
                  <c:v>-30.1843</c:v>
                </c:pt>
                <c:pt idx="15">
                  <c:v>-67.911299999999997</c:v>
                </c:pt>
                <c:pt idx="16">
                  <c:v>-108.44799999999999</c:v>
                </c:pt>
                <c:pt idx="17">
                  <c:v>-151.7945</c:v>
                </c:pt>
                <c:pt idx="18">
                  <c:v>-135.07429999999999</c:v>
                </c:pt>
                <c:pt idx="19">
                  <c:v>-101.4371</c:v>
                </c:pt>
                <c:pt idx="20">
                  <c:v>-70.6096</c:v>
                </c:pt>
                <c:pt idx="21">
                  <c:v>-42.591900000000003</c:v>
                </c:pt>
                <c:pt idx="22">
                  <c:v>-17.383900000000001</c:v>
                </c:pt>
                <c:pt idx="23">
                  <c:v>5.0143000000000004</c:v>
                </c:pt>
                <c:pt idx="24">
                  <c:v>5.7222</c:v>
                </c:pt>
                <c:pt idx="25">
                  <c:v>-16.578199999999999</c:v>
                </c:pt>
                <c:pt idx="26">
                  <c:v>-41.688400000000001</c:v>
                </c:pt>
                <c:pt idx="27">
                  <c:v>-69.6083</c:v>
                </c:pt>
                <c:pt idx="28">
                  <c:v>-100.3379</c:v>
                </c:pt>
                <c:pt idx="29">
                  <c:v>-133.87729999999999</c:v>
                </c:pt>
                <c:pt idx="30">
                  <c:v>-155.98830000000001</c:v>
                </c:pt>
                <c:pt idx="31">
                  <c:v>-109.0052</c:v>
                </c:pt>
                <c:pt idx="32">
                  <c:v>-64.831800000000001</c:v>
                </c:pt>
                <c:pt idx="33">
                  <c:v>-23.4682</c:v>
                </c:pt>
                <c:pt idx="34">
                  <c:v>0.31259999999999999</c:v>
                </c:pt>
                <c:pt idx="35">
                  <c:v>-38.719299999999997</c:v>
                </c:pt>
                <c:pt idx="36">
                  <c:v>-80.561700000000002</c:v>
                </c:pt>
                <c:pt idx="37">
                  <c:v>-125.2139</c:v>
                </c:pt>
                <c:pt idx="38">
                  <c:v>-176.67580000000001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ESTERNA(P2)'!$N$4:$N$42</c:f>
              <c:numCache>
                <c:formatCode>0.0</c:formatCode>
                <c:ptCount val="39"/>
                <c:pt idx="0">
                  <c:v>163.69309110906701</c:v>
                </c:pt>
                <c:pt idx="1">
                  <c:v>163.69309110906701</c:v>
                </c:pt>
                <c:pt idx="2">
                  <c:v>163.69309110906701</c:v>
                </c:pt>
                <c:pt idx="3">
                  <c:v>81.846545554533506</c:v>
                </c:pt>
                <c:pt idx="4">
                  <c:v>81.846545554533506</c:v>
                </c:pt>
                <c:pt idx="5">
                  <c:v>81.846545554533506</c:v>
                </c:pt>
                <c:pt idx="6">
                  <c:v>81.846545554533506</c:v>
                </c:pt>
                <c:pt idx="7">
                  <c:v>131.35865335912786</c:v>
                </c:pt>
                <c:pt idx="8">
                  <c:v>131.35865335912786</c:v>
                </c:pt>
                <c:pt idx="9">
                  <c:v>131.35865335912786</c:v>
                </c:pt>
                <c:pt idx="10">
                  <c:v>131.35865335912786</c:v>
                </c:pt>
                <c:pt idx="11">
                  <c:v>81.846545554533506</c:v>
                </c:pt>
                <c:pt idx="12">
                  <c:v>81.846545554533506</c:v>
                </c:pt>
                <c:pt idx="13">
                  <c:v>81.846545554533506</c:v>
                </c:pt>
                <c:pt idx="14">
                  <c:v>81.846545554533506</c:v>
                </c:pt>
                <c:pt idx="15">
                  <c:v>131.35865335912786</c:v>
                </c:pt>
                <c:pt idx="16">
                  <c:v>131.35865335912786</c:v>
                </c:pt>
                <c:pt idx="17">
                  <c:v>131.35865335912786</c:v>
                </c:pt>
                <c:pt idx="18">
                  <c:v>131.35865335912786</c:v>
                </c:pt>
                <c:pt idx="19">
                  <c:v>81.846545554533506</c:v>
                </c:pt>
                <c:pt idx="20">
                  <c:v>81.846545554533506</c:v>
                </c:pt>
                <c:pt idx="21">
                  <c:v>81.846545554533506</c:v>
                </c:pt>
                <c:pt idx="22">
                  <c:v>81.846545554533506</c:v>
                </c:pt>
                <c:pt idx="23">
                  <c:v>81.846545554533506</c:v>
                </c:pt>
                <c:pt idx="24">
                  <c:v>81.846545554533506</c:v>
                </c:pt>
                <c:pt idx="25">
                  <c:v>81.846545554533506</c:v>
                </c:pt>
                <c:pt idx="26">
                  <c:v>81.846545554533506</c:v>
                </c:pt>
                <c:pt idx="27">
                  <c:v>81.846545554533506</c:v>
                </c:pt>
                <c:pt idx="28">
                  <c:v>131.35865335912786</c:v>
                </c:pt>
                <c:pt idx="29">
                  <c:v>131.35865335912786</c:v>
                </c:pt>
                <c:pt idx="30">
                  <c:v>131.35865335912786</c:v>
                </c:pt>
                <c:pt idx="31">
                  <c:v>131.35865335912786</c:v>
                </c:pt>
                <c:pt idx="32">
                  <c:v>131.35865335912786</c:v>
                </c:pt>
                <c:pt idx="33">
                  <c:v>81.846545554533506</c:v>
                </c:pt>
                <c:pt idx="34">
                  <c:v>81.846545554533506</c:v>
                </c:pt>
                <c:pt idx="35">
                  <c:v>81.846545554533506</c:v>
                </c:pt>
                <c:pt idx="36">
                  <c:v>163.69309110906701</c:v>
                </c:pt>
                <c:pt idx="37">
                  <c:v>163.69309110906701</c:v>
                </c:pt>
                <c:pt idx="38">
                  <c:v>163.69309110906701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ESTERNA(P2)'!$Y$4:$Y$42</c:f>
              <c:numCache>
                <c:formatCode>0.0</c:formatCode>
                <c:ptCount val="39"/>
                <c:pt idx="0">
                  <c:v>-182.8916635230934</c:v>
                </c:pt>
                <c:pt idx="1">
                  <c:v>-182.8916635230934</c:v>
                </c:pt>
                <c:pt idx="2">
                  <c:v>-182.8916635230934</c:v>
                </c:pt>
                <c:pt idx="3">
                  <c:v>-101.04511796855988</c:v>
                </c:pt>
                <c:pt idx="4">
                  <c:v>-101.04511796855988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-163.69309110906701</c:v>
                </c:pt>
                <c:pt idx="8">
                  <c:v>-163.69309110906701</c:v>
                </c:pt>
                <c:pt idx="9">
                  <c:v>-163.69309110906701</c:v>
                </c:pt>
                <c:pt idx="10">
                  <c:v>-163.69309110906701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-163.69309110906701</c:v>
                </c:pt>
                <c:pt idx="17">
                  <c:v>-163.69309110906701</c:v>
                </c:pt>
                <c:pt idx="18">
                  <c:v>-163.69309110906701</c:v>
                </c:pt>
                <c:pt idx="19">
                  <c:v>-163.69309110906701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-163.69309110906701</c:v>
                </c:pt>
                <c:pt idx="29">
                  <c:v>-163.69309110906701</c:v>
                </c:pt>
                <c:pt idx="30">
                  <c:v>-163.69309110906701</c:v>
                </c:pt>
                <c:pt idx="31">
                  <c:v>-163.69309110906701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-101.04511796855988</c:v>
                </c:pt>
                <c:pt idx="35">
                  <c:v>-101.04511796855988</c:v>
                </c:pt>
                <c:pt idx="36">
                  <c:v>-182.8916635230934</c:v>
                </c:pt>
                <c:pt idx="37">
                  <c:v>-182.8916635230934</c:v>
                </c:pt>
                <c:pt idx="38">
                  <c:v>-182.8916635230934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dirX" - Piano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ESTERNA(P3)'!$B$4:$B$42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ESTERNA(P3)'!$C$4:$C$42</c:f>
              <c:numCache>
                <c:formatCode>General</c:formatCode>
                <c:ptCount val="39"/>
                <c:pt idx="0">
                  <c:v>90.173299999999998</c:v>
                </c:pt>
                <c:pt idx="1">
                  <c:v>75.953999999999994</c:v>
                </c:pt>
                <c:pt idx="2">
                  <c:v>58.924999999999997</c:v>
                </c:pt>
                <c:pt idx="3">
                  <c:v>39.086399999999998</c:v>
                </c:pt>
                <c:pt idx="4">
                  <c:v>16.439499999999999</c:v>
                </c:pt>
                <c:pt idx="5">
                  <c:v>24.502099999999999</c:v>
                </c:pt>
                <c:pt idx="6">
                  <c:v>44.827500000000001</c:v>
                </c:pt>
                <c:pt idx="7">
                  <c:v>62.343699999999998</c:v>
                </c:pt>
                <c:pt idx="8">
                  <c:v>77.050200000000004</c:v>
                </c:pt>
                <c:pt idx="9">
                  <c:v>70.567300000000003</c:v>
                </c:pt>
                <c:pt idx="10">
                  <c:v>58.4039</c:v>
                </c:pt>
                <c:pt idx="11">
                  <c:v>43.430900000000001</c:v>
                </c:pt>
                <c:pt idx="12">
                  <c:v>25.648399999999999</c:v>
                </c:pt>
                <c:pt idx="13">
                  <c:v>8.6668000000000003</c:v>
                </c:pt>
                <c:pt idx="14">
                  <c:v>28.3033</c:v>
                </c:pt>
                <c:pt idx="15">
                  <c:v>45.758299999999998</c:v>
                </c:pt>
                <c:pt idx="16">
                  <c:v>60.403799999999997</c:v>
                </c:pt>
                <c:pt idx="17">
                  <c:v>72.239599999999996</c:v>
                </c:pt>
                <c:pt idx="18">
                  <c:v>46.398899999999998</c:v>
                </c:pt>
                <c:pt idx="19">
                  <c:v>47.230699999999999</c:v>
                </c:pt>
                <c:pt idx="20">
                  <c:v>45.252800000000001</c:v>
                </c:pt>
                <c:pt idx="21">
                  <c:v>40.465200000000003</c:v>
                </c:pt>
                <c:pt idx="22">
                  <c:v>32.867899999999999</c:v>
                </c:pt>
                <c:pt idx="23">
                  <c:v>22.461200000000002</c:v>
                </c:pt>
                <c:pt idx="24">
                  <c:v>22.158999999999999</c:v>
                </c:pt>
                <c:pt idx="25">
                  <c:v>32.692100000000003</c:v>
                </c:pt>
                <c:pt idx="26">
                  <c:v>40.415799999999997</c:v>
                </c:pt>
                <c:pt idx="27">
                  <c:v>45.329700000000003</c:v>
                </c:pt>
                <c:pt idx="28">
                  <c:v>47.433999999999997</c:v>
                </c:pt>
                <c:pt idx="29">
                  <c:v>46.728499999999997</c:v>
                </c:pt>
                <c:pt idx="30">
                  <c:v>77.258300000000006</c:v>
                </c:pt>
                <c:pt idx="31">
                  <c:v>62.528199999999998</c:v>
                </c:pt>
                <c:pt idx="32">
                  <c:v>44.988300000000002</c:v>
                </c:pt>
                <c:pt idx="33">
                  <c:v>24.6388</c:v>
                </c:pt>
                <c:pt idx="34">
                  <c:v>14.1594</c:v>
                </c:pt>
                <c:pt idx="35">
                  <c:v>37.011299999999999</c:v>
                </c:pt>
                <c:pt idx="36">
                  <c:v>57.053899999999999</c:v>
                </c:pt>
                <c:pt idx="37">
                  <c:v>74.286699999999996</c:v>
                </c:pt>
                <c:pt idx="38">
                  <c:v>88.709900000000005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ESTERNA(P3)'!$Q$4:$Q$42</c:f>
              <c:numCache>
                <c:formatCode>General</c:formatCode>
                <c:ptCount val="39"/>
                <c:pt idx="0">
                  <c:v>-119.27500000000001</c:v>
                </c:pt>
                <c:pt idx="1">
                  <c:v>-84.900400000000005</c:v>
                </c:pt>
                <c:pt idx="2">
                  <c:v>-53.335599999999999</c:v>
                </c:pt>
                <c:pt idx="3">
                  <c:v>-24.5806</c:v>
                </c:pt>
                <c:pt idx="4">
                  <c:v>1.3632</c:v>
                </c:pt>
                <c:pt idx="5">
                  <c:v>-9.0218000000000007</c:v>
                </c:pt>
                <c:pt idx="6">
                  <c:v>-37.289200000000001</c:v>
                </c:pt>
                <c:pt idx="7">
                  <c:v>-68.366799999999998</c:v>
                </c:pt>
                <c:pt idx="8">
                  <c:v>-102.2542</c:v>
                </c:pt>
                <c:pt idx="9">
                  <c:v>-101.1198</c:v>
                </c:pt>
                <c:pt idx="10">
                  <c:v>-69.615899999999996</c:v>
                </c:pt>
                <c:pt idx="11">
                  <c:v>-40.921799999999998</c:v>
                </c:pt>
                <c:pt idx="12">
                  <c:v>-15.037699999999999</c:v>
                </c:pt>
                <c:pt idx="13">
                  <c:v>5.0467000000000004</c:v>
                </c:pt>
                <c:pt idx="14">
                  <c:v>-18.3476</c:v>
                </c:pt>
                <c:pt idx="15">
                  <c:v>-44.5593</c:v>
                </c:pt>
                <c:pt idx="16">
                  <c:v>-73.5809</c:v>
                </c:pt>
                <c:pt idx="17">
                  <c:v>-105.4123</c:v>
                </c:pt>
                <c:pt idx="18">
                  <c:v>-100.0463</c:v>
                </c:pt>
                <c:pt idx="19">
                  <c:v>-72.654499999999999</c:v>
                </c:pt>
                <c:pt idx="20">
                  <c:v>-48.072499999999998</c:v>
                </c:pt>
                <c:pt idx="21">
                  <c:v>-26.3002</c:v>
                </c:pt>
                <c:pt idx="22">
                  <c:v>-7.3376000000000001</c:v>
                </c:pt>
                <c:pt idx="23">
                  <c:v>8.8148999999999997</c:v>
                </c:pt>
                <c:pt idx="24">
                  <c:v>9.2433999999999994</c:v>
                </c:pt>
                <c:pt idx="25">
                  <c:v>-6.7827999999999999</c:v>
                </c:pt>
                <c:pt idx="26">
                  <c:v>-25.619</c:v>
                </c:pt>
                <c:pt idx="27">
                  <c:v>-47.264899999999997</c:v>
                </c:pt>
                <c:pt idx="28">
                  <c:v>-71.720600000000005</c:v>
                </c:pt>
                <c:pt idx="29">
                  <c:v>-98.986000000000004</c:v>
                </c:pt>
                <c:pt idx="30">
                  <c:v>-105.3477</c:v>
                </c:pt>
                <c:pt idx="31">
                  <c:v>-71.256500000000003</c:v>
                </c:pt>
                <c:pt idx="32">
                  <c:v>-39.975000000000001</c:v>
                </c:pt>
                <c:pt idx="33">
                  <c:v>-11.503399999999999</c:v>
                </c:pt>
                <c:pt idx="34">
                  <c:v>1.4787999999999999</c:v>
                </c:pt>
                <c:pt idx="35">
                  <c:v>-24.489799999999999</c:v>
                </c:pt>
                <c:pt idx="36">
                  <c:v>-53.268599999999999</c:v>
                </c:pt>
                <c:pt idx="37">
                  <c:v>-84.856999999999999</c:v>
                </c:pt>
                <c:pt idx="38">
                  <c:v>-119.25530000000001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ESTERNA(P3)'!$N$4:$N$42</c:f>
              <c:numCache>
                <c:formatCode>0.0</c:formatCode>
                <c:ptCount val="39"/>
                <c:pt idx="0">
                  <c:v>100.0346667888743</c:v>
                </c:pt>
                <c:pt idx="1">
                  <c:v>100.0346667888743</c:v>
                </c:pt>
                <c:pt idx="2">
                  <c:v>100.0346667888743</c:v>
                </c:pt>
                <c:pt idx="3">
                  <c:v>81.846545554533506</c:v>
                </c:pt>
                <c:pt idx="4">
                  <c:v>81.846545554533506</c:v>
                </c:pt>
                <c:pt idx="5">
                  <c:v>81.846545554533506</c:v>
                </c:pt>
                <c:pt idx="6">
                  <c:v>81.846545554533506</c:v>
                </c:pt>
                <c:pt idx="7">
                  <c:v>81.846545554533506</c:v>
                </c:pt>
                <c:pt idx="8">
                  <c:v>81.846545554533506</c:v>
                </c:pt>
                <c:pt idx="9">
                  <c:v>81.846545554533506</c:v>
                </c:pt>
                <c:pt idx="10">
                  <c:v>81.846545554533506</c:v>
                </c:pt>
                <c:pt idx="11">
                  <c:v>81.846545554533506</c:v>
                </c:pt>
                <c:pt idx="12">
                  <c:v>81.846545554533506</c:v>
                </c:pt>
                <c:pt idx="13">
                  <c:v>81.846545554533506</c:v>
                </c:pt>
                <c:pt idx="14">
                  <c:v>81.846545554533506</c:v>
                </c:pt>
                <c:pt idx="15">
                  <c:v>81.846545554533506</c:v>
                </c:pt>
                <c:pt idx="16">
                  <c:v>81.846545554533506</c:v>
                </c:pt>
                <c:pt idx="17">
                  <c:v>81.846545554533506</c:v>
                </c:pt>
                <c:pt idx="18">
                  <c:v>81.846545554533506</c:v>
                </c:pt>
                <c:pt idx="19">
                  <c:v>81.846545554533506</c:v>
                </c:pt>
                <c:pt idx="20">
                  <c:v>81.846545554533506</c:v>
                </c:pt>
                <c:pt idx="21">
                  <c:v>81.846545554533506</c:v>
                </c:pt>
                <c:pt idx="22">
                  <c:v>81.846545554533506</c:v>
                </c:pt>
                <c:pt idx="23">
                  <c:v>81.846545554533506</c:v>
                </c:pt>
                <c:pt idx="24">
                  <c:v>81.846545554533506</c:v>
                </c:pt>
                <c:pt idx="25">
                  <c:v>81.846545554533506</c:v>
                </c:pt>
                <c:pt idx="26">
                  <c:v>81.846545554533506</c:v>
                </c:pt>
                <c:pt idx="27">
                  <c:v>81.846545554533506</c:v>
                </c:pt>
                <c:pt idx="28">
                  <c:v>81.846545554533506</c:v>
                </c:pt>
                <c:pt idx="29">
                  <c:v>81.846545554533506</c:v>
                </c:pt>
                <c:pt idx="30">
                  <c:v>81.846545554533506</c:v>
                </c:pt>
                <c:pt idx="31">
                  <c:v>81.846545554533506</c:v>
                </c:pt>
                <c:pt idx="32">
                  <c:v>81.846545554533506</c:v>
                </c:pt>
                <c:pt idx="33">
                  <c:v>81.846545554533506</c:v>
                </c:pt>
                <c:pt idx="34">
                  <c:v>81.846545554533506</c:v>
                </c:pt>
                <c:pt idx="35">
                  <c:v>81.846545554533506</c:v>
                </c:pt>
                <c:pt idx="36">
                  <c:v>100.0346667888743</c:v>
                </c:pt>
                <c:pt idx="37">
                  <c:v>100.0346667888743</c:v>
                </c:pt>
                <c:pt idx="38">
                  <c:v>100.0346667888743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ESTERNA(P3)'!$Y$4:$Y$42</c:f>
              <c:numCache>
                <c:formatCode>0.0</c:formatCode>
                <c:ptCount val="39"/>
                <c:pt idx="0">
                  <c:v>-122.76981833180028</c:v>
                </c:pt>
                <c:pt idx="1">
                  <c:v>-122.76981833180028</c:v>
                </c:pt>
                <c:pt idx="2">
                  <c:v>-122.76981833180028</c:v>
                </c:pt>
                <c:pt idx="3">
                  <c:v>-81.846545554533506</c:v>
                </c:pt>
                <c:pt idx="4">
                  <c:v>-81.846545554533506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-106.60259945683067</c:v>
                </c:pt>
                <c:pt idx="8">
                  <c:v>-106.60259945683067</c:v>
                </c:pt>
                <c:pt idx="9">
                  <c:v>-106.60259945683067</c:v>
                </c:pt>
                <c:pt idx="10">
                  <c:v>-106.60259945683067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-106.60259945683067</c:v>
                </c:pt>
                <c:pt idx="17">
                  <c:v>-106.60259945683067</c:v>
                </c:pt>
                <c:pt idx="18">
                  <c:v>-106.60259945683067</c:v>
                </c:pt>
                <c:pt idx="19">
                  <c:v>-106.60259945683067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-106.60259945683067</c:v>
                </c:pt>
                <c:pt idx="29">
                  <c:v>-106.60259945683067</c:v>
                </c:pt>
                <c:pt idx="30">
                  <c:v>-106.60259945683067</c:v>
                </c:pt>
                <c:pt idx="31">
                  <c:v>-106.60259945683067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-81.846545554533506</c:v>
                </c:pt>
                <c:pt idx="35">
                  <c:v>-81.846545554533506</c:v>
                </c:pt>
                <c:pt idx="36">
                  <c:v>-122.76981833180028</c:v>
                </c:pt>
                <c:pt idx="37">
                  <c:v>-122.76981833180028</c:v>
                </c:pt>
                <c:pt idx="38">
                  <c:v>-122.76981833180028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dir X" - Piano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ESTERNA(P4)'!$B$4:$B$42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ESTERNA(P4)'!$D$4:$D$42</c:f>
              <c:numCache>
                <c:formatCode>0.0</c:formatCode>
                <c:ptCount val="39"/>
                <c:pt idx="0">
                  <c:v>37.878500000000003</c:v>
                </c:pt>
                <c:pt idx="1">
                  <c:v>31.868099999999998</c:v>
                </c:pt>
                <c:pt idx="2">
                  <c:v>24.920500000000001</c:v>
                </c:pt>
                <c:pt idx="3">
                  <c:v>17.035799999999998</c:v>
                </c:pt>
                <c:pt idx="4">
                  <c:v>8.2152999999999992</c:v>
                </c:pt>
                <c:pt idx="5">
                  <c:v>7.84</c:v>
                </c:pt>
                <c:pt idx="6">
                  <c:v>16.3903</c:v>
                </c:pt>
                <c:pt idx="7">
                  <c:v>24.004899999999999</c:v>
                </c:pt>
                <c:pt idx="8">
                  <c:v>30.682400000000001</c:v>
                </c:pt>
                <c:pt idx="9">
                  <c:v>27.7029</c:v>
                </c:pt>
                <c:pt idx="10">
                  <c:v>22.7029</c:v>
                </c:pt>
                <c:pt idx="11">
                  <c:v>16.767099999999999</c:v>
                </c:pt>
                <c:pt idx="12">
                  <c:v>9.8992000000000004</c:v>
                </c:pt>
                <c:pt idx="13">
                  <c:v>3.2517</c:v>
                </c:pt>
                <c:pt idx="14">
                  <c:v>10.264699999999999</c:v>
                </c:pt>
                <c:pt idx="15">
                  <c:v>16.990100000000002</c:v>
                </c:pt>
                <c:pt idx="16">
                  <c:v>22.782900000000001</c:v>
                </c:pt>
                <c:pt idx="17">
                  <c:v>27.639600000000002</c:v>
                </c:pt>
                <c:pt idx="18">
                  <c:v>21.915800000000001</c:v>
                </c:pt>
                <c:pt idx="19">
                  <c:v>21.140699999999999</c:v>
                </c:pt>
                <c:pt idx="20">
                  <c:v>19.4284</c:v>
                </c:pt>
                <c:pt idx="21">
                  <c:v>16.779299999999999</c:v>
                </c:pt>
                <c:pt idx="22">
                  <c:v>13.193899999999999</c:v>
                </c:pt>
                <c:pt idx="23">
                  <c:v>8.6784999999999997</c:v>
                </c:pt>
                <c:pt idx="24">
                  <c:v>9.0932999999999993</c:v>
                </c:pt>
                <c:pt idx="25">
                  <c:v>13.9146</c:v>
                </c:pt>
                <c:pt idx="26">
                  <c:v>17.8049</c:v>
                </c:pt>
                <c:pt idx="27">
                  <c:v>20.758900000000001</c:v>
                </c:pt>
                <c:pt idx="28">
                  <c:v>22.776</c:v>
                </c:pt>
                <c:pt idx="29">
                  <c:v>23.856000000000002</c:v>
                </c:pt>
                <c:pt idx="30">
                  <c:v>30.148499999999999</c:v>
                </c:pt>
                <c:pt idx="31">
                  <c:v>23.5611</c:v>
                </c:pt>
                <c:pt idx="32">
                  <c:v>16.037199999999999</c:v>
                </c:pt>
                <c:pt idx="33">
                  <c:v>7.5811999999999999</c:v>
                </c:pt>
                <c:pt idx="34">
                  <c:v>7.8758999999999997</c:v>
                </c:pt>
                <c:pt idx="35">
                  <c:v>16.2942</c:v>
                </c:pt>
                <c:pt idx="36">
                  <c:v>23.779900000000001</c:v>
                </c:pt>
                <c:pt idx="37">
                  <c:v>30.3291</c:v>
                </c:pt>
                <c:pt idx="38">
                  <c:v>35.941299999999998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ESTERNA(P4)'!$S$4:$S$42</c:f>
              <c:numCache>
                <c:formatCode>0.0</c:formatCode>
                <c:ptCount val="39"/>
                <c:pt idx="0">
                  <c:v>-48.9816</c:v>
                </c:pt>
                <c:pt idx="1">
                  <c:v>-35.743499999999997</c:v>
                </c:pt>
                <c:pt idx="2">
                  <c:v>-23.442699999999999</c:v>
                </c:pt>
                <c:pt idx="3">
                  <c:v>-12.0792</c:v>
                </c:pt>
                <c:pt idx="4">
                  <c:v>-1.6543000000000001</c:v>
                </c:pt>
                <c:pt idx="5">
                  <c:v>-1.5491999999999999</c:v>
                </c:pt>
                <c:pt idx="6">
                  <c:v>-12.2441</c:v>
                </c:pt>
                <c:pt idx="7">
                  <c:v>-23.877600000000001</c:v>
                </c:pt>
                <c:pt idx="8">
                  <c:v>-36.448500000000003</c:v>
                </c:pt>
                <c:pt idx="9">
                  <c:v>-37.473700000000001</c:v>
                </c:pt>
                <c:pt idx="10">
                  <c:v>-26.0565</c:v>
                </c:pt>
                <c:pt idx="11">
                  <c:v>-15.5777</c:v>
                </c:pt>
                <c:pt idx="12">
                  <c:v>-6.0415000000000001</c:v>
                </c:pt>
                <c:pt idx="13">
                  <c:v>1.7777000000000001</c:v>
                </c:pt>
                <c:pt idx="14">
                  <c:v>-6.6935000000000002</c:v>
                </c:pt>
                <c:pt idx="15">
                  <c:v>-16.373699999999999</c:v>
                </c:pt>
                <c:pt idx="16">
                  <c:v>-26.995899999999999</c:v>
                </c:pt>
                <c:pt idx="17">
                  <c:v>-38.556399999999996</c:v>
                </c:pt>
                <c:pt idx="18">
                  <c:v>-39.5764</c:v>
                </c:pt>
                <c:pt idx="19">
                  <c:v>-29.124099999999999</c:v>
                </c:pt>
                <c:pt idx="20">
                  <c:v>-19.609300000000001</c:v>
                </c:pt>
                <c:pt idx="21">
                  <c:v>-11.032</c:v>
                </c:pt>
                <c:pt idx="22">
                  <c:v>-3.3927999999999998</c:v>
                </c:pt>
                <c:pt idx="23">
                  <c:v>3.3018999999999998</c:v>
                </c:pt>
                <c:pt idx="24">
                  <c:v>3.1919</c:v>
                </c:pt>
                <c:pt idx="25">
                  <c:v>-3.1989999999999998</c:v>
                </c:pt>
                <c:pt idx="26">
                  <c:v>-10.533300000000001</c:v>
                </c:pt>
                <c:pt idx="27">
                  <c:v>-18.805800000000001</c:v>
                </c:pt>
                <c:pt idx="28">
                  <c:v>-28.015799999999999</c:v>
                </c:pt>
                <c:pt idx="29">
                  <c:v>-38.163200000000003</c:v>
                </c:pt>
                <c:pt idx="30">
                  <c:v>-35.203000000000003</c:v>
                </c:pt>
                <c:pt idx="31">
                  <c:v>-23.0305</c:v>
                </c:pt>
                <c:pt idx="32">
                  <c:v>-11.7959</c:v>
                </c:pt>
                <c:pt idx="33">
                  <c:v>-1.5037</c:v>
                </c:pt>
                <c:pt idx="34">
                  <c:v>-1.8367</c:v>
                </c:pt>
                <c:pt idx="35">
                  <c:v>-12.1677</c:v>
                </c:pt>
                <c:pt idx="36">
                  <c:v>-23.4405</c:v>
                </c:pt>
                <c:pt idx="37">
                  <c:v>-35.651299999999999</c:v>
                </c:pt>
                <c:pt idx="38">
                  <c:v>-48.799500000000002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ESTERNA(P4)'!$O$4:$O$42</c:f>
              <c:numCache>
                <c:formatCode>0.0</c:formatCode>
                <c:ptCount val="39"/>
                <c:pt idx="0">
                  <c:v>81.846545554533506</c:v>
                </c:pt>
                <c:pt idx="1">
                  <c:v>81.846545554533506</c:v>
                </c:pt>
                <c:pt idx="2">
                  <c:v>81.846545554533506</c:v>
                </c:pt>
                <c:pt idx="3">
                  <c:v>81.846545554533506</c:v>
                </c:pt>
                <c:pt idx="4">
                  <c:v>81.846545554533506</c:v>
                </c:pt>
                <c:pt idx="5">
                  <c:v>81.846545554533506</c:v>
                </c:pt>
                <c:pt idx="6">
                  <c:v>81.846545554533506</c:v>
                </c:pt>
                <c:pt idx="7">
                  <c:v>81.846545554533506</c:v>
                </c:pt>
                <c:pt idx="8">
                  <c:v>81.846545554533506</c:v>
                </c:pt>
                <c:pt idx="9">
                  <c:v>81.846545554533506</c:v>
                </c:pt>
                <c:pt idx="10">
                  <c:v>81.846545554533506</c:v>
                </c:pt>
                <c:pt idx="11">
                  <c:v>81.846545554533506</c:v>
                </c:pt>
                <c:pt idx="12">
                  <c:v>81.846545554533506</c:v>
                </c:pt>
                <c:pt idx="13">
                  <c:v>81.846545554533506</c:v>
                </c:pt>
                <c:pt idx="14">
                  <c:v>81.846545554533506</c:v>
                </c:pt>
                <c:pt idx="15">
                  <c:v>81.846545554533506</c:v>
                </c:pt>
                <c:pt idx="16">
                  <c:v>81.846545554533506</c:v>
                </c:pt>
                <c:pt idx="17">
                  <c:v>81.846545554533506</c:v>
                </c:pt>
                <c:pt idx="18">
                  <c:v>81.846545554533506</c:v>
                </c:pt>
                <c:pt idx="19">
                  <c:v>81.846545554533506</c:v>
                </c:pt>
                <c:pt idx="20">
                  <c:v>81.846545554533506</c:v>
                </c:pt>
                <c:pt idx="21">
                  <c:v>81.846545554533506</c:v>
                </c:pt>
                <c:pt idx="22">
                  <c:v>81.846545554533506</c:v>
                </c:pt>
                <c:pt idx="23">
                  <c:v>81.846545554533506</c:v>
                </c:pt>
                <c:pt idx="24">
                  <c:v>81.846545554533506</c:v>
                </c:pt>
                <c:pt idx="25">
                  <c:v>81.846545554533506</c:v>
                </c:pt>
                <c:pt idx="26">
                  <c:v>81.846545554533506</c:v>
                </c:pt>
                <c:pt idx="27">
                  <c:v>81.846545554533506</c:v>
                </c:pt>
                <c:pt idx="28">
                  <c:v>81.846545554533506</c:v>
                </c:pt>
                <c:pt idx="29">
                  <c:v>81.846545554533506</c:v>
                </c:pt>
                <c:pt idx="30">
                  <c:v>81.846545554533506</c:v>
                </c:pt>
                <c:pt idx="31">
                  <c:v>81.846545554533506</c:v>
                </c:pt>
                <c:pt idx="32">
                  <c:v>81.846545554533506</c:v>
                </c:pt>
                <c:pt idx="33">
                  <c:v>81.846545554533506</c:v>
                </c:pt>
                <c:pt idx="34">
                  <c:v>81.846545554533506</c:v>
                </c:pt>
                <c:pt idx="35">
                  <c:v>81.846545554533506</c:v>
                </c:pt>
                <c:pt idx="36">
                  <c:v>81.846545554533506</c:v>
                </c:pt>
                <c:pt idx="37">
                  <c:v>81.846545554533506</c:v>
                </c:pt>
                <c:pt idx="38">
                  <c:v>81.846545554533506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ESTERNA(P4)'!$AA$4:$AA$42</c:f>
              <c:numCache>
                <c:formatCode>0.0</c:formatCode>
                <c:ptCount val="39"/>
                <c:pt idx="0">
                  <c:v>-81.846545554533506</c:v>
                </c:pt>
                <c:pt idx="1">
                  <c:v>-81.846545554533506</c:v>
                </c:pt>
                <c:pt idx="2">
                  <c:v>-81.846545554533506</c:v>
                </c:pt>
                <c:pt idx="3">
                  <c:v>-81.846545554533506</c:v>
                </c:pt>
                <c:pt idx="4">
                  <c:v>-81.846545554533506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-81.846545554533506</c:v>
                </c:pt>
                <c:pt idx="8">
                  <c:v>-81.846545554533506</c:v>
                </c:pt>
                <c:pt idx="9">
                  <c:v>-81.846545554533506</c:v>
                </c:pt>
                <c:pt idx="10">
                  <c:v>-81.846545554533506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-81.846545554533506</c:v>
                </c:pt>
                <c:pt idx="17">
                  <c:v>-81.846545554533506</c:v>
                </c:pt>
                <c:pt idx="18">
                  <c:v>-81.846545554533506</c:v>
                </c:pt>
                <c:pt idx="19">
                  <c:v>-81.846545554533506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-81.846545554533506</c:v>
                </c:pt>
                <c:pt idx="29">
                  <c:v>-81.846545554533506</c:v>
                </c:pt>
                <c:pt idx="30">
                  <c:v>-81.846545554533506</c:v>
                </c:pt>
                <c:pt idx="31">
                  <c:v>-81.846545554533506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-81.846545554533506</c:v>
                </c:pt>
                <c:pt idx="35">
                  <c:v>-81.846545554533506</c:v>
                </c:pt>
                <c:pt idx="36">
                  <c:v>-81.846545554533506</c:v>
                </c:pt>
                <c:pt idx="37">
                  <c:v>-81.846545554533506</c:v>
                </c:pt>
                <c:pt idx="38">
                  <c:v>-81.846545554533506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a spessore" -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(P1)'!$B$4:$B$42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(P1)'!$C$4:$C$42</c:f>
              <c:numCache>
                <c:formatCode>General</c:formatCode>
                <c:ptCount val="39"/>
                <c:pt idx="0">
                  <c:v>24.2044</c:v>
                </c:pt>
                <c:pt idx="1">
                  <c:v>19.852799999999998</c:v>
                </c:pt>
                <c:pt idx="2">
                  <c:v>14.8139</c:v>
                </c:pt>
                <c:pt idx="3">
                  <c:v>9.0876999999999999</c:v>
                </c:pt>
                <c:pt idx="4">
                  <c:v>2.6745999999999999</c:v>
                </c:pt>
                <c:pt idx="5">
                  <c:v>7.7134999999999998</c:v>
                </c:pt>
                <c:pt idx="6">
                  <c:v>13.542899999999999</c:v>
                </c:pt>
                <c:pt idx="7">
                  <c:v>18.684999999999999</c:v>
                </c:pt>
                <c:pt idx="8">
                  <c:v>23.139800000000001</c:v>
                </c:pt>
                <c:pt idx="9">
                  <c:v>21.755600000000001</c:v>
                </c:pt>
                <c:pt idx="10">
                  <c:v>17.7332</c:v>
                </c:pt>
                <c:pt idx="11">
                  <c:v>13.0235</c:v>
                </c:pt>
                <c:pt idx="12">
                  <c:v>7.6265000000000001</c:v>
                </c:pt>
                <c:pt idx="13">
                  <c:v>1.9572000000000001</c:v>
                </c:pt>
                <c:pt idx="14">
                  <c:v>8.0629000000000008</c:v>
                </c:pt>
                <c:pt idx="15">
                  <c:v>13.4815</c:v>
                </c:pt>
                <c:pt idx="16">
                  <c:v>18.212800000000001</c:v>
                </c:pt>
                <c:pt idx="17">
                  <c:v>22.256799999999998</c:v>
                </c:pt>
                <c:pt idx="18">
                  <c:v>12.5067</c:v>
                </c:pt>
                <c:pt idx="19">
                  <c:v>12.439</c:v>
                </c:pt>
                <c:pt idx="20">
                  <c:v>11.683999999999999</c:v>
                </c:pt>
                <c:pt idx="21">
                  <c:v>10.2417</c:v>
                </c:pt>
                <c:pt idx="22">
                  <c:v>8.1120000000000001</c:v>
                </c:pt>
                <c:pt idx="23">
                  <c:v>5.2950999999999997</c:v>
                </c:pt>
                <c:pt idx="24">
                  <c:v>5.2447999999999997</c:v>
                </c:pt>
                <c:pt idx="25">
                  <c:v>8.0657999999999994</c:v>
                </c:pt>
                <c:pt idx="26">
                  <c:v>10.1996</c:v>
                </c:pt>
                <c:pt idx="27">
                  <c:v>11.646000000000001</c:v>
                </c:pt>
                <c:pt idx="28">
                  <c:v>12.405200000000001</c:v>
                </c:pt>
                <c:pt idx="29">
                  <c:v>12.477</c:v>
                </c:pt>
                <c:pt idx="30">
                  <c:v>23.7103</c:v>
                </c:pt>
                <c:pt idx="31">
                  <c:v>19.135899999999999</c:v>
                </c:pt>
                <c:pt idx="32">
                  <c:v>13.8743</c:v>
                </c:pt>
                <c:pt idx="33">
                  <c:v>7.9253</c:v>
                </c:pt>
                <c:pt idx="34">
                  <c:v>2.4079999999999999</c:v>
                </c:pt>
                <c:pt idx="35">
                  <c:v>8.9131999999999998</c:v>
                </c:pt>
                <c:pt idx="36">
                  <c:v>14.731400000000001</c:v>
                </c:pt>
                <c:pt idx="37">
                  <c:v>19.862400000000001</c:v>
                </c:pt>
                <c:pt idx="38">
                  <c:v>24.306000000000001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E-4017-819D-756CA098FC3D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(P1)'!$Q$4:$Q$42</c:f>
              <c:numCache>
                <c:formatCode>General</c:formatCode>
                <c:ptCount val="39"/>
                <c:pt idx="0">
                  <c:v>-31.743099999999998</c:v>
                </c:pt>
                <c:pt idx="1">
                  <c:v>-22.4772</c:v>
                </c:pt>
                <c:pt idx="2">
                  <c:v>-13.8986</c:v>
                </c:pt>
                <c:pt idx="3">
                  <c:v>-6.0072999999999999</c:v>
                </c:pt>
                <c:pt idx="4">
                  <c:v>1.1961999999999999</c:v>
                </c:pt>
                <c:pt idx="5">
                  <c:v>-4.4268000000000001</c:v>
                </c:pt>
                <c:pt idx="6">
                  <c:v>-12.2148</c:v>
                </c:pt>
                <c:pt idx="7">
                  <c:v>-20.690200000000001</c:v>
                </c:pt>
                <c:pt idx="8">
                  <c:v>-29.852900000000002</c:v>
                </c:pt>
                <c:pt idx="9">
                  <c:v>-29.339600000000001</c:v>
                </c:pt>
                <c:pt idx="10">
                  <c:v>-20.484500000000001</c:v>
                </c:pt>
                <c:pt idx="11">
                  <c:v>-12.316700000000001</c:v>
                </c:pt>
                <c:pt idx="12">
                  <c:v>-4.8361999999999998</c:v>
                </c:pt>
                <c:pt idx="13">
                  <c:v>1.5419</c:v>
                </c:pt>
                <c:pt idx="14">
                  <c:v>-5.2294</c:v>
                </c:pt>
                <c:pt idx="15">
                  <c:v>-12.6883</c:v>
                </c:pt>
                <c:pt idx="16">
                  <c:v>-20.834499999999998</c:v>
                </c:pt>
                <c:pt idx="17">
                  <c:v>-29.667999999999999</c:v>
                </c:pt>
                <c:pt idx="18">
                  <c:v>-26.114699999999999</c:v>
                </c:pt>
                <c:pt idx="19">
                  <c:v>-19.169899999999998</c:v>
                </c:pt>
                <c:pt idx="20">
                  <c:v>-12.9124</c:v>
                </c:pt>
                <c:pt idx="21">
                  <c:v>-7.3421000000000003</c:v>
                </c:pt>
                <c:pt idx="22">
                  <c:v>-2.4592000000000001</c:v>
                </c:pt>
                <c:pt idx="23">
                  <c:v>1.7363999999999999</c:v>
                </c:pt>
                <c:pt idx="24">
                  <c:v>1.7908999999999999</c:v>
                </c:pt>
                <c:pt idx="25">
                  <c:v>-2.4005999999999998</c:v>
                </c:pt>
                <c:pt idx="26">
                  <c:v>-7.2793999999999999</c:v>
                </c:pt>
                <c:pt idx="27">
                  <c:v>-12.845499999999999</c:v>
                </c:pt>
                <c:pt idx="28">
                  <c:v>-19.0989</c:v>
                </c:pt>
                <c:pt idx="29">
                  <c:v>-26.0396</c:v>
                </c:pt>
                <c:pt idx="30">
                  <c:v>-30.4876</c:v>
                </c:pt>
                <c:pt idx="31">
                  <c:v>-21.232800000000001</c:v>
                </c:pt>
                <c:pt idx="32">
                  <c:v>-12.6654</c:v>
                </c:pt>
                <c:pt idx="33">
                  <c:v>-4.7853000000000003</c:v>
                </c:pt>
                <c:pt idx="34">
                  <c:v>1.2887</c:v>
                </c:pt>
                <c:pt idx="35">
                  <c:v>-6.0345000000000004</c:v>
                </c:pt>
                <c:pt idx="36">
                  <c:v>-14.045400000000001</c:v>
                </c:pt>
                <c:pt idx="37">
                  <c:v>-22.743500000000001</c:v>
                </c:pt>
                <c:pt idx="38">
                  <c:v>-32.128999999999998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E-4017-819D-756CA098FC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(P1)'!$N$4:$N$42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E-4017-819D-756CA098FC3D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(P1)'!$Y$4:$Y$42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1E-4017-819D-756CA098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a spessore" -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(P2) 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(P2) '!$C$4:$C$42</c:f>
              <c:numCache>
                <c:formatCode>General</c:formatCode>
                <c:ptCount val="39"/>
                <c:pt idx="0">
                  <c:v>24.3249</c:v>
                </c:pt>
                <c:pt idx="1">
                  <c:v>19.936199999999999</c:v>
                </c:pt>
                <c:pt idx="2">
                  <c:v>14.860200000000001</c:v>
                </c:pt>
                <c:pt idx="3">
                  <c:v>9.0968999999999998</c:v>
                </c:pt>
                <c:pt idx="4">
                  <c:v>2.6465000000000001</c:v>
                </c:pt>
                <c:pt idx="5">
                  <c:v>7.9516</c:v>
                </c:pt>
                <c:pt idx="6">
                  <c:v>14.0236</c:v>
                </c:pt>
                <c:pt idx="7">
                  <c:v>19.408300000000001</c:v>
                </c:pt>
                <c:pt idx="8">
                  <c:v>24.105699999999999</c:v>
                </c:pt>
                <c:pt idx="9">
                  <c:v>22.210899999999999</c:v>
                </c:pt>
                <c:pt idx="10">
                  <c:v>18.082699999999999</c:v>
                </c:pt>
                <c:pt idx="11">
                  <c:v>13.267300000000001</c:v>
                </c:pt>
                <c:pt idx="12">
                  <c:v>7.7645999999999997</c:v>
                </c:pt>
                <c:pt idx="13">
                  <c:v>1.9672000000000001</c:v>
                </c:pt>
                <c:pt idx="14">
                  <c:v>8.2887000000000004</c:v>
                </c:pt>
                <c:pt idx="15">
                  <c:v>13.923</c:v>
                </c:pt>
                <c:pt idx="16">
                  <c:v>18.87</c:v>
                </c:pt>
                <c:pt idx="17">
                  <c:v>23.129799999999999</c:v>
                </c:pt>
                <c:pt idx="18">
                  <c:v>13.0259</c:v>
                </c:pt>
                <c:pt idx="19">
                  <c:v>12.8644</c:v>
                </c:pt>
                <c:pt idx="20">
                  <c:v>12.015700000000001</c:v>
                </c:pt>
                <c:pt idx="21">
                  <c:v>10.479699999999999</c:v>
                </c:pt>
                <c:pt idx="22">
                  <c:v>8.2563999999999993</c:v>
                </c:pt>
                <c:pt idx="23">
                  <c:v>5.3457999999999997</c:v>
                </c:pt>
                <c:pt idx="24">
                  <c:v>5.3102999999999998</c:v>
                </c:pt>
                <c:pt idx="25">
                  <c:v>8.2353000000000005</c:v>
                </c:pt>
                <c:pt idx="26">
                  <c:v>10.473100000000001</c:v>
                </c:pt>
                <c:pt idx="27">
                  <c:v>12.0235</c:v>
                </c:pt>
                <c:pt idx="28">
                  <c:v>12.8866</c:v>
                </c:pt>
                <c:pt idx="29">
                  <c:v>13.0624</c:v>
                </c:pt>
                <c:pt idx="30">
                  <c:v>24.8886</c:v>
                </c:pt>
                <c:pt idx="31">
                  <c:v>20.021000000000001</c:v>
                </c:pt>
                <c:pt idx="32">
                  <c:v>14.466100000000001</c:v>
                </c:pt>
                <c:pt idx="33">
                  <c:v>8.2239000000000004</c:v>
                </c:pt>
                <c:pt idx="34">
                  <c:v>2.4049999999999998</c:v>
                </c:pt>
                <c:pt idx="35">
                  <c:v>8.8699999999999992</c:v>
                </c:pt>
                <c:pt idx="36">
                  <c:v>14.648</c:v>
                </c:pt>
                <c:pt idx="37">
                  <c:v>19.738600000000002</c:v>
                </c:pt>
                <c:pt idx="38">
                  <c:v>24.141999999999999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A-4C40-B269-1CE133EAAD4D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(P2) '!$Q$4:$Q$42</c:f>
              <c:numCache>
                <c:formatCode>General</c:formatCode>
                <c:ptCount val="39"/>
                <c:pt idx="0">
                  <c:v>-32.717700000000001</c:v>
                </c:pt>
                <c:pt idx="1">
                  <c:v>-23.209299999999999</c:v>
                </c:pt>
                <c:pt idx="2">
                  <c:v>-14.3881</c:v>
                </c:pt>
                <c:pt idx="3">
                  <c:v>-6.2542999999999997</c:v>
                </c:pt>
                <c:pt idx="4">
                  <c:v>1.1920999999999999</c:v>
                </c:pt>
                <c:pt idx="5">
                  <c:v>-4.4917999999999996</c:v>
                </c:pt>
                <c:pt idx="6">
                  <c:v>-12.317</c:v>
                </c:pt>
                <c:pt idx="7">
                  <c:v>-20.829499999999999</c:v>
                </c:pt>
                <c:pt idx="8">
                  <c:v>-30.029299999999999</c:v>
                </c:pt>
                <c:pt idx="9">
                  <c:v>-30.192499999999999</c:v>
                </c:pt>
                <c:pt idx="10">
                  <c:v>-21.121700000000001</c:v>
                </c:pt>
                <c:pt idx="11">
                  <c:v>-12.738099999999999</c:v>
                </c:pt>
                <c:pt idx="12">
                  <c:v>-5.0419</c:v>
                </c:pt>
                <c:pt idx="13">
                  <c:v>1.5744</c:v>
                </c:pt>
                <c:pt idx="14">
                  <c:v>-5.3028000000000004</c:v>
                </c:pt>
                <c:pt idx="15">
                  <c:v>-12.8674</c:v>
                </c:pt>
                <c:pt idx="16">
                  <c:v>-21.119299999999999</c:v>
                </c:pt>
                <c:pt idx="17">
                  <c:v>-30.058599999999998</c:v>
                </c:pt>
                <c:pt idx="18">
                  <c:v>-26.672999999999998</c:v>
                </c:pt>
                <c:pt idx="19">
                  <c:v>-19.624199999999998</c:v>
                </c:pt>
                <c:pt idx="20">
                  <c:v>-13.262700000000001</c:v>
                </c:pt>
                <c:pt idx="21">
                  <c:v>-7.5884999999999998</c:v>
                </c:pt>
                <c:pt idx="22">
                  <c:v>-2.6015999999999999</c:v>
                </c:pt>
                <c:pt idx="23">
                  <c:v>1.698</c:v>
                </c:pt>
                <c:pt idx="24">
                  <c:v>1.7479</c:v>
                </c:pt>
                <c:pt idx="25">
                  <c:v>-2.5371999999999999</c:v>
                </c:pt>
                <c:pt idx="26">
                  <c:v>-7.5096999999999996</c:v>
                </c:pt>
                <c:pt idx="27">
                  <c:v>-13.169499999999999</c:v>
                </c:pt>
                <c:pt idx="28">
                  <c:v>-19.5166</c:v>
                </c:pt>
                <c:pt idx="29">
                  <c:v>-26.550999999999998</c:v>
                </c:pt>
                <c:pt idx="30">
                  <c:v>-30.3291</c:v>
                </c:pt>
                <c:pt idx="31">
                  <c:v>-21.114699999999999</c:v>
                </c:pt>
                <c:pt idx="32">
                  <c:v>-12.5876</c:v>
                </c:pt>
                <c:pt idx="33">
                  <c:v>-4.7477999999999998</c:v>
                </c:pt>
                <c:pt idx="34">
                  <c:v>1.2942</c:v>
                </c:pt>
                <c:pt idx="35">
                  <c:v>-6.3224999999999998</c:v>
                </c:pt>
                <c:pt idx="36">
                  <c:v>-14.6265</c:v>
                </c:pt>
                <c:pt idx="37">
                  <c:v>-23.617899999999999</c:v>
                </c:pt>
                <c:pt idx="38" formatCode="0">
                  <c:v>-26.4937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A-4C40-B269-1CE133EAAD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(P2) 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0A-4C40-B269-1CE133EAAD4D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(P2) 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0A-4C40-B269-1CE133EAA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"</a:t>
            </a:r>
            <a:r>
              <a:rPr lang="it-IT"/>
              <a:t>trave a spessore"  - Piano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(P3)'!$B$4:$B$42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(P3)'!$C$4:$C$42</c:f>
              <c:numCache>
                <c:formatCode>General</c:formatCode>
                <c:ptCount val="39"/>
                <c:pt idx="0">
                  <c:v>16.4224</c:v>
                </c:pt>
                <c:pt idx="1">
                  <c:v>13.965299999999999</c:v>
                </c:pt>
                <c:pt idx="2">
                  <c:v>10.8209</c:v>
                </c:pt>
                <c:pt idx="3">
                  <c:v>6.9893000000000001</c:v>
                </c:pt>
                <c:pt idx="4">
                  <c:v>2.4706000000000001</c:v>
                </c:pt>
                <c:pt idx="5">
                  <c:v>6.3536999999999999</c:v>
                </c:pt>
                <c:pt idx="6">
                  <c:v>10.6723</c:v>
                </c:pt>
                <c:pt idx="7">
                  <c:v>14.303599999999999</c:v>
                </c:pt>
                <c:pt idx="8">
                  <c:v>17.247599999999998</c:v>
                </c:pt>
                <c:pt idx="9">
                  <c:v>15.132400000000001</c:v>
                </c:pt>
                <c:pt idx="10">
                  <c:v>12.788600000000001</c:v>
                </c:pt>
                <c:pt idx="11">
                  <c:v>9.7574000000000005</c:v>
                </c:pt>
                <c:pt idx="12">
                  <c:v>6.0388999999999999</c:v>
                </c:pt>
                <c:pt idx="13">
                  <c:v>1.9274</c:v>
                </c:pt>
                <c:pt idx="14">
                  <c:v>6.5469999999999997</c:v>
                </c:pt>
                <c:pt idx="15">
                  <c:v>10.4795</c:v>
                </c:pt>
                <c:pt idx="16">
                  <c:v>13.7247</c:v>
                </c:pt>
                <c:pt idx="17">
                  <c:v>16.282599999999999</c:v>
                </c:pt>
                <c:pt idx="18">
                  <c:v>7.8834</c:v>
                </c:pt>
                <c:pt idx="19">
                  <c:v>8.6570999999999998</c:v>
                </c:pt>
                <c:pt idx="20">
                  <c:v>8.7433999999999994</c:v>
                </c:pt>
                <c:pt idx="21">
                  <c:v>8.1425000000000001</c:v>
                </c:pt>
                <c:pt idx="22">
                  <c:v>6.8543000000000003</c:v>
                </c:pt>
                <c:pt idx="23">
                  <c:v>4.8788</c:v>
                </c:pt>
                <c:pt idx="24">
                  <c:v>4.8644999999999996</c:v>
                </c:pt>
                <c:pt idx="25">
                  <c:v>6.8617999999999997</c:v>
                </c:pt>
                <c:pt idx="26">
                  <c:v>8.1716999999999995</c:v>
                </c:pt>
                <c:pt idx="27">
                  <c:v>8.7942999999999998</c:v>
                </c:pt>
                <c:pt idx="28">
                  <c:v>8.7295999999999996</c:v>
                </c:pt>
                <c:pt idx="29">
                  <c:v>7.9776999999999996</c:v>
                </c:pt>
                <c:pt idx="30">
                  <c:v>18.034099999999999</c:v>
                </c:pt>
                <c:pt idx="31">
                  <c:v>14.910500000000001</c:v>
                </c:pt>
                <c:pt idx="32">
                  <c:v>11.0997</c:v>
                </c:pt>
                <c:pt idx="33">
                  <c:v>6.6016000000000004</c:v>
                </c:pt>
                <c:pt idx="34">
                  <c:v>2.2717000000000001</c:v>
                </c:pt>
                <c:pt idx="35">
                  <c:v>6.7274000000000003</c:v>
                </c:pt>
                <c:pt idx="36">
                  <c:v>10.4961</c:v>
                </c:pt>
                <c:pt idx="37">
                  <c:v>13.577400000000001</c:v>
                </c:pt>
                <c:pt idx="38">
                  <c:v>15.971500000000001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8-4D5C-B24E-4CF12FD71D00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(P3)'!$Q$4:$Q$42</c:f>
              <c:numCache>
                <c:formatCode>General</c:formatCode>
                <c:ptCount val="39"/>
                <c:pt idx="0">
                  <c:v>-33.296599999999998</c:v>
                </c:pt>
                <c:pt idx="1">
                  <c:v>-25.5489</c:v>
                </c:pt>
                <c:pt idx="2">
                  <c:v>-17.793800000000001</c:v>
                </c:pt>
                <c:pt idx="3">
                  <c:v>-10.726000000000001</c:v>
                </c:pt>
                <c:pt idx="4">
                  <c:v>-4.3455000000000004</c:v>
                </c:pt>
                <c:pt idx="5">
                  <c:v>1.3473999999999999</c:v>
                </c:pt>
                <c:pt idx="6">
                  <c:v>-2.7361</c:v>
                </c:pt>
                <c:pt idx="7">
                  <c:v>-8.6296999999999997</c:v>
                </c:pt>
                <c:pt idx="8">
                  <c:v>-15.210599999999999</c:v>
                </c:pt>
                <c:pt idx="9">
                  <c:v>-22.4788</c:v>
                </c:pt>
                <c:pt idx="10">
                  <c:v>-23.425000000000001</c:v>
                </c:pt>
                <c:pt idx="11">
                  <c:v>-16.056000000000001</c:v>
                </c:pt>
                <c:pt idx="12">
                  <c:v>-9.3742999999999999</c:v>
                </c:pt>
                <c:pt idx="13">
                  <c:v>-3.3799000000000001</c:v>
                </c:pt>
                <c:pt idx="14">
                  <c:v>1.633</c:v>
                </c:pt>
                <c:pt idx="15">
                  <c:v>-3.4599000000000002</c:v>
                </c:pt>
                <c:pt idx="16">
                  <c:v>-9.2401999999999997</c:v>
                </c:pt>
                <c:pt idx="17">
                  <c:v>-15.7079</c:v>
                </c:pt>
                <c:pt idx="18">
                  <c:v>-22.8628</c:v>
                </c:pt>
                <c:pt idx="19">
                  <c:v>-21.552</c:v>
                </c:pt>
                <c:pt idx="20">
                  <c:v>-15.430999999999999</c:v>
                </c:pt>
                <c:pt idx="21">
                  <c:v>-9.9972999999999992</c:v>
                </c:pt>
                <c:pt idx="22">
                  <c:v>-5.2508999999999997</c:v>
                </c:pt>
                <c:pt idx="23">
                  <c:v>-1.1918</c:v>
                </c:pt>
                <c:pt idx="24">
                  <c:v>2.1800000000000002</c:v>
                </c:pt>
                <c:pt idx="25">
                  <c:v>2.2160000000000002</c:v>
                </c:pt>
                <c:pt idx="26">
                  <c:v>-1.1341000000000001</c:v>
                </c:pt>
                <c:pt idx="27">
                  <c:v>-5.1715</c:v>
                </c:pt>
                <c:pt idx="28">
                  <c:v>-9.8962000000000003</c:v>
                </c:pt>
                <c:pt idx="29">
                  <c:v>-15.308199999999999</c:v>
                </c:pt>
                <c:pt idx="30">
                  <c:v>-21.407499999999999</c:v>
                </c:pt>
                <c:pt idx="31">
                  <c:v>-22.4254</c:v>
                </c:pt>
                <c:pt idx="32">
                  <c:v>-15.2203</c:v>
                </c:pt>
                <c:pt idx="33">
                  <c:v>-8.7024000000000008</c:v>
                </c:pt>
                <c:pt idx="34">
                  <c:v>-2.8719000000000001</c:v>
                </c:pt>
                <c:pt idx="35">
                  <c:v>1.4158999999999999</c:v>
                </c:pt>
                <c:pt idx="36">
                  <c:v>-4.4565999999999999</c:v>
                </c:pt>
                <c:pt idx="37">
                  <c:v>-11.0166</c:v>
                </c:pt>
                <c:pt idx="38">
                  <c:v>-18.2639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8-4D5C-B24E-4CF12FD71D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(P3)'!$N$4:$N$42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D8-4D5C-B24E-4CF12FD71D00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(P3)'!$Y$4:$Y$42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D8-4D5C-B24E-4CF12FD71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paperSize="8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a spessore" - Piano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A SPESSORE (P4)'!$B$4:$B$42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A SPESSORE (P4)'!$C$4:$C$42</c:f>
              <c:numCache>
                <c:formatCode>General</c:formatCode>
                <c:ptCount val="39"/>
                <c:pt idx="0">
                  <c:v>6.8895999999999997</c:v>
                </c:pt>
                <c:pt idx="1">
                  <c:v>6.8467000000000002</c:v>
                </c:pt>
                <c:pt idx="2">
                  <c:v>6.1163999999999996</c:v>
                </c:pt>
                <c:pt idx="3">
                  <c:v>4.6989999999999998</c:v>
                </c:pt>
                <c:pt idx="4">
                  <c:v>2.5952999999999999</c:v>
                </c:pt>
                <c:pt idx="5">
                  <c:v>3.9182999999999999</c:v>
                </c:pt>
                <c:pt idx="6">
                  <c:v>5.6367000000000003</c:v>
                </c:pt>
                <c:pt idx="7">
                  <c:v>6.6680000000000001</c:v>
                </c:pt>
                <c:pt idx="8">
                  <c:v>7.0119999999999996</c:v>
                </c:pt>
                <c:pt idx="9">
                  <c:v>5.4024000000000001</c:v>
                </c:pt>
                <c:pt idx="10">
                  <c:v>5.4772999999999996</c:v>
                </c:pt>
                <c:pt idx="11">
                  <c:v>4.8650000000000002</c:v>
                </c:pt>
                <c:pt idx="12">
                  <c:v>3.5653999999999999</c:v>
                </c:pt>
                <c:pt idx="13">
                  <c:v>1.8267</c:v>
                </c:pt>
                <c:pt idx="14">
                  <c:v>3.8494000000000002</c:v>
                </c:pt>
                <c:pt idx="15">
                  <c:v>5.1879</c:v>
                </c:pt>
                <c:pt idx="16">
                  <c:v>5.8391999999999999</c:v>
                </c:pt>
                <c:pt idx="17">
                  <c:v>5.8032000000000004</c:v>
                </c:pt>
                <c:pt idx="18">
                  <c:v>0.63049999999999995</c:v>
                </c:pt>
                <c:pt idx="19">
                  <c:v>2.7589999999999999</c:v>
                </c:pt>
                <c:pt idx="20">
                  <c:v>4.2003000000000004</c:v>
                </c:pt>
                <c:pt idx="21">
                  <c:v>4.9542000000000002</c:v>
                </c:pt>
                <c:pt idx="22">
                  <c:v>5.0209000000000001</c:v>
                </c:pt>
                <c:pt idx="23">
                  <c:v>4.4002999999999997</c:v>
                </c:pt>
                <c:pt idx="24">
                  <c:v>4.3806000000000003</c:v>
                </c:pt>
                <c:pt idx="25">
                  <c:v>5.0456000000000003</c:v>
                </c:pt>
                <c:pt idx="26">
                  <c:v>5.0232999999999999</c:v>
                </c:pt>
                <c:pt idx="27">
                  <c:v>4.3136999999999999</c:v>
                </c:pt>
                <c:pt idx="28">
                  <c:v>2.9169</c:v>
                </c:pt>
                <c:pt idx="29">
                  <c:v>0.8327</c:v>
                </c:pt>
                <c:pt idx="30">
                  <c:v>7.2991999999999999</c:v>
                </c:pt>
                <c:pt idx="31">
                  <c:v>6.8666999999999998</c:v>
                </c:pt>
                <c:pt idx="32">
                  <c:v>5.7469000000000001</c:v>
                </c:pt>
                <c:pt idx="33">
                  <c:v>3.9399000000000002</c:v>
                </c:pt>
                <c:pt idx="34">
                  <c:v>2.3530000000000002</c:v>
                </c:pt>
                <c:pt idx="35">
                  <c:v>4.4440999999999997</c:v>
                </c:pt>
                <c:pt idx="36">
                  <c:v>5.8483999999999998</c:v>
                </c:pt>
                <c:pt idx="37">
                  <c:v>6.5654000000000003</c:v>
                </c:pt>
                <c:pt idx="38">
                  <c:v>6.5951000000000004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7-4EF6-B8C3-AD378BFC30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A SPESSORE (P4)'!$Q$4:$Q$42</c:f>
              <c:numCache>
                <c:formatCode>General</c:formatCode>
                <c:ptCount val="39"/>
                <c:pt idx="0">
                  <c:v>-26.198599999999999</c:v>
                </c:pt>
                <c:pt idx="1">
                  <c:v>-14.9847</c:v>
                </c:pt>
                <c:pt idx="2">
                  <c:v>-9.8295999999999992</c:v>
                </c:pt>
                <c:pt idx="3">
                  <c:v>-5.3619000000000003</c:v>
                </c:pt>
                <c:pt idx="4">
                  <c:v>-1.5814999999999999</c:v>
                </c:pt>
                <c:pt idx="5">
                  <c:v>1.5105</c:v>
                </c:pt>
                <c:pt idx="6">
                  <c:v>-0.19869999999999999</c:v>
                </c:pt>
                <c:pt idx="7">
                  <c:v>-3.6779999999999999</c:v>
                </c:pt>
                <c:pt idx="8">
                  <c:v>-7.8446999999999996</c:v>
                </c:pt>
                <c:pt idx="9">
                  <c:v>-12.698700000000001</c:v>
                </c:pt>
                <c:pt idx="10">
                  <c:v>-13.1532</c:v>
                </c:pt>
                <c:pt idx="11">
                  <c:v>-8.3781999999999996</c:v>
                </c:pt>
                <c:pt idx="12">
                  <c:v>-4.2904</c:v>
                </c:pt>
                <c:pt idx="13">
                  <c:v>-0.89</c:v>
                </c:pt>
                <c:pt idx="14">
                  <c:v>1.575</c:v>
                </c:pt>
                <c:pt idx="15">
                  <c:v>-1.0961000000000001</c:v>
                </c:pt>
                <c:pt idx="16">
                  <c:v>-4.4576000000000002</c:v>
                </c:pt>
                <c:pt idx="17">
                  <c:v>-8.5063999999999993</c:v>
                </c:pt>
                <c:pt idx="18">
                  <c:v>-13.242599999999999</c:v>
                </c:pt>
                <c:pt idx="19">
                  <c:v>-14.042899999999999</c:v>
                </c:pt>
                <c:pt idx="20">
                  <c:v>-9.2540999999999993</c:v>
                </c:pt>
                <c:pt idx="21">
                  <c:v>-5.1525999999999996</c:v>
                </c:pt>
                <c:pt idx="22">
                  <c:v>-1.7383999999999999</c:v>
                </c:pt>
                <c:pt idx="23">
                  <c:v>0.98850000000000005</c:v>
                </c:pt>
                <c:pt idx="24">
                  <c:v>3.028</c:v>
                </c:pt>
                <c:pt idx="25">
                  <c:v>3.0920999999999998</c:v>
                </c:pt>
                <c:pt idx="26">
                  <c:v>1.097</c:v>
                </c:pt>
                <c:pt idx="27">
                  <c:v>-1.5854999999999999</c:v>
                </c:pt>
                <c:pt idx="28">
                  <c:v>-4.9554</c:v>
                </c:pt>
                <c:pt idx="29">
                  <c:v>-9.0124999999999993</c:v>
                </c:pt>
                <c:pt idx="30">
                  <c:v>-13.7569</c:v>
                </c:pt>
                <c:pt idx="31">
                  <c:v>-12.886900000000001</c:v>
                </c:pt>
                <c:pt idx="32">
                  <c:v>-8.0460999999999991</c:v>
                </c:pt>
                <c:pt idx="33">
                  <c:v>-3.8925999999999998</c:v>
                </c:pt>
                <c:pt idx="34">
                  <c:v>-0.42649999999999999</c:v>
                </c:pt>
                <c:pt idx="35">
                  <c:v>1.4448000000000001</c:v>
                </c:pt>
                <c:pt idx="36">
                  <c:v>-1.7363999999999999</c:v>
                </c:pt>
                <c:pt idx="37">
                  <c:v>-5.6054000000000004</c:v>
                </c:pt>
                <c:pt idx="38">
                  <c:v>-10.1617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7-4EF6-B8C3-AD378BFC30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(P4)'!$N$4:$N$42</c:f>
              <c:numCache>
                <c:formatCode>0.0</c:formatCode>
                <c:ptCount val="39"/>
                <c:pt idx="0">
                  <c:v>42.982868562555893</c:v>
                </c:pt>
                <c:pt idx="1">
                  <c:v>42.982868562555893</c:v>
                </c:pt>
                <c:pt idx="2">
                  <c:v>42.982868562555893</c:v>
                </c:pt>
                <c:pt idx="3">
                  <c:v>42.982868562555893</c:v>
                </c:pt>
                <c:pt idx="4">
                  <c:v>42.982868562555893</c:v>
                </c:pt>
                <c:pt idx="5">
                  <c:v>42.982868562555893</c:v>
                </c:pt>
                <c:pt idx="6">
                  <c:v>42.982868562555893</c:v>
                </c:pt>
                <c:pt idx="7">
                  <c:v>42.982868562555893</c:v>
                </c:pt>
                <c:pt idx="8">
                  <c:v>42.982868562555893</c:v>
                </c:pt>
                <c:pt idx="9">
                  <c:v>42.982868562555893</c:v>
                </c:pt>
                <c:pt idx="10">
                  <c:v>42.982868562555893</c:v>
                </c:pt>
                <c:pt idx="11">
                  <c:v>42.982868562555893</c:v>
                </c:pt>
                <c:pt idx="12">
                  <c:v>42.982868562555893</c:v>
                </c:pt>
                <c:pt idx="13">
                  <c:v>42.982868562555893</c:v>
                </c:pt>
                <c:pt idx="14">
                  <c:v>42.982868562555893</c:v>
                </c:pt>
                <c:pt idx="15">
                  <c:v>42.982868562555893</c:v>
                </c:pt>
                <c:pt idx="16">
                  <c:v>42.982868562555893</c:v>
                </c:pt>
                <c:pt idx="17">
                  <c:v>42.982868562555893</c:v>
                </c:pt>
                <c:pt idx="18">
                  <c:v>42.982868562555893</c:v>
                </c:pt>
                <c:pt idx="19">
                  <c:v>42.982868562555893</c:v>
                </c:pt>
                <c:pt idx="20">
                  <c:v>42.982868562555893</c:v>
                </c:pt>
                <c:pt idx="21">
                  <c:v>42.982868562555893</c:v>
                </c:pt>
                <c:pt idx="22">
                  <c:v>42.982868562555893</c:v>
                </c:pt>
                <c:pt idx="23">
                  <c:v>42.982868562555893</c:v>
                </c:pt>
                <c:pt idx="24">
                  <c:v>42.982868562555893</c:v>
                </c:pt>
                <c:pt idx="25">
                  <c:v>42.982868562555893</c:v>
                </c:pt>
                <c:pt idx="26">
                  <c:v>42.982868562555893</c:v>
                </c:pt>
                <c:pt idx="27">
                  <c:v>42.982868562555893</c:v>
                </c:pt>
                <c:pt idx="28">
                  <c:v>42.982868562555893</c:v>
                </c:pt>
                <c:pt idx="29">
                  <c:v>42.982868562555893</c:v>
                </c:pt>
                <c:pt idx="30">
                  <c:v>42.982868562555893</c:v>
                </c:pt>
                <c:pt idx="31">
                  <c:v>42.982868562555893</c:v>
                </c:pt>
                <c:pt idx="32">
                  <c:v>42.982868562555893</c:v>
                </c:pt>
                <c:pt idx="33">
                  <c:v>42.982868562555893</c:v>
                </c:pt>
                <c:pt idx="34">
                  <c:v>42.982868562555893</c:v>
                </c:pt>
                <c:pt idx="35">
                  <c:v>42.982868562555893</c:v>
                </c:pt>
                <c:pt idx="36">
                  <c:v>42.982868562555893</c:v>
                </c:pt>
                <c:pt idx="37">
                  <c:v>42.982868562555893</c:v>
                </c:pt>
                <c:pt idx="38">
                  <c:v>42.982868562555893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7-4EF6-B8C3-AD378BFC30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A SPESSORE (P4)'!$Y$4:$Y$42</c:f>
              <c:numCache>
                <c:formatCode>0.0</c:formatCode>
                <c:ptCount val="39"/>
                <c:pt idx="0">
                  <c:v>-52.534617132012755</c:v>
                </c:pt>
                <c:pt idx="1">
                  <c:v>-52.534617132012755</c:v>
                </c:pt>
                <c:pt idx="2">
                  <c:v>-52.534617132012755</c:v>
                </c:pt>
                <c:pt idx="3">
                  <c:v>-52.534617132012755</c:v>
                </c:pt>
                <c:pt idx="4">
                  <c:v>-52.534617132012755</c:v>
                </c:pt>
                <c:pt idx="5">
                  <c:v>-52.534617132012755</c:v>
                </c:pt>
                <c:pt idx="6">
                  <c:v>-52.534617132012755</c:v>
                </c:pt>
                <c:pt idx="7">
                  <c:v>-52.534617132012755</c:v>
                </c:pt>
                <c:pt idx="8">
                  <c:v>-52.534617132012755</c:v>
                </c:pt>
                <c:pt idx="9">
                  <c:v>-52.534617132012755</c:v>
                </c:pt>
                <c:pt idx="10">
                  <c:v>-52.534617132012755</c:v>
                </c:pt>
                <c:pt idx="11">
                  <c:v>-52.534617132012755</c:v>
                </c:pt>
                <c:pt idx="12">
                  <c:v>-52.534617132012755</c:v>
                </c:pt>
                <c:pt idx="13">
                  <c:v>-52.534617132012755</c:v>
                </c:pt>
                <c:pt idx="14">
                  <c:v>-52.534617132012755</c:v>
                </c:pt>
                <c:pt idx="15">
                  <c:v>-52.534617132012755</c:v>
                </c:pt>
                <c:pt idx="16">
                  <c:v>-52.534617132012755</c:v>
                </c:pt>
                <c:pt idx="17">
                  <c:v>-52.534617132012755</c:v>
                </c:pt>
                <c:pt idx="18">
                  <c:v>-52.534617132012755</c:v>
                </c:pt>
                <c:pt idx="19">
                  <c:v>-52.534617132012755</c:v>
                </c:pt>
                <c:pt idx="20">
                  <c:v>-52.534617132012755</c:v>
                </c:pt>
                <c:pt idx="21">
                  <c:v>-52.534617132012755</c:v>
                </c:pt>
                <c:pt idx="22">
                  <c:v>-52.534617132012755</c:v>
                </c:pt>
                <c:pt idx="23">
                  <c:v>-52.534617132012755</c:v>
                </c:pt>
                <c:pt idx="24">
                  <c:v>-52.534617132012755</c:v>
                </c:pt>
                <c:pt idx="25">
                  <c:v>-52.534617132012755</c:v>
                </c:pt>
                <c:pt idx="26">
                  <c:v>-52.534617132012755</c:v>
                </c:pt>
                <c:pt idx="27">
                  <c:v>-52.534617132012755</c:v>
                </c:pt>
                <c:pt idx="28">
                  <c:v>-52.534617132012755</c:v>
                </c:pt>
                <c:pt idx="29">
                  <c:v>-52.534617132012755</c:v>
                </c:pt>
                <c:pt idx="30">
                  <c:v>-52.534617132012755</c:v>
                </c:pt>
                <c:pt idx="31">
                  <c:v>-52.534617132012755</c:v>
                </c:pt>
                <c:pt idx="32">
                  <c:v>-52.534617132012755</c:v>
                </c:pt>
                <c:pt idx="33">
                  <c:v>-52.534617132012755</c:v>
                </c:pt>
                <c:pt idx="34">
                  <c:v>-52.534617132012755</c:v>
                </c:pt>
                <c:pt idx="35">
                  <c:v>-52.534617132012755</c:v>
                </c:pt>
                <c:pt idx="36">
                  <c:v>-52.534617132012755</c:v>
                </c:pt>
                <c:pt idx="37">
                  <c:v>-52.534617132012755</c:v>
                </c:pt>
                <c:pt idx="38">
                  <c:v>-52.534617132012755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57-4EF6-B8C3-AD378BFC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Trave dirY -P4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'!$F$169:$F$198</c:f>
              <c:numCache>
                <c:formatCode>General</c:formatCode>
                <c:ptCount val="30"/>
                <c:pt idx="0">
                  <c:v>0.99080000000000001</c:v>
                </c:pt>
                <c:pt idx="1">
                  <c:v>18.889199999999999</c:v>
                </c:pt>
                <c:pt idx="2">
                  <c:v>29.086200000000002</c:v>
                </c:pt>
                <c:pt idx="3">
                  <c:v>44.097099999999998</c:v>
                </c:pt>
                <c:pt idx="4">
                  <c:v>44.455599999999997</c:v>
                </c:pt>
                <c:pt idx="5">
                  <c:v>30.161799999999999</c:v>
                </c:pt>
                <c:pt idx="6">
                  <c:v>12.0168</c:v>
                </c:pt>
                <c:pt idx="7">
                  <c:v>-5.7693000000000003</c:v>
                </c:pt>
                <c:pt idx="8">
                  <c:v>-31.5334</c:v>
                </c:pt>
                <c:pt idx="9">
                  <c:v>-54.386400000000002</c:v>
                </c:pt>
                <c:pt idx="10">
                  <c:v>-18.421600000000002</c:v>
                </c:pt>
                <c:pt idx="11">
                  <c:v>9.5650999999999993</c:v>
                </c:pt>
                <c:pt idx="12">
                  <c:v>36.395600000000002</c:v>
                </c:pt>
                <c:pt idx="13">
                  <c:v>65.700199999999995</c:v>
                </c:pt>
                <c:pt idx="14">
                  <c:v>80.352599999999995</c:v>
                </c:pt>
                <c:pt idx="15">
                  <c:v>80.352599999999995</c:v>
                </c:pt>
                <c:pt idx="16">
                  <c:v>65.700199999999995</c:v>
                </c:pt>
                <c:pt idx="17">
                  <c:v>36.395600000000002</c:v>
                </c:pt>
                <c:pt idx="18">
                  <c:v>9.5650999999999993</c:v>
                </c:pt>
                <c:pt idx="19">
                  <c:v>-18.421600000000002</c:v>
                </c:pt>
                <c:pt idx="20">
                  <c:v>-54.386400000000002</c:v>
                </c:pt>
                <c:pt idx="21">
                  <c:v>-31.5334</c:v>
                </c:pt>
                <c:pt idx="22">
                  <c:v>-5.7693000000000003</c:v>
                </c:pt>
                <c:pt idx="23">
                  <c:v>12.0169</c:v>
                </c:pt>
                <c:pt idx="24">
                  <c:v>30.161799999999999</c:v>
                </c:pt>
                <c:pt idx="25">
                  <c:v>44.455599999999997</c:v>
                </c:pt>
                <c:pt idx="26">
                  <c:v>44.097099999999998</c:v>
                </c:pt>
                <c:pt idx="27">
                  <c:v>29.086200000000002</c:v>
                </c:pt>
                <c:pt idx="28">
                  <c:v>18.889199999999999</c:v>
                </c:pt>
                <c:pt idx="29">
                  <c:v>0.99080000000000001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A-4759-970A-832778D86F69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'!$X$169:$X$198</c:f>
              <c:numCache>
                <c:formatCode>General</c:formatCode>
                <c:ptCount val="30"/>
                <c:pt idx="0">
                  <c:v>-48.810099999999998</c:v>
                </c:pt>
                <c:pt idx="1">
                  <c:v>-18.727499999999999</c:v>
                </c:pt>
                <c:pt idx="2">
                  <c:v>3.3769</c:v>
                </c:pt>
                <c:pt idx="3">
                  <c:v>17.502500000000001</c:v>
                </c:pt>
                <c:pt idx="4">
                  <c:v>23.623899999999999</c:v>
                </c:pt>
                <c:pt idx="5">
                  <c:v>10.698</c:v>
                </c:pt>
                <c:pt idx="6">
                  <c:v>-11.292999999999999</c:v>
                </c:pt>
                <c:pt idx="7">
                  <c:v>-42.382800000000003</c:v>
                </c:pt>
                <c:pt idx="8">
                  <c:v>-100.6336</c:v>
                </c:pt>
                <c:pt idx="9">
                  <c:v>-139.4325</c:v>
                </c:pt>
                <c:pt idx="10">
                  <c:v>-66.1708</c:v>
                </c:pt>
                <c:pt idx="11">
                  <c:v>-17.9316</c:v>
                </c:pt>
                <c:pt idx="12">
                  <c:v>9.9283999999999999</c:v>
                </c:pt>
                <c:pt idx="13">
                  <c:v>29.810199999999998</c:v>
                </c:pt>
                <c:pt idx="14">
                  <c:v>41.713999999999999</c:v>
                </c:pt>
                <c:pt idx="15">
                  <c:v>41.713999999999999</c:v>
                </c:pt>
                <c:pt idx="16">
                  <c:v>29.810199999999998</c:v>
                </c:pt>
                <c:pt idx="17">
                  <c:v>9.9283999999999999</c:v>
                </c:pt>
                <c:pt idx="18">
                  <c:v>-17.9316</c:v>
                </c:pt>
                <c:pt idx="19">
                  <c:v>-66.1708</c:v>
                </c:pt>
                <c:pt idx="20">
                  <c:v>-139.4325</c:v>
                </c:pt>
                <c:pt idx="21">
                  <c:v>-100.6336</c:v>
                </c:pt>
                <c:pt idx="22">
                  <c:v>-42.382800000000003</c:v>
                </c:pt>
                <c:pt idx="23">
                  <c:v>-11.292999999999999</c:v>
                </c:pt>
                <c:pt idx="24">
                  <c:v>10.698</c:v>
                </c:pt>
                <c:pt idx="25">
                  <c:v>23.623899999999999</c:v>
                </c:pt>
                <c:pt idx="26">
                  <c:v>17.502500000000001</c:v>
                </c:pt>
                <c:pt idx="27">
                  <c:v>3.3769</c:v>
                </c:pt>
                <c:pt idx="28">
                  <c:v>-18.727499999999999</c:v>
                </c:pt>
                <c:pt idx="29">
                  <c:v>-48.810099999999998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A-4759-970A-832778D86F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'!$Q$169:$Q$198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82.383831411565467</c:v>
                </c:pt>
                <c:pt idx="14">
                  <c:v>82.383831411565467</c:v>
                </c:pt>
                <c:pt idx="15">
                  <c:v>82.383831411565467</c:v>
                </c:pt>
                <c:pt idx="16">
                  <c:v>82.383831411565467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A-4759-970A-832778D86F69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'!$AI$169:$AI$198</c:f>
              <c:numCache>
                <c:formatCode>0</c:formatCode>
                <c:ptCount val="30"/>
                <c:pt idx="0">
                  <c:v>-82.383831411565467</c:v>
                </c:pt>
                <c:pt idx="1">
                  <c:v>-82.383831411565467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-82.383831411565467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-82.383831411565467</c:v>
                </c:pt>
                <c:pt idx="28">
                  <c:v>-82.383831411565467</c:v>
                </c:pt>
                <c:pt idx="29">
                  <c:v>-82.383831411565467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A-4759-970A-832778D8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</a:t>
            </a:r>
            <a:r>
              <a:rPr lang="it-IT" sz="1800" b="1" i="0" u="none" strike="noStrike" baseline="0">
                <a:effectLst/>
              </a:rPr>
              <a:t>dirX </a:t>
            </a:r>
            <a:r>
              <a:rPr lang="it-IT"/>
              <a:t>" - Piano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ESTERNA(P1)'!$B$4:$B$42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ESTERNA(P1)'!$C$4:$C$42</c:f>
              <c:numCache>
                <c:formatCode>General</c:formatCode>
                <c:ptCount val="39"/>
                <c:pt idx="0">
                  <c:v>148.6995</c:v>
                </c:pt>
                <c:pt idx="1">
                  <c:v>119.9532</c:v>
                </c:pt>
                <c:pt idx="2">
                  <c:v>88.397099999999995</c:v>
                </c:pt>
                <c:pt idx="3">
                  <c:v>54.031500000000001</c:v>
                </c:pt>
                <c:pt idx="4">
                  <c:v>16.858000000000001</c:v>
                </c:pt>
                <c:pt idx="5">
                  <c:v>37.1008</c:v>
                </c:pt>
                <c:pt idx="6">
                  <c:v>71.390900000000002</c:v>
                </c:pt>
                <c:pt idx="7">
                  <c:v>102.8717</c:v>
                </c:pt>
                <c:pt idx="8">
                  <c:v>131.5428</c:v>
                </c:pt>
                <c:pt idx="9">
                  <c:v>122.6417</c:v>
                </c:pt>
                <c:pt idx="10">
                  <c:v>97.337400000000002</c:v>
                </c:pt>
                <c:pt idx="11">
                  <c:v>69.223500000000001</c:v>
                </c:pt>
                <c:pt idx="12">
                  <c:v>38.299900000000001</c:v>
                </c:pt>
                <c:pt idx="13">
                  <c:v>8.9707000000000008</c:v>
                </c:pt>
                <c:pt idx="14">
                  <c:v>42.309800000000003</c:v>
                </c:pt>
                <c:pt idx="15">
                  <c:v>72.842799999999997</c:v>
                </c:pt>
                <c:pt idx="16">
                  <c:v>100.56610000000001</c:v>
                </c:pt>
                <c:pt idx="17">
                  <c:v>125.47969999999999</c:v>
                </c:pt>
                <c:pt idx="18">
                  <c:v>83.171300000000002</c:v>
                </c:pt>
                <c:pt idx="19">
                  <c:v>77.221100000000007</c:v>
                </c:pt>
                <c:pt idx="20">
                  <c:v>68.461100000000002</c:v>
                </c:pt>
                <c:pt idx="21">
                  <c:v>56.891500000000001</c:v>
                </c:pt>
                <c:pt idx="22">
                  <c:v>42.512099999999997</c:v>
                </c:pt>
                <c:pt idx="23">
                  <c:v>25.3232</c:v>
                </c:pt>
                <c:pt idx="24">
                  <c:v>24.532800000000002</c:v>
                </c:pt>
                <c:pt idx="25">
                  <c:v>41.735500000000002</c:v>
                </c:pt>
                <c:pt idx="26">
                  <c:v>56.128500000000003</c:v>
                </c:pt>
                <c:pt idx="27">
                  <c:v>67.7119</c:v>
                </c:pt>
                <c:pt idx="28">
                  <c:v>76.485500000000002</c:v>
                </c:pt>
                <c:pt idx="29">
                  <c:v>82.449399999999997</c:v>
                </c:pt>
                <c:pt idx="30">
                  <c:v>134.59889999999999</c:v>
                </c:pt>
                <c:pt idx="31">
                  <c:v>105.4072</c:v>
                </c:pt>
                <c:pt idx="32">
                  <c:v>73.405699999999996</c:v>
                </c:pt>
                <c:pt idx="33">
                  <c:v>38.594700000000003</c:v>
                </c:pt>
                <c:pt idx="34">
                  <c:v>14.346</c:v>
                </c:pt>
                <c:pt idx="35">
                  <c:v>52.430799999999998</c:v>
                </c:pt>
                <c:pt idx="36">
                  <c:v>87.706999999999994</c:v>
                </c:pt>
                <c:pt idx="37">
                  <c:v>120.17359999999999</c:v>
                </c:pt>
                <c:pt idx="38">
                  <c:v>149.8304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4-446D-889A-AF4E4C1BFAB0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ESTERNA(P1)'!$Q$4:$Q$42</c:f>
              <c:numCache>
                <c:formatCode>General</c:formatCode>
                <c:ptCount val="39"/>
                <c:pt idx="0">
                  <c:v>-176.49879999999999</c:v>
                </c:pt>
                <c:pt idx="1">
                  <c:v>-128.15960000000001</c:v>
                </c:pt>
                <c:pt idx="2">
                  <c:v>-82.630200000000002</c:v>
                </c:pt>
                <c:pt idx="3">
                  <c:v>-39.910699999999999</c:v>
                </c:pt>
                <c:pt idx="4">
                  <c:v>-2.7000000000000001E-3</c:v>
                </c:pt>
                <c:pt idx="5">
                  <c:v>-23.130500000000001</c:v>
                </c:pt>
                <c:pt idx="6">
                  <c:v>-65.9251</c:v>
                </c:pt>
                <c:pt idx="7">
                  <c:v>-111.52979999999999</c:v>
                </c:pt>
                <c:pt idx="8">
                  <c:v>-159.9442</c:v>
                </c:pt>
                <c:pt idx="9">
                  <c:v>-152.5017</c:v>
                </c:pt>
                <c:pt idx="10">
                  <c:v>-107.92010000000001</c:v>
                </c:pt>
                <c:pt idx="11">
                  <c:v>-66.148099999999999</c:v>
                </c:pt>
                <c:pt idx="12">
                  <c:v>-27.186</c:v>
                </c:pt>
                <c:pt idx="13">
                  <c:v>4.5621999999999998</c:v>
                </c:pt>
                <c:pt idx="14">
                  <c:v>-31.9772</c:v>
                </c:pt>
                <c:pt idx="15">
                  <c:v>-71.33</c:v>
                </c:pt>
                <c:pt idx="16">
                  <c:v>-113.4926</c:v>
                </c:pt>
                <c:pt idx="17">
                  <c:v>-158.4649</c:v>
                </c:pt>
                <c:pt idx="18">
                  <c:v>-137.6884</c:v>
                </c:pt>
                <c:pt idx="19">
                  <c:v>-103.6272</c:v>
                </c:pt>
                <c:pt idx="20">
                  <c:v>-72.375799999999998</c:v>
                </c:pt>
                <c:pt idx="21">
                  <c:v>-43.934199999999997</c:v>
                </c:pt>
                <c:pt idx="22">
                  <c:v>-18.302199999999999</c:v>
                </c:pt>
                <c:pt idx="23">
                  <c:v>4.5198999999999998</c:v>
                </c:pt>
                <c:pt idx="24">
                  <c:v>5.3239000000000001</c:v>
                </c:pt>
                <c:pt idx="25">
                  <c:v>-17.484500000000001</c:v>
                </c:pt>
                <c:pt idx="26">
                  <c:v>-43.102699999999999</c:v>
                </c:pt>
                <c:pt idx="27">
                  <c:v>-71.530699999999996</c:v>
                </c:pt>
                <c:pt idx="28">
                  <c:v>-102.7684</c:v>
                </c:pt>
                <c:pt idx="29">
                  <c:v>-136.8159</c:v>
                </c:pt>
                <c:pt idx="30">
                  <c:v>-166.0968</c:v>
                </c:pt>
                <c:pt idx="31">
                  <c:v>-116.7719</c:v>
                </c:pt>
                <c:pt idx="32">
                  <c:v>-70.256799999999998</c:v>
                </c:pt>
                <c:pt idx="33">
                  <c:v>-26.551500000000001</c:v>
                </c:pt>
                <c:pt idx="34">
                  <c:v>0.97209999999999996</c:v>
                </c:pt>
                <c:pt idx="35">
                  <c:v>-39.4574</c:v>
                </c:pt>
                <c:pt idx="36">
                  <c:v>-82.697599999999994</c:v>
                </c:pt>
                <c:pt idx="37">
                  <c:v>-128.74770000000001</c:v>
                </c:pt>
                <c:pt idx="38">
                  <c:v>-177.60749999999999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4-446D-889A-AF4E4C1BFA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ESTERNA(P1)'!$N$4:$N$42</c:f>
              <c:numCache>
                <c:formatCode>0.0</c:formatCode>
                <c:ptCount val="39"/>
                <c:pt idx="0">
                  <c:v>163.69309110906701</c:v>
                </c:pt>
                <c:pt idx="1">
                  <c:v>163.69309110906701</c:v>
                </c:pt>
                <c:pt idx="2">
                  <c:v>163.69309110906701</c:v>
                </c:pt>
                <c:pt idx="3">
                  <c:v>163.69309110906701</c:v>
                </c:pt>
                <c:pt idx="4">
                  <c:v>163.69309110906701</c:v>
                </c:pt>
                <c:pt idx="5">
                  <c:v>163.69309110906701</c:v>
                </c:pt>
                <c:pt idx="6">
                  <c:v>163.69309110906701</c:v>
                </c:pt>
                <c:pt idx="7">
                  <c:v>163.69309110906701</c:v>
                </c:pt>
                <c:pt idx="8">
                  <c:v>163.69309110906701</c:v>
                </c:pt>
                <c:pt idx="9">
                  <c:v>163.69309110906701</c:v>
                </c:pt>
                <c:pt idx="10">
                  <c:v>131.35865335912786</c:v>
                </c:pt>
                <c:pt idx="11">
                  <c:v>131.35865335912786</c:v>
                </c:pt>
                <c:pt idx="12">
                  <c:v>131.35865335912786</c:v>
                </c:pt>
                <c:pt idx="13">
                  <c:v>131.35865335912786</c:v>
                </c:pt>
                <c:pt idx="14">
                  <c:v>131.35865335912786</c:v>
                </c:pt>
                <c:pt idx="15">
                  <c:v>131.35865335912786</c:v>
                </c:pt>
                <c:pt idx="16">
                  <c:v>131.35865335912786</c:v>
                </c:pt>
                <c:pt idx="17">
                  <c:v>131.35865335912786</c:v>
                </c:pt>
                <c:pt idx="18">
                  <c:v>131.35865335912786</c:v>
                </c:pt>
                <c:pt idx="19">
                  <c:v>131.35865335912786</c:v>
                </c:pt>
                <c:pt idx="20">
                  <c:v>131.35865335912786</c:v>
                </c:pt>
                <c:pt idx="21">
                  <c:v>131.35865335912786</c:v>
                </c:pt>
                <c:pt idx="22">
                  <c:v>131.35865335912786</c:v>
                </c:pt>
                <c:pt idx="23">
                  <c:v>131.35865335912786</c:v>
                </c:pt>
                <c:pt idx="24">
                  <c:v>131.35865335912786</c:v>
                </c:pt>
                <c:pt idx="25">
                  <c:v>131.35865335912786</c:v>
                </c:pt>
                <c:pt idx="26">
                  <c:v>131.35865335912786</c:v>
                </c:pt>
                <c:pt idx="27">
                  <c:v>131.35865335912786</c:v>
                </c:pt>
                <c:pt idx="28">
                  <c:v>131.35865335912786</c:v>
                </c:pt>
                <c:pt idx="29">
                  <c:v>163.69309110906701</c:v>
                </c:pt>
                <c:pt idx="30">
                  <c:v>163.69309110906701</c:v>
                </c:pt>
                <c:pt idx="31">
                  <c:v>163.69309110906701</c:v>
                </c:pt>
                <c:pt idx="32">
                  <c:v>163.69309110906701</c:v>
                </c:pt>
                <c:pt idx="33">
                  <c:v>163.69309110906701</c:v>
                </c:pt>
                <c:pt idx="34">
                  <c:v>163.69309110906701</c:v>
                </c:pt>
                <c:pt idx="35">
                  <c:v>163.69309110906701</c:v>
                </c:pt>
                <c:pt idx="36">
                  <c:v>163.69309110906701</c:v>
                </c:pt>
                <c:pt idx="37">
                  <c:v>163.69309110906701</c:v>
                </c:pt>
                <c:pt idx="38">
                  <c:v>163.69309110906701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46D-889A-AF4E4C1BFAB0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ESTERNA(P1)'!$Y$4:$Y$42</c:f>
              <c:numCache>
                <c:formatCode>0.0</c:formatCode>
                <c:ptCount val="39"/>
                <c:pt idx="0">
                  <c:v>-182.8916635230934</c:v>
                </c:pt>
                <c:pt idx="1">
                  <c:v>-182.8916635230934</c:v>
                </c:pt>
                <c:pt idx="2">
                  <c:v>-182.8916635230934</c:v>
                </c:pt>
                <c:pt idx="3">
                  <c:v>-101.04511796855988</c:v>
                </c:pt>
                <c:pt idx="4">
                  <c:v>-101.04511796855988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-163.69309110906701</c:v>
                </c:pt>
                <c:pt idx="8">
                  <c:v>-163.69309110906701</c:v>
                </c:pt>
                <c:pt idx="9">
                  <c:v>-163.69309110906701</c:v>
                </c:pt>
                <c:pt idx="10">
                  <c:v>-163.69309110906701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-163.69309110906701</c:v>
                </c:pt>
                <c:pt idx="17">
                  <c:v>-163.69309110906701</c:v>
                </c:pt>
                <c:pt idx="18">
                  <c:v>-163.69309110906701</c:v>
                </c:pt>
                <c:pt idx="19">
                  <c:v>-163.69309110906701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-182.8916635230934</c:v>
                </c:pt>
                <c:pt idx="29">
                  <c:v>-182.8916635230934</c:v>
                </c:pt>
                <c:pt idx="30">
                  <c:v>-182.8916635230934</c:v>
                </c:pt>
                <c:pt idx="31">
                  <c:v>-182.8916635230934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-101.04511796855988</c:v>
                </c:pt>
                <c:pt idx="35">
                  <c:v>-101.04511796855988</c:v>
                </c:pt>
                <c:pt idx="36">
                  <c:v>-182.8916635230934</c:v>
                </c:pt>
                <c:pt idx="37">
                  <c:v>-182.8916635230934</c:v>
                </c:pt>
                <c:pt idx="38">
                  <c:v>-182.8916635230934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46D-889A-AF4E4C1BF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</a:t>
            </a:r>
            <a:r>
              <a:rPr lang="it-IT" sz="1800" b="1" i="0" u="none" strike="noStrike" baseline="0">
                <a:effectLst/>
              </a:rPr>
              <a:t>dirX</a:t>
            </a:r>
            <a:r>
              <a:rPr lang="it-IT"/>
              <a:t>" - Piano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ESTERNA(P2)'!$B$4:$B$42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ESTERNA(P2)'!$C$4:$C$42</c:f>
              <c:numCache>
                <c:formatCode>General</c:formatCode>
                <c:ptCount val="39"/>
                <c:pt idx="0">
                  <c:v>141.53479999999999</c:v>
                </c:pt>
                <c:pt idx="1">
                  <c:v>114.738</c:v>
                </c:pt>
                <c:pt idx="2">
                  <c:v>85.131500000000003</c:v>
                </c:pt>
                <c:pt idx="3">
                  <c:v>52.715400000000002</c:v>
                </c:pt>
                <c:pt idx="4">
                  <c:v>17.490500000000001</c:v>
                </c:pt>
                <c:pt idx="5">
                  <c:v>35.084800000000001</c:v>
                </c:pt>
                <c:pt idx="6">
                  <c:v>68.0214</c:v>
                </c:pt>
                <c:pt idx="7">
                  <c:v>98.148600000000002</c:v>
                </c:pt>
                <c:pt idx="8">
                  <c:v>125.46599999999999</c:v>
                </c:pt>
                <c:pt idx="9">
                  <c:v>116.3051</c:v>
                </c:pt>
                <c:pt idx="10">
                  <c:v>92.6267</c:v>
                </c:pt>
                <c:pt idx="11">
                  <c:v>66.138599999999997</c:v>
                </c:pt>
                <c:pt idx="12">
                  <c:v>36.840899999999998</c:v>
                </c:pt>
                <c:pt idx="13">
                  <c:v>9.0128000000000004</c:v>
                </c:pt>
                <c:pt idx="14">
                  <c:v>40.896999999999998</c:v>
                </c:pt>
                <c:pt idx="15">
                  <c:v>70.008700000000005</c:v>
                </c:pt>
                <c:pt idx="16">
                  <c:v>96.3108</c:v>
                </c:pt>
                <c:pt idx="17">
                  <c:v>119.8031</c:v>
                </c:pt>
                <c:pt idx="18">
                  <c:v>80.521100000000004</c:v>
                </c:pt>
                <c:pt idx="19">
                  <c:v>75.078900000000004</c:v>
                </c:pt>
                <c:pt idx="20">
                  <c:v>66.827100000000002</c:v>
                </c:pt>
                <c:pt idx="21">
                  <c:v>55.765500000000003</c:v>
                </c:pt>
                <c:pt idx="22">
                  <c:v>41.894199999999998</c:v>
                </c:pt>
                <c:pt idx="23">
                  <c:v>25.2133</c:v>
                </c:pt>
                <c:pt idx="24">
                  <c:v>24.603200000000001</c:v>
                </c:pt>
                <c:pt idx="25">
                  <c:v>41.381900000000002</c:v>
                </c:pt>
                <c:pt idx="26">
                  <c:v>55.350999999999999</c:v>
                </c:pt>
                <c:pt idx="27">
                  <c:v>66.510400000000004</c:v>
                </c:pt>
                <c:pt idx="28">
                  <c:v>74.860100000000003</c:v>
                </c:pt>
                <c:pt idx="29">
                  <c:v>80.400099999999995</c:v>
                </c:pt>
                <c:pt idx="30">
                  <c:v>128.34739999999999</c:v>
                </c:pt>
                <c:pt idx="31">
                  <c:v>100.5536</c:v>
                </c:pt>
                <c:pt idx="32">
                  <c:v>69.95</c:v>
                </c:pt>
                <c:pt idx="33">
                  <c:v>36.536900000000003</c:v>
                </c:pt>
                <c:pt idx="34">
                  <c:v>15.0871</c:v>
                </c:pt>
                <c:pt idx="35">
                  <c:v>50.830500000000001</c:v>
                </c:pt>
                <c:pt idx="36">
                  <c:v>83.764899999999997</c:v>
                </c:pt>
                <c:pt idx="37">
                  <c:v>113.8897</c:v>
                </c:pt>
                <c:pt idx="38">
                  <c:v>141.20480000000001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1-4038-970E-0956ED5D4340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ESTERNA(P2)'!$Q$4:$Q$42</c:f>
              <c:numCache>
                <c:formatCode>General</c:formatCode>
                <c:ptCount val="39"/>
                <c:pt idx="0">
                  <c:v>-171.74610000000001</c:v>
                </c:pt>
                <c:pt idx="1">
                  <c:v>-124.7606</c:v>
                </c:pt>
                <c:pt idx="2">
                  <c:v>-80.584800000000001</c:v>
                </c:pt>
                <c:pt idx="3">
                  <c:v>-39.218899999999998</c:v>
                </c:pt>
                <c:pt idx="4">
                  <c:v>-0.66359999999999997</c:v>
                </c:pt>
                <c:pt idx="5">
                  <c:v>-20.547000000000001</c:v>
                </c:pt>
                <c:pt idx="6">
                  <c:v>-61.392099999999999</c:v>
                </c:pt>
                <c:pt idx="7">
                  <c:v>-105.0472</c:v>
                </c:pt>
                <c:pt idx="8">
                  <c:v>-151.512</c:v>
                </c:pt>
                <c:pt idx="9">
                  <c:v>-146.8081</c:v>
                </c:pt>
                <c:pt idx="10">
                  <c:v>-103.6477</c:v>
                </c:pt>
                <c:pt idx="11">
                  <c:v>-63.296999999999997</c:v>
                </c:pt>
                <c:pt idx="12">
                  <c:v>-25.7561</c:v>
                </c:pt>
                <c:pt idx="13">
                  <c:v>4.7308000000000003</c:v>
                </c:pt>
                <c:pt idx="14">
                  <c:v>-30.1843</c:v>
                </c:pt>
                <c:pt idx="15">
                  <c:v>-67.911299999999997</c:v>
                </c:pt>
                <c:pt idx="16">
                  <c:v>-108.44799999999999</c:v>
                </c:pt>
                <c:pt idx="17">
                  <c:v>-151.7945</c:v>
                </c:pt>
                <c:pt idx="18">
                  <c:v>-135.07429999999999</c:v>
                </c:pt>
                <c:pt idx="19">
                  <c:v>-101.4371</c:v>
                </c:pt>
                <c:pt idx="20">
                  <c:v>-70.6096</c:v>
                </c:pt>
                <c:pt idx="21">
                  <c:v>-42.591900000000003</c:v>
                </c:pt>
                <c:pt idx="22">
                  <c:v>-17.383900000000001</c:v>
                </c:pt>
                <c:pt idx="23">
                  <c:v>5.0143000000000004</c:v>
                </c:pt>
                <c:pt idx="24">
                  <c:v>5.7222</c:v>
                </c:pt>
                <c:pt idx="25">
                  <c:v>-16.578199999999999</c:v>
                </c:pt>
                <c:pt idx="26">
                  <c:v>-41.688400000000001</c:v>
                </c:pt>
                <c:pt idx="27">
                  <c:v>-69.6083</c:v>
                </c:pt>
                <c:pt idx="28">
                  <c:v>-100.3379</c:v>
                </c:pt>
                <c:pt idx="29">
                  <c:v>-133.87729999999999</c:v>
                </c:pt>
                <c:pt idx="30">
                  <c:v>-155.98830000000001</c:v>
                </c:pt>
                <c:pt idx="31">
                  <c:v>-109.0052</c:v>
                </c:pt>
                <c:pt idx="32">
                  <c:v>-64.831800000000001</c:v>
                </c:pt>
                <c:pt idx="33">
                  <c:v>-23.4682</c:v>
                </c:pt>
                <c:pt idx="34">
                  <c:v>0.31259999999999999</c:v>
                </c:pt>
                <c:pt idx="35">
                  <c:v>-38.719299999999997</c:v>
                </c:pt>
                <c:pt idx="36">
                  <c:v>-80.561700000000002</c:v>
                </c:pt>
                <c:pt idx="37">
                  <c:v>-125.2139</c:v>
                </c:pt>
                <c:pt idx="38">
                  <c:v>-176.67580000000001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1-4038-970E-0956ED5D43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ESTERNA(P2)'!$N$4:$N$42</c:f>
              <c:numCache>
                <c:formatCode>0.0</c:formatCode>
                <c:ptCount val="39"/>
                <c:pt idx="0">
                  <c:v>163.69309110906701</c:v>
                </c:pt>
                <c:pt idx="1">
                  <c:v>163.69309110906701</c:v>
                </c:pt>
                <c:pt idx="2">
                  <c:v>163.69309110906701</c:v>
                </c:pt>
                <c:pt idx="3">
                  <c:v>81.846545554533506</c:v>
                </c:pt>
                <c:pt idx="4">
                  <c:v>81.846545554533506</c:v>
                </c:pt>
                <c:pt idx="5">
                  <c:v>81.846545554533506</c:v>
                </c:pt>
                <c:pt idx="6">
                  <c:v>81.846545554533506</c:v>
                </c:pt>
                <c:pt idx="7">
                  <c:v>131.35865335912786</c:v>
                </c:pt>
                <c:pt idx="8">
                  <c:v>131.35865335912786</c:v>
                </c:pt>
                <c:pt idx="9">
                  <c:v>131.35865335912786</c:v>
                </c:pt>
                <c:pt idx="10">
                  <c:v>131.35865335912786</c:v>
                </c:pt>
                <c:pt idx="11">
                  <c:v>81.846545554533506</c:v>
                </c:pt>
                <c:pt idx="12">
                  <c:v>81.846545554533506</c:v>
                </c:pt>
                <c:pt idx="13">
                  <c:v>81.846545554533506</c:v>
                </c:pt>
                <c:pt idx="14">
                  <c:v>81.846545554533506</c:v>
                </c:pt>
                <c:pt idx="15">
                  <c:v>131.35865335912786</c:v>
                </c:pt>
                <c:pt idx="16">
                  <c:v>131.35865335912786</c:v>
                </c:pt>
                <c:pt idx="17">
                  <c:v>131.35865335912786</c:v>
                </c:pt>
                <c:pt idx="18">
                  <c:v>131.35865335912786</c:v>
                </c:pt>
                <c:pt idx="19">
                  <c:v>81.846545554533506</c:v>
                </c:pt>
                <c:pt idx="20">
                  <c:v>81.846545554533506</c:v>
                </c:pt>
                <c:pt idx="21">
                  <c:v>81.846545554533506</c:v>
                </c:pt>
                <c:pt idx="22">
                  <c:v>81.846545554533506</c:v>
                </c:pt>
                <c:pt idx="23">
                  <c:v>81.846545554533506</c:v>
                </c:pt>
                <c:pt idx="24">
                  <c:v>81.846545554533506</c:v>
                </c:pt>
                <c:pt idx="25">
                  <c:v>81.846545554533506</c:v>
                </c:pt>
                <c:pt idx="26">
                  <c:v>81.846545554533506</c:v>
                </c:pt>
                <c:pt idx="27">
                  <c:v>81.846545554533506</c:v>
                </c:pt>
                <c:pt idx="28">
                  <c:v>131.35865335912786</c:v>
                </c:pt>
                <c:pt idx="29">
                  <c:v>131.35865335912786</c:v>
                </c:pt>
                <c:pt idx="30">
                  <c:v>131.35865335912786</c:v>
                </c:pt>
                <c:pt idx="31">
                  <c:v>131.35865335912786</c:v>
                </c:pt>
                <c:pt idx="32">
                  <c:v>131.35865335912786</c:v>
                </c:pt>
                <c:pt idx="33">
                  <c:v>81.846545554533506</c:v>
                </c:pt>
                <c:pt idx="34">
                  <c:v>81.846545554533506</c:v>
                </c:pt>
                <c:pt idx="35">
                  <c:v>81.846545554533506</c:v>
                </c:pt>
                <c:pt idx="36">
                  <c:v>163.69309110906701</c:v>
                </c:pt>
                <c:pt idx="37">
                  <c:v>163.69309110906701</c:v>
                </c:pt>
                <c:pt idx="38">
                  <c:v>163.69309110906701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A1-4038-970E-0956ED5D4340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ESTERNA(P2)'!$Y$4:$Y$42</c:f>
              <c:numCache>
                <c:formatCode>0.0</c:formatCode>
                <c:ptCount val="39"/>
                <c:pt idx="0">
                  <c:v>-182.8916635230934</c:v>
                </c:pt>
                <c:pt idx="1">
                  <c:v>-182.8916635230934</c:v>
                </c:pt>
                <c:pt idx="2">
                  <c:v>-182.8916635230934</c:v>
                </c:pt>
                <c:pt idx="3">
                  <c:v>-101.04511796855988</c:v>
                </c:pt>
                <c:pt idx="4">
                  <c:v>-101.04511796855988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-163.69309110906701</c:v>
                </c:pt>
                <c:pt idx="8">
                  <c:v>-163.69309110906701</c:v>
                </c:pt>
                <c:pt idx="9">
                  <c:v>-163.69309110906701</c:v>
                </c:pt>
                <c:pt idx="10">
                  <c:v>-163.69309110906701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-163.69309110906701</c:v>
                </c:pt>
                <c:pt idx="17">
                  <c:v>-163.69309110906701</c:v>
                </c:pt>
                <c:pt idx="18">
                  <c:v>-163.69309110906701</c:v>
                </c:pt>
                <c:pt idx="19">
                  <c:v>-163.69309110906701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-163.69309110906701</c:v>
                </c:pt>
                <c:pt idx="29">
                  <c:v>-163.69309110906701</c:v>
                </c:pt>
                <c:pt idx="30">
                  <c:v>-163.69309110906701</c:v>
                </c:pt>
                <c:pt idx="31">
                  <c:v>-163.69309110906701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-101.04511796855988</c:v>
                </c:pt>
                <c:pt idx="35">
                  <c:v>-101.04511796855988</c:v>
                </c:pt>
                <c:pt idx="36">
                  <c:v>-182.8916635230934</c:v>
                </c:pt>
                <c:pt idx="37">
                  <c:v>-182.8916635230934</c:v>
                </c:pt>
                <c:pt idx="38">
                  <c:v>-182.8916635230934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A1-4038-970E-0956ED5D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dirX" - Piano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ESTERNA(P3)'!$B$4:$B$42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ESTERNA(P3)'!$C$4:$C$42</c:f>
              <c:numCache>
                <c:formatCode>General</c:formatCode>
                <c:ptCount val="39"/>
                <c:pt idx="0">
                  <c:v>90.173299999999998</c:v>
                </c:pt>
                <c:pt idx="1">
                  <c:v>75.953999999999994</c:v>
                </c:pt>
                <c:pt idx="2">
                  <c:v>58.924999999999997</c:v>
                </c:pt>
                <c:pt idx="3">
                  <c:v>39.086399999999998</c:v>
                </c:pt>
                <c:pt idx="4">
                  <c:v>16.439499999999999</c:v>
                </c:pt>
                <c:pt idx="5">
                  <c:v>24.502099999999999</c:v>
                </c:pt>
                <c:pt idx="6">
                  <c:v>44.827500000000001</c:v>
                </c:pt>
                <c:pt idx="7">
                  <c:v>62.343699999999998</c:v>
                </c:pt>
                <c:pt idx="8">
                  <c:v>77.050200000000004</c:v>
                </c:pt>
                <c:pt idx="9">
                  <c:v>70.567300000000003</c:v>
                </c:pt>
                <c:pt idx="10">
                  <c:v>58.4039</c:v>
                </c:pt>
                <c:pt idx="11">
                  <c:v>43.430900000000001</c:v>
                </c:pt>
                <c:pt idx="12">
                  <c:v>25.648399999999999</c:v>
                </c:pt>
                <c:pt idx="13">
                  <c:v>8.6668000000000003</c:v>
                </c:pt>
                <c:pt idx="14">
                  <c:v>28.3033</c:v>
                </c:pt>
                <c:pt idx="15">
                  <c:v>45.758299999999998</c:v>
                </c:pt>
                <c:pt idx="16">
                  <c:v>60.403799999999997</c:v>
                </c:pt>
                <c:pt idx="17">
                  <c:v>72.239599999999996</c:v>
                </c:pt>
                <c:pt idx="18">
                  <c:v>46.398899999999998</c:v>
                </c:pt>
                <c:pt idx="19">
                  <c:v>47.230699999999999</c:v>
                </c:pt>
                <c:pt idx="20">
                  <c:v>45.252800000000001</c:v>
                </c:pt>
                <c:pt idx="21">
                  <c:v>40.465200000000003</c:v>
                </c:pt>
                <c:pt idx="22">
                  <c:v>32.867899999999999</c:v>
                </c:pt>
                <c:pt idx="23">
                  <c:v>22.461200000000002</c:v>
                </c:pt>
                <c:pt idx="24">
                  <c:v>22.158999999999999</c:v>
                </c:pt>
                <c:pt idx="25">
                  <c:v>32.692100000000003</c:v>
                </c:pt>
                <c:pt idx="26">
                  <c:v>40.415799999999997</c:v>
                </c:pt>
                <c:pt idx="27">
                  <c:v>45.329700000000003</c:v>
                </c:pt>
                <c:pt idx="28">
                  <c:v>47.433999999999997</c:v>
                </c:pt>
                <c:pt idx="29">
                  <c:v>46.728499999999997</c:v>
                </c:pt>
                <c:pt idx="30">
                  <c:v>77.258300000000006</c:v>
                </c:pt>
                <c:pt idx="31">
                  <c:v>62.528199999999998</c:v>
                </c:pt>
                <c:pt idx="32">
                  <c:v>44.988300000000002</c:v>
                </c:pt>
                <c:pt idx="33">
                  <c:v>24.6388</c:v>
                </c:pt>
                <c:pt idx="34">
                  <c:v>14.1594</c:v>
                </c:pt>
                <c:pt idx="35">
                  <c:v>37.011299999999999</c:v>
                </c:pt>
                <c:pt idx="36">
                  <c:v>57.053899999999999</c:v>
                </c:pt>
                <c:pt idx="37">
                  <c:v>74.286699999999996</c:v>
                </c:pt>
                <c:pt idx="38">
                  <c:v>88.709900000000005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E-447B-AD1B-19A564AD70B4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ESTERNA(P3)'!$Q$4:$Q$42</c:f>
              <c:numCache>
                <c:formatCode>General</c:formatCode>
                <c:ptCount val="39"/>
                <c:pt idx="0">
                  <c:v>-119.27500000000001</c:v>
                </c:pt>
                <c:pt idx="1">
                  <c:v>-84.900400000000005</c:v>
                </c:pt>
                <c:pt idx="2">
                  <c:v>-53.335599999999999</c:v>
                </c:pt>
                <c:pt idx="3">
                  <c:v>-24.5806</c:v>
                </c:pt>
                <c:pt idx="4">
                  <c:v>1.3632</c:v>
                </c:pt>
                <c:pt idx="5">
                  <c:v>-9.0218000000000007</c:v>
                </c:pt>
                <c:pt idx="6">
                  <c:v>-37.289200000000001</c:v>
                </c:pt>
                <c:pt idx="7">
                  <c:v>-68.366799999999998</c:v>
                </c:pt>
                <c:pt idx="8">
                  <c:v>-102.2542</c:v>
                </c:pt>
                <c:pt idx="9">
                  <c:v>-101.1198</c:v>
                </c:pt>
                <c:pt idx="10">
                  <c:v>-69.615899999999996</c:v>
                </c:pt>
                <c:pt idx="11">
                  <c:v>-40.921799999999998</c:v>
                </c:pt>
                <c:pt idx="12">
                  <c:v>-15.037699999999999</c:v>
                </c:pt>
                <c:pt idx="13">
                  <c:v>5.0467000000000004</c:v>
                </c:pt>
                <c:pt idx="14">
                  <c:v>-18.3476</c:v>
                </c:pt>
                <c:pt idx="15">
                  <c:v>-44.5593</c:v>
                </c:pt>
                <c:pt idx="16">
                  <c:v>-73.5809</c:v>
                </c:pt>
                <c:pt idx="17">
                  <c:v>-105.4123</c:v>
                </c:pt>
                <c:pt idx="18">
                  <c:v>-100.0463</c:v>
                </c:pt>
                <c:pt idx="19">
                  <c:v>-72.654499999999999</c:v>
                </c:pt>
                <c:pt idx="20">
                  <c:v>-48.072499999999998</c:v>
                </c:pt>
                <c:pt idx="21">
                  <c:v>-26.3002</c:v>
                </c:pt>
                <c:pt idx="22">
                  <c:v>-7.3376000000000001</c:v>
                </c:pt>
                <c:pt idx="23">
                  <c:v>8.8148999999999997</c:v>
                </c:pt>
                <c:pt idx="24">
                  <c:v>9.2433999999999994</c:v>
                </c:pt>
                <c:pt idx="25">
                  <c:v>-6.7827999999999999</c:v>
                </c:pt>
                <c:pt idx="26">
                  <c:v>-25.619</c:v>
                </c:pt>
                <c:pt idx="27">
                  <c:v>-47.264899999999997</c:v>
                </c:pt>
                <c:pt idx="28">
                  <c:v>-71.720600000000005</c:v>
                </c:pt>
                <c:pt idx="29">
                  <c:v>-98.986000000000004</c:v>
                </c:pt>
                <c:pt idx="30">
                  <c:v>-105.3477</c:v>
                </c:pt>
                <c:pt idx="31">
                  <c:v>-71.256500000000003</c:v>
                </c:pt>
                <c:pt idx="32">
                  <c:v>-39.975000000000001</c:v>
                </c:pt>
                <c:pt idx="33">
                  <c:v>-11.503399999999999</c:v>
                </c:pt>
                <c:pt idx="34">
                  <c:v>1.4787999999999999</c:v>
                </c:pt>
                <c:pt idx="35">
                  <c:v>-24.489799999999999</c:v>
                </c:pt>
                <c:pt idx="36">
                  <c:v>-53.268599999999999</c:v>
                </c:pt>
                <c:pt idx="37">
                  <c:v>-84.856999999999999</c:v>
                </c:pt>
                <c:pt idx="38">
                  <c:v>-119.25530000000001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E-447B-AD1B-19A564AD70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ESTERNA(P3)'!$N$4:$N$42</c:f>
              <c:numCache>
                <c:formatCode>0.0</c:formatCode>
                <c:ptCount val="39"/>
                <c:pt idx="0">
                  <c:v>100.0346667888743</c:v>
                </c:pt>
                <c:pt idx="1">
                  <c:v>100.0346667888743</c:v>
                </c:pt>
                <c:pt idx="2">
                  <c:v>100.0346667888743</c:v>
                </c:pt>
                <c:pt idx="3">
                  <c:v>81.846545554533506</c:v>
                </c:pt>
                <c:pt idx="4">
                  <c:v>81.846545554533506</c:v>
                </c:pt>
                <c:pt idx="5">
                  <c:v>81.846545554533506</c:v>
                </c:pt>
                <c:pt idx="6">
                  <c:v>81.846545554533506</c:v>
                </c:pt>
                <c:pt idx="7">
                  <c:v>81.846545554533506</c:v>
                </c:pt>
                <c:pt idx="8">
                  <c:v>81.846545554533506</c:v>
                </c:pt>
                <c:pt idx="9">
                  <c:v>81.846545554533506</c:v>
                </c:pt>
                <c:pt idx="10">
                  <c:v>81.846545554533506</c:v>
                </c:pt>
                <c:pt idx="11">
                  <c:v>81.846545554533506</c:v>
                </c:pt>
                <c:pt idx="12">
                  <c:v>81.846545554533506</c:v>
                </c:pt>
                <c:pt idx="13">
                  <c:v>81.846545554533506</c:v>
                </c:pt>
                <c:pt idx="14">
                  <c:v>81.846545554533506</c:v>
                </c:pt>
                <c:pt idx="15">
                  <c:v>81.846545554533506</c:v>
                </c:pt>
                <c:pt idx="16">
                  <c:v>81.846545554533506</c:v>
                </c:pt>
                <c:pt idx="17">
                  <c:v>81.846545554533506</c:v>
                </c:pt>
                <c:pt idx="18">
                  <c:v>81.846545554533506</c:v>
                </c:pt>
                <c:pt idx="19">
                  <c:v>81.846545554533506</c:v>
                </c:pt>
                <c:pt idx="20">
                  <c:v>81.846545554533506</c:v>
                </c:pt>
                <c:pt idx="21">
                  <c:v>81.846545554533506</c:v>
                </c:pt>
                <c:pt idx="22">
                  <c:v>81.846545554533506</c:v>
                </c:pt>
                <c:pt idx="23">
                  <c:v>81.846545554533506</c:v>
                </c:pt>
                <c:pt idx="24">
                  <c:v>81.846545554533506</c:v>
                </c:pt>
                <c:pt idx="25">
                  <c:v>81.846545554533506</c:v>
                </c:pt>
                <c:pt idx="26">
                  <c:v>81.846545554533506</c:v>
                </c:pt>
                <c:pt idx="27">
                  <c:v>81.846545554533506</c:v>
                </c:pt>
                <c:pt idx="28">
                  <c:v>81.846545554533506</c:v>
                </c:pt>
                <c:pt idx="29">
                  <c:v>81.846545554533506</c:v>
                </c:pt>
                <c:pt idx="30">
                  <c:v>81.846545554533506</c:v>
                </c:pt>
                <c:pt idx="31">
                  <c:v>81.846545554533506</c:v>
                </c:pt>
                <c:pt idx="32">
                  <c:v>81.846545554533506</c:v>
                </c:pt>
                <c:pt idx="33">
                  <c:v>81.846545554533506</c:v>
                </c:pt>
                <c:pt idx="34">
                  <c:v>81.846545554533506</c:v>
                </c:pt>
                <c:pt idx="35">
                  <c:v>81.846545554533506</c:v>
                </c:pt>
                <c:pt idx="36">
                  <c:v>100.0346667888743</c:v>
                </c:pt>
                <c:pt idx="37">
                  <c:v>100.0346667888743</c:v>
                </c:pt>
                <c:pt idx="38">
                  <c:v>100.0346667888743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E-447B-AD1B-19A564AD70B4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ESTERNA(P3)'!$Y$4:$Y$42</c:f>
              <c:numCache>
                <c:formatCode>0.0</c:formatCode>
                <c:ptCount val="39"/>
                <c:pt idx="0">
                  <c:v>-122.76981833180028</c:v>
                </c:pt>
                <c:pt idx="1">
                  <c:v>-122.76981833180028</c:v>
                </c:pt>
                <c:pt idx="2">
                  <c:v>-122.76981833180028</c:v>
                </c:pt>
                <c:pt idx="3">
                  <c:v>-81.846545554533506</c:v>
                </c:pt>
                <c:pt idx="4">
                  <c:v>-81.846545554533506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-106.60259945683067</c:v>
                </c:pt>
                <c:pt idx="8">
                  <c:v>-106.60259945683067</c:v>
                </c:pt>
                <c:pt idx="9">
                  <c:v>-106.60259945683067</c:v>
                </c:pt>
                <c:pt idx="10">
                  <c:v>-106.60259945683067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-106.60259945683067</c:v>
                </c:pt>
                <c:pt idx="17">
                  <c:v>-106.60259945683067</c:v>
                </c:pt>
                <c:pt idx="18">
                  <c:v>-106.60259945683067</c:v>
                </c:pt>
                <c:pt idx="19">
                  <c:v>-106.60259945683067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-106.60259945683067</c:v>
                </c:pt>
                <c:pt idx="29">
                  <c:v>-106.60259945683067</c:v>
                </c:pt>
                <c:pt idx="30">
                  <c:v>-106.60259945683067</c:v>
                </c:pt>
                <c:pt idx="31">
                  <c:v>-106.60259945683067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-81.846545554533506</c:v>
                </c:pt>
                <c:pt idx="35">
                  <c:v>-81.846545554533506</c:v>
                </c:pt>
                <c:pt idx="36">
                  <c:v>-122.76981833180028</c:v>
                </c:pt>
                <c:pt idx="37">
                  <c:v>-122.76981833180028</c:v>
                </c:pt>
                <c:pt idx="38">
                  <c:v>-122.76981833180028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8E-447B-AD1B-19A564AD7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"trave esterna dir X" - Piano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'TRAVE ESTERNA(P4)'!$B$4:$B$42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</c:numCache>
            </c:numRef>
          </c:cat>
          <c:val>
            <c:numRef>
              <c:f>'TRAVE ESTERNA(P4)'!$D$4:$D$42</c:f>
              <c:numCache>
                <c:formatCode>0.0</c:formatCode>
                <c:ptCount val="39"/>
                <c:pt idx="0">
                  <c:v>37.878500000000003</c:v>
                </c:pt>
                <c:pt idx="1">
                  <c:v>31.868099999999998</c:v>
                </c:pt>
                <c:pt idx="2">
                  <c:v>24.920500000000001</c:v>
                </c:pt>
                <c:pt idx="3">
                  <c:v>17.035799999999998</c:v>
                </c:pt>
                <c:pt idx="4">
                  <c:v>8.2152999999999992</c:v>
                </c:pt>
                <c:pt idx="5">
                  <c:v>7.84</c:v>
                </c:pt>
                <c:pt idx="6">
                  <c:v>16.3903</c:v>
                </c:pt>
                <c:pt idx="7">
                  <c:v>24.004899999999999</c:v>
                </c:pt>
                <c:pt idx="8">
                  <c:v>30.682400000000001</c:v>
                </c:pt>
                <c:pt idx="9">
                  <c:v>27.7029</c:v>
                </c:pt>
                <c:pt idx="10">
                  <c:v>22.7029</c:v>
                </c:pt>
                <c:pt idx="11">
                  <c:v>16.767099999999999</c:v>
                </c:pt>
                <c:pt idx="12">
                  <c:v>9.8992000000000004</c:v>
                </c:pt>
                <c:pt idx="13">
                  <c:v>3.2517</c:v>
                </c:pt>
                <c:pt idx="14">
                  <c:v>10.264699999999999</c:v>
                </c:pt>
                <c:pt idx="15">
                  <c:v>16.990100000000002</c:v>
                </c:pt>
                <c:pt idx="16">
                  <c:v>22.782900000000001</c:v>
                </c:pt>
                <c:pt idx="17">
                  <c:v>27.639600000000002</c:v>
                </c:pt>
                <c:pt idx="18">
                  <c:v>21.915800000000001</c:v>
                </c:pt>
                <c:pt idx="19">
                  <c:v>21.140699999999999</c:v>
                </c:pt>
                <c:pt idx="20">
                  <c:v>19.4284</c:v>
                </c:pt>
                <c:pt idx="21">
                  <c:v>16.779299999999999</c:v>
                </c:pt>
                <c:pt idx="22">
                  <c:v>13.193899999999999</c:v>
                </c:pt>
                <c:pt idx="23">
                  <c:v>8.6784999999999997</c:v>
                </c:pt>
                <c:pt idx="24">
                  <c:v>9.0932999999999993</c:v>
                </c:pt>
                <c:pt idx="25">
                  <c:v>13.9146</c:v>
                </c:pt>
                <c:pt idx="26">
                  <c:v>17.8049</c:v>
                </c:pt>
                <c:pt idx="27">
                  <c:v>20.758900000000001</c:v>
                </c:pt>
                <c:pt idx="28">
                  <c:v>22.776</c:v>
                </c:pt>
                <c:pt idx="29">
                  <c:v>23.856000000000002</c:v>
                </c:pt>
                <c:pt idx="30">
                  <c:v>30.148499999999999</c:v>
                </c:pt>
                <c:pt idx="31">
                  <c:v>23.5611</c:v>
                </c:pt>
                <c:pt idx="32">
                  <c:v>16.037199999999999</c:v>
                </c:pt>
                <c:pt idx="33">
                  <c:v>7.5811999999999999</c:v>
                </c:pt>
                <c:pt idx="34">
                  <c:v>7.8758999999999997</c:v>
                </c:pt>
                <c:pt idx="35">
                  <c:v>16.2942</c:v>
                </c:pt>
                <c:pt idx="36">
                  <c:v>23.779900000000001</c:v>
                </c:pt>
                <c:pt idx="37">
                  <c:v>30.3291</c:v>
                </c:pt>
                <c:pt idx="38">
                  <c:v>35.941299999999998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B-4968-BB3B-5A5A5AF7DC87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val>
            <c:numRef>
              <c:f>'TRAVE ESTERNA(P4)'!$S$4:$S$42</c:f>
              <c:numCache>
                <c:formatCode>0.0</c:formatCode>
                <c:ptCount val="39"/>
                <c:pt idx="0">
                  <c:v>-48.9816</c:v>
                </c:pt>
                <c:pt idx="1">
                  <c:v>-35.743499999999997</c:v>
                </c:pt>
                <c:pt idx="2">
                  <c:v>-23.442699999999999</c:v>
                </c:pt>
                <c:pt idx="3">
                  <c:v>-12.0792</c:v>
                </c:pt>
                <c:pt idx="4">
                  <c:v>-1.6543000000000001</c:v>
                </c:pt>
                <c:pt idx="5">
                  <c:v>-1.5491999999999999</c:v>
                </c:pt>
                <c:pt idx="6">
                  <c:v>-12.2441</c:v>
                </c:pt>
                <c:pt idx="7">
                  <c:v>-23.877600000000001</c:v>
                </c:pt>
                <c:pt idx="8">
                  <c:v>-36.448500000000003</c:v>
                </c:pt>
                <c:pt idx="9">
                  <c:v>-37.473700000000001</c:v>
                </c:pt>
                <c:pt idx="10">
                  <c:v>-26.0565</c:v>
                </c:pt>
                <c:pt idx="11">
                  <c:v>-15.5777</c:v>
                </c:pt>
                <c:pt idx="12">
                  <c:v>-6.0415000000000001</c:v>
                </c:pt>
                <c:pt idx="13">
                  <c:v>1.7777000000000001</c:v>
                </c:pt>
                <c:pt idx="14">
                  <c:v>-6.6935000000000002</c:v>
                </c:pt>
                <c:pt idx="15">
                  <c:v>-16.373699999999999</c:v>
                </c:pt>
                <c:pt idx="16">
                  <c:v>-26.995899999999999</c:v>
                </c:pt>
                <c:pt idx="17">
                  <c:v>-38.556399999999996</c:v>
                </c:pt>
                <c:pt idx="18">
                  <c:v>-39.5764</c:v>
                </c:pt>
                <c:pt idx="19">
                  <c:v>-29.124099999999999</c:v>
                </c:pt>
                <c:pt idx="20">
                  <c:v>-19.609300000000001</c:v>
                </c:pt>
                <c:pt idx="21">
                  <c:v>-11.032</c:v>
                </c:pt>
                <c:pt idx="22">
                  <c:v>-3.3927999999999998</c:v>
                </c:pt>
                <c:pt idx="23">
                  <c:v>3.3018999999999998</c:v>
                </c:pt>
                <c:pt idx="24">
                  <c:v>3.1919</c:v>
                </c:pt>
                <c:pt idx="25">
                  <c:v>-3.1989999999999998</c:v>
                </c:pt>
                <c:pt idx="26">
                  <c:v>-10.533300000000001</c:v>
                </c:pt>
                <c:pt idx="27">
                  <c:v>-18.805800000000001</c:v>
                </c:pt>
                <c:pt idx="28">
                  <c:v>-28.015799999999999</c:v>
                </c:pt>
                <c:pt idx="29">
                  <c:v>-38.163200000000003</c:v>
                </c:pt>
                <c:pt idx="30">
                  <c:v>-35.203000000000003</c:v>
                </c:pt>
                <c:pt idx="31">
                  <c:v>-23.0305</c:v>
                </c:pt>
                <c:pt idx="32">
                  <c:v>-11.7959</c:v>
                </c:pt>
                <c:pt idx="33">
                  <c:v>-1.5037</c:v>
                </c:pt>
                <c:pt idx="34">
                  <c:v>-1.8367</c:v>
                </c:pt>
                <c:pt idx="35">
                  <c:v>-12.1677</c:v>
                </c:pt>
                <c:pt idx="36">
                  <c:v>-23.4405</c:v>
                </c:pt>
                <c:pt idx="37">
                  <c:v>-35.651299999999999</c:v>
                </c:pt>
                <c:pt idx="38">
                  <c:v>-48.799500000000002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B-4968-BB3B-5A5A5AF7DC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'TRAVE ESTERNA(P4)'!$O$4:$O$42</c:f>
              <c:numCache>
                <c:formatCode>0.0</c:formatCode>
                <c:ptCount val="39"/>
                <c:pt idx="0">
                  <c:v>81.846545554533506</c:v>
                </c:pt>
                <c:pt idx="1">
                  <c:v>81.846545554533506</c:v>
                </c:pt>
                <c:pt idx="2">
                  <c:v>81.846545554533506</c:v>
                </c:pt>
                <c:pt idx="3">
                  <c:v>81.846545554533506</c:v>
                </c:pt>
                <c:pt idx="4">
                  <c:v>81.846545554533506</c:v>
                </c:pt>
                <c:pt idx="5">
                  <c:v>81.846545554533506</c:v>
                </c:pt>
                <c:pt idx="6">
                  <c:v>81.846545554533506</c:v>
                </c:pt>
                <c:pt idx="7">
                  <c:v>81.846545554533506</c:v>
                </c:pt>
                <c:pt idx="8">
                  <c:v>81.846545554533506</c:v>
                </c:pt>
                <c:pt idx="9">
                  <c:v>81.846545554533506</c:v>
                </c:pt>
                <c:pt idx="10">
                  <c:v>81.846545554533506</c:v>
                </c:pt>
                <c:pt idx="11">
                  <c:v>81.846545554533506</c:v>
                </c:pt>
                <c:pt idx="12">
                  <c:v>81.846545554533506</c:v>
                </c:pt>
                <c:pt idx="13">
                  <c:v>81.846545554533506</c:v>
                </c:pt>
                <c:pt idx="14">
                  <c:v>81.846545554533506</c:v>
                </c:pt>
                <c:pt idx="15">
                  <c:v>81.846545554533506</c:v>
                </c:pt>
                <c:pt idx="16">
                  <c:v>81.846545554533506</c:v>
                </c:pt>
                <c:pt idx="17">
                  <c:v>81.846545554533506</c:v>
                </c:pt>
                <c:pt idx="18">
                  <c:v>81.846545554533506</c:v>
                </c:pt>
                <c:pt idx="19">
                  <c:v>81.846545554533506</c:v>
                </c:pt>
                <c:pt idx="20">
                  <c:v>81.846545554533506</c:v>
                </c:pt>
                <c:pt idx="21">
                  <c:v>81.846545554533506</c:v>
                </c:pt>
                <c:pt idx="22">
                  <c:v>81.846545554533506</c:v>
                </c:pt>
                <c:pt idx="23">
                  <c:v>81.846545554533506</c:v>
                </c:pt>
                <c:pt idx="24">
                  <c:v>81.846545554533506</c:v>
                </c:pt>
                <c:pt idx="25">
                  <c:v>81.846545554533506</c:v>
                </c:pt>
                <c:pt idx="26">
                  <c:v>81.846545554533506</c:v>
                </c:pt>
                <c:pt idx="27">
                  <c:v>81.846545554533506</c:v>
                </c:pt>
                <c:pt idx="28">
                  <c:v>81.846545554533506</c:v>
                </c:pt>
                <c:pt idx="29">
                  <c:v>81.846545554533506</c:v>
                </c:pt>
                <c:pt idx="30">
                  <c:v>81.846545554533506</c:v>
                </c:pt>
                <c:pt idx="31">
                  <c:v>81.846545554533506</c:v>
                </c:pt>
                <c:pt idx="32">
                  <c:v>81.846545554533506</c:v>
                </c:pt>
                <c:pt idx="33">
                  <c:v>81.846545554533506</c:v>
                </c:pt>
                <c:pt idx="34">
                  <c:v>81.846545554533506</c:v>
                </c:pt>
                <c:pt idx="35">
                  <c:v>81.846545554533506</c:v>
                </c:pt>
                <c:pt idx="36">
                  <c:v>81.846545554533506</c:v>
                </c:pt>
                <c:pt idx="37">
                  <c:v>81.846545554533506</c:v>
                </c:pt>
                <c:pt idx="38">
                  <c:v>81.846545554533506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B-4968-BB3B-5A5A5AF7DC87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'TRAVE ESTERNA(P4)'!$AA$4:$AA$42</c:f>
              <c:numCache>
                <c:formatCode>0.0</c:formatCode>
                <c:ptCount val="39"/>
                <c:pt idx="0">
                  <c:v>-81.846545554533506</c:v>
                </c:pt>
                <c:pt idx="1">
                  <c:v>-81.846545554533506</c:v>
                </c:pt>
                <c:pt idx="2">
                  <c:v>-81.846545554533506</c:v>
                </c:pt>
                <c:pt idx="3">
                  <c:v>-81.846545554533506</c:v>
                </c:pt>
                <c:pt idx="4">
                  <c:v>-81.846545554533506</c:v>
                </c:pt>
                <c:pt idx="5">
                  <c:v>-81.846545554533506</c:v>
                </c:pt>
                <c:pt idx="6">
                  <c:v>-81.846545554533506</c:v>
                </c:pt>
                <c:pt idx="7">
                  <c:v>-81.846545554533506</c:v>
                </c:pt>
                <c:pt idx="8">
                  <c:v>-81.846545554533506</c:v>
                </c:pt>
                <c:pt idx="9">
                  <c:v>-81.846545554533506</c:v>
                </c:pt>
                <c:pt idx="10">
                  <c:v>-81.846545554533506</c:v>
                </c:pt>
                <c:pt idx="11">
                  <c:v>-81.846545554533506</c:v>
                </c:pt>
                <c:pt idx="12">
                  <c:v>-81.846545554533506</c:v>
                </c:pt>
                <c:pt idx="13">
                  <c:v>-81.846545554533506</c:v>
                </c:pt>
                <c:pt idx="14">
                  <c:v>-81.846545554533506</c:v>
                </c:pt>
                <c:pt idx="15">
                  <c:v>-81.846545554533506</c:v>
                </c:pt>
                <c:pt idx="16">
                  <c:v>-81.846545554533506</c:v>
                </c:pt>
                <c:pt idx="17">
                  <c:v>-81.846545554533506</c:v>
                </c:pt>
                <c:pt idx="18">
                  <c:v>-81.846545554533506</c:v>
                </c:pt>
                <c:pt idx="19">
                  <c:v>-81.846545554533506</c:v>
                </c:pt>
                <c:pt idx="20">
                  <c:v>-81.846545554533506</c:v>
                </c:pt>
                <c:pt idx="21">
                  <c:v>-81.846545554533506</c:v>
                </c:pt>
                <c:pt idx="22">
                  <c:v>-81.846545554533506</c:v>
                </c:pt>
                <c:pt idx="23">
                  <c:v>-81.846545554533506</c:v>
                </c:pt>
                <c:pt idx="24">
                  <c:v>-81.846545554533506</c:v>
                </c:pt>
                <c:pt idx="25">
                  <c:v>-81.846545554533506</c:v>
                </c:pt>
                <c:pt idx="26">
                  <c:v>-81.846545554533506</c:v>
                </c:pt>
                <c:pt idx="27">
                  <c:v>-81.846545554533506</c:v>
                </c:pt>
                <c:pt idx="28">
                  <c:v>-81.846545554533506</c:v>
                </c:pt>
                <c:pt idx="29">
                  <c:v>-81.846545554533506</c:v>
                </c:pt>
                <c:pt idx="30">
                  <c:v>-81.846545554533506</c:v>
                </c:pt>
                <c:pt idx="31">
                  <c:v>-81.846545554533506</c:v>
                </c:pt>
                <c:pt idx="32">
                  <c:v>-81.846545554533506</c:v>
                </c:pt>
                <c:pt idx="33">
                  <c:v>-81.846545554533506</c:v>
                </c:pt>
                <c:pt idx="34">
                  <c:v>-81.846545554533506</c:v>
                </c:pt>
                <c:pt idx="35">
                  <c:v>-81.846545554533506</c:v>
                </c:pt>
                <c:pt idx="36">
                  <c:v>-81.846545554533506</c:v>
                </c:pt>
                <c:pt idx="37">
                  <c:v>-81.846545554533506</c:v>
                </c:pt>
                <c:pt idx="38">
                  <c:v>-81.846545554533506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0B-4968-BB3B-5A5A5AF7D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Trave</a:t>
            </a:r>
            <a:r>
              <a:rPr lang="it-IT" baseline="0"/>
              <a:t> dirY</a:t>
            </a:r>
            <a:r>
              <a:rPr lang="it-IT"/>
              <a:t> -P1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(P1)'!$D$169:$D$198</c:f>
              <c:numCache>
                <c:formatCode>0.0</c:formatCode>
                <c:ptCount val="30"/>
                <c:pt idx="0">
                  <c:v>56.247799999999998</c:v>
                </c:pt>
                <c:pt idx="1">
                  <c:v>62.700200000000002</c:v>
                </c:pt>
                <c:pt idx="2">
                  <c:v>59.5503</c:v>
                </c:pt>
                <c:pt idx="3">
                  <c:v>46.798499999999997</c:v>
                </c:pt>
                <c:pt idx="4">
                  <c:v>34.884099999999997</c:v>
                </c:pt>
                <c:pt idx="5">
                  <c:v>48.981499999999997</c:v>
                </c:pt>
                <c:pt idx="6">
                  <c:v>53.479300000000002</c:v>
                </c:pt>
                <c:pt idx="7">
                  <c:v>48.375</c:v>
                </c:pt>
                <c:pt idx="8">
                  <c:v>33.668199999999999</c:v>
                </c:pt>
                <c:pt idx="9">
                  <c:v>-10.9366</c:v>
                </c:pt>
                <c:pt idx="10">
                  <c:v>22.007899999999999</c:v>
                </c:pt>
                <c:pt idx="11">
                  <c:v>45.35</c:v>
                </c:pt>
                <c:pt idx="12">
                  <c:v>59.089700000000001</c:v>
                </c:pt>
                <c:pt idx="13">
                  <c:v>63.226999999999997</c:v>
                </c:pt>
                <c:pt idx="14">
                  <c:v>57.761899999999997</c:v>
                </c:pt>
                <c:pt idx="15">
                  <c:v>57.761899999999997</c:v>
                </c:pt>
                <c:pt idx="16">
                  <c:v>63.226999999999997</c:v>
                </c:pt>
                <c:pt idx="17">
                  <c:v>59.089700000000001</c:v>
                </c:pt>
                <c:pt idx="18">
                  <c:v>45.35</c:v>
                </c:pt>
                <c:pt idx="19">
                  <c:v>22.007899999999999</c:v>
                </c:pt>
                <c:pt idx="20">
                  <c:v>-10.9366</c:v>
                </c:pt>
                <c:pt idx="21">
                  <c:v>33.668199999999999</c:v>
                </c:pt>
                <c:pt idx="22">
                  <c:v>48.375</c:v>
                </c:pt>
                <c:pt idx="23">
                  <c:v>53.479300000000002</c:v>
                </c:pt>
                <c:pt idx="24">
                  <c:v>48.981499999999997</c:v>
                </c:pt>
                <c:pt idx="25">
                  <c:v>34.884099999999997</c:v>
                </c:pt>
                <c:pt idx="26">
                  <c:v>46.798499999999997</c:v>
                </c:pt>
                <c:pt idx="27">
                  <c:v>59.5503</c:v>
                </c:pt>
                <c:pt idx="28">
                  <c:v>62.700200000000002</c:v>
                </c:pt>
                <c:pt idx="29">
                  <c:v>56.247799999999998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7-465F-ADA2-D6C8130C9131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(P1)'!$T$169:$T$198</c:f>
              <c:numCache>
                <c:formatCode>General</c:formatCode>
                <c:ptCount val="30"/>
                <c:pt idx="0">
                  <c:v>-117.54640000000001</c:v>
                </c:pt>
                <c:pt idx="1">
                  <c:v>-65.036299999999997</c:v>
                </c:pt>
                <c:pt idx="2">
                  <c:v>-22.128599999999999</c:v>
                </c:pt>
                <c:pt idx="3">
                  <c:v>11.1761</c:v>
                </c:pt>
                <c:pt idx="4">
                  <c:v>24.438700000000001</c:v>
                </c:pt>
                <c:pt idx="5">
                  <c:v>-7.5155000000000003</c:v>
                </c:pt>
                <c:pt idx="6">
                  <c:v>-49.074800000000003</c:v>
                </c:pt>
                <c:pt idx="7">
                  <c:v>-100.2368</c:v>
                </c:pt>
                <c:pt idx="8">
                  <c:v>-161.00120000000001</c:v>
                </c:pt>
                <c:pt idx="9">
                  <c:v>-176.71549999999999</c:v>
                </c:pt>
                <c:pt idx="10">
                  <c:v>-113.63590000000001</c:v>
                </c:pt>
                <c:pt idx="11">
                  <c:v>-60.158700000000003</c:v>
                </c:pt>
                <c:pt idx="12">
                  <c:v>-16.283999999999999</c:v>
                </c:pt>
                <c:pt idx="13">
                  <c:v>17.988399999999999</c:v>
                </c:pt>
                <c:pt idx="14">
                  <c:v>42.658299999999997</c:v>
                </c:pt>
                <c:pt idx="15">
                  <c:v>42.658299999999997</c:v>
                </c:pt>
                <c:pt idx="16">
                  <c:v>17.988399999999999</c:v>
                </c:pt>
                <c:pt idx="17">
                  <c:v>-16.283999999999999</c:v>
                </c:pt>
                <c:pt idx="18">
                  <c:v>-60.158700000000003</c:v>
                </c:pt>
                <c:pt idx="19">
                  <c:v>-113.63590000000001</c:v>
                </c:pt>
                <c:pt idx="20">
                  <c:v>-176.71549999999999</c:v>
                </c:pt>
                <c:pt idx="21">
                  <c:v>-161.00120000000001</c:v>
                </c:pt>
                <c:pt idx="22">
                  <c:v>-100.2368</c:v>
                </c:pt>
                <c:pt idx="23">
                  <c:v>-49.074800000000003</c:v>
                </c:pt>
                <c:pt idx="24">
                  <c:v>-7.5155000000000003</c:v>
                </c:pt>
                <c:pt idx="25">
                  <c:v>24.438700000000001</c:v>
                </c:pt>
                <c:pt idx="26">
                  <c:v>11.1761</c:v>
                </c:pt>
                <c:pt idx="27">
                  <c:v>-22.128599999999999</c:v>
                </c:pt>
                <c:pt idx="28">
                  <c:v>-65.036299999999997</c:v>
                </c:pt>
                <c:pt idx="29">
                  <c:v>-117.54640000000001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7-465F-ADA2-D6C8130C91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(P1)'!$O$169:$O$198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86.452168765223007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86.452168765223007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7-465F-ADA2-D6C8130C9131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(P1)'!$AE$169:$AE$198</c:f>
              <c:numCache>
                <c:formatCode>0</c:formatCode>
                <c:ptCount val="30"/>
                <c:pt idx="0">
                  <c:v>-151.54556642374388</c:v>
                </c:pt>
                <c:pt idx="1">
                  <c:v>-151.54556642374388</c:v>
                </c:pt>
                <c:pt idx="2">
                  <c:v>-151.54556642374388</c:v>
                </c:pt>
                <c:pt idx="3">
                  <c:v>-151.54556642374388</c:v>
                </c:pt>
                <c:pt idx="4">
                  <c:v>-151.54556642374388</c:v>
                </c:pt>
                <c:pt idx="5">
                  <c:v>-203.41686768287767</c:v>
                </c:pt>
                <c:pt idx="6">
                  <c:v>-203.41686768287767</c:v>
                </c:pt>
                <c:pt idx="7">
                  <c:v>-203.41686768287767</c:v>
                </c:pt>
                <c:pt idx="8">
                  <c:v>-203.41686768287767</c:v>
                </c:pt>
                <c:pt idx="9">
                  <c:v>-203.41686768287767</c:v>
                </c:pt>
                <c:pt idx="10">
                  <c:v>-203.41686768287767</c:v>
                </c:pt>
                <c:pt idx="11">
                  <c:v>-203.41686768287767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-203.41686768287767</c:v>
                </c:pt>
                <c:pt idx="19">
                  <c:v>-203.41686768287767</c:v>
                </c:pt>
                <c:pt idx="20">
                  <c:v>-203.41686768287767</c:v>
                </c:pt>
                <c:pt idx="21">
                  <c:v>-203.41686768287767</c:v>
                </c:pt>
                <c:pt idx="22">
                  <c:v>-203.41686768287767</c:v>
                </c:pt>
                <c:pt idx="23">
                  <c:v>-203.41686768287767</c:v>
                </c:pt>
                <c:pt idx="24">
                  <c:v>-203.41686768287767</c:v>
                </c:pt>
                <c:pt idx="25">
                  <c:v>-142.90034954722157</c:v>
                </c:pt>
                <c:pt idx="26">
                  <c:v>-142.90034954722157</c:v>
                </c:pt>
                <c:pt idx="27">
                  <c:v>-142.90034954722157</c:v>
                </c:pt>
                <c:pt idx="28">
                  <c:v>-142.90034954722157</c:v>
                </c:pt>
                <c:pt idx="29">
                  <c:v>-142.90034954722157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07-465F-ADA2-D6C8130C9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</a:t>
            </a:r>
            <a:r>
              <a:rPr lang="it-IT" sz="1800" b="1" i="0" u="none" strike="noStrike" baseline="0">
                <a:effectLst/>
              </a:rPr>
              <a:t>- Trave dirY -P3 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'!$F$169:$F$198</c:f>
              <c:numCache>
                <c:formatCode>0.0</c:formatCode>
                <c:ptCount val="30"/>
                <c:pt idx="0">
                  <c:v>32.955800000000004</c:v>
                </c:pt>
                <c:pt idx="1">
                  <c:v>46.258499999999998</c:v>
                </c:pt>
                <c:pt idx="2">
                  <c:v>49.958799999999997</c:v>
                </c:pt>
                <c:pt idx="3">
                  <c:v>51.533799999999999</c:v>
                </c:pt>
                <c:pt idx="4">
                  <c:v>55.521500000000003</c:v>
                </c:pt>
                <c:pt idx="5">
                  <c:v>41.254899999999999</c:v>
                </c:pt>
                <c:pt idx="6">
                  <c:v>39.823300000000003</c:v>
                </c:pt>
                <c:pt idx="7">
                  <c:v>30.451899999999998</c:v>
                </c:pt>
                <c:pt idx="8">
                  <c:v>11.478199999999999</c:v>
                </c:pt>
                <c:pt idx="9">
                  <c:v>-29.8369</c:v>
                </c:pt>
                <c:pt idx="10">
                  <c:v>6.8601000000000001</c:v>
                </c:pt>
                <c:pt idx="11">
                  <c:v>33.954599999999999</c:v>
                </c:pt>
                <c:pt idx="12">
                  <c:v>51.446800000000003</c:v>
                </c:pt>
                <c:pt idx="13">
                  <c:v>80.698099999999997</c:v>
                </c:pt>
                <c:pt idx="14">
                  <c:v>98.952399999999997</c:v>
                </c:pt>
                <c:pt idx="15">
                  <c:v>98.952399999999997</c:v>
                </c:pt>
                <c:pt idx="16">
                  <c:v>80.698099999999997</c:v>
                </c:pt>
                <c:pt idx="17">
                  <c:v>51.446800000000003</c:v>
                </c:pt>
                <c:pt idx="18">
                  <c:v>33.954599999999999</c:v>
                </c:pt>
                <c:pt idx="19">
                  <c:v>6.8601000000000001</c:v>
                </c:pt>
                <c:pt idx="20">
                  <c:v>-29.8369</c:v>
                </c:pt>
                <c:pt idx="21">
                  <c:v>11.478199999999999</c:v>
                </c:pt>
                <c:pt idx="22">
                  <c:v>30.451899999999998</c:v>
                </c:pt>
                <c:pt idx="23">
                  <c:v>39.823300000000003</c:v>
                </c:pt>
                <c:pt idx="24">
                  <c:v>41.254899999999999</c:v>
                </c:pt>
                <c:pt idx="25">
                  <c:v>55.521500000000003</c:v>
                </c:pt>
                <c:pt idx="26">
                  <c:v>51.533799999999999</c:v>
                </c:pt>
                <c:pt idx="27">
                  <c:v>49.958799999999997</c:v>
                </c:pt>
                <c:pt idx="28">
                  <c:v>46.258499999999998</c:v>
                </c:pt>
                <c:pt idx="29">
                  <c:v>32.955800000000004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C-4DFA-95D6-D1CE3F3434E4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'!$X$169:$X$198</c:f>
              <c:numCache>
                <c:formatCode>0.0</c:formatCode>
                <c:ptCount val="30"/>
                <c:pt idx="0">
                  <c:v>-105.60039999999999</c:v>
                </c:pt>
                <c:pt idx="1">
                  <c:v>-57.357300000000002</c:v>
                </c:pt>
                <c:pt idx="2">
                  <c:v>-18.7166</c:v>
                </c:pt>
                <c:pt idx="3">
                  <c:v>10.321300000000001</c:v>
                </c:pt>
                <c:pt idx="4">
                  <c:v>28.526199999999999</c:v>
                </c:pt>
                <c:pt idx="5">
                  <c:v>3.4434999999999998</c:v>
                </c:pt>
                <c:pt idx="6">
                  <c:v>-31.265599999999999</c:v>
                </c:pt>
                <c:pt idx="7">
                  <c:v>-75.577299999999994</c:v>
                </c:pt>
                <c:pt idx="8">
                  <c:v>-129.49160000000001</c:v>
                </c:pt>
                <c:pt idx="9">
                  <c:v>-174.86160000000001</c:v>
                </c:pt>
                <c:pt idx="10">
                  <c:v>-95.006600000000006</c:v>
                </c:pt>
                <c:pt idx="11">
                  <c:v>-45.281799999999997</c:v>
                </c:pt>
                <c:pt idx="12">
                  <c:v>-5.1595000000000004</c:v>
                </c:pt>
                <c:pt idx="13">
                  <c:v>25.360399999999998</c:v>
                </c:pt>
                <c:pt idx="14">
                  <c:v>46.277900000000002</c:v>
                </c:pt>
                <c:pt idx="15">
                  <c:v>46.277900000000002</c:v>
                </c:pt>
                <c:pt idx="16">
                  <c:v>25.360399999999998</c:v>
                </c:pt>
                <c:pt idx="17">
                  <c:v>-5.1595000000000004</c:v>
                </c:pt>
                <c:pt idx="18">
                  <c:v>-45.281799999999997</c:v>
                </c:pt>
                <c:pt idx="19">
                  <c:v>-95.006600000000006</c:v>
                </c:pt>
                <c:pt idx="20">
                  <c:v>-174.86160000000001</c:v>
                </c:pt>
                <c:pt idx="21">
                  <c:v>-129.49160000000001</c:v>
                </c:pt>
                <c:pt idx="22">
                  <c:v>-75.577299999999994</c:v>
                </c:pt>
                <c:pt idx="23">
                  <c:v>-31.265599999999999</c:v>
                </c:pt>
                <c:pt idx="24">
                  <c:v>3.4434999999999998</c:v>
                </c:pt>
                <c:pt idx="25">
                  <c:v>28.526199999999999</c:v>
                </c:pt>
                <c:pt idx="26">
                  <c:v>10.321300000000001</c:v>
                </c:pt>
                <c:pt idx="27">
                  <c:v>-18.7166</c:v>
                </c:pt>
                <c:pt idx="28">
                  <c:v>-57.357300000000002</c:v>
                </c:pt>
                <c:pt idx="29">
                  <c:v>-105.60039999999999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C-4DFA-95D6-D1CE3F3434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'!$Q$169:$Q$198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C-4DFA-95D6-D1CE3F3434E4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'!$AI$169:$AI$198</c:f>
              <c:numCache>
                <c:formatCode>0</c:formatCode>
                <c:ptCount val="30"/>
                <c:pt idx="0">
                  <c:v>-107.30239770271794</c:v>
                </c:pt>
                <c:pt idx="1">
                  <c:v>-107.30239770271794</c:v>
                </c:pt>
                <c:pt idx="2">
                  <c:v>-107.30239770271794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-184.09226525300429</c:v>
                </c:pt>
                <c:pt idx="7">
                  <c:v>-184.09226525300429</c:v>
                </c:pt>
                <c:pt idx="8">
                  <c:v>-184.09226525300429</c:v>
                </c:pt>
                <c:pt idx="9">
                  <c:v>-184.09226525300429</c:v>
                </c:pt>
                <c:pt idx="10">
                  <c:v>-184.09226525300429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-184.09226525300429</c:v>
                </c:pt>
                <c:pt idx="19">
                  <c:v>-184.09226525300429</c:v>
                </c:pt>
                <c:pt idx="20">
                  <c:v>-184.09226525300429</c:v>
                </c:pt>
                <c:pt idx="21">
                  <c:v>-184.09226525300429</c:v>
                </c:pt>
                <c:pt idx="22">
                  <c:v>-184.09226525300429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-107.30239770271794</c:v>
                </c:pt>
                <c:pt idx="28">
                  <c:v>-107.30239770271794</c:v>
                </c:pt>
                <c:pt idx="29">
                  <c:v>-107.30239770271794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1C-4DFA-95D6-D1CE3F343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Trave dirY -P2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'!$F$169:$F$198</c:f>
              <c:numCache>
                <c:formatCode>General</c:formatCode>
                <c:ptCount val="30"/>
                <c:pt idx="0">
                  <c:v>68.280799999999999</c:v>
                </c:pt>
                <c:pt idx="1">
                  <c:v>72.080399999999997</c:v>
                </c:pt>
                <c:pt idx="2">
                  <c:v>66.277699999999996</c:v>
                </c:pt>
                <c:pt idx="3">
                  <c:v>52.613300000000002</c:v>
                </c:pt>
                <c:pt idx="4">
                  <c:v>56.0428</c:v>
                </c:pt>
                <c:pt idx="5">
                  <c:v>51.739699999999999</c:v>
                </c:pt>
                <c:pt idx="6">
                  <c:v>60.845500000000001</c:v>
                </c:pt>
                <c:pt idx="7">
                  <c:v>60.348999999999997</c:v>
                </c:pt>
                <c:pt idx="8">
                  <c:v>50.2502</c:v>
                </c:pt>
                <c:pt idx="9">
                  <c:v>1.1336999999999999</c:v>
                </c:pt>
                <c:pt idx="10">
                  <c:v>32.0092</c:v>
                </c:pt>
                <c:pt idx="11">
                  <c:v>53.282200000000003</c:v>
                </c:pt>
                <c:pt idx="12">
                  <c:v>64.9529</c:v>
                </c:pt>
                <c:pt idx="13">
                  <c:v>78.626900000000006</c:v>
                </c:pt>
                <c:pt idx="14">
                  <c:v>96.881100000000004</c:v>
                </c:pt>
                <c:pt idx="15">
                  <c:v>96.881100000000004</c:v>
                </c:pt>
                <c:pt idx="16">
                  <c:v>78.626900000000006</c:v>
                </c:pt>
                <c:pt idx="17">
                  <c:v>64.9529</c:v>
                </c:pt>
                <c:pt idx="18">
                  <c:v>53.282200000000003</c:v>
                </c:pt>
                <c:pt idx="19">
                  <c:v>32.0092</c:v>
                </c:pt>
                <c:pt idx="20">
                  <c:v>1.1336999999999999</c:v>
                </c:pt>
                <c:pt idx="21">
                  <c:v>50.2502</c:v>
                </c:pt>
                <c:pt idx="22">
                  <c:v>60.348999999999997</c:v>
                </c:pt>
                <c:pt idx="23">
                  <c:v>60.845500000000001</c:v>
                </c:pt>
                <c:pt idx="24">
                  <c:v>51.739699999999999</c:v>
                </c:pt>
                <c:pt idx="25">
                  <c:v>56.0428</c:v>
                </c:pt>
                <c:pt idx="26">
                  <c:v>52.613300000000002</c:v>
                </c:pt>
                <c:pt idx="27">
                  <c:v>66.277699999999996</c:v>
                </c:pt>
                <c:pt idx="28">
                  <c:v>72.080399999999997</c:v>
                </c:pt>
                <c:pt idx="29">
                  <c:v>68.280799999999999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5-4027-8F06-647C37C781BB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'!$X$169:$X$198</c:f>
              <c:numCache>
                <c:formatCode>General</c:formatCode>
                <c:ptCount val="30"/>
                <c:pt idx="0">
                  <c:v>-137.82730000000001</c:v>
                </c:pt>
                <c:pt idx="1">
                  <c:v>-80.709299999999999</c:v>
                </c:pt>
                <c:pt idx="2">
                  <c:v>-33.1937</c:v>
                </c:pt>
                <c:pt idx="3">
                  <c:v>4.7191999999999998</c:v>
                </c:pt>
                <c:pt idx="4">
                  <c:v>25.860399999999998</c:v>
                </c:pt>
                <c:pt idx="5">
                  <c:v>-8.7461000000000002</c:v>
                </c:pt>
                <c:pt idx="6">
                  <c:v>-52.958300000000001</c:v>
                </c:pt>
                <c:pt idx="7">
                  <c:v>-106.7731</c:v>
                </c:pt>
                <c:pt idx="8">
                  <c:v>-170.19040000000001</c:v>
                </c:pt>
                <c:pt idx="9">
                  <c:v>-187.39179999999999</c:v>
                </c:pt>
                <c:pt idx="10">
                  <c:v>-122.2431</c:v>
                </c:pt>
                <c:pt idx="11">
                  <c:v>-66.696899999999999</c:v>
                </c:pt>
                <c:pt idx="12">
                  <c:v>-20.7531</c:v>
                </c:pt>
                <c:pt idx="13">
                  <c:v>15.5884</c:v>
                </c:pt>
                <c:pt idx="14">
                  <c:v>42.327399999999997</c:v>
                </c:pt>
                <c:pt idx="15">
                  <c:v>42.327399999999997</c:v>
                </c:pt>
                <c:pt idx="16">
                  <c:v>15.5884</c:v>
                </c:pt>
                <c:pt idx="17">
                  <c:v>-20.7531</c:v>
                </c:pt>
                <c:pt idx="18">
                  <c:v>-66.696899999999999</c:v>
                </c:pt>
                <c:pt idx="19">
                  <c:v>-122.2431</c:v>
                </c:pt>
                <c:pt idx="20">
                  <c:v>-187.39179999999999</c:v>
                </c:pt>
                <c:pt idx="21">
                  <c:v>-170.19040000000001</c:v>
                </c:pt>
                <c:pt idx="22">
                  <c:v>-106.7731</c:v>
                </c:pt>
                <c:pt idx="23">
                  <c:v>-52.958300000000001</c:v>
                </c:pt>
                <c:pt idx="24">
                  <c:v>-8.7461000000000002</c:v>
                </c:pt>
                <c:pt idx="25">
                  <c:v>25.860399999999998</c:v>
                </c:pt>
                <c:pt idx="26">
                  <c:v>4.7191999999999998</c:v>
                </c:pt>
                <c:pt idx="27">
                  <c:v>-33.1937</c:v>
                </c:pt>
                <c:pt idx="28">
                  <c:v>-80.709299999999999</c:v>
                </c:pt>
                <c:pt idx="29">
                  <c:v>-137.82730000000001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5-4027-8F06-647C37C781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'!$Q$169:$Q$198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5-4027-8F06-647C37C781BB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'!$AI$169:$AI$198</c:f>
              <c:numCache>
                <c:formatCode>0</c:formatCode>
                <c:ptCount val="30"/>
                <c:pt idx="0">
                  <c:v>-151.54556642374388</c:v>
                </c:pt>
                <c:pt idx="1">
                  <c:v>-151.54556642374388</c:v>
                </c:pt>
                <c:pt idx="2">
                  <c:v>-151.54556642374388</c:v>
                </c:pt>
                <c:pt idx="3">
                  <c:v>-151.54556642374388</c:v>
                </c:pt>
                <c:pt idx="4">
                  <c:v>-151.54556642374388</c:v>
                </c:pt>
                <c:pt idx="5">
                  <c:v>-203.41686768287767</c:v>
                </c:pt>
                <c:pt idx="6">
                  <c:v>-203.41686768287767</c:v>
                </c:pt>
                <c:pt idx="7">
                  <c:v>-203.41686768287767</c:v>
                </c:pt>
                <c:pt idx="8">
                  <c:v>-203.41686768287767</c:v>
                </c:pt>
                <c:pt idx="9">
                  <c:v>-203.41686768287767</c:v>
                </c:pt>
                <c:pt idx="10">
                  <c:v>-203.41686768287767</c:v>
                </c:pt>
                <c:pt idx="11">
                  <c:v>-203.41686768287767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-203.41686768287767</c:v>
                </c:pt>
                <c:pt idx="19">
                  <c:v>-203.41686768287767</c:v>
                </c:pt>
                <c:pt idx="20">
                  <c:v>-203.41686768287767</c:v>
                </c:pt>
                <c:pt idx="21">
                  <c:v>-203.41686768287767</c:v>
                </c:pt>
                <c:pt idx="22">
                  <c:v>-203.41686768287767</c:v>
                </c:pt>
                <c:pt idx="23">
                  <c:v>-203.41686768287767</c:v>
                </c:pt>
                <c:pt idx="24">
                  <c:v>-203.41686768287767</c:v>
                </c:pt>
                <c:pt idx="25">
                  <c:v>-151.54556642374388</c:v>
                </c:pt>
                <c:pt idx="26">
                  <c:v>-151.54556642374388</c:v>
                </c:pt>
                <c:pt idx="27">
                  <c:v>-151.54556642374388</c:v>
                </c:pt>
                <c:pt idx="28">
                  <c:v>-151.54556642374388</c:v>
                </c:pt>
                <c:pt idx="29">
                  <c:v>-151.54556642374388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B5-4027-8F06-647C37C78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 </a:t>
            </a:r>
            <a:r>
              <a:rPr lang="it-IT" sz="1800" b="1" i="0" u="none" strike="noStrike" baseline="0">
                <a:effectLst/>
              </a:rPr>
              <a:t>- Trave dirY -P1 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(P1)'!$D$4:$D$33</c:f>
              <c:numCache>
                <c:formatCode>General</c:formatCode>
                <c:ptCount val="30"/>
                <c:pt idx="0">
                  <c:v>66.679100000000005</c:v>
                </c:pt>
                <c:pt idx="1">
                  <c:v>63.394399999999997</c:v>
                </c:pt>
                <c:pt idx="2">
                  <c:v>53.651600000000002</c:v>
                </c:pt>
                <c:pt idx="3">
                  <c:v>37.450899999999997</c:v>
                </c:pt>
                <c:pt idx="4">
                  <c:v>25.3461</c:v>
                </c:pt>
                <c:pt idx="5">
                  <c:v>42.376899999999999</c:v>
                </c:pt>
                <c:pt idx="6">
                  <c:v>52.952100000000002</c:v>
                </c:pt>
                <c:pt idx="7">
                  <c:v>57.069299999999998</c:v>
                </c:pt>
                <c:pt idx="8">
                  <c:v>54.728299999999997</c:v>
                </c:pt>
                <c:pt idx="9">
                  <c:v>19.612400000000001</c:v>
                </c:pt>
                <c:pt idx="10">
                  <c:v>36.873100000000001</c:v>
                </c:pt>
                <c:pt idx="11">
                  <c:v>47.675600000000003</c:v>
                </c:pt>
                <c:pt idx="12">
                  <c:v>52.0199</c:v>
                </c:pt>
                <c:pt idx="13">
                  <c:v>49.905999999999999</c:v>
                </c:pt>
                <c:pt idx="14">
                  <c:v>41.333799999999997</c:v>
                </c:pt>
                <c:pt idx="15">
                  <c:v>41.333799999999997</c:v>
                </c:pt>
                <c:pt idx="16">
                  <c:v>49.905999999999999</c:v>
                </c:pt>
                <c:pt idx="17">
                  <c:v>52.0199</c:v>
                </c:pt>
                <c:pt idx="18">
                  <c:v>47.675600000000003</c:v>
                </c:pt>
                <c:pt idx="19">
                  <c:v>36.873100000000001</c:v>
                </c:pt>
                <c:pt idx="20">
                  <c:v>19.612400000000001</c:v>
                </c:pt>
                <c:pt idx="21">
                  <c:v>54.728299999999997</c:v>
                </c:pt>
                <c:pt idx="22">
                  <c:v>57.069299999999998</c:v>
                </c:pt>
                <c:pt idx="23">
                  <c:v>52.952100000000002</c:v>
                </c:pt>
                <c:pt idx="24">
                  <c:v>42.376899999999999</c:v>
                </c:pt>
                <c:pt idx="25">
                  <c:v>25.3461</c:v>
                </c:pt>
                <c:pt idx="26">
                  <c:v>37.450899999999997</c:v>
                </c:pt>
                <c:pt idx="27">
                  <c:v>53.651600000000002</c:v>
                </c:pt>
                <c:pt idx="28">
                  <c:v>63.394399999999997</c:v>
                </c:pt>
                <c:pt idx="29">
                  <c:v>66.679100000000005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F-4B63-A936-FC06A17AAF43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71765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(P1)'!$T$4:$T$33</c:f>
              <c:numCache>
                <c:formatCode>General</c:formatCode>
                <c:ptCount val="30"/>
                <c:pt idx="0">
                  <c:v>-107.375</c:v>
                </c:pt>
                <c:pt idx="1">
                  <c:v>-64.508499999999998</c:v>
                </c:pt>
                <c:pt idx="2">
                  <c:v>-28.100200000000001</c:v>
                </c:pt>
                <c:pt idx="3">
                  <c:v>1.8493999999999999</c:v>
                </c:pt>
                <c:pt idx="4">
                  <c:v>14.786799999999999</c:v>
                </c:pt>
                <c:pt idx="5">
                  <c:v>-14.3279</c:v>
                </c:pt>
                <c:pt idx="6">
                  <c:v>-49.903500000000001</c:v>
                </c:pt>
                <c:pt idx="7">
                  <c:v>-91.9375</c:v>
                </c:pt>
                <c:pt idx="8">
                  <c:v>-140.4298</c:v>
                </c:pt>
                <c:pt idx="9">
                  <c:v>-145.7989</c:v>
                </c:pt>
                <c:pt idx="10">
                  <c:v>-98.477400000000003</c:v>
                </c:pt>
                <c:pt idx="11">
                  <c:v>-57.614100000000001</c:v>
                </c:pt>
                <c:pt idx="12">
                  <c:v>-23.209</c:v>
                </c:pt>
                <c:pt idx="13">
                  <c:v>4.7378</c:v>
                </c:pt>
                <c:pt idx="14">
                  <c:v>26.226400000000002</c:v>
                </c:pt>
                <c:pt idx="15">
                  <c:v>26.226400000000002</c:v>
                </c:pt>
                <c:pt idx="16">
                  <c:v>4.7378</c:v>
                </c:pt>
                <c:pt idx="17">
                  <c:v>-23.209</c:v>
                </c:pt>
                <c:pt idx="18">
                  <c:v>-57.614100000000001</c:v>
                </c:pt>
                <c:pt idx="19">
                  <c:v>-98.477400000000003</c:v>
                </c:pt>
                <c:pt idx="20">
                  <c:v>-145.7989</c:v>
                </c:pt>
                <c:pt idx="21">
                  <c:v>-140.4298</c:v>
                </c:pt>
                <c:pt idx="22">
                  <c:v>-91.9375</c:v>
                </c:pt>
                <c:pt idx="23">
                  <c:v>-49.903500000000001</c:v>
                </c:pt>
                <c:pt idx="24">
                  <c:v>-14.3279</c:v>
                </c:pt>
                <c:pt idx="25">
                  <c:v>14.786799999999999</c:v>
                </c:pt>
                <c:pt idx="26">
                  <c:v>1.8493999999999999</c:v>
                </c:pt>
                <c:pt idx="27">
                  <c:v>-28.100200000000001</c:v>
                </c:pt>
                <c:pt idx="28">
                  <c:v>-64.508499999999998</c:v>
                </c:pt>
                <c:pt idx="29">
                  <c:v>-107.375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F-4B63-A936-FC06A17AAF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'TRAVI PRINCIPALI (P1)'!$O$4:$O$33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F-4B63-A936-FC06A17AAF43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'TRAVI PRINCIPALI (P1)'!$AE$4:$AE$33</c:f>
              <c:numCache>
                <c:formatCode>0</c:formatCode>
                <c:ptCount val="30"/>
                <c:pt idx="0">
                  <c:v>-123.57574711734821</c:v>
                </c:pt>
                <c:pt idx="1">
                  <c:v>-123.57574711734821</c:v>
                </c:pt>
                <c:pt idx="2">
                  <c:v>-123.57574711734821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-164.76766282313093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-164.76766282313093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-123.57574711734821</c:v>
                </c:pt>
                <c:pt idx="28">
                  <c:v>-123.57574711734821</c:v>
                </c:pt>
                <c:pt idx="29">
                  <c:v>-123.57574711734821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BF-4B63-A936-FC06A17A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- Trave dirY -P1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(P1)'!$D$58:$D$87</c:f>
              <c:numCache>
                <c:formatCode>General</c:formatCode>
                <c:ptCount val="30"/>
                <c:pt idx="0">
                  <c:v>56.563200000000002</c:v>
                </c:pt>
                <c:pt idx="1">
                  <c:v>59.907800000000002</c:v>
                </c:pt>
                <c:pt idx="2">
                  <c:v>55.018300000000004</c:v>
                </c:pt>
                <c:pt idx="3">
                  <c:v>41.895099999999999</c:v>
                </c:pt>
                <c:pt idx="4">
                  <c:v>30.467300000000002</c:v>
                </c:pt>
                <c:pt idx="5">
                  <c:v>44.692</c:v>
                </c:pt>
                <c:pt idx="6">
                  <c:v>50.685099999999998</c:v>
                </c:pt>
                <c:pt idx="7">
                  <c:v>48.444200000000002</c:v>
                </c:pt>
                <c:pt idx="8">
                  <c:v>37.969099999999997</c:v>
                </c:pt>
                <c:pt idx="9">
                  <c:v>-1.5528</c:v>
                </c:pt>
                <c:pt idx="10">
                  <c:v>25.273299999999999</c:v>
                </c:pt>
                <c:pt idx="11">
                  <c:v>43.865200000000002</c:v>
                </c:pt>
                <c:pt idx="12">
                  <c:v>54.222900000000003</c:v>
                </c:pt>
                <c:pt idx="13">
                  <c:v>56.346400000000003</c:v>
                </c:pt>
                <c:pt idx="14">
                  <c:v>50.235599999999998</c:v>
                </c:pt>
                <c:pt idx="15">
                  <c:v>50.235599999999998</c:v>
                </c:pt>
                <c:pt idx="16">
                  <c:v>56.346400000000003</c:v>
                </c:pt>
                <c:pt idx="17">
                  <c:v>54.222900000000003</c:v>
                </c:pt>
                <c:pt idx="18">
                  <c:v>43.865200000000002</c:v>
                </c:pt>
                <c:pt idx="19">
                  <c:v>25.273299999999999</c:v>
                </c:pt>
                <c:pt idx="20">
                  <c:v>-1.5528</c:v>
                </c:pt>
                <c:pt idx="21">
                  <c:v>37.969099999999997</c:v>
                </c:pt>
                <c:pt idx="22">
                  <c:v>48.444200000000002</c:v>
                </c:pt>
                <c:pt idx="23">
                  <c:v>50.685099999999998</c:v>
                </c:pt>
                <c:pt idx="24">
                  <c:v>44.692</c:v>
                </c:pt>
                <c:pt idx="25">
                  <c:v>30.467300000000002</c:v>
                </c:pt>
                <c:pt idx="26">
                  <c:v>41.895099999999999</c:v>
                </c:pt>
                <c:pt idx="27">
                  <c:v>55.018300000000004</c:v>
                </c:pt>
                <c:pt idx="28">
                  <c:v>59.907800000000002</c:v>
                </c:pt>
                <c:pt idx="29">
                  <c:v>56.563200000000002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D-41C6-8B26-9840226BD128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(P1)'!$T$58:$T$87</c:f>
              <c:numCache>
                <c:formatCode>0</c:formatCode>
                <c:ptCount val="30"/>
                <c:pt idx="0">
                  <c:v>-108.7894</c:v>
                </c:pt>
                <c:pt idx="1">
                  <c:v>-61.625</c:v>
                </c:pt>
                <c:pt idx="2">
                  <c:v>-22.694800000000001</c:v>
                </c:pt>
                <c:pt idx="3">
                  <c:v>8.0007000000000001</c:v>
                </c:pt>
                <c:pt idx="4">
                  <c:v>20.5322</c:v>
                </c:pt>
                <c:pt idx="5">
                  <c:v>-9.0571000000000002</c:v>
                </c:pt>
                <c:pt idx="6">
                  <c:v>-46.883400000000002</c:v>
                </c:pt>
                <c:pt idx="7">
                  <c:v>-92.944000000000003</c:v>
                </c:pt>
                <c:pt idx="8">
                  <c:v>-147.239</c:v>
                </c:pt>
                <c:pt idx="9">
                  <c:v>-159.35599999999999</c:v>
                </c:pt>
                <c:pt idx="10">
                  <c:v>-103.8399</c:v>
                </c:pt>
                <c:pt idx="11">
                  <c:v>-56.558</c:v>
                </c:pt>
                <c:pt idx="12">
                  <c:v>-17.510400000000001</c:v>
                </c:pt>
                <c:pt idx="13">
                  <c:v>13.303100000000001</c:v>
                </c:pt>
                <c:pt idx="14">
                  <c:v>35.882300000000001</c:v>
                </c:pt>
                <c:pt idx="15">
                  <c:v>35.882300000000001</c:v>
                </c:pt>
                <c:pt idx="16">
                  <c:v>13.303100000000001</c:v>
                </c:pt>
                <c:pt idx="17">
                  <c:v>-17.510400000000001</c:v>
                </c:pt>
                <c:pt idx="18">
                  <c:v>-56.558</c:v>
                </c:pt>
                <c:pt idx="19">
                  <c:v>-103.8399</c:v>
                </c:pt>
                <c:pt idx="20">
                  <c:v>-159.35599999999999</c:v>
                </c:pt>
                <c:pt idx="21">
                  <c:v>-147.239</c:v>
                </c:pt>
                <c:pt idx="22">
                  <c:v>-92.944000000000003</c:v>
                </c:pt>
                <c:pt idx="23">
                  <c:v>-46.883400000000002</c:v>
                </c:pt>
                <c:pt idx="24">
                  <c:v>-9.0571000000000002</c:v>
                </c:pt>
                <c:pt idx="25">
                  <c:v>20.5322</c:v>
                </c:pt>
                <c:pt idx="26">
                  <c:v>8.0007000000000001</c:v>
                </c:pt>
                <c:pt idx="27">
                  <c:v>-22.694800000000001</c:v>
                </c:pt>
                <c:pt idx="28">
                  <c:v>-61.625</c:v>
                </c:pt>
                <c:pt idx="29">
                  <c:v>-108.7894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D-41C6-8B26-9840226BD1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(P1)'!$O$58:$O$87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99.674265164610063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99.674265164610063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D-41C6-8B26-9840226BD128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(P1)'!$AE$58:$AE$87</c:f>
              <c:numCache>
                <c:formatCode>0</c:formatCode>
                <c:ptCount val="30"/>
                <c:pt idx="0">
                  <c:v>-132.22096399387047</c:v>
                </c:pt>
                <c:pt idx="1">
                  <c:v>-132.22096399387047</c:v>
                </c:pt>
                <c:pt idx="2">
                  <c:v>-132.22096399387047</c:v>
                </c:pt>
                <c:pt idx="3">
                  <c:v>-132.22096399387047</c:v>
                </c:pt>
                <c:pt idx="4">
                  <c:v>-132.22096399387047</c:v>
                </c:pt>
                <c:pt idx="5">
                  <c:v>-164.76766282313093</c:v>
                </c:pt>
                <c:pt idx="6">
                  <c:v>-164.76766282313093</c:v>
                </c:pt>
                <c:pt idx="7">
                  <c:v>-184.09226525300429</c:v>
                </c:pt>
                <c:pt idx="8">
                  <c:v>-184.09226525300429</c:v>
                </c:pt>
                <c:pt idx="9">
                  <c:v>-184.09226525300429</c:v>
                </c:pt>
                <c:pt idx="10">
                  <c:v>-184.09226525300429</c:v>
                </c:pt>
                <c:pt idx="11">
                  <c:v>-184.09226525300429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-184.09226525300429</c:v>
                </c:pt>
                <c:pt idx="19">
                  <c:v>-184.09226525300429</c:v>
                </c:pt>
                <c:pt idx="20">
                  <c:v>-184.09226525300429</c:v>
                </c:pt>
                <c:pt idx="21">
                  <c:v>-184.09226525300429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-164.76766282313093</c:v>
                </c:pt>
                <c:pt idx="25">
                  <c:v>-132.22096399387047</c:v>
                </c:pt>
                <c:pt idx="26">
                  <c:v>-132.22096399387047</c:v>
                </c:pt>
                <c:pt idx="27">
                  <c:v>-132.22096399387047</c:v>
                </c:pt>
                <c:pt idx="28">
                  <c:v>-132.22096399387047</c:v>
                </c:pt>
                <c:pt idx="29">
                  <c:v>-132.22096399387047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D-41C6-8B26-9840226BD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 - Trave dirY -P1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(P1)'!$D$114:$D$143</c:f>
              <c:numCache>
                <c:formatCode>General</c:formatCode>
                <c:ptCount val="30"/>
                <c:pt idx="0">
                  <c:v>48.335999999999999</c:v>
                </c:pt>
                <c:pt idx="1">
                  <c:v>56.898200000000003</c:v>
                </c:pt>
                <c:pt idx="2">
                  <c:v>55.857999999999997</c:v>
                </c:pt>
                <c:pt idx="3">
                  <c:v>45.215899999999998</c:v>
                </c:pt>
                <c:pt idx="4">
                  <c:v>34.436700000000002</c:v>
                </c:pt>
                <c:pt idx="5">
                  <c:v>46.360500000000002</c:v>
                </c:pt>
                <c:pt idx="6">
                  <c:v>48.684699999999999</c:v>
                </c:pt>
                <c:pt idx="7">
                  <c:v>41.406700000000001</c:v>
                </c:pt>
                <c:pt idx="8">
                  <c:v>24.526299999999999</c:v>
                </c:pt>
                <c:pt idx="9">
                  <c:v>-18.669899999999998</c:v>
                </c:pt>
                <c:pt idx="10">
                  <c:v>15.679500000000001</c:v>
                </c:pt>
                <c:pt idx="11">
                  <c:v>40.426499999999997</c:v>
                </c:pt>
                <c:pt idx="12">
                  <c:v>55.571100000000001</c:v>
                </c:pt>
                <c:pt idx="13">
                  <c:v>61.113300000000002</c:v>
                </c:pt>
                <c:pt idx="14">
                  <c:v>57.053100000000001</c:v>
                </c:pt>
                <c:pt idx="15">
                  <c:v>57.053100000000001</c:v>
                </c:pt>
                <c:pt idx="16">
                  <c:v>61.113300000000002</c:v>
                </c:pt>
                <c:pt idx="17">
                  <c:v>55.571100000000001</c:v>
                </c:pt>
                <c:pt idx="18">
                  <c:v>40.426499999999997</c:v>
                </c:pt>
                <c:pt idx="19">
                  <c:v>15.679500000000001</c:v>
                </c:pt>
                <c:pt idx="20">
                  <c:v>-18.669899999999998</c:v>
                </c:pt>
                <c:pt idx="21">
                  <c:v>24.526299999999999</c:v>
                </c:pt>
                <c:pt idx="22">
                  <c:v>41.406700000000001</c:v>
                </c:pt>
                <c:pt idx="23">
                  <c:v>48.684699999999999</c:v>
                </c:pt>
                <c:pt idx="24">
                  <c:v>46.360500000000002</c:v>
                </c:pt>
                <c:pt idx="25">
                  <c:v>34.436700000000002</c:v>
                </c:pt>
                <c:pt idx="26">
                  <c:v>45.215899999999998</c:v>
                </c:pt>
                <c:pt idx="27">
                  <c:v>55.857999999999997</c:v>
                </c:pt>
                <c:pt idx="28">
                  <c:v>56.898200000000003</c:v>
                </c:pt>
                <c:pt idx="29">
                  <c:v>48.335999999999999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1-4A00-9033-A7E2EE506440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(P1)'!$T$114:$T$143</c:f>
              <c:numCache>
                <c:formatCode>General</c:formatCode>
                <c:ptCount val="30"/>
                <c:pt idx="0">
                  <c:v>-109.29900000000001</c:v>
                </c:pt>
                <c:pt idx="1">
                  <c:v>-58.962499999999999</c:v>
                </c:pt>
                <c:pt idx="2">
                  <c:v>-18.2286</c:v>
                </c:pt>
                <c:pt idx="3">
                  <c:v>12.9025</c:v>
                </c:pt>
                <c:pt idx="4">
                  <c:v>24.965900000000001</c:v>
                </c:pt>
                <c:pt idx="5">
                  <c:v>-4.8785999999999996</c:v>
                </c:pt>
                <c:pt idx="6">
                  <c:v>-44.328200000000002</c:v>
                </c:pt>
                <c:pt idx="7">
                  <c:v>-93.380499999999998</c:v>
                </c:pt>
                <c:pt idx="8">
                  <c:v>-152.0352</c:v>
                </c:pt>
                <c:pt idx="9">
                  <c:v>-168.98599999999999</c:v>
                </c:pt>
                <c:pt idx="10">
                  <c:v>-107.3113</c:v>
                </c:pt>
                <c:pt idx="11">
                  <c:v>-55.239100000000001</c:v>
                </c:pt>
                <c:pt idx="12">
                  <c:v>-12.7692</c:v>
                </c:pt>
                <c:pt idx="13">
                  <c:v>20.098299999999998</c:v>
                </c:pt>
                <c:pt idx="14">
                  <c:v>43.363300000000002</c:v>
                </c:pt>
                <c:pt idx="15">
                  <c:v>43.363300000000002</c:v>
                </c:pt>
                <c:pt idx="16">
                  <c:v>20.098299999999998</c:v>
                </c:pt>
                <c:pt idx="17">
                  <c:v>-12.7692</c:v>
                </c:pt>
                <c:pt idx="18">
                  <c:v>-55.239100000000001</c:v>
                </c:pt>
                <c:pt idx="19">
                  <c:v>-107.3113</c:v>
                </c:pt>
                <c:pt idx="20">
                  <c:v>-168.98599999999999</c:v>
                </c:pt>
                <c:pt idx="21">
                  <c:v>-152.0352</c:v>
                </c:pt>
                <c:pt idx="22">
                  <c:v>-93.380499999999998</c:v>
                </c:pt>
                <c:pt idx="23">
                  <c:v>-44.328200000000002</c:v>
                </c:pt>
                <c:pt idx="24">
                  <c:v>-4.8785999999999996</c:v>
                </c:pt>
                <c:pt idx="25">
                  <c:v>24.965900000000001</c:v>
                </c:pt>
                <c:pt idx="26">
                  <c:v>12.9025</c:v>
                </c:pt>
                <c:pt idx="27">
                  <c:v>-18.2286</c:v>
                </c:pt>
                <c:pt idx="28">
                  <c:v>-58.962499999999999</c:v>
                </c:pt>
                <c:pt idx="29">
                  <c:v>-109.29900000000001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1-4A00-9033-A7E2EE5064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(P1)'!$O$114:$O$143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86.452168765223007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86.452168765223007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41-4A00-9033-A7E2EE506440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(P1)'!$AE$114:$AE$143</c:f>
              <c:numCache>
                <c:formatCode>0</c:formatCode>
                <c:ptCount val="30"/>
                <c:pt idx="0">
                  <c:v>-151.54556642374388</c:v>
                </c:pt>
                <c:pt idx="1">
                  <c:v>-151.54556642374388</c:v>
                </c:pt>
                <c:pt idx="2">
                  <c:v>-151.54556642374388</c:v>
                </c:pt>
                <c:pt idx="3">
                  <c:v>-151.54556642374388</c:v>
                </c:pt>
                <c:pt idx="4">
                  <c:v>-151.54556642374388</c:v>
                </c:pt>
                <c:pt idx="5">
                  <c:v>-203.41686768287767</c:v>
                </c:pt>
                <c:pt idx="6">
                  <c:v>-203.41686768287767</c:v>
                </c:pt>
                <c:pt idx="7">
                  <c:v>-203.41686768287767</c:v>
                </c:pt>
                <c:pt idx="8">
                  <c:v>-203.41686768287767</c:v>
                </c:pt>
                <c:pt idx="9">
                  <c:v>-203.41686768287767</c:v>
                </c:pt>
                <c:pt idx="10">
                  <c:v>-203.41686768287767</c:v>
                </c:pt>
                <c:pt idx="11">
                  <c:v>-203.41686768287767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-203.41686768287767</c:v>
                </c:pt>
                <c:pt idx="19">
                  <c:v>-203.41686768287767</c:v>
                </c:pt>
                <c:pt idx="20">
                  <c:v>-203.41686768287767</c:v>
                </c:pt>
                <c:pt idx="21">
                  <c:v>-203.41686768287767</c:v>
                </c:pt>
                <c:pt idx="22">
                  <c:v>-203.41686768287767</c:v>
                </c:pt>
                <c:pt idx="23">
                  <c:v>-203.41686768287767</c:v>
                </c:pt>
                <c:pt idx="24">
                  <c:v>-203.41686768287767</c:v>
                </c:pt>
                <c:pt idx="25">
                  <c:v>-151.54556642374388</c:v>
                </c:pt>
                <c:pt idx="26">
                  <c:v>-151.54556642374388</c:v>
                </c:pt>
                <c:pt idx="27">
                  <c:v>-151.54556642374388</c:v>
                </c:pt>
                <c:pt idx="28">
                  <c:v>-151.54556642374388</c:v>
                </c:pt>
                <c:pt idx="29">
                  <c:v>-151.54556642374388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41-4A00-9033-A7E2EE506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Trave</a:t>
            </a:r>
            <a:r>
              <a:rPr lang="it-IT" baseline="0"/>
              <a:t> dirY</a:t>
            </a:r>
            <a:r>
              <a:rPr lang="it-IT"/>
              <a:t> -P1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(P1)'!$D$169:$D$198</c:f>
              <c:numCache>
                <c:formatCode>0.0</c:formatCode>
                <c:ptCount val="30"/>
                <c:pt idx="0">
                  <c:v>56.247799999999998</c:v>
                </c:pt>
                <c:pt idx="1">
                  <c:v>62.700200000000002</c:v>
                </c:pt>
                <c:pt idx="2">
                  <c:v>59.5503</c:v>
                </c:pt>
                <c:pt idx="3">
                  <c:v>46.798499999999997</c:v>
                </c:pt>
                <c:pt idx="4">
                  <c:v>34.884099999999997</c:v>
                </c:pt>
                <c:pt idx="5">
                  <c:v>48.981499999999997</c:v>
                </c:pt>
                <c:pt idx="6">
                  <c:v>53.479300000000002</c:v>
                </c:pt>
                <c:pt idx="7">
                  <c:v>48.375</c:v>
                </c:pt>
                <c:pt idx="8">
                  <c:v>33.668199999999999</c:v>
                </c:pt>
                <c:pt idx="9">
                  <c:v>-10.9366</c:v>
                </c:pt>
                <c:pt idx="10">
                  <c:v>22.007899999999999</c:v>
                </c:pt>
                <c:pt idx="11">
                  <c:v>45.35</c:v>
                </c:pt>
                <c:pt idx="12">
                  <c:v>59.089700000000001</c:v>
                </c:pt>
                <c:pt idx="13">
                  <c:v>63.226999999999997</c:v>
                </c:pt>
                <c:pt idx="14">
                  <c:v>57.761899999999997</c:v>
                </c:pt>
                <c:pt idx="15">
                  <c:v>57.761899999999997</c:v>
                </c:pt>
                <c:pt idx="16">
                  <c:v>63.226999999999997</c:v>
                </c:pt>
                <c:pt idx="17">
                  <c:v>59.089700000000001</c:v>
                </c:pt>
                <c:pt idx="18">
                  <c:v>45.35</c:v>
                </c:pt>
                <c:pt idx="19">
                  <c:v>22.007899999999999</c:v>
                </c:pt>
                <c:pt idx="20">
                  <c:v>-10.9366</c:v>
                </c:pt>
                <c:pt idx="21">
                  <c:v>33.668199999999999</c:v>
                </c:pt>
                <c:pt idx="22">
                  <c:v>48.375</c:v>
                </c:pt>
                <c:pt idx="23">
                  <c:v>53.479300000000002</c:v>
                </c:pt>
                <c:pt idx="24">
                  <c:v>48.981499999999997</c:v>
                </c:pt>
                <c:pt idx="25">
                  <c:v>34.884099999999997</c:v>
                </c:pt>
                <c:pt idx="26">
                  <c:v>46.798499999999997</c:v>
                </c:pt>
                <c:pt idx="27">
                  <c:v>59.5503</c:v>
                </c:pt>
                <c:pt idx="28">
                  <c:v>62.700200000000002</c:v>
                </c:pt>
                <c:pt idx="29">
                  <c:v>56.247799999999998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(P1)'!$T$169:$T$198</c:f>
              <c:numCache>
                <c:formatCode>General</c:formatCode>
                <c:ptCount val="30"/>
                <c:pt idx="0">
                  <c:v>-117.54640000000001</c:v>
                </c:pt>
                <c:pt idx="1">
                  <c:v>-65.036299999999997</c:v>
                </c:pt>
                <c:pt idx="2">
                  <c:v>-22.128599999999999</c:v>
                </c:pt>
                <c:pt idx="3">
                  <c:v>11.1761</c:v>
                </c:pt>
                <c:pt idx="4">
                  <c:v>24.438700000000001</c:v>
                </c:pt>
                <c:pt idx="5">
                  <c:v>-7.5155000000000003</c:v>
                </c:pt>
                <c:pt idx="6">
                  <c:v>-49.074800000000003</c:v>
                </c:pt>
                <c:pt idx="7">
                  <c:v>-100.2368</c:v>
                </c:pt>
                <c:pt idx="8">
                  <c:v>-161.00120000000001</c:v>
                </c:pt>
                <c:pt idx="9">
                  <c:v>-176.71549999999999</c:v>
                </c:pt>
                <c:pt idx="10">
                  <c:v>-113.63590000000001</c:v>
                </c:pt>
                <c:pt idx="11">
                  <c:v>-60.158700000000003</c:v>
                </c:pt>
                <c:pt idx="12">
                  <c:v>-16.283999999999999</c:v>
                </c:pt>
                <c:pt idx="13">
                  <c:v>17.988399999999999</c:v>
                </c:pt>
                <c:pt idx="14">
                  <c:v>42.658299999999997</c:v>
                </c:pt>
                <c:pt idx="15">
                  <c:v>42.658299999999997</c:v>
                </c:pt>
                <c:pt idx="16">
                  <c:v>17.988399999999999</c:v>
                </c:pt>
                <c:pt idx="17">
                  <c:v>-16.283999999999999</c:v>
                </c:pt>
                <c:pt idx="18">
                  <c:v>-60.158700000000003</c:v>
                </c:pt>
                <c:pt idx="19">
                  <c:v>-113.63590000000001</c:v>
                </c:pt>
                <c:pt idx="20">
                  <c:v>-176.71549999999999</c:v>
                </c:pt>
                <c:pt idx="21">
                  <c:v>-161.00120000000001</c:v>
                </c:pt>
                <c:pt idx="22">
                  <c:v>-100.2368</c:v>
                </c:pt>
                <c:pt idx="23">
                  <c:v>-49.074800000000003</c:v>
                </c:pt>
                <c:pt idx="24">
                  <c:v>-7.5155000000000003</c:v>
                </c:pt>
                <c:pt idx="25">
                  <c:v>24.438700000000001</c:v>
                </c:pt>
                <c:pt idx="26">
                  <c:v>11.1761</c:v>
                </c:pt>
                <c:pt idx="27">
                  <c:v>-22.128599999999999</c:v>
                </c:pt>
                <c:pt idx="28">
                  <c:v>-65.036299999999997</c:v>
                </c:pt>
                <c:pt idx="29">
                  <c:v>-117.54640000000001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(P1)'!$O$169:$O$198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86.452168765223007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86.452168765223007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(P1)'!$AE$169:$AE$198</c:f>
              <c:numCache>
                <c:formatCode>0</c:formatCode>
                <c:ptCount val="30"/>
                <c:pt idx="0">
                  <c:v>-151.54556642374388</c:v>
                </c:pt>
                <c:pt idx="1">
                  <c:v>-151.54556642374388</c:v>
                </c:pt>
                <c:pt idx="2">
                  <c:v>-151.54556642374388</c:v>
                </c:pt>
                <c:pt idx="3">
                  <c:v>-151.54556642374388</c:v>
                </c:pt>
                <c:pt idx="4">
                  <c:v>-151.54556642374388</c:v>
                </c:pt>
                <c:pt idx="5">
                  <c:v>-203.41686768287767</c:v>
                </c:pt>
                <c:pt idx="6">
                  <c:v>-203.41686768287767</c:v>
                </c:pt>
                <c:pt idx="7">
                  <c:v>-203.41686768287767</c:v>
                </c:pt>
                <c:pt idx="8">
                  <c:v>-203.41686768287767</c:v>
                </c:pt>
                <c:pt idx="9">
                  <c:v>-203.41686768287767</c:v>
                </c:pt>
                <c:pt idx="10">
                  <c:v>-203.41686768287767</c:v>
                </c:pt>
                <c:pt idx="11">
                  <c:v>-203.41686768287767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-203.41686768287767</c:v>
                </c:pt>
                <c:pt idx="19">
                  <c:v>-203.41686768287767</c:v>
                </c:pt>
                <c:pt idx="20">
                  <c:v>-203.41686768287767</c:v>
                </c:pt>
                <c:pt idx="21">
                  <c:v>-203.41686768287767</c:v>
                </c:pt>
                <c:pt idx="22">
                  <c:v>-203.41686768287767</c:v>
                </c:pt>
                <c:pt idx="23">
                  <c:v>-203.41686768287767</c:v>
                </c:pt>
                <c:pt idx="24">
                  <c:v>-203.41686768287767</c:v>
                </c:pt>
                <c:pt idx="25">
                  <c:v>-142.90034954722157</c:v>
                </c:pt>
                <c:pt idx="26">
                  <c:v>-142.90034954722157</c:v>
                </c:pt>
                <c:pt idx="27">
                  <c:v>-142.90034954722157</c:v>
                </c:pt>
                <c:pt idx="28">
                  <c:v>-142.90034954722157</c:v>
                </c:pt>
                <c:pt idx="29">
                  <c:v>-142.90034954722157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</a:t>
            </a:r>
            <a:r>
              <a:rPr lang="it-IT" sz="1800" b="1" i="0" u="none" strike="noStrike" baseline="0">
                <a:effectLst/>
              </a:rPr>
              <a:t>Trave dirY - P1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(P1)'!$D$224:$D$253</c:f>
              <c:numCache>
                <c:formatCode>General</c:formatCode>
                <c:ptCount val="30"/>
                <c:pt idx="0">
                  <c:v>74.127399999999994</c:v>
                </c:pt>
                <c:pt idx="1">
                  <c:v>68.874300000000005</c:v>
                </c:pt>
                <c:pt idx="2">
                  <c:v>57.162999999999997</c:v>
                </c:pt>
                <c:pt idx="3">
                  <c:v>38.994</c:v>
                </c:pt>
                <c:pt idx="4">
                  <c:v>25.843</c:v>
                </c:pt>
                <c:pt idx="5">
                  <c:v>44.802799999999998</c:v>
                </c:pt>
                <c:pt idx="6">
                  <c:v>57.307200000000002</c:v>
                </c:pt>
                <c:pt idx="7">
                  <c:v>63.353499999999997</c:v>
                </c:pt>
                <c:pt idx="8">
                  <c:v>62.941800000000001</c:v>
                </c:pt>
                <c:pt idx="9">
                  <c:v>26.569400000000002</c:v>
                </c:pt>
                <c:pt idx="10">
                  <c:v>42.565300000000001</c:v>
                </c:pt>
                <c:pt idx="11">
                  <c:v>52.103000000000002</c:v>
                </c:pt>
                <c:pt idx="12">
                  <c:v>55.182499999999997</c:v>
                </c:pt>
                <c:pt idx="13">
                  <c:v>51.803800000000003</c:v>
                </c:pt>
                <c:pt idx="14">
                  <c:v>41.966799999999999</c:v>
                </c:pt>
                <c:pt idx="15">
                  <c:v>41.966799999999999</c:v>
                </c:pt>
                <c:pt idx="16">
                  <c:v>51.803800000000003</c:v>
                </c:pt>
                <c:pt idx="17">
                  <c:v>55.182499999999997</c:v>
                </c:pt>
                <c:pt idx="18">
                  <c:v>52.103000000000002</c:v>
                </c:pt>
                <c:pt idx="19">
                  <c:v>42.565300000000001</c:v>
                </c:pt>
                <c:pt idx="20">
                  <c:v>26.569400000000002</c:v>
                </c:pt>
                <c:pt idx="21">
                  <c:v>62.941800000000001</c:v>
                </c:pt>
                <c:pt idx="22">
                  <c:v>63.353499999999997</c:v>
                </c:pt>
                <c:pt idx="23">
                  <c:v>57.307200000000002</c:v>
                </c:pt>
                <c:pt idx="24">
                  <c:v>44.802799999999998</c:v>
                </c:pt>
                <c:pt idx="25">
                  <c:v>25.843</c:v>
                </c:pt>
                <c:pt idx="26">
                  <c:v>38.994</c:v>
                </c:pt>
                <c:pt idx="27">
                  <c:v>57.162999999999997</c:v>
                </c:pt>
                <c:pt idx="28">
                  <c:v>68.874300000000005</c:v>
                </c:pt>
                <c:pt idx="29">
                  <c:v>74.127399999999994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(P1)'!$T$224:$T$253</c:f>
              <c:numCache>
                <c:formatCode>General</c:formatCode>
                <c:ptCount val="30"/>
                <c:pt idx="0">
                  <c:v>-114.5951</c:v>
                </c:pt>
                <c:pt idx="1">
                  <c:v>-69.799400000000006</c:v>
                </c:pt>
                <c:pt idx="2">
                  <c:v>-31.4619</c:v>
                </c:pt>
                <c:pt idx="3">
                  <c:v>0.4168</c:v>
                </c:pt>
                <c:pt idx="4">
                  <c:v>14.3611</c:v>
                </c:pt>
                <c:pt idx="5">
                  <c:v>-16.721800000000002</c:v>
                </c:pt>
                <c:pt idx="6">
                  <c:v>-54.265799999999999</c:v>
                </c:pt>
                <c:pt idx="7">
                  <c:v>-98.268199999999993</c:v>
                </c:pt>
                <c:pt idx="8">
                  <c:v>-148.72890000000001</c:v>
                </c:pt>
                <c:pt idx="9">
                  <c:v>-152.75530000000001</c:v>
                </c:pt>
                <c:pt idx="10">
                  <c:v>-104.169</c:v>
                </c:pt>
                <c:pt idx="11">
                  <c:v>-62.040900000000001</c:v>
                </c:pt>
                <c:pt idx="12">
                  <c:v>-26.371099999999998</c:v>
                </c:pt>
                <c:pt idx="13">
                  <c:v>2.8405999999999998</c:v>
                </c:pt>
                <c:pt idx="14">
                  <c:v>25.594000000000001</c:v>
                </c:pt>
                <c:pt idx="15">
                  <c:v>25.594000000000001</c:v>
                </c:pt>
                <c:pt idx="16">
                  <c:v>2.8405999999999998</c:v>
                </c:pt>
                <c:pt idx="17">
                  <c:v>-26.371099999999998</c:v>
                </c:pt>
                <c:pt idx="18">
                  <c:v>-62.040900000000001</c:v>
                </c:pt>
                <c:pt idx="19">
                  <c:v>-104.169</c:v>
                </c:pt>
                <c:pt idx="20">
                  <c:v>-152.75530000000001</c:v>
                </c:pt>
                <c:pt idx="21">
                  <c:v>-148.72890000000001</c:v>
                </c:pt>
                <c:pt idx="22">
                  <c:v>-98.268199999999993</c:v>
                </c:pt>
                <c:pt idx="23">
                  <c:v>-54.265799999999999</c:v>
                </c:pt>
                <c:pt idx="24">
                  <c:v>-16.721800000000002</c:v>
                </c:pt>
                <c:pt idx="25">
                  <c:v>14.3611</c:v>
                </c:pt>
                <c:pt idx="26">
                  <c:v>0.4168</c:v>
                </c:pt>
                <c:pt idx="27">
                  <c:v>-31.4619</c:v>
                </c:pt>
                <c:pt idx="28">
                  <c:v>-69.799400000000006</c:v>
                </c:pt>
                <c:pt idx="29">
                  <c:v>-114.5951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(P1)'!$O$224:$O$253</c:f>
              <c:numCache>
                <c:formatCode>0.0</c:formatCode>
                <c:ptCount val="30"/>
                <c:pt idx="0">
                  <c:v>99.674265164610063</c:v>
                </c:pt>
                <c:pt idx="1">
                  <c:v>99.674265164610063</c:v>
                </c:pt>
                <c:pt idx="2">
                  <c:v>99.674265164610063</c:v>
                </c:pt>
                <c:pt idx="3">
                  <c:v>99.674265164610063</c:v>
                </c:pt>
                <c:pt idx="4">
                  <c:v>99.674265164610063</c:v>
                </c:pt>
                <c:pt idx="5">
                  <c:v>99.674265164610063</c:v>
                </c:pt>
                <c:pt idx="6">
                  <c:v>99.674265164610063</c:v>
                </c:pt>
                <c:pt idx="7">
                  <c:v>99.674265164610063</c:v>
                </c:pt>
                <c:pt idx="8">
                  <c:v>99.674265164610063</c:v>
                </c:pt>
                <c:pt idx="9">
                  <c:v>99.674265164610063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99.674265164610063</c:v>
                </c:pt>
                <c:pt idx="21">
                  <c:v>99.674265164610063</c:v>
                </c:pt>
                <c:pt idx="22">
                  <c:v>99.674265164610063</c:v>
                </c:pt>
                <c:pt idx="23">
                  <c:v>99.674265164610063</c:v>
                </c:pt>
                <c:pt idx="24">
                  <c:v>99.674265164610063</c:v>
                </c:pt>
                <c:pt idx="25">
                  <c:v>99.674265164610063</c:v>
                </c:pt>
                <c:pt idx="26">
                  <c:v>99.674265164610063</c:v>
                </c:pt>
                <c:pt idx="27">
                  <c:v>99.674265164610063</c:v>
                </c:pt>
                <c:pt idx="28">
                  <c:v>99.674265164610063</c:v>
                </c:pt>
                <c:pt idx="29">
                  <c:v>99.674265164610063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(P1)'!$AE$224:$AE$253</c:f>
              <c:numCache>
                <c:formatCode>0</c:formatCode>
                <c:ptCount val="30"/>
                <c:pt idx="0">
                  <c:v>-118.99886759448346</c:v>
                </c:pt>
                <c:pt idx="1">
                  <c:v>-118.99886759448346</c:v>
                </c:pt>
                <c:pt idx="2">
                  <c:v>-118.99886759448346</c:v>
                </c:pt>
                <c:pt idx="3">
                  <c:v>-118.99886759448346</c:v>
                </c:pt>
                <c:pt idx="4">
                  <c:v>-118.99886759448346</c:v>
                </c:pt>
                <c:pt idx="5">
                  <c:v>-164.76766282313093</c:v>
                </c:pt>
                <c:pt idx="6">
                  <c:v>-164.76766282313093</c:v>
                </c:pt>
                <c:pt idx="7">
                  <c:v>-164.76766282313093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-164.76766282313093</c:v>
                </c:pt>
                <c:pt idx="12">
                  <c:v>-86.452168765223007</c:v>
                </c:pt>
                <c:pt idx="13">
                  <c:v>-86.452168765223007</c:v>
                </c:pt>
                <c:pt idx="14">
                  <c:v>-86.452168765223007</c:v>
                </c:pt>
                <c:pt idx="15">
                  <c:v>-86.452168765223007</c:v>
                </c:pt>
                <c:pt idx="16">
                  <c:v>-86.452168765223007</c:v>
                </c:pt>
                <c:pt idx="17">
                  <c:v>-86.452168765223007</c:v>
                </c:pt>
                <c:pt idx="18">
                  <c:v>-164.76766282313093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-164.76766282313093</c:v>
                </c:pt>
                <c:pt idx="25">
                  <c:v>-118.99886759448346</c:v>
                </c:pt>
                <c:pt idx="26">
                  <c:v>-118.99886759448346</c:v>
                </c:pt>
                <c:pt idx="27">
                  <c:v>-118.99886759448346</c:v>
                </c:pt>
                <c:pt idx="28">
                  <c:v>-118.99886759448346</c:v>
                </c:pt>
                <c:pt idx="29">
                  <c:v>-118.99886759448346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</a:t>
            </a:r>
            <a:r>
              <a:rPr lang="it-IT" sz="1800" b="1" i="0" u="none" strike="noStrike" baseline="0">
                <a:effectLst/>
              </a:rPr>
              <a:t>Trave dirY - P1</a:t>
            </a:r>
            <a:r>
              <a:rPr lang="it-IT"/>
              <a:t> </a:t>
            </a:r>
          </a:p>
        </c:rich>
      </c:tx>
      <c:layout>
        <c:manualLayout>
          <c:xMode val="edge"/>
          <c:yMode val="edge"/>
          <c:x val="0.26923417251221721"/>
          <c:y val="4.2370369381851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M_pos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xVal>
          <c:yVal>
            <c:numRef>
              <c:f>'TRAVI PRINCIPALI (P1)'!$D$224:$D$253</c:f>
              <c:numCache>
                <c:formatCode>General</c:formatCode>
                <c:ptCount val="30"/>
                <c:pt idx="0">
                  <c:v>74.127399999999994</c:v>
                </c:pt>
                <c:pt idx="1">
                  <c:v>68.874300000000005</c:v>
                </c:pt>
                <c:pt idx="2">
                  <c:v>57.162999999999997</c:v>
                </c:pt>
                <c:pt idx="3">
                  <c:v>38.994</c:v>
                </c:pt>
                <c:pt idx="4">
                  <c:v>25.843</c:v>
                </c:pt>
                <c:pt idx="5">
                  <c:v>44.802799999999998</c:v>
                </c:pt>
                <c:pt idx="6">
                  <c:v>57.307200000000002</c:v>
                </c:pt>
                <c:pt idx="7">
                  <c:v>63.353499999999997</c:v>
                </c:pt>
                <c:pt idx="8">
                  <c:v>62.941800000000001</c:v>
                </c:pt>
                <c:pt idx="9">
                  <c:v>26.569400000000002</c:v>
                </c:pt>
                <c:pt idx="10">
                  <c:v>42.565300000000001</c:v>
                </c:pt>
                <c:pt idx="11">
                  <c:v>52.103000000000002</c:v>
                </c:pt>
                <c:pt idx="12">
                  <c:v>55.182499999999997</c:v>
                </c:pt>
                <c:pt idx="13">
                  <c:v>51.803800000000003</c:v>
                </c:pt>
                <c:pt idx="14">
                  <c:v>41.966799999999999</c:v>
                </c:pt>
                <c:pt idx="15">
                  <c:v>41.966799999999999</c:v>
                </c:pt>
                <c:pt idx="16">
                  <c:v>51.803800000000003</c:v>
                </c:pt>
                <c:pt idx="17">
                  <c:v>55.182499999999997</c:v>
                </c:pt>
                <c:pt idx="18">
                  <c:v>52.103000000000002</c:v>
                </c:pt>
                <c:pt idx="19">
                  <c:v>42.565300000000001</c:v>
                </c:pt>
                <c:pt idx="20">
                  <c:v>26.569400000000002</c:v>
                </c:pt>
                <c:pt idx="21">
                  <c:v>62.941800000000001</c:v>
                </c:pt>
                <c:pt idx="22">
                  <c:v>63.353499999999997</c:v>
                </c:pt>
                <c:pt idx="23">
                  <c:v>57.307200000000002</c:v>
                </c:pt>
                <c:pt idx="24">
                  <c:v>44.802799999999998</c:v>
                </c:pt>
                <c:pt idx="25">
                  <c:v>25.843</c:v>
                </c:pt>
                <c:pt idx="26">
                  <c:v>38.994</c:v>
                </c:pt>
                <c:pt idx="27">
                  <c:v>57.162999999999997</c:v>
                </c:pt>
                <c:pt idx="28">
                  <c:v>68.874300000000005</c:v>
                </c:pt>
                <c:pt idx="29">
                  <c:v>74.127399999999994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B-4694-A920-2EAAA687F83A}"/>
            </c:ext>
          </c:extLst>
        </c:ser>
        <c:ser>
          <c:idx val="1"/>
          <c:order val="1"/>
          <c:tx>
            <c:v>M_neg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xVal>
          <c:yVal>
            <c:numRef>
              <c:f>'TRAVI PRINCIPALI (P1)'!$T$224:$T$253</c:f>
              <c:numCache>
                <c:formatCode>General</c:formatCode>
                <c:ptCount val="30"/>
                <c:pt idx="0">
                  <c:v>-114.5951</c:v>
                </c:pt>
                <c:pt idx="1">
                  <c:v>-69.799400000000006</c:v>
                </c:pt>
                <c:pt idx="2">
                  <c:v>-31.4619</c:v>
                </c:pt>
                <c:pt idx="3">
                  <c:v>0.4168</c:v>
                </c:pt>
                <c:pt idx="4">
                  <c:v>14.3611</c:v>
                </c:pt>
                <c:pt idx="5">
                  <c:v>-16.721800000000002</c:v>
                </c:pt>
                <c:pt idx="6">
                  <c:v>-54.265799999999999</c:v>
                </c:pt>
                <c:pt idx="7">
                  <c:v>-98.268199999999993</c:v>
                </c:pt>
                <c:pt idx="8">
                  <c:v>-148.72890000000001</c:v>
                </c:pt>
                <c:pt idx="9">
                  <c:v>-152.75530000000001</c:v>
                </c:pt>
                <c:pt idx="10">
                  <c:v>-104.169</c:v>
                </c:pt>
                <c:pt idx="11">
                  <c:v>-62.040900000000001</c:v>
                </c:pt>
                <c:pt idx="12">
                  <c:v>-26.371099999999998</c:v>
                </c:pt>
                <c:pt idx="13">
                  <c:v>2.8405999999999998</c:v>
                </c:pt>
                <c:pt idx="14">
                  <c:v>25.594000000000001</c:v>
                </c:pt>
                <c:pt idx="15">
                  <c:v>25.594000000000001</c:v>
                </c:pt>
                <c:pt idx="16">
                  <c:v>2.8405999999999998</c:v>
                </c:pt>
                <c:pt idx="17">
                  <c:v>-26.371099999999998</c:v>
                </c:pt>
                <c:pt idx="18">
                  <c:v>-62.040900000000001</c:v>
                </c:pt>
                <c:pt idx="19">
                  <c:v>-104.169</c:v>
                </c:pt>
                <c:pt idx="20">
                  <c:v>-152.75530000000001</c:v>
                </c:pt>
                <c:pt idx="21">
                  <c:v>-148.72890000000001</c:v>
                </c:pt>
                <c:pt idx="22">
                  <c:v>-98.268199999999993</c:v>
                </c:pt>
                <c:pt idx="23">
                  <c:v>-54.265799999999999</c:v>
                </c:pt>
                <c:pt idx="24">
                  <c:v>-16.721800000000002</c:v>
                </c:pt>
                <c:pt idx="25">
                  <c:v>14.3611</c:v>
                </c:pt>
                <c:pt idx="26">
                  <c:v>0.4168</c:v>
                </c:pt>
                <c:pt idx="27">
                  <c:v>-31.4619</c:v>
                </c:pt>
                <c:pt idx="28">
                  <c:v>-69.799400000000006</c:v>
                </c:pt>
                <c:pt idx="29">
                  <c:v>-114.5951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2B-4694-A920-2EAAA687F83A}"/>
            </c:ext>
          </c:extLst>
        </c:ser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xVal>
          <c:yVal>
            <c:numRef>
              <c:f>'TRAVI PRINCIPALI (P1)'!$O$224:$O$253</c:f>
              <c:numCache>
                <c:formatCode>0.0</c:formatCode>
                <c:ptCount val="30"/>
                <c:pt idx="0">
                  <c:v>99.674265164610063</c:v>
                </c:pt>
                <c:pt idx="1">
                  <c:v>99.674265164610063</c:v>
                </c:pt>
                <c:pt idx="2">
                  <c:v>99.674265164610063</c:v>
                </c:pt>
                <c:pt idx="3">
                  <c:v>99.674265164610063</c:v>
                </c:pt>
                <c:pt idx="4">
                  <c:v>99.674265164610063</c:v>
                </c:pt>
                <c:pt idx="5">
                  <c:v>99.674265164610063</c:v>
                </c:pt>
                <c:pt idx="6">
                  <c:v>99.674265164610063</c:v>
                </c:pt>
                <c:pt idx="7">
                  <c:v>99.674265164610063</c:v>
                </c:pt>
                <c:pt idx="8">
                  <c:v>99.674265164610063</c:v>
                </c:pt>
                <c:pt idx="9">
                  <c:v>99.674265164610063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99.674265164610063</c:v>
                </c:pt>
                <c:pt idx="21">
                  <c:v>99.674265164610063</c:v>
                </c:pt>
                <c:pt idx="22">
                  <c:v>99.674265164610063</c:v>
                </c:pt>
                <c:pt idx="23">
                  <c:v>99.674265164610063</c:v>
                </c:pt>
                <c:pt idx="24">
                  <c:v>99.674265164610063</c:v>
                </c:pt>
                <c:pt idx="25">
                  <c:v>99.674265164610063</c:v>
                </c:pt>
                <c:pt idx="26">
                  <c:v>99.674265164610063</c:v>
                </c:pt>
                <c:pt idx="27">
                  <c:v>99.674265164610063</c:v>
                </c:pt>
                <c:pt idx="28">
                  <c:v>99.674265164610063</c:v>
                </c:pt>
                <c:pt idx="29">
                  <c:v>99.674265164610063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2B-4694-A920-2EAAA687F83A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'TRAVI PRINCIPALI (P1)'!$B$4:$B$33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xVal>
          <c:yVal>
            <c:numRef>
              <c:f>'TRAVI PRINCIPALI (P1)'!$AE$224:$AE$253</c:f>
              <c:numCache>
                <c:formatCode>0</c:formatCode>
                <c:ptCount val="30"/>
                <c:pt idx="0">
                  <c:v>-118.99886759448346</c:v>
                </c:pt>
                <c:pt idx="1">
                  <c:v>-118.99886759448346</c:v>
                </c:pt>
                <c:pt idx="2">
                  <c:v>-118.99886759448346</c:v>
                </c:pt>
                <c:pt idx="3">
                  <c:v>-118.99886759448346</c:v>
                </c:pt>
                <c:pt idx="4">
                  <c:v>-118.99886759448346</c:v>
                </c:pt>
                <c:pt idx="5">
                  <c:v>-164.76766282313093</c:v>
                </c:pt>
                <c:pt idx="6">
                  <c:v>-164.76766282313093</c:v>
                </c:pt>
                <c:pt idx="7">
                  <c:v>-164.76766282313093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-164.76766282313093</c:v>
                </c:pt>
                <c:pt idx="12">
                  <c:v>-86.452168765223007</c:v>
                </c:pt>
                <c:pt idx="13">
                  <c:v>-86.452168765223007</c:v>
                </c:pt>
                <c:pt idx="14">
                  <c:v>-86.452168765223007</c:v>
                </c:pt>
                <c:pt idx="15">
                  <c:v>-86.452168765223007</c:v>
                </c:pt>
                <c:pt idx="16">
                  <c:v>-86.452168765223007</c:v>
                </c:pt>
                <c:pt idx="17">
                  <c:v>-86.452168765223007</c:v>
                </c:pt>
                <c:pt idx="18">
                  <c:v>-164.76766282313093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-164.76766282313093</c:v>
                </c:pt>
                <c:pt idx="25">
                  <c:v>-118.99886759448346</c:v>
                </c:pt>
                <c:pt idx="26">
                  <c:v>-118.99886759448346</c:v>
                </c:pt>
                <c:pt idx="27">
                  <c:v>-118.99886759448346</c:v>
                </c:pt>
                <c:pt idx="28">
                  <c:v>-118.99886759448346</c:v>
                </c:pt>
                <c:pt idx="29">
                  <c:v>-118.99886759448346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B-4694-A920-2EAAA687F83A}"/>
            </c:ext>
          </c:extLst>
        </c:ser>
        <c:ser>
          <c:idx val="4"/>
          <c:order val="4"/>
          <c:tx>
            <c:v>Mtrasl1</c:v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'TRAVI PRINCIPALI (P1)'!$AG$224:$AG$253</c:f>
              <c:numCache>
                <c:formatCode>0.0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4</c:v>
                </c:pt>
                <c:pt idx="8">
                  <c:v>4.5</c:v>
                </c:pt>
                <c:pt idx="9">
                  <c:v>4.5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6.5</c:v>
                </c:pt>
                <c:pt idx="14">
                  <c:v>7</c:v>
                </c:pt>
                <c:pt idx="15">
                  <c:v>6.5</c:v>
                </c:pt>
                <c:pt idx="16">
                  <c:v>7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9</c:v>
                </c:pt>
                <c:pt idx="21">
                  <c:v>9</c:v>
                </c:pt>
                <c:pt idx="22">
                  <c:v>10.5</c:v>
                </c:pt>
                <c:pt idx="23">
                  <c:v>11</c:v>
                </c:pt>
                <c:pt idx="24">
                  <c:v>11.5</c:v>
                </c:pt>
                <c:pt idx="25">
                  <c:v>12</c:v>
                </c:pt>
                <c:pt idx="26">
                  <c:v>11.5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</c:numCache>
            </c:numRef>
          </c:xVal>
          <c:yVal>
            <c:numRef>
              <c:f>'TRAVI PRINCIPALI (P1)'!$D$224:$D$253</c:f>
              <c:numCache>
                <c:formatCode>General</c:formatCode>
                <c:ptCount val="30"/>
                <c:pt idx="0">
                  <c:v>74.127399999999994</c:v>
                </c:pt>
                <c:pt idx="1">
                  <c:v>68.874300000000005</c:v>
                </c:pt>
                <c:pt idx="2">
                  <c:v>57.162999999999997</c:v>
                </c:pt>
                <c:pt idx="3">
                  <c:v>38.994</c:v>
                </c:pt>
                <c:pt idx="4">
                  <c:v>25.843</c:v>
                </c:pt>
                <c:pt idx="5">
                  <c:v>44.802799999999998</c:v>
                </c:pt>
                <c:pt idx="6">
                  <c:v>57.307200000000002</c:v>
                </c:pt>
                <c:pt idx="7">
                  <c:v>63.353499999999997</c:v>
                </c:pt>
                <c:pt idx="8">
                  <c:v>62.941800000000001</c:v>
                </c:pt>
                <c:pt idx="9">
                  <c:v>26.569400000000002</c:v>
                </c:pt>
                <c:pt idx="10">
                  <c:v>42.565300000000001</c:v>
                </c:pt>
                <c:pt idx="11">
                  <c:v>52.103000000000002</c:v>
                </c:pt>
                <c:pt idx="12">
                  <c:v>55.182499999999997</c:v>
                </c:pt>
                <c:pt idx="13">
                  <c:v>51.803800000000003</c:v>
                </c:pt>
                <c:pt idx="14">
                  <c:v>41.966799999999999</c:v>
                </c:pt>
                <c:pt idx="15">
                  <c:v>41.966799999999999</c:v>
                </c:pt>
                <c:pt idx="16">
                  <c:v>51.803800000000003</c:v>
                </c:pt>
                <c:pt idx="17">
                  <c:v>55.182499999999997</c:v>
                </c:pt>
                <c:pt idx="18">
                  <c:v>52.103000000000002</c:v>
                </c:pt>
                <c:pt idx="19">
                  <c:v>42.565300000000001</c:v>
                </c:pt>
                <c:pt idx="20">
                  <c:v>26.569400000000002</c:v>
                </c:pt>
                <c:pt idx="21">
                  <c:v>62.941800000000001</c:v>
                </c:pt>
                <c:pt idx="22">
                  <c:v>63.353499999999997</c:v>
                </c:pt>
                <c:pt idx="23">
                  <c:v>57.307200000000002</c:v>
                </c:pt>
                <c:pt idx="24">
                  <c:v>44.802799999999998</c:v>
                </c:pt>
                <c:pt idx="25">
                  <c:v>25.843</c:v>
                </c:pt>
                <c:pt idx="26">
                  <c:v>38.994</c:v>
                </c:pt>
                <c:pt idx="27">
                  <c:v>57.162999999999997</c:v>
                </c:pt>
                <c:pt idx="28">
                  <c:v>68.874300000000005</c:v>
                </c:pt>
                <c:pt idx="29">
                  <c:v>74.127399999999994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2B-4694-A920-2EAAA687F83A}"/>
            </c:ext>
          </c:extLst>
        </c:ser>
        <c:ser>
          <c:idx val="5"/>
          <c:order val="5"/>
          <c:tx>
            <c:v>Mtrasl2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'TRAVI PRINCIPALI (P1)'!$AH$224:$AH$253</c:f>
              <c:numCache>
                <c:formatCode>0.0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10</c:v>
                </c:pt>
                <c:pt idx="22">
                  <c:v>10.5</c:v>
                </c:pt>
                <c:pt idx="23">
                  <c:v>11</c:v>
                </c:pt>
                <c:pt idx="24">
                  <c:v>11.5</c:v>
                </c:pt>
                <c:pt idx="25">
                  <c:v>12</c:v>
                </c:pt>
                <c:pt idx="26">
                  <c:v>11.5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</c:numCache>
            </c:numRef>
          </c:xVal>
          <c:yVal>
            <c:numRef>
              <c:f>'TRAVI PRINCIPALI (P1)'!$T$224:$T$253</c:f>
              <c:numCache>
                <c:formatCode>General</c:formatCode>
                <c:ptCount val="30"/>
                <c:pt idx="0">
                  <c:v>-114.5951</c:v>
                </c:pt>
                <c:pt idx="1">
                  <c:v>-69.799400000000006</c:v>
                </c:pt>
                <c:pt idx="2">
                  <c:v>-31.4619</c:v>
                </c:pt>
                <c:pt idx="3">
                  <c:v>0.4168</c:v>
                </c:pt>
                <c:pt idx="4">
                  <c:v>14.3611</c:v>
                </c:pt>
                <c:pt idx="5">
                  <c:v>-16.721800000000002</c:v>
                </c:pt>
                <c:pt idx="6">
                  <c:v>-54.265799999999999</c:v>
                </c:pt>
                <c:pt idx="7">
                  <c:v>-98.268199999999993</c:v>
                </c:pt>
                <c:pt idx="8">
                  <c:v>-148.72890000000001</c:v>
                </c:pt>
                <c:pt idx="9">
                  <c:v>-152.75530000000001</c:v>
                </c:pt>
                <c:pt idx="10">
                  <c:v>-104.169</c:v>
                </c:pt>
                <c:pt idx="11">
                  <c:v>-62.040900000000001</c:v>
                </c:pt>
                <c:pt idx="12">
                  <c:v>-26.371099999999998</c:v>
                </c:pt>
                <c:pt idx="13">
                  <c:v>2.8405999999999998</c:v>
                </c:pt>
                <c:pt idx="14">
                  <c:v>25.594000000000001</c:v>
                </c:pt>
                <c:pt idx="15">
                  <c:v>25.594000000000001</c:v>
                </c:pt>
                <c:pt idx="16">
                  <c:v>2.8405999999999998</c:v>
                </c:pt>
                <c:pt idx="17">
                  <c:v>-26.371099999999998</c:v>
                </c:pt>
                <c:pt idx="18">
                  <c:v>-62.040900000000001</c:v>
                </c:pt>
                <c:pt idx="19">
                  <c:v>-104.169</c:v>
                </c:pt>
                <c:pt idx="20">
                  <c:v>-152.75530000000001</c:v>
                </c:pt>
                <c:pt idx="21">
                  <c:v>-148.72890000000001</c:v>
                </c:pt>
                <c:pt idx="22">
                  <c:v>-98.268199999999993</c:v>
                </c:pt>
                <c:pt idx="23">
                  <c:v>-54.265799999999999</c:v>
                </c:pt>
                <c:pt idx="24">
                  <c:v>-16.721800000000002</c:v>
                </c:pt>
                <c:pt idx="25">
                  <c:v>14.3611</c:v>
                </c:pt>
                <c:pt idx="26">
                  <c:v>0.4168</c:v>
                </c:pt>
                <c:pt idx="27">
                  <c:v>-31.4619</c:v>
                </c:pt>
                <c:pt idx="28">
                  <c:v>-69.799400000000006</c:v>
                </c:pt>
                <c:pt idx="29">
                  <c:v>-114.5951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2B-4694-A920-2EAAA68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163119"/>
        <c:axId val="2087106159"/>
      </c:scatterChart>
      <c:val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crossBetween val="midCat"/>
      </c:val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 paperSize="9"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'!$F$4:$F$33</c:f>
              <c:numCache>
                <c:formatCode>General</c:formatCode>
                <c:ptCount val="30"/>
                <c:pt idx="0">
                  <c:v>79.844800000000006</c:v>
                </c:pt>
                <c:pt idx="1">
                  <c:v>73.640900000000002</c:v>
                </c:pt>
                <c:pt idx="2">
                  <c:v>60.978700000000003</c:v>
                </c:pt>
                <c:pt idx="3">
                  <c:v>41.858499999999999</c:v>
                </c:pt>
                <c:pt idx="4">
                  <c:v>33.448999999999998</c:v>
                </c:pt>
                <c:pt idx="5">
                  <c:v>44.830800000000004</c:v>
                </c:pt>
                <c:pt idx="6">
                  <c:v>59.681399999999996</c:v>
                </c:pt>
                <c:pt idx="7">
                  <c:v>68.073899999999995</c:v>
                </c:pt>
                <c:pt idx="8">
                  <c:v>70.008200000000002</c:v>
                </c:pt>
                <c:pt idx="9">
                  <c:v>31.4131</c:v>
                </c:pt>
                <c:pt idx="10">
                  <c:v>46.615400000000001</c:v>
                </c:pt>
                <c:pt idx="11">
                  <c:v>55.359499999999997</c:v>
                </c:pt>
                <c:pt idx="12">
                  <c:v>57.645299999999999</c:v>
                </c:pt>
                <c:pt idx="13">
                  <c:v>53.472999999999999</c:v>
                </c:pt>
                <c:pt idx="14">
                  <c:v>57.5015</c:v>
                </c:pt>
                <c:pt idx="15">
                  <c:v>57.5015</c:v>
                </c:pt>
                <c:pt idx="16">
                  <c:v>53.472999999999999</c:v>
                </c:pt>
                <c:pt idx="17">
                  <c:v>57.645299999999999</c:v>
                </c:pt>
                <c:pt idx="18">
                  <c:v>55.359499999999997</c:v>
                </c:pt>
                <c:pt idx="19">
                  <c:v>46.615400000000001</c:v>
                </c:pt>
                <c:pt idx="20">
                  <c:v>31.4131</c:v>
                </c:pt>
                <c:pt idx="21">
                  <c:v>70.008200000000002</c:v>
                </c:pt>
                <c:pt idx="22">
                  <c:v>68.073899999999995</c:v>
                </c:pt>
                <c:pt idx="23">
                  <c:v>59.681399999999996</c:v>
                </c:pt>
                <c:pt idx="24">
                  <c:v>44.830800000000004</c:v>
                </c:pt>
                <c:pt idx="25">
                  <c:v>33.448999999999998</c:v>
                </c:pt>
                <c:pt idx="26">
                  <c:v>41.858499999999999</c:v>
                </c:pt>
                <c:pt idx="27">
                  <c:v>60.978700000000003</c:v>
                </c:pt>
                <c:pt idx="28">
                  <c:v>73.640900000000002</c:v>
                </c:pt>
                <c:pt idx="29">
                  <c:v>79.844800000000006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0-474A-AFB4-3989D2951EED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'!$X$4:$X$33</c:f>
              <c:numCache>
                <c:formatCode>General</c:formatCode>
                <c:ptCount val="30"/>
                <c:pt idx="0">
                  <c:v>-126.2971</c:v>
                </c:pt>
                <c:pt idx="1">
                  <c:v>-79.155199999999994</c:v>
                </c:pt>
                <c:pt idx="2">
                  <c:v>-38.471600000000002</c:v>
                </c:pt>
                <c:pt idx="3">
                  <c:v>-4.2465000000000002</c:v>
                </c:pt>
                <c:pt idx="4">
                  <c:v>16.275400000000001</c:v>
                </c:pt>
                <c:pt idx="5">
                  <c:v>-15.7582</c:v>
                </c:pt>
                <c:pt idx="6">
                  <c:v>-54.253100000000003</c:v>
                </c:pt>
                <c:pt idx="7">
                  <c:v>-99.206400000000002</c:v>
                </c:pt>
                <c:pt idx="8">
                  <c:v>-150.61789999999999</c:v>
                </c:pt>
                <c:pt idx="9">
                  <c:v>-156.631</c:v>
                </c:pt>
                <c:pt idx="10">
                  <c:v>-107.251</c:v>
                </c:pt>
                <c:pt idx="11">
                  <c:v>-64.329300000000003</c:v>
                </c:pt>
                <c:pt idx="12">
                  <c:v>-27.8659</c:v>
                </c:pt>
                <c:pt idx="13">
                  <c:v>2.1394000000000002</c:v>
                </c:pt>
                <c:pt idx="14">
                  <c:v>25.686399999999999</c:v>
                </c:pt>
                <c:pt idx="15">
                  <c:v>25.686399999999999</c:v>
                </c:pt>
                <c:pt idx="16">
                  <c:v>2.1394000000000002</c:v>
                </c:pt>
                <c:pt idx="17">
                  <c:v>-27.8659</c:v>
                </c:pt>
                <c:pt idx="18">
                  <c:v>-64.329300000000003</c:v>
                </c:pt>
                <c:pt idx="19">
                  <c:v>-107.251</c:v>
                </c:pt>
                <c:pt idx="20">
                  <c:v>-156.631</c:v>
                </c:pt>
                <c:pt idx="21">
                  <c:v>-150.61789999999999</c:v>
                </c:pt>
                <c:pt idx="22">
                  <c:v>-99.206400000000002</c:v>
                </c:pt>
                <c:pt idx="23">
                  <c:v>-54.253100000000003</c:v>
                </c:pt>
                <c:pt idx="24">
                  <c:v>-15.7582</c:v>
                </c:pt>
                <c:pt idx="25">
                  <c:v>16.275400000000001</c:v>
                </c:pt>
                <c:pt idx="26">
                  <c:v>-4.2465000000000002</c:v>
                </c:pt>
                <c:pt idx="27">
                  <c:v>-38.471600000000002</c:v>
                </c:pt>
                <c:pt idx="28">
                  <c:v>-79.155199999999994</c:v>
                </c:pt>
                <c:pt idx="29">
                  <c:v>-126.2971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0-474A-AFB4-3989D2951E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'!$Q$4:$Q$33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0-474A-AFB4-3989D2951EED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'!$AI$4:$AI$33</c:f>
              <c:numCache>
                <c:formatCode>0</c:formatCode>
                <c:ptCount val="30"/>
                <c:pt idx="0">
                  <c:v>-132.22096399387047</c:v>
                </c:pt>
                <c:pt idx="1">
                  <c:v>-132.22096399387047</c:v>
                </c:pt>
                <c:pt idx="2">
                  <c:v>-132.22096399387047</c:v>
                </c:pt>
                <c:pt idx="3">
                  <c:v>-132.22096399387047</c:v>
                </c:pt>
                <c:pt idx="4">
                  <c:v>-132.22096399387047</c:v>
                </c:pt>
                <c:pt idx="5">
                  <c:v>-164.76766282313093</c:v>
                </c:pt>
                <c:pt idx="6">
                  <c:v>-164.76766282313093</c:v>
                </c:pt>
                <c:pt idx="7">
                  <c:v>-164.76766282313093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-164.76766282313093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-164.76766282313093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-164.76766282313093</c:v>
                </c:pt>
                <c:pt idx="25">
                  <c:v>-132.22096399387047</c:v>
                </c:pt>
                <c:pt idx="26">
                  <c:v>-132.22096399387047</c:v>
                </c:pt>
                <c:pt idx="27">
                  <c:v>-132.22096399387047</c:v>
                </c:pt>
                <c:pt idx="28">
                  <c:v>-132.22096399387047</c:v>
                </c:pt>
                <c:pt idx="29">
                  <c:v>-132.22096399387047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60-474A-AFB4-3989D2951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'!$F$58:$F$87</c:f>
              <c:numCache>
                <c:formatCode>General</c:formatCode>
                <c:ptCount val="30"/>
                <c:pt idx="0">
                  <c:v>68.569599999999994</c:v>
                </c:pt>
                <c:pt idx="1">
                  <c:v>69.252600000000001</c:v>
                </c:pt>
                <c:pt idx="2">
                  <c:v>61.701599999999999</c:v>
                </c:pt>
                <c:pt idx="3">
                  <c:v>45.916499999999999</c:v>
                </c:pt>
                <c:pt idx="4">
                  <c:v>47.896599999999999</c:v>
                </c:pt>
                <c:pt idx="5">
                  <c:v>47.3247</c:v>
                </c:pt>
                <c:pt idx="6">
                  <c:v>57.685499999999998</c:v>
                </c:pt>
                <c:pt idx="7">
                  <c:v>59.812199999999997</c:v>
                </c:pt>
                <c:pt idx="8">
                  <c:v>53.704700000000003</c:v>
                </c:pt>
                <c:pt idx="9">
                  <c:v>10.0556</c:v>
                </c:pt>
                <c:pt idx="10">
                  <c:v>34.883299999999998</c:v>
                </c:pt>
                <c:pt idx="11">
                  <c:v>51.476700000000001</c:v>
                </c:pt>
                <c:pt idx="12">
                  <c:v>59.835900000000002</c:v>
                </c:pt>
                <c:pt idx="13">
                  <c:v>67.080200000000005</c:v>
                </c:pt>
                <c:pt idx="14">
                  <c:v>82.644599999999997</c:v>
                </c:pt>
                <c:pt idx="15">
                  <c:v>82.644599999999997</c:v>
                </c:pt>
                <c:pt idx="16">
                  <c:v>67.080200000000005</c:v>
                </c:pt>
                <c:pt idx="17">
                  <c:v>59.835900000000002</c:v>
                </c:pt>
                <c:pt idx="18">
                  <c:v>51.476700000000001</c:v>
                </c:pt>
                <c:pt idx="19">
                  <c:v>34.883299999999998</c:v>
                </c:pt>
                <c:pt idx="20">
                  <c:v>10.0556</c:v>
                </c:pt>
                <c:pt idx="21">
                  <c:v>53.704700000000003</c:v>
                </c:pt>
                <c:pt idx="22">
                  <c:v>59.812199999999997</c:v>
                </c:pt>
                <c:pt idx="23">
                  <c:v>57.685499999999998</c:v>
                </c:pt>
                <c:pt idx="24">
                  <c:v>47.3247</c:v>
                </c:pt>
                <c:pt idx="25">
                  <c:v>47.896599999999999</c:v>
                </c:pt>
                <c:pt idx="26">
                  <c:v>45.916499999999999</c:v>
                </c:pt>
                <c:pt idx="27">
                  <c:v>61.701599999999999</c:v>
                </c:pt>
                <c:pt idx="28">
                  <c:v>69.252600000000001</c:v>
                </c:pt>
                <c:pt idx="29">
                  <c:v>68.569599999999994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D-4EDD-BADA-8756483B1572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'!$X$58:$X$87</c:f>
              <c:numCache>
                <c:formatCode>General</c:formatCode>
                <c:ptCount val="30"/>
                <c:pt idx="0">
                  <c:v>-127.9943</c:v>
                </c:pt>
                <c:pt idx="1">
                  <c:v>-76.462199999999996</c:v>
                </c:pt>
                <c:pt idx="2">
                  <c:v>-33.164400000000001</c:v>
                </c:pt>
                <c:pt idx="3">
                  <c:v>1.899</c:v>
                </c:pt>
                <c:pt idx="4">
                  <c:v>21.892299999999999</c:v>
                </c:pt>
                <c:pt idx="5">
                  <c:v>-10.3581</c:v>
                </c:pt>
                <c:pt idx="6">
                  <c:v>-50.845999999999997</c:v>
                </c:pt>
                <c:pt idx="7">
                  <c:v>-99.568200000000004</c:v>
                </c:pt>
                <c:pt idx="8">
                  <c:v>-156.5247</c:v>
                </c:pt>
                <c:pt idx="9">
                  <c:v>-169.72829999999999</c:v>
                </c:pt>
                <c:pt idx="10">
                  <c:v>-112.2137</c:v>
                </c:pt>
                <c:pt idx="11">
                  <c:v>-62.933300000000003</c:v>
                </c:pt>
                <c:pt idx="12">
                  <c:v>-21.8872</c:v>
                </c:pt>
                <c:pt idx="13">
                  <c:v>10.9247</c:v>
                </c:pt>
                <c:pt idx="14">
                  <c:v>35.502400000000002</c:v>
                </c:pt>
                <c:pt idx="15">
                  <c:v>35.502400000000002</c:v>
                </c:pt>
                <c:pt idx="16">
                  <c:v>10.9247</c:v>
                </c:pt>
                <c:pt idx="17">
                  <c:v>-21.8872</c:v>
                </c:pt>
                <c:pt idx="18">
                  <c:v>-62.933300000000003</c:v>
                </c:pt>
                <c:pt idx="19">
                  <c:v>-112.2137</c:v>
                </c:pt>
                <c:pt idx="20">
                  <c:v>-169.72829999999999</c:v>
                </c:pt>
                <c:pt idx="21">
                  <c:v>-156.5247</c:v>
                </c:pt>
                <c:pt idx="22">
                  <c:v>-99.568200000000004</c:v>
                </c:pt>
                <c:pt idx="23">
                  <c:v>-50.845999999999997</c:v>
                </c:pt>
                <c:pt idx="24">
                  <c:v>-10.3581</c:v>
                </c:pt>
                <c:pt idx="25">
                  <c:v>21.892299999999999</c:v>
                </c:pt>
                <c:pt idx="26">
                  <c:v>1.899</c:v>
                </c:pt>
                <c:pt idx="27">
                  <c:v>-33.164400000000001</c:v>
                </c:pt>
                <c:pt idx="28">
                  <c:v>-76.462199999999996</c:v>
                </c:pt>
                <c:pt idx="29">
                  <c:v>-127.9943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D-4EDD-BADA-8756483B15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'!$Q$58:$Q$87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D-4EDD-BADA-8756483B157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'!$AI$58:$AI$87</c:f>
              <c:numCache>
                <c:formatCode>0</c:formatCode>
                <c:ptCount val="30"/>
                <c:pt idx="0">
                  <c:v>-132.22096399387047</c:v>
                </c:pt>
                <c:pt idx="1">
                  <c:v>-132.22096399387047</c:v>
                </c:pt>
                <c:pt idx="2">
                  <c:v>-132.22096399387047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-184.09226525300429</c:v>
                </c:pt>
                <c:pt idx="8">
                  <c:v>-184.09226525300429</c:v>
                </c:pt>
                <c:pt idx="9">
                  <c:v>-184.09226525300429</c:v>
                </c:pt>
                <c:pt idx="10">
                  <c:v>-184.09226525300429</c:v>
                </c:pt>
                <c:pt idx="11">
                  <c:v>-184.09226525300429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-184.09226525300429</c:v>
                </c:pt>
                <c:pt idx="19">
                  <c:v>-184.09226525300429</c:v>
                </c:pt>
                <c:pt idx="20">
                  <c:v>-184.09226525300429</c:v>
                </c:pt>
                <c:pt idx="21">
                  <c:v>-184.09226525300429</c:v>
                </c:pt>
                <c:pt idx="22">
                  <c:v>-184.09226525300429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-132.22096399387047</c:v>
                </c:pt>
                <c:pt idx="27">
                  <c:v>-132.22096399387047</c:v>
                </c:pt>
                <c:pt idx="28">
                  <c:v>-132.22096399387047</c:v>
                </c:pt>
                <c:pt idx="29">
                  <c:v>-132.22096399387047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6D-4EDD-BADA-8756483B1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'!$F$114:$F$143</c:f>
              <c:numCache>
                <c:formatCode>General</c:formatCode>
                <c:ptCount val="30"/>
                <c:pt idx="0">
                  <c:v>59.215600000000002</c:v>
                </c:pt>
                <c:pt idx="1">
                  <c:v>65.372299999999996</c:v>
                </c:pt>
                <c:pt idx="2">
                  <c:v>61.9268</c:v>
                </c:pt>
                <c:pt idx="3">
                  <c:v>52.751800000000003</c:v>
                </c:pt>
                <c:pt idx="4">
                  <c:v>56.162100000000002</c:v>
                </c:pt>
                <c:pt idx="5">
                  <c:v>49.098100000000002</c:v>
                </c:pt>
                <c:pt idx="6">
                  <c:v>55.834800000000001</c:v>
                </c:pt>
                <c:pt idx="7">
                  <c:v>52.969200000000001</c:v>
                </c:pt>
                <c:pt idx="8">
                  <c:v>40.501199999999997</c:v>
                </c:pt>
                <c:pt idx="9">
                  <c:v>-7.2470999999999997</c:v>
                </c:pt>
                <c:pt idx="10">
                  <c:v>25.156199999999998</c:v>
                </c:pt>
                <c:pt idx="11">
                  <c:v>47.9572</c:v>
                </c:pt>
                <c:pt idx="12">
                  <c:v>61.155700000000003</c:v>
                </c:pt>
                <c:pt idx="13">
                  <c:v>78.676199999999994</c:v>
                </c:pt>
                <c:pt idx="14">
                  <c:v>96.930400000000006</c:v>
                </c:pt>
                <c:pt idx="15">
                  <c:v>96.930400000000006</c:v>
                </c:pt>
                <c:pt idx="16">
                  <c:v>78.676199999999994</c:v>
                </c:pt>
                <c:pt idx="17">
                  <c:v>61.155700000000003</c:v>
                </c:pt>
                <c:pt idx="18">
                  <c:v>47.9572</c:v>
                </c:pt>
                <c:pt idx="19">
                  <c:v>25.156199999999998</c:v>
                </c:pt>
                <c:pt idx="20">
                  <c:v>-7.2470999999999997</c:v>
                </c:pt>
                <c:pt idx="21">
                  <c:v>40.501199999999997</c:v>
                </c:pt>
                <c:pt idx="22">
                  <c:v>52.969200000000001</c:v>
                </c:pt>
                <c:pt idx="23">
                  <c:v>55.834800000000001</c:v>
                </c:pt>
                <c:pt idx="24">
                  <c:v>49.098100000000002</c:v>
                </c:pt>
                <c:pt idx="25">
                  <c:v>56.162100000000002</c:v>
                </c:pt>
                <c:pt idx="26">
                  <c:v>52.751800000000003</c:v>
                </c:pt>
                <c:pt idx="27">
                  <c:v>61.9268</c:v>
                </c:pt>
                <c:pt idx="28">
                  <c:v>65.372299999999996</c:v>
                </c:pt>
                <c:pt idx="29">
                  <c:v>59.215600000000002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E-48AE-AFC8-129777F96FA2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'!$X$114:$X$143</c:f>
              <c:numCache>
                <c:formatCode>General</c:formatCode>
                <c:ptCount val="30"/>
                <c:pt idx="0">
                  <c:v>-128.6232</c:v>
                </c:pt>
                <c:pt idx="1">
                  <c:v>-73.874300000000005</c:v>
                </c:pt>
                <c:pt idx="2">
                  <c:v>-28.727799999999998</c:v>
                </c:pt>
                <c:pt idx="3">
                  <c:v>6.8159999999999998</c:v>
                </c:pt>
                <c:pt idx="4">
                  <c:v>26.2239</c:v>
                </c:pt>
                <c:pt idx="5">
                  <c:v>-6.0254000000000003</c:v>
                </c:pt>
                <c:pt idx="6">
                  <c:v>-47.880499999999998</c:v>
                </c:pt>
                <c:pt idx="7">
                  <c:v>-99.338200000000001</c:v>
                </c:pt>
                <c:pt idx="8">
                  <c:v>-160.3982</c:v>
                </c:pt>
                <c:pt idx="9">
                  <c:v>-178.97319999999999</c:v>
                </c:pt>
                <c:pt idx="10">
                  <c:v>-115.35250000000001</c:v>
                </c:pt>
                <c:pt idx="11">
                  <c:v>-61.334099999999999</c:v>
                </c:pt>
                <c:pt idx="12">
                  <c:v>-16.918199999999999</c:v>
                </c:pt>
                <c:pt idx="13">
                  <c:v>17.895399999999999</c:v>
                </c:pt>
                <c:pt idx="14">
                  <c:v>43.106499999999997</c:v>
                </c:pt>
                <c:pt idx="15">
                  <c:v>43.106499999999997</c:v>
                </c:pt>
                <c:pt idx="16">
                  <c:v>17.895399999999999</c:v>
                </c:pt>
                <c:pt idx="17">
                  <c:v>-16.918199999999999</c:v>
                </c:pt>
                <c:pt idx="18">
                  <c:v>-61.334099999999999</c:v>
                </c:pt>
                <c:pt idx="19">
                  <c:v>-115.35250000000001</c:v>
                </c:pt>
                <c:pt idx="20">
                  <c:v>-178.97319999999999</c:v>
                </c:pt>
                <c:pt idx="21">
                  <c:v>-160.3982</c:v>
                </c:pt>
                <c:pt idx="22">
                  <c:v>-99.338200000000001</c:v>
                </c:pt>
                <c:pt idx="23">
                  <c:v>-47.880499999999998</c:v>
                </c:pt>
                <c:pt idx="24">
                  <c:v>-6.0254000000000003</c:v>
                </c:pt>
                <c:pt idx="25">
                  <c:v>26.2239</c:v>
                </c:pt>
                <c:pt idx="26">
                  <c:v>6.8159999999999998</c:v>
                </c:pt>
                <c:pt idx="27">
                  <c:v>-28.727799999999998</c:v>
                </c:pt>
                <c:pt idx="28">
                  <c:v>-73.874300000000005</c:v>
                </c:pt>
                <c:pt idx="29">
                  <c:v>-128.6232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E-48AE-AFC8-129777F96F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'!$Q$114:$Q$143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E-48AE-AFC8-129777F96FA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'!$AI$114:$AI$143</c:f>
              <c:numCache>
                <c:formatCode>0</c:formatCode>
                <c:ptCount val="30"/>
                <c:pt idx="0">
                  <c:v>-132.22096399387047</c:v>
                </c:pt>
                <c:pt idx="1">
                  <c:v>-132.22096399387047</c:v>
                </c:pt>
                <c:pt idx="2">
                  <c:v>-132.22096399387047</c:v>
                </c:pt>
                <c:pt idx="3">
                  <c:v>-132.22096399387047</c:v>
                </c:pt>
                <c:pt idx="4">
                  <c:v>-132.22096399387047</c:v>
                </c:pt>
                <c:pt idx="5">
                  <c:v>-164.76766282313093</c:v>
                </c:pt>
                <c:pt idx="6">
                  <c:v>-164.76766282313093</c:v>
                </c:pt>
                <c:pt idx="7">
                  <c:v>-184.09226525300429</c:v>
                </c:pt>
                <c:pt idx="8">
                  <c:v>-184.09226525300429</c:v>
                </c:pt>
                <c:pt idx="9">
                  <c:v>-184.09226525300429</c:v>
                </c:pt>
                <c:pt idx="10">
                  <c:v>-184.09226525300429</c:v>
                </c:pt>
                <c:pt idx="11">
                  <c:v>-184.09226525300429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-184.09226525300429</c:v>
                </c:pt>
                <c:pt idx="19">
                  <c:v>-184.09226525300429</c:v>
                </c:pt>
                <c:pt idx="20">
                  <c:v>-184.09226525300429</c:v>
                </c:pt>
                <c:pt idx="21">
                  <c:v>-184.09226525300429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-164.76766282313093</c:v>
                </c:pt>
                <c:pt idx="25">
                  <c:v>-132.22096399387047</c:v>
                </c:pt>
                <c:pt idx="26">
                  <c:v>-132.22096399387047</c:v>
                </c:pt>
                <c:pt idx="27">
                  <c:v>-132.22096399387047</c:v>
                </c:pt>
                <c:pt idx="28">
                  <c:v>-132.22096399387047</c:v>
                </c:pt>
                <c:pt idx="29">
                  <c:v>-132.22096399387047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2E-48AE-AFC8-129777F96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Trave dirY -P2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'!$F$169:$F$198</c:f>
              <c:numCache>
                <c:formatCode>General</c:formatCode>
                <c:ptCount val="30"/>
                <c:pt idx="0">
                  <c:v>68.280799999999999</c:v>
                </c:pt>
                <c:pt idx="1">
                  <c:v>72.080399999999997</c:v>
                </c:pt>
                <c:pt idx="2">
                  <c:v>66.277699999999996</c:v>
                </c:pt>
                <c:pt idx="3">
                  <c:v>52.613300000000002</c:v>
                </c:pt>
                <c:pt idx="4">
                  <c:v>56.0428</c:v>
                </c:pt>
                <c:pt idx="5">
                  <c:v>51.739699999999999</c:v>
                </c:pt>
                <c:pt idx="6">
                  <c:v>60.845500000000001</c:v>
                </c:pt>
                <c:pt idx="7">
                  <c:v>60.348999999999997</c:v>
                </c:pt>
                <c:pt idx="8">
                  <c:v>50.2502</c:v>
                </c:pt>
                <c:pt idx="9">
                  <c:v>1.1336999999999999</c:v>
                </c:pt>
                <c:pt idx="10">
                  <c:v>32.0092</c:v>
                </c:pt>
                <c:pt idx="11">
                  <c:v>53.282200000000003</c:v>
                </c:pt>
                <c:pt idx="12">
                  <c:v>64.9529</c:v>
                </c:pt>
                <c:pt idx="13">
                  <c:v>78.626900000000006</c:v>
                </c:pt>
                <c:pt idx="14">
                  <c:v>96.881100000000004</c:v>
                </c:pt>
                <c:pt idx="15">
                  <c:v>96.881100000000004</c:v>
                </c:pt>
                <c:pt idx="16">
                  <c:v>78.626900000000006</c:v>
                </c:pt>
                <c:pt idx="17">
                  <c:v>64.9529</c:v>
                </c:pt>
                <c:pt idx="18">
                  <c:v>53.282200000000003</c:v>
                </c:pt>
                <c:pt idx="19">
                  <c:v>32.0092</c:v>
                </c:pt>
                <c:pt idx="20">
                  <c:v>1.1336999999999999</c:v>
                </c:pt>
                <c:pt idx="21">
                  <c:v>50.2502</c:v>
                </c:pt>
                <c:pt idx="22">
                  <c:v>60.348999999999997</c:v>
                </c:pt>
                <c:pt idx="23">
                  <c:v>60.845500000000001</c:v>
                </c:pt>
                <c:pt idx="24">
                  <c:v>51.739699999999999</c:v>
                </c:pt>
                <c:pt idx="25">
                  <c:v>56.0428</c:v>
                </c:pt>
                <c:pt idx="26">
                  <c:v>52.613300000000002</c:v>
                </c:pt>
                <c:pt idx="27">
                  <c:v>66.277699999999996</c:v>
                </c:pt>
                <c:pt idx="28">
                  <c:v>72.080399999999997</c:v>
                </c:pt>
                <c:pt idx="29">
                  <c:v>68.280799999999999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'!$X$169:$X$198</c:f>
              <c:numCache>
                <c:formatCode>General</c:formatCode>
                <c:ptCount val="30"/>
                <c:pt idx="0">
                  <c:v>-137.82730000000001</c:v>
                </c:pt>
                <c:pt idx="1">
                  <c:v>-80.709299999999999</c:v>
                </c:pt>
                <c:pt idx="2">
                  <c:v>-33.1937</c:v>
                </c:pt>
                <c:pt idx="3">
                  <c:v>4.7191999999999998</c:v>
                </c:pt>
                <c:pt idx="4">
                  <c:v>25.860399999999998</c:v>
                </c:pt>
                <c:pt idx="5">
                  <c:v>-8.7461000000000002</c:v>
                </c:pt>
                <c:pt idx="6">
                  <c:v>-52.958300000000001</c:v>
                </c:pt>
                <c:pt idx="7">
                  <c:v>-106.7731</c:v>
                </c:pt>
                <c:pt idx="8">
                  <c:v>-170.19040000000001</c:v>
                </c:pt>
                <c:pt idx="9">
                  <c:v>-187.39179999999999</c:v>
                </c:pt>
                <c:pt idx="10">
                  <c:v>-122.2431</c:v>
                </c:pt>
                <c:pt idx="11">
                  <c:v>-66.696899999999999</c:v>
                </c:pt>
                <c:pt idx="12">
                  <c:v>-20.7531</c:v>
                </c:pt>
                <c:pt idx="13">
                  <c:v>15.5884</c:v>
                </c:pt>
                <c:pt idx="14">
                  <c:v>42.327399999999997</c:v>
                </c:pt>
                <c:pt idx="15">
                  <c:v>42.327399999999997</c:v>
                </c:pt>
                <c:pt idx="16">
                  <c:v>15.5884</c:v>
                </c:pt>
                <c:pt idx="17">
                  <c:v>-20.7531</c:v>
                </c:pt>
                <c:pt idx="18">
                  <c:v>-66.696899999999999</c:v>
                </c:pt>
                <c:pt idx="19">
                  <c:v>-122.2431</c:v>
                </c:pt>
                <c:pt idx="20">
                  <c:v>-187.39179999999999</c:v>
                </c:pt>
                <c:pt idx="21">
                  <c:v>-170.19040000000001</c:v>
                </c:pt>
                <c:pt idx="22">
                  <c:v>-106.7731</c:v>
                </c:pt>
                <c:pt idx="23">
                  <c:v>-52.958300000000001</c:v>
                </c:pt>
                <c:pt idx="24">
                  <c:v>-8.7461000000000002</c:v>
                </c:pt>
                <c:pt idx="25">
                  <c:v>25.860399999999998</c:v>
                </c:pt>
                <c:pt idx="26">
                  <c:v>4.7191999999999998</c:v>
                </c:pt>
                <c:pt idx="27">
                  <c:v>-33.1937</c:v>
                </c:pt>
                <c:pt idx="28">
                  <c:v>-80.709299999999999</c:v>
                </c:pt>
                <c:pt idx="29">
                  <c:v>-137.82730000000001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'!$Q$169:$Q$198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'!$AI$169:$AI$198</c:f>
              <c:numCache>
                <c:formatCode>0</c:formatCode>
                <c:ptCount val="30"/>
                <c:pt idx="0">
                  <c:v>-151.54556642374388</c:v>
                </c:pt>
                <c:pt idx="1">
                  <c:v>-151.54556642374388</c:v>
                </c:pt>
                <c:pt idx="2">
                  <c:v>-151.54556642374388</c:v>
                </c:pt>
                <c:pt idx="3">
                  <c:v>-151.54556642374388</c:v>
                </c:pt>
                <c:pt idx="4">
                  <c:v>-151.54556642374388</c:v>
                </c:pt>
                <c:pt idx="5">
                  <c:v>-203.41686768287767</c:v>
                </c:pt>
                <c:pt idx="6">
                  <c:v>-203.41686768287767</c:v>
                </c:pt>
                <c:pt idx="7">
                  <c:v>-203.41686768287767</c:v>
                </c:pt>
                <c:pt idx="8">
                  <c:v>-203.41686768287767</c:v>
                </c:pt>
                <c:pt idx="9">
                  <c:v>-203.41686768287767</c:v>
                </c:pt>
                <c:pt idx="10">
                  <c:v>-203.41686768287767</c:v>
                </c:pt>
                <c:pt idx="11">
                  <c:v>-203.41686768287767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-203.41686768287767</c:v>
                </c:pt>
                <c:pt idx="19">
                  <c:v>-203.41686768287767</c:v>
                </c:pt>
                <c:pt idx="20">
                  <c:v>-203.41686768287767</c:v>
                </c:pt>
                <c:pt idx="21">
                  <c:v>-203.41686768287767</c:v>
                </c:pt>
                <c:pt idx="22">
                  <c:v>-203.41686768287767</c:v>
                </c:pt>
                <c:pt idx="23">
                  <c:v>-203.41686768287767</c:v>
                </c:pt>
                <c:pt idx="24">
                  <c:v>-203.41686768287767</c:v>
                </c:pt>
                <c:pt idx="25">
                  <c:v>-151.54556642374388</c:v>
                </c:pt>
                <c:pt idx="26">
                  <c:v>-151.54556642374388</c:v>
                </c:pt>
                <c:pt idx="27">
                  <c:v>-151.54556642374388</c:v>
                </c:pt>
                <c:pt idx="28">
                  <c:v>-151.54556642374388</c:v>
                </c:pt>
                <c:pt idx="29">
                  <c:v>-151.54556642374388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'!$F$224:$F$253</c:f>
              <c:numCache>
                <c:formatCode>General</c:formatCode>
                <c:ptCount val="30"/>
                <c:pt idx="0">
                  <c:v>88.432199999999995</c:v>
                </c:pt>
                <c:pt idx="1">
                  <c:v>80.011099999999999</c:v>
                </c:pt>
                <c:pt idx="2">
                  <c:v>65.131799999999998</c:v>
                </c:pt>
                <c:pt idx="3">
                  <c:v>43.794600000000003</c:v>
                </c:pt>
                <c:pt idx="4">
                  <c:v>33.516599999999997</c:v>
                </c:pt>
                <c:pt idx="5">
                  <c:v>47.379600000000003</c:v>
                </c:pt>
                <c:pt idx="6">
                  <c:v>64.429500000000004</c:v>
                </c:pt>
                <c:pt idx="7">
                  <c:v>75.021199999999993</c:v>
                </c:pt>
                <c:pt idx="8">
                  <c:v>79.154799999999994</c:v>
                </c:pt>
                <c:pt idx="9">
                  <c:v>39.1907</c:v>
                </c:pt>
                <c:pt idx="10">
                  <c:v>52.981000000000002</c:v>
                </c:pt>
                <c:pt idx="11">
                  <c:v>60.313200000000002</c:v>
                </c:pt>
                <c:pt idx="12">
                  <c:v>61.187100000000001</c:v>
                </c:pt>
                <c:pt idx="13">
                  <c:v>55.602800000000002</c:v>
                </c:pt>
                <c:pt idx="14">
                  <c:v>57.5261</c:v>
                </c:pt>
                <c:pt idx="15">
                  <c:v>57.5261</c:v>
                </c:pt>
                <c:pt idx="16">
                  <c:v>55.602800000000002</c:v>
                </c:pt>
                <c:pt idx="17">
                  <c:v>61.187100000000001</c:v>
                </c:pt>
                <c:pt idx="18">
                  <c:v>60.313200000000002</c:v>
                </c:pt>
                <c:pt idx="19">
                  <c:v>52.981000000000002</c:v>
                </c:pt>
                <c:pt idx="20">
                  <c:v>39.1907</c:v>
                </c:pt>
                <c:pt idx="21">
                  <c:v>79.154799999999994</c:v>
                </c:pt>
                <c:pt idx="22">
                  <c:v>75.021199999999993</c:v>
                </c:pt>
                <c:pt idx="23">
                  <c:v>64.429500000000004</c:v>
                </c:pt>
                <c:pt idx="24">
                  <c:v>47.379600000000003</c:v>
                </c:pt>
                <c:pt idx="25">
                  <c:v>33.516599999999997</c:v>
                </c:pt>
                <c:pt idx="26">
                  <c:v>43.794600000000003</c:v>
                </c:pt>
                <c:pt idx="27">
                  <c:v>65.131799999999998</c:v>
                </c:pt>
                <c:pt idx="28">
                  <c:v>80.011099999999999</c:v>
                </c:pt>
                <c:pt idx="29">
                  <c:v>88.432199999999995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B-4C7C-8CAD-56E97413C7BE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'!$X$224:$X$253</c:f>
              <c:numCache>
                <c:formatCode>General</c:formatCode>
                <c:ptCount val="30"/>
                <c:pt idx="0">
                  <c:v>-134.74459999999999</c:v>
                </c:pt>
                <c:pt idx="1">
                  <c:v>-85.403499999999994</c:v>
                </c:pt>
                <c:pt idx="2">
                  <c:v>-42.520699999999998</c:v>
                </c:pt>
                <c:pt idx="3">
                  <c:v>-6.0963000000000003</c:v>
                </c:pt>
                <c:pt idx="4">
                  <c:v>15.994</c:v>
                </c:pt>
                <c:pt idx="5">
                  <c:v>-18.256399999999999</c:v>
                </c:pt>
                <c:pt idx="6">
                  <c:v>-58.968400000000003</c:v>
                </c:pt>
                <c:pt idx="7">
                  <c:v>-106.1388</c:v>
                </c:pt>
                <c:pt idx="8">
                  <c:v>-159.76750000000001</c:v>
                </c:pt>
                <c:pt idx="9">
                  <c:v>-164.38310000000001</c:v>
                </c:pt>
                <c:pt idx="10">
                  <c:v>-113.5913</c:v>
                </c:pt>
                <c:pt idx="11">
                  <c:v>-69.257599999999996</c:v>
                </c:pt>
                <c:pt idx="12">
                  <c:v>-31.382200000000001</c:v>
                </c:pt>
                <c:pt idx="13">
                  <c:v>3.49E-2</c:v>
                </c:pt>
                <c:pt idx="14">
                  <c:v>24.9939</c:v>
                </c:pt>
                <c:pt idx="15">
                  <c:v>24.9939</c:v>
                </c:pt>
                <c:pt idx="16">
                  <c:v>3.49E-2</c:v>
                </c:pt>
                <c:pt idx="17">
                  <c:v>-31.382200000000001</c:v>
                </c:pt>
                <c:pt idx="18">
                  <c:v>-69.257599999999996</c:v>
                </c:pt>
                <c:pt idx="19">
                  <c:v>-113.5913</c:v>
                </c:pt>
                <c:pt idx="20">
                  <c:v>-164.38310000000001</c:v>
                </c:pt>
                <c:pt idx="21">
                  <c:v>-159.76750000000001</c:v>
                </c:pt>
                <c:pt idx="22">
                  <c:v>-106.1388</c:v>
                </c:pt>
                <c:pt idx="23">
                  <c:v>-58.968400000000003</c:v>
                </c:pt>
                <c:pt idx="24">
                  <c:v>-18.256399999999999</c:v>
                </c:pt>
                <c:pt idx="25">
                  <c:v>15.994</c:v>
                </c:pt>
                <c:pt idx="26">
                  <c:v>-6.0963000000000003</c:v>
                </c:pt>
                <c:pt idx="27">
                  <c:v>-42.520699999999998</c:v>
                </c:pt>
                <c:pt idx="28">
                  <c:v>-85.403499999999994</c:v>
                </c:pt>
                <c:pt idx="29">
                  <c:v>-134.74459999999999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B-4C7C-8CAD-56E97413C7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'!$Q$224:$Q$253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AB-4C7C-8CAD-56E97413C7BE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(P2)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(P2) '!$AI$224:$AI$253</c:f>
              <c:numCache>
                <c:formatCode>0</c:formatCode>
                <c:ptCount val="30"/>
                <c:pt idx="0">
                  <c:v>-132.22096399387047</c:v>
                </c:pt>
                <c:pt idx="1">
                  <c:v>-132.22096399387047</c:v>
                </c:pt>
                <c:pt idx="2">
                  <c:v>-132.22096399387047</c:v>
                </c:pt>
                <c:pt idx="3">
                  <c:v>-132.22096399387047</c:v>
                </c:pt>
                <c:pt idx="4">
                  <c:v>-132.22096399387047</c:v>
                </c:pt>
                <c:pt idx="5">
                  <c:v>-164.76766282313093</c:v>
                </c:pt>
                <c:pt idx="6">
                  <c:v>-164.76766282313093</c:v>
                </c:pt>
                <c:pt idx="7">
                  <c:v>-164.76766282313093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-164.76766282313093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-164.76766282313093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-164.76766282313093</c:v>
                </c:pt>
                <c:pt idx="24">
                  <c:v>-164.76766282313093</c:v>
                </c:pt>
                <c:pt idx="25">
                  <c:v>-132.22096399387047</c:v>
                </c:pt>
                <c:pt idx="26">
                  <c:v>-132.22096399387047</c:v>
                </c:pt>
                <c:pt idx="27">
                  <c:v>-132.22096399387047</c:v>
                </c:pt>
                <c:pt idx="28">
                  <c:v>-132.22096399387047</c:v>
                </c:pt>
                <c:pt idx="29">
                  <c:v>-132.22096399387047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AB-4C7C-8CAD-56E97413C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'!$F$4:$F$33</c:f>
              <c:numCache>
                <c:formatCode>General</c:formatCode>
                <c:ptCount val="30"/>
                <c:pt idx="0">
                  <c:v>46.071199999999997</c:v>
                </c:pt>
                <c:pt idx="1">
                  <c:v>49.025100000000002</c:v>
                </c:pt>
                <c:pt idx="2">
                  <c:v>45.520800000000001</c:v>
                </c:pt>
                <c:pt idx="3">
                  <c:v>35.558599999999998</c:v>
                </c:pt>
                <c:pt idx="4">
                  <c:v>33.228299999999997</c:v>
                </c:pt>
                <c:pt idx="5">
                  <c:v>32.5426</c:v>
                </c:pt>
                <c:pt idx="6">
                  <c:v>38.202300000000001</c:v>
                </c:pt>
                <c:pt idx="7">
                  <c:v>37.4041</c:v>
                </c:pt>
                <c:pt idx="8">
                  <c:v>30.1477</c:v>
                </c:pt>
                <c:pt idx="9">
                  <c:v>0.22270000000000001</c:v>
                </c:pt>
                <c:pt idx="10">
                  <c:v>21.248799999999999</c:v>
                </c:pt>
                <c:pt idx="11">
                  <c:v>35.816699999999997</c:v>
                </c:pt>
                <c:pt idx="12">
                  <c:v>43.926299999999998</c:v>
                </c:pt>
                <c:pt idx="13">
                  <c:v>48.073999999999998</c:v>
                </c:pt>
                <c:pt idx="14">
                  <c:v>58.8996</c:v>
                </c:pt>
                <c:pt idx="15">
                  <c:v>58.8996</c:v>
                </c:pt>
                <c:pt idx="16">
                  <c:v>48.073999999999998</c:v>
                </c:pt>
                <c:pt idx="17">
                  <c:v>43.926299999999998</c:v>
                </c:pt>
                <c:pt idx="18">
                  <c:v>35.816699999999997</c:v>
                </c:pt>
                <c:pt idx="19">
                  <c:v>21.248799999999999</c:v>
                </c:pt>
                <c:pt idx="20">
                  <c:v>0.22270000000000001</c:v>
                </c:pt>
                <c:pt idx="21">
                  <c:v>30.1477</c:v>
                </c:pt>
                <c:pt idx="22">
                  <c:v>37.4041</c:v>
                </c:pt>
                <c:pt idx="23">
                  <c:v>38.202300000000001</c:v>
                </c:pt>
                <c:pt idx="24">
                  <c:v>32.5426</c:v>
                </c:pt>
                <c:pt idx="25">
                  <c:v>33.228299999999997</c:v>
                </c:pt>
                <c:pt idx="26">
                  <c:v>35.558599999999998</c:v>
                </c:pt>
                <c:pt idx="27">
                  <c:v>45.520800000000001</c:v>
                </c:pt>
                <c:pt idx="28">
                  <c:v>49.025100000000002</c:v>
                </c:pt>
                <c:pt idx="29">
                  <c:v>46.071199999999997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3-413F-9462-633972F33D95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71765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'!$X$4:$X$33</c:f>
              <c:numCache>
                <c:formatCode>General</c:formatCode>
                <c:ptCount val="30"/>
                <c:pt idx="0">
                  <c:v>-92.632300000000001</c:v>
                </c:pt>
                <c:pt idx="1">
                  <c:v>-54.681100000000001</c:v>
                </c:pt>
                <c:pt idx="2">
                  <c:v>-23.188300000000002</c:v>
                </c:pt>
                <c:pt idx="3">
                  <c:v>1.8461000000000001</c:v>
                </c:pt>
                <c:pt idx="4">
                  <c:v>19.113800000000001</c:v>
                </c:pt>
                <c:pt idx="5">
                  <c:v>-3.7429000000000001</c:v>
                </c:pt>
                <c:pt idx="6">
                  <c:v>-33.079799999999999</c:v>
                </c:pt>
                <c:pt idx="7">
                  <c:v>-68.875200000000007</c:v>
                </c:pt>
                <c:pt idx="8">
                  <c:v>-111.1289</c:v>
                </c:pt>
                <c:pt idx="9">
                  <c:v>-123.788</c:v>
                </c:pt>
                <c:pt idx="10">
                  <c:v>-80.231899999999996</c:v>
                </c:pt>
                <c:pt idx="11">
                  <c:v>-43.133899999999997</c:v>
                </c:pt>
                <c:pt idx="12">
                  <c:v>-12.494199999999999</c:v>
                </c:pt>
                <c:pt idx="13">
                  <c:v>11.6873</c:v>
                </c:pt>
                <c:pt idx="14">
                  <c:v>29.410499999999999</c:v>
                </c:pt>
                <c:pt idx="15">
                  <c:v>29.410499999999999</c:v>
                </c:pt>
                <c:pt idx="16">
                  <c:v>11.6873</c:v>
                </c:pt>
                <c:pt idx="17">
                  <c:v>-12.494199999999999</c:v>
                </c:pt>
                <c:pt idx="18">
                  <c:v>-43.133899999999997</c:v>
                </c:pt>
                <c:pt idx="19">
                  <c:v>-80.231899999999996</c:v>
                </c:pt>
                <c:pt idx="20">
                  <c:v>-123.788</c:v>
                </c:pt>
                <c:pt idx="21">
                  <c:v>-111.1289</c:v>
                </c:pt>
                <c:pt idx="22">
                  <c:v>-68.875200000000007</c:v>
                </c:pt>
                <c:pt idx="23">
                  <c:v>-33.079799999999999</c:v>
                </c:pt>
                <c:pt idx="24">
                  <c:v>-3.7429000000000001</c:v>
                </c:pt>
                <c:pt idx="25">
                  <c:v>19.113800000000001</c:v>
                </c:pt>
                <c:pt idx="26">
                  <c:v>1.8461000000000001</c:v>
                </c:pt>
                <c:pt idx="27">
                  <c:v>-23.188300000000002</c:v>
                </c:pt>
                <c:pt idx="28">
                  <c:v>-54.681100000000001</c:v>
                </c:pt>
                <c:pt idx="29">
                  <c:v>-92.632300000000001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3-413F-9462-633972F33D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'!$Q$4:$Q$33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100.69134950302445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100.69134950302445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3-413F-9462-633972F33D95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'!$AI$4:$AI$33</c:f>
              <c:numCache>
                <c:formatCode>0</c:formatCode>
                <c:ptCount val="30"/>
                <c:pt idx="0">
                  <c:v>-100.69134950302445</c:v>
                </c:pt>
                <c:pt idx="1">
                  <c:v>-100.69134950302445</c:v>
                </c:pt>
                <c:pt idx="2">
                  <c:v>-100.69134950302445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-132.22096399387047</c:v>
                </c:pt>
                <c:pt idx="7">
                  <c:v>-132.22096399387047</c:v>
                </c:pt>
                <c:pt idx="8">
                  <c:v>-132.22096399387047</c:v>
                </c:pt>
                <c:pt idx="9">
                  <c:v>-132.22096399387047</c:v>
                </c:pt>
                <c:pt idx="10">
                  <c:v>-132.22096399387047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-132.22096399387047</c:v>
                </c:pt>
                <c:pt idx="19">
                  <c:v>-132.22096399387047</c:v>
                </c:pt>
                <c:pt idx="20">
                  <c:v>-132.22096399387047</c:v>
                </c:pt>
                <c:pt idx="21">
                  <c:v>-132.22096399387047</c:v>
                </c:pt>
                <c:pt idx="22">
                  <c:v>-132.22096399387047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-100.69134950302445</c:v>
                </c:pt>
                <c:pt idx="27">
                  <c:v>-100.69134950302445</c:v>
                </c:pt>
                <c:pt idx="28">
                  <c:v>-100.69134950302445</c:v>
                </c:pt>
                <c:pt idx="29">
                  <c:v>-100.69134950302445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13-413F-9462-633972F3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'!$F$58:$F$87</c:f>
              <c:numCache>
                <c:formatCode>General</c:formatCode>
                <c:ptCount val="30"/>
                <c:pt idx="0">
                  <c:v>35.056199999999997</c:v>
                </c:pt>
                <c:pt idx="1">
                  <c:v>44.764299999999999</c:v>
                </c:pt>
                <c:pt idx="2">
                  <c:v>46.238100000000003</c:v>
                </c:pt>
                <c:pt idx="3">
                  <c:v>44.075200000000002</c:v>
                </c:pt>
                <c:pt idx="4">
                  <c:v>47.446100000000001</c:v>
                </c:pt>
                <c:pt idx="5">
                  <c:v>35.749899999999997</c:v>
                </c:pt>
                <c:pt idx="6">
                  <c:v>37.630000000000003</c:v>
                </c:pt>
                <c:pt idx="7">
                  <c:v>31.276199999999999</c:v>
                </c:pt>
                <c:pt idx="8">
                  <c:v>16.688199999999998</c:v>
                </c:pt>
                <c:pt idx="9">
                  <c:v>-19.540900000000001</c:v>
                </c:pt>
                <c:pt idx="10">
                  <c:v>10.8339</c:v>
                </c:pt>
                <c:pt idx="11">
                  <c:v>32.974499999999999</c:v>
                </c:pt>
                <c:pt idx="12">
                  <c:v>46.880899999999997</c:v>
                </c:pt>
                <c:pt idx="13">
                  <c:v>68.874300000000005</c:v>
                </c:pt>
                <c:pt idx="14">
                  <c:v>84.438699999999997</c:v>
                </c:pt>
                <c:pt idx="15">
                  <c:v>84.438699999999997</c:v>
                </c:pt>
                <c:pt idx="16">
                  <c:v>68.874300000000005</c:v>
                </c:pt>
                <c:pt idx="17">
                  <c:v>46.880899999999997</c:v>
                </c:pt>
                <c:pt idx="18">
                  <c:v>32.974499999999999</c:v>
                </c:pt>
                <c:pt idx="19">
                  <c:v>10.8339</c:v>
                </c:pt>
                <c:pt idx="20">
                  <c:v>-19.540900000000001</c:v>
                </c:pt>
                <c:pt idx="21">
                  <c:v>16.688199999999998</c:v>
                </c:pt>
                <c:pt idx="22">
                  <c:v>31.276199999999999</c:v>
                </c:pt>
                <c:pt idx="23">
                  <c:v>37.630000000000003</c:v>
                </c:pt>
                <c:pt idx="24">
                  <c:v>35.749899999999997</c:v>
                </c:pt>
                <c:pt idx="25">
                  <c:v>47.446100000000001</c:v>
                </c:pt>
                <c:pt idx="26">
                  <c:v>44.075200000000002</c:v>
                </c:pt>
                <c:pt idx="27">
                  <c:v>46.238100000000003</c:v>
                </c:pt>
                <c:pt idx="28">
                  <c:v>44.764299999999999</c:v>
                </c:pt>
                <c:pt idx="29">
                  <c:v>35.056199999999997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7-468B-A7AC-BFF3DF2D76A2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'!$X$58:$X$87</c:f>
              <c:numCache>
                <c:formatCode>General</c:formatCode>
                <c:ptCount val="30"/>
                <c:pt idx="0">
                  <c:v>-97.167000000000002</c:v>
                </c:pt>
                <c:pt idx="1">
                  <c:v>-54.115400000000001</c:v>
                </c:pt>
                <c:pt idx="2">
                  <c:v>-19.298100000000002</c:v>
                </c:pt>
                <c:pt idx="3">
                  <c:v>7.2846000000000002</c:v>
                </c:pt>
                <c:pt idx="4">
                  <c:v>24.4589</c:v>
                </c:pt>
                <c:pt idx="5">
                  <c:v>1.2527999999999999</c:v>
                </c:pt>
                <c:pt idx="6">
                  <c:v>-30.21</c:v>
                </c:pt>
                <c:pt idx="7">
                  <c:v>-69.907200000000003</c:v>
                </c:pt>
                <c:pt idx="8">
                  <c:v>-117.8387</c:v>
                </c:pt>
                <c:pt idx="9">
                  <c:v>-149.02709999999999</c:v>
                </c:pt>
                <c:pt idx="10">
                  <c:v>-86.341399999999993</c:v>
                </c:pt>
                <c:pt idx="11">
                  <c:v>-42.608199999999997</c:v>
                </c:pt>
                <c:pt idx="12">
                  <c:v>-7.1092000000000004</c:v>
                </c:pt>
                <c:pt idx="13">
                  <c:v>20.1555</c:v>
                </c:pt>
                <c:pt idx="14">
                  <c:v>39.186100000000003</c:v>
                </c:pt>
                <c:pt idx="15">
                  <c:v>39.186100000000003</c:v>
                </c:pt>
                <c:pt idx="16">
                  <c:v>20.1555</c:v>
                </c:pt>
                <c:pt idx="17">
                  <c:v>-7.1092000000000004</c:v>
                </c:pt>
                <c:pt idx="18">
                  <c:v>-42.608199999999997</c:v>
                </c:pt>
                <c:pt idx="19">
                  <c:v>-86.341399999999993</c:v>
                </c:pt>
                <c:pt idx="20">
                  <c:v>-149.02709999999999</c:v>
                </c:pt>
                <c:pt idx="21">
                  <c:v>-117.8387</c:v>
                </c:pt>
                <c:pt idx="22">
                  <c:v>-69.907200000000003</c:v>
                </c:pt>
                <c:pt idx="23">
                  <c:v>-30.21</c:v>
                </c:pt>
                <c:pt idx="24">
                  <c:v>1.2527999999999999</c:v>
                </c:pt>
                <c:pt idx="25">
                  <c:v>24.4589</c:v>
                </c:pt>
                <c:pt idx="26">
                  <c:v>7.2846000000000002</c:v>
                </c:pt>
                <c:pt idx="27">
                  <c:v>-19.298100000000002</c:v>
                </c:pt>
                <c:pt idx="28">
                  <c:v>-54.115400000000001</c:v>
                </c:pt>
                <c:pt idx="29">
                  <c:v>-97.167000000000002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7-468B-A7AC-BFF3DF2D76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'!$Q$58:$Q$87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107.30239770271794</c:v>
                </c:pt>
                <c:pt idx="13">
                  <c:v>107.30239770271794</c:v>
                </c:pt>
                <c:pt idx="14">
                  <c:v>107.30239770271794</c:v>
                </c:pt>
                <c:pt idx="15">
                  <c:v>107.30239770271794</c:v>
                </c:pt>
                <c:pt idx="16">
                  <c:v>107.30239770271794</c:v>
                </c:pt>
                <c:pt idx="17">
                  <c:v>107.30239770271794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D7-468B-A7AC-BFF3DF2D76A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'!$AI$58:$AI$87</c:f>
              <c:numCache>
                <c:formatCode>0</c:formatCode>
                <c:ptCount val="30"/>
                <c:pt idx="0">
                  <c:v>-100.69134950302445</c:v>
                </c:pt>
                <c:pt idx="1">
                  <c:v>-100.69134950302445</c:v>
                </c:pt>
                <c:pt idx="2">
                  <c:v>-100.69134950302445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-164.76766282313093</c:v>
                </c:pt>
                <c:pt idx="7">
                  <c:v>-164.76766282313093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-164.76766282313093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-100.69134950302445</c:v>
                </c:pt>
                <c:pt idx="27">
                  <c:v>-100.69134950302445</c:v>
                </c:pt>
                <c:pt idx="28">
                  <c:v>-100.69134950302445</c:v>
                </c:pt>
                <c:pt idx="29">
                  <c:v>-100.69134950302445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D7-468B-A7AC-BFF3DF2D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'!$F$114:$F$143</c:f>
              <c:numCache>
                <c:formatCode>General</c:formatCode>
                <c:ptCount val="30"/>
                <c:pt idx="0">
                  <c:v>27.011700000000001</c:v>
                </c:pt>
                <c:pt idx="1">
                  <c:v>41.818800000000003</c:v>
                </c:pt>
                <c:pt idx="2">
                  <c:v>47.023400000000002</c:v>
                </c:pt>
                <c:pt idx="3">
                  <c:v>51.6128</c:v>
                </c:pt>
                <c:pt idx="4">
                  <c:v>55.613799999999998</c:v>
                </c:pt>
                <c:pt idx="5">
                  <c:v>41.360399999999998</c:v>
                </c:pt>
                <c:pt idx="6">
                  <c:v>36.855200000000004</c:v>
                </c:pt>
                <c:pt idx="7">
                  <c:v>26.011099999999999</c:v>
                </c:pt>
                <c:pt idx="8">
                  <c:v>5.5646000000000004</c:v>
                </c:pt>
                <c:pt idx="9">
                  <c:v>-35.174500000000002</c:v>
                </c:pt>
                <c:pt idx="10">
                  <c:v>2.4992000000000001</c:v>
                </c:pt>
                <c:pt idx="11">
                  <c:v>30.570499999999999</c:v>
                </c:pt>
                <c:pt idx="12">
                  <c:v>49.039400000000001</c:v>
                </c:pt>
                <c:pt idx="13">
                  <c:v>80.777199999999993</c:v>
                </c:pt>
                <c:pt idx="14">
                  <c:v>99.031499999999994</c:v>
                </c:pt>
                <c:pt idx="15">
                  <c:v>99.031499999999994</c:v>
                </c:pt>
                <c:pt idx="16">
                  <c:v>80.777199999999993</c:v>
                </c:pt>
                <c:pt idx="17">
                  <c:v>49.039400000000001</c:v>
                </c:pt>
                <c:pt idx="18">
                  <c:v>30.570499999999999</c:v>
                </c:pt>
                <c:pt idx="19">
                  <c:v>2.4992000000000001</c:v>
                </c:pt>
                <c:pt idx="20">
                  <c:v>-35.174500000000002</c:v>
                </c:pt>
                <c:pt idx="21">
                  <c:v>5.5646000000000004</c:v>
                </c:pt>
                <c:pt idx="22">
                  <c:v>26.011099999999999</c:v>
                </c:pt>
                <c:pt idx="23">
                  <c:v>36.855200000000004</c:v>
                </c:pt>
                <c:pt idx="24">
                  <c:v>41.360399999999998</c:v>
                </c:pt>
                <c:pt idx="25">
                  <c:v>55.613799999999998</c:v>
                </c:pt>
                <c:pt idx="26">
                  <c:v>51.6128</c:v>
                </c:pt>
                <c:pt idx="27">
                  <c:v>47.023400000000002</c:v>
                </c:pt>
                <c:pt idx="28">
                  <c:v>41.818800000000003</c:v>
                </c:pt>
                <c:pt idx="29">
                  <c:v>27.011700000000001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4E86-83CE-AC01317082EE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'!$X$114:$X$143</c:f>
              <c:numCache>
                <c:formatCode>General</c:formatCode>
                <c:ptCount val="30"/>
                <c:pt idx="0">
                  <c:v>-99.731999999999999</c:v>
                </c:pt>
                <c:pt idx="1">
                  <c:v>-52.961599999999997</c:v>
                </c:pt>
                <c:pt idx="2">
                  <c:v>-15.793699999999999</c:v>
                </c:pt>
                <c:pt idx="3">
                  <c:v>11.7715</c:v>
                </c:pt>
                <c:pt idx="4">
                  <c:v>28.6005</c:v>
                </c:pt>
                <c:pt idx="5">
                  <c:v>5.0213000000000001</c:v>
                </c:pt>
                <c:pt idx="6">
                  <c:v>-28.183399999999999</c:v>
                </c:pt>
                <c:pt idx="7">
                  <c:v>-70.990799999999993</c:v>
                </c:pt>
                <c:pt idx="8">
                  <c:v>-123.4007</c:v>
                </c:pt>
                <c:pt idx="9">
                  <c:v>-174.7825</c:v>
                </c:pt>
                <c:pt idx="10">
                  <c:v>-90.587999999999994</c:v>
                </c:pt>
                <c:pt idx="11">
                  <c:v>-41.84</c:v>
                </c:pt>
                <c:pt idx="12">
                  <c:v>-2.6943999999999999</c:v>
                </c:pt>
                <c:pt idx="13">
                  <c:v>26.848800000000001</c:v>
                </c:pt>
                <c:pt idx="14">
                  <c:v>46.789499999999997</c:v>
                </c:pt>
                <c:pt idx="15">
                  <c:v>46.789499999999997</c:v>
                </c:pt>
                <c:pt idx="16">
                  <c:v>26.848800000000001</c:v>
                </c:pt>
                <c:pt idx="17">
                  <c:v>-2.6943999999999999</c:v>
                </c:pt>
                <c:pt idx="18">
                  <c:v>-41.84</c:v>
                </c:pt>
                <c:pt idx="19">
                  <c:v>-90.587999999999994</c:v>
                </c:pt>
                <c:pt idx="20">
                  <c:v>-174.7825</c:v>
                </c:pt>
                <c:pt idx="21">
                  <c:v>-123.4007</c:v>
                </c:pt>
                <c:pt idx="22">
                  <c:v>-70.990799999999993</c:v>
                </c:pt>
                <c:pt idx="23">
                  <c:v>-28.183399999999999</c:v>
                </c:pt>
                <c:pt idx="24">
                  <c:v>5.0213000000000001</c:v>
                </c:pt>
                <c:pt idx="25">
                  <c:v>28.6005</c:v>
                </c:pt>
                <c:pt idx="26">
                  <c:v>11.7715</c:v>
                </c:pt>
                <c:pt idx="27">
                  <c:v>-15.793699999999999</c:v>
                </c:pt>
                <c:pt idx="28">
                  <c:v>-52.961599999999997</c:v>
                </c:pt>
                <c:pt idx="29">
                  <c:v>-99.731999999999999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7-4E86-83CE-AC01317082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'!$Q$114:$Q$143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99.674265164610063</c:v>
                </c:pt>
                <c:pt idx="10">
                  <c:v>99.674265164610063</c:v>
                </c:pt>
                <c:pt idx="11">
                  <c:v>99.674265164610063</c:v>
                </c:pt>
                <c:pt idx="12">
                  <c:v>99.674265164610063</c:v>
                </c:pt>
                <c:pt idx="13">
                  <c:v>99.674265164610063</c:v>
                </c:pt>
                <c:pt idx="14">
                  <c:v>99.674265164610063</c:v>
                </c:pt>
                <c:pt idx="15">
                  <c:v>99.674265164610063</c:v>
                </c:pt>
                <c:pt idx="16">
                  <c:v>99.674265164610063</c:v>
                </c:pt>
                <c:pt idx="17">
                  <c:v>99.674265164610063</c:v>
                </c:pt>
                <c:pt idx="18">
                  <c:v>99.674265164610063</c:v>
                </c:pt>
                <c:pt idx="19">
                  <c:v>99.674265164610063</c:v>
                </c:pt>
                <c:pt idx="20">
                  <c:v>99.674265164610063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07-4E86-83CE-AC01317082EE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'!$AI$114:$AI$143</c:f>
              <c:numCache>
                <c:formatCode>0</c:formatCode>
                <c:ptCount val="30"/>
                <c:pt idx="0">
                  <c:v>-100.69134950302445</c:v>
                </c:pt>
                <c:pt idx="1">
                  <c:v>-100.69134950302445</c:v>
                </c:pt>
                <c:pt idx="2">
                  <c:v>-100.69134950302445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-101.70843384143883</c:v>
                </c:pt>
                <c:pt idx="6">
                  <c:v>-184.09226525300429</c:v>
                </c:pt>
                <c:pt idx="7">
                  <c:v>-184.09226525300429</c:v>
                </c:pt>
                <c:pt idx="8">
                  <c:v>-184.09226525300429</c:v>
                </c:pt>
                <c:pt idx="9">
                  <c:v>-184.09226525300429</c:v>
                </c:pt>
                <c:pt idx="10">
                  <c:v>-184.09226525300429</c:v>
                </c:pt>
                <c:pt idx="11">
                  <c:v>-101.70843384143883</c:v>
                </c:pt>
                <c:pt idx="12">
                  <c:v>-101.70843384143883</c:v>
                </c:pt>
                <c:pt idx="13">
                  <c:v>-101.70843384143883</c:v>
                </c:pt>
                <c:pt idx="14">
                  <c:v>-101.70843384143883</c:v>
                </c:pt>
                <c:pt idx="15">
                  <c:v>-101.70843384143883</c:v>
                </c:pt>
                <c:pt idx="16">
                  <c:v>-101.70843384143883</c:v>
                </c:pt>
                <c:pt idx="17">
                  <c:v>-101.70843384143883</c:v>
                </c:pt>
                <c:pt idx="18">
                  <c:v>-184.09226525300429</c:v>
                </c:pt>
                <c:pt idx="19">
                  <c:v>-184.09226525300429</c:v>
                </c:pt>
                <c:pt idx="20">
                  <c:v>-184.09226525300429</c:v>
                </c:pt>
                <c:pt idx="21">
                  <c:v>-184.09226525300429</c:v>
                </c:pt>
                <c:pt idx="22">
                  <c:v>-184.09226525300429</c:v>
                </c:pt>
                <c:pt idx="23">
                  <c:v>-101.70843384143883</c:v>
                </c:pt>
                <c:pt idx="24">
                  <c:v>-101.70843384143883</c:v>
                </c:pt>
                <c:pt idx="25">
                  <c:v>-82.383831411565467</c:v>
                </c:pt>
                <c:pt idx="26">
                  <c:v>-100.69134950302445</c:v>
                </c:pt>
                <c:pt idx="27">
                  <c:v>-100.69134950302445</c:v>
                </c:pt>
                <c:pt idx="28">
                  <c:v>-100.69134950302445</c:v>
                </c:pt>
                <c:pt idx="29">
                  <c:v>-100.69134950302445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07-4E86-83CE-AC0131708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</a:t>
            </a:r>
            <a:r>
              <a:rPr lang="it-IT" sz="1800" b="1" i="0" u="none" strike="noStrike" baseline="0">
                <a:effectLst/>
              </a:rPr>
              <a:t>- Trave dirY -P3 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'!$F$169:$F$198</c:f>
              <c:numCache>
                <c:formatCode>0.0</c:formatCode>
                <c:ptCount val="30"/>
                <c:pt idx="0">
                  <c:v>32.955800000000004</c:v>
                </c:pt>
                <c:pt idx="1">
                  <c:v>46.258499999999998</c:v>
                </c:pt>
                <c:pt idx="2">
                  <c:v>49.958799999999997</c:v>
                </c:pt>
                <c:pt idx="3">
                  <c:v>51.533799999999999</c:v>
                </c:pt>
                <c:pt idx="4">
                  <c:v>55.521500000000003</c:v>
                </c:pt>
                <c:pt idx="5">
                  <c:v>41.254899999999999</c:v>
                </c:pt>
                <c:pt idx="6">
                  <c:v>39.823300000000003</c:v>
                </c:pt>
                <c:pt idx="7">
                  <c:v>30.451899999999998</c:v>
                </c:pt>
                <c:pt idx="8">
                  <c:v>11.478199999999999</c:v>
                </c:pt>
                <c:pt idx="9">
                  <c:v>-29.8369</c:v>
                </c:pt>
                <c:pt idx="10">
                  <c:v>6.8601000000000001</c:v>
                </c:pt>
                <c:pt idx="11">
                  <c:v>33.954599999999999</c:v>
                </c:pt>
                <c:pt idx="12">
                  <c:v>51.446800000000003</c:v>
                </c:pt>
                <c:pt idx="13">
                  <c:v>80.698099999999997</c:v>
                </c:pt>
                <c:pt idx="14">
                  <c:v>98.952399999999997</c:v>
                </c:pt>
                <c:pt idx="15">
                  <c:v>98.952399999999997</c:v>
                </c:pt>
                <c:pt idx="16">
                  <c:v>80.698099999999997</c:v>
                </c:pt>
                <c:pt idx="17">
                  <c:v>51.446800000000003</c:v>
                </c:pt>
                <c:pt idx="18">
                  <c:v>33.954599999999999</c:v>
                </c:pt>
                <c:pt idx="19">
                  <c:v>6.8601000000000001</c:v>
                </c:pt>
                <c:pt idx="20">
                  <c:v>-29.8369</c:v>
                </c:pt>
                <c:pt idx="21">
                  <c:v>11.478199999999999</c:v>
                </c:pt>
                <c:pt idx="22">
                  <c:v>30.451899999999998</c:v>
                </c:pt>
                <c:pt idx="23">
                  <c:v>39.823300000000003</c:v>
                </c:pt>
                <c:pt idx="24">
                  <c:v>41.254899999999999</c:v>
                </c:pt>
                <c:pt idx="25">
                  <c:v>55.521500000000003</c:v>
                </c:pt>
                <c:pt idx="26">
                  <c:v>51.533799999999999</c:v>
                </c:pt>
                <c:pt idx="27">
                  <c:v>49.958799999999997</c:v>
                </c:pt>
                <c:pt idx="28">
                  <c:v>46.258499999999998</c:v>
                </c:pt>
                <c:pt idx="29">
                  <c:v>32.955800000000004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'!$X$169:$X$198</c:f>
              <c:numCache>
                <c:formatCode>0.0</c:formatCode>
                <c:ptCount val="30"/>
                <c:pt idx="0">
                  <c:v>-105.60039999999999</c:v>
                </c:pt>
                <c:pt idx="1">
                  <c:v>-57.357300000000002</c:v>
                </c:pt>
                <c:pt idx="2">
                  <c:v>-18.7166</c:v>
                </c:pt>
                <c:pt idx="3">
                  <c:v>10.321300000000001</c:v>
                </c:pt>
                <c:pt idx="4">
                  <c:v>28.526199999999999</c:v>
                </c:pt>
                <c:pt idx="5">
                  <c:v>3.4434999999999998</c:v>
                </c:pt>
                <c:pt idx="6">
                  <c:v>-31.265599999999999</c:v>
                </c:pt>
                <c:pt idx="7">
                  <c:v>-75.577299999999994</c:v>
                </c:pt>
                <c:pt idx="8">
                  <c:v>-129.49160000000001</c:v>
                </c:pt>
                <c:pt idx="9">
                  <c:v>-174.86160000000001</c:v>
                </c:pt>
                <c:pt idx="10">
                  <c:v>-95.006600000000006</c:v>
                </c:pt>
                <c:pt idx="11">
                  <c:v>-45.281799999999997</c:v>
                </c:pt>
                <c:pt idx="12">
                  <c:v>-5.1595000000000004</c:v>
                </c:pt>
                <c:pt idx="13">
                  <c:v>25.360399999999998</c:v>
                </c:pt>
                <c:pt idx="14">
                  <c:v>46.277900000000002</c:v>
                </c:pt>
                <c:pt idx="15">
                  <c:v>46.277900000000002</c:v>
                </c:pt>
                <c:pt idx="16">
                  <c:v>25.360399999999998</c:v>
                </c:pt>
                <c:pt idx="17">
                  <c:v>-5.1595000000000004</c:v>
                </c:pt>
                <c:pt idx="18">
                  <c:v>-45.281799999999997</c:v>
                </c:pt>
                <c:pt idx="19">
                  <c:v>-95.006600000000006</c:v>
                </c:pt>
                <c:pt idx="20">
                  <c:v>-174.86160000000001</c:v>
                </c:pt>
                <c:pt idx="21">
                  <c:v>-129.49160000000001</c:v>
                </c:pt>
                <c:pt idx="22">
                  <c:v>-75.577299999999994</c:v>
                </c:pt>
                <c:pt idx="23">
                  <c:v>-31.265599999999999</c:v>
                </c:pt>
                <c:pt idx="24">
                  <c:v>3.4434999999999998</c:v>
                </c:pt>
                <c:pt idx="25">
                  <c:v>28.526199999999999</c:v>
                </c:pt>
                <c:pt idx="26">
                  <c:v>10.321300000000001</c:v>
                </c:pt>
                <c:pt idx="27">
                  <c:v>-18.7166</c:v>
                </c:pt>
                <c:pt idx="28">
                  <c:v>-57.357300000000002</c:v>
                </c:pt>
                <c:pt idx="29">
                  <c:v>-105.60039999999999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'!$Q$169:$Q$198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'!$AI$169:$AI$198</c:f>
              <c:numCache>
                <c:formatCode>0</c:formatCode>
                <c:ptCount val="30"/>
                <c:pt idx="0">
                  <c:v>-107.30239770271794</c:v>
                </c:pt>
                <c:pt idx="1">
                  <c:v>-107.30239770271794</c:v>
                </c:pt>
                <c:pt idx="2">
                  <c:v>-107.30239770271794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-184.09226525300429</c:v>
                </c:pt>
                <c:pt idx="7">
                  <c:v>-184.09226525300429</c:v>
                </c:pt>
                <c:pt idx="8">
                  <c:v>-184.09226525300429</c:v>
                </c:pt>
                <c:pt idx="9">
                  <c:v>-184.09226525300429</c:v>
                </c:pt>
                <c:pt idx="10">
                  <c:v>-184.09226525300429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-184.09226525300429</c:v>
                </c:pt>
                <c:pt idx="19">
                  <c:v>-184.09226525300429</c:v>
                </c:pt>
                <c:pt idx="20">
                  <c:v>-184.09226525300429</c:v>
                </c:pt>
                <c:pt idx="21">
                  <c:v>-184.09226525300429</c:v>
                </c:pt>
                <c:pt idx="22">
                  <c:v>-184.09226525300429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-107.30239770271794</c:v>
                </c:pt>
                <c:pt idx="28">
                  <c:v>-107.30239770271794</c:v>
                </c:pt>
                <c:pt idx="29">
                  <c:v>-107.30239770271794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'!$F$224:$F$253</c:f>
              <c:numCache>
                <c:formatCode>General</c:formatCode>
                <c:ptCount val="30"/>
                <c:pt idx="0">
                  <c:v>51.891199999999998</c:v>
                </c:pt>
                <c:pt idx="1">
                  <c:v>53.381599999999999</c:v>
                </c:pt>
                <c:pt idx="2">
                  <c:v>48.413899999999998</c:v>
                </c:pt>
                <c:pt idx="3">
                  <c:v>36.988199999999999</c:v>
                </c:pt>
                <c:pt idx="4">
                  <c:v>33.2913</c:v>
                </c:pt>
                <c:pt idx="5">
                  <c:v>34.091299999999997</c:v>
                </c:pt>
                <c:pt idx="6">
                  <c:v>41.203299999999999</c:v>
                </c:pt>
                <c:pt idx="7">
                  <c:v>41.857300000000002</c:v>
                </c:pt>
                <c:pt idx="8">
                  <c:v>36.053100000000001</c:v>
                </c:pt>
                <c:pt idx="9">
                  <c:v>5.3682999999999996</c:v>
                </c:pt>
                <c:pt idx="10">
                  <c:v>25.462399999999999</c:v>
                </c:pt>
                <c:pt idx="11">
                  <c:v>39.098399999999998</c:v>
                </c:pt>
                <c:pt idx="12">
                  <c:v>46.2761</c:v>
                </c:pt>
                <c:pt idx="13">
                  <c:v>48.115499999999997</c:v>
                </c:pt>
                <c:pt idx="14">
                  <c:v>58.941099999999999</c:v>
                </c:pt>
                <c:pt idx="15">
                  <c:v>58.941099999999999</c:v>
                </c:pt>
                <c:pt idx="16">
                  <c:v>48.115499999999997</c:v>
                </c:pt>
                <c:pt idx="17">
                  <c:v>46.2761</c:v>
                </c:pt>
                <c:pt idx="18">
                  <c:v>39.098399999999998</c:v>
                </c:pt>
                <c:pt idx="19">
                  <c:v>25.462399999999999</c:v>
                </c:pt>
                <c:pt idx="20">
                  <c:v>5.3682999999999996</c:v>
                </c:pt>
                <c:pt idx="21">
                  <c:v>36.053100000000001</c:v>
                </c:pt>
                <c:pt idx="22">
                  <c:v>41.857300000000002</c:v>
                </c:pt>
                <c:pt idx="23">
                  <c:v>41.203299999999999</c:v>
                </c:pt>
                <c:pt idx="24">
                  <c:v>34.091299999999997</c:v>
                </c:pt>
                <c:pt idx="25">
                  <c:v>33.2913</c:v>
                </c:pt>
                <c:pt idx="26">
                  <c:v>36.988199999999999</c:v>
                </c:pt>
                <c:pt idx="27">
                  <c:v>48.413899999999998</c:v>
                </c:pt>
                <c:pt idx="28">
                  <c:v>53.381599999999999</c:v>
                </c:pt>
                <c:pt idx="29">
                  <c:v>51.891199999999998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8-41AA-B5A7-67A654D14399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'!$X$224:$X$253</c:f>
              <c:numCache>
                <c:formatCode>General</c:formatCode>
                <c:ptCount val="30"/>
                <c:pt idx="0">
                  <c:v>-98.344999999999999</c:v>
                </c:pt>
                <c:pt idx="1">
                  <c:v>-58.941600000000001</c:v>
                </c:pt>
                <c:pt idx="2">
                  <c:v>-25.996500000000001</c:v>
                </c:pt>
                <c:pt idx="3">
                  <c:v>0.49009999999999998</c:v>
                </c:pt>
                <c:pt idx="4">
                  <c:v>19.0778</c:v>
                </c:pt>
                <c:pt idx="5">
                  <c:v>-5.2404999999999999</c:v>
                </c:pt>
                <c:pt idx="6">
                  <c:v>-36.040900000000001</c:v>
                </c:pt>
                <c:pt idx="7">
                  <c:v>-73.299800000000005</c:v>
                </c:pt>
                <c:pt idx="8">
                  <c:v>-117.017</c:v>
                </c:pt>
                <c:pt idx="9">
                  <c:v>-128.89089999999999</c:v>
                </c:pt>
                <c:pt idx="10">
                  <c:v>-84.402799999999999</c:v>
                </c:pt>
                <c:pt idx="11">
                  <c:v>-46.372999999999998</c:v>
                </c:pt>
                <c:pt idx="12">
                  <c:v>-14.801399999999999</c:v>
                </c:pt>
                <c:pt idx="13">
                  <c:v>10.311999999999999</c:v>
                </c:pt>
                <c:pt idx="14">
                  <c:v>28.967199999999998</c:v>
                </c:pt>
                <c:pt idx="15">
                  <c:v>28.967199999999998</c:v>
                </c:pt>
                <c:pt idx="16">
                  <c:v>10.311999999999999</c:v>
                </c:pt>
                <c:pt idx="17">
                  <c:v>-14.801399999999999</c:v>
                </c:pt>
                <c:pt idx="18">
                  <c:v>-46.372999999999998</c:v>
                </c:pt>
                <c:pt idx="19">
                  <c:v>-84.402799999999999</c:v>
                </c:pt>
                <c:pt idx="20">
                  <c:v>-128.89089999999999</c:v>
                </c:pt>
                <c:pt idx="21">
                  <c:v>-117.017</c:v>
                </c:pt>
                <c:pt idx="22">
                  <c:v>-73.299800000000005</c:v>
                </c:pt>
                <c:pt idx="23">
                  <c:v>-36.040900000000001</c:v>
                </c:pt>
                <c:pt idx="24">
                  <c:v>-5.2404999999999999</c:v>
                </c:pt>
                <c:pt idx="25">
                  <c:v>19.0778</c:v>
                </c:pt>
                <c:pt idx="26">
                  <c:v>0.49009999999999998</c:v>
                </c:pt>
                <c:pt idx="27">
                  <c:v>-25.996500000000001</c:v>
                </c:pt>
                <c:pt idx="28">
                  <c:v>-58.941600000000001</c:v>
                </c:pt>
                <c:pt idx="29">
                  <c:v>-98.344999999999999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8-41AA-B5A7-67A654D143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'!$Q$224:$Q$253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100.69134950302445</c:v>
                </c:pt>
                <c:pt idx="14">
                  <c:v>100.69134950302445</c:v>
                </c:pt>
                <c:pt idx="15">
                  <c:v>100.69134950302445</c:v>
                </c:pt>
                <c:pt idx="16">
                  <c:v>100.69134950302445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18-41AA-B5A7-67A654D14399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(P3)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(P3) '!$AI$224:$AI$253</c:f>
              <c:numCache>
                <c:formatCode>0</c:formatCode>
                <c:ptCount val="30"/>
                <c:pt idx="0">
                  <c:v>-100.69134950302445</c:v>
                </c:pt>
                <c:pt idx="1">
                  <c:v>-100.69134950302445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-132.22096399387047</c:v>
                </c:pt>
                <c:pt idx="8">
                  <c:v>-132.22096399387047</c:v>
                </c:pt>
                <c:pt idx="9">
                  <c:v>-132.22096399387047</c:v>
                </c:pt>
                <c:pt idx="10">
                  <c:v>-132.22096399387047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-132.22096399387047</c:v>
                </c:pt>
                <c:pt idx="20">
                  <c:v>-132.22096399387047</c:v>
                </c:pt>
                <c:pt idx="21">
                  <c:v>-132.22096399387047</c:v>
                </c:pt>
                <c:pt idx="22">
                  <c:v>-132.22096399387047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-100.69134950302445</c:v>
                </c:pt>
                <c:pt idx="28">
                  <c:v>-100.69134950302445</c:v>
                </c:pt>
                <c:pt idx="29">
                  <c:v>-100.69134950302445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18-41AA-B5A7-67A654D14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'!$F$4:$F$33</c:f>
              <c:numCache>
                <c:formatCode>General</c:formatCode>
                <c:ptCount val="30"/>
                <c:pt idx="0">
                  <c:v>13.148300000000001</c:v>
                </c:pt>
                <c:pt idx="1">
                  <c:v>18.601900000000001</c:v>
                </c:pt>
                <c:pt idx="2">
                  <c:v>20.2623</c:v>
                </c:pt>
                <c:pt idx="3">
                  <c:v>20.533100000000001</c:v>
                </c:pt>
                <c:pt idx="4">
                  <c:v>20.7944</c:v>
                </c:pt>
                <c:pt idx="5">
                  <c:v>14.321999999999999</c:v>
                </c:pt>
                <c:pt idx="6">
                  <c:v>12.3773</c:v>
                </c:pt>
                <c:pt idx="7">
                  <c:v>7.2821999999999996</c:v>
                </c:pt>
                <c:pt idx="8">
                  <c:v>-1.6060000000000001</c:v>
                </c:pt>
                <c:pt idx="9">
                  <c:v>-14.4764</c:v>
                </c:pt>
                <c:pt idx="10">
                  <c:v>0.58879999999999999</c:v>
                </c:pt>
                <c:pt idx="11">
                  <c:v>11.860799999999999</c:v>
                </c:pt>
                <c:pt idx="12">
                  <c:v>19.339400000000001</c:v>
                </c:pt>
                <c:pt idx="13">
                  <c:v>30.4618</c:v>
                </c:pt>
                <c:pt idx="14">
                  <c:v>37.195599999999999</c:v>
                </c:pt>
                <c:pt idx="15">
                  <c:v>37.195599999999999</c:v>
                </c:pt>
                <c:pt idx="16">
                  <c:v>30.4618</c:v>
                </c:pt>
                <c:pt idx="17">
                  <c:v>19.339400000000001</c:v>
                </c:pt>
                <c:pt idx="18">
                  <c:v>11.860799999999999</c:v>
                </c:pt>
                <c:pt idx="19">
                  <c:v>0.58879999999999999</c:v>
                </c:pt>
                <c:pt idx="20">
                  <c:v>-14.4764</c:v>
                </c:pt>
                <c:pt idx="21">
                  <c:v>-1.6060000000000001</c:v>
                </c:pt>
                <c:pt idx="22">
                  <c:v>7.2821999999999996</c:v>
                </c:pt>
                <c:pt idx="23">
                  <c:v>12.3773</c:v>
                </c:pt>
                <c:pt idx="24">
                  <c:v>14.321999999999999</c:v>
                </c:pt>
                <c:pt idx="25">
                  <c:v>20.7944</c:v>
                </c:pt>
                <c:pt idx="26">
                  <c:v>20.533100000000001</c:v>
                </c:pt>
                <c:pt idx="27">
                  <c:v>20.2623</c:v>
                </c:pt>
                <c:pt idx="28">
                  <c:v>18.601900000000001</c:v>
                </c:pt>
                <c:pt idx="29">
                  <c:v>13.148300000000001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B-46A8-A9D4-0F6AAB0D9475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71765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'!$X$4:$X$33</c:f>
              <c:numCache>
                <c:formatCode>General</c:formatCode>
                <c:ptCount val="30"/>
                <c:pt idx="0">
                  <c:v>-36.714799999999997</c:v>
                </c:pt>
                <c:pt idx="1">
                  <c:v>-19.05</c:v>
                </c:pt>
                <c:pt idx="2">
                  <c:v>-5.1787000000000001</c:v>
                </c:pt>
                <c:pt idx="3">
                  <c:v>4.8987999999999996</c:v>
                </c:pt>
                <c:pt idx="4">
                  <c:v>11.137600000000001</c:v>
                </c:pt>
                <c:pt idx="5">
                  <c:v>2.4798</c:v>
                </c:pt>
                <c:pt idx="6">
                  <c:v>-11.032</c:v>
                </c:pt>
                <c:pt idx="7">
                  <c:v>-28.337900000000001</c:v>
                </c:pt>
                <c:pt idx="8">
                  <c:v>-49.4373</c:v>
                </c:pt>
                <c:pt idx="9">
                  <c:v>-63.810099999999998</c:v>
                </c:pt>
                <c:pt idx="10">
                  <c:v>-34.578400000000002</c:v>
                </c:pt>
                <c:pt idx="11">
                  <c:v>-15.504099999999999</c:v>
                </c:pt>
                <c:pt idx="12">
                  <c:v>-0.22309999999999999</c:v>
                </c:pt>
                <c:pt idx="13">
                  <c:v>11.2646</c:v>
                </c:pt>
                <c:pt idx="14">
                  <c:v>18.959</c:v>
                </c:pt>
                <c:pt idx="15">
                  <c:v>18.959</c:v>
                </c:pt>
                <c:pt idx="16">
                  <c:v>11.2646</c:v>
                </c:pt>
                <c:pt idx="17">
                  <c:v>-0.22309999999999999</c:v>
                </c:pt>
                <c:pt idx="18">
                  <c:v>-15.504099999999999</c:v>
                </c:pt>
                <c:pt idx="19">
                  <c:v>-34.578400000000002</c:v>
                </c:pt>
                <c:pt idx="20">
                  <c:v>-63.810099999999998</c:v>
                </c:pt>
                <c:pt idx="21">
                  <c:v>-49.4373</c:v>
                </c:pt>
                <c:pt idx="22">
                  <c:v>-28.337900000000001</c:v>
                </c:pt>
                <c:pt idx="23">
                  <c:v>-11.032</c:v>
                </c:pt>
                <c:pt idx="24">
                  <c:v>2.4798</c:v>
                </c:pt>
                <c:pt idx="25">
                  <c:v>11.137600000000001</c:v>
                </c:pt>
                <c:pt idx="26">
                  <c:v>4.8987999999999996</c:v>
                </c:pt>
                <c:pt idx="27">
                  <c:v>-5.1787000000000001</c:v>
                </c:pt>
                <c:pt idx="28">
                  <c:v>-19.05</c:v>
                </c:pt>
                <c:pt idx="29">
                  <c:v>-36.714799999999997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B-46A8-A9D4-0F6AAB0D94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'!$Q$4:$Q$33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82.383831411565467</c:v>
                </c:pt>
                <c:pt idx="14">
                  <c:v>82.383831411565467</c:v>
                </c:pt>
                <c:pt idx="15">
                  <c:v>82.383831411565467</c:v>
                </c:pt>
                <c:pt idx="16">
                  <c:v>82.383831411565467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7B-46A8-A9D4-0F6AAB0D9475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'!$AI$4:$AI$33</c:f>
              <c:numCache>
                <c:formatCode>0</c:formatCode>
                <c:ptCount val="30"/>
                <c:pt idx="0">
                  <c:v>-82.383831411565467</c:v>
                </c:pt>
                <c:pt idx="1">
                  <c:v>-82.383831411565467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-82.383831411565467</c:v>
                </c:pt>
                <c:pt idx="8">
                  <c:v>-82.383831411565467</c:v>
                </c:pt>
                <c:pt idx="9">
                  <c:v>-82.383831411565467</c:v>
                </c:pt>
                <c:pt idx="10">
                  <c:v>-82.383831411565467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-82.383831411565467</c:v>
                </c:pt>
                <c:pt idx="20">
                  <c:v>-82.383831411565467</c:v>
                </c:pt>
                <c:pt idx="21">
                  <c:v>-82.383831411565467</c:v>
                </c:pt>
                <c:pt idx="22">
                  <c:v>-82.383831411565467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-82.383831411565467</c:v>
                </c:pt>
                <c:pt idx="28">
                  <c:v>-82.383831411565467</c:v>
                </c:pt>
                <c:pt idx="29">
                  <c:v>-82.383831411565467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7B-46A8-A9D4-0F6AAB0D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'!$F$58:$F$87</c:f>
              <c:numCache>
                <c:formatCode>General</c:formatCode>
                <c:ptCount val="30"/>
                <c:pt idx="0">
                  <c:v>3.5261</c:v>
                </c:pt>
                <c:pt idx="1">
                  <c:v>18.2239</c:v>
                </c:pt>
                <c:pt idx="2">
                  <c:v>26.085000000000001</c:v>
                </c:pt>
                <c:pt idx="3">
                  <c:v>37.81</c:v>
                </c:pt>
                <c:pt idx="4">
                  <c:v>38.024999999999999</c:v>
                </c:pt>
                <c:pt idx="5">
                  <c:v>25.747199999999999</c:v>
                </c:pt>
                <c:pt idx="6">
                  <c:v>11.417400000000001</c:v>
                </c:pt>
                <c:pt idx="7">
                  <c:v>-3.2717000000000001</c:v>
                </c:pt>
                <c:pt idx="8">
                  <c:v>-24.7974</c:v>
                </c:pt>
                <c:pt idx="9">
                  <c:v>-44.467100000000002</c:v>
                </c:pt>
                <c:pt idx="10">
                  <c:v>-14.0304</c:v>
                </c:pt>
                <c:pt idx="11">
                  <c:v>9.5694999999999997</c:v>
                </c:pt>
                <c:pt idx="12">
                  <c:v>31.095600000000001</c:v>
                </c:pt>
                <c:pt idx="13">
                  <c:v>56.081099999999999</c:v>
                </c:pt>
                <c:pt idx="14">
                  <c:v>68.573800000000006</c:v>
                </c:pt>
                <c:pt idx="15">
                  <c:v>68.573800000000006</c:v>
                </c:pt>
                <c:pt idx="16">
                  <c:v>56.081099999999999</c:v>
                </c:pt>
                <c:pt idx="17">
                  <c:v>31.095600000000001</c:v>
                </c:pt>
                <c:pt idx="18">
                  <c:v>9.5694999999999997</c:v>
                </c:pt>
                <c:pt idx="19">
                  <c:v>-14.0304</c:v>
                </c:pt>
                <c:pt idx="20">
                  <c:v>-44.467100000000002</c:v>
                </c:pt>
                <c:pt idx="21">
                  <c:v>-24.7974</c:v>
                </c:pt>
                <c:pt idx="22">
                  <c:v>-3.2717000000000001</c:v>
                </c:pt>
                <c:pt idx="23">
                  <c:v>11.417400000000001</c:v>
                </c:pt>
                <c:pt idx="24">
                  <c:v>25.747199999999999</c:v>
                </c:pt>
                <c:pt idx="25">
                  <c:v>38.024999999999999</c:v>
                </c:pt>
                <c:pt idx="26">
                  <c:v>37.81</c:v>
                </c:pt>
                <c:pt idx="27">
                  <c:v>26.085000000000001</c:v>
                </c:pt>
                <c:pt idx="28">
                  <c:v>18.2239</c:v>
                </c:pt>
                <c:pt idx="29">
                  <c:v>3.5261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F-4CB9-A74E-EAD9CF78B6D0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'!$X$58:$X$87</c:f>
              <c:numCache>
                <c:formatCode>General</c:formatCode>
                <c:ptCount val="30"/>
                <c:pt idx="0">
                  <c:v>-44.024099999999997</c:v>
                </c:pt>
                <c:pt idx="1">
                  <c:v>-17.692299999999999</c:v>
                </c:pt>
                <c:pt idx="2">
                  <c:v>1.8025</c:v>
                </c:pt>
                <c:pt idx="3">
                  <c:v>14.46</c:v>
                </c:pt>
                <c:pt idx="4">
                  <c:v>20.257100000000001</c:v>
                </c:pt>
                <c:pt idx="5">
                  <c:v>8.6437000000000008</c:v>
                </c:pt>
                <c:pt idx="6">
                  <c:v>-10.8415</c:v>
                </c:pt>
                <c:pt idx="7">
                  <c:v>-37.164099999999998</c:v>
                </c:pt>
                <c:pt idx="8">
                  <c:v>-86.042400000000001</c:v>
                </c:pt>
                <c:pt idx="9">
                  <c:v>-118.8169</c:v>
                </c:pt>
                <c:pt idx="10">
                  <c:v>-56.353400000000001</c:v>
                </c:pt>
                <c:pt idx="11">
                  <c:v>-16.666699999999999</c:v>
                </c:pt>
                <c:pt idx="12">
                  <c:v>7.5909000000000004</c:v>
                </c:pt>
                <c:pt idx="13">
                  <c:v>25.011700000000001</c:v>
                </c:pt>
                <c:pt idx="14">
                  <c:v>35.595700000000001</c:v>
                </c:pt>
                <c:pt idx="15">
                  <c:v>35.595700000000001</c:v>
                </c:pt>
                <c:pt idx="16">
                  <c:v>25.011700000000001</c:v>
                </c:pt>
                <c:pt idx="17">
                  <c:v>7.5909000000000004</c:v>
                </c:pt>
                <c:pt idx="18">
                  <c:v>-16.666699999999999</c:v>
                </c:pt>
                <c:pt idx="19">
                  <c:v>-56.353400000000001</c:v>
                </c:pt>
                <c:pt idx="20">
                  <c:v>-118.8169</c:v>
                </c:pt>
                <c:pt idx="21">
                  <c:v>-86.042400000000001</c:v>
                </c:pt>
                <c:pt idx="22">
                  <c:v>-37.164099999999998</c:v>
                </c:pt>
                <c:pt idx="23">
                  <c:v>-10.8415</c:v>
                </c:pt>
                <c:pt idx="24">
                  <c:v>8.6437000000000008</c:v>
                </c:pt>
                <c:pt idx="25">
                  <c:v>20.257100000000001</c:v>
                </c:pt>
                <c:pt idx="26">
                  <c:v>14.46</c:v>
                </c:pt>
                <c:pt idx="27">
                  <c:v>1.8025</c:v>
                </c:pt>
                <c:pt idx="28">
                  <c:v>-17.692299999999999</c:v>
                </c:pt>
                <c:pt idx="29">
                  <c:v>-44.024099999999997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F-4CB9-A74E-EAD9CF78B6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'!$Q$58:$Q$87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86.452168765223007</c:v>
                </c:pt>
                <c:pt idx="10">
                  <c:v>86.452168765223007</c:v>
                </c:pt>
                <c:pt idx="11">
                  <c:v>86.452168765223007</c:v>
                </c:pt>
                <c:pt idx="12">
                  <c:v>86.452168765223007</c:v>
                </c:pt>
                <c:pt idx="13">
                  <c:v>86.452168765223007</c:v>
                </c:pt>
                <c:pt idx="14">
                  <c:v>86.452168765223007</c:v>
                </c:pt>
                <c:pt idx="15">
                  <c:v>86.452168765223007</c:v>
                </c:pt>
                <c:pt idx="16">
                  <c:v>86.452168765223007</c:v>
                </c:pt>
                <c:pt idx="17">
                  <c:v>86.452168765223007</c:v>
                </c:pt>
                <c:pt idx="18">
                  <c:v>86.452168765223007</c:v>
                </c:pt>
                <c:pt idx="19">
                  <c:v>86.452168765223007</c:v>
                </c:pt>
                <c:pt idx="20">
                  <c:v>86.452168765223007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F-4CB9-A74E-EAD9CF78B6D0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'!$AI$58:$AI$87</c:f>
              <c:numCache>
                <c:formatCode>0</c:formatCode>
                <c:ptCount val="30"/>
                <c:pt idx="0">
                  <c:v>-82.383831411565467</c:v>
                </c:pt>
                <c:pt idx="1">
                  <c:v>-82.383831411565467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-123.57574711734821</c:v>
                </c:pt>
                <c:pt idx="8">
                  <c:v>-123.57574711734821</c:v>
                </c:pt>
                <c:pt idx="9">
                  <c:v>-123.57574711734821</c:v>
                </c:pt>
                <c:pt idx="10">
                  <c:v>-123.57574711734821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-123.57574711734821</c:v>
                </c:pt>
                <c:pt idx="20">
                  <c:v>-123.57574711734821</c:v>
                </c:pt>
                <c:pt idx="21">
                  <c:v>-123.57574711734821</c:v>
                </c:pt>
                <c:pt idx="22">
                  <c:v>-123.57574711734821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-82.383831411565467</c:v>
                </c:pt>
                <c:pt idx="28">
                  <c:v>-82.383831411565467</c:v>
                </c:pt>
                <c:pt idx="29">
                  <c:v>-82.383831411565467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F-4CB9-A74E-EAD9CF78B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'!$F$114:$F$143</c:f>
              <c:numCache>
                <c:formatCode>General</c:formatCode>
                <c:ptCount val="30"/>
                <c:pt idx="0">
                  <c:v>-0.59640000000000004</c:v>
                </c:pt>
                <c:pt idx="1">
                  <c:v>17.710799999999999</c:v>
                </c:pt>
                <c:pt idx="2">
                  <c:v>29.568999999999999</c:v>
                </c:pt>
                <c:pt idx="3">
                  <c:v>44.430300000000003</c:v>
                </c:pt>
                <c:pt idx="4">
                  <c:v>44.639299999999999</c:v>
                </c:pt>
                <c:pt idx="5">
                  <c:v>30.196000000000002</c:v>
                </c:pt>
                <c:pt idx="6">
                  <c:v>11.0029</c:v>
                </c:pt>
                <c:pt idx="7">
                  <c:v>-7.3620000000000001</c:v>
                </c:pt>
                <c:pt idx="8">
                  <c:v>-33.704900000000002</c:v>
                </c:pt>
                <c:pt idx="9">
                  <c:v>-56.136499999999998</c:v>
                </c:pt>
                <c:pt idx="10">
                  <c:v>-19.843699999999998</c:v>
                </c:pt>
                <c:pt idx="11">
                  <c:v>8.4710000000000001</c:v>
                </c:pt>
                <c:pt idx="12">
                  <c:v>36.500999999999998</c:v>
                </c:pt>
                <c:pt idx="13">
                  <c:v>65.805700000000002</c:v>
                </c:pt>
                <c:pt idx="14">
                  <c:v>80.457999999999998</c:v>
                </c:pt>
                <c:pt idx="15">
                  <c:v>80.457999999999998</c:v>
                </c:pt>
                <c:pt idx="16">
                  <c:v>65.805700000000002</c:v>
                </c:pt>
                <c:pt idx="17">
                  <c:v>36.500999999999998</c:v>
                </c:pt>
                <c:pt idx="18">
                  <c:v>8.4710000000000001</c:v>
                </c:pt>
                <c:pt idx="19">
                  <c:v>-19.843699999999998</c:v>
                </c:pt>
                <c:pt idx="20">
                  <c:v>-56.136499999999998</c:v>
                </c:pt>
                <c:pt idx="21">
                  <c:v>-33.704900000000002</c:v>
                </c:pt>
                <c:pt idx="22">
                  <c:v>-7.3620000000000001</c:v>
                </c:pt>
                <c:pt idx="23">
                  <c:v>11.0029</c:v>
                </c:pt>
                <c:pt idx="24">
                  <c:v>30.196000000000002</c:v>
                </c:pt>
                <c:pt idx="25">
                  <c:v>44.639299999999999</c:v>
                </c:pt>
                <c:pt idx="26">
                  <c:v>44.430300000000003</c:v>
                </c:pt>
                <c:pt idx="27">
                  <c:v>29.568999999999999</c:v>
                </c:pt>
                <c:pt idx="28">
                  <c:v>17.710799999999999</c:v>
                </c:pt>
                <c:pt idx="29">
                  <c:v>-0.59640000000000004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3-4576-A4FE-35303420CF86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'!$X$114:$X$143</c:f>
              <c:numCache>
                <c:formatCode>General</c:formatCode>
                <c:ptCount val="30"/>
                <c:pt idx="0">
                  <c:v>-46.3508</c:v>
                </c:pt>
                <c:pt idx="1">
                  <c:v>-16.847100000000001</c:v>
                </c:pt>
                <c:pt idx="2">
                  <c:v>4.6784999999999997</c:v>
                </c:pt>
                <c:pt idx="3">
                  <c:v>18.225300000000001</c:v>
                </c:pt>
                <c:pt idx="4">
                  <c:v>23.7638</c:v>
                </c:pt>
                <c:pt idx="5">
                  <c:v>11.155099999999999</c:v>
                </c:pt>
                <c:pt idx="6">
                  <c:v>-10.427099999999999</c:v>
                </c:pt>
                <c:pt idx="7">
                  <c:v>-42.6477</c:v>
                </c:pt>
                <c:pt idx="8">
                  <c:v>-101.048</c:v>
                </c:pt>
                <c:pt idx="9">
                  <c:v>-139.3271</c:v>
                </c:pt>
                <c:pt idx="10">
                  <c:v>-66.065399999999997</c:v>
                </c:pt>
                <c:pt idx="11">
                  <c:v>-16.737300000000001</c:v>
                </c:pt>
                <c:pt idx="12">
                  <c:v>10.794600000000001</c:v>
                </c:pt>
                <c:pt idx="13">
                  <c:v>30.348500000000001</c:v>
                </c:pt>
                <c:pt idx="14">
                  <c:v>41.924300000000002</c:v>
                </c:pt>
                <c:pt idx="15">
                  <c:v>41.924300000000002</c:v>
                </c:pt>
                <c:pt idx="16">
                  <c:v>30.348500000000001</c:v>
                </c:pt>
                <c:pt idx="17">
                  <c:v>10.794600000000001</c:v>
                </c:pt>
                <c:pt idx="18">
                  <c:v>-16.737300000000001</c:v>
                </c:pt>
                <c:pt idx="19">
                  <c:v>-66.065399999999997</c:v>
                </c:pt>
                <c:pt idx="20">
                  <c:v>-139.3271</c:v>
                </c:pt>
                <c:pt idx="21">
                  <c:v>-101.048</c:v>
                </c:pt>
                <c:pt idx="22">
                  <c:v>-42.6477</c:v>
                </c:pt>
                <c:pt idx="23">
                  <c:v>-10.427099999999999</c:v>
                </c:pt>
                <c:pt idx="24">
                  <c:v>11.155099999999999</c:v>
                </c:pt>
                <c:pt idx="25">
                  <c:v>23.7638</c:v>
                </c:pt>
                <c:pt idx="26">
                  <c:v>18.225300000000001</c:v>
                </c:pt>
                <c:pt idx="27">
                  <c:v>4.6784999999999997</c:v>
                </c:pt>
                <c:pt idx="28">
                  <c:v>-16.847100000000001</c:v>
                </c:pt>
                <c:pt idx="29">
                  <c:v>-46.3508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3-4576-A4FE-35303420C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'!$Q$114:$Q$143</c:f>
              <c:numCache>
                <c:formatCode>0.0</c:formatCode>
                <c:ptCount val="30"/>
                <c:pt idx="0">
                  <c:v>86.452168765223007</c:v>
                </c:pt>
                <c:pt idx="1">
                  <c:v>86.452168765223007</c:v>
                </c:pt>
                <c:pt idx="2">
                  <c:v>86.452168765223007</c:v>
                </c:pt>
                <c:pt idx="3">
                  <c:v>86.452168765223007</c:v>
                </c:pt>
                <c:pt idx="4">
                  <c:v>86.452168765223007</c:v>
                </c:pt>
                <c:pt idx="5">
                  <c:v>86.452168765223007</c:v>
                </c:pt>
                <c:pt idx="6">
                  <c:v>86.452168765223007</c:v>
                </c:pt>
                <c:pt idx="7">
                  <c:v>86.452168765223007</c:v>
                </c:pt>
                <c:pt idx="8">
                  <c:v>86.452168765223007</c:v>
                </c:pt>
                <c:pt idx="9">
                  <c:v>86.452168765223007</c:v>
                </c:pt>
                <c:pt idx="10">
                  <c:v>86.452168765223007</c:v>
                </c:pt>
                <c:pt idx="11">
                  <c:v>86.452168765223007</c:v>
                </c:pt>
                <c:pt idx="12">
                  <c:v>86.452168765223007</c:v>
                </c:pt>
                <c:pt idx="13">
                  <c:v>86.452168765223007</c:v>
                </c:pt>
                <c:pt idx="14">
                  <c:v>86.452168765223007</c:v>
                </c:pt>
                <c:pt idx="15">
                  <c:v>86.452168765223007</c:v>
                </c:pt>
                <c:pt idx="16">
                  <c:v>86.452168765223007</c:v>
                </c:pt>
                <c:pt idx="17">
                  <c:v>86.452168765223007</c:v>
                </c:pt>
                <c:pt idx="18">
                  <c:v>86.452168765223007</c:v>
                </c:pt>
                <c:pt idx="19">
                  <c:v>86.452168765223007</c:v>
                </c:pt>
                <c:pt idx="20">
                  <c:v>86.452168765223007</c:v>
                </c:pt>
                <c:pt idx="21">
                  <c:v>86.452168765223007</c:v>
                </c:pt>
                <c:pt idx="22">
                  <c:v>86.452168765223007</c:v>
                </c:pt>
                <c:pt idx="23">
                  <c:v>86.452168765223007</c:v>
                </c:pt>
                <c:pt idx="24">
                  <c:v>86.452168765223007</c:v>
                </c:pt>
                <c:pt idx="25">
                  <c:v>86.452168765223007</c:v>
                </c:pt>
                <c:pt idx="26">
                  <c:v>86.452168765223007</c:v>
                </c:pt>
                <c:pt idx="27">
                  <c:v>86.452168765223007</c:v>
                </c:pt>
                <c:pt idx="28">
                  <c:v>86.452168765223007</c:v>
                </c:pt>
                <c:pt idx="29">
                  <c:v>86.452168765223007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3-4576-A4FE-35303420CF86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'!$AI$114:$AI$143</c:f>
              <c:numCache>
                <c:formatCode>0</c:formatCode>
                <c:ptCount val="30"/>
                <c:pt idx="0">
                  <c:v>-82.383831411565467</c:v>
                </c:pt>
                <c:pt idx="1">
                  <c:v>-82.383831411565467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-82.383831411565467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-82.383831411565467</c:v>
                </c:pt>
                <c:pt idx="28">
                  <c:v>-82.383831411565467</c:v>
                </c:pt>
                <c:pt idx="29">
                  <c:v>-82.383831411565467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A3-4576-A4FE-35303420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MED vs  MRD - Trave dirY -P4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solidFill>
              <a:srgbClr val="92D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'!$F$169:$F$198</c:f>
              <c:numCache>
                <c:formatCode>General</c:formatCode>
                <c:ptCount val="30"/>
                <c:pt idx="0">
                  <c:v>0.99080000000000001</c:v>
                </c:pt>
                <c:pt idx="1">
                  <c:v>18.889199999999999</c:v>
                </c:pt>
                <c:pt idx="2">
                  <c:v>29.086200000000002</c:v>
                </c:pt>
                <c:pt idx="3">
                  <c:v>44.097099999999998</c:v>
                </c:pt>
                <c:pt idx="4">
                  <c:v>44.455599999999997</c:v>
                </c:pt>
                <c:pt idx="5">
                  <c:v>30.161799999999999</c:v>
                </c:pt>
                <c:pt idx="6">
                  <c:v>12.0168</c:v>
                </c:pt>
                <c:pt idx="7">
                  <c:v>-5.7693000000000003</c:v>
                </c:pt>
                <c:pt idx="8">
                  <c:v>-31.5334</c:v>
                </c:pt>
                <c:pt idx="9">
                  <c:v>-54.386400000000002</c:v>
                </c:pt>
                <c:pt idx="10">
                  <c:v>-18.421600000000002</c:v>
                </c:pt>
                <c:pt idx="11">
                  <c:v>9.5650999999999993</c:v>
                </c:pt>
                <c:pt idx="12">
                  <c:v>36.395600000000002</c:v>
                </c:pt>
                <c:pt idx="13">
                  <c:v>65.700199999999995</c:v>
                </c:pt>
                <c:pt idx="14">
                  <c:v>80.352599999999995</c:v>
                </c:pt>
                <c:pt idx="15">
                  <c:v>80.352599999999995</c:v>
                </c:pt>
                <c:pt idx="16">
                  <c:v>65.700199999999995</c:v>
                </c:pt>
                <c:pt idx="17">
                  <c:v>36.395600000000002</c:v>
                </c:pt>
                <c:pt idx="18">
                  <c:v>9.5650999999999993</c:v>
                </c:pt>
                <c:pt idx="19">
                  <c:v>-18.421600000000002</c:v>
                </c:pt>
                <c:pt idx="20">
                  <c:v>-54.386400000000002</c:v>
                </c:pt>
                <c:pt idx="21">
                  <c:v>-31.5334</c:v>
                </c:pt>
                <c:pt idx="22">
                  <c:v>-5.7693000000000003</c:v>
                </c:pt>
                <c:pt idx="23">
                  <c:v>12.0169</c:v>
                </c:pt>
                <c:pt idx="24">
                  <c:v>30.161799999999999</c:v>
                </c:pt>
                <c:pt idx="25">
                  <c:v>44.455599999999997</c:v>
                </c:pt>
                <c:pt idx="26">
                  <c:v>44.097099999999998</c:v>
                </c:pt>
                <c:pt idx="27">
                  <c:v>29.086200000000002</c:v>
                </c:pt>
                <c:pt idx="28">
                  <c:v>18.889199999999999</c:v>
                </c:pt>
                <c:pt idx="29">
                  <c:v>0.99080000000000001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4B-8B23-08CF69FE99F2}"/>
            </c:ext>
          </c:extLst>
        </c:ser>
        <c:ser>
          <c:idx val="1"/>
          <c:order val="1"/>
          <c:tx>
            <c:v>M_neg</c:v>
          </c:tx>
          <c:spPr>
            <a:solidFill>
              <a:srgbClr val="00B05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elete val="1"/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'!$X$169:$X$198</c:f>
              <c:numCache>
                <c:formatCode>General</c:formatCode>
                <c:ptCount val="30"/>
                <c:pt idx="0">
                  <c:v>-48.810099999999998</c:v>
                </c:pt>
                <c:pt idx="1">
                  <c:v>-18.727499999999999</c:v>
                </c:pt>
                <c:pt idx="2">
                  <c:v>3.3769</c:v>
                </c:pt>
                <c:pt idx="3">
                  <c:v>17.502500000000001</c:v>
                </c:pt>
                <c:pt idx="4">
                  <c:v>23.623899999999999</c:v>
                </c:pt>
                <c:pt idx="5">
                  <c:v>10.698</c:v>
                </c:pt>
                <c:pt idx="6">
                  <c:v>-11.292999999999999</c:v>
                </c:pt>
                <c:pt idx="7">
                  <c:v>-42.382800000000003</c:v>
                </c:pt>
                <c:pt idx="8">
                  <c:v>-100.6336</c:v>
                </c:pt>
                <c:pt idx="9">
                  <c:v>-139.4325</c:v>
                </c:pt>
                <c:pt idx="10">
                  <c:v>-66.1708</c:v>
                </c:pt>
                <c:pt idx="11">
                  <c:v>-17.9316</c:v>
                </c:pt>
                <c:pt idx="12">
                  <c:v>9.9283999999999999</c:v>
                </c:pt>
                <c:pt idx="13">
                  <c:v>29.810199999999998</c:v>
                </c:pt>
                <c:pt idx="14">
                  <c:v>41.713999999999999</c:v>
                </c:pt>
                <c:pt idx="15">
                  <c:v>41.713999999999999</c:v>
                </c:pt>
                <c:pt idx="16">
                  <c:v>29.810199999999998</c:v>
                </c:pt>
                <c:pt idx="17">
                  <c:v>9.9283999999999999</c:v>
                </c:pt>
                <c:pt idx="18">
                  <c:v>-17.9316</c:v>
                </c:pt>
                <c:pt idx="19">
                  <c:v>-66.1708</c:v>
                </c:pt>
                <c:pt idx="20">
                  <c:v>-139.4325</c:v>
                </c:pt>
                <c:pt idx="21">
                  <c:v>-100.6336</c:v>
                </c:pt>
                <c:pt idx="22">
                  <c:v>-42.382800000000003</c:v>
                </c:pt>
                <c:pt idx="23">
                  <c:v>-11.292999999999999</c:v>
                </c:pt>
                <c:pt idx="24">
                  <c:v>10.698</c:v>
                </c:pt>
                <c:pt idx="25">
                  <c:v>23.623899999999999</c:v>
                </c:pt>
                <c:pt idx="26">
                  <c:v>17.502500000000001</c:v>
                </c:pt>
                <c:pt idx="27">
                  <c:v>3.3769</c:v>
                </c:pt>
                <c:pt idx="28">
                  <c:v>-18.727499999999999</c:v>
                </c:pt>
                <c:pt idx="29">
                  <c:v>-48.810099999999998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6-4E4B-8B23-08CF69FE9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'!$Q$169:$Q$198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82.383831411565467</c:v>
                </c:pt>
                <c:pt idx="14">
                  <c:v>82.383831411565467</c:v>
                </c:pt>
                <c:pt idx="15">
                  <c:v>82.383831411565467</c:v>
                </c:pt>
                <c:pt idx="16">
                  <c:v>82.383831411565467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6-4E4B-8B23-08CF69FE99F2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'!$AI$169:$AI$198</c:f>
              <c:numCache>
                <c:formatCode>0</c:formatCode>
                <c:ptCount val="30"/>
                <c:pt idx="0">
                  <c:v>-82.383831411565467</c:v>
                </c:pt>
                <c:pt idx="1">
                  <c:v>-82.383831411565467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-82.383831411565467</c:v>
                </c:pt>
                <c:pt idx="8">
                  <c:v>-164.76766282313093</c:v>
                </c:pt>
                <c:pt idx="9">
                  <c:v>-164.76766282313093</c:v>
                </c:pt>
                <c:pt idx="10">
                  <c:v>-164.76766282313093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-164.76766282313093</c:v>
                </c:pt>
                <c:pt idx="20">
                  <c:v>-164.76766282313093</c:v>
                </c:pt>
                <c:pt idx="21">
                  <c:v>-164.76766282313093</c:v>
                </c:pt>
                <c:pt idx="22">
                  <c:v>-164.76766282313093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-82.383831411565467</c:v>
                </c:pt>
                <c:pt idx="28">
                  <c:v>-82.383831411565467</c:v>
                </c:pt>
                <c:pt idx="29">
                  <c:v>-82.383831411565467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6-4E4B-8B23-08CF69FE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/>
              <a:t>Inviluppo M</a:t>
            </a:r>
            <a:r>
              <a:rPr lang="it-IT" baseline="-25000"/>
              <a:t>ED</a:t>
            </a:r>
            <a:r>
              <a:rPr lang="it-IT"/>
              <a:t> vs </a:t>
            </a:r>
            <a:r>
              <a:rPr lang="it-IT" sz="1800" b="1" i="0" u="none" strike="noStrike" baseline="0">
                <a:effectLst/>
              </a:rPr>
              <a:t> M</a:t>
            </a:r>
            <a:r>
              <a:rPr lang="it-IT" sz="1800" b="1" i="0" u="none" strike="noStrike" baseline="-25000">
                <a:effectLst/>
              </a:rPr>
              <a:t>RD</a:t>
            </a:r>
            <a:r>
              <a:rPr lang="it-IT" sz="1800" b="1" i="0" u="none" strike="noStrike" baseline="0">
                <a:effectLst/>
              </a:rPr>
              <a:t>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tx1">
                  <a:alpha val="63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M_pos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'!$F$224:$F$253</c:f>
              <c:numCache>
                <c:formatCode>General</c:formatCode>
                <c:ptCount val="30"/>
                <c:pt idx="0">
                  <c:v>15.3912</c:v>
                </c:pt>
                <c:pt idx="1">
                  <c:v>20.302900000000001</c:v>
                </c:pt>
                <c:pt idx="2">
                  <c:v>21.421600000000002</c:v>
                </c:pt>
                <c:pt idx="3">
                  <c:v>20.668500000000002</c:v>
                </c:pt>
                <c:pt idx="4">
                  <c:v>20.870899999999999</c:v>
                </c:pt>
                <c:pt idx="5">
                  <c:v>14.339700000000001</c:v>
                </c:pt>
                <c:pt idx="6">
                  <c:v>13.342700000000001</c:v>
                </c:pt>
                <c:pt idx="7">
                  <c:v>8.7279999999999998</c:v>
                </c:pt>
                <c:pt idx="8">
                  <c:v>0.32019999999999998</c:v>
                </c:pt>
                <c:pt idx="9">
                  <c:v>-12.6807</c:v>
                </c:pt>
                <c:pt idx="10">
                  <c:v>2.0619000000000001</c:v>
                </c:pt>
                <c:pt idx="11">
                  <c:v>13.011200000000001</c:v>
                </c:pt>
                <c:pt idx="12">
                  <c:v>20.167200000000001</c:v>
                </c:pt>
                <c:pt idx="13">
                  <c:v>30.5046</c:v>
                </c:pt>
                <c:pt idx="14">
                  <c:v>37.238300000000002</c:v>
                </c:pt>
                <c:pt idx="15">
                  <c:v>37.238300000000002</c:v>
                </c:pt>
                <c:pt idx="16">
                  <c:v>30.5046</c:v>
                </c:pt>
                <c:pt idx="17">
                  <c:v>20.167200000000001</c:v>
                </c:pt>
                <c:pt idx="18">
                  <c:v>13.011200000000001</c:v>
                </c:pt>
                <c:pt idx="19">
                  <c:v>2.0619000000000001</c:v>
                </c:pt>
                <c:pt idx="20">
                  <c:v>-12.6807</c:v>
                </c:pt>
                <c:pt idx="21">
                  <c:v>0.32019999999999998</c:v>
                </c:pt>
                <c:pt idx="22">
                  <c:v>8.7279999999999998</c:v>
                </c:pt>
                <c:pt idx="23">
                  <c:v>13.342700000000001</c:v>
                </c:pt>
                <c:pt idx="24">
                  <c:v>14.339700000000001</c:v>
                </c:pt>
                <c:pt idx="25">
                  <c:v>20.870899999999999</c:v>
                </c:pt>
                <c:pt idx="26">
                  <c:v>20.668500000000002</c:v>
                </c:pt>
                <c:pt idx="27">
                  <c:v>21.421600000000002</c:v>
                </c:pt>
                <c:pt idx="28">
                  <c:v>20.302900000000001</c:v>
                </c:pt>
                <c:pt idx="29">
                  <c:v>15.3912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2-4D0D-A44B-143D42A9105E}"/>
            </c:ext>
          </c:extLst>
        </c:ser>
        <c:ser>
          <c:idx val="1"/>
          <c:order val="1"/>
          <c:tx>
            <c:v>M_neg</c:v>
          </c:tx>
          <c:spPr>
            <a:solidFill>
              <a:srgbClr val="DA2A26">
                <a:alpha val="80000"/>
              </a:srgbClr>
            </a:solidFill>
            <a:ln w="1905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63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'!$X$224:$X$253</c:f>
              <c:numCache>
                <c:formatCode>General</c:formatCode>
                <c:ptCount val="30"/>
                <c:pt idx="0">
                  <c:v>-38.631700000000002</c:v>
                </c:pt>
                <c:pt idx="1">
                  <c:v>-20.486599999999999</c:v>
                </c:pt>
                <c:pt idx="2">
                  <c:v>-6.1349</c:v>
                </c:pt>
                <c:pt idx="3">
                  <c:v>4.4229000000000003</c:v>
                </c:pt>
                <c:pt idx="4">
                  <c:v>11.1412</c:v>
                </c:pt>
                <c:pt idx="5">
                  <c:v>2.0133000000000001</c:v>
                </c:pt>
                <c:pt idx="6">
                  <c:v>-12.0403</c:v>
                </c:pt>
                <c:pt idx="7">
                  <c:v>-29.888000000000002</c:v>
                </c:pt>
                <c:pt idx="8">
                  <c:v>-51.529200000000003</c:v>
                </c:pt>
                <c:pt idx="9">
                  <c:v>-63.767400000000002</c:v>
                </c:pt>
                <c:pt idx="10">
                  <c:v>-36.007199999999997</c:v>
                </c:pt>
                <c:pt idx="11">
                  <c:v>-16.610299999999999</c:v>
                </c:pt>
                <c:pt idx="12">
                  <c:v>-1.0065999999999999</c:v>
                </c:pt>
                <c:pt idx="13">
                  <c:v>10.803699999999999</c:v>
                </c:pt>
                <c:pt idx="14">
                  <c:v>18.820799999999998</c:v>
                </c:pt>
                <c:pt idx="15">
                  <c:v>18.820799999999998</c:v>
                </c:pt>
                <c:pt idx="16">
                  <c:v>10.803699999999999</c:v>
                </c:pt>
                <c:pt idx="17">
                  <c:v>-1.0065999999999999</c:v>
                </c:pt>
                <c:pt idx="18">
                  <c:v>-16.610299999999999</c:v>
                </c:pt>
                <c:pt idx="19">
                  <c:v>-36.007199999999997</c:v>
                </c:pt>
                <c:pt idx="20">
                  <c:v>-63.767400000000002</c:v>
                </c:pt>
                <c:pt idx="21">
                  <c:v>-51.529200000000003</c:v>
                </c:pt>
                <c:pt idx="22">
                  <c:v>-29.888000000000002</c:v>
                </c:pt>
                <c:pt idx="23">
                  <c:v>-12.0403</c:v>
                </c:pt>
                <c:pt idx="24">
                  <c:v>2.0133000000000001</c:v>
                </c:pt>
                <c:pt idx="25">
                  <c:v>11.1412</c:v>
                </c:pt>
                <c:pt idx="26">
                  <c:v>4.4229000000000003</c:v>
                </c:pt>
                <c:pt idx="27">
                  <c:v>-6.1349</c:v>
                </c:pt>
                <c:pt idx="28">
                  <c:v>-20.486599999999999</c:v>
                </c:pt>
                <c:pt idx="29">
                  <c:v>-38.631700000000002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2-4D0D-A44B-143D42A91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086163119"/>
        <c:axId val="2087106159"/>
      </c:areaChart>
      <c:lineChart>
        <c:grouping val="standard"/>
        <c:varyColors val="0"/>
        <c:ser>
          <c:idx val="2"/>
          <c:order val="2"/>
          <c:tx>
            <c:v>MRD_pos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'!$Q$224:$Q$253</c:f>
              <c:numCache>
                <c:formatCode>0.0</c:formatCode>
                <c:ptCount val="30"/>
                <c:pt idx="0">
                  <c:v>82.383831411565467</c:v>
                </c:pt>
                <c:pt idx="1">
                  <c:v>82.383831411565467</c:v>
                </c:pt>
                <c:pt idx="2">
                  <c:v>82.383831411565467</c:v>
                </c:pt>
                <c:pt idx="3">
                  <c:v>82.383831411565467</c:v>
                </c:pt>
                <c:pt idx="4">
                  <c:v>82.383831411565467</c:v>
                </c:pt>
                <c:pt idx="5">
                  <c:v>82.383831411565467</c:v>
                </c:pt>
                <c:pt idx="6">
                  <c:v>82.383831411565467</c:v>
                </c:pt>
                <c:pt idx="7">
                  <c:v>82.383831411565467</c:v>
                </c:pt>
                <c:pt idx="8">
                  <c:v>82.383831411565467</c:v>
                </c:pt>
                <c:pt idx="9">
                  <c:v>82.383831411565467</c:v>
                </c:pt>
                <c:pt idx="10">
                  <c:v>82.383831411565467</c:v>
                </c:pt>
                <c:pt idx="11">
                  <c:v>82.383831411565467</c:v>
                </c:pt>
                <c:pt idx="12">
                  <c:v>82.383831411565467</c:v>
                </c:pt>
                <c:pt idx="13">
                  <c:v>82.383831411565467</c:v>
                </c:pt>
                <c:pt idx="14">
                  <c:v>82.383831411565467</c:v>
                </c:pt>
                <c:pt idx="15">
                  <c:v>82.383831411565467</c:v>
                </c:pt>
                <c:pt idx="16">
                  <c:v>82.383831411565467</c:v>
                </c:pt>
                <c:pt idx="17">
                  <c:v>82.383831411565467</c:v>
                </c:pt>
                <c:pt idx="18">
                  <c:v>82.383831411565467</c:v>
                </c:pt>
                <c:pt idx="19">
                  <c:v>82.383831411565467</c:v>
                </c:pt>
                <c:pt idx="20">
                  <c:v>82.383831411565467</c:v>
                </c:pt>
                <c:pt idx="21">
                  <c:v>82.383831411565467</c:v>
                </c:pt>
                <c:pt idx="22">
                  <c:v>82.383831411565467</c:v>
                </c:pt>
                <c:pt idx="23">
                  <c:v>82.383831411565467</c:v>
                </c:pt>
                <c:pt idx="24">
                  <c:v>82.383831411565467</c:v>
                </c:pt>
                <c:pt idx="25">
                  <c:v>82.383831411565467</c:v>
                </c:pt>
                <c:pt idx="26">
                  <c:v>82.383831411565467</c:v>
                </c:pt>
                <c:pt idx="27">
                  <c:v>82.383831411565467</c:v>
                </c:pt>
                <c:pt idx="28">
                  <c:v>82.383831411565467</c:v>
                </c:pt>
                <c:pt idx="29">
                  <c:v>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2-4D0D-A44B-143D42A9105E}"/>
            </c:ext>
          </c:extLst>
        </c:ser>
        <c:ser>
          <c:idx val="3"/>
          <c:order val="3"/>
          <c:tx>
            <c:v>MRD_neg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'TRAVI PRINCIPALI (P4) '!$B$4:$B$33</c:f>
              <c:numCache>
                <c:formatCode>0.0</c:formatCode>
                <c:ptCount val="3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</c:numCache>
            </c:numRef>
          </c:cat>
          <c:val>
            <c:numRef>
              <c:f>'TRAVI PRINCIPALI (P4) '!$AI$224:$AI$253</c:f>
              <c:numCache>
                <c:formatCode>0</c:formatCode>
                <c:ptCount val="30"/>
                <c:pt idx="0">
                  <c:v>-82.383831411565467</c:v>
                </c:pt>
                <c:pt idx="1">
                  <c:v>-82.383831411565467</c:v>
                </c:pt>
                <c:pt idx="2">
                  <c:v>-82.383831411565467</c:v>
                </c:pt>
                <c:pt idx="3">
                  <c:v>-82.383831411565467</c:v>
                </c:pt>
                <c:pt idx="4">
                  <c:v>-82.383831411565467</c:v>
                </c:pt>
                <c:pt idx="5">
                  <c:v>-82.383831411565467</c:v>
                </c:pt>
                <c:pt idx="6">
                  <c:v>-82.383831411565467</c:v>
                </c:pt>
                <c:pt idx="7">
                  <c:v>-82.383831411565467</c:v>
                </c:pt>
                <c:pt idx="8">
                  <c:v>-82.383831411565467</c:v>
                </c:pt>
                <c:pt idx="9">
                  <c:v>-82.383831411565467</c:v>
                </c:pt>
                <c:pt idx="10">
                  <c:v>-82.383831411565467</c:v>
                </c:pt>
                <c:pt idx="11">
                  <c:v>-82.383831411565467</c:v>
                </c:pt>
                <c:pt idx="12">
                  <c:v>-82.383831411565467</c:v>
                </c:pt>
                <c:pt idx="13">
                  <c:v>-82.383831411565467</c:v>
                </c:pt>
                <c:pt idx="14">
                  <c:v>-82.383831411565467</c:v>
                </c:pt>
                <c:pt idx="15">
                  <c:v>-82.383831411565467</c:v>
                </c:pt>
                <c:pt idx="16">
                  <c:v>-82.383831411565467</c:v>
                </c:pt>
                <c:pt idx="17">
                  <c:v>-82.383831411565467</c:v>
                </c:pt>
                <c:pt idx="18">
                  <c:v>-82.383831411565467</c:v>
                </c:pt>
                <c:pt idx="19">
                  <c:v>-82.383831411565467</c:v>
                </c:pt>
                <c:pt idx="20">
                  <c:v>-82.383831411565467</c:v>
                </c:pt>
                <c:pt idx="21">
                  <c:v>-82.383831411565467</c:v>
                </c:pt>
                <c:pt idx="22">
                  <c:v>-82.383831411565467</c:v>
                </c:pt>
                <c:pt idx="23">
                  <c:v>-82.383831411565467</c:v>
                </c:pt>
                <c:pt idx="24">
                  <c:v>-82.383831411565467</c:v>
                </c:pt>
                <c:pt idx="25">
                  <c:v>-82.383831411565467</c:v>
                </c:pt>
                <c:pt idx="26">
                  <c:v>-82.383831411565467</c:v>
                </c:pt>
                <c:pt idx="27">
                  <c:v>-82.383831411565467</c:v>
                </c:pt>
                <c:pt idx="28">
                  <c:v>-82.383831411565467</c:v>
                </c:pt>
                <c:pt idx="29">
                  <c:v>-82.383831411565467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2-4D0D-A44B-143D42A9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163119"/>
        <c:axId val="2087106159"/>
      </c:lineChart>
      <c:catAx>
        <c:axId val="2086163119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high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7106159"/>
        <c:crosses val="autoZero"/>
        <c:auto val="1"/>
        <c:lblAlgn val="ctr"/>
        <c:lblOffset val="100"/>
        <c:noMultiLvlLbl val="0"/>
      </c:catAx>
      <c:valAx>
        <c:axId val="2087106159"/>
        <c:scaling>
          <c:orientation val="maxMin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1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63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image" Target="../media/image1.PNG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28.xml"/><Relationship Id="rId7" Type="http://schemas.openxmlformats.org/officeDocument/2006/relationships/image" Target="../media/image2.png"/><Relationship Id="rId2" Type="http://schemas.openxmlformats.org/officeDocument/2006/relationships/chart" Target="../charts/chart27.xml"/><Relationship Id="rId1" Type="http://schemas.openxmlformats.org/officeDocument/2006/relationships/image" Target="../media/image1.PNG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3.xml"/><Relationship Id="rId7" Type="http://schemas.openxmlformats.org/officeDocument/2006/relationships/image" Target="../media/image2.png"/><Relationship Id="rId2" Type="http://schemas.openxmlformats.org/officeDocument/2006/relationships/chart" Target="../charts/chart32.xml"/><Relationship Id="rId1" Type="http://schemas.openxmlformats.org/officeDocument/2006/relationships/image" Target="../media/image1.PNG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8.xml"/><Relationship Id="rId7" Type="http://schemas.openxmlformats.org/officeDocument/2006/relationships/image" Target="../media/image4.png"/><Relationship Id="rId2" Type="http://schemas.openxmlformats.org/officeDocument/2006/relationships/chart" Target="../charts/chart37.xml"/><Relationship Id="rId1" Type="http://schemas.openxmlformats.org/officeDocument/2006/relationships/image" Target="../media/image1.PNG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190723</xdr:colOff>
      <xdr:row>43</xdr:row>
      <xdr:rowOff>15792</xdr:rowOff>
    </xdr:from>
    <xdr:to>
      <xdr:col>25</xdr:col>
      <xdr:colOff>536863</xdr:colOff>
      <xdr:row>69</xdr:row>
      <xdr:rowOff>155864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8D6AFE4-87F5-49F5-A835-80C2B4130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190723</xdr:colOff>
      <xdr:row>43</xdr:row>
      <xdr:rowOff>15792</xdr:rowOff>
    </xdr:from>
    <xdr:to>
      <xdr:col>25</xdr:col>
      <xdr:colOff>536863</xdr:colOff>
      <xdr:row>69</xdr:row>
      <xdr:rowOff>155864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1BC8222-2E16-4B2A-9591-112E9545B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190723</xdr:colOff>
      <xdr:row>43</xdr:row>
      <xdr:rowOff>15792</xdr:rowOff>
    </xdr:from>
    <xdr:to>
      <xdr:col>25</xdr:col>
      <xdr:colOff>536863</xdr:colOff>
      <xdr:row>69</xdr:row>
      <xdr:rowOff>155864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7A5C27F-0001-4CE7-9450-7ED4256B8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190723</xdr:colOff>
      <xdr:row>43</xdr:row>
      <xdr:rowOff>15792</xdr:rowOff>
    </xdr:from>
    <xdr:to>
      <xdr:col>25</xdr:col>
      <xdr:colOff>536863</xdr:colOff>
      <xdr:row>69</xdr:row>
      <xdr:rowOff>155864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2857A27-A7BF-4DB4-92B6-41F661138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43</xdr:row>
      <xdr:rowOff>158155</xdr:rowOff>
    </xdr:from>
    <xdr:to>
      <xdr:col>25</xdr:col>
      <xdr:colOff>530678</xdr:colOff>
      <xdr:row>68</xdr:row>
      <xdr:rowOff>149679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E953505-B9AD-45FE-890D-D1636C341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43</xdr:row>
      <xdr:rowOff>158155</xdr:rowOff>
    </xdr:from>
    <xdr:to>
      <xdr:col>25</xdr:col>
      <xdr:colOff>530678</xdr:colOff>
      <xdr:row>68</xdr:row>
      <xdr:rowOff>149679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C39FCFE-FC70-46D1-8D79-3FD4D9686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43</xdr:row>
      <xdr:rowOff>158155</xdr:rowOff>
    </xdr:from>
    <xdr:to>
      <xdr:col>25</xdr:col>
      <xdr:colOff>530678</xdr:colOff>
      <xdr:row>68</xdr:row>
      <xdr:rowOff>149679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4F0D32-C996-412B-BE54-21CE8E349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43</xdr:row>
      <xdr:rowOff>158155</xdr:rowOff>
    </xdr:from>
    <xdr:to>
      <xdr:col>27</xdr:col>
      <xdr:colOff>530678</xdr:colOff>
      <xdr:row>68</xdr:row>
      <xdr:rowOff>149679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0B3AE53-5B5F-4F96-832F-343D0E385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0</xdr:rowOff>
    </xdr:from>
    <xdr:to>
      <xdr:col>26</xdr:col>
      <xdr:colOff>97624</xdr:colOff>
      <xdr:row>27</xdr:row>
      <xdr:rowOff>140072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D4C9FB2-086D-428E-87FB-931AECD57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114734</xdr:colOff>
      <xdr:row>27</xdr:row>
      <xdr:rowOff>168852</xdr:rowOff>
    </xdr:from>
    <xdr:to>
      <xdr:col>25</xdr:col>
      <xdr:colOff>595314</xdr:colOff>
      <xdr:row>54</xdr:row>
      <xdr:rowOff>49152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9AA11B6-7FF8-4041-89DE-A8FC28A77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138545</xdr:rowOff>
    </xdr:from>
    <xdr:to>
      <xdr:col>26</xdr:col>
      <xdr:colOff>23812</xdr:colOff>
      <xdr:row>82</xdr:row>
      <xdr:rowOff>23812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0DA4FF7-3BDD-4072-9AD7-C68C731F0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82</xdr:row>
      <xdr:rowOff>121227</xdr:rowOff>
    </xdr:from>
    <xdr:to>
      <xdr:col>26</xdr:col>
      <xdr:colOff>103686</xdr:colOff>
      <xdr:row>109</xdr:row>
      <xdr:rowOff>70799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61B7D31-5A61-4D39-9B1F-5BEAC9266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428625</xdr:colOff>
      <xdr:row>84</xdr:row>
      <xdr:rowOff>119062</xdr:rowOff>
    </xdr:from>
    <xdr:to>
      <xdr:col>79</xdr:col>
      <xdr:colOff>0</xdr:colOff>
      <xdr:row>108</xdr:row>
      <xdr:rowOff>98033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43BFBEE-5091-4639-B209-B98EF05FE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381000</xdr:colOff>
      <xdr:row>2</xdr:row>
      <xdr:rowOff>0</xdr:rowOff>
    </xdr:from>
    <xdr:to>
      <xdr:col>55</xdr:col>
      <xdr:colOff>450272</xdr:colOff>
      <xdr:row>26</xdr:row>
      <xdr:rowOff>182024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AEB1D250-3E86-45CD-B46C-ECC8AF9FB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357187</xdr:colOff>
      <xdr:row>26</xdr:row>
      <xdr:rowOff>166687</xdr:rowOff>
    </xdr:from>
    <xdr:to>
      <xdr:col>55</xdr:col>
      <xdr:colOff>455839</xdr:colOff>
      <xdr:row>51</xdr:row>
      <xdr:rowOff>158212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2AC4C583-9E89-472F-9440-621040F65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261938</xdr:colOff>
      <xdr:row>58</xdr:row>
      <xdr:rowOff>23813</xdr:rowOff>
    </xdr:from>
    <xdr:to>
      <xdr:col>56</xdr:col>
      <xdr:colOff>479652</xdr:colOff>
      <xdr:row>83</xdr:row>
      <xdr:rowOff>15337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776DA0DB-5BD1-46B6-9290-0DDD6B74F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238124</xdr:colOff>
      <xdr:row>83</xdr:row>
      <xdr:rowOff>95250</xdr:rowOff>
    </xdr:from>
    <xdr:to>
      <xdr:col>56</xdr:col>
      <xdr:colOff>484907</xdr:colOff>
      <xdr:row>108</xdr:row>
      <xdr:rowOff>86774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1ACFD394-2F6C-4494-9444-DF705FB21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56</xdr:col>
      <xdr:colOff>119062</xdr:colOff>
      <xdr:row>1</xdr:row>
      <xdr:rowOff>119062</xdr:rowOff>
    </xdr:from>
    <xdr:to>
      <xdr:col>78</xdr:col>
      <xdr:colOff>428625</xdr:colOff>
      <xdr:row>27</xdr:row>
      <xdr:rowOff>23811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6EB5476B-A87D-4D8D-B436-4864ACB5A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57</xdr:col>
      <xdr:colOff>333375</xdr:colOff>
      <xdr:row>62</xdr:row>
      <xdr:rowOff>119062</xdr:rowOff>
    </xdr:from>
    <xdr:to>
      <xdr:col>78</xdr:col>
      <xdr:colOff>571500</xdr:colOff>
      <xdr:row>84</xdr:row>
      <xdr:rowOff>71438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688A97FD-5FAD-4B0D-8AD6-15668D5F5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69274</xdr:colOff>
      <xdr:row>27</xdr:row>
      <xdr:rowOff>0</xdr:rowOff>
    </xdr:from>
    <xdr:to>
      <xdr:col>78</xdr:col>
      <xdr:colOff>329046</xdr:colOff>
      <xdr:row>50</xdr:row>
      <xdr:rowOff>86591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E948AA00-2CED-4067-8B44-47157C662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358637</xdr:colOff>
      <xdr:row>1</xdr:row>
      <xdr:rowOff>84483</xdr:rowOff>
    </xdr:from>
    <xdr:to>
      <xdr:col>41</xdr:col>
      <xdr:colOff>494545</xdr:colOff>
      <xdr:row>22</xdr:row>
      <xdr:rowOff>10974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A1A98E4-92CA-4774-86C6-C401F6562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7920" y="274983"/>
          <a:ext cx="5039211" cy="3926991"/>
        </a:xfrm>
        <a:prstGeom prst="rect">
          <a:avLst/>
        </a:prstGeom>
      </xdr:spPr>
    </xdr:pic>
    <xdr:clientData/>
  </xdr:twoCellAnchor>
  <xdr:twoCellAnchor>
    <xdr:from>
      <xdr:col>7</xdr:col>
      <xdr:colOff>727363</xdr:colOff>
      <xdr:row>33</xdr:row>
      <xdr:rowOff>173181</xdr:rowOff>
    </xdr:from>
    <xdr:to>
      <xdr:col>19</xdr:col>
      <xdr:colOff>0</xdr:colOff>
      <xdr:row>54</xdr:row>
      <xdr:rowOff>69272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0502632-3EAD-43DC-9C20-C6B88BED6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762000</xdr:colOff>
      <xdr:row>88</xdr:row>
      <xdr:rowOff>34637</xdr:rowOff>
    </xdr:from>
    <xdr:to>
      <xdr:col>19</xdr:col>
      <xdr:colOff>0</xdr:colOff>
      <xdr:row>108</xdr:row>
      <xdr:rowOff>121228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2B9C4E2-D48C-48CA-99CF-ECFD2A3A5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173182</xdr:colOff>
      <xdr:row>144</xdr:row>
      <xdr:rowOff>34637</xdr:rowOff>
    </xdr:from>
    <xdr:to>
      <xdr:col>19</xdr:col>
      <xdr:colOff>225138</xdr:colOff>
      <xdr:row>164</xdr:row>
      <xdr:rowOff>121228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68EF3D4-7C0A-4A8E-9ABA-8F42B3D6F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294409</xdr:colOff>
      <xdr:row>199</xdr:row>
      <xdr:rowOff>34636</xdr:rowOff>
    </xdr:from>
    <xdr:to>
      <xdr:col>19</xdr:col>
      <xdr:colOff>346365</xdr:colOff>
      <xdr:row>219</xdr:row>
      <xdr:rowOff>121227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70FAE0C-83DA-4A73-A086-94145D018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917863</xdr:colOff>
      <xdr:row>254</xdr:row>
      <xdr:rowOff>51955</xdr:rowOff>
    </xdr:from>
    <xdr:to>
      <xdr:col>19</xdr:col>
      <xdr:colOff>34637</xdr:colOff>
      <xdr:row>274</xdr:row>
      <xdr:rowOff>138546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287FADF-1015-4AF0-B5F9-D6210B426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449035</xdr:colOff>
      <xdr:row>255</xdr:row>
      <xdr:rowOff>149678</xdr:rowOff>
    </xdr:from>
    <xdr:to>
      <xdr:col>37</xdr:col>
      <xdr:colOff>586346</xdr:colOff>
      <xdr:row>276</xdr:row>
      <xdr:rowOff>45769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930EEF3-3236-4E8E-A5A9-2AB3E2A07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358637</xdr:colOff>
      <xdr:row>1</xdr:row>
      <xdr:rowOff>84483</xdr:rowOff>
    </xdr:from>
    <xdr:to>
      <xdr:col>45</xdr:col>
      <xdr:colOff>494545</xdr:colOff>
      <xdr:row>22</xdr:row>
      <xdr:rowOff>10974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8742C78-BD24-4E76-90A1-FF3EF9E50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52212" y="274983"/>
          <a:ext cx="5012708" cy="3926991"/>
        </a:xfrm>
        <a:prstGeom prst="rect">
          <a:avLst/>
        </a:prstGeom>
      </xdr:spPr>
    </xdr:pic>
    <xdr:clientData/>
  </xdr:twoCellAnchor>
  <xdr:twoCellAnchor>
    <xdr:from>
      <xdr:col>9</xdr:col>
      <xdr:colOff>727363</xdr:colOff>
      <xdr:row>33</xdr:row>
      <xdr:rowOff>173181</xdr:rowOff>
    </xdr:from>
    <xdr:to>
      <xdr:col>22</xdr:col>
      <xdr:colOff>450273</xdr:colOff>
      <xdr:row>54</xdr:row>
      <xdr:rowOff>69272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64229EE-696C-4266-BA62-1E82B0BE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762000</xdr:colOff>
      <xdr:row>88</xdr:row>
      <xdr:rowOff>34637</xdr:rowOff>
    </xdr:from>
    <xdr:to>
      <xdr:col>22</xdr:col>
      <xdr:colOff>484910</xdr:colOff>
      <xdr:row>108</xdr:row>
      <xdr:rowOff>121228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00A898E-A89F-42AD-AFD8-291F72CD9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173182</xdr:colOff>
      <xdr:row>144</xdr:row>
      <xdr:rowOff>34637</xdr:rowOff>
    </xdr:from>
    <xdr:to>
      <xdr:col>23</xdr:col>
      <xdr:colOff>225138</xdr:colOff>
      <xdr:row>164</xdr:row>
      <xdr:rowOff>121228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41DDC54-0C91-4619-93DA-19E9827F4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294409</xdr:colOff>
      <xdr:row>198</xdr:row>
      <xdr:rowOff>184314</xdr:rowOff>
    </xdr:from>
    <xdr:to>
      <xdr:col>23</xdr:col>
      <xdr:colOff>346365</xdr:colOff>
      <xdr:row>219</xdr:row>
      <xdr:rowOff>80405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8688875-CEE5-40B4-9A48-C037696ED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917863</xdr:colOff>
      <xdr:row>254</xdr:row>
      <xdr:rowOff>51955</xdr:rowOff>
    </xdr:from>
    <xdr:to>
      <xdr:col>23</xdr:col>
      <xdr:colOff>34637</xdr:colOff>
      <xdr:row>274</xdr:row>
      <xdr:rowOff>138546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9D26656-B0F4-4FAD-9DF4-B0EBC607E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781356</xdr:colOff>
      <xdr:row>34</xdr:row>
      <xdr:rowOff>73348</xdr:rowOff>
    </xdr:from>
    <xdr:to>
      <xdr:col>23</xdr:col>
      <xdr:colOff>599081</xdr:colOff>
      <xdr:row>54</xdr:row>
      <xdr:rowOff>160649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F7826F20-DED9-49AC-BDDA-A679F46BC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60038" y="6550348"/>
          <a:ext cx="9567861" cy="3897301"/>
        </a:xfrm>
        <a:prstGeom prst="rect">
          <a:avLst/>
        </a:prstGeom>
      </xdr:spPr>
    </xdr:pic>
    <xdr:clientData/>
  </xdr:twoCellAnchor>
  <xdr:twoCellAnchor editAs="oneCell">
    <xdr:from>
      <xdr:col>10</xdr:col>
      <xdr:colOff>93008</xdr:colOff>
      <xdr:row>88</xdr:row>
      <xdr:rowOff>152400</xdr:rowOff>
    </xdr:from>
    <xdr:to>
      <xdr:col>24</xdr:col>
      <xdr:colOff>586067</xdr:colOff>
      <xdr:row>108</xdr:row>
      <xdr:rowOff>114300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4B5C242-AAB1-4EAE-87E8-5763739AE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51033" y="16916400"/>
          <a:ext cx="9960909" cy="3771900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147</xdr:row>
      <xdr:rowOff>47625</xdr:rowOff>
    </xdr:from>
    <xdr:to>
      <xdr:col>25</xdr:col>
      <xdr:colOff>304800</xdr:colOff>
      <xdr:row>164</xdr:row>
      <xdr:rowOff>24625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81BECFE1-E88C-484B-A464-E74681AE0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96175" y="28051125"/>
          <a:ext cx="9944100" cy="321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51954</xdr:colOff>
      <xdr:row>255</xdr:row>
      <xdr:rowOff>66675</xdr:rowOff>
    </xdr:from>
    <xdr:to>
      <xdr:col>24</xdr:col>
      <xdr:colOff>171450</xdr:colOff>
      <xdr:row>274</xdr:row>
      <xdr:rowOff>115523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D8DF36F6-4EEE-4FE4-9C4F-32441F10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09979" y="48644175"/>
          <a:ext cx="9587346" cy="36683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358637</xdr:colOff>
      <xdr:row>1</xdr:row>
      <xdr:rowOff>84483</xdr:rowOff>
    </xdr:from>
    <xdr:to>
      <xdr:col>45</xdr:col>
      <xdr:colOff>494545</xdr:colOff>
      <xdr:row>22</xdr:row>
      <xdr:rowOff>10974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7017797-0080-4A14-B92D-2AA407804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52212" y="274983"/>
          <a:ext cx="5012708" cy="3926991"/>
        </a:xfrm>
        <a:prstGeom prst="rect">
          <a:avLst/>
        </a:prstGeom>
      </xdr:spPr>
    </xdr:pic>
    <xdr:clientData/>
  </xdr:twoCellAnchor>
  <xdr:twoCellAnchor>
    <xdr:from>
      <xdr:col>9</xdr:col>
      <xdr:colOff>727363</xdr:colOff>
      <xdr:row>33</xdr:row>
      <xdr:rowOff>173181</xdr:rowOff>
    </xdr:from>
    <xdr:to>
      <xdr:col>22</xdr:col>
      <xdr:colOff>450273</xdr:colOff>
      <xdr:row>54</xdr:row>
      <xdr:rowOff>69272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66B0140-ECE2-45DF-ACC3-9788B8976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762000</xdr:colOff>
      <xdr:row>88</xdr:row>
      <xdr:rowOff>34637</xdr:rowOff>
    </xdr:from>
    <xdr:to>
      <xdr:col>22</xdr:col>
      <xdr:colOff>484910</xdr:colOff>
      <xdr:row>108</xdr:row>
      <xdr:rowOff>121228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A0A253D-2CEB-475B-AA5E-74F90D7AB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173182</xdr:colOff>
      <xdr:row>144</xdr:row>
      <xdr:rowOff>34637</xdr:rowOff>
    </xdr:from>
    <xdr:to>
      <xdr:col>23</xdr:col>
      <xdr:colOff>225138</xdr:colOff>
      <xdr:row>164</xdr:row>
      <xdr:rowOff>121228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A6E2054-01E0-415C-B28B-341E883A3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294409</xdr:colOff>
      <xdr:row>199</xdr:row>
      <xdr:rowOff>34636</xdr:rowOff>
    </xdr:from>
    <xdr:to>
      <xdr:col>23</xdr:col>
      <xdr:colOff>346365</xdr:colOff>
      <xdr:row>219</xdr:row>
      <xdr:rowOff>121227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E7750459-923F-4D44-AC6F-04282C40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917863</xdr:colOff>
      <xdr:row>254</xdr:row>
      <xdr:rowOff>51955</xdr:rowOff>
    </xdr:from>
    <xdr:to>
      <xdr:col>23</xdr:col>
      <xdr:colOff>34637</xdr:colOff>
      <xdr:row>274</xdr:row>
      <xdr:rowOff>138546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3E964DE-950C-4BE2-BF09-2787BD097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763340</xdr:colOff>
      <xdr:row>31</xdr:row>
      <xdr:rowOff>172721</xdr:rowOff>
    </xdr:from>
    <xdr:to>
      <xdr:col>24</xdr:col>
      <xdr:colOff>62514</xdr:colOff>
      <xdr:row>54</xdr:row>
      <xdr:rowOff>136071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E957C2D0-C73E-4D39-A391-6076C431E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27376" y="6078221"/>
          <a:ext cx="10212102" cy="4344850"/>
        </a:xfrm>
        <a:prstGeom prst="rect">
          <a:avLst/>
        </a:prstGeom>
      </xdr:spPr>
    </xdr:pic>
    <xdr:clientData/>
  </xdr:twoCellAnchor>
  <xdr:twoCellAnchor editAs="oneCell">
    <xdr:from>
      <xdr:col>10</xdr:col>
      <xdr:colOff>17975</xdr:colOff>
      <xdr:row>253</xdr:row>
      <xdr:rowOff>0</xdr:rowOff>
    </xdr:from>
    <xdr:to>
      <xdr:col>24</xdr:col>
      <xdr:colOff>251618</xdr:colOff>
      <xdr:row>274</xdr:row>
      <xdr:rowOff>86590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EF88E63-834C-4661-B0A2-37BCBFB7F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31839" y="48196500"/>
          <a:ext cx="10139643" cy="4087090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415636</xdr:colOff>
      <xdr:row>145</xdr:row>
      <xdr:rowOff>103908</xdr:rowOff>
    </xdr:from>
    <xdr:to>
      <xdr:col>25</xdr:col>
      <xdr:colOff>398318</xdr:colOff>
      <xdr:row>164</xdr:row>
      <xdr:rowOff>9599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82392FF-2240-4C2E-8E0F-CF9C41847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29500" y="27726408"/>
          <a:ext cx="10494818" cy="3525191"/>
        </a:xfrm>
        <a:prstGeom prst="rect">
          <a:avLst/>
        </a:prstGeom>
      </xdr:spPr>
    </xdr:pic>
    <xdr:clientData/>
  </xdr:twoCellAnchor>
  <xdr:twoCellAnchor editAs="oneCell">
    <xdr:from>
      <xdr:col>10</xdr:col>
      <xdr:colOff>62435</xdr:colOff>
      <xdr:row>89</xdr:row>
      <xdr:rowOff>13607</xdr:rowOff>
    </xdr:from>
    <xdr:to>
      <xdr:col>25</xdr:col>
      <xdr:colOff>28816</xdr:colOff>
      <xdr:row>108</xdr:row>
      <xdr:rowOff>81643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CD7DBC59-A91C-4BC8-8E74-EDCF52432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65364" y="16968107"/>
          <a:ext cx="10552738" cy="368753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358637</xdr:colOff>
      <xdr:row>1</xdr:row>
      <xdr:rowOff>84483</xdr:rowOff>
    </xdr:from>
    <xdr:to>
      <xdr:col>45</xdr:col>
      <xdr:colOff>494545</xdr:colOff>
      <xdr:row>22</xdr:row>
      <xdr:rowOff>10974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FE325A1-7567-4EF1-A079-059C4C06A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52212" y="274983"/>
          <a:ext cx="5012708" cy="3926991"/>
        </a:xfrm>
        <a:prstGeom prst="rect">
          <a:avLst/>
        </a:prstGeom>
      </xdr:spPr>
    </xdr:pic>
    <xdr:clientData/>
  </xdr:twoCellAnchor>
  <xdr:twoCellAnchor>
    <xdr:from>
      <xdr:col>9</xdr:col>
      <xdr:colOff>727363</xdr:colOff>
      <xdr:row>33</xdr:row>
      <xdr:rowOff>173181</xdr:rowOff>
    </xdr:from>
    <xdr:to>
      <xdr:col>22</xdr:col>
      <xdr:colOff>450273</xdr:colOff>
      <xdr:row>54</xdr:row>
      <xdr:rowOff>69272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1050974-E21E-4352-91CE-54ABD1BB4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762000</xdr:colOff>
      <xdr:row>88</xdr:row>
      <xdr:rowOff>34637</xdr:rowOff>
    </xdr:from>
    <xdr:to>
      <xdr:col>22</xdr:col>
      <xdr:colOff>484910</xdr:colOff>
      <xdr:row>108</xdr:row>
      <xdr:rowOff>121228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35D67C4-914D-4026-ACC3-6311F0F6B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173182</xdr:colOff>
      <xdr:row>144</xdr:row>
      <xdr:rowOff>34637</xdr:rowOff>
    </xdr:from>
    <xdr:to>
      <xdr:col>23</xdr:col>
      <xdr:colOff>225138</xdr:colOff>
      <xdr:row>164</xdr:row>
      <xdr:rowOff>121228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E809964-A6A7-42DA-B522-7572173B4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362444</xdr:colOff>
      <xdr:row>198</xdr:row>
      <xdr:rowOff>75456</xdr:rowOff>
    </xdr:from>
    <xdr:to>
      <xdr:col>23</xdr:col>
      <xdr:colOff>414400</xdr:colOff>
      <xdr:row>222</xdr:row>
      <xdr:rowOff>54427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C09F796-28FE-4393-9FA9-4E2C18675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917863</xdr:colOff>
      <xdr:row>254</xdr:row>
      <xdr:rowOff>51955</xdr:rowOff>
    </xdr:from>
    <xdr:to>
      <xdr:col>23</xdr:col>
      <xdr:colOff>34637</xdr:colOff>
      <xdr:row>274</xdr:row>
      <xdr:rowOff>138546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2459837-EC30-4ACF-ABF0-C74B62C95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50667</xdr:colOff>
      <xdr:row>33</xdr:row>
      <xdr:rowOff>25613</xdr:rowOff>
    </xdr:from>
    <xdr:to>
      <xdr:col>24</xdr:col>
      <xdr:colOff>174492</xdr:colOff>
      <xdr:row>52</xdr:row>
      <xdr:rowOff>86655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7E530E5A-CFD8-44CF-98C8-DF9A06A9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53596" y="6312113"/>
          <a:ext cx="9635217" cy="3680542"/>
        </a:xfrm>
        <a:prstGeom prst="rect">
          <a:avLst/>
        </a:prstGeom>
      </xdr:spPr>
    </xdr:pic>
    <xdr:clientData/>
  </xdr:twoCellAnchor>
  <xdr:twoCellAnchor editAs="oneCell">
    <xdr:from>
      <xdr:col>10</xdr:col>
      <xdr:colOff>95249</xdr:colOff>
      <xdr:row>89</xdr:row>
      <xdr:rowOff>47623</xdr:rowOff>
    </xdr:from>
    <xdr:to>
      <xdr:col>24</xdr:col>
      <xdr:colOff>523874</xdr:colOff>
      <xdr:row>108</xdr:row>
      <xdr:rowOff>47625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4CCBC380-6EBE-4F10-BAB6-5A759AC57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98178" y="17002123"/>
          <a:ext cx="9940017" cy="3619502"/>
        </a:xfrm>
        <a:prstGeom prst="rect">
          <a:avLst/>
        </a:prstGeom>
      </xdr:spPr>
    </xdr:pic>
    <xdr:clientData/>
  </xdr:twoCellAnchor>
  <xdr:twoCellAnchor editAs="oneCell">
    <xdr:from>
      <xdr:col>10</xdr:col>
      <xdr:colOff>447675</xdr:colOff>
      <xdr:row>148</xdr:row>
      <xdr:rowOff>38099</xdr:rowOff>
    </xdr:from>
    <xdr:to>
      <xdr:col>25</xdr:col>
      <xdr:colOff>285750</xdr:colOff>
      <xdr:row>164</xdr:row>
      <xdr:rowOff>9525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2AB791E1-106C-464B-8096-C71F437F3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5700" y="28232099"/>
          <a:ext cx="9915525" cy="30194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245930</xdr:colOff>
      <xdr:row>253</xdr:row>
      <xdr:rowOff>112859</xdr:rowOff>
    </xdr:from>
    <xdr:to>
      <xdr:col>24</xdr:col>
      <xdr:colOff>369755</xdr:colOff>
      <xdr:row>272</xdr:row>
      <xdr:rowOff>124066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C7A2CE45-3CCB-4A10-82F1-E1EAEF72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48859" y="48309359"/>
          <a:ext cx="9635217" cy="36307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ISISM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U"/>
      <sheetName val="TAGLIO SLV (trave spessore) "/>
      <sheetName val="TAGLIO SLV (trave esterna)"/>
      <sheetName val="TAGLIO SLV (P1-P2) "/>
      <sheetName val="TAGLIO SLV (P3)"/>
      <sheetName val="TAGLIO SLV (copertura)"/>
      <sheetName val="SLV"/>
    </sheetNames>
    <sheetDataSet>
      <sheetData sheetId="0" refreshError="1"/>
      <sheetData sheetId="1" refreshError="1"/>
      <sheetData sheetId="2">
        <row r="83">
          <cell r="P83" t="str">
            <v>passo</v>
          </cell>
          <cell r="Q83" t="str">
            <v>θ</v>
          </cell>
          <cell r="R83" t="str">
            <v>θ</v>
          </cell>
          <cell r="T83" t="str">
            <v>θ</v>
          </cell>
          <cell r="U83" t="str">
            <v>θ</v>
          </cell>
          <cell r="V83" t="str">
            <v>VRsd</v>
          </cell>
          <cell r="W83" t="str">
            <v>VRcd</v>
          </cell>
          <cell r="X83" t="str">
            <v>VRd</v>
          </cell>
        </row>
        <row r="84">
          <cell r="P84" t="str">
            <v>mm</v>
          </cell>
          <cell r="Q84" t="str">
            <v>[rad]</v>
          </cell>
          <cell r="R84" t="str">
            <v>[gradi]</v>
          </cell>
          <cell r="T84" t="str">
            <v>[gradi]</v>
          </cell>
          <cell r="U84" t="str">
            <v>[gradi]</v>
          </cell>
          <cell r="V84" t="str">
            <v>KN</v>
          </cell>
          <cell r="W84" t="str">
            <v>KN</v>
          </cell>
          <cell r="X84" t="str">
            <v>KN</v>
          </cell>
        </row>
        <row r="85">
          <cell r="P85">
            <v>200</v>
          </cell>
          <cell r="Q85">
            <v>0.28142992578748771</v>
          </cell>
          <cell r="R85">
            <v>16.124746976303015</v>
          </cell>
          <cell r="T85">
            <v>21.2</v>
          </cell>
          <cell r="U85">
            <v>0.37000980142279788</v>
          </cell>
          <cell r="V85">
            <v>214.50318111968514</v>
          </cell>
          <cell r="W85">
            <v>214.50318111968517</v>
          </cell>
          <cell r="X85">
            <v>214.50318111968514</v>
          </cell>
        </row>
        <row r="86">
          <cell r="P86">
            <v>200</v>
          </cell>
          <cell r="Q86">
            <v>0.28142992578748771</v>
          </cell>
          <cell r="R86">
            <v>16.124746976303015</v>
          </cell>
          <cell r="T86">
            <v>21.2</v>
          </cell>
          <cell r="U86">
            <v>0.37000980142279788</v>
          </cell>
          <cell r="V86">
            <v>214.50318111968514</v>
          </cell>
          <cell r="W86">
            <v>214.50318111968517</v>
          </cell>
          <cell r="X86">
            <v>214.50318111968514</v>
          </cell>
        </row>
        <row r="87">
          <cell r="P87">
            <v>200</v>
          </cell>
          <cell r="Q87">
            <v>0.28142992578748771</v>
          </cell>
          <cell r="R87">
            <v>16.124746976303015</v>
          </cell>
          <cell r="T87">
            <v>21.2</v>
          </cell>
          <cell r="U87">
            <v>0.37000980142279788</v>
          </cell>
          <cell r="V87">
            <v>214.50318111968514</v>
          </cell>
          <cell r="W87">
            <v>214.50318111968517</v>
          </cell>
          <cell r="X87">
            <v>214.50318111968514</v>
          </cell>
        </row>
        <row r="88">
          <cell r="P88">
            <v>200</v>
          </cell>
          <cell r="Q88">
            <v>0.28142992578748771</v>
          </cell>
          <cell r="R88">
            <v>16.124746976303015</v>
          </cell>
          <cell r="T88">
            <v>21.2</v>
          </cell>
          <cell r="U88">
            <v>0.37000980142279788</v>
          </cell>
          <cell r="V88">
            <v>214.50318111968514</v>
          </cell>
          <cell r="W88">
            <v>214.50318111968517</v>
          </cell>
          <cell r="X88">
            <v>214.50318111968514</v>
          </cell>
        </row>
        <row r="89">
          <cell r="P89">
            <v>200</v>
          </cell>
          <cell r="Q89">
            <v>0.28142992578748771</v>
          </cell>
          <cell r="R89">
            <v>16.124746976303015</v>
          </cell>
          <cell r="T89">
            <v>21.2</v>
          </cell>
          <cell r="U89">
            <v>0.37000980142279788</v>
          </cell>
          <cell r="V89">
            <v>214.50318111968514</v>
          </cell>
          <cell r="W89">
            <v>214.50318111968517</v>
          </cell>
          <cell r="X89">
            <v>214.50318111968514</v>
          </cell>
        </row>
        <row r="90">
          <cell r="P90">
            <v>200</v>
          </cell>
          <cell r="Q90">
            <v>0.28142992578748771</v>
          </cell>
          <cell r="R90">
            <v>16.124746976303015</v>
          </cell>
          <cell r="T90">
            <v>21.2</v>
          </cell>
          <cell r="U90">
            <v>0.37000980142279788</v>
          </cell>
          <cell r="V90">
            <v>214.50318111968514</v>
          </cell>
          <cell r="W90">
            <v>214.50318111968517</v>
          </cell>
          <cell r="X90">
            <v>214.50318111968514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5B5A-6E38-450C-9B21-A7815FA94DC9}">
  <sheetPr codeName="Foglio1"/>
  <dimension ref="A1:AE42"/>
  <sheetViews>
    <sheetView topLeftCell="A37" zoomScale="55" zoomScaleNormal="55" workbookViewId="0">
      <selection activeCell="J77" sqref="J77"/>
    </sheetView>
  </sheetViews>
  <sheetFormatPr defaultRowHeight="15" x14ac:dyDescent="0.25"/>
  <cols>
    <col min="1" max="2" width="9.140625" style="1"/>
    <col min="4" max="11" width="9.140625" style="1"/>
    <col min="14" max="14" width="10.42578125" customWidth="1"/>
    <col min="15" max="15" width="13.28515625" customWidth="1"/>
    <col min="25" max="25" width="9.42578125" customWidth="1"/>
    <col min="26" max="26" width="13.5703125" customWidth="1"/>
    <col min="27" max="27" width="14.28515625" customWidth="1"/>
    <col min="30" max="30" width="11" customWidth="1"/>
  </cols>
  <sheetData>
    <row r="1" spans="1:31" x14ac:dyDescent="0.25">
      <c r="B1" s="16" t="s">
        <v>29</v>
      </c>
      <c r="C1" s="16"/>
      <c r="P1" s="16" t="s">
        <v>30</v>
      </c>
      <c r="Q1" s="16"/>
      <c r="R1" s="16"/>
      <c r="AA1" s="1"/>
    </row>
    <row r="2" spans="1:31" x14ac:dyDescent="0.25">
      <c r="B2" s="13" t="s">
        <v>2</v>
      </c>
      <c r="C2" s="1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M2" s="62"/>
      <c r="N2" s="5" t="s">
        <v>31</v>
      </c>
      <c r="O2" s="5" t="s">
        <v>32</v>
      </c>
      <c r="P2" s="13" t="s">
        <v>2</v>
      </c>
      <c r="Q2" s="1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X2" s="62"/>
      <c r="Y2" s="5" t="s">
        <v>31</v>
      </c>
      <c r="Z2" s="5" t="s">
        <v>32</v>
      </c>
    </row>
    <row r="3" spans="1:31" x14ac:dyDescent="0.25">
      <c r="B3" s="14" t="s">
        <v>7</v>
      </c>
      <c r="C3" s="14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M3" s="62"/>
      <c r="N3" s="9" t="s">
        <v>9</v>
      </c>
      <c r="O3" s="8" t="s">
        <v>28</v>
      </c>
      <c r="P3" s="14" t="s">
        <v>7</v>
      </c>
      <c r="Q3" s="14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X3" s="62"/>
      <c r="Y3" s="9" t="s">
        <v>9</v>
      </c>
      <c r="Z3" s="8" t="s">
        <v>28</v>
      </c>
      <c r="AC3" s="74" t="s">
        <v>20</v>
      </c>
      <c r="AD3" s="74">
        <v>500</v>
      </c>
      <c r="AE3" s="74" t="s">
        <v>22</v>
      </c>
    </row>
    <row r="4" spans="1:31" x14ac:dyDescent="0.25">
      <c r="A4" s="55" t="s">
        <v>16</v>
      </c>
      <c r="B4" s="1">
        <v>0</v>
      </c>
      <c r="C4" s="74">
        <v>24.2044</v>
      </c>
      <c r="D4" s="7">
        <v>500</v>
      </c>
      <c r="E4" s="61">
        <v>220</v>
      </c>
      <c r="F4" s="7">
        <f>E4-40</f>
        <v>180</v>
      </c>
      <c r="G4" s="7">
        <f>ABS(C4)*1000^2/(0.9*391*F4)</f>
        <v>382.12244640207126</v>
      </c>
      <c r="H4" s="61">
        <v>12</v>
      </c>
      <c r="I4" s="61">
        <v>3</v>
      </c>
      <c r="J4" s="61">
        <v>12</v>
      </c>
      <c r="K4" s="61">
        <v>3</v>
      </c>
      <c r="L4" s="19">
        <f>PI()*(H4^2/4*I4+J4^2/4*K4)</f>
        <v>678.58401317539528</v>
      </c>
      <c r="M4" s="7" t="str">
        <f>IF(L4&gt;=G4,"OK","NO")</f>
        <v>OK</v>
      </c>
      <c r="N4" s="17">
        <f>(L4*0.9*391*F4)/1000^2</f>
        <v>42.982868562555893</v>
      </c>
      <c r="O4" s="18">
        <f>C4/N4</f>
        <v>0.5631173723264582</v>
      </c>
      <c r="P4" s="1">
        <v>0</v>
      </c>
      <c r="Q4" s="82">
        <v>-31.743099999999998</v>
      </c>
      <c r="R4" s="7">
        <f>ABS(Q4)*1000^2/(0.9*391*E4)</f>
        <v>410.02221705546503</v>
      </c>
      <c r="S4" s="61">
        <v>12</v>
      </c>
      <c r="T4" s="61">
        <v>3</v>
      </c>
      <c r="U4" s="61">
        <v>12</v>
      </c>
      <c r="V4" s="61">
        <v>3</v>
      </c>
      <c r="W4" s="19">
        <f>PI()*(S4^2/4*T4+U4^2/4*V4)</f>
        <v>678.58401317539528</v>
      </c>
      <c r="X4" s="7" t="str">
        <f>IF(W4&gt;=R4,"OK","NO")</f>
        <v>OK</v>
      </c>
      <c r="Y4" s="17">
        <f>-(W4*0.9*391*E4)/1000^2</f>
        <v>-52.534617132012755</v>
      </c>
      <c r="Z4" s="18">
        <f>Q4/Y4</f>
        <v>0.60423206131366025</v>
      </c>
      <c r="AC4" s="74" t="s">
        <v>21</v>
      </c>
      <c r="AD4" s="74">
        <v>220</v>
      </c>
      <c r="AE4" s="74" t="s">
        <v>22</v>
      </c>
    </row>
    <row r="5" spans="1:31" x14ac:dyDescent="0.25">
      <c r="A5" s="55" t="s">
        <v>16</v>
      </c>
      <c r="B5" s="1">
        <v>0.5</v>
      </c>
      <c r="C5" s="74">
        <v>19.852799999999998</v>
      </c>
      <c r="D5" s="7">
        <v>500</v>
      </c>
      <c r="E5" s="61">
        <v>220</v>
      </c>
      <c r="F5" s="7">
        <f t="shared" ref="F5:F42" si="0">E5-40</f>
        <v>180</v>
      </c>
      <c r="G5" s="7">
        <f t="shared" ref="G5:G42" si="1">ABS(C5)*1000^2/(0.9*391*F5)</f>
        <v>313.42237378043001</v>
      </c>
      <c r="H5" s="61">
        <v>12</v>
      </c>
      <c r="I5" s="61">
        <v>3</v>
      </c>
      <c r="J5" s="61">
        <v>12</v>
      </c>
      <c r="K5" s="61">
        <v>3</v>
      </c>
      <c r="L5" s="19">
        <f t="shared" ref="L5:L42" si="2">PI()*(H5^2/4*I5+J5^2/4*K5)</f>
        <v>678.58401317539528</v>
      </c>
      <c r="M5" s="7" t="str">
        <f t="shared" ref="M5:M42" si="3">IF(L5&gt;=G5,"OK","NO")</f>
        <v>OK</v>
      </c>
      <c r="N5" s="17">
        <f t="shared" ref="N5:N42" si="4">(L5*0.9*391*F5)/1000^2</f>
        <v>42.982868562555893</v>
      </c>
      <c r="O5" s="18">
        <f t="shared" ref="O5:O42" si="5">C5/N5</f>
        <v>0.46187703761806564</v>
      </c>
      <c r="P5" s="1">
        <v>0.5</v>
      </c>
      <c r="Q5" s="82">
        <v>-22.4772</v>
      </c>
      <c r="R5" s="7">
        <f t="shared" ref="R5:R42" si="6">ABS(Q5)*1000^2/(0.9*391*E5)</f>
        <v>290.33558087266522</v>
      </c>
      <c r="S5" s="61">
        <v>12</v>
      </c>
      <c r="T5" s="61">
        <v>3</v>
      </c>
      <c r="U5" s="61">
        <v>12</v>
      </c>
      <c r="V5" s="61">
        <v>3</v>
      </c>
      <c r="W5" s="19">
        <f t="shared" ref="W5:W42" si="7">PI()*(S5^2/4*T5+U5^2/4*V5)</f>
        <v>678.58401317539528</v>
      </c>
      <c r="X5" s="7" t="str">
        <f t="shared" ref="X5:X42" si="8">IF(W5&gt;=R5,"OK","NO")</f>
        <v>OK</v>
      </c>
      <c r="Y5" s="17">
        <f t="shared" ref="Y5:Y42" si="9">-(W5*0.9*391*E5)/1000^2</f>
        <v>-52.534617132012755</v>
      </c>
      <c r="Z5" s="18">
        <f t="shared" ref="Z5:Z42" si="10">Q5/Y5</f>
        <v>0.4278550264013094</v>
      </c>
      <c r="AC5" s="74" t="s">
        <v>93</v>
      </c>
      <c r="AD5" s="74">
        <f>450</f>
        <v>450</v>
      </c>
      <c r="AE5" s="74" t="s">
        <v>94</v>
      </c>
    </row>
    <row r="6" spans="1:31" x14ac:dyDescent="0.25">
      <c r="A6" s="55" t="s">
        <v>16</v>
      </c>
      <c r="B6" s="1">
        <v>1</v>
      </c>
      <c r="C6" s="74">
        <v>14.8139</v>
      </c>
      <c r="D6" s="7">
        <v>500</v>
      </c>
      <c r="E6" s="61">
        <v>220</v>
      </c>
      <c r="F6" s="7">
        <f t="shared" si="0"/>
        <v>180</v>
      </c>
      <c r="G6" s="7">
        <f t="shared" si="1"/>
        <v>233.87168071737548</v>
      </c>
      <c r="H6" s="61">
        <v>12</v>
      </c>
      <c r="I6" s="61">
        <v>3</v>
      </c>
      <c r="J6" s="61">
        <v>12</v>
      </c>
      <c r="K6" s="61">
        <v>3</v>
      </c>
      <c r="L6" s="19">
        <f t="shared" si="2"/>
        <v>678.58401317539528</v>
      </c>
      <c r="M6" s="7" t="str">
        <f t="shared" si="3"/>
        <v>OK</v>
      </c>
      <c r="N6" s="17">
        <f t="shared" si="4"/>
        <v>42.982868562555893</v>
      </c>
      <c r="O6" s="18">
        <f t="shared" si="5"/>
        <v>0.34464661143870201</v>
      </c>
      <c r="P6" s="1">
        <v>1</v>
      </c>
      <c r="Q6" s="82">
        <v>-13.8986</v>
      </c>
      <c r="R6" s="7">
        <f t="shared" si="6"/>
        <v>179.52672505102169</v>
      </c>
      <c r="S6" s="61">
        <v>12</v>
      </c>
      <c r="T6" s="61">
        <v>3</v>
      </c>
      <c r="U6" s="61">
        <v>12</v>
      </c>
      <c r="V6" s="61">
        <v>3</v>
      </c>
      <c r="W6" s="19">
        <f t="shared" si="7"/>
        <v>678.58401317539528</v>
      </c>
      <c r="X6" s="7" t="str">
        <f t="shared" si="8"/>
        <v>OK</v>
      </c>
      <c r="Y6" s="17">
        <f t="shared" si="9"/>
        <v>-52.534617132012755</v>
      </c>
      <c r="Z6" s="18">
        <f t="shared" si="10"/>
        <v>0.26456079360157131</v>
      </c>
      <c r="AC6" s="74" t="s">
        <v>95</v>
      </c>
      <c r="AD6" s="74">
        <f>AD5/1.15</f>
        <v>391.304347826087</v>
      </c>
      <c r="AE6" s="74"/>
    </row>
    <row r="7" spans="1:31" x14ac:dyDescent="0.25">
      <c r="A7" s="55" t="s">
        <v>16</v>
      </c>
      <c r="B7" s="1">
        <v>1.5</v>
      </c>
      <c r="C7" s="74">
        <v>9.0876999999999999</v>
      </c>
      <c r="D7" s="7">
        <v>500</v>
      </c>
      <c r="E7" s="61">
        <v>220</v>
      </c>
      <c r="F7" s="7">
        <f t="shared" si="0"/>
        <v>180</v>
      </c>
      <c r="G7" s="7">
        <f t="shared" si="1"/>
        <v>143.47036721290769</v>
      </c>
      <c r="H7" s="61">
        <v>12</v>
      </c>
      <c r="I7" s="61">
        <v>3</v>
      </c>
      <c r="J7" s="61">
        <v>12</v>
      </c>
      <c r="K7" s="61">
        <v>3</v>
      </c>
      <c r="L7" s="19">
        <f t="shared" si="2"/>
        <v>678.58401317539528</v>
      </c>
      <c r="M7" s="7" t="str">
        <f t="shared" si="3"/>
        <v>OK</v>
      </c>
      <c r="N7" s="17">
        <f t="shared" si="4"/>
        <v>42.982868562555893</v>
      </c>
      <c r="O7" s="18">
        <f t="shared" si="5"/>
        <v>0.21142609378836713</v>
      </c>
      <c r="P7" s="1">
        <v>1.5</v>
      </c>
      <c r="Q7" s="82">
        <v>-6.0072999999999999</v>
      </c>
      <c r="R7" s="7">
        <f t="shared" si="6"/>
        <v>77.595649590534492</v>
      </c>
      <c r="S7" s="61">
        <v>12</v>
      </c>
      <c r="T7" s="61">
        <v>3</v>
      </c>
      <c r="U7" s="61">
        <v>12</v>
      </c>
      <c r="V7" s="61">
        <v>3</v>
      </c>
      <c r="W7" s="19">
        <f t="shared" si="7"/>
        <v>678.58401317539528</v>
      </c>
      <c r="X7" s="7" t="str">
        <f t="shared" si="8"/>
        <v>OK</v>
      </c>
      <c r="Y7" s="17">
        <f t="shared" si="9"/>
        <v>-52.534617132012755</v>
      </c>
      <c r="Z7" s="18">
        <f t="shared" si="10"/>
        <v>0.11434936291444601</v>
      </c>
      <c r="AC7" s="74" t="s">
        <v>96</v>
      </c>
      <c r="AD7" s="72">
        <f>1.4/AD5*AD3*AD4</f>
        <v>342.22222222222217</v>
      </c>
      <c r="AE7" s="74" t="s">
        <v>24</v>
      </c>
    </row>
    <row r="8" spans="1:31" x14ac:dyDescent="0.25">
      <c r="A8" s="55" t="s">
        <v>16</v>
      </c>
      <c r="B8" s="1">
        <v>2</v>
      </c>
      <c r="C8" s="74">
        <v>2.6745999999999999</v>
      </c>
      <c r="D8" s="7">
        <v>500</v>
      </c>
      <c r="E8" s="61">
        <v>220</v>
      </c>
      <c r="F8" s="7">
        <f t="shared" si="0"/>
        <v>180</v>
      </c>
      <c r="G8" s="7">
        <f t="shared" si="1"/>
        <v>42.224748192352621</v>
      </c>
      <c r="H8" s="61">
        <v>12</v>
      </c>
      <c r="I8" s="61">
        <v>3</v>
      </c>
      <c r="J8" s="61">
        <v>12</v>
      </c>
      <c r="K8" s="61">
        <v>3</v>
      </c>
      <c r="L8" s="19">
        <f t="shared" si="2"/>
        <v>678.58401317539528</v>
      </c>
      <c r="M8" s="7" t="str">
        <f t="shared" si="3"/>
        <v>OK</v>
      </c>
      <c r="N8" s="17">
        <f t="shared" si="4"/>
        <v>42.982868562555893</v>
      </c>
      <c r="O8" s="18">
        <f t="shared" si="5"/>
        <v>6.2224790700217518E-2</v>
      </c>
      <c r="P8" s="1">
        <v>2</v>
      </c>
      <c r="Q8" s="82">
        <v>1.1961999999999999</v>
      </c>
      <c r="R8" s="7">
        <f t="shared" si="6"/>
        <v>15.451187062440257</v>
      </c>
      <c r="S8" s="61">
        <v>12</v>
      </c>
      <c r="T8" s="61">
        <v>3</v>
      </c>
      <c r="U8" s="61">
        <v>12</v>
      </c>
      <c r="V8" s="61">
        <v>3</v>
      </c>
      <c r="W8" s="19">
        <f t="shared" si="7"/>
        <v>678.58401317539528</v>
      </c>
      <c r="X8" s="7" t="str">
        <f t="shared" si="8"/>
        <v>OK</v>
      </c>
      <c r="Y8" s="17">
        <f t="shared" si="9"/>
        <v>-52.534617132012755</v>
      </c>
      <c r="Z8" s="18">
        <f t="shared" si="10"/>
        <v>-2.2769748126156564E-2</v>
      </c>
      <c r="AC8" s="74" t="s">
        <v>97</v>
      </c>
      <c r="AD8" s="72">
        <f>3.5/AD5*AD3*AD4</f>
        <v>855.55555555555554</v>
      </c>
      <c r="AE8" s="74" t="s">
        <v>24</v>
      </c>
    </row>
    <row r="9" spans="1:31" x14ac:dyDescent="0.25">
      <c r="A9" s="55" t="s">
        <v>16</v>
      </c>
      <c r="B9" s="1">
        <v>2.5</v>
      </c>
      <c r="C9" s="74">
        <v>7.7134999999999998</v>
      </c>
      <c r="D9" s="7">
        <v>500</v>
      </c>
      <c r="E9" s="61">
        <v>220</v>
      </c>
      <c r="F9" s="7">
        <f t="shared" si="0"/>
        <v>180</v>
      </c>
      <c r="G9" s="7">
        <f t="shared" si="1"/>
        <v>121.77544125540715</v>
      </c>
      <c r="H9" s="61">
        <v>12</v>
      </c>
      <c r="I9" s="61">
        <v>3</v>
      </c>
      <c r="J9" s="61">
        <v>12</v>
      </c>
      <c r="K9" s="61">
        <v>3</v>
      </c>
      <c r="L9" s="19">
        <f t="shared" si="2"/>
        <v>678.58401317539528</v>
      </c>
      <c r="M9" s="7" t="str">
        <f t="shared" si="3"/>
        <v>OK</v>
      </c>
      <c r="N9" s="17">
        <f t="shared" si="4"/>
        <v>42.982868562555893</v>
      </c>
      <c r="O9" s="18">
        <f t="shared" si="5"/>
        <v>0.17945521687958119</v>
      </c>
      <c r="P9" s="1">
        <v>2.5</v>
      </c>
      <c r="Q9" s="82">
        <v>-4.4268000000000001</v>
      </c>
      <c r="R9" s="7">
        <f t="shared" si="6"/>
        <v>57.180500658761517</v>
      </c>
      <c r="S9" s="61">
        <v>12</v>
      </c>
      <c r="T9" s="61">
        <v>3</v>
      </c>
      <c r="U9" s="61">
        <v>12</v>
      </c>
      <c r="V9" s="61">
        <v>3</v>
      </c>
      <c r="W9" s="19">
        <f t="shared" si="7"/>
        <v>678.58401317539528</v>
      </c>
      <c r="X9" s="7" t="str">
        <f t="shared" si="8"/>
        <v>OK</v>
      </c>
      <c r="Y9" s="17">
        <f t="shared" si="9"/>
        <v>-52.534617132012755</v>
      </c>
      <c r="Z9" s="18">
        <f t="shared" si="10"/>
        <v>8.4264438225104404E-2</v>
      </c>
      <c r="AC9" s="74" t="s">
        <v>98</v>
      </c>
      <c r="AD9" s="75">
        <f>AD7/(AD4*AD3)</f>
        <v>3.1111111111111105E-3</v>
      </c>
      <c r="AE9" s="74"/>
    </row>
    <row r="10" spans="1:31" x14ac:dyDescent="0.25">
      <c r="A10" s="55" t="s">
        <v>16</v>
      </c>
      <c r="B10" s="1">
        <v>3</v>
      </c>
      <c r="C10" s="74">
        <v>13.542899999999999</v>
      </c>
      <c r="D10" s="7">
        <v>500</v>
      </c>
      <c r="E10" s="61">
        <v>220</v>
      </c>
      <c r="F10" s="7">
        <f t="shared" si="0"/>
        <v>180</v>
      </c>
      <c r="G10" s="7">
        <f t="shared" si="1"/>
        <v>213.806005493985</v>
      </c>
      <c r="H10" s="61">
        <v>12</v>
      </c>
      <c r="I10" s="61">
        <v>3</v>
      </c>
      <c r="J10" s="61">
        <v>12</v>
      </c>
      <c r="K10" s="61">
        <v>3</v>
      </c>
      <c r="L10" s="19">
        <f t="shared" si="2"/>
        <v>678.58401317539528</v>
      </c>
      <c r="M10" s="7" t="str">
        <f t="shared" si="3"/>
        <v>OK</v>
      </c>
      <c r="N10" s="17">
        <f t="shared" si="4"/>
        <v>42.982868562555893</v>
      </c>
      <c r="O10" s="18">
        <f t="shared" si="5"/>
        <v>0.31507669108426523</v>
      </c>
      <c r="P10" s="1">
        <v>3</v>
      </c>
      <c r="Q10" s="82">
        <v>-12.2148</v>
      </c>
      <c r="R10" s="7">
        <f t="shared" si="6"/>
        <v>157.77726110206925</v>
      </c>
      <c r="S10" s="61">
        <v>12</v>
      </c>
      <c r="T10" s="61">
        <v>3</v>
      </c>
      <c r="U10" s="61">
        <v>12</v>
      </c>
      <c r="V10" s="61">
        <v>3</v>
      </c>
      <c r="W10" s="19">
        <f t="shared" si="7"/>
        <v>678.58401317539528</v>
      </c>
      <c r="X10" s="7" t="str">
        <f t="shared" si="8"/>
        <v>OK</v>
      </c>
      <c r="Y10" s="17">
        <f t="shared" si="9"/>
        <v>-52.534617132012755</v>
      </c>
      <c r="Z10" s="18">
        <f t="shared" si="10"/>
        <v>0.23250954640643473</v>
      </c>
      <c r="AC10" s="74" t="s">
        <v>99</v>
      </c>
      <c r="AD10" s="76">
        <f>0.25*AD9</f>
        <v>7.7777777777777763E-4</v>
      </c>
      <c r="AE10" s="74"/>
    </row>
    <row r="11" spans="1:31" x14ac:dyDescent="0.25">
      <c r="A11" s="55" t="s">
        <v>16</v>
      </c>
      <c r="B11" s="1">
        <v>3.5</v>
      </c>
      <c r="C11" s="74">
        <v>18.684999999999999</v>
      </c>
      <c r="D11" s="7">
        <v>500</v>
      </c>
      <c r="E11" s="61">
        <v>220</v>
      </c>
      <c r="F11" s="7">
        <f t="shared" si="0"/>
        <v>180</v>
      </c>
      <c r="G11" s="7">
        <f t="shared" si="1"/>
        <v>294.98594929114961</v>
      </c>
      <c r="H11" s="61">
        <v>12</v>
      </c>
      <c r="I11" s="61">
        <v>3</v>
      </c>
      <c r="J11" s="61">
        <v>12</v>
      </c>
      <c r="K11" s="61">
        <v>3</v>
      </c>
      <c r="L11" s="19">
        <f t="shared" si="2"/>
        <v>678.58401317539528</v>
      </c>
      <c r="M11" s="7" t="str">
        <f t="shared" si="3"/>
        <v>OK</v>
      </c>
      <c r="N11" s="17">
        <f t="shared" si="4"/>
        <v>42.982868562555893</v>
      </c>
      <c r="O11" s="18">
        <f t="shared" si="5"/>
        <v>0.4347080738179781</v>
      </c>
      <c r="P11" s="1">
        <v>3.5</v>
      </c>
      <c r="Q11" s="82">
        <v>-20.690200000000001</v>
      </c>
      <c r="R11" s="7">
        <f t="shared" si="6"/>
        <v>267.25309359580456</v>
      </c>
      <c r="S11" s="61">
        <v>12</v>
      </c>
      <c r="T11" s="61">
        <v>3</v>
      </c>
      <c r="U11" s="61">
        <v>12</v>
      </c>
      <c r="V11" s="61">
        <v>3</v>
      </c>
      <c r="W11" s="19">
        <f t="shared" si="7"/>
        <v>678.58401317539528</v>
      </c>
      <c r="X11" s="7" t="str">
        <f t="shared" si="8"/>
        <v>OK</v>
      </c>
      <c r="Y11" s="17">
        <f t="shared" si="9"/>
        <v>-52.534617132012755</v>
      </c>
      <c r="Z11" s="18">
        <f t="shared" si="10"/>
        <v>0.39383936020715982</v>
      </c>
      <c r="AC11" s="74" t="s">
        <v>99</v>
      </c>
      <c r="AD11" s="76">
        <f>0.5*AD9</f>
        <v>1.5555555555555553E-3</v>
      </c>
      <c r="AE11" s="77" t="s">
        <v>100</v>
      </c>
    </row>
    <row r="12" spans="1:31" x14ac:dyDescent="0.25">
      <c r="A12" s="55" t="s">
        <v>16</v>
      </c>
      <c r="B12" s="1">
        <v>4</v>
      </c>
      <c r="C12" s="74">
        <v>23.139800000000001</v>
      </c>
      <c r="D12" s="7">
        <v>500</v>
      </c>
      <c r="E12" s="61">
        <v>220</v>
      </c>
      <c r="F12" s="7">
        <f t="shared" si="0"/>
        <v>180</v>
      </c>
      <c r="G12" s="7">
        <f t="shared" si="1"/>
        <v>365.31527264690089</v>
      </c>
      <c r="H12" s="61">
        <v>12</v>
      </c>
      <c r="I12" s="61">
        <v>3</v>
      </c>
      <c r="J12" s="61">
        <v>12</v>
      </c>
      <c r="K12" s="61">
        <v>3</v>
      </c>
      <c r="L12" s="19">
        <f t="shared" si="2"/>
        <v>678.58401317539528</v>
      </c>
      <c r="M12" s="7" t="str">
        <f t="shared" si="3"/>
        <v>OK</v>
      </c>
      <c r="N12" s="17">
        <f t="shared" si="4"/>
        <v>42.982868562555893</v>
      </c>
      <c r="O12" s="18">
        <f t="shared" si="5"/>
        <v>0.53834936508071995</v>
      </c>
      <c r="P12" s="1">
        <v>4</v>
      </c>
      <c r="Q12" s="82">
        <v>-29.852900000000002</v>
      </c>
      <c r="R12" s="7">
        <f t="shared" si="6"/>
        <v>385.60670645069615</v>
      </c>
      <c r="S12" s="61">
        <v>12</v>
      </c>
      <c r="T12" s="61">
        <v>3</v>
      </c>
      <c r="U12" s="61">
        <v>12</v>
      </c>
      <c r="V12" s="61">
        <v>3</v>
      </c>
      <c r="W12" s="19">
        <f t="shared" si="7"/>
        <v>678.58401317539528</v>
      </c>
      <c r="X12" s="7" t="str">
        <f t="shared" si="8"/>
        <v>OK</v>
      </c>
      <c r="Y12" s="17">
        <f t="shared" si="9"/>
        <v>-52.534617132012755</v>
      </c>
      <c r="Z12" s="18">
        <f t="shared" si="10"/>
        <v>0.56825197612049771</v>
      </c>
    </row>
    <row r="13" spans="1:31" x14ac:dyDescent="0.25">
      <c r="A13" s="55" t="s">
        <v>17</v>
      </c>
      <c r="B13" s="1">
        <v>4</v>
      </c>
      <c r="C13" s="74">
        <v>21.755600000000001</v>
      </c>
      <c r="D13" s="7">
        <v>500</v>
      </c>
      <c r="E13" s="61">
        <v>220</v>
      </c>
      <c r="F13" s="7">
        <f t="shared" si="0"/>
        <v>180</v>
      </c>
      <c r="G13" s="7">
        <f t="shared" si="1"/>
        <v>343.46247355625013</v>
      </c>
      <c r="H13" s="61">
        <v>12</v>
      </c>
      <c r="I13" s="61">
        <v>3</v>
      </c>
      <c r="J13" s="61">
        <v>12</v>
      </c>
      <c r="K13" s="61">
        <v>3</v>
      </c>
      <c r="L13" s="19">
        <f t="shared" si="2"/>
        <v>678.58401317539528</v>
      </c>
      <c r="M13" s="7" t="str">
        <f t="shared" si="3"/>
        <v>OK</v>
      </c>
      <c r="N13" s="17">
        <f t="shared" si="4"/>
        <v>42.982868562555893</v>
      </c>
      <c r="O13" s="18">
        <f t="shared" si="5"/>
        <v>0.5061458373430241</v>
      </c>
      <c r="P13" s="1">
        <v>4</v>
      </c>
      <c r="Q13" s="82">
        <v>-29.339600000000001</v>
      </c>
      <c r="R13" s="7">
        <f t="shared" si="6"/>
        <v>378.97646542147811</v>
      </c>
      <c r="S13" s="61">
        <v>12</v>
      </c>
      <c r="T13" s="61">
        <v>3</v>
      </c>
      <c r="U13" s="61">
        <v>12</v>
      </c>
      <c r="V13" s="61">
        <v>3</v>
      </c>
      <c r="W13" s="19">
        <f t="shared" si="7"/>
        <v>678.58401317539528</v>
      </c>
      <c r="X13" s="7" t="str">
        <f t="shared" si="8"/>
        <v>OK</v>
      </c>
      <c r="Y13" s="17">
        <f t="shared" si="9"/>
        <v>-52.534617132012755</v>
      </c>
      <c r="Z13" s="18">
        <f t="shared" si="10"/>
        <v>0.55848127580854634</v>
      </c>
    </row>
    <row r="14" spans="1:31" x14ac:dyDescent="0.25">
      <c r="A14" s="55" t="s">
        <v>17</v>
      </c>
      <c r="B14" s="1">
        <v>4.5</v>
      </c>
      <c r="C14" s="74">
        <v>17.7332</v>
      </c>
      <c r="D14" s="7">
        <v>500</v>
      </c>
      <c r="E14" s="61">
        <v>220</v>
      </c>
      <c r="F14" s="7">
        <f t="shared" si="0"/>
        <v>180</v>
      </c>
      <c r="G14" s="7">
        <f t="shared" si="1"/>
        <v>279.95958447791349</v>
      </c>
      <c r="H14" s="61">
        <v>12</v>
      </c>
      <c r="I14" s="61">
        <v>3</v>
      </c>
      <c r="J14" s="61">
        <v>12</v>
      </c>
      <c r="K14" s="61">
        <v>3</v>
      </c>
      <c r="L14" s="19">
        <f t="shared" si="2"/>
        <v>678.58401317539528</v>
      </c>
      <c r="M14" s="7" t="str">
        <f t="shared" si="3"/>
        <v>OK</v>
      </c>
      <c r="N14" s="17">
        <f t="shared" si="4"/>
        <v>42.982868562555893</v>
      </c>
      <c r="O14" s="18">
        <f t="shared" si="5"/>
        <v>0.41256436792234252</v>
      </c>
      <c r="P14" s="1">
        <v>4.5</v>
      </c>
      <c r="Q14" s="82">
        <v>-20.484500000000001</v>
      </c>
      <c r="R14" s="7">
        <f t="shared" si="6"/>
        <v>264.59608876488664</v>
      </c>
      <c r="S14" s="61">
        <v>12</v>
      </c>
      <c r="T14" s="61">
        <v>3</v>
      </c>
      <c r="U14" s="61">
        <v>12</v>
      </c>
      <c r="V14" s="61">
        <v>3</v>
      </c>
      <c r="W14" s="19">
        <f t="shared" si="7"/>
        <v>678.58401317539528</v>
      </c>
      <c r="X14" s="7" t="str">
        <f t="shared" si="8"/>
        <v>OK</v>
      </c>
      <c r="Y14" s="17">
        <f t="shared" si="9"/>
        <v>-52.534617132012755</v>
      </c>
      <c r="Z14" s="18">
        <f t="shared" si="10"/>
        <v>0.38992384675660774</v>
      </c>
    </row>
    <row r="15" spans="1:31" x14ac:dyDescent="0.25">
      <c r="A15" s="55" t="s">
        <v>17</v>
      </c>
      <c r="B15" s="1">
        <v>5</v>
      </c>
      <c r="C15" s="74">
        <v>13.0235</v>
      </c>
      <c r="D15" s="7">
        <v>500</v>
      </c>
      <c r="E15" s="61">
        <v>220</v>
      </c>
      <c r="F15" s="7">
        <f t="shared" si="0"/>
        <v>180</v>
      </c>
      <c r="G15" s="7">
        <f t="shared" si="1"/>
        <v>205.60607495816359</v>
      </c>
      <c r="H15" s="61">
        <v>12</v>
      </c>
      <c r="I15" s="61">
        <v>3</v>
      </c>
      <c r="J15" s="61">
        <v>12</v>
      </c>
      <c r="K15" s="61">
        <v>3</v>
      </c>
      <c r="L15" s="19">
        <f t="shared" si="2"/>
        <v>678.58401317539528</v>
      </c>
      <c r="M15" s="7" t="str">
        <f t="shared" si="3"/>
        <v>OK</v>
      </c>
      <c r="N15" s="17">
        <f t="shared" si="4"/>
        <v>42.982868562555893</v>
      </c>
      <c r="O15" s="18">
        <f t="shared" si="5"/>
        <v>0.30299280703068981</v>
      </c>
      <c r="P15" s="1">
        <v>5</v>
      </c>
      <c r="Q15" s="82">
        <v>-12.316700000000001</v>
      </c>
      <c r="R15" s="7">
        <f t="shared" si="6"/>
        <v>159.09349246945152</v>
      </c>
      <c r="S15" s="61">
        <v>12</v>
      </c>
      <c r="T15" s="61">
        <v>3</v>
      </c>
      <c r="U15" s="61">
        <v>12</v>
      </c>
      <c r="V15" s="61">
        <v>3</v>
      </c>
      <c r="W15" s="19">
        <f t="shared" si="7"/>
        <v>678.58401317539528</v>
      </c>
      <c r="X15" s="7" t="str">
        <f t="shared" si="8"/>
        <v>OK</v>
      </c>
      <c r="Y15" s="17">
        <f t="shared" si="9"/>
        <v>-52.534617132012755</v>
      </c>
      <c r="Z15" s="18">
        <f t="shared" si="10"/>
        <v>0.23444921981728187</v>
      </c>
    </row>
    <row r="16" spans="1:31" x14ac:dyDescent="0.25">
      <c r="A16" s="55" t="s">
        <v>17</v>
      </c>
      <c r="B16" s="1">
        <v>5.5</v>
      </c>
      <c r="C16" s="74">
        <v>7.6265000000000001</v>
      </c>
      <c r="D16" s="7">
        <v>500</v>
      </c>
      <c r="E16" s="61">
        <v>220</v>
      </c>
      <c r="F16" s="7">
        <f t="shared" si="0"/>
        <v>180</v>
      </c>
      <c r="G16" s="7">
        <f t="shared" si="1"/>
        <v>120.4019449970004</v>
      </c>
      <c r="H16" s="61">
        <v>12</v>
      </c>
      <c r="I16" s="61">
        <v>3</v>
      </c>
      <c r="J16" s="61">
        <v>12</v>
      </c>
      <c r="K16" s="61">
        <v>3</v>
      </c>
      <c r="L16" s="19">
        <f t="shared" si="2"/>
        <v>678.58401317539528</v>
      </c>
      <c r="M16" s="7" t="str">
        <f t="shared" si="3"/>
        <v>OK</v>
      </c>
      <c r="N16" s="17">
        <f t="shared" si="4"/>
        <v>42.982868562555893</v>
      </c>
      <c r="O16" s="18">
        <f t="shared" si="5"/>
        <v>0.17743115466806586</v>
      </c>
      <c r="P16" s="1">
        <v>5.5</v>
      </c>
      <c r="Q16" s="82">
        <v>-4.8361999999999998</v>
      </c>
      <c r="R16" s="7">
        <f t="shared" si="6"/>
        <v>62.46867653517269</v>
      </c>
      <c r="S16" s="61">
        <v>12</v>
      </c>
      <c r="T16" s="61">
        <v>3</v>
      </c>
      <c r="U16" s="61">
        <v>12</v>
      </c>
      <c r="V16" s="61">
        <v>3</v>
      </c>
      <c r="W16" s="19">
        <f t="shared" si="7"/>
        <v>678.58401317539528</v>
      </c>
      <c r="X16" s="7" t="str">
        <f t="shared" si="8"/>
        <v>OK</v>
      </c>
      <c r="Y16" s="17">
        <f t="shared" si="9"/>
        <v>-52.534617132012755</v>
      </c>
      <c r="Z16" s="18">
        <f t="shared" si="10"/>
        <v>9.2057394990568781E-2</v>
      </c>
    </row>
    <row r="17" spans="1:26" x14ac:dyDescent="0.25">
      <c r="A17" s="55" t="s">
        <v>17</v>
      </c>
      <c r="B17" s="1">
        <v>6</v>
      </c>
      <c r="C17" s="74">
        <v>1.9572000000000001</v>
      </c>
      <c r="D17" s="7">
        <v>500</v>
      </c>
      <c r="E17" s="61">
        <v>220</v>
      </c>
      <c r="F17" s="7">
        <f t="shared" si="0"/>
        <v>180</v>
      </c>
      <c r="G17" s="7">
        <f t="shared" si="1"/>
        <v>30.898929620157237</v>
      </c>
      <c r="H17" s="61">
        <v>12</v>
      </c>
      <c r="I17" s="61">
        <v>3</v>
      </c>
      <c r="J17" s="61">
        <v>12</v>
      </c>
      <c r="K17" s="61">
        <v>3</v>
      </c>
      <c r="L17" s="19">
        <f t="shared" si="2"/>
        <v>678.58401317539528</v>
      </c>
      <c r="M17" s="7" t="str">
        <f t="shared" si="3"/>
        <v>OK</v>
      </c>
      <c r="N17" s="17">
        <f t="shared" si="4"/>
        <v>42.982868562555893</v>
      </c>
      <c r="O17" s="18">
        <f t="shared" si="5"/>
        <v>4.5534420234227824E-2</v>
      </c>
      <c r="P17" s="1">
        <v>6</v>
      </c>
      <c r="Q17" s="82">
        <v>1.5419</v>
      </c>
      <c r="R17" s="7">
        <f t="shared" si="6"/>
        <v>19.916556873078608</v>
      </c>
      <c r="S17" s="61">
        <v>12</v>
      </c>
      <c r="T17" s="61">
        <v>3</v>
      </c>
      <c r="U17" s="61">
        <v>12</v>
      </c>
      <c r="V17" s="61">
        <v>3</v>
      </c>
      <c r="W17" s="19">
        <f t="shared" si="7"/>
        <v>678.58401317539528</v>
      </c>
      <c r="X17" s="7" t="str">
        <f t="shared" si="8"/>
        <v>OK</v>
      </c>
      <c r="Y17" s="17">
        <f t="shared" si="9"/>
        <v>-52.534617132012755</v>
      </c>
      <c r="Z17" s="18">
        <f t="shared" si="10"/>
        <v>-2.9350171071493736E-2</v>
      </c>
    </row>
    <row r="18" spans="1:26" x14ac:dyDescent="0.25">
      <c r="A18" s="55" t="s">
        <v>17</v>
      </c>
      <c r="B18" s="1">
        <v>6.5</v>
      </c>
      <c r="C18" s="74">
        <v>8.0629000000000008</v>
      </c>
      <c r="D18" s="7">
        <v>500</v>
      </c>
      <c r="E18" s="61">
        <v>220</v>
      </c>
      <c r="F18" s="7">
        <f t="shared" si="0"/>
        <v>180</v>
      </c>
      <c r="G18" s="7">
        <f t="shared" si="1"/>
        <v>127.29152852767515</v>
      </c>
      <c r="H18" s="61">
        <v>12</v>
      </c>
      <c r="I18" s="61">
        <v>3</v>
      </c>
      <c r="J18" s="61">
        <v>12</v>
      </c>
      <c r="K18" s="61">
        <v>3</v>
      </c>
      <c r="L18" s="19">
        <f t="shared" si="2"/>
        <v>678.58401317539528</v>
      </c>
      <c r="M18" s="7" t="str">
        <f t="shared" si="3"/>
        <v>OK</v>
      </c>
      <c r="N18" s="17">
        <f t="shared" si="4"/>
        <v>42.982868562555893</v>
      </c>
      <c r="O18" s="18">
        <f t="shared" si="5"/>
        <v>0.18758403684168995</v>
      </c>
      <c r="P18" s="1">
        <v>6.5</v>
      </c>
      <c r="Q18" s="82">
        <v>-5.2294</v>
      </c>
      <c r="R18" s="7">
        <f t="shared" si="6"/>
        <v>67.547598749644777</v>
      </c>
      <c r="S18" s="61">
        <v>12</v>
      </c>
      <c r="T18" s="61">
        <v>3</v>
      </c>
      <c r="U18" s="61">
        <v>12</v>
      </c>
      <c r="V18" s="61">
        <v>3</v>
      </c>
      <c r="W18" s="19">
        <f t="shared" si="7"/>
        <v>678.58401317539528</v>
      </c>
      <c r="X18" s="7" t="str">
        <f t="shared" si="8"/>
        <v>OK</v>
      </c>
      <c r="Y18" s="17">
        <f t="shared" si="9"/>
        <v>-52.534617132012755</v>
      </c>
      <c r="Z18" s="18">
        <f t="shared" si="10"/>
        <v>9.9541983657350896E-2</v>
      </c>
    </row>
    <row r="19" spans="1:26" x14ac:dyDescent="0.25">
      <c r="A19" s="55" t="s">
        <v>17</v>
      </c>
      <c r="B19" s="1">
        <v>7</v>
      </c>
      <c r="C19" s="74">
        <v>13.4815</v>
      </c>
      <c r="D19" s="7">
        <v>500</v>
      </c>
      <c r="E19" s="61">
        <v>220</v>
      </c>
      <c r="F19" s="7">
        <f t="shared" si="0"/>
        <v>180</v>
      </c>
      <c r="G19" s="7">
        <f t="shared" si="1"/>
        <v>212.83666445644278</v>
      </c>
      <c r="H19" s="61">
        <v>12</v>
      </c>
      <c r="I19" s="61">
        <v>3</v>
      </c>
      <c r="J19" s="61">
        <v>12</v>
      </c>
      <c r="K19" s="61">
        <v>3</v>
      </c>
      <c r="L19" s="19">
        <f t="shared" si="2"/>
        <v>678.58401317539528</v>
      </c>
      <c r="M19" s="7" t="str">
        <f t="shared" si="3"/>
        <v>OK</v>
      </c>
      <c r="N19" s="17">
        <f t="shared" si="4"/>
        <v>42.982868562555893</v>
      </c>
      <c r="O19" s="18">
        <f t="shared" si="5"/>
        <v>0.31364821499475903</v>
      </c>
      <c r="P19" s="1">
        <v>7</v>
      </c>
      <c r="Q19" s="82">
        <v>-12.6883</v>
      </c>
      <c r="R19" s="7">
        <f t="shared" si="6"/>
        <v>163.89340980133815</v>
      </c>
      <c r="S19" s="61">
        <v>12</v>
      </c>
      <c r="T19" s="61">
        <v>3</v>
      </c>
      <c r="U19" s="61">
        <v>12</v>
      </c>
      <c r="V19" s="61">
        <v>3</v>
      </c>
      <c r="W19" s="19">
        <f t="shared" si="7"/>
        <v>678.58401317539528</v>
      </c>
      <c r="X19" s="7" t="str">
        <f t="shared" si="8"/>
        <v>OK</v>
      </c>
      <c r="Y19" s="17">
        <f t="shared" si="9"/>
        <v>-52.534617132012755</v>
      </c>
      <c r="Z19" s="18">
        <f t="shared" si="10"/>
        <v>0.24152265101915427</v>
      </c>
    </row>
    <row r="20" spans="1:26" x14ac:dyDescent="0.25">
      <c r="A20" s="55" t="s">
        <v>17</v>
      </c>
      <c r="B20" s="1">
        <v>7.5</v>
      </c>
      <c r="C20" s="74">
        <v>18.212800000000001</v>
      </c>
      <c r="D20" s="7">
        <v>500</v>
      </c>
      <c r="E20" s="61">
        <v>220</v>
      </c>
      <c r="F20" s="7">
        <f t="shared" si="0"/>
        <v>180</v>
      </c>
      <c r="G20" s="7">
        <f t="shared" si="1"/>
        <v>287.53117994379716</v>
      </c>
      <c r="H20" s="61">
        <v>12</v>
      </c>
      <c r="I20" s="61">
        <v>3</v>
      </c>
      <c r="J20" s="61">
        <v>12</v>
      </c>
      <c r="K20" s="61">
        <v>3</v>
      </c>
      <c r="L20" s="19">
        <f t="shared" si="2"/>
        <v>678.58401317539528</v>
      </c>
      <c r="M20" s="7" t="str">
        <f t="shared" si="3"/>
        <v>OK</v>
      </c>
      <c r="N20" s="17">
        <f t="shared" si="4"/>
        <v>42.982868562555893</v>
      </c>
      <c r="O20" s="18">
        <f t="shared" si="5"/>
        <v>0.42372230167685698</v>
      </c>
      <c r="P20" s="1">
        <v>7.5</v>
      </c>
      <c r="Q20" s="82">
        <v>-20.834499999999998</v>
      </c>
      <c r="R20" s="7">
        <f t="shared" si="6"/>
        <v>269.11700121418784</v>
      </c>
      <c r="S20" s="61">
        <v>12</v>
      </c>
      <c r="T20" s="61">
        <v>3</v>
      </c>
      <c r="U20" s="61">
        <v>12</v>
      </c>
      <c r="V20" s="61">
        <v>3</v>
      </c>
      <c r="W20" s="19">
        <f t="shared" si="7"/>
        <v>678.58401317539528</v>
      </c>
      <c r="X20" s="7" t="str">
        <f t="shared" si="8"/>
        <v>OK</v>
      </c>
      <c r="Y20" s="17">
        <f t="shared" si="9"/>
        <v>-52.534617132012755</v>
      </c>
      <c r="Z20" s="18">
        <f t="shared" si="10"/>
        <v>0.39658612049357039</v>
      </c>
    </row>
    <row r="21" spans="1:26" x14ac:dyDescent="0.25">
      <c r="A21" s="55" t="s">
        <v>17</v>
      </c>
      <c r="B21" s="1">
        <v>8</v>
      </c>
      <c r="C21" s="74">
        <v>22.256799999999998</v>
      </c>
      <c r="D21" s="7">
        <v>500</v>
      </c>
      <c r="E21" s="61">
        <v>220</v>
      </c>
      <c r="F21" s="7">
        <f t="shared" si="0"/>
        <v>180</v>
      </c>
      <c r="G21" s="7">
        <f t="shared" si="1"/>
        <v>351.37507498973821</v>
      </c>
      <c r="H21" s="61">
        <v>12</v>
      </c>
      <c r="I21" s="61">
        <v>3</v>
      </c>
      <c r="J21" s="61">
        <v>12</v>
      </c>
      <c r="K21" s="61">
        <v>3</v>
      </c>
      <c r="L21" s="19">
        <f t="shared" si="2"/>
        <v>678.58401317539528</v>
      </c>
      <c r="M21" s="7" t="str">
        <f t="shared" si="3"/>
        <v>OK</v>
      </c>
      <c r="N21" s="17">
        <f t="shared" si="4"/>
        <v>42.982868562555893</v>
      </c>
      <c r="O21" s="18">
        <f t="shared" si="5"/>
        <v>0.51780629688798374</v>
      </c>
      <c r="P21" s="1">
        <v>8</v>
      </c>
      <c r="Q21" s="82">
        <v>-29.667999999999999</v>
      </c>
      <c r="R21" s="7">
        <f t="shared" si="6"/>
        <v>383.21837298819389</v>
      </c>
      <c r="S21" s="61">
        <v>12</v>
      </c>
      <c r="T21" s="61">
        <v>3</v>
      </c>
      <c r="U21" s="61">
        <v>12</v>
      </c>
      <c r="V21" s="61">
        <v>3</v>
      </c>
      <c r="W21" s="19">
        <f t="shared" si="7"/>
        <v>678.58401317539528</v>
      </c>
      <c r="X21" s="7" t="str">
        <f t="shared" si="8"/>
        <v>OK</v>
      </c>
      <c r="Y21" s="17">
        <f t="shared" si="9"/>
        <v>-52.534617132012755</v>
      </c>
      <c r="Z21" s="18">
        <f t="shared" si="10"/>
        <v>0.56473239208059933</v>
      </c>
    </row>
    <row r="22" spans="1:26" x14ac:dyDescent="0.25">
      <c r="A22" s="55" t="s">
        <v>18</v>
      </c>
      <c r="B22" s="1">
        <v>8</v>
      </c>
      <c r="C22" s="74">
        <v>12.5067</v>
      </c>
      <c r="D22" s="7">
        <v>500</v>
      </c>
      <c r="E22" s="61">
        <v>220</v>
      </c>
      <c r="F22" s="7">
        <f t="shared" si="0"/>
        <v>180</v>
      </c>
      <c r="G22" s="7">
        <f t="shared" si="1"/>
        <v>197.44719143696125</v>
      </c>
      <c r="H22" s="61">
        <v>12</v>
      </c>
      <c r="I22" s="61">
        <v>3</v>
      </c>
      <c r="J22" s="61">
        <v>12</v>
      </c>
      <c r="K22" s="61">
        <v>3</v>
      </c>
      <c r="L22" s="19">
        <f t="shared" si="2"/>
        <v>678.58401317539528</v>
      </c>
      <c r="M22" s="7" t="str">
        <f t="shared" si="3"/>
        <v>OK</v>
      </c>
      <c r="N22" s="17">
        <f t="shared" si="4"/>
        <v>42.982868562555893</v>
      </c>
      <c r="O22" s="18">
        <f t="shared" si="5"/>
        <v>0.29096941219263084</v>
      </c>
      <c r="P22" s="1">
        <v>8</v>
      </c>
      <c r="Q22" s="82">
        <v>-26.114699999999999</v>
      </c>
      <c r="R22" s="7">
        <f t="shared" si="6"/>
        <v>337.32077811361694</v>
      </c>
      <c r="S22" s="61">
        <v>12</v>
      </c>
      <c r="T22" s="61">
        <v>3</v>
      </c>
      <c r="U22" s="61">
        <v>12</v>
      </c>
      <c r="V22" s="61">
        <v>3</v>
      </c>
      <c r="W22" s="19">
        <f t="shared" si="7"/>
        <v>678.58401317539528</v>
      </c>
      <c r="X22" s="7" t="str">
        <f t="shared" si="8"/>
        <v>OK</v>
      </c>
      <c r="Y22" s="17">
        <f t="shared" si="9"/>
        <v>-52.534617132012755</v>
      </c>
      <c r="Z22" s="18">
        <f t="shared" si="10"/>
        <v>0.49709508559617188</v>
      </c>
    </row>
    <row r="23" spans="1:26" x14ac:dyDescent="0.25">
      <c r="A23" s="55" t="s">
        <v>18</v>
      </c>
      <c r="B23" s="1">
        <v>8.5</v>
      </c>
      <c r="C23" s="74">
        <v>12.439</v>
      </c>
      <c r="D23" s="7">
        <v>500</v>
      </c>
      <c r="E23" s="61">
        <v>220</v>
      </c>
      <c r="F23" s="7">
        <f t="shared" si="0"/>
        <v>180</v>
      </c>
      <c r="G23" s="7">
        <f t="shared" si="1"/>
        <v>196.37839032553438</v>
      </c>
      <c r="H23" s="61">
        <v>12</v>
      </c>
      <c r="I23" s="61">
        <v>3</v>
      </c>
      <c r="J23" s="61">
        <v>12</v>
      </c>
      <c r="K23" s="61">
        <v>3</v>
      </c>
      <c r="L23" s="19">
        <f t="shared" si="2"/>
        <v>678.58401317539528</v>
      </c>
      <c r="M23" s="7" t="str">
        <f t="shared" si="3"/>
        <v>OK</v>
      </c>
      <c r="N23" s="17">
        <f t="shared" si="4"/>
        <v>42.982868562555893</v>
      </c>
      <c r="O23" s="18">
        <f t="shared" si="5"/>
        <v>0.28939436608091146</v>
      </c>
      <c r="P23" s="1">
        <v>8.5</v>
      </c>
      <c r="Q23" s="82">
        <v>-19.169899999999998</v>
      </c>
      <c r="R23" s="7">
        <f t="shared" si="6"/>
        <v>247.61554160531139</v>
      </c>
      <c r="S23" s="61">
        <v>12</v>
      </c>
      <c r="T23" s="61">
        <v>3</v>
      </c>
      <c r="U23" s="61">
        <v>12</v>
      </c>
      <c r="V23" s="61">
        <v>3</v>
      </c>
      <c r="W23" s="19">
        <f t="shared" si="7"/>
        <v>678.58401317539528</v>
      </c>
      <c r="X23" s="7" t="str">
        <f t="shared" si="8"/>
        <v>OK</v>
      </c>
      <c r="Y23" s="17">
        <f t="shared" si="9"/>
        <v>-52.534617132012755</v>
      </c>
      <c r="Z23" s="18">
        <f t="shared" si="10"/>
        <v>0.36490034660057574</v>
      </c>
    </row>
    <row r="24" spans="1:26" x14ac:dyDescent="0.25">
      <c r="A24" s="55" t="s">
        <v>18</v>
      </c>
      <c r="B24" s="1">
        <v>9</v>
      </c>
      <c r="C24" s="74">
        <v>11.683999999999999</v>
      </c>
      <c r="D24" s="7">
        <v>500</v>
      </c>
      <c r="E24" s="61">
        <v>220</v>
      </c>
      <c r="F24" s="7">
        <f t="shared" si="0"/>
        <v>180</v>
      </c>
      <c r="G24" s="7">
        <f t="shared" si="1"/>
        <v>184.45896877269425</v>
      </c>
      <c r="H24" s="61">
        <v>12</v>
      </c>
      <c r="I24" s="61">
        <v>3</v>
      </c>
      <c r="J24" s="61">
        <v>12</v>
      </c>
      <c r="K24" s="61">
        <v>3</v>
      </c>
      <c r="L24" s="19">
        <f t="shared" si="2"/>
        <v>678.58401317539528</v>
      </c>
      <c r="M24" s="7" t="str">
        <f t="shared" si="3"/>
        <v>OK</v>
      </c>
      <c r="N24" s="17">
        <f t="shared" si="4"/>
        <v>42.982868562555893</v>
      </c>
      <c r="O24" s="18">
        <f t="shared" si="5"/>
        <v>0.27182922849822083</v>
      </c>
      <c r="P24" s="1">
        <v>9</v>
      </c>
      <c r="Q24" s="82">
        <v>-12.9124</v>
      </c>
      <c r="R24" s="7">
        <f t="shared" si="6"/>
        <v>166.78808545816216</v>
      </c>
      <c r="S24" s="61">
        <v>12</v>
      </c>
      <c r="T24" s="61">
        <v>3</v>
      </c>
      <c r="U24" s="61">
        <v>12</v>
      </c>
      <c r="V24" s="61">
        <v>3</v>
      </c>
      <c r="W24" s="19">
        <f t="shared" si="7"/>
        <v>678.58401317539528</v>
      </c>
      <c r="X24" s="7" t="str">
        <f t="shared" si="8"/>
        <v>OK</v>
      </c>
      <c r="Y24" s="17">
        <f t="shared" si="9"/>
        <v>-52.534617132012755</v>
      </c>
      <c r="Z24" s="18">
        <f t="shared" si="10"/>
        <v>0.24578840971759239</v>
      </c>
    </row>
    <row r="25" spans="1:26" x14ac:dyDescent="0.25">
      <c r="A25" s="55" t="s">
        <v>18</v>
      </c>
      <c r="B25" s="1">
        <v>9.5</v>
      </c>
      <c r="C25" s="74">
        <v>10.2417</v>
      </c>
      <c r="D25" s="7">
        <v>500</v>
      </c>
      <c r="E25" s="61">
        <v>220</v>
      </c>
      <c r="F25" s="7">
        <f t="shared" si="0"/>
        <v>180</v>
      </c>
      <c r="G25" s="7">
        <f t="shared" si="1"/>
        <v>161.68892677844082</v>
      </c>
      <c r="H25" s="61">
        <v>12</v>
      </c>
      <c r="I25" s="61">
        <v>3</v>
      </c>
      <c r="J25" s="61">
        <v>12</v>
      </c>
      <c r="K25" s="61">
        <v>3</v>
      </c>
      <c r="L25" s="19">
        <f t="shared" si="2"/>
        <v>678.58401317539528</v>
      </c>
      <c r="M25" s="7" t="str">
        <f t="shared" si="3"/>
        <v>OK</v>
      </c>
      <c r="N25" s="17">
        <f t="shared" si="4"/>
        <v>42.982868562555893</v>
      </c>
      <c r="O25" s="18">
        <f t="shared" si="5"/>
        <v>0.2382739994445591</v>
      </c>
      <c r="P25" s="1">
        <v>9.5</v>
      </c>
      <c r="Q25" s="82">
        <v>-7.3421000000000003</v>
      </c>
      <c r="R25" s="7">
        <f t="shared" si="6"/>
        <v>94.837117982898022</v>
      </c>
      <c r="S25" s="61">
        <v>12</v>
      </c>
      <c r="T25" s="61">
        <v>3</v>
      </c>
      <c r="U25" s="61">
        <v>12</v>
      </c>
      <c r="V25" s="61">
        <v>3</v>
      </c>
      <c r="W25" s="19">
        <f t="shared" si="7"/>
        <v>678.58401317539528</v>
      </c>
      <c r="X25" s="7" t="str">
        <f t="shared" si="8"/>
        <v>OK</v>
      </c>
      <c r="Y25" s="17">
        <f t="shared" si="9"/>
        <v>-52.534617132012755</v>
      </c>
      <c r="Z25" s="18">
        <f t="shared" si="10"/>
        <v>0.13975737144043981</v>
      </c>
    </row>
    <row r="26" spans="1:26" x14ac:dyDescent="0.25">
      <c r="A26" s="55" t="s">
        <v>18</v>
      </c>
      <c r="B26" s="1">
        <v>10</v>
      </c>
      <c r="C26" s="74">
        <v>8.1120000000000001</v>
      </c>
      <c r="D26" s="7">
        <v>500</v>
      </c>
      <c r="E26" s="61">
        <v>220</v>
      </c>
      <c r="F26" s="7">
        <f t="shared" si="0"/>
        <v>180</v>
      </c>
      <c r="G26" s="7">
        <f t="shared" si="1"/>
        <v>128.06668561144264</v>
      </c>
      <c r="H26" s="61">
        <v>12</v>
      </c>
      <c r="I26" s="61">
        <v>3</v>
      </c>
      <c r="J26" s="61">
        <v>12</v>
      </c>
      <c r="K26" s="61">
        <v>3</v>
      </c>
      <c r="L26" s="19">
        <f t="shared" si="2"/>
        <v>678.58401317539528</v>
      </c>
      <c r="M26" s="7" t="str">
        <f t="shared" si="3"/>
        <v>OK</v>
      </c>
      <c r="N26" s="17">
        <f t="shared" si="4"/>
        <v>42.982868562555893</v>
      </c>
      <c r="O26" s="18">
        <f t="shared" si="5"/>
        <v>0.18872635241163707</v>
      </c>
      <c r="P26" s="1">
        <v>10</v>
      </c>
      <c r="Q26" s="82">
        <v>-2.4592000000000001</v>
      </c>
      <c r="R26" s="7">
        <f t="shared" si="6"/>
        <v>31.765222558061428</v>
      </c>
      <c r="S26" s="61">
        <v>12</v>
      </c>
      <c r="T26" s="61">
        <v>3</v>
      </c>
      <c r="U26" s="61">
        <v>12</v>
      </c>
      <c r="V26" s="61">
        <v>3</v>
      </c>
      <c r="W26" s="19">
        <f t="shared" si="7"/>
        <v>678.58401317539528</v>
      </c>
      <c r="X26" s="7" t="str">
        <f t="shared" si="8"/>
        <v>OK</v>
      </c>
      <c r="Y26" s="17">
        <f t="shared" si="9"/>
        <v>-52.534617132012755</v>
      </c>
      <c r="Z26" s="18">
        <f t="shared" si="10"/>
        <v>4.6811038782682016E-2</v>
      </c>
    </row>
    <row r="27" spans="1:26" x14ac:dyDescent="0.25">
      <c r="A27" s="55" t="s">
        <v>18</v>
      </c>
      <c r="B27" s="1">
        <v>10.5</v>
      </c>
      <c r="C27" s="74">
        <v>5.2950999999999997</v>
      </c>
      <c r="D27" s="7">
        <v>500</v>
      </c>
      <c r="E27" s="61">
        <v>220</v>
      </c>
      <c r="F27" s="7">
        <f t="shared" si="0"/>
        <v>180</v>
      </c>
      <c r="G27" s="7">
        <f t="shared" si="1"/>
        <v>83.595402734362651</v>
      </c>
      <c r="H27" s="61">
        <v>12</v>
      </c>
      <c r="I27" s="61">
        <v>3</v>
      </c>
      <c r="J27" s="61">
        <v>12</v>
      </c>
      <c r="K27" s="61">
        <v>3</v>
      </c>
      <c r="L27" s="19">
        <f t="shared" si="2"/>
        <v>678.58401317539528</v>
      </c>
      <c r="M27" s="7" t="str">
        <f t="shared" si="3"/>
        <v>OK</v>
      </c>
      <c r="N27" s="17">
        <f t="shared" si="4"/>
        <v>42.982868562555893</v>
      </c>
      <c r="O27" s="18">
        <f t="shared" si="5"/>
        <v>0.12319094041603297</v>
      </c>
      <c r="P27" s="1">
        <v>10.5</v>
      </c>
      <c r="Q27" s="82">
        <v>1.7363999999999999</v>
      </c>
      <c r="R27" s="7">
        <f t="shared" si="6"/>
        <v>22.428892505618844</v>
      </c>
      <c r="S27" s="61">
        <v>12</v>
      </c>
      <c r="T27" s="61">
        <v>3</v>
      </c>
      <c r="U27" s="61">
        <v>12</v>
      </c>
      <c r="V27" s="61">
        <v>3</v>
      </c>
      <c r="W27" s="19">
        <f t="shared" si="7"/>
        <v>678.58401317539528</v>
      </c>
      <c r="X27" s="7" t="str">
        <f t="shared" si="8"/>
        <v>OK</v>
      </c>
      <c r="Y27" s="17">
        <f t="shared" si="9"/>
        <v>-52.534617132012755</v>
      </c>
      <c r="Z27" s="18">
        <f t="shared" si="10"/>
        <v>-3.3052491762463013E-2</v>
      </c>
    </row>
    <row r="28" spans="1:26" x14ac:dyDescent="0.25">
      <c r="A28" s="55" t="s">
        <v>18</v>
      </c>
      <c r="B28" s="1">
        <v>11</v>
      </c>
      <c r="C28" s="74">
        <v>5.2447999999999997</v>
      </c>
      <c r="D28" s="7">
        <v>500</v>
      </c>
      <c r="E28" s="61">
        <v>220</v>
      </c>
      <c r="F28" s="7">
        <f t="shared" si="0"/>
        <v>180</v>
      </c>
      <c r="G28" s="7">
        <f t="shared" si="1"/>
        <v>82.801300874617155</v>
      </c>
      <c r="H28" s="61">
        <v>12</v>
      </c>
      <c r="I28" s="61">
        <v>3</v>
      </c>
      <c r="J28" s="61">
        <v>12</v>
      </c>
      <c r="K28" s="61">
        <v>3</v>
      </c>
      <c r="L28" s="19">
        <f t="shared" si="2"/>
        <v>678.58401317539528</v>
      </c>
      <c r="M28" s="7" t="str">
        <f t="shared" si="3"/>
        <v>OK</v>
      </c>
      <c r="N28" s="17">
        <f t="shared" si="4"/>
        <v>42.982868562555893</v>
      </c>
      <c r="O28" s="18">
        <f t="shared" si="5"/>
        <v>0.12202070674661662</v>
      </c>
      <c r="P28" s="1">
        <v>11</v>
      </c>
      <c r="Q28" s="82">
        <v>1.7908999999999999</v>
      </c>
      <c r="R28" s="7">
        <f t="shared" si="6"/>
        <v>23.132863158438603</v>
      </c>
      <c r="S28" s="61">
        <v>12</v>
      </c>
      <c r="T28" s="61">
        <v>3</v>
      </c>
      <c r="U28" s="61">
        <v>12</v>
      </c>
      <c r="V28" s="61">
        <v>3</v>
      </c>
      <c r="W28" s="19">
        <f t="shared" si="7"/>
        <v>678.58401317539528</v>
      </c>
      <c r="X28" s="7" t="str">
        <f t="shared" si="8"/>
        <v>OK</v>
      </c>
      <c r="Y28" s="17">
        <f t="shared" si="9"/>
        <v>-52.534617132012755</v>
      </c>
      <c r="Z28" s="18">
        <f t="shared" si="10"/>
        <v>-3.4089902958647209E-2</v>
      </c>
    </row>
    <row r="29" spans="1:26" x14ac:dyDescent="0.25">
      <c r="A29" s="55" t="s">
        <v>18</v>
      </c>
      <c r="B29" s="1">
        <v>11.5</v>
      </c>
      <c r="C29" s="74">
        <v>8.0657999999999994</v>
      </c>
      <c r="D29" s="7">
        <v>500</v>
      </c>
      <c r="E29" s="61">
        <v>220</v>
      </c>
      <c r="F29" s="7">
        <f t="shared" si="0"/>
        <v>180</v>
      </c>
      <c r="G29" s="7">
        <f t="shared" si="1"/>
        <v>127.33731173628868</v>
      </c>
      <c r="H29" s="61">
        <v>12</v>
      </c>
      <c r="I29" s="61">
        <v>3</v>
      </c>
      <c r="J29" s="61">
        <v>12</v>
      </c>
      <c r="K29" s="61">
        <v>3</v>
      </c>
      <c r="L29" s="19">
        <f t="shared" si="2"/>
        <v>678.58401317539528</v>
      </c>
      <c r="M29" s="7" t="str">
        <f t="shared" si="3"/>
        <v>OK</v>
      </c>
      <c r="N29" s="17">
        <f t="shared" si="4"/>
        <v>42.982868562555893</v>
      </c>
      <c r="O29" s="18">
        <f t="shared" si="5"/>
        <v>0.18765150558207375</v>
      </c>
      <c r="P29" s="1">
        <v>11.5</v>
      </c>
      <c r="Q29" s="82">
        <v>-2.4005999999999998</v>
      </c>
      <c r="R29" s="7">
        <f t="shared" si="6"/>
        <v>31.008292645121283</v>
      </c>
      <c r="S29" s="61">
        <v>12</v>
      </c>
      <c r="T29" s="61">
        <v>3</v>
      </c>
      <c r="U29" s="61">
        <v>12</v>
      </c>
      <c r="V29" s="61">
        <v>3</v>
      </c>
      <c r="W29" s="19">
        <f t="shared" si="7"/>
        <v>678.58401317539528</v>
      </c>
      <c r="X29" s="7" t="str">
        <f t="shared" si="8"/>
        <v>OK</v>
      </c>
      <c r="Y29" s="17">
        <f t="shared" si="9"/>
        <v>-52.534617132012755</v>
      </c>
      <c r="Z29" s="18">
        <f t="shared" si="10"/>
        <v>4.5695583808436253E-2</v>
      </c>
    </row>
    <row r="30" spans="1:26" x14ac:dyDescent="0.25">
      <c r="A30" s="55" t="s">
        <v>18</v>
      </c>
      <c r="B30" s="1">
        <v>12</v>
      </c>
      <c r="C30" s="74">
        <v>10.1996</v>
      </c>
      <c r="D30" s="7">
        <v>500</v>
      </c>
      <c r="E30" s="61">
        <v>220</v>
      </c>
      <c r="F30" s="7">
        <f t="shared" si="0"/>
        <v>180</v>
      </c>
      <c r="G30" s="7">
        <f t="shared" si="1"/>
        <v>161.02428088787849</v>
      </c>
      <c r="H30" s="61">
        <v>12</v>
      </c>
      <c r="I30" s="61">
        <v>3</v>
      </c>
      <c r="J30" s="61">
        <v>12</v>
      </c>
      <c r="K30" s="61">
        <v>3</v>
      </c>
      <c r="L30" s="19">
        <f t="shared" si="2"/>
        <v>678.58401317539528</v>
      </c>
      <c r="M30" s="7" t="str">
        <f t="shared" si="3"/>
        <v>OK</v>
      </c>
      <c r="N30" s="17">
        <f t="shared" si="4"/>
        <v>42.982868562555893</v>
      </c>
      <c r="O30" s="18">
        <f t="shared" si="5"/>
        <v>0.23729453945484882</v>
      </c>
      <c r="P30" s="1">
        <v>12</v>
      </c>
      <c r="Q30" s="82">
        <v>-7.2793999999999999</v>
      </c>
      <c r="R30" s="7">
        <f t="shared" si="6"/>
        <v>94.027228809837482</v>
      </c>
      <c r="S30" s="61">
        <v>12</v>
      </c>
      <c r="T30" s="61">
        <v>3</v>
      </c>
      <c r="U30" s="61">
        <v>12</v>
      </c>
      <c r="V30" s="61">
        <v>3</v>
      </c>
      <c r="W30" s="19">
        <f t="shared" si="7"/>
        <v>678.58401317539528</v>
      </c>
      <c r="X30" s="7" t="str">
        <f t="shared" si="8"/>
        <v>OK</v>
      </c>
      <c r="Y30" s="17">
        <f t="shared" si="9"/>
        <v>-52.534617132012755</v>
      </c>
      <c r="Z30" s="18">
        <f t="shared" si="10"/>
        <v>0.1385638726881325</v>
      </c>
    </row>
    <row r="31" spans="1:26" x14ac:dyDescent="0.25">
      <c r="A31" s="55" t="s">
        <v>18</v>
      </c>
      <c r="B31" s="1">
        <v>12.5</v>
      </c>
      <c r="C31" s="74">
        <v>11.646000000000001</v>
      </c>
      <c r="D31" s="7">
        <v>500</v>
      </c>
      <c r="E31" s="61">
        <v>220</v>
      </c>
      <c r="F31" s="7">
        <f t="shared" si="0"/>
        <v>180</v>
      </c>
      <c r="G31" s="7">
        <f t="shared" si="1"/>
        <v>183.85905086672349</v>
      </c>
      <c r="H31" s="61">
        <v>12</v>
      </c>
      <c r="I31" s="61">
        <v>3</v>
      </c>
      <c r="J31" s="61">
        <v>12</v>
      </c>
      <c r="K31" s="61">
        <v>3</v>
      </c>
      <c r="L31" s="19">
        <f t="shared" si="2"/>
        <v>678.58401317539528</v>
      </c>
      <c r="M31" s="7" t="str">
        <f t="shared" si="3"/>
        <v>OK</v>
      </c>
      <c r="N31" s="17">
        <f t="shared" si="4"/>
        <v>42.982868562555893</v>
      </c>
      <c r="O31" s="18">
        <f t="shared" si="5"/>
        <v>0.27094515534836361</v>
      </c>
      <c r="P31" s="1">
        <v>12.5</v>
      </c>
      <c r="Q31" s="82">
        <v>-12.845499999999999</v>
      </c>
      <c r="R31" s="7">
        <f t="shared" si="6"/>
        <v>165.92394533571002</v>
      </c>
      <c r="S31" s="61">
        <v>12</v>
      </c>
      <c r="T31" s="61">
        <v>3</v>
      </c>
      <c r="U31" s="61">
        <v>12</v>
      </c>
      <c r="V31" s="61">
        <v>3</v>
      </c>
      <c r="W31" s="19">
        <f t="shared" si="7"/>
        <v>678.58401317539528</v>
      </c>
      <c r="X31" s="7" t="str">
        <f t="shared" si="8"/>
        <v>OK</v>
      </c>
      <c r="Y31" s="17">
        <f t="shared" si="9"/>
        <v>-52.534617132012755</v>
      </c>
      <c r="Z31" s="18">
        <f t="shared" si="10"/>
        <v>0.24451496368044151</v>
      </c>
    </row>
    <row r="32" spans="1:26" x14ac:dyDescent="0.25">
      <c r="A32" s="55" t="s">
        <v>18</v>
      </c>
      <c r="B32" s="1">
        <v>13</v>
      </c>
      <c r="C32" s="74">
        <v>12.405200000000001</v>
      </c>
      <c r="D32" s="7">
        <v>500</v>
      </c>
      <c r="E32" s="61">
        <v>220</v>
      </c>
      <c r="F32" s="7">
        <f t="shared" si="0"/>
        <v>180</v>
      </c>
      <c r="G32" s="7">
        <f t="shared" si="1"/>
        <v>195.8447791354867</v>
      </c>
      <c r="H32" s="61">
        <v>12</v>
      </c>
      <c r="I32" s="61">
        <v>3</v>
      </c>
      <c r="J32" s="61">
        <v>12</v>
      </c>
      <c r="K32" s="61">
        <v>3</v>
      </c>
      <c r="L32" s="19">
        <f t="shared" si="2"/>
        <v>678.58401317539528</v>
      </c>
      <c r="M32" s="7" t="str">
        <f t="shared" si="3"/>
        <v>OK</v>
      </c>
      <c r="N32" s="17">
        <f t="shared" si="4"/>
        <v>42.982868562555893</v>
      </c>
      <c r="O32" s="18">
        <f t="shared" si="5"/>
        <v>0.28860800627919631</v>
      </c>
      <c r="P32" s="1">
        <v>13</v>
      </c>
      <c r="Q32" s="82">
        <v>-19.0989</v>
      </c>
      <c r="R32" s="7">
        <f t="shared" si="6"/>
        <v>246.69844222273886</v>
      </c>
      <c r="S32" s="61">
        <v>12</v>
      </c>
      <c r="T32" s="61">
        <v>3</v>
      </c>
      <c r="U32" s="61">
        <v>12</v>
      </c>
      <c r="V32" s="61">
        <v>3</v>
      </c>
      <c r="W32" s="19">
        <f t="shared" si="7"/>
        <v>678.58401317539528</v>
      </c>
      <c r="X32" s="7" t="str">
        <f t="shared" si="8"/>
        <v>OK</v>
      </c>
      <c r="Y32" s="17">
        <f t="shared" si="9"/>
        <v>-52.534617132012755</v>
      </c>
      <c r="Z32" s="18">
        <f t="shared" si="10"/>
        <v>0.36354885678536336</v>
      </c>
    </row>
    <row r="33" spans="1:26" x14ac:dyDescent="0.25">
      <c r="A33" s="55" t="s">
        <v>18</v>
      </c>
      <c r="B33" s="1">
        <v>13.5</v>
      </c>
      <c r="C33" s="74">
        <v>12.477</v>
      </c>
      <c r="D33" s="7">
        <v>500</v>
      </c>
      <c r="E33" s="61">
        <v>220</v>
      </c>
      <c r="F33" s="7">
        <f t="shared" si="0"/>
        <v>180</v>
      </c>
      <c r="G33" s="7">
        <f t="shared" si="1"/>
        <v>196.97830823150514</v>
      </c>
      <c r="H33" s="61">
        <v>12</v>
      </c>
      <c r="I33" s="61">
        <v>3</v>
      </c>
      <c r="J33" s="61">
        <v>12</v>
      </c>
      <c r="K33" s="61">
        <v>3</v>
      </c>
      <c r="L33" s="19">
        <f t="shared" si="2"/>
        <v>678.58401317539528</v>
      </c>
      <c r="M33" s="7" t="str">
        <f t="shared" si="3"/>
        <v>OK</v>
      </c>
      <c r="N33" s="17">
        <f t="shared" si="4"/>
        <v>42.982868562555893</v>
      </c>
      <c r="O33" s="18">
        <f t="shared" si="5"/>
        <v>0.29027843923076874</v>
      </c>
      <c r="P33" s="1">
        <v>13.5</v>
      </c>
      <c r="Q33" s="82">
        <v>-26.0396</v>
      </c>
      <c r="R33" s="7">
        <f t="shared" si="6"/>
        <v>336.35071947092399</v>
      </c>
      <c r="S33" s="61">
        <v>12</v>
      </c>
      <c r="T33" s="61">
        <v>3</v>
      </c>
      <c r="U33" s="61">
        <v>12</v>
      </c>
      <c r="V33" s="61">
        <v>3</v>
      </c>
      <c r="W33" s="19">
        <f t="shared" si="7"/>
        <v>678.58401317539528</v>
      </c>
      <c r="X33" s="7" t="str">
        <f t="shared" si="8"/>
        <v>OK</v>
      </c>
      <c r="Y33" s="17">
        <f t="shared" si="9"/>
        <v>-52.534617132012755</v>
      </c>
      <c r="Z33" s="18">
        <f t="shared" si="10"/>
        <v>0.49566555200289791</v>
      </c>
    </row>
    <row r="34" spans="1:26" x14ac:dyDescent="0.25">
      <c r="A34" s="55" t="s">
        <v>19</v>
      </c>
      <c r="B34" s="1">
        <v>13.5</v>
      </c>
      <c r="C34" s="73">
        <v>23.7103</v>
      </c>
      <c r="D34" s="7">
        <v>500</v>
      </c>
      <c r="E34" s="61">
        <v>220</v>
      </c>
      <c r="F34" s="7">
        <f t="shared" si="0"/>
        <v>180</v>
      </c>
      <c r="G34" s="7">
        <f t="shared" si="1"/>
        <v>374.32193489311987</v>
      </c>
      <c r="H34" s="61">
        <v>12</v>
      </c>
      <c r="I34" s="61">
        <v>3</v>
      </c>
      <c r="J34" s="61">
        <v>12</v>
      </c>
      <c r="K34" s="61">
        <v>3</v>
      </c>
      <c r="L34" s="19">
        <f t="shared" si="2"/>
        <v>678.58401317539528</v>
      </c>
      <c r="M34" s="7" t="str">
        <f t="shared" si="3"/>
        <v>OK</v>
      </c>
      <c r="N34" s="17">
        <f t="shared" si="4"/>
        <v>42.982868562555893</v>
      </c>
      <c r="O34" s="18">
        <f t="shared" si="5"/>
        <v>0.55162209487002445</v>
      </c>
      <c r="P34" s="1">
        <v>13.5</v>
      </c>
      <c r="Q34" s="82">
        <v>-30.4876</v>
      </c>
      <c r="R34" s="7">
        <f t="shared" si="6"/>
        <v>393.80505825518605</v>
      </c>
      <c r="S34" s="61">
        <v>12</v>
      </c>
      <c r="T34" s="61">
        <v>3</v>
      </c>
      <c r="U34" s="61">
        <v>12</v>
      </c>
      <c r="V34" s="61">
        <v>3</v>
      </c>
      <c r="W34" s="19">
        <f t="shared" si="7"/>
        <v>678.58401317539528</v>
      </c>
      <c r="X34" s="7" t="str">
        <f t="shared" si="8"/>
        <v>OK</v>
      </c>
      <c r="Y34" s="17">
        <f t="shared" si="9"/>
        <v>-52.534617132012755</v>
      </c>
      <c r="Z34" s="18">
        <f t="shared" si="10"/>
        <v>0.58033353366578411</v>
      </c>
    </row>
    <row r="35" spans="1:26" x14ac:dyDescent="0.25">
      <c r="A35" s="55" t="s">
        <v>19</v>
      </c>
      <c r="B35" s="1">
        <v>14</v>
      </c>
      <c r="C35" s="73">
        <v>19.135899999999999</v>
      </c>
      <c r="D35" s="7">
        <v>500</v>
      </c>
      <c r="E35" s="61">
        <v>220</v>
      </c>
      <c r="F35" s="7">
        <f t="shared" si="0"/>
        <v>180</v>
      </c>
      <c r="G35" s="7">
        <f t="shared" si="1"/>
        <v>302.10444886489216</v>
      </c>
      <c r="H35" s="61">
        <v>12</v>
      </c>
      <c r="I35" s="61">
        <v>3</v>
      </c>
      <c r="J35" s="61">
        <v>12</v>
      </c>
      <c r="K35" s="61">
        <v>3</v>
      </c>
      <c r="L35" s="19">
        <f t="shared" si="2"/>
        <v>678.58401317539528</v>
      </c>
      <c r="M35" s="7" t="str">
        <f t="shared" si="3"/>
        <v>OK</v>
      </c>
      <c r="N35" s="17">
        <f t="shared" si="4"/>
        <v>42.982868562555893</v>
      </c>
      <c r="O35" s="18">
        <f t="shared" si="5"/>
        <v>0.44519829969352143</v>
      </c>
      <c r="P35" s="1">
        <v>14</v>
      </c>
      <c r="Q35" s="82">
        <v>-21.232800000000001</v>
      </c>
      <c r="R35" s="7">
        <f t="shared" si="6"/>
        <v>274.2617995814926</v>
      </c>
      <c r="S35" s="61">
        <v>12</v>
      </c>
      <c r="T35" s="61">
        <v>3</v>
      </c>
      <c r="U35" s="61">
        <v>12</v>
      </c>
      <c r="V35" s="61">
        <v>3</v>
      </c>
      <c r="W35" s="19">
        <f t="shared" si="7"/>
        <v>678.58401317539528</v>
      </c>
      <c r="X35" s="7" t="str">
        <f t="shared" si="8"/>
        <v>OK</v>
      </c>
      <c r="Y35" s="17">
        <f t="shared" si="9"/>
        <v>-52.534617132012755</v>
      </c>
      <c r="Z35" s="18">
        <f t="shared" si="10"/>
        <v>0.40416778800623404</v>
      </c>
    </row>
    <row r="36" spans="1:26" x14ac:dyDescent="0.25">
      <c r="A36" s="55" t="s">
        <v>19</v>
      </c>
      <c r="B36" s="1">
        <v>14.5</v>
      </c>
      <c r="C36" s="73">
        <v>13.8743</v>
      </c>
      <c r="D36" s="7">
        <v>500</v>
      </c>
      <c r="E36" s="61">
        <v>220</v>
      </c>
      <c r="F36" s="7">
        <f t="shared" si="0"/>
        <v>180</v>
      </c>
      <c r="G36" s="7">
        <f t="shared" si="1"/>
        <v>219.03792112658266</v>
      </c>
      <c r="H36" s="61">
        <v>12</v>
      </c>
      <c r="I36" s="61">
        <v>3</v>
      </c>
      <c r="J36" s="61">
        <v>12</v>
      </c>
      <c r="K36" s="61">
        <v>3</v>
      </c>
      <c r="L36" s="19">
        <f t="shared" si="2"/>
        <v>678.58401317539528</v>
      </c>
      <c r="M36" s="7" t="str">
        <f t="shared" si="3"/>
        <v>OK</v>
      </c>
      <c r="N36" s="17">
        <f t="shared" si="4"/>
        <v>42.982868562555893</v>
      </c>
      <c r="O36" s="18">
        <f t="shared" si="5"/>
        <v>0.32278673955433634</v>
      </c>
      <c r="P36" s="1">
        <v>14.5</v>
      </c>
      <c r="Q36" s="82">
        <v>-12.6654</v>
      </c>
      <c r="R36" s="7">
        <f t="shared" si="6"/>
        <v>163.59761295822673</v>
      </c>
      <c r="S36" s="61">
        <v>12</v>
      </c>
      <c r="T36" s="61">
        <v>3</v>
      </c>
      <c r="U36" s="61">
        <v>12</v>
      </c>
      <c r="V36" s="61">
        <v>3</v>
      </c>
      <c r="W36" s="19">
        <f t="shared" si="7"/>
        <v>678.58401317539528</v>
      </c>
      <c r="X36" s="7" t="str">
        <f t="shared" si="8"/>
        <v>OK</v>
      </c>
      <c r="Y36" s="17">
        <f t="shared" si="9"/>
        <v>-52.534617132012755</v>
      </c>
      <c r="Z36" s="18">
        <f t="shared" si="10"/>
        <v>0.24108674796607871</v>
      </c>
    </row>
    <row r="37" spans="1:26" x14ac:dyDescent="0.25">
      <c r="A37" s="55" t="s">
        <v>19</v>
      </c>
      <c r="B37" s="1">
        <v>15</v>
      </c>
      <c r="C37" s="73">
        <v>7.9253</v>
      </c>
      <c r="D37" s="7">
        <v>500</v>
      </c>
      <c r="E37" s="61">
        <v>220</v>
      </c>
      <c r="F37" s="7">
        <f t="shared" si="0"/>
        <v>180</v>
      </c>
      <c r="G37" s="7">
        <f t="shared" si="1"/>
        <v>125.11919421552838</v>
      </c>
      <c r="H37" s="61">
        <v>12</v>
      </c>
      <c r="I37" s="61">
        <v>3</v>
      </c>
      <c r="J37" s="61">
        <v>12</v>
      </c>
      <c r="K37" s="61">
        <v>3</v>
      </c>
      <c r="L37" s="19">
        <f t="shared" si="2"/>
        <v>678.58401317539528</v>
      </c>
      <c r="M37" s="7" t="str">
        <f t="shared" si="3"/>
        <v>OK</v>
      </c>
      <c r="N37" s="17">
        <f t="shared" si="4"/>
        <v>42.982868562555893</v>
      </c>
      <c r="O37" s="18">
        <f t="shared" si="5"/>
        <v>0.18438276143589094</v>
      </c>
      <c r="P37" s="1">
        <v>15</v>
      </c>
      <c r="Q37" s="82">
        <v>-4.7853000000000003</v>
      </c>
      <c r="R37" s="7">
        <f t="shared" si="6"/>
        <v>61.811206696117168</v>
      </c>
      <c r="S37" s="61">
        <v>12</v>
      </c>
      <c r="T37" s="61">
        <v>3</v>
      </c>
      <c r="U37" s="61">
        <v>12</v>
      </c>
      <c r="V37" s="61">
        <v>3</v>
      </c>
      <c r="W37" s="19">
        <f t="shared" si="7"/>
        <v>678.58401317539528</v>
      </c>
      <c r="X37" s="7" t="str">
        <f t="shared" si="8"/>
        <v>OK</v>
      </c>
      <c r="Y37" s="17">
        <f t="shared" si="9"/>
        <v>-52.534617132012755</v>
      </c>
      <c r="Z37" s="18">
        <f t="shared" si="10"/>
        <v>9.1088510038536213E-2</v>
      </c>
    </row>
    <row r="38" spans="1:26" x14ac:dyDescent="0.25">
      <c r="A38" s="55" t="s">
        <v>19</v>
      </c>
      <c r="B38" s="1">
        <v>15.5</v>
      </c>
      <c r="C38" s="73">
        <v>2.4079999999999999</v>
      </c>
      <c r="D38" s="7">
        <v>500</v>
      </c>
      <c r="E38" s="61">
        <v>220</v>
      </c>
      <c r="F38" s="7">
        <f t="shared" si="0"/>
        <v>180</v>
      </c>
      <c r="G38" s="7">
        <f t="shared" si="1"/>
        <v>38.015850462568274</v>
      </c>
      <c r="H38" s="61">
        <v>12</v>
      </c>
      <c r="I38" s="61">
        <v>3</v>
      </c>
      <c r="J38" s="61">
        <v>12</v>
      </c>
      <c r="K38" s="61">
        <v>3</v>
      </c>
      <c r="L38" s="19">
        <f t="shared" si="2"/>
        <v>678.58401317539528</v>
      </c>
      <c r="M38" s="7" t="str">
        <f t="shared" si="3"/>
        <v>OK</v>
      </c>
      <c r="N38" s="17">
        <f t="shared" si="4"/>
        <v>42.982868562555893</v>
      </c>
      <c r="O38" s="18">
        <f t="shared" si="5"/>
        <v>5.6022319601482011E-2</v>
      </c>
      <c r="P38" s="1">
        <v>15.5</v>
      </c>
      <c r="Q38" s="82">
        <v>1.2887</v>
      </c>
      <c r="R38" s="7">
        <f t="shared" si="6"/>
        <v>16.645999638327002</v>
      </c>
      <c r="S38" s="61">
        <v>12</v>
      </c>
      <c r="T38" s="61">
        <v>3</v>
      </c>
      <c r="U38" s="61">
        <v>12</v>
      </c>
      <c r="V38" s="61">
        <v>3</v>
      </c>
      <c r="W38" s="19">
        <f t="shared" si="7"/>
        <v>678.58401317539528</v>
      </c>
      <c r="X38" s="7" t="str">
        <f t="shared" si="8"/>
        <v>OK</v>
      </c>
      <c r="Y38" s="17">
        <f t="shared" si="9"/>
        <v>-52.534617132012755</v>
      </c>
      <c r="Z38" s="18">
        <f t="shared" si="10"/>
        <v>-2.4530491899496711E-2</v>
      </c>
    </row>
    <row r="39" spans="1:26" x14ac:dyDescent="0.25">
      <c r="A39" s="55" t="s">
        <v>19</v>
      </c>
      <c r="B39" s="1">
        <v>16</v>
      </c>
      <c r="C39" s="73">
        <v>8.9131999999999998</v>
      </c>
      <c r="D39" s="7">
        <v>500</v>
      </c>
      <c r="E39" s="61">
        <v>220</v>
      </c>
      <c r="F39" s="7">
        <f t="shared" si="0"/>
        <v>180</v>
      </c>
      <c r="G39" s="7">
        <f t="shared" si="1"/>
        <v>140.7154810394367</v>
      </c>
      <c r="H39" s="61">
        <v>12</v>
      </c>
      <c r="I39" s="61">
        <v>3</v>
      </c>
      <c r="J39" s="61">
        <v>12</v>
      </c>
      <c r="K39" s="61">
        <v>3</v>
      </c>
      <c r="L39" s="19">
        <f t="shared" si="2"/>
        <v>678.58401317539528</v>
      </c>
      <c r="M39" s="7" t="str">
        <f t="shared" si="3"/>
        <v>OK</v>
      </c>
      <c r="N39" s="17">
        <f t="shared" si="4"/>
        <v>42.982868562555893</v>
      </c>
      <c r="O39" s="18">
        <f t="shared" si="5"/>
        <v>0.20736633682389097</v>
      </c>
      <c r="P39" s="1">
        <v>16</v>
      </c>
      <c r="Q39" s="82">
        <v>-6.0345000000000004</v>
      </c>
      <c r="R39" s="7">
        <f t="shared" si="6"/>
        <v>77.946989072308753</v>
      </c>
      <c r="S39" s="61">
        <v>12</v>
      </c>
      <c r="T39" s="61">
        <v>3</v>
      </c>
      <c r="U39" s="61">
        <v>12</v>
      </c>
      <c r="V39" s="61">
        <v>3</v>
      </c>
      <c r="W39" s="19">
        <f t="shared" si="7"/>
        <v>678.58401317539528</v>
      </c>
      <c r="X39" s="7" t="str">
        <f t="shared" si="8"/>
        <v>OK</v>
      </c>
      <c r="Y39" s="17">
        <f t="shared" si="9"/>
        <v>-52.534617132012755</v>
      </c>
      <c r="Z39" s="18">
        <f t="shared" si="10"/>
        <v>0.11486711675914714</v>
      </c>
    </row>
    <row r="40" spans="1:26" x14ac:dyDescent="0.25">
      <c r="A40" s="55" t="s">
        <v>19</v>
      </c>
      <c r="B40" s="1">
        <v>16.5</v>
      </c>
      <c r="C40" s="73">
        <v>14.731400000000001</v>
      </c>
      <c r="D40" s="7">
        <v>500</v>
      </c>
      <c r="E40" s="61">
        <v>220</v>
      </c>
      <c r="F40" s="7">
        <f t="shared" si="0"/>
        <v>180</v>
      </c>
      <c r="G40" s="7">
        <f t="shared" si="1"/>
        <v>232.56922736888635</v>
      </c>
      <c r="H40" s="61">
        <v>12</v>
      </c>
      <c r="I40" s="61">
        <v>3</v>
      </c>
      <c r="J40" s="61">
        <v>12</v>
      </c>
      <c r="K40" s="61">
        <v>3</v>
      </c>
      <c r="L40" s="19">
        <f t="shared" si="2"/>
        <v>678.58401317539528</v>
      </c>
      <c r="M40" s="7" t="str">
        <f t="shared" si="3"/>
        <v>OK</v>
      </c>
      <c r="N40" s="17">
        <f t="shared" si="4"/>
        <v>42.982868562555893</v>
      </c>
      <c r="O40" s="18">
        <f t="shared" si="5"/>
        <v>0.34272724210019606</v>
      </c>
      <c r="P40" s="1">
        <v>16.5</v>
      </c>
      <c r="Q40" s="82">
        <v>-14.045400000000001</v>
      </c>
      <c r="R40" s="7">
        <f t="shared" si="6"/>
        <v>181.42292490118572</v>
      </c>
      <c r="S40" s="61">
        <v>12</v>
      </c>
      <c r="T40" s="61">
        <v>3</v>
      </c>
      <c r="U40" s="61">
        <v>12</v>
      </c>
      <c r="V40" s="61">
        <v>3</v>
      </c>
      <c r="W40" s="19">
        <f t="shared" si="7"/>
        <v>678.58401317539528</v>
      </c>
      <c r="X40" s="7" t="str">
        <f t="shared" si="8"/>
        <v>OK</v>
      </c>
      <c r="Y40" s="17">
        <f t="shared" si="9"/>
        <v>-52.534617132012755</v>
      </c>
      <c r="Z40" s="18">
        <f t="shared" si="10"/>
        <v>0.26735514155753171</v>
      </c>
    </row>
    <row r="41" spans="1:26" x14ac:dyDescent="0.25">
      <c r="A41" s="55" t="s">
        <v>19</v>
      </c>
      <c r="B41" s="1">
        <v>17</v>
      </c>
      <c r="C41" s="73">
        <v>19.862400000000001</v>
      </c>
      <c r="D41" s="7">
        <v>500</v>
      </c>
      <c r="E41" s="61">
        <v>220</v>
      </c>
      <c r="F41" s="7">
        <f t="shared" si="0"/>
        <v>180</v>
      </c>
      <c r="G41" s="7">
        <f t="shared" si="1"/>
        <v>313.57393198825423</v>
      </c>
      <c r="H41" s="61">
        <v>12</v>
      </c>
      <c r="I41" s="61">
        <v>3</v>
      </c>
      <c r="J41" s="61">
        <v>12</v>
      </c>
      <c r="K41" s="61">
        <v>3</v>
      </c>
      <c r="L41" s="19">
        <f t="shared" si="2"/>
        <v>678.58401317539528</v>
      </c>
      <c r="M41" s="7" t="str">
        <f t="shared" si="3"/>
        <v>OK</v>
      </c>
      <c r="N41" s="17">
        <f t="shared" si="4"/>
        <v>42.982868562555893</v>
      </c>
      <c r="O41" s="18">
        <f t="shared" si="5"/>
        <v>0.46210038241381912</v>
      </c>
      <c r="P41" s="1">
        <v>17</v>
      </c>
      <c r="Q41" s="82">
        <v>-22.743500000000001</v>
      </c>
      <c r="R41" s="7">
        <f t="shared" si="6"/>
        <v>293.77534940194784</v>
      </c>
      <c r="S41" s="61">
        <v>12</v>
      </c>
      <c r="T41" s="61">
        <v>3</v>
      </c>
      <c r="U41" s="61">
        <v>12</v>
      </c>
      <c r="V41" s="61">
        <v>3</v>
      </c>
      <c r="W41" s="19">
        <f t="shared" si="7"/>
        <v>678.58401317539528</v>
      </c>
      <c r="X41" s="7" t="str">
        <f t="shared" si="8"/>
        <v>OK</v>
      </c>
      <c r="Y41" s="17">
        <f t="shared" si="9"/>
        <v>-52.534617132012755</v>
      </c>
      <c r="Z41" s="18">
        <f t="shared" si="10"/>
        <v>0.43292406496174707</v>
      </c>
    </row>
    <row r="42" spans="1:26" x14ac:dyDescent="0.25">
      <c r="A42" s="55" t="s">
        <v>19</v>
      </c>
      <c r="B42" s="1">
        <v>17.5</v>
      </c>
      <c r="C42" s="73">
        <v>24.306000000000001</v>
      </c>
      <c r="D42" s="7">
        <v>500</v>
      </c>
      <c r="E42" s="61">
        <v>220</v>
      </c>
      <c r="F42" s="7">
        <f t="shared" si="0"/>
        <v>180</v>
      </c>
      <c r="G42" s="7">
        <f t="shared" si="1"/>
        <v>383.72643743487731</v>
      </c>
      <c r="H42" s="61">
        <v>12</v>
      </c>
      <c r="I42" s="61">
        <v>3</v>
      </c>
      <c r="J42" s="61">
        <v>12</v>
      </c>
      <c r="K42" s="61">
        <v>3</v>
      </c>
      <c r="L42" s="19">
        <f t="shared" si="2"/>
        <v>678.58401317539528</v>
      </c>
      <c r="M42" s="7" t="str">
        <f t="shared" si="3"/>
        <v>OK</v>
      </c>
      <c r="N42" s="17">
        <f t="shared" si="4"/>
        <v>42.982868562555893</v>
      </c>
      <c r="O42" s="18">
        <f t="shared" si="5"/>
        <v>0.56548110474818181</v>
      </c>
      <c r="P42" s="1">
        <v>17.5</v>
      </c>
      <c r="Q42" s="82">
        <v>-32.128999999999998</v>
      </c>
      <c r="R42" s="7">
        <f t="shared" si="6"/>
        <v>415.00684595313737</v>
      </c>
      <c r="S42" s="61">
        <v>12</v>
      </c>
      <c r="T42" s="61">
        <v>3</v>
      </c>
      <c r="U42" s="61">
        <v>12</v>
      </c>
      <c r="V42" s="61">
        <v>3</v>
      </c>
      <c r="W42" s="19">
        <f t="shared" si="7"/>
        <v>678.58401317539528</v>
      </c>
      <c r="X42" s="7" t="str">
        <f t="shared" si="8"/>
        <v>OK</v>
      </c>
      <c r="Y42" s="17">
        <f t="shared" si="9"/>
        <v>-52.534617132012755</v>
      </c>
      <c r="Z42" s="18">
        <f t="shared" si="10"/>
        <v>0.61157769398535711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C633-B607-4CD8-A04C-FB2D44CAA0A1}">
  <sheetPr codeName="Foglio2"/>
  <dimension ref="A1:AA42"/>
  <sheetViews>
    <sheetView topLeftCell="A52" zoomScale="55" zoomScaleNormal="55" workbookViewId="0">
      <selection activeCell="AC62" sqref="AC62"/>
    </sheetView>
  </sheetViews>
  <sheetFormatPr defaultRowHeight="15" x14ac:dyDescent="0.25"/>
  <cols>
    <col min="1" max="2" width="9.140625" style="54"/>
    <col min="3" max="3" width="9.140625" style="62"/>
    <col min="4" max="11" width="9.140625" style="54"/>
    <col min="12" max="13" width="9.140625" style="62"/>
    <col min="14" max="14" width="10.42578125" style="62" customWidth="1"/>
    <col min="15" max="15" width="13.28515625" style="62" customWidth="1"/>
    <col min="16" max="26" width="9.140625" style="62"/>
    <col min="27" max="27" width="14.28515625" style="62" customWidth="1"/>
    <col min="28" max="16384" width="9.140625" style="62"/>
  </cols>
  <sheetData>
    <row r="1" spans="1:27" x14ac:dyDescent="0.25">
      <c r="B1" s="16" t="s">
        <v>29</v>
      </c>
      <c r="C1" s="16"/>
      <c r="P1" s="16" t="s">
        <v>30</v>
      </c>
      <c r="Q1" s="16"/>
      <c r="R1" s="16"/>
      <c r="AA1" s="54"/>
    </row>
    <row r="2" spans="1:27" x14ac:dyDescent="0.25">
      <c r="B2" s="63" t="s">
        <v>2</v>
      </c>
      <c r="C2" s="6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N2" s="5" t="s">
        <v>31</v>
      </c>
      <c r="O2" s="5" t="s">
        <v>32</v>
      </c>
      <c r="P2" s="63" t="s">
        <v>2</v>
      </c>
      <c r="Q2" s="6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Y2" s="5" t="s">
        <v>31</v>
      </c>
      <c r="Z2" s="5" t="s">
        <v>32</v>
      </c>
    </row>
    <row r="3" spans="1:27" x14ac:dyDescent="0.25">
      <c r="B3" s="64" t="s">
        <v>7</v>
      </c>
      <c r="C3" s="64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N3" s="9" t="s">
        <v>9</v>
      </c>
      <c r="O3" s="8" t="s">
        <v>28</v>
      </c>
      <c r="P3" s="64" t="s">
        <v>7</v>
      </c>
      <c r="Q3" s="64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Y3" s="9" t="s">
        <v>9</v>
      </c>
      <c r="Z3" s="8" t="s">
        <v>28</v>
      </c>
    </row>
    <row r="4" spans="1:27" x14ac:dyDescent="0.25">
      <c r="A4" s="55" t="s">
        <v>16</v>
      </c>
      <c r="B4" s="54">
        <v>0</v>
      </c>
      <c r="C4" s="78">
        <v>24.3249</v>
      </c>
      <c r="D4" s="7">
        <v>500</v>
      </c>
      <c r="E4" s="61">
        <v>220</v>
      </c>
      <c r="F4" s="7">
        <f>E4-40</f>
        <v>180</v>
      </c>
      <c r="G4" s="7">
        <f>ABS(C4)*1000^2/(0.9*391*F4)</f>
        <v>384.02481765653118</v>
      </c>
      <c r="H4" s="61">
        <v>12</v>
      </c>
      <c r="I4" s="61">
        <v>3</v>
      </c>
      <c r="J4" s="61">
        <v>12</v>
      </c>
      <c r="K4" s="61">
        <v>3</v>
      </c>
      <c r="L4" s="19">
        <f>PI()*(H4^2/4*I4+J4^2/4*K4)</f>
        <v>678.58401317539528</v>
      </c>
      <c r="M4" s="7" t="str">
        <f>IF(L4&gt;=G4,"OK","NO")</f>
        <v>OK</v>
      </c>
      <c r="N4" s="17">
        <f>(L4*0.9*391*F4)/1000^2</f>
        <v>42.982868562555893</v>
      </c>
      <c r="O4" s="18">
        <f>C4/N4</f>
        <v>0.56592081481482137</v>
      </c>
      <c r="P4" s="54">
        <v>0</v>
      </c>
      <c r="Q4" s="83">
        <v>-32.717700000000001</v>
      </c>
      <c r="R4" s="7">
        <f>ABS(Q4)*1000^2/(0.9*391*E4)</f>
        <v>422.61102069286204</v>
      </c>
      <c r="S4" s="61">
        <v>12</v>
      </c>
      <c r="T4" s="61">
        <v>3</v>
      </c>
      <c r="U4" s="61">
        <v>12</v>
      </c>
      <c r="V4" s="61">
        <v>3</v>
      </c>
      <c r="W4" s="19">
        <f>PI()*(S4^2/4*T4+U4^2/4*V4)</f>
        <v>678.58401317539528</v>
      </c>
      <c r="X4" s="7" t="str">
        <f>IF(W4&gt;=R4,"OK","NO")</f>
        <v>OK</v>
      </c>
      <c r="Y4" s="17">
        <f>-(W4*0.9*391*E4)/1000^2</f>
        <v>-52.534617132012755</v>
      </c>
      <c r="Z4" s="18">
        <f>Q4/Y4</f>
        <v>0.62278363841092843</v>
      </c>
    </row>
    <row r="5" spans="1:27" x14ac:dyDescent="0.25">
      <c r="A5" s="55" t="s">
        <v>16</v>
      </c>
      <c r="B5" s="54">
        <v>0.5</v>
      </c>
      <c r="C5" s="78">
        <v>19.936199999999999</v>
      </c>
      <c r="D5" s="7">
        <v>500</v>
      </c>
      <c r="E5" s="61">
        <v>220</v>
      </c>
      <c r="F5" s="7">
        <f t="shared" ref="F5:F42" si="0">E5-40</f>
        <v>180</v>
      </c>
      <c r="G5" s="7">
        <f t="shared" ref="G5:G42" si="1">ABS(C5)*1000^2/(0.9*391*F5)</f>
        <v>314.73903571090267</v>
      </c>
      <c r="H5" s="61">
        <v>12</v>
      </c>
      <c r="I5" s="61">
        <v>3</v>
      </c>
      <c r="J5" s="61">
        <v>12</v>
      </c>
      <c r="K5" s="61">
        <v>3</v>
      </c>
      <c r="L5" s="19">
        <f t="shared" ref="L5:L42" si="2">PI()*(H5^2/4*I5+J5^2/4*K5)</f>
        <v>678.58401317539528</v>
      </c>
      <c r="M5" s="7" t="str">
        <f t="shared" ref="M5:M42" si="3">IF(L5&gt;=G5,"OK","NO")</f>
        <v>OK</v>
      </c>
      <c r="N5" s="17">
        <f t="shared" ref="N5:N42" si="4">(L5*0.9*391*F5)/1000^2</f>
        <v>42.982868562555893</v>
      </c>
      <c r="O5" s="18">
        <f t="shared" ref="O5:O42" si="5">C5/N5</f>
        <v>0.46381734553117343</v>
      </c>
      <c r="P5" s="54">
        <v>0.5</v>
      </c>
      <c r="Q5" s="83">
        <v>-23.209299999999999</v>
      </c>
      <c r="R5" s="7">
        <f t="shared" ref="R5:R42" si="6">ABS(Q5)*1000^2/(0.9*391*E5)</f>
        <v>299.79203802733207</v>
      </c>
      <c r="S5" s="61">
        <v>12</v>
      </c>
      <c r="T5" s="61">
        <v>3</v>
      </c>
      <c r="U5" s="61">
        <v>12</v>
      </c>
      <c r="V5" s="61">
        <v>3</v>
      </c>
      <c r="W5" s="19">
        <f t="shared" ref="W5:W42" si="7">PI()*(S5^2/4*T5+U5^2/4*V5)</f>
        <v>678.58401317539528</v>
      </c>
      <c r="X5" s="7" t="str">
        <f t="shared" ref="X5:X42" si="8">IF(W5&gt;=R5,"OK","NO")</f>
        <v>OK</v>
      </c>
      <c r="Y5" s="17">
        <f t="shared" ref="Y5:Y42" si="9">-(W5*0.9*391*E5)/1000^2</f>
        <v>-52.534617132012755</v>
      </c>
      <c r="Z5" s="18">
        <f t="shared" ref="Z5:Z42" si="10">Q5/Y5</f>
        <v>0.44179059955225342</v>
      </c>
    </row>
    <row r="6" spans="1:27" x14ac:dyDescent="0.25">
      <c r="A6" s="55" t="s">
        <v>16</v>
      </c>
      <c r="B6" s="54">
        <v>1</v>
      </c>
      <c r="C6" s="78">
        <v>14.860200000000001</v>
      </c>
      <c r="D6" s="7">
        <v>500</v>
      </c>
      <c r="E6" s="61">
        <v>220</v>
      </c>
      <c r="F6" s="7">
        <f t="shared" si="0"/>
        <v>180</v>
      </c>
      <c r="G6" s="7">
        <f t="shared" si="1"/>
        <v>234.60263332386091</v>
      </c>
      <c r="H6" s="61">
        <v>12</v>
      </c>
      <c r="I6" s="61">
        <v>3</v>
      </c>
      <c r="J6" s="61">
        <v>12</v>
      </c>
      <c r="K6" s="61">
        <v>3</v>
      </c>
      <c r="L6" s="19">
        <f t="shared" si="2"/>
        <v>678.58401317539528</v>
      </c>
      <c r="M6" s="7" t="str">
        <f t="shared" si="3"/>
        <v>OK</v>
      </c>
      <c r="N6" s="17">
        <f t="shared" si="4"/>
        <v>42.982868562555893</v>
      </c>
      <c r="O6" s="18">
        <f t="shared" si="5"/>
        <v>0.34572378477655441</v>
      </c>
      <c r="P6" s="54">
        <v>1</v>
      </c>
      <c r="Q6" s="83">
        <v>-14.3881</v>
      </c>
      <c r="R6" s="7">
        <f t="shared" si="6"/>
        <v>185.84954403368721</v>
      </c>
      <c r="S6" s="61">
        <v>12</v>
      </c>
      <c r="T6" s="61">
        <v>3</v>
      </c>
      <c r="U6" s="61">
        <v>12</v>
      </c>
      <c r="V6" s="61">
        <v>3</v>
      </c>
      <c r="W6" s="19">
        <f t="shared" si="7"/>
        <v>678.58401317539528</v>
      </c>
      <c r="X6" s="7" t="str">
        <f t="shared" si="8"/>
        <v>OK</v>
      </c>
      <c r="Y6" s="17">
        <f t="shared" si="9"/>
        <v>-52.534617132012755</v>
      </c>
      <c r="Z6" s="18">
        <f t="shared" si="10"/>
        <v>0.27387845929940918</v>
      </c>
    </row>
    <row r="7" spans="1:27" x14ac:dyDescent="0.25">
      <c r="A7" s="55" t="s">
        <v>16</v>
      </c>
      <c r="B7" s="54">
        <v>1.5</v>
      </c>
      <c r="C7" s="78">
        <v>9.0968999999999998</v>
      </c>
      <c r="D7" s="7">
        <v>500</v>
      </c>
      <c r="E7" s="61">
        <v>220</v>
      </c>
      <c r="F7" s="7">
        <f t="shared" si="0"/>
        <v>180</v>
      </c>
      <c r="G7" s="7">
        <f t="shared" si="1"/>
        <v>143.61561049540589</v>
      </c>
      <c r="H7" s="61">
        <v>12</v>
      </c>
      <c r="I7" s="61">
        <v>3</v>
      </c>
      <c r="J7" s="61">
        <v>12</v>
      </c>
      <c r="K7" s="61">
        <v>3</v>
      </c>
      <c r="L7" s="19">
        <f t="shared" si="2"/>
        <v>678.58401317539528</v>
      </c>
      <c r="M7" s="7" t="str">
        <f t="shared" si="3"/>
        <v>OK</v>
      </c>
      <c r="N7" s="17">
        <f t="shared" si="4"/>
        <v>42.982868562555893</v>
      </c>
      <c r="O7" s="18">
        <f t="shared" si="5"/>
        <v>0.21164013255096417</v>
      </c>
      <c r="P7" s="54">
        <v>1.5</v>
      </c>
      <c r="Q7" s="83">
        <v>-6.2542999999999997</v>
      </c>
      <c r="R7" s="7">
        <f t="shared" si="6"/>
        <v>80.786122090469902</v>
      </c>
      <c r="S7" s="61">
        <v>12</v>
      </c>
      <c r="T7" s="61">
        <v>3</v>
      </c>
      <c r="U7" s="61">
        <v>12</v>
      </c>
      <c r="V7" s="61">
        <v>3</v>
      </c>
      <c r="W7" s="19">
        <f t="shared" si="7"/>
        <v>678.58401317539528</v>
      </c>
      <c r="X7" s="7" t="str">
        <f t="shared" si="8"/>
        <v>OK</v>
      </c>
      <c r="Y7" s="17">
        <f t="shared" si="9"/>
        <v>-52.534617132012755</v>
      </c>
      <c r="Z7" s="18">
        <f t="shared" si="10"/>
        <v>0.11905102466595971</v>
      </c>
    </row>
    <row r="8" spans="1:27" x14ac:dyDescent="0.25">
      <c r="A8" s="55" t="s">
        <v>16</v>
      </c>
      <c r="B8" s="54">
        <v>2</v>
      </c>
      <c r="C8" s="78">
        <v>2.6465000000000001</v>
      </c>
      <c r="D8" s="7">
        <v>500</v>
      </c>
      <c r="E8" s="61">
        <v>220</v>
      </c>
      <c r="F8" s="7">
        <f t="shared" si="0"/>
        <v>180</v>
      </c>
      <c r="G8" s="7">
        <f t="shared" si="1"/>
        <v>41.781124688200556</v>
      </c>
      <c r="H8" s="61">
        <v>12</v>
      </c>
      <c r="I8" s="61">
        <v>3</v>
      </c>
      <c r="J8" s="61">
        <v>12</v>
      </c>
      <c r="K8" s="61">
        <v>3</v>
      </c>
      <c r="L8" s="19">
        <f t="shared" si="2"/>
        <v>678.58401317539528</v>
      </c>
      <c r="M8" s="7" t="str">
        <f t="shared" si="3"/>
        <v>OK</v>
      </c>
      <c r="N8" s="17">
        <f t="shared" si="4"/>
        <v>42.982868562555893</v>
      </c>
      <c r="O8" s="18">
        <f t="shared" si="5"/>
        <v>6.1571041870980961E-2</v>
      </c>
      <c r="P8" s="54">
        <v>2</v>
      </c>
      <c r="Q8" s="83">
        <v>1.1920999999999999</v>
      </c>
      <c r="R8" s="7">
        <f t="shared" si="6"/>
        <v>15.398227802319871</v>
      </c>
      <c r="S8" s="61">
        <v>12</v>
      </c>
      <c r="T8" s="61">
        <v>3</v>
      </c>
      <c r="U8" s="61">
        <v>12</v>
      </c>
      <c r="V8" s="61">
        <v>3</v>
      </c>
      <c r="W8" s="19">
        <f t="shared" si="7"/>
        <v>678.58401317539528</v>
      </c>
      <c r="X8" s="7" t="str">
        <f t="shared" si="8"/>
        <v>OK</v>
      </c>
      <c r="Y8" s="17">
        <f t="shared" si="9"/>
        <v>-52.534617132012755</v>
      </c>
      <c r="Z8" s="18">
        <f t="shared" si="10"/>
        <v>-2.2691704348095001E-2</v>
      </c>
    </row>
    <row r="9" spans="1:27" x14ac:dyDescent="0.25">
      <c r="A9" s="55" t="s">
        <v>16</v>
      </c>
      <c r="B9" s="54">
        <v>2.5</v>
      </c>
      <c r="C9" s="78">
        <v>7.9516</v>
      </c>
      <c r="D9" s="7">
        <v>500</v>
      </c>
      <c r="E9" s="61">
        <v>220</v>
      </c>
      <c r="F9" s="7">
        <f t="shared" si="0"/>
        <v>180</v>
      </c>
      <c r="G9" s="7">
        <f t="shared" si="1"/>
        <v>125.53440055571342</v>
      </c>
      <c r="H9" s="61">
        <v>12</v>
      </c>
      <c r="I9" s="61">
        <v>3</v>
      </c>
      <c r="J9" s="61">
        <v>12</v>
      </c>
      <c r="K9" s="61">
        <v>3</v>
      </c>
      <c r="L9" s="19">
        <f t="shared" si="2"/>
        <v>678.58401317539528</v>
      </c>
      <c r="M9" s="7" t="str">
        <f t="shared" si="3"/>
        <v>OK</v>
      </c>
      <c r="N9" s="17">
        <f t="shared" si="4"/>
        <v>42.982868562555893</v>
      </c>
      <c r="O9" s="18">
        <f t="shared" si="5"/>
        <v>0.18499463311592373</v>
      </c>
      <c r="P9" s="54">
        <v>2.5</v>
      </c>
      <c r="Q9" s="83">
        <v>-4.4917999999999996</v>
      </c>
      <c r="R9" s="7">
        <f t="shared" si="6"/>
        <v>58.020098685060312</v>
      </c>
      <c r="S9" s="61">
        <v>12</v>
      </c>
      <c r="T9" s="61">
        <v>3</v>
      </c>
      <c r="U9" s="61">
        <v>12</v>
      </c>
      <c r="V9" s="61">
        <v>3</v>
      </c>
      <c r="W9" s="19">
        <f t="shared" si="7"/>
        <v>678.58401317539528</v>
      </c>
      <c r="X9" s="7" t="str">
        <f t="shared" si="8"/>
        <v>OK</v>
      </c>
      <c r="Y9" s="17">
        <f t="shared" si="9"/>
        <v>-52.534617132012755</v>
      </c>
      <c r="Z9" s="18">
        <f t="shared" si="10"/>
        <v>8.5501717633397464E-2</v>
      </c>
    </row>
    <row r="10" spans="1:27" x14ac:dyDescent="0.25">
      <c r="A10" s="55" t="s">
        <v>16</v>
      </c>
      <c r="B10" s="54">
        <v>3</v>
      </c>
      <c r="C10" s="78">
        <v>14.0236</v>
      </c>
      <c r="D10" s="7">
        <v>500</v>
      </c>
      <c r="E10" s="61">
        <v>220</v>
      </c>
      <c r="F10" s="7">
        <f t="shared" si="0"/>
        <v>180</v>
      </c>
      <c r="G10" s="7">
        <f t="shared" si="1"/>
        <v>221.39496700451514</v>
      </c>
      <c r="H10" s="61">
        <v>12</v>
      </c>
      <c r="I10" s="61">
        <v>3</v>
      </c>
      <c r="J10" s="61">
        <v>12</v>
      </c>
      <c r="K10" s="61">
        <v>3</v>
      </c>
      <c r="L10" s="19">
        <f t="shared" si="2"/>
        <v>678.58401317539528</v>
      </c>
      <c r="M10" s="7" t="str">
        <f t="shared" si="3"/>
        <v>OK</v>
      </c>
      <c r="N10" s="17">
        <f t="shared" si="4"/>
        <v>42.982868562555893</v>
      </c>
      <c r="O10" s="18">
        <f t="shared" si="5"/>
        <v>0.32626021642995978</v>
      </c>
      <c r="P10" s="54">
        <v>3</v>
      </c>
      <c r="Q10" s="83">
        <v>-12.317</v>
      </c>
      <c r="R10" s="7">
        <f t="shared" si="6"/>
        <v>159.0973675372652</v>
      </c>
      <c r="S10" s="61">
        <v>12</v>
      </c>
      <c r="T10" s="61">
        <v>3</v>
      </c>
      <c r="U10" s="61">
        <v>12</v>
      </c>
      <c r="V10" s="61">
        <v>3</v>
      </c>
      <c r="W10" s="19">
        <f t="shared" si="7"/>
        <v>678.58401317539528</v>
      </c>
      <c r="X10" s="7" t="str">
        <f t="shared" si="8"/>
        <v>OK</v>
      </c>
      <c r="Y10" s="17">
        <f t="shared" si="9"/>
        <v>-52.534617132012755</v>
      </c>
      <c r="Z10" s="18">
        <f t="shared" si="10"/>
        <v>0.23445493033762782</v>
      </c>
    </row>
    <row r="11" spans="1:27" x14ac:dyDescent="0.25">
      <c r="A11" s="55" t="s">
        <v>16</v>
      </c>
      <c r="B11" s="54">
        <v>3.5</v>
      </c>
      <c r="C11" s="78">
        <v>19.408300000000001</v>
      </c>
      <c r="D11" s="7">
        <v>500</v>
      </c>
      <c r="E11" s="61">
        <v>220</v>
      </c>
      <c r="F11" s="7">
        <f t="shared" si="0"/>
        <v>180</v>
      </c>
      <c r="G11" s="7">
        <f t="shared" si="1"/>
        <v>306.4049130119036</v>
      </c>
      <c r="H11" s="61">
        <v>12</v>
      </c>
      <c r="I11" s="61">
        <v>3</v>
      </c>
      <c r="J11" s="61">
        <v>12</v>
      </c>
      <c r="K11" s="61">
        <v>3</v>
      </c>
      <c r="L11" s="19">
        <f t="shared" si="2"/>
        <v>678.58401317539528</v>
      </c>
      <c r="M11" s="7" t="str">
        <f t="shared" si="3"/>
        <v>OK</v>
      </c>
      <c r="N11" s="17">
        <f t="shared" si="4"/>
        <v>42.982868562555893</v>
      </c>
      <c r="O11" s="18">
        <f t="shared" si="5"/>
        <v>0.45153570827302464</v>
      </c>
      <c r="P11" s="54">
        <v>3.5</v>
      </c>
      <c r="Q11" s="83">
        <v>-20.829499999999999</v>
      </c>
      <c r="R11" s="7">
        <f t="shared" si="6"/>
        <v>269.05241675062643</v>
      </c>
      <c r="S11" s="61">
        <v>12</v>
      </c>
      <c r="T11" s="61">
        <v>3</v>
      </c>
      <c r="U11" s="61">
        <v>12</v>
      </c>
      <c r="V11" s="61">
        <v>3</v>
      </c>
      <c r="W11" s="19">
        <f t="shared" si="7"/>
        <v>678.58401317539528</v>
      </c>
      <c r="X11" s="7" t="str">
        <f t="shared" si="8"/>
        <v>OK</v>
      </c>
      <c r="Y11" s="17">
        <f t="shared" si="9"/>
        <v>-52.534617132012755</v>
      </c>
      <c r="Z11" s="18">
        <f t="shared" si="10"/>
        <v>0.39649094515447098</v>
      </c>
    </row>
    <row r="12" spans="1:27" x14ac:dyDescent="0.25">
      <c r="A12" s="55" t="s">
        <v>16</v>
      </c>
      <c r="B12" s="54">
        <v>4</v>
      </c>
      <c r="C12" s="78">
        <v>24.105699999999999</v>
      </c>
      <c r="D12" s="7">
        <v>500</v>
      </c>
      <c r="E12" s="61">
        <v>220</v>
      </c>
      <c r="F12" s="7">
        <f t="shared" si="0"/>
        <v>180</v>
      </c>
      <c r="G12" s="7">
        <f t="shared" si="1"/>
        <v>380.56423857787877</v>
      </c>
      <c r="H12" s="61">
        <v>12</v>
      </c>
      <c r="I12" s="61">
        <v>3</v>
      </c>
      <c r="J12" s="61">
        <v>12</v>
      </c>
      <c r="K12" s="61">
        <v>3</v>
      </c>
      <c r="L12" s="19">
        <f t="shared" si="2"/>
        <v>678.58401317539528</v>
      </c>
      <c r="M12" s="7" t="str">
        <f t="shared" si="3"/>
        <v>OK</v>
      </c>
      <c r="N12" s="17">
        <f t="shared" si="4"/>
        <v>42.982868562555893</v>
      </c>
      <c r="O12" s="18">
        <f t="shared" si="5"/>
        <v>0.56082110864511836</v>
      </c>
      <c r="P12" s="54">
        <v>4</v>
      </c>
      <c r="Q12" s="83">
        <v>-30.029299999999999</v>
      </c>
      <c r="R12" s="7">
        <f t="shared" si="6"/>
        <v>387.88524632514395</v>
      </c>
      <c r="S12" s="61">
        <v>12</v>
      </c>
      <c r="T12" s="61">
        <v>3</v>
      </c>
      <c r="U12" s="61">
        <v>12</v>
      </c>
      <c r="V12" s="61">
        <v>3</v>
      </c>
      <c r="W12" s="19">
        <f t="shared" si="7"/>
        <v>678.58401317539528</v>
      </c>
      <c r="X12" s="7" t="str">
        <f t="shared" si="8"/>
        <v>OK</v>
      </c>
      <c r="Y12" s="17">
        <f t="shared" si="9"/>
        <v>-52.534617132012755</v>
      </c>
      <c r="Z12" s="18">
        <f t="shared" si="10"/>
        <v>0.57160976208392689</v>
      </c>
    </row>
    <row r="13" spans="1:27" x14ac:dyDescent="0.25">
      <c r="A13" s="55" t="s">
        <v>17</v>
      </c>
      <c r="B13" s="54">
        <v>4</v>
      </c>
      <c r="C13" s="78">
        <v>22.210899999999999</v>
      </c>
      <c r="D13" s="7">
        <v>500</v>
      </c>
      <c r="E13" s="61">
        <v>220</v>
      </c>
      <c r="F13" s="7">
        <f t="shared" si="0"/>
        <v>180</v>
      </c>
      <c r="G13" s="7">
        <f t="shared" si="1"/>
        <v>350.65043730857877</v>
      </c>
      <c r="H13" s="61">
        <v>12</v>
      </c>
      <c r="I13" s="61">
        <v>3</v>
      </c>
      <c r="J13" s="61">
        <v>12</v>
      </c>
      <c r="K13" s="61">
        <v>3</v>
      </c>
      <c r="L13" s="19">
        <f t="shared" si="2"/>
        <v>678.58401317539528</v>
      </c>
      <c r="M13" s="7" t="str">
        <f t="shared" si="3"/>
        <v>OK</v>
      </c>
      <c r="N13" s="17">
        <f t="shared" si="4"/>
        <v>42.982868562555893</v>
      </c>
      <c r="O13" s="18">
        <f t="shared" si="5"/>
        <v>0.51673842958328764</v>
      </c>
      <c r="P13" s="54">
        <v>4</v>
      </c>
      <c r="Q13" s="83">
        <v>-30.192499999999999</v>
      </c>
      <c r="R13" s="7">
        <f t="shared" si="6"/>
        <v>389.99328321578952</v>
      </c>
      <c r="S13" s="61">
        <v>12</v>
      </c>
      <c r="T13" s="61">
        <v>3</v>
      </c>
      <c r="U13" s="61">
        <v>12</v>
      </c>
      <c r="V13" s="61">
        <v>3</v>
      </c>
      <c r="W13" s="19">
        <f t="shared" si="7"/>
        <v>678.58401317539528</v>
      </c>
      <c r="X13" s="7" t="str">
        <f t="shared" si="8"/>
        <v>OK</v>
      </c>
      <c r="Y13" s="17">
        <f t="shared" si="9"/>
        <v>-52.534617132012755</v>
      </c>
      <c r="Z13" s="18">
        <f t="shared" si="10"/>
        <v>0.57471628515213347</v>
      </c>
    </row>
    <row r="14" spans="1:27" x14ac:dyDescent="0.25">
      <c r="A14" s="55" t="s">
        <v>17</v>
      </c>
      <c r="B14" s="54">
        <v>4.5</v>
      </c>
      <c r="C14" s="78">
        <v>18.082699999999999</v>
      </c>
      <c r="D14" s="7">
        <v>500</v>
      </c>
      <c r="E14" s="61">
        <v>220</v>
      </c>
      <c r="F14" s="7">
        <f t="shared" si="0"/>
        <v>180</v>
      </c>
      <c r="G14" s="7">
        <f t="shared" si="1"/>
        <v>285.47725048151301</v>
      </c>
      <c r="H14" s="61">
        <v>12</v>
      </c>
      <c r="I14" s="61">
        <v>3</v>
      </c>
      <c r="J14" s="61">
        <v>12</v>
      </c>
      <c r="K14" s="61">
        <v>3</v>
      </c>
      <c r="L14" s="19">
        <f t="shared" si="2"/>
        <v>678.58401317539528</v>
      </c>
      <c r="M14" s="7" t="str">
        <f t="shared" si="3"/>
        <v>OK</v>
      </c>
      <c r="N14" s="17">
        <f t="shared" si="4"/>
        <v>42.982868562555893</v>
      </c>
      <c r="O14" s="18">
        <f t="shared" si="5"/>
        <v>0.42069551439274033</v>
      </c>
      <c r="P14" s="54">
        <v>4.5</v>
      </c>
      <c r="Q14" s="83">
        <v>-21.121700000000001</v>
      </c>
      <c r="R14" s="7">
        <f t="shared" si="6"/>
        <v>272.82673280115728</v>
      </c>
      <c r="S14" s="61">
        <v>12</v>
      </c>
      <c r="T14" s="61">
        <v>3</v>
      </c>
      <c r="U14" s="61">
        <v>12</v>
      </c>
      <c r="V14" s="61">
        <v>3</v>
      </c>
      <c r="W14" s="19">
        <f t="shared" si="7"/>
        <v>678.58401317539528</v>
      </c>
      <c r="X14" s="7" t="str">
        <f t="shared" si="8"/>
        <v>OK</v>
      </c>
      <c r="Y14" s="17">
        <f t="shared" si="9"/>
        <v>-52.534617132012755</v>
      </c>
      <c r="Z14" s="18">
        <f t="shared" si="10"/>
        <v>0.40205299197144384</v>
      </c>
    </row>
    <row r="15" spans="1:27" x14ac:dyDescent="0.25">
      <c r="A15" s="55" t="s">
        <v>17</v>
      </c>
      <c r="B15" s="54">
        <v>5</v>
      </c>
      <c r="C15" s="78">
        <v>13.267300000000001</v>
      </c>
      <c r="D15" s="7">
        <v>500</v>
      </c>
      <c r="E15" s="61">
        <v>220</v>
      </c>
      <c r="F15" s="7">
        <f t="shared" si="0"/>
        <v>180</v>
      </c>
      <c r="G15" s="7">
        <f t="shared" si="1"/>
        <v>209.45502194436548</v>
      </c>
      <c r="H15" s="61">
        <v>12</v>
      </c>
      <c r="I15" s="61">
        <v>3</v>
      </c>
      <c r="J15" s="61">
        <v>12</v>
      </c>
      <c r="K15" s="61">
        <v>3</v>
      </c>
      <c r="L15" s="19">
        <f t="shared" si="2"/>
        <v>678.58401317539528</v>
      </c>
      <c r="M15" s="7" t="str">
        <f t="shared" si="3"/>
        <v>OK</v>
      </c>
      <c r="N15" s="17">
        <f t="shared" si="4"/>
        <v>42.982868562555893</v>
      </c>
      <c r="O15" s="18">
        <f t="shared" si="5"/>
        <v>0.30866483423951091</v>
      </c>
      <c r="P15" s="54">
        <v>5</v>
      </c>
      <c r="Q15" s="83">
        <v>-12.738099999999999</v>
      </c>
      <c r="R15" s="7">
        <f t="shared" si="6"/>
        <v>164.53667105841015</v>
      </c>
      <c r="S15" s="61">
        <v>12</v>
      </c>
      <c r="T15" s="61">
        <v>3</v>
      </c>
      <c r="U15" s="61">
        <v>12</v>
      </c>
      <c r="V15" s="61">
        <v>3</v>
      </c>
      <c r="W15" s="19">
        <f t="shared" si="7"/>
        <v>678.58401317539528</v>
      </c>
      <c r="X15" s="7" t="str">
        <f t="shared" si="8"/>
        <v>OK</v>
      </c>
      <c r="Y15" s="17">
        <f t="shared" si="9"/>
        <v>-52.534617132012755</v>
      </c>
      <c r="Z15" s="18">
        <f t="shared" si="10"/>
        <v>0.24247059739658494</v>
      </c>
    </row>
    <row r="16" spans="1:27" x14ac:dyDescent="0.25">
      <c r="A16" s="55" t="s">
        <v>17</v>
      </c>
      <c r="B16" s="54">
        <v>5.5</v>
      </c>
      <c r="C16" s="78">
        <v>7.7645999999999997</v>
      </c>
      <c r="D16" s="7">
        <v>500</v>
      </c>
      <c r="E16" s="61">
        <v>220</v>
      </c>
      <c r="F16" s="7">
        <f t="shared" si="0"/>
        <v>180</v>
      </c>
      <c r="G16" s="7">
        <f t="shared" si="1"/>
        <v>122.58217296580466</v>
      </c>
      <c r="H16" s="61">
        <v>12</v>
      </c>
      <c r="I16" s="61">
        <v>3</v>
      </c>
      <c r="J16" s="61">
        <v>12</v>
      </c>
      <c r="K16" s="61">
        <v>3</v>
      </c>
      <c r="L16" s="19">
        <f t="shared" si="2"/>
        <v>678.58401317539528</v>
      </c>
      <c r="M16" s="7" t="str">
        <f t="shared" si="3"/>
        <v>OK</v>
      </c>
      <c r="N16" s="17">
        <f t="shared" si="4"/>
        <v>42.982868562555893</v>
      </c>
      <c r="O16" s="18">
        <f t="shared" si="5"/>
        <v>0.1806440626153103</v>
      </c>
      <c r="P16" s="54">
        <v>5.5</v>
      </c>
      <c r="Q16" s="83">
        <v>-5.0419</v>
      </c>
      <c r="R16" s="7">
        <f t="shared" si="6"/>
        <v>65.125681366090561</v>
      </c>
      <c r="S16" s="61">
        <v>12</v>
      </c>
      <c r="T16" s="61">
        <v>3</v>
      </c>
      <c r="U16" s="61">
        <v>12</v>
      </c>
      <c r="V16" s="61">
        <v>3</v>
      </c>
      <c r="W16" s="19">
        <f t="shared" si="7"/>
        <v>678.58401317539528</v>
      </c>
      <c r="X16" s="7" t="str">
        <f t="shared" si="8"/>
        <v>OK</v>
      </c>
      <c r="Y16" s="17">
        <f t="shared" si="9"/>
        <v>-52.534617132012755</v>
      </c>
      <c r="Z16" s="18">
        <f t="shared" si="10"/>
        <v>9.5972908441120872E-2</v>
      </c>
    </row>
    <row r="17" spans="1:26" x14ac:dyDescent="0.25">
      <c r="A17" s="55" t="s">
        <v>17</v>
      </c>
      <c r="B17" s="54">
        <v>6</v>
      </c>
      <c r="C17" s="78">
        <v>1.9672000000000001</v>
      </c>
      <c r="D17" s="7">
        <v>500</v>
      </c>
      <c r="E17" s="61">
        <v>220</v>
      </c>
      <c r="F17" s="7">
        <f t="shared" si="0"/>
        <v>180</v>
      </c>
      <c r="G17" s="7">
        <f t="shared" si="1"/>
        <v>31.056802753307437</v>
      </c>
      <c r="H17" s="61">
        <v>12</v>
      </c>
      <c r="I17" s="61">
        <v>3</v>
      </c>
      <c r="J17" s="61">
        <v>12</v>
      </c>
      <c r="K17" s="61">
        <v>3</v>
      </c>
      <c r="L17" s="19">
        <f t="shared" si="2"/>
        <v>678.58401317539528</v>
      </c>
      <c r="M17" s="7" t="str">
        <f t="shared" si="3"/>
        <v>OK</v>
      </c>
      <c r="N17" s="17">
        <f t="shared" si="4"/>
        <v>42.982868562555893</v>
      </c>
      <c r="O17" s="18">
        <f t="shared" si="5"/>
        <v>4.5767071063137633E-2</v>
      </c>
      <c r="P17" s="54">
        <v>6</v>
      </c>
      <c r="Q17" s="83">
        <v>1.5744</v>
      </c>
      <c r="R17" s="7">
        <f t="shared" si="6"/>
        <v>20.336355886228006</v>
      </c>
      <c r="S17" s="61">
        <v>12</v>
      </c>
      <c r="T17" s="61">
        <v>3</v>
      </c>
      <c r="U17" s="61">
        <v>12</v>
      </c>
      <c r="V17" s="61">
        <v>3</v>
      </c>
      <c r="W17" s="19">
        <f t="shared" si="7"/>
        <v>678.58401317539528</v>
      </c>
      <c r="X17" s="7" t="str">
        <f t="shared" si="8"/>
        <v>OK</v>
      </c>
      <c r="Y17" s="17">
        <f t="shared" si="9"/>
        <v>-52.534617132012755</v>
      </c>
      <c r="Z17" s="18">
        <f t="shared" si="10"/>
        <v>-2.9968810775640273E-2</v>
      </c>
    </row>
    <row r="18" spans="1:26" x14ac:dyDescent="0.25">
      <c r="A18" s="55" t="s">
        <v>17</v>
      </c>
      <c r="B18" s="54">
        <v>6.5</v>
      </c>
      <c r="C18" s="78">
        <v>8.2887000000000004</v>
      </c>
      <c r="D18" s="7">
        <v>500</v>
      </c>
      <c r="E18" s="61">
        <v>220</v>
      </c>
      <c r="F18" s="7">
        <f t="shared" si="0"/>
        <v>180</v>
      </c>
      <c r="G18" s="7">
        <f t="shared" si="1"/>
        <v>130.85630387420667</v>
      </c>
      <c r="H18" s="61">
        <v>12</v>
      </c>
      <c r="I18" s="61">
        <v>3</v>
      </c>
      <c r="J18" s="61">
        <v>12</v>
      </c>
      <c r="K18" s="61">
        <v>3</v>
      </c>
      <c r="L18" s="19">
        <f t="shared" si="2"/>
        <v>678.58401317539528</v>
      </c>
      <c r="M18" s="7" t="str">
        <f t="shared" si="3"/>
        <v>OK</v>
      </c>
      <c r="N18" s="17">
        <f t="shared" si="4"/>
        <v>42.982868562555893</v>
      </c>
      <c r="O18" s="18">
        <f t="shared" si="5"/>
        <v>0.19283729255847343</v>
      </c>
      <c r="P18" s="54">
        <v>6.5</v>
      </c>
      <c r="Q18" s="83">
        <v>-5.3028000000000004</v>
      </c>
      <c r="R18" s="7">
        <f t="shared" si="6"/>
        <v>68.495698674726796</v>
      </c>
      <c r="S18" s="61">
        <v>12</v>
      </c>
      <c r="T18" s="61">
        <v>3</v>
      </c>
      <c r="U18" s="61">
        <v>12</v>
      </c>
      <c r="V18" s="61">
        <v>3</v>
      </c>
      <c r="W18" s="19">
        <f t="shared" si="7"/>
        <v>678.58401317539528</v>
      </c>
      <c r="X18" s="7" t="str">
        <f t="shared" si="8"/>
        <v>OK</v>
      </c>
      <c r="Y18" s="17">
        <f t="shared" si="9"/>
        <v>-52.534617132012755</v>
      </c>
      <c r="Z18" s="18">
        <f t="shared" si="10"/>
        <v>0.10093915763533108</v>
      </c>
    </row>
    <row r="19" spans="1:26" x14ac:dyDescent="0.25">
      <c r="A19" s="55" t="s">
        <v>17</v>
      </c>
      <c r="B19" s="54">
        <v>7</v>
      </c>
      <c r="C19" s="78">
        <v>13.923</v>
      </c>
      <c r="D19" s="7">
        <v>500</v>
      </c>
      <c r="E19" s="61">
        <v>220</v>
      </c>
      <c r="F19" s="7">
        <f t="shared" si="0"/>
        <v>180</v>
      </c>
      <c r="G19" s="7">
        <f t="shared" si="1"/>
        <v>219.80676328502412</v>
      </c>
      <c r="H19" s="61">
        <v>12</v>
      </c>
      <c r="I19" s="61">
        <v>3</v>
      </c>
      <c r="J19" s="61">
        <v>12</v>
      </c>
      <c r="K19" s="61">
        <v>3</v>
      </c>
      <c r="L19" s="19">
        <f t="shared" si="2"/>
        <v>678.58401317539528</v>
      </c>
      <c r="M19" s="7" t="str">
        <f t="shared" si="3"/>
        <v>OK</v>
      </c>
      <c r="N19" s="17">
        <f t="shared" si="4"/>
        <v>42.982868562555893</v>
      </c>
      <c r="O19" s="18">
        <f t="shared" si="5"/>
        <v>0.32391974909112708</v>
      </c>
      <c r="P19" s="54">
        <v>7</v>
      </c>
      <c r="Q19" s="83">
        <v>-12.8674</v>
      </c>
      <c r="R19" s="7">
        <f t="shared" si="6"/>
        <v>166.20682528610914</v>
      </c>
      <c r="S19" s="61">
        <v>12</v>
      </c>
      <c r="T19" s="61">
        <v>3</v>
      </c>
      <c r="U19" s="61">
        <v>12</v>
      </c>
      <c r="V19" s="61">
        <v>3</v>
      </c>
      <c r="W19" s="19">
        <f t="shared" si="7"/>
        <v>678.58401317539528</v>
      </c>
      <c r="X19" s="7" t="str">
        <f t="shared" si="8"/>
        <v>OK</v>
      </c>
      <c r="Y19" s="17">
        <f t="shared" si="9"/>
        <v>-52.534617132012755</v>
      </c>
      <c r="Z19" s="18">
        <f t="shared" si="10"/>
        <v>0.24493183166569718</v>
      </c>
    </row>
    <row r="20" spans="1:26" x14ac:dyDescent="0.25">
      <c r="A20" s="55" t="s">
        <v>17</v>
      </c>
      <c r="B20" s="54">
        <v>7.5</v>
      </c>
      <c r="C20" s="78">
        <v>18.87</v>
      </c>
      <c r="D20" s="7">
        <v>500</v>
      </c>
      <c r="E20" s="61">
        <v>220</v>
      </c>
      <c r="F20" s="7">
        <f t="shared" si="0"/>
        <v>180</v>
      </c>
      <c r="G20" s="7">
        <f t="shared" si="1"/>
        <v>297.90660225442832</v>
      </c>
      <c r="H20" s="61">
        <v>12</v>
      </c>
      <c r="I20" s="61">
        <v>3</v>
      </c>
      <c r="J20" s="61">
        <v>12</v>
      </c>
      <c r="K20" s="61">
        <v>3</v>
      </c>
      <c r="L20" s="19">
        <f t="shared" si="2"/>
        <v>678.58401317539528</v>
      </c>
      <c r="M20" s="7" t="str">
        <f t="shared" si="3"/>
        <v>OK</v>
      </c>
      <c r="N20" s="17">
        <f t="shared" si="4"/>
        <v>42.982868562555893</v>
      </c>
      <c r="O20" s="18">
        <f t="shared" si="5"/>
        <v>0.43901211415280966</v>
      </c>
      <c r="P20" s="54">
        <v>7.5</v>
      </c>
      <c r="Q20" s="83">
        <v>-21.119299999999999</v>
      </c>
      <c r="R20" s="7">
        <f t="shared" si="6"/>
        <v>272.79573225864783</v>
      </c>
      <c r="S20" s="61">
        <v>12</v>
      </c>
      <c r="T20" s="61">
        <v>3</v>
      </c>
      <c r="U20" s="61">
        <v>12</v>
      </c>
      <c r="V20" s="61">
        <v>3</v>
      </c>
      <c r="W20" s="19">
        <f t="shared" si="7"/>
        <v>678.58401317539528</v>
      </c>
      <c r="X20" s="7" t="str">
        <f t="shared" si="8"/>
        <v>OK</v>
      </c>
      <c r="Y20" s="17">
        <f t="shared" si="9"/>
        <v>-52.534617132012755</v>
      </c>
      <c r="Z20" s="18">
        <f t="shared" si="10"/>
        <v>0.40200730780867605</v>
      </c>
    </row>
    <row r="21" spans="1:26" x14ac:dyDescent="0.25">
      <c r="A21" s="55" t="s">
        <v>17</v>
      </c>
      <c r="B21" s="54">
        <v>8</v>
      </c>
      <c r="C21" s="78">
        <v>23.129799999999999</v>
      </c>
      <c r="D21" s="7">
        <v>500</v>
      </c>
      <c r="E21" s="61">
        <v>220</v>
      </c>
      <c r="F21" s="7">
        <f t="shared" si="0"/>
        <v>180</v>
      </c>
      <c r="G21" s="7">
        <f t="shared" si="1"/>
        <v>365.1573995137507</v>
      </c>
      <c r="H21" s="61">
        <v>12</v>
      </c>
      <c r="I21" s="61">
        <v>3</v>
      </c>
      <c r="J21" s="61">
        <v>12</v>
      </c>
      <c r="K21" s="61">
        <v>3</v>
      </c>
      <c r="L21" s="19">
        <f t="shared" si="2"/>
        <v>678.58401317539528</v>
      </c>
      <c r="M21" s="7" t="str">
        <f t="shared" si="3"/>
        <v>OK</v>
      </c>
      <c r="N21" s="17">
        <f t="shared" si="4"/>
        <v>42.982868562555893</v>
      </c>
      <c r="O21" s="18">
        <f t="shared" si="5"/>
        <v>0.53811671425181007</v>
      </c>
      <c r="P21" s="54">
        <v>8</v>
      </c>
      <c r="Q21" s="83">
        <v>-30.058599999999998</v>
      </c>
      <c r="R21" s="7">
        <f t="shared" si="6"/>
        <v>388.26371128161401</v>
      </c>
      <c r="S21" s="61">
        <v>12</v>
      </c>
      <c r="T21" s="61">
        <v>3</v>
      </c>
      <c r="U21" s="61">
        <v>12</v>
      </c>
      <c r="V21" s="61">
        <v>3</v>
      </c>
      <c r="W21" s="19">
        <f t="shared" si="7"/>
        <v>678.58401317539528</v>
      </c>
      <c r="X21" s="7" t="str">
        <f t="shared" si="8"/>
        <v>OK</v>
      </c>
      <c r="Y21" s="17">
        <f t="shared" si="9"/>
        <v>-52.534617132012755</v>
      </c>
      <c r="Z21" s="18">
        <f t="shared" si="10"/>
        <v>0.57216748957104968</v>
      </c>
    </row>
    <row r="22" spans="1:26" x14ac:dyDescent="0.25">
      <c r="A22" s="55" t="s">
        <v>18</v>
      </c>
      <c r="B22" s="54">
        <v>8</v>
      </c>
      <c r="C22" s="78">
        <v>13.0259</v>
      </c>
      <c r="D22" s="7">
        <v>500</v>
      </c>
      <c r="E22" s="61">
        <v>220</v>
      </c>
      <c r="F22" s="7">
        <f t="shared" si="0"/>
        <v>180</v>
      </c>
      <c r="G22" s="7">
        <f t="shared" si="1"/>
        <v>205.64396451011964</v>
      </c>
      <c r="H22" s="61">
        <v>12</v>
      </c>
      <c r="I22" s="61">
        <v>3</v>
      </c>
      <c r="J22" s="61">
        <v>12</v>
      </c>
      <c r="K22" s="61">
        <v>3</v>
      </c>
      <c r="L22" s="19">
        <f t="shared" si="2"/>
        <v>678.58401317539528</v>
      </c>
      <c r="M22" s="7" t="str">
        <f t="shared" si="3"/>
        <v>OK</v>
      </c>
      <c r="N22" s="17">
        <f t="shared" si="4"/>
        <v>42.982868562555893</v>
      </c>
      <c r="O22" s="18">
        <f t="shared" si="5"/>
        <v>0.30304864322962816</v>
      </c>
      <c r="P22" s="54">
        <v>8</v>
      </c>
      <c r="Q22" s="83">
        <v>-26.672999999999998</v>
      </c>
      <c r="R22" s="7">
        <f t="shared" si="6"/>
        <v>344.53227931488794</v>
      </c>
      <c r="S22" s="61">
        <v>12</v>
      </c>
      <c r="T22" s="61">
        <v>3</v>
      </c>
      <c r="U22" s="61">
        <v>12</v>
      </c>
      <c r="V22" s="61">
        <v>3</v>
      </c>
      <c r="W22" s="19">
        <f t="shared" si="7"/>
        <v>678.58401317539528</v>
      </c>
      <c r="X22" s="7" t="str">
        <f t="shared" si="8"/>
        <v>OK</v>
      </c>
      <c r="Y22" s="17">
        <f t="shared" si="9"/>
        <v>-52.534617132012755</v>
      </c>
      <c r="Z22" s="18">
        <f t="shared" si="10"/>
        <v>0.50772236396001835</v>
      </c>
    </row>
    <row r="23" spans="1:26" x14ac:dyDescent="0.25">
      <c r="A23" s="55" t="s">
        <v>18</v>
      </c>
      <c r="B23" s="54">
        <v>8.5</v>
      </c>
      <c r="C23" s="78">
        <v>12.8644</v>
      </c>
      <c r="D23" s="7">
        <v>500</v>
      </c>
      <c r="E23" s="61">
        <v>220</v>
      </c>
      <c r="F23" s="7">
        <f t="shared" si="0"/>
        <v>180</v>
      </c>
      <c r="G23" s="7">
        <f t="shared" si="1"/>
        <v>203.0943134097439</v>
      </c>
      <c r="H23" s="61">
        <v>12</v>
      </c>
      <c r="I23" s="61">
        <v>3</v>
      </c>
      <c r="J23" s="61">
        <v>12</v>
      </c>
      <c r="K23" s="61">
        <v>3</v>
      </c>
      <c r="L23" s="19">
        <f t="shared" si="2"/>
        <v>678.58401317539528</v>
      </c>
      <c r="M23" s="7" t="str">
        <f t="shared" si="3"/>
        <v>OK</v>
      </c>
      <c r="N23" s="17">
        <f t="shared" si="4"/>
        <v>42.982868562555893</v>
      </c>
      <c r="O23" s="18">
        <f t="shared" si="5"/>
        <v>0.29929133234273469</v>
      </c>
      <c r="P23" s="54">
        <v>8.5</v>
      </c>
      <c r="Q23" s="83">
        <v>-19.624199999999998</v>
      </c>
      <c r="R23" s="7">
        <f t="shared" si="6"/>
        <v>253.48368596450433</v>
      </c>
      <c r="S23" s="61">
        <v>12</v>
      </c>
      <c r="T23" s="61">
        <v>3</v>
      </c>
      <c r="U23" s="61">
        <v>12</v>
      </c>
      <c r="V23" s="61">
        <v>3</v>
      </c>
      <c r="W23" s="19">
        <f t="shared" si="7"/>
        <v>678.58401317539528</v>
      </c>
      <c r="X23" s="7" t="str">
        <f t="shared" si="8"/>
        <v>OK</v>
      </c>
      <c r="Y23" s="17">
        <f t="shared" si="9"/>
        <v>-52.534617132012755</v>
      </c>
      <c r="Z23" s="18">
        <f t="shared" si="10"/>
        <v>0.37354797791115335</v>
      </c>
    </row>
    <row r="24" spans="1:26" x14ac:dyDescent="0.25">
      <c r="A24" s="55" t="s">
        <v>18</v>
      </c>
      <c r="B24" s="54">
        <v>9</v>
      </c>
      <c r="C24" s="78">
        <v>12.015700000000001</v>
      </c>
      <c r="D24" s="7">
        <v>500</v>
      </c>
      <c r="E24" s="61">
        <v>220</v>
      </c>
      <c r="F24" s="7">
        <f t="shared" si="0"/>
        <v>180</v>
      </c>
      <c r="G24" s="7">
        <f t="shared" si="1"/>
        <v>189.6956205992864</v>
      </c>
      <c r="H24" s="61">
        <v>12</v>
      </c>
      <c r="I24" s="61">
        <v>3</v>
      </c>
      <c r="J24" s="61">
        <v>12</v>
      </c>
      <c r="K24" s="61">
        <v>3</v>
      </c>
      <c r="L24" s="19">
        <f t="shared" si="2"/>
        <v>678.58401317539528</v>
      </c>
      <c r="M24" s="7" t="str">
        <f t="shared" si="3"/>
        <v>OK</v>
      </c>
      <c r="N24" s="17">
        <f t="shared" si="4"/>
        <v>42.982868562555893</v>
      </c>
      <c r="O24" s="18">
        <f t="shared" si="5"/>
        <v>0.27954625649315923</v>
      </c>
      <c r="P24" s="54">
        <v>9</v>
      </c>
      <c r="Q24" s="83">
        <v>-13.262700000000001</v>
      </c>
      <c r="R24" s="7">
        <f t="shared" si="6"/>
        <v>171.31287297527703</v>
      </c>
      <c r="S24" s="61">
        <v>12</v>
      </c>
      <c r="T24" s="61">
        <v>3</v>
      </c>
      <c r="U24" s="61">
        <v>12</v>
      </c>
      <c r="V24" s="61">
        <v>3</v>
      </c>
      <c r="W24" s="19">
        <f t="shared" si="7"/>
        <v>678.58401317539528</v>
      </c>
      <c r="X24" s="7" t="str">
        <f t="shared" si="8"/>
        <v>OK</v>
      </c>
      <c r="Y24" s="17">
        <f t="shared" si="9"/>
        <v>-52.534617132012755</v>
      </c>
      <c r="Z24" s="18">
        <f t="shared" si="10"/>
        <v>0.25245639397490111</v>
      </c>
    </row>
    <row r="25" spans="1:26" x14ac:dyDescent="0.25">
      <c r="A25" s="55" t="s">
        <v>18</v>
      </c>
      <c r="B25" s="54">
        <v>9.5</v>
      </c>
      <c r="C25" s="78">
        <v>10.479699999999999</v>
      </c>
      <c r="D25" s="7">
        <v>500</v>
      </c>
      <c r="E25" s="61">
        <v>220</v>
      </c>
      <c r="F25" s="7">
        <f t="shared" si="0"/>
        <v>180</v>
      </c>
      <c r="G25" s="7">
        <f t="shared" si="1"/>
        <v>165.4463073474156</v>
      </c>
      <c r="H25" s="61">
        <v>12</v>
      </c>
      <c r="I25" s="61">
        <v>3</v>
      </c>
      <c r="J25" s="61">
        <v>12</v>
      </c>
      <c r="K25" s="61">
        <v>3</v>
      </c>
      <c r="L25" s="19">
        <f t="shared" si="2"/>
        <v>678.58401317539528</v>
      </c>
      <c r="M25" s="7" t="str">
        <f t="shared" si="3"/>
        <v>OK</v>
      </c>
      <c r="N25" s="17">
        <f t="shared" si="4"/>
        <v>42.982868562555893</v>
      </c>
      <c r="O25" s="18">
        <f t="shared" si="5"/>
        <v>0.24381108917261254</v>
      </c>
      <c r="P25" s="54">
        <v>9.5</v>
      </c>
      <c r="Q25" s="83">
        <v>-7.5884999999999998</v>
      </c>
      <c r="R25" s="7">
        <f t="shared" si="6"/>
        <v>98.019840347206056</v>
      </c>
      <c r="S25" s="61">
        <v>12</v>
      </c>
      <c r="T25" s="61">
        <v>3</v>
      </c>
      <c r="U25" s="61">
        <v>12</v>
      </c>
      <c r="V25" s="61">
        <v>3</v>
      </c>
      <c r="W25" s="19">
        <f t="shared" si="7"/>
        <v>678.58401317539528</v>
      </c>
      <c r="X25" s="7" t="str">
        <f t="shared" si="8"/>
        <v>OK</v>
      </c>
      <c r="Y25" s="17">
        <f t="shared" si="9"/>
        <v>-52.534617132012755</v>
      </c>
      <c r="Z25" s="18">
        <f t="shared" si="10"/>
        <v>0.14444761215126156</v>
      </c>
    </row>
    <row r="26" spans="1:26" x14ac:dyDescent="0.25">
      <c r="A26" s="55" t="s">
        <v>18</v>
      </c>
      <c r="B26" s="54">
        <v>10</v>
      </c>
      <c r="C26" s="78">
        <v>8.2563999999999993</v>
      </c>
      <c r="D26" s="7">
        <v>500</v>
      </c>
      <c r="E26" s="61">
        <v>220</v>
      </c>
      <c r="F26" s="7">
        <f t="shared" si="0"/>
        <v>180</v>
      </c>
      <c r="G26" s="7">
        <f t="shared" si="1"/>
        <v>130.3463736541315</v>
      </c>
      <c r="H26" s="61">
        <v>12</v>
      </c>
      <c r="I26" s="61">
        <v>3</v>
      </c>
      <c r="J26" s="61">
        <v>12</v>
      </c>
      <c r="K26" s="61">
        <v>3</v>
      </c>
      <c r="L26" s="19">
        <f t="shared" si="2"/>
        <v>678.58401317539528</v>
      </c>
      <c r="M26" s="7" t="str">
        <f t="shared" si="3"/>
        <v>OK</v>
      </c>
      <c r="N26" s="17">
        <f t="shared" si="4"/>
        <v>42.982868562555893</v>
      </c>
      <c r="O26" s="18">
        <f t="shared" si="5"/>
        <v>0.1920858303810947</v>
      </c>
      <c r="P26" s="54">
        <v>10</v>
      </c>
      <c r="Q26" s="83">
        <v>-2.6015999999999999</v>
      </c>
      <c r="R26" s="7">
        <f t="shared" si="6"/>
        <v>33.6045880802914</v>
      </c>
      <c r="S26" s="61">
        <v>12</v>
      </c>
      <c r="T26" s="61">
        <v>3</v>
      </c>
      <c r="U26" s="61">
        <v>12</v>
      </c>
      <c r="V26" s="61">
        <v>3</v>
      </c>
      <c r="W26" s="19">
        <f t="shared" si="7"/>
        <v>678.58401317539528</v>
      </c>
      <c r="X26" s="7" t="str">
        <f t="shared" si="8"/>
        <v>OK</v>
      </c>
      <c r="Y26" s="17">
        <f t="shared" si="9"/>
        <v>-52.534617132012755</v>
      </c>
      <c r="Z26" s="18">
        <f t="shared" si="10"/>
        <v>4.9521632440234845E-2</v>
      </c>
    </row>
    <row r="27" spans="1:26" x14ac:dyDescent="0.25">
      <c r="A27" s="55" t="s">
        <v>18</v>
      </c>
      <c r="B27" s="54">
        <v>10.5</v>
      </c>
      <c r="C27" s="78">
        <v>5.3457999999999997</v>
      </c>
      <c r="D27" s="7">
        <v>500</v>
      </c>
      <c r="E27" s="61">
        <v>220</v>
      </c>
      <c r="F27" s="7">
        <f t="shared" si="0"/>
        <v>180</v>
      </c>
      <c r="G27" s="7">
        <f t="shared" si="1"/>
        <v>84.39581951943417</v>
      </c>
      <c r="H27" s="61">
        <v>12</v>
      </c>
      <c r="I27" s="61">
        <v>3</v>
      </c>
      <c r="J27" s="61">
        <v>12</v>
      </c>
      <c r="K27" s="61">
        <v>3</v>
      </c>
      <c r="L27" s="19">
        <f t="shared" si="2"/>
        <v>678.58401317539528</v>
      </c>
      <c r="M27" s="7" t="str">
        <f t="shared" si="3"/>
        <v>OK</v>
      </c>
      <c r="N27" s="17">
        <f t="shared" si="4"/>
        <v>42.982868562555893</v>
      </c>
      <c r="O27" s="18">
        <f t="shared" si="5"/>
        <v>0.1243704801186057</v>
      </c>
      <c r="P27" s="54">
        <v>10.5</v>
      </c>
      <c r="Q27" s="83">
        <v>1.698</v>
      </c>
      <c r="R27" s="7">
        <f t="shared" si="6"/>
        <v>21.932883825466941</v>
      </c>
      <c r="S27" s="61">
        <v>12</v>
      </c>
      <c r="T27" s="61">
        <v>3</v>
      </c>
      <c r="U27" s="61">
        <v>12</v>
      </c>
      <c r="V27" s="61">
        <v>3</v>
      </c>
      <c r="W27" s="19">
        <f t="shared" si="7"/>
        <v>678.58401317539528</v>
      </c>
      <c r="X27" s="7" t="str">
        <f t="shared" si="8"/>
        <v>OK</v>
      </c>
      <c r="Y27" s="17">
        <f t="shared" si="9"/>
        <v>-52.534617132012755</v>
      </c>
      <c r="Z27" s="18">
        <f t="shared" si="10"/>
        <v>-3.2321545158179109E-2</v>
      </c>
    </row>
    <row r="28" spans="1:26" x14ac:dyDescent="0.25">
      <c r="A28" s="55" t="s">
        <v>18</v>
      </c>
      <c r="B28" s="54">
        <v>11</v>
      </c>
      <c r="C28" s="78">
        <v>5.3102999999999998</v>
      </c>
      <c r="D28" s="7">
        <v>500</v>
      </c>
      <c r="E28" s="61">
        <v>220</v>
      </c>
      <c r="F28" s="7">
        <f t="shared" si="0"/>
        <v>180</v>
      </c>
      <c r="G28" s="7">
        <f t="shared" si="1"/>
        <v>83.835369896750962</v>
      </c>
      <c r="H28" s="61">
        <v>12</v>
      </c>
      <c r="I28" s="61">
        <v>3</v>
      </c>
      <c r="J28" s="61">
        <v>12</v>
      </c>
      <c r="K28" s="61">
        <v>3</v>
      </c>
      <c r="L28" s="19">
        <f t="shared" si="2"/>
        <v>678.58401317539528</v>
      </c>
      <c r="M28" s="7" t="str">
        <f t="shared" si="3"/>
        <v>OK</v>
      </c>
      <c r="N28" s="17">
        <f t="shared" si="4"/>
        <v>42.982868562555893</v>
      </c>
      <c r="O28" s="18">
        <f t="shared" si="5"/>
        <v>0.12354456967597588</v>
      </c>
      <c r="P28" s="54">
        <v>11</v>
      </c>
      <c r="Q28" s="83">
        <v>1.7479</v>
      </c>
      <c r="R28" s="7">
        <f t="shared" si="6"/>
        <v>22.57743677181017</v>
      </c>
      <c r="S28" s="61">
        <v>12</v>
      </c>
      <c r="T28" s="61">
        <v>3</v>
      </c>
      <c r="U28" s="61">
        <v>12</v>
      </c>
      <c r="V28" s="61">
        <v>3</v>
      </c>
      <c r="W28" s="19">
        <f t="shared" si="7"/>
        <v>678.58401317539528</v>
      </c>
      <c r="X28" s="7" t="str">
        <f t="shared" si="8"/>
        <v>OK</v>
      </c>
      <c r="Y28" s="17">
        <f t="shared" si="9"/>
        <v>-52.534617132012755</v>
      </c>
      <c r="Z28" s="18">
        <f t="shared" si="10"/>
        <v>-3.3271395042391794E-2</v>
      </c>
    </row>
    <row r="29" spans="1:26" x14ac:dyDescent="0.25">
      <c r="A29" s="55" t="s">
        <v>18</v>
      </c>
      <c r="B29" s="54">
        <v>11.5</v>
      </c>
      <c r="C29" s="78">
        <v>8.2353000000000005</v>
      </c>
      <c r="D29" s="7">
        <v>500</v>
      </c>
      <c r="E29" s="61">
        <v>220</v>
      </c>
      <c r="F29" s="7">
        <f t="shared" si="0"/>
        <v>180</v>
      </c>
      <c r="G29" s="7">
        <f t="shared" si="1"/>
        <v>130.01326134318461</v>
      </c>
      <c r="H29" s="61">
        <v>12</v>
      </c>
      <c r="I29" s="61">
        <v>3</v>
      </c>
      <c r="J29" s="61">
        <v>12</v>
      </c>
      <c r="K29" s="61">
        <v>3</v>
      </c>
      <c r="L29" s="19">
        <f t="shared" si="2"/>
        <v>678.58401317539528</v>
      </c>
      <c r="M29" s="7" t="str">
        <f t="shared" si="3"/>
        <v>OK</v>
      </c>
      <c r="N29" s="17">
        <f t="shared" si="4"/>
        <v>42.982868562555893</v>
      </c>
      <c r="O29" s="18">
        <f t="shared" si="5"/>
        <v>0.19159493713209502</v>
      </c>
      <c r="P29" s="54">
        <v>11.5</v>
      </c>
      <c r="Q29" s="83">
        <v>-2.5371999999999999</v>
      </c>
      <c r="R29" s="7">
        <f t="shared" si="6"/>
        <v>32.772740189619981</v>
      </c>
      <c r="S29" s="61">
        <v>12</v>
      </c>
      <c r="T29" s="61">
        <v>3</v>
      </c>
      <c r="U29" s="61">
        <v>12</v>
      </c>
      <c r="V29" s="61">
        <v>3</v>
      </c>
      <c r="W29" s="19">
        <f t="shared" si="7"/>
        <v>678.58401317539528</v>
      </c>
      <c r="X29" s="7" t="str">
        <f t="shared" si="8"/>
        <v>OK</v>
      </c>
      <c r="Y29" s="17">
        <f t="shared" si="9"/>
        <v>-52.534617132012755</v>
      </c>
      <c r="Z29" s="18">
        <f t="shared" si="10"/>
        <v>4.8295774072633704E-2</v>
      </c>
    </row>
    <row r="30" spans="1:26" x14ac:dyDescent="0.25">
      <c r="A30" s="55" t="s">
        <v>18</v>
      </c>
      <c r="B30" s="54">
        <v>12</v>
      </c>
      <c r="C30" s="78">
        <v>10.473100000000001</v>
      </c>
      <c r="D30" s="7">
        <v>500</v>
      </c>
      <c r="E30" s="61">
        <v>220</v>
      </c>
      <c r="F30" s="7">
        <f t="shared" si="0"/>
        <v>180</v>
      </c>
      <c r="G30" s="7">
        <f t="shared" si="1"/>
        <v>165.34211107953647</v>
      </c>
      <c r="H30" s="61">
        <v>12</v>
      </c>
      <c r="I30" s="61">
        <v>3</v>
      </c>
      <c r="J30" s="61">
        <v>12</v>
      </c>
      <c r="K30" s="61">
        <v>3</v>
      </c>
      <c r="L30" s="19">
        <f t="shared" si="2"/>
        <v>678.58401317539528</v>
      </c>
      <c r="M30" s="7" t="str">
        <f t="shared" si="3"/>
        <v>OK</v>
      </c>
      <c r="N30" s="17">
        <f t="shared" si="4"/>
        <v>42.982868562555893</v>
      </c>
      <c r="O30" s="18">
        <f t="shared" si="5"/>
        <v>0.2436575396255321</v>
      </c>
      <c r="P30" s="54">
        <v>12</v>
      </c>
      <c r="Q30" s="83">
        <v>-7.5096999999999996</v>
      </c>
      <c r="R30" s="7">
        <f t="shared" si="6"/>
        <v>97.00198920147767</v>
      </c>
      <c r="S30" s="61">
        <v>12</v>
      </c>
      <c r="T30" s="61">
        <v>3</v>
      </c>
      <c r="U30" s="61">
        <v>12</v>
      </c>
      <c r="V30" s="61">
        <v>3</v>
      </c>
      <c r="W30" s="19">
        <f t="shared" si="7"/>
        <v>678.58401317539528</v>
      </c>
      <c r="X30" s="7" t="str">
        <f t="shared" si="8"/>
        <v>OK</v>
      </c>
      <c r="Y30" s="17">
        <f t="shared" si="9"/>
        <v>-52.534617132012755</v>
      </c>
      <c r="Z30" s="18">
        <f t="shared" si="10"/>
        <v>0.14294764880705396</v>
      </c>
    </row>
    <row r="31" spans="1:26" x14ac:dyDescent="0.25">
      <c r="A31" s="55" t="s">
        <v>18</v>
      </c>
      <c r="B31" s="54">
        <v>12.5</v>
      </c>
      <c r="C31" s="78">
        <v>12.0235</v>
      </c>
      <c r="D31" s="7">
        <v>500</v>
      </c>
      <c r="E31" s="61">
        <v>220</v>
      </c>
      <c r="F31" s="7">
        <f t="shared" si="0"/>
        <v>180</v>
      </c>
      <c r="G31" s="7">
        <f t="shared" si="1"/>
        <v>189.81876164314355</v>
      </c>
      <c r="H31" s="61">
        <v>12</v>
      </c>
      <c r="I31" s="61">
        <v>3</v>
      </c>
      <c r="J31" s="61">
        <v>12</v>
      </c>
      <c r="K31" s="61">
        <v>3</v>
      </c>
      <c r="L31" s="19">
        <f t="shared" si="2"/>
        <v>678.58401317539528</v>
      </c>
      <c r="M31" s="7" t="str">
        <f t="shared" si="3"/>
        <v>OK</v>
      </c>
      <c r="N31" s="17">
        <f t="shared" si="4"/>
        <v>42.982868562555893</v>
      </c>
      <c r="O31" s="18">
        <f t="shared" si="5"/>
        <v>0.27972772413970887</v>
      </c>
      <c r="P31" s="54">
        <v>12.5</v>
      </c>
      <c r="Q31" s="83">
        <v>-13.169499999999999</v>
      </c>
      <c r="R31" s="7">
        <f t="shared" si="6"/>
        <v>170.1090185744917</v>
      </c>
      <c r="S31" s="61">
        <v>12</v>
      </c>
      <c r="T31" s="61">
        <v>3</v>
      </c>
      <c r="U31" s="61">
        <v>12</v>
      </c>
      <c r="V31" s="61">
        <v>3</v>
      </c>
      <c r="W31" s="19">
        <f t="shared" si="7"/>
        <v>678.58401317539528</v>
      </c>
      <c r="X31" s="7" t="str">
        <f t="shared" si="8"/>
        <v>OK</v>
      </c>
      <c r="Y31" s="17">
        <f t="shared" si="9"/>
        <v>-52.534617132012755</v>
      </c>
      <c r="Z31" s="18">
        <f t="shared" si="10"/>
        <v>0.25068232565408699</v>
      </c>
    </row>
    <row r="32" spans="1:26" x14ac:dyDescent="0.25">
      <c r="A32" s="55" t="s">
        <v>18</v>
      </c>
      <c r="B32" s="54">
        <v>13</v>
      </c>
      <c r="C32" s="78">
        <v>12.8866</v>
      </c>
      <c r="D32" s="7">
        <v>500</v>
      </c>
      <c r="E32" s="61">
        <v>220</v>
      </c>
      <c r="F32" s="7">
        <f t="shared" si="0"/>
        <v>180</v>
      </c>
      <c r="G32" s="7">
        <f t="shared" si="1"/>
        <v>203.44479176533736</v>
      </c>
      <c r="H32" s="61">
        <v>12</v>
      </c>
      <c r="I32" s="61">
        <v>3</v>
      </c>
      <c r="J32" s="61">
        <v>12</v>
      </c>
      <c r="K32" s="61">
        <v>3</v>
      </c>
      <c r="L32" s="19">
        <f t="shared" si="2"/>
        <v>678.58401317539528</v>
      </c>
      <c r="M32" s="7" t="str">
        <f t="shared" si="3"/>
        <v>OK</v>
      </c>
      <c r="N32" s="17">
        <f t="shared" si="4"/>
        <v>42.982868562555893</v>
      </c>
      <c r="O32" s="18">
        <f t="shared" si="5"/>
        <v>0.29980781718291449</v>
      </c>
      <c r="P32" s="54">
        <v>13</v>
      </c>
      <c r="Q32" s="83">
        <v>-19.5166</v>
      </c>
      <c r="R32" s="7">
        <f t="shared" si="6"/>
        <v>252.09382830866201</v>
      </c>
      <c r="S32" s="61">
        <v>12</v>
      </c>
      <c r="T32" s="61">
        <v>3</v>
      </c>
      <c r="U32" s="61">
        <v>12</v>
      </c>
      <c r="V32" s="61">
        <v>3</v>
      </c>
      <c r="W32" s="19">
        <f t="shared" si="7"/>
        <v>678.58401317539528</v>
      </c>
      <c r="X32" s="7" t="str">
        <f t="shared" si="8"/>
        <v>OK</v>
      </c>
      <c r="Y32" s="17">
        <f t="shared" si="9"/>
        <v>-52.534617132012755</v>
      </c>
      <c r="Z32" s="18">
        <f t="shared" si="10"/>
        <v>0.37149980461373283</v>
      </c>
    </row>
    <row r="33" spans="1:26" x14ac:dyDescent="0.25">
      <c r="A33" s="55" t="s">
        <v>18</v>
      </c>
      <c r="B33" s="54">
        <v>13.5</v>
      </c>
      <c r="C33" s="78">
        <v>13.0624</v>
      </c>
      <c r="D33" s="7">
        <v>500</v>
      </c>
      <c r="E33" s="61">
        <v>220</v>
      </c>
      <c r="F33" s="7">
        <f t="shared" si="0"/>
        <v>180</v>
      </c>
      <c r="G33" s="7">
        <f t="shared" si="1"/>
        <v>206.22020144611787</v>
      </c>
      <c r="H33" s="61">
        <v>12</v>
      </c>
      <c r="I33" s="61">
        <v>3</v>
      </c>
      <c r="J33" s="61">
        <v>12</v>
      </c>
      <c r="K33" s="61">
        <v>3</v>
      </c>
      <c r="L33" s="19">
        <f t="shared" si="2"/>
        <v>678.58401317539528</v>
      </c>
      <c r="M33" s="7" t="str">
        <f t="shared" si="3"/>
        <v>OK</v>
      </c>
      <c r="N33" s="17">
        <f t="shared" si="4"/>
        <v>42.982868562555893</v>
      </c>
      <c r="O33" s="18">
        <f t="shared" si="5"/>
        <v>0.30389781875514893</v>
      </c>
      <c r="P33" s="54">
        <v>13.5</v>
      </c>
      <c r="Q33" s="83">
        <v>-26.550999999999998</v>
      </c>
      <c r="R33" s="7">
        <f t="shared" si="6"/>
        <v>342.95641840398866</v>
      </c>
      <c r="S33" s="61">
        <v>12</v>
      </c>
      <c r="T33" s="61">
        <v>3</v>
      </c>
      <c r="U33" s="61">
        <v>12</v>
      </c>
      <c r="V33" s="61">
        <v>3</v>
      </c>
      <c r="W33" s="19">
        <f t="shared" si="7"/>
        <v>678.58401317539528</v>
      </c>
      <c r="X33" s="7" t="str">
        <f t="shared" si="8"/>
        <v>OK</v>
      </c>
      <c r="Y33" s="17">
        <f t="shared" si="9"/>
        <v>-52.534617132012755</v>
      </c>
      <c r="Z33" s="18">
        <f t="shared" si="10"/>
        <v>0.50540008568599137</v>
      </c>
    </row>
    <row r="34" spans="1:26" x14ac:dyDescent="0.25">
      <c r="A34" s="55" t="s">
        <v>19</v>
      </c>
      <c r="B34" s="54">
        <v>13.5</v>
      </c>
      <c r="C34" s="78">
        <v>24.8886</v>
      </c>
      <c r="D34" s="7">
        <v>500</v>
      </c>
      <c r="E34" s="61">
        <v>220</v>
      </c>
      <c r="F34" s="7">
        <f t="shared" si="0"/>
        <v>180</v>
      </c>
      <c r="G34" s="7">
        <f t="shared" si="1"/>
        <v>392.92412617220799</v>
      </c>
      <c r="H34" s="61">
        <v>12</v>
      </c>
      <c r="I34" s="61">
        <v>3</v>
      </c>
      <c r="J34" s="61">
        <v>12</v>
      </c>
      <c r="K34" s="61">
        <v>3</v>
      </c>
      <c r="L34" s="19">
        <f t="shared" si="2"/>
        <v>678.58401317539528</v>
      </c>
      <c r="M34" s="7" t="str">
        <f t="shared" si="3"/>
        <v>OK</v>
      </c>
      <c r="N34" s="17">
        <f t="shared" si="4"/>
        <v>42.982868562555893</v>
      </c>
      <c r="O34" s="18">
        <f t="shared" si="5"/>
        <v>0.57903534204046725</v>
      </c>
      <c r="P34" s="54">
        <v>13.5</v>
      </c>
      <c r="Q34" s="83">
        <v>-30.3291</v>
      </c>
      <c r="R34" s="7">
        <f t="shared" si="6"/>
        <v>391.75773076028821</v>
      </c>
      <c r="S34" s="61">
        <v>12</v>
      </c>
      <c r="T34" s="61">
        <v>3</v>
      </c>
      <c r="U34" s="61">
        <v>12</v>
      </c>
      <c r="V34" s="61">
        <v>3</v>
      </c>
      <c r="W34" s="19">
        <f t="shared" si="7"/>
        <v>678.58401317539528</v>
      </c>
      <c r="X34" s="7" t="str">
        <f t="shared" si="8"/>
        <v>OK</v>
      </c>
      <c r="Y34" s="17">
        <f t="shared" si="9"/>
        <v>-52.534617132012755</v>
      </c>
      <c r="Z34" s="18">
        <f t="shared" si="10"/>
        <v>0.57731647541633091</v>
      </c>
    </row>
    <row r="35" spans="1:26" x14ac:dyDescent="0.25">
      <c r="A35" s="55" t="s">
        <v>19</v>
      </c>
      <c r="B35" s="54">
        <v>14</v>
      </c>
      <c r="C35" s="78">
        <v>20.021000000000001</v>
      </c>
      <c r="D35" s="7">
        <v>500</v>
      </c>
      <c r="E35" s="61">
        <v>220</v>
      </c>
      <c r="F35" s="7">
        <f t="shared" si="0"/>
        <v>180</v>
      </c>
      <c r="G35" s="7">
        <f t="shared" si="1"/>
        <v>316.07779988001636</v>
      </c>
      <c r="H35" s="61">
        <v>12</v>
      </c>
      <c r="I35" s="61">
        <v>3</v>
      </c>
      <c r="J35" s="61">
        <v>12</v>
      </c>
      <c r="K35" s="61">
        <v>3</v>
      </c>
      <c r="L35" s="19">
        <f t="shared" si="2"/>
        <v>678.58401317539528</v>
      </c>
      <c r="M35" s="7" t="str">
        <f t="shared" si="3"/>
        <v>OK</v>
      </c>
      <c r="N35" s="17">
        <f t="shared" si="4"/>
        <v>42.982868562555893</v>
      </c>
      <c r="O35" s="18">
        <f t="shared" si="5"/>
        <v>0.46579022456032865</v>
      </c>
      <c r="P35" s="54">
        <v>14</v>
      </c>
      <c r="Q35" s="83">
        <v>-21.114699999999999</v>
      </c>
      <c r="R35" s="7">
        <f t="shared" si="6"/>
        <v>272.73631455217128</v>
      </c>
      <c r="S35" s="61">
        <v>12</v>
      </c>
      <c r="T35" s="61">
        <v>3</v>
      </c>
      <c r="U35" s="61">
        <v>12</v>
      </c>
      <c r="V35" s="61">
        <v>3</v>
      </c>
      <c r="W35" s="19">
        <f t="shared" si="7"/>
        <v>678.58401317539528</v>
      </c>
      <c r="X35" s="7" t="str">
        <f t="shared" si="8"/>
        <v>OK</v>
      </c>
      <c r="Y35" s="17">
        <f t="shared" si="9"/>
        <v>-52.534617132012755</v>
      </c>
      <c r="Z35" s="18">
        <f t="shared" si="10"/>
        <v>0.40191974649670459</v>
      </c>
    </row>
    <row r="36" spans="1:26" x14ac:dyDescent="0.25">
      <c r="A36" s="55" t="s">
        <v>19</v>
      </c>
      <c r="B36" s="54">
        <v>14.5</v>
      </c>
      <c r="C36" s="78">
        <v>14.466100000000001</v>
      </c>
      <c r="D36" s="7">
        <v>500</v>
      </c>
      <c r="E36" s="61">
        <v>220</v>
      </c>
      <c r="F36" s="7">
        <f t="shared" si="0"/>
        <v>180</v>
      </c>
      <c r="G36" s="7">
        <f t="shared" si="1"/>
        <v>228.38085314641151</v>
      </c>
      <c r="H36" s="61">
        <v>12</v>
      </c>
      <c r="I36" s="61">
        <v>3</v>
      </c>
      <c r="J36" s="61">
        <v>12</v>
      </c>
      <c r="K36" s="61">
        <v>3</v>
      </c>
      <c r="L36" s="19">
        <f t="shared" si="2"/>
        <v>678.58401317539528</v>
      </c>
      <c r="M36" s="7" t="str">
        <f t="shared" si="3"/>
        <v>OK</v>
      </c>
      <c r="N36" s="17">
        <f t="shared" si="4"/>
        <v>42.982868562555893</v>
      </c>
      <c r="O36" s="18">
        <f t="shared" si="5"/>
        <v>0.33655501560921885</v>
      </c>
      <c r="P36" s="54">
        <v>14.5</v>
      </c>
      <c r="Q36" s="83">
        <v>-12.5876</v>
      </c>
      <c r="R36" s="7">
        <f t="shared" si="6"/>
        <v>162.59267870521063</v>
      </c>
      <c r="S36" s="61">
        <v>12</v>
      </c>
      <c r="T36" s="61">
        <v>3</v>
      </c>
      <c r="U36" s="61">
        <v>12</v>
      </c>
      <c r="V36" s="61">
        <v>3</v>
      </c>
      <c r="W36" s="19">
        <f t="shared" si="7"/>
        <v>678.58401317539528</v>
      </c>
      <c r="X36" s="7" t="str">
        <f t="shared" si="8"/>
        <v>OK</v>
      </c>
      <c r="Y36" s="17">
        <f t="shared" si="9"/>
        <v>-52.534617132012755</v>
      </c>
      <c r="Z36" s="18">
        <f t="shared" si="10"/>
        <v>0.239605819689691</v>
      </c>
    </row>
    <row r="37" spans="1:26" x14ac:dyDescent="0.25">
      <c r="A37" s="55" t="s">
        <v>19</v>
      </c>
      <c r="B37" s="54">
        <v>15</v>
      </c>
      <c r="C37" s="78">
        <v>8.2239000000000004</v>
      </c>
      <c r="D37" s="7">
        <v>500</v>
      </c>
      <c r="E37" s="61">
        <v>220</v>
      </c>
      <c r="F37" s="7">
        <f t="shared" si="0"/>
        <v>180</v>
      </c>
      <c r="G37" s="7">
        <f t="shared" si="1"/>
        <v>129.83328597139337</v>
      </c>
      <c r="H37" s="61">
        <v>12</v>
      </c>
      <c r="I37" s="61">
        <v>3</v>
      </c>
      <c r="J37" s="61">
        <v>12</v>
      </c>
      <c r="K37" s="61">
        <v>3</v>
      </c>
      <c r="L37" s="19">
        <f t="shared" si="2"/>
        <v>678.58401317539528</v>
      </c>
      <c r="M37" s="7" t="str">
        <f t="shared" si="3"/>
        <v>OK</v>
      </c>
      <c r="N37" s="17">
        <f t="shared" si="4"/>
        <v>42.982868562555893</v>
      </c>
      <c r="O37" s="18">
        <f t="shared" si="5"/>
        <v>0.19132971518713784</v>
      </c>
      <c r="P37" s="54">
        <v>15</v>
      </c>
      <c r="Q37" s="83">
        <v>-4.7477999999999998</v>
      </c>
      <c r="R37" s="7">
        <f t="shared" si="6"/>
        <v>61.326823219406329</v>
      </c>
      <c r="S37" s="61">
        <v>12</v>
      </c>
      <c r="T37" s="61">
        <v>3</v>
      </c>
      <c r="U37" s="61">
        <v>12</v>
      </c>
      <c r="V37" s="61">
        <v>3</v>
      </c>
      <c r="W37" s="19">
        <f t="shared" si="7"/>
        <v>678.58401317539528</v>
      </c>
      <c r="X37" s="7" t="str">
        <f t="shared" si="8"/>
        <v>OK</v>
      </c>
      <c r="Y37" s="17">
        <f t="shared" si="9"/>
        <v>-52.534617132012755</v>
      </c>
      <c r="Z37" s="18">
        <f t="shared" si="10"/>
        <v>9.0374694995290203E-2</v>
      </c>
    </row>
    <row r="38" spans="1:26" x14ac:dyDescent="0.25">
      <c r="A38" s="55" t="s">
        <v>19</v>
      </c>
      <c r="B38" s="54">
        <v>15.5</v>
      </c>
      <c r="C38" s="78">
        <v>2.4049999999999998</v>
      </c>
      <c r="D38" s="7">
        <v>500</v>
      </c>
      <c r="E38" s="61">
        <v>220</v>
      </c>
      <c r="F38" s="7">
        <f t="shared" si="0"/>
        <v>180</v>
      </c>
      <c r="G38" s="7">
        <f t="shared" si="1"/>
        <v>37.968488522623218</v>
      </c>
      <c r="H38" s="61">
        <v>12</v>
      </c>
      <c r="I38" s="61">
        <v>3</v>
      </c>
      <c r="J38" s="61">
        <v>12</v>
      </c>
      <c r="K38" s="61">
        <v>3</v>
      </c>
      <c r="L38" s="19">
        <f t="shared" si="2"/>
        <v>678.58401317539528</v>
      </c>
      <c r="M38" s="7" t="str">
        <f t="shared" si="3"/>
        <v>OK</v>
      </c>
      <c r="N38" s="17">
        <f t="shared" si="4"/>
        <v>42.982868562555893</v>
      </c>
      <c r="O38" s="18">
        <f t="shared" si="5"/>
        <v>5.5952524352809063E-2</v>
      </c>
      <c r="P38" s="54">
        <v>15.5</v>
      </c>
      <c r="Q38" s="83">
        <v>1.2942</v>
      </c>
      <c r="R38" s="7">
        <f t="shared" si="6"/>
        <v>16.717042548244592</v>
      </c>
      <c r="S38" s="61">
        <v>12</v>
      </c>
      <c r="T38" s="61">
        <v>3</v>
      </c>
      <c r="U38" s="61">
        <v>12</v>
      </c>
      <c r="V38" s="61">
        <v>3</v>
      </c>
      <c r="W38" s="19">
        <f t="shared" si="7"/>
        <v>678.58401317539528</v>
      </c>
      <c r="X38" s="7" t="str">
        <f t="shared" si="8"/>
        <v>OK</v>
      </c>
      <c r="Y38" s="17">
        <f t="shared" si="9"/>
        <v>-52.534617132012755</v>
      </c>
      <c r="Z38" s="18">
        <f t="shared" si="10"/>
        <v>-2.4635184772506126E-2</v>
      </c>
    </row>
    <row r="39" spans="1:26" x14ac:dyDescent="0.25">
      <c r="A39" s="55" t="s">
        <v>19</v>
      </c>
      <c r="B39" s="54">
        <v>16</v>
      </c>
      <c r="C39" s="78">
        <v>8.8699999999999992</v>
      </c>
      <c r="D39" s="7">
        <v>500</v>
      </c>
      <c r="E39" s="61">
        <v>220</v>
      </c>
      <c r="F39" s="7">
        <f t="shared" si="0"/>
        <v>180</v>
      </c>
      <c r="G39" s="7">
        <f t="shared" si="1"/>
        <v>140.03346910422783</v>
      </c>
      <c r="H39" s="61">
        <v>12</v>
      </c>
      <c r="I39" s="61">
        <v>3</v>
      </c>
      <c r="J39" s="61">
        <v>12</v>
      </c>
      <c r="K39" s="61">
        <v>3</v>
      </c>
      <c r="L39" s="19">
        <f t="shared" si="2"/>
        <v>678.58401317539528</v>
      </c>
      <c r="M39" s="7" t="str">
        <f t="shared" si="3"/>
        <v>OK</v>
      </c>
      <c r="N39" s="17">
        <f t="shared" si="4"/>
        <v>42.982868562555893</v>
      </c>
      <c r="O39" s="18">
        <f t="shared" si="5"/>
        <v>0.2063612852430006</v>
      </c>
      <c r="P39" s="54">
        <v>16</v>
      </c>
      <c r="Q39" s="83">
        <v>-6.3224999999999998</v>
      </c>
      <c r="R39" s="7">
        <f t="shared" si="6"/>
        <v>81.667054173448022</v>
      </c>
      <c r="S39" s="61">
        <v>12</v>
      </c>
      <c r="T39" s="61">
        <v>3</v>
      </c>
      <c r="U39" s="61">
        <v>12</v>
      </c>
      <c r="V39" s="61">
        <v>3</v>
      </c>
      <c r="W39" s="19">
        <f t="shared" si="7"/>
        <v>678.58401317539528</v>
      </c>
      <c r="X39" s="7" t="str">
        <f t="shared" si="8"/>
        <v>OK</v>
      </c>
      <c r="Y39" s="17">
        <f t="shared" si="9"/>
        <v>-52.534617132012755</v>
      </c>
      <c r="Z39" s="18">
        <f t="shared" si="10"/>
        <v>0.12034921629127644</v>
      </c>
    </row>
    <row r="40" spans="1:26" x14ac:dyDescent="0.25">
      <c r="A40" s="55" t="s">
        <v>19</v>
      </c>
      <c r="B40" s="54">
        <v>16.5</v>
      </c>
      <c r="C40" s="78">
        <v>14.648</v>
      </c>
      <c r="D40" s="7">
        <v>500</v>
      </c>
      <c r="E40" s="61">
        <v>220</v>
      </c>
      <c r="F40" s="7">
        <f t="shared" si="0"/>
        <v>180</v>
      </c>
      <c r="G40" s="7">
        <f t="shared" si="1"/>
        <v>231.25256543841365</v>
      </c>
      <c r="H40" s="61">
        <v>12</v>
      </c>
      <c r="I40" s="61">
        <v>3</v>
      </c>
      <c r="J40" s="61">
        <v>12</v>
      </c>
      <c r="K40" s="61">
        <v>3</v>
      </c>
      <c r="L40" s="19">
        <f t="shared" si="2"/>
        <v>678.58401317539528</v>
      </c>
      <c r="M40" s="7" t="str">
        <f t="shared" si="3"/>
        <v>OK</v>
      </c>
      <c r="N40" s="17">
        <f t="shared" si="4"/>
        <v>42.982868562555893</v>
      </c>
      <c r="O40" s="18">
        <f t="shared" si="5"/>
        <v>0.34078693418708828</v>
      </c>
      <c r="P40" s="54">
        <v>16.5</v>
      </c>
      <c r="Q40" s="83">
        <v>-14.6265</v>
      </c>
      <c r="R40" s="7">
        <f t="shared" si="6"/>
        <v>188.92893125629695</v>
      </c>
      <c r="S40" s="61">
        <v>12</v>
      </c>
      <c r="T40" s="61">
        <v>3</v>
      </c>
      <c r="U40" s="61">
        <v>12</v>
      </c>
      <c r="V40" s="61">
        <v>3</v>
      </c>
      <c r="W40" s="19">
        <f t="shared" si="7"/>
        <v>678.58401317539528</v>
      </c>
      <c r="X40" s="7" t="str">
        <f t="shared" si="8"/>
        <v>OK</v>
      </c>
      <c r="Y40" s="17">
        <f t="shared" si="9"/>
        <v>-52.534617132012755</v>
      </c>
      <c r="Z40" s="18">
        <f t="shared" si="10"/>
        <v>0.27841641946767182</v>
      </c>
    </row>
    <row r="41" spans="1:26" x14ac:dyDescent="0.25">
      <c r="A41" s="55" t="s">
        <v>19</v>
      </c>
      <c r="B41" s="54">
        <v>17</v>
      </c>
      <c r="C41" s="78">
        <v>19.738600000000002</v>
      </c>
      <c r="D41" s="7">
        <v>500</v>
      </c>
      <c r="E41" s="61">
        <v>220</v>
      </c>
      <c r="F41" s="7">
        <f t="shared" si="0"/>
        <v>180</v>
      </c>
      <c r="G41" s="7">
        <f t="shared" si="1"/>
        <v>311.61946259985473</v>
      </c>
      <c r="H41" s="61">
        <v>12</v>
      </c>
      <c r="I41" s="61">
        <v>3</v>
      </c>
      <c r="J41" s="61">
        <v>12</v>
      </c>
      <c r="K41" s="61">
        <v>3</v>
      </c>
      <c r="L41" s="19">
        <f t="shared" si="2"/>
        <v>678.58401317539528</v>
      </c>
      <c r="M41" s="7" t="str">
        <f t="shared" si="3"/>
        <v>OK</v>
      </c>
      <c r="N41" s="17">
        <f t="shared" si="4"/>
        <v>42.982868562555893</v>
      </c>
      <c r="O41" s="18">
        <f t="shared" si="5"/>
        <v>0.45922016515191566</v>
      </c>
      <c r="P41" s="54">
        <v>17</v>
      </c>
      <c r="Q41" s="83">
        <v>-23.617899999999999</v>
      </c>
      <c r="R41" s="7">
        <f t="shared" si="6"/>
        <v>305.06988038957343</v>
      </c>
      <c r="S41" s="61">
        <v>12</v>
      </c>
      <c r="T41" s="61">
        <v>3</v>
      </c>
      <c r="U41" s="61">
        <v>12</v>
      </c>
      <c r="V41" s="61">
        <v>3</v>
      </c>
      <c r="W41" s="19">
        <f t="shared" si="7"/>
        <v>678.58401317539528</v>
      </c>
      <c r="X41" s="7" t="str">
        <f t="shared" si="8"/>
        <v>OK</v>
      </c>
      <c r="Y41" s="17">
        <f t="shared" si="9"/>
        <v>-52.534617132012755</v>
      </c>
      <c r="Z41" s="18">
        <f t="shared" si="10"/>
        <v>0.44956832826346188</v>
      </c>
    </row>
    <row r="42" spans="1:26" x14ac:dyDescent="0.25">
      <c r="A42" s="55" t="s">
        <v>19</v>
      </c>
      <c r="B42" s="54">
        <v>17.5</v>
      </c>
      <c r="C42" s="78">
        <v>24.141999999999999</v>
      </c>
      <c r="D42" s="7">
        <v>500</v>
      </c>
      <c r="E42" s="61">
        <v>220</v>
      </c>
      <c r="F42" s="7">
        <f t="shared" si="0"/>
        <v>180</v>
      </c>
      <c r="G42" s="7">
        <f t="shared" si="1"/>
        <v>381.13731805121398</v>
      </c>
      <c r="H42" s="61">
        <v>12</v>
      </c>
      <c r="I42" s="61">
        <v>3</v>
      </c>
      <c r="J42" s="61">
        <v>12</v>
      </c>
      <c r="K42" s="61">
        <v>3</v>
      </c>
      <c r="L42" s="19">
        <f t="shared" si="2"/>
        <v>678.58401317539528</v>
      </c>
      <c r="M42" s="7" t="str">
        <f t="shared" si="3"/>
        <v>OK</v>
      </c>
      <c r="N42" s="17">
        <f t="shared" si="4"/>
        <v>42.982868562555893</v>
      </c>
      <c r="O42" s="18">
        <f t="shared" si="5"/>
        <v>0.56166563115406098</v>
      </c>
      <c r="P42" s="54">
        <v>17.5</v>
      </c>
      <c r="Q42" s="15">
        <v>-26.4937</v>
      </c>
      <c r="R42" s="7">
        <f t="shared" si="6"/>
        <v>342.21628045157451</v>
      </c>
      <c r="S42" s="61">
        <v>12</v>
      </c>
      <c r="T42" s="61">
        <v>3</v>
      </c>
      <c r="U42" s="61">
        <v>12</v>
      </c>
      <c r="V42" s="61">
        <v>3</v>
      </c>
      <c r="W42" s="19">
        <f t="shared" si="7"/>
        <v>678.58401317539528</v>
      </c>
      <c r="X42" s="7" t="str">
        <f t="shared" si="8"/>
        <v>OK</v>
      </c>
      <c r="Y42" s="17">
        <f t="shared" si="9"/>
        <v>-52.534617132012755</v>
      </c>
      <c r="Z42" s="18">
        <f t="shared" si="10"/>
        <v>0.50430937629991157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7199-0DEC-4E69-A3E9-AB76B9621B6C}">
  <sheetPr codeName="Foglio3"/>
  <dimension ref="A1:AA42"/>
  <sheetViews>
    <sheetView topLeftCell="A30" zoomScale="70" zoomScaleNormal="70" workbookViewId="0">
      <selection activeCell="J74" sqref="J74"/>
    </sheetView>
  </sheetViews>
  <sheetFormatPr defaultRowHeight="15" x14ac:dyDescent="0.25"/>
  <cols>
    <col min="1" max="2" width="9.140625" style="54"/>
    <col min="3" max="3" width="9.140625" style="62"/>
    <col min="4" max="11" width="9.140625" style="54"/>
    <col min="12" max="13" width="9.140625" style="62"/>
    <col min="14" max="14" width="10.42578125" style="62" customWidth="1"/>
    <col min="15" max="15" width="13.28515625" style="62" customWidth="1"/>
    <col min="16" max="26" width="9.140625" style="62"/>
    <col min="27" max="27" width="14.28515625" style="62" customWidth="1"/>
    <col min="28" max="47" width="9.140625" style="62"/>
    <col min="48" max="48" width="10.28515625" style="62" customWidth="1"/>
    <col min="49" max="16384" width="9.140625" style="62"/>
  </cols>
  <sheetData>
    <row r="1" spans="1:27" x14ac:dyDescent="0.25">
      <c r="B1" s="16" t="s">
        <v>29</v>
      </c>
      <c r="C1" s="16"/>
      <c r="P1" s="16" t="s">
        <v>30</v>
      </c>
      <c r="Q1" s="16"/>
      <c r="R1" s="16"/>
      <c r="AA1" s="54"/>
    </row>
    <row r="2" spans="1:27" x14ac:dyDescent="0.25">
      <c r="B2" s="63" t="s">
        <v>2</v>
      </c>
      <c r="C2" s="6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N2" s="5" t="s">
        <v>31</v>
      </c>
      <c r="O2" s="5" t="s">
        <v>32</v>
      </c>
      <c r="P2" s="63" t="s">
        <v>2</v>
      </c>
      <c r="Q2" s="6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Y2" s="5" t="s">
        <v>31</v>
      </c>
      <c r="Z2" s="5" t="s">
        <v>32</v>
      </c>
    </row>
    <row r="3" spans="1:27" x14ac:dyDescent="0.25">
      <c r="B3" s="64" t="s">
        <v>7</v>
      </c>
      <c r="C3" s="64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N3" s="9" t="s">
        <v>9</v>
      </c>
      <c r="O3" s="8" t="s">
        <v>28</v>
      </c>
      <c r="P3" s="64" t="s">
        <v>7</v>
      </c>
      <c r="Q3" s="64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Y3" s="9" t="s">
        <v>9</v>
      </c>
      <c r="Z3" s="8" t="s">
        <v>28</v>
      </c>
    </row>
    <row r="4" spans="1:27" x14ac:dyDescent="0.25">
      <c r="A4" s="55" t="s">
        <v>16</v>
      </c>
      <c r="B4" s="54">
        <v>0</v>
      </c>
      <c r="C4" s="79">
        <v>16.4224</v>
      </c>
      <c r="D4" s="7">
        <v>500</v>
      </c>
      <c r="E4" s="61">
        <v>220</v>
      </c>
      <c r="F4" s="7">
        <f>E4-40</f>
        <v>180</v>
      </c>
      <c r="G4" s="7">
        <f>ABS(C4)*1000^2/(0.9*391*F4)</f>
        <v>259.26557418458526</v>
      </c>
      <c r="H4" s="61">
        <v>12</v>
      </c>
      <c r="I4" s="61">
        <v>3</v>
      </c>
      <c r="J4" s="61">
        <v>12</v>
      </c>
      <c r="K4" s="61">
        <v>3</v>
      </c>
      <c r="L4" s="19">
        <f>PI()*(H4^2/4*I4+J4^2/4*K4)</f>
        <v>678.58401317539528</v>
      </c>
      <c r="M4" s="7" t="str">
        <f>IF(L4&gt;=G4,"OK","NO")</f>
        <v>OK</v>
      </c>
      <c r="N4" s="17">
        <f>(L4*0.9*391*F4)/1000^2</f>
        <v>42.982868562555893</v>
      </c>
      <c r="O4" s="18">
        <f>C4/N4</f>
        <v>0.38206849726884479</v>
      </c>
      <c r="P4" s="54">
        <v>0</v>
      </c>
      <c r="Q4" s="84">
        <v>-33.296599999999998</v>
      </c>
      <c r="R4" s="7">
        <f>ABS(Q4)*1000^2/(0.9*391*E4)</f>
        <v>430.08860988400619</v>
      </c>
      <c r="S4" s="61">
        <v>12</v>
      </c>
      <c r="T4" s="61">
        <v>3</v>
      </c>
      <c r="U4" s="61">
        <v>12</v>
      </c>
      <c r="V4" s="61">
        <v>3</v>
      </c>
      <c r="W4" s="19">
        <f>PI()*(S4^2/4*T4+U4^2/4*V4)</f>
        <v>678.58401317539528</v>
      </c>
      <c r="X4" s="7" t="str">
        <f>IF(W4&gt;=R4,"OK","NO")</f>
        <v>OK</v>
      </c>
      <c r="Y4" s="17">
        <f>-(W4*0.9*391*E4)/1000^2</f>
        <v>-52.534617132012755</v>
      </c>
      <c r="Z4" s="18">
        <f>Q4/Y4</f>
        <v>0.63380303917186476</v>
      </c>
    </row>
    <row r="5" spans="1:27" x14ac:dyDescent="0.25">
      <c r="A5" s="55" t="s">
        <v>16</v>
      </c>
      <c r="B5" s="54">
        <v>0.5</v>
      </c>
      <c r="C5" s="79">
        <v>13.965299999999999</v>
      </c>
      <c r="D5" s="7">
        <v>500</v>
      </c>
      <c r="E5" s="61">
        <v>220</v>
      </c>
      <c r="F5" s="7">
        <f t="shared" ref="F5:F42" si="0">E5-40</f>
        <v>180</v>
      </c>
      <c r="G5" s="7">
        <f t="shared" ref="G5:G42" si="1">ABS(C5)*1000^2/(0.9*391*F5)</f>
        <v>220.47456663824948</v>
      </c>
      <c r="H5" s="61">
        <v>12</v>
      </c>
      <c r="I5" s="61">
        <v>3</v>
      </c>
      <c r="J5" s="61">
        <v>12</v>
      </c>
      <c r="K5" s="61">
        <v>3</v>
      </c>
      <c r="L5" s="19">
        <f t="shared" ref="L5:L42" si="2">PI()*(H5^2/4*I5+J5^2/4*K5)</f>
        <v>678.58401317539528</v>
      </c>
      <c r="M5" s="7" t="str">
        <f t="shared" ref="M5:M42" si="3">IF(L5&gt;=G5,"OK","NO")</f>
        <v>OK</v>
      </c>
      <c r="N5" s="17">
        <f t="shared" ref="N5:N42" si="4">(L5*0.9*391*F5)/1000^2</f>
        <v>42.982868562555893</v>
      </c>
      <c r="O5" s="18">
        <f t="shared" ref="O5:O42" si="5">C5/N5</f>
        <v>0.32490386209741556</v>
      </c>
      <c r="P5" s="54">
        <v>0.5</v>
      </c>
      <c r="Q5" s="84">
        <v>-25.5489</v>
      </c>
      <c r="R5" s="7">
        <f t="shared" ref="R5:R42" si="6">ABS(Q5)*1000^2/(0.9*391*E5)</f>
        <v>330.01240021700374</v>
      </c>
      <c r="S5" s="61">
        <v>12</v>
      </c>
      <c r="T5" s="61">
        <v>3</v>
      </c>
      <c r="U5" s="61">
        <v>12</v>
      </c>
      <c r="V5" s="61">
        <v>3</v>
      </c>
      <c r="W5" s="19">
        <f t="shared" ref="W5:W42" si="7">PI()*(S5^2/4*T5+U5^2/4*V5)</f>
        <v>678.58401317539528</v>
      </c>
      <c r="X5" s="7" t="str">
        <f t="shared" ref="X5:X42" si="8">IF(W5&gt;=R5,"OK","NO")</f>
        <v>OK</v>
      </c>
      <c r="Y5" s="17">
        <f t="shared" ref="Y5:Y42" si="9">-(W5*0.9*391*E5)/1000^2</f>
        <v>-52.534617132012755</v>
      </c>
      <c r="Z5" s="18">
        <f t="shared" ref="Z5:Z42" si="10">Q5/Y5</f>
        <v>0.48632504422367617</v>
      </c>
    </row>
    <row r="6" spans="1:27" x14ac:dyDescent="0.25">
      <c r="A6" s="55" t="s">
        <v>16</v>
      </c>
      <c r="B6" s="54">
        <v>1</v>
      </c>
      <c r="C6" s="79">
        <v>10.8209</v>
      </c>
      <c r="D6" s="7">
        <v>500</v>
      </c>
      <c r="E6" s="61">
        <v>220</v>
      </c>
      <c r="F6" s="7">
        <f t="shared" si="0"/>
        <v>180</v>
      </c>
      <c r="G6" s="7">
        <f t="shared" si="1"/>
        <v>170.83293865050044</v>
      </c>
      <c r="H6" s="61">
        <v>12</v>
      </c>
      <c r="I6" s="61">
        <v>3</v>
      </c>
      <c r="J6" s="61">
        <v>12</v>
      </c>
      <c r="K6" s="61">
        <v>3</v>
      </c>
      <c r="L6" s="19">
        <f t="shared" si="2"/>
        <v>678.58401317539528</v>
      </c>
      <c r="M6" s="7" t="str">
        <f t="shared" si="3"/>
        <v>OK</v>
      </c>
      <c r="N6" s="17">
        <f t="shared" si="4"/>
        <v>42.982868562555893</v>
      </c>
      <c r="O6" s="18">
        <f t="shared" si="5"/>
        <v>0.25174913545501526</v>
      </c>
      <c r="P6" s="54">
        <v>1</v>
      </c>
      <c r="Q6" s="84">
        <v>-17.793800000000001</v>
      </c>
      <c r="R6" s="7">
        <f t="shared" si="6"/>
        <v>229.84060554393031</v>
      </c>
      <c r="S6" s="61">
        <v>12</v>
      </c>
      <c r="T6" s="61">
        <v>3</v>
      </c>
      <c r="U6" s="61">
        <v>12</v>
      </c>
      <c r="V6" s="61">
        <v>3</v>
      </c>
      <c r="W6" s="19">
        <f t="shared" si="7"/>
        <v>678.58401317539528</v>
      </c>
      <c r="X6" s="7" t="str">
        <f t="shared" si="8"/>
        <v>OK</v>
      </c>
      <c r="Y6" s="17">
        <f t="shared" si="9"/>
        <v>-52.534617132012755</v>
      </c>
      <c r="Z6" s="18">
        <f t="shared" si="10"/>
        <v>0.33870618977362038</v>
      </c>
    </row>
    <row r="7" spans="1:27" x14ac:dyDescent="0.25">
      <c r="A7" s="55" t="s">
        <v>16</v>
      </c>
      <c r="B7" s="54">
        <v>1.5</v>
      </c>
      <c r="C7" s="79">
        <v>6.9893000000000001</v>
      </c>
      <c r="D7" s="7">
        <v>500</v>
      </c>
      <c r="E7" s="61">
        <v>220</v>
      </c>
      <c r="F7" s="7">
        <f t="shared" si="0"/>
        <v>180</v>
      </c>
      <c r="G7" s="7">
        <f t="shared" si="1"/>
        <v>110.34226895266963</v>
      </c>
      <c r="H7" s="61">
        <v>12</v>
      </c>
      <c r="I7" s="61">
        <v>3</v>
      </c>
      <c r="J7" s="61">
        <v>12</v>
      </c>
      <c r="K7" s="61">
        <v>3</v>
      </c>
      <c r="L7" s="19">
        <f t="shared" si="2"/>
        <v>678.58401317539528</v>
      </c>
      <c r="M7" s="7" t="str">
        <f t="shared" si="3"/>
        <v>OK</v>
      </c>
      <c r="N7" s="17">
        <f t="shared" si="4"/>
        <v>42.982868562555893</v>
      </c>
      <c r="O7" s="18">
        <f t="shared" si="5"/>
        <v>0.16260664384993281</v>
      </c>
      <c r="P7" s="54">
        <v>1.5</v>
      </c>
      <c r="Q7" s="84">
        <v>-10.726000000000001</v>
      </c>
      <c r="R7" s="7">
        <f t="shared" si="6"/>
        <v>138.54659123201321</v>
      </c>
      <c r="S7" s="61">
        <v>12</v>
      </c>
      <c r="T7" s="61">
        <v>3</v>
      </c>
      <c r="U7" s="61">
        <v>12</v>
      </c>
      <c r="V7" s="61">
        <v>3</v>
      </c>
      <c r="W7" s="19">
        <f t="shared" si="7"/>
        <v>678.58401317539528</v>
      </c>
      <c r="X7" s="7" t="str">
        <f t="shared" si="8"/>
        <v>OK</v>
      </c>
      <c r="Y7" s="17">
        <f t="shared" si="9"/>
        <v>-52.534617132012755</v>
      </c>
      <c r="Z7" s="18">
        <f t="shared" si="10"/>
        <v>0.20417013743617735</v>
      </c>
    </row>
    <row r="8" spans="1:27" x14ac:dyDescent="0.25">
      <c r="A8" s="55" t="s">
        <v>16</v>
      </c>
      <c r="B8" s="54">
        <v>2</v>
      </c>
      <c r="C8" s="79">
        <v>2.4706000000000001</v>
      </c>
      <c r="D8" s="7">
        <v>500</v>
      </c>
      <c r="E8" s="61">
        <v>220</v>
      </c>
      <c r="F8" s="7">
        <f t="shared" si="0"/>
        <v>180</v>
      </c>
      <c r="G8" s="7">
        <f t="shared" si="1"/>
        <v>39.004136276088531</v>
      </c>
      <c r="H8" s="61">
        <v>12</v>
      </c>
      <c r="I8" s="61">
        <v>3</v>
      </c>
      <c r="J8" s="61">
        <v>12</v>
      </c>
      <c r="K8" s="61">
        <v>3</v>
      </c>
      <c r="L8" s="19">
        <f t="shared" si="2"/>
        <v>678.58401317539528</v>
      </c>
      <c r="M8" s="7" t="str">
        <f t="shared" si="3"/>
        <v>OK</v>
      </c>
      <c r="N8" s="17">
        <f t="shared" si="4"/>
        <v>42.982868562555893</v>
      </c>
      <c r="O8" s="18">
        <f t="shared" si="5"/>
        <v>5.7478713790457422E-2</v>
      </c>
      <c r="P8" s="54">
        <v>2</v>
      </c>
      <c r="Q8" s="84">
        <v>-4.3455000000000004</v>
      </c>
      <c r="R8" s="7">
        <f t="shared" si="6"/>
        <v>56.130357281252408</v>
      </c>
      <c r="S8" s="61">
        <v>12</v>
      </c>
      <c r="T8" s="61">
        <v>3</v>
      </c>
      <c r="U8" s="61">
        <v>12</v>
      </c>
      <c r="V8" s="61">
        <v>3</v>
      </c>
      <c r="W8" s="19">
        <f t="shared" si="7"/>
        <v>678.58401317539528</v>
      </c>
      <c r="X8" s="7" t="str">
        <f t="shared" si="8"/>
        <v>OK</v>
      </c>
      <c r="Y8" s="17">
        <f t="shared" si="9"/>
        <v>-52.534617132012755</v>
      </c>
      <c r="Z8" s="18">
        <f t="shared" si="10"/>
        <v>8.2716887211347068E-2</v>
      </c>
    </row>
    <row r="9" spans="1:27" x14ac:dyDescent="0.25">
      <c r="A9" s="55" t="s">
        <v>16</v>
      </c>
      <c r="B9" s="54">
        <v>2.5</v>
      </c>
      <c r="C9" s="79">
        <v>6.3536999999999999</v>
      </c>
      <c r="D9" s="7">
        <v>500</v>
      </c>
      <c r="E9" s="61">
        <v>220</v>
      </c>
      <c r="F9" s="7">
        <f t="shared" si="0"/>
        <v>180</v>
      </c>
      <c r="G9" s="7">
        <f t="shared" si="1"/>
        <v>100.30785260964288</v>
      </c>
      <c r="H9" s="61">
        <v>12</v>
      </c>
      <c r="I9" s="61">
        <v>3</v>
      </c>
      <c r="J9" s="61">
        <v>12</v>
      </c>
      <c r="K9" s="61">
        <v>3</v>
      </c>
      <c r="L9" s="19">
        <f t="shared" si="2"/>
        <v>678.58401317539528</v>
      </c>
      <c r="M9" s="7" t="str">
        <f t="shared" si="3"/>
        <v>OK</v>
      </c>
      <c r="N9" s="17">
        <f t="shared" si="4"/>
        <v>42.982868562555893</v>
      </c>
      <c r="O9" s="18">
        <f t="shared" si="5"/>
        <v>0.14781935716442535</v>
      </c>
      <c r="P9" s="54">
        <v>2.5</v>
      </c>
      <c r="Q9" s="84">
        <v>1.3473999999999999</v>
      </c>
      <c r="R9" s="7">
        <f t="shared" si="6"/>
        <v>17.404221240538373</v>
      </c>
      <c r="S9" s="61">
        <v>12</v>
      </c>
      <c r="T9" s="61">
        <v>3</v>
      </c>
      <c r="U9" s="61">
        <v>12</v>
      </c>
      <c r="V9" s="61">
        <v>3</v>
      </c>
      <c r="W9" s="19">
        <f t="shared" si="7"/>
        <v>678.58401317539528</v>
      </c>
      <c r="X9" s="7" t="str">
        <f t="shared" si="8"/>
        <v>OK</v>
      </c>
      <c r="Y9" s="17">
        <f t="shared" si="9"/>
        <v>-52.534617132012755</v>
      </c>
      <c r="Z9" s="18">
        <f t="shared" si="10"/>
        <v>-2.5647850380524456E-2</v>
      </c>
    </row>
    <row r="10" spans="1:27" x14ac:dyDescent="0.25">
      <c r="A10" s="55" t="s">
        <v>16</v>
      </c>
      <c r="B10" s="54">
        <v>3</v>
      </c>
      <c r="C10" s="79">
        <v>10.6723</v>
      </c>
      <c r="D10" s="7">
        <v>500</v>
      </c>
      <c r="E10" s="61">
        <v>220</v>
      </c>
      <c r="F10" s="7">
        <f t="shared" si="0"/>
        <v>180</v>
      </c>
      <c r="G10" s="7">
        <f t="shared" si="1"/>
        <v>168.48694389188847</v>
      </c>
      <c r="H10" s="61">
        <v>12</v>
      </c>
      <c r="I10" s="61">
        <v>3</v>
      </c>
      <c r="J10" s="61">
        <v>12</v>
      </c>
      <c r="K10" s="61">
        <v>3</v>
      </c>
      <c r="L10" s="19">
        <f t="shared" si="2"/>
        <v>678.58401317539528</v>
      </c>
      <c r="M10" s="7" t="str">
        <f t="shared" si="3"/>
        <v>OK</v>
      </c>
      <c r="N10" s="17">
        <f t="shared" si="4"/>
        <v>42.982868562555893</v>
      </c>
      <c r="O10" s="18">
        <f t="shared" si="5"/>
        <v>0.24829194413741548</v>
      </c>
      <c r="P10" s="54">
        <v>3</v>
      </c>
      <c r="Q10" s="84">
        <v>-2.7361</v>
      </c>
      <c r="R10" s="7">
        <f t="shared" si="6"/>
        <v>35.341910150094286</v>
      </c>
      <c r="S10" s="61">
        <v>12</v>
      </c>
      <c r="T10" s="61">
        <v>3</v>
      </c>
      <c r="U10" s="61">
        <v>12</v>
      </c>
      <c r="V10" s="61">
        <v>3</v>
      </c>
      <c r="W10" s="19">
        <f t="shared" si="7"/>
        <v>678.58401317539528</v>
      </c>
      <c r="X10" s="7" t="str">
        <f t="shared" si="8"/>
        <v>OK</v>
      </c>
      <c r="Y10" s="17">
        <f t="shared" si="9"/>
        <v>-52.534617132012755</v>
      </c>
      <c r="Z10" s="18">
        <f t="shared" si="10"/>
        <v>5.2081849062010514E-2</v>
      </c>
    </row>
    <row r="11" spans="1:27" x14ac:dyDescent="0.25">
      <c r="A11" s="55" t="s">
        <v>16</v>
      </c>
      <c r="B11" s="54">
        <v>3.5</v>
      </c>
      <c r="C11" s="79">
        <v>14.303599999999999</v>
      </c>
      <c r="D11" s="7">
        <v>500</v>
      </c>
      <c r="E11" s="61">
        <v>220</v>
      </c>
      <c r="F11" s="7">
        <f t="shared" si="0"/>
        <v>180</v>
      </c>
      <c r="G11" s="7">
        <f t="shared" si="1"/>
        <v>225.81541473272077</v>
      </c>
      <c r="H11" s="61">
        <v>12</v>
      </c>
      <c r="I11" s="61">
        <v>3</v>
      </c>
      <c r="J11" s="61">
        <v>12</v>
      </c>
      <c r="K11" s="61">
        <v>3</v>
      </c>
      <c r="L11" s="19">
        <f t="shared" si="2"/>
        <v>678.58401317539528</v>
      </c>
      <c r="M11" s="7" t="str">
        <f t="shared" si="3"/>
        <v>OK</v>
      </c>
      <c r="N11" s="17">
        <f t="shared" si="4"/>
        <v>42.982868562555893</v>
      </c>
      <c r="O11" s="18">
        <f t="shared" si="5"/>
        <v>0.33277443963943443</v>
      </c>
      <c r="P11" s="54">
        <v>3.5</v>
      </c>
      <c r="Q11" s="84">
        <v>-8.6296999999999997</v>
      </c>
      <c r="R11" s="7">
        <f t="shared" si="6"/>
        <v>111.4689090392415</v>
      </c>
      <c r="S11" s="61">
        <v>12</v>
      </c>
      <c r="T11" s="61">
        <v>3</v>
      </c>
      <c r="U11" s="61">
        <v>12</v>
      </c>
      <c r="V11" s="61">
        <v>3</v>
      </c>
      <c r="W11" s="19">
        <f t="shared" si="7"/>
        <v>678.58401317539528</v>
      </c>
      <c r="X11" s="7" t="str">
        <f t="shared" si="8"/>
        <v>OK</v>
      </c>
      <c r="Y11" s="17">
        <f t="shared" si="9"/>
        <v>-52.534617132012755</v>
      </c>
      <c r="Z11" s="18">
        <f t="shared" si="10"/>
        <v>0.16426692476533464</v>
      </c>
    </row>
    <row r="12" spans="1:27" x14ac:dyDescent="0.25">
      <c r="A12" s="55" t="s">
        <v>16</v>
      </c>
      <c r="B12" s="54">
        <v>4</v>
      </c>
      <c r="C12" s="79">
        <v>17.247599999999998</v>
      </c>
      <c r="D12" s="7">
        <v>500</v>
      </c>
      <c r="E12" s="61">
        <v>220</v>
      </c>
      <c r="F12" s="7">
        <f t="shared" si="0"/>
        <v>180</v>
      </c>
      <c r="G12" s="7">
        <f t="shared" si="1"/>
        <v>272.29326513213977</v>
      </c>
      <c r="H12" s="61">
        <v>12</v>
      </c>
      <c r="I12" s="61">
        <v>3</v>
      </c>
      <c r="J12" s="61">
        <v>12</v>
      </c>
      <c r="K12" s="61">
        <v>3</v>
      </c>
      <c r="L12" s="19">
        <f t="shared" si="2"/>
        <v>678.58401317539528</v>
      </c>
      <c r="M12" s="7" t="str">
        <f t="shared" si="3"/>
        <v>OK</v>
      </c>
      <c r="N12" s="17">
        <f t="shared" si="4"/>
        <v>42.982868562555893</v>
      </c>
      <c r="O12" s="18">
        <f t="shared" si="5"/>
        <v>0.40126684367048215</v>
      </c>
      <c r="P12" s="54">
        <v>4</v>
      </c>
      <c r="Q12" s="84">
        <v>-15.210599999999999</v>
      </c>
      <c r="R12" s="7">
        <f t="shared" si="6"/>
        <v>196.47368828954504</v>
      </c>
      <c r="S12" s="61">
        <v>12</v>
      </c>
      <c r="T12" s="61">
        <v>3</v>
      </c>
      <c r="U12" s="61">
        <v>12</v>
      </c>
      <c r="V12" s="61">
        <v>3</v>
      </c>
      <c r="W12" s="19">
        <f t="shared" si="7"/>
        <v>678.58401317539528</v>
      </c>
      <c r="X12" s="7" t="str">
        <f t="shared" si="8"/>
        <v>OK</v>
      </c>
      <c r="Y12" s="17">
        <f t="shared" si="9"/>
        <v>-52.534617132012755</v>
      </c>
      <c r="Z12" s="18">
        <f t="shared" si="10"/>
        <v>0.28953480258127157</v>
      </c>
    </row>
    <row r="13" spans="1:27" x14ac:dyDescent="0.25">
      <c r="A13" s="55" t="s">
        <v>17</v>
      </c>
      <c r="B13" s="54">
        <v>4</v>
      </c>
      <c r="C13" s="79">
        <v>15.132400000000001</v>
      </c>
      <c r="D13" s="7">
        <v>500</v>
      </c>
      <c r="E13" s="61">
        <v>220</v>
      </c>
      <c r="F13" s="7">
        <f t="shared" si="0"/>
        <v>180</v>
      </c>
      <c r="G13" s="7">
        <f t="shared" si="1"/>
        <v>238.89994000820937</v>
      </c>
      <c r="H13" s="61">
        <v>12</v>
      </c>
      <c r="I13" s="61">
        <v>3</v>
      </c>
      <c r="J13" s="61">
        <v>12</v>
      </c>
      <c r="K13" s="61">
        <v>3</v>
      </c>
      <c r="L13" s="19">
        <f t="shared" si="2"/>
        <v>678.58401317539528</v>
      </c>
      <c r="M13" s="7" t="str">
        <f t="shared" si="3"/>
        <v>OK</v>
      </c>
      <c r="N13" s="17">
        <f t="shared" si="4"/>
        <v>42.982868562555893</v>
      </c>
      <c r="O13" s="18">
        <f t="shared" si="5"/>
        <v>0.35205654033947942</v>
      </c>
      <c r="P13" s="54">
        <v>4</v>
      </c>
      <c r="Q13" s="84">
        <v>-22.4788</v>
      </c>
      <c r="R13" s="7">
        <f t="shared" si="6"/>
        <v>290.35624790100491</v>
      </c>
      <c r="S13" s="61">
        <v>12</v>
      </c>
      <c r="T13" s="61">
        <v>3</v>
      </c>
      <c r="U13" s="61">
        <v>12</v>
      </c>
      <c r="V13" s="61">
        <v>3</v>
      </c>
      <c r="W13" s="19">
        <f t="shared" si="7"/>
        <v>678.58401317539528</v>
      </c>
      <c r="X13" s="7" t="str">
        <f t="shared" si="8"/>
        <v>OK</v>
      </c>
      <c r="Y13" s="17">
        <f t="shared" si="9"/>
        <v>-52.534617132012755</v>
      </c>
      <c r="Z13" s="18">
        <f t="shared" si="10"/>
        <v>0.42788548250982122</v>
      </c>
    </row>
    <row r="14" spans="1:27" x14ac:dyDescent="0.25">
      <c r="A14" s="55" t="s">
        <v>17</v>
      </c>
      <c r="B14" s="54">
        <v>4.5</v>
      </c>
      <c r="C14" s="79">
        <v>12.788600000000001</v>
      </c>
      <c r="D14" s="7">
        <v>500</v>
      </c>
      <c r="E14" s="61">
        <v>220</v>
      </c>
      <c r="F14" s="7">
        <f t="shared" si="0"/>
        <v>180</v>
      </c>
      <c r="G14" s="7">
        <f t="shared" si="1"/>
        <v>201.89763506046538</v>
      </c>
      <c r="H14" s="61">
        <v>12</v>
      </c>
      <c r="I14" s="61">
        <v>3</v>
      </c>
      <c r="J14" s="61">
        <v>12</v>
      </c>
      <c r="K14" s="61">
        <v>3</v>
      </c>
      <c r="L14" s="19">
        <f t="shared" si="2"/>
        <v>678.58401317539528</v>
      </c>
      <c r="M14" s="7" t="str">
        <f t="shared" si="3"/>
        <v>OK</v>
      </c>
      <c r="N14" s="17">
        <f t="shared" si="4"/>
        <v>42.982868562555893</v>
      </c>
      <c r="O14" s="18">
        <f t="shared" si="5"/>
        <v>0.2975278390595984</v>
      </c>
      <c r="P14" s="54">
        <v>4.5</v>
      </c>
      <c r="Q14" s="84">
        <v>-23.425000000000001</v>
      </c>
      <c r="R14" s="7">
        <f t="shared" si="6"/>
        <v>302.57821178537284</v>
      </c>
      <c r="S14" s="61">
        <v>12</v>
      </c>
      <c r="T14" s="61">
        <v>3</v>
      </c>
      <c r="U14" s="61">
        <v>12</v>
      </c>
      <c r="V14" s="61">
        <v>3</v>
      </c>
      <c r="W14" s="19">
        <f t="shared" si="7"/>
        <v>678.58401317539528</v>
      </c>
      <c r="X14" s="7" t="str">
        <f t="shared" si="8"/>
        <v>OK</v>
      </c>
      <c r="Y14" s="17">
        <f t="shared" si="9"/>
        <v>-52.534617132012755</v>
      </c>
      <c r="Z14" s="18">
        <f t="shared" si="10"/>
        <v>0.4458964636810045</v>
      </c>
    </row>
    <row r="15" spans="1:27" x14ac:dyDescent="0.25">
      <c r="A15" s="55" t="s">
        <v>17</v>
      </c>
      <c r="B15" s="54">
        <v>5</v>
      </c>
      <c r="C15" s="79">
        <v>9.7574000000000005</v>
      </c>
      <c r="D15" s="7">
        <v>500</v>
      </c>
      <c r="E15" s="61">
        <v>220</v>
      </c>
      <c r="F15" s="7">
        <f t="shared" si="0"/>
        <v>180</v>
      </c>
      <c r="G15" s="7">
        <f t="shared" si="1"/>
        <v>154.04313093997661</v>
      </c>
      <c r="H15" s="61">
        <v>12</v>
      </c>
      <c r="I15" s="61">
        <v>3</v>
      </c>
      <c r="J15" s="61">
        <v>12</v>
      </c>
      <c r="K15" s="61">
        <v>3</v>
      </c>
      <c r="L15" s="19">
        <f t="shared" si="2"/>
        <v>678.58401317539528</v>
      </c>
      <c r="M15" s="7" t="str">
        <f t="shared" si="3"/>
        <v>OK</v>
      </c>
      <c r="N15" s="17">
        <f t="shared" si="4"/>
        <v>42.982868562555893</v>
      </c>
      <c r="O15" s="18">
        <f t="shared" si="5"/>
        <v>0.22700671980045706</v>
      </c>
      <c r="P15" s="54">
        <v>5</v>
      </c>
      <c r="Q15" s="84">
        <v>-16.056000000000001</v>
      </c>
      <c r="R15" s="7">
        <f t="shared" si="6"/>
        <v>207.39362938851428</v>
      </c>
      <c r="S15" s="61">
        <v>12</v>
      </c>
      <c r="T15" s="61">
        <v>3</v>
      </c>
      <c r="U15" s="61">
        <v>12</v>
      </c>
      <c r="V15" s="61">
        <v>3</v>
      </c>
      <c r="W15" s="19">
        <f t="shared" si="7"/>
        <v>678.58401317539528</v>
      </c>
      <c r="X15" s="7" t="str">
        <f t="shared" si="8"/>
        <v>OK</v>
      </c>
      <c r="Y15" s="17">
        <f t="shared" si="9"/>
        <v>-52.534617132012755</v>
      </c>
      <c r="Z15" s="18">
        <f t="shared" si="10"/>
        <v>0.30562704891620951</v>
      </c>
    </row>
    <row r="16" spans="1:27" x14ac:dyDescent="0.25">
      <c r="A16" s="55" t="s">
        <v>17</v>
      </c>
      <c r="B16" s="54">
        <v>5.5</v>
      </c>
      <c r="C16" s="79">
        <v>6.0388999999999999</v>
      </c>
      <c r="D16" s="7">
        <v>500</v>
      </c>
      <c r="E16" s="61">
        <v>220</v>
      </c>
      <c r="F16" s="7">
        <f t="shared" si="0"/>
        <v>180</v>
      </c>
      <c r="G16" s="7">
        <f t="shared" si="1"/>
        <v>95.338006378074567</v>
      </c>
      <c r="H16" s="61">
        <v>12</v>
      </c>
      <c r="I16" s="61">
        <v>3</v>
      </c>
      <c r="J16" s="61">
        <v>12</v>
      </c>
      <c r="K16" s="61">
        <v>3</v>
      </c>
      <c r="L16" s="19">
        <f t="shared" si="2"/>
        <v>678.58401317539528</v>
      </c>
      <c r="M16" s="7" t="str">
        <f t="shared" si="3"/>
        <v>OK</v>
      </c>
      <c r="N16" s="17">
        <f t="shared" si="4"/>
        <v>42.982868562555893</v>
      </c>
      <c r="O16" s="18">
        <f t="shared" si="5"/>
        <v>0.14049550907034458</v>
      </c>
      <c r="P16" s="54">
        <v>5.5</v>
      </c>
      <c r="Q16" s="84">
        <v>-9.3742999999999999</v>
      </c>
      <c r="R16" s="7">
        <f t="shared" si="6"/>
        <v>121.08682735281198</v>
      </c>
      <c r="S16" s="61">
        <v>12</v>
      </c>
      <c r="T16" s="61">
        <v>3</v>
      </c>
      <c r="U16" s="61">
        <v>12</v>
      </c>
      <c r="V16" s="61">
        <v>3</v>
      </c>
      <c r="W16" s="19">
        <f t="shared" si="7"/>
        <v>678.58401317539528</v>
      </c>
      <c r="X16" s="7" t="str">
        <f t="shared" si="8"/>
        <v>OK</v>
      </c>
      <c r="Y16" s="17">
        <f t="shared" si="9"/>
        <v>-52.534617132012755</v>
      </c>
      <c r="Z16" s="18">
        <f t="shared" si="10"/>
        <v>0.17844043626402731</v>
      </c>
    </row>
    <row r="17" spans="1:26" x14ac:dyDescent="0.25">
      <c r="A17" s="55" t="s">
        <v>17</v>
      </c>
      <c r="B17" s="54">
        <v>6</v>
      </c>
      <c r="C17" s="79">
        <v>1.9274</v>
      </c>
      <c r="D17" s="7">
        <v>500</v>
      </c>
      <c r="E17" s="61">
        <v>220</v>
      </c>
      <c r="F17" s="7">
        <f t="shared" si="0"/>
        <v>180</v>
      </c>
      <c r="G17" s="7">
        <f t="shared" si="1"/>
        <v>30.428467683369639</v>
      </c>
      <c r="H17" s="61">
        <v>12</v>
      </c>
      <c r="I17" s="61">
        <v>3</v>
      </c>
      <c r="J17" s="61">
        <v>12</v>
      </c>
      <c r="K17" s="61">
        <v>3</v>
      </c>
      <c r="L17" s="19">
        <f t="shared" si="2"/>
        <v>678.58401317539528</v>
      </c>
      <c r="M17" s="7" t="str">
        <f t="shared" si="3"/>
        <v>OK</v>
      </c>
      <c r="N17" s="17">
        <f t="shared" si="4"/>
        <v>42.982868562555893</v>
      </c>
      <c r="O17" s="18">
        <f t="shared" si="5"/>
        <v>4.4841120764076592E-2</v>
      </c>
      <c r="P17" s="54">
        <v>6</v>
      </c>
      <c r="Q17" s="84">
        <v>-3.3799000000000001</v>
      </c>
      <c r="R17" s="7">
        <f t="shared" si="6"/>
        <v>43.65780567826603</v>
      </c>
      <c r="S17" s="61">
        <v>12</v>
      </c>
      <c r="T17" s="61">
        <v>3</v>
      </c>
      <c r="U17" s="61">
        <v>12</v>
      </c>
      <c r="V17" s="61">
        <v>3</v>
      </c>
      <c r="W17" s="19">
        <f t="shared" si="7"/>
        <v>678.58401317539528</v>
      </c>
      <c r="X17" s="7" t="str">
        <f t="shared" si="8"/>
        <v>OK</v>
      </c>
      <c r="Y17" s="17">
        <f t="shared" si="9"/>
        <v>-52.534617132012755</v>
      </c>
      <c r="Z17" s="18">
        <f t="shared" si="10"/>
        <v>6.4336625724457933E-2</v>
      </c>
    </row>
    <row r="18" spans="1:26" x14ac:dyDescent="0.25">
      <c r="A18" s="55" t="s">
        <v>17</v>
      </c>
      <c r="B18" s="54">
        <v>6.5</v>
      </c>
      <c r="C18" s="79">
        <v>6.5469999999999997</v>
      </c>
      <c r="D18" s="7">
        <v>500</v>
      </c>
      <c r="E18" s="61">
        <v>220</v>
      </c>
      <c r="F18" s="7">
        <f t="shared" si="0"/>
        <v>180</v>
      </c>
      <c r="G18" s="7">
        <f t="shared" si="1"/>
        <v>103.35954027343625</v>
      </c>
      <c r="H18" s="61">
        <v>12</v>
      </c>
      <c r="I18" s="61">
        <v>3</v>
      </c>
      <c r="J18" s="61">
        <v>12</v>
      </c>
      <c r="K18" s="61">
        <v>3</v>
      </c>
      <c r="L18" s="19">
        <f t="shared" si="2"/>
        <v>678.58401317539528</v>
      </c>
      <c r="M18" s="7" t="str">
        <f t="shared" si="3"/>
        <v>OK</v>
      </c>
      <c r="N18" s="17">
        <f t="shared" si="4"/>
        <v>42.982868562555893</v>
      </c>
      <c r="O18" s="18">
        <f t="shared" si="5"/>
        <v>0.15231649768725197</v>
      </c>
      <c r="P18" s="54">
        <v>6.5</v>
      </c>
      <c r="Q18" s="84">
        <v>1.633</v>
      </c>
      <c r="R18" s="7">
        <f t="shared" si="6"/>
        <v>21.093285799168147</v>
      </c>
      <c r="S18" s="61">
        <v>12</v>
      </c>
      <c r="T18" s="61">
        <v>3</v>
      </c>
      <c r="U18" s="61">
        <v>12</v>
      </c>
      <c r="V18" s="61">
        <v>3</v>
      </c>
      <c r="W18" s="19">
        <f t="shared" si="7"/>
        <v>678.58401317539528</v>
      </c>
      <c r="X18" s="7" t="str">
        <f t="shared" si="8"/>
        <v>OK</v>
      </c>
      <c r="Y18" s="17">
        <f t="shared" si="9"/>
        <v>-52.534617132012755</v>
      </c>
      <c r="Z18" s="18">
        <f t="shared" si="10"/>
        <v>-3.1084265749886032E-2</v>
      </c>
    </row>
    <row r="19" spans="1:26" x14ac:dyDescent="0.25">
      <c r="A19" s="55" t="s">
        <v>17</v>
      </c>
      <c r="B19" s="54">
        <v>7</v>
      </c>
      <c r="C19" s="79">
        <v>10.4795</v>
      </c>
      <c r="D19" s="7">
        <v>500</v>
      </c>
      <c r="E19" s="61">
        <v>220</v>
      </c>
      <c r="F19" s="7">
        <f t="shared" si="0"/>
        <v>180</v>
      </c>
      <c r="G19" s="7">
        <f t="shared" si="1"/>
        <v>165.44314988475259</v>
      </c>
      <c r="H19" s="61">
        <v>12</v>
      </c>
      <c r="I19" s="61">
        <v>3</v>
      </c>
      <c r="J19" s="61">
        <v>12</v>
      </c>
      <c r="K19" s="61">
        <v>3</v>
      </c>
      <c r="L19" s="19">
        <f t="shared" si="2"/>
        <v>678.58401317539528</v>
      </c>
      <c r="M19" s="7" t="str">
        <f t="shared" si="3"/>
        <v>OK</v>
      </c>
      <c r="N19" s="17">
        <f t="shared" si="4"/>
        <v>42.982868562555893</v>
      </c>
      <c r="O19" s="18">
        <f t="shared" si="5"/>
        <v>0.24380643615603437</v>
      </c>
      <c r="P19" s="54">
        <v>7</v>
      </c>
      <c r="Q19" s="84">
        <v>-3.4599000000000002</v>
      </c>
      <c r="R19" s="7">
        <f t="shared" si="6"/>
        <v>44.69115709524916</v>
      </c>
      <c r="S19" s="61">
        <v>12</v>
      </c>
      <c r="T19" s="61">
        <v>3</v>
      </c>
      <c r="U19" s="61">
        <v>12</v>
      </c>
      <c r="V19" s="61">
        <v>3</v>
      </c>
      <c r="W19" s="19">
        <f t="shared" si="7"/>
        <v>678.58401317539528</v>
      </c>
      <c r="X19" s="7" t="str">
        <f t="shared" si="8"/>
        <v>OK</v>
      </c>
      <c r="Y19" s="17">
        <f t="shared" si="9"/>
        <v>-52.534617132012755</v>
      </c>
      <c r="Z19" s="18">
        <f t="shared" si="10"/>
        <v>6.5859431150049413E-2</v>
      </c>
    </row>
    <row r="20" spans="1:26" x14ac:dyDescent="0.25">
      <c r="A20" s="55" t="s">
        <v>17</v>
      </c>
      <c r="B20" s="54">
        <v>7.5</v>
      </c>
      <c r="C20" s="79">
        <v>13.7247</v>
      </c>
      <c r="D20" s="7">
        <v>500</v>
      </c>
      <c r="E20" s="61">
        <v>220</v>
      </c>
      <c r="F20" s="7">
        <f t="shared" si="0"/>
        <v>180</v>
      </c>
      <c r="G20" s="7">
        <f t="shared" si="1"/>
        <v>216.67613905465566</v>
      </c>
      <c r="H20" s="61">
        <v>12</v>
      </c>
      <c r="I20" s="61">
        <v>3</v>
      </c>
      <c r="J20" s="61">
        <v>12</v>
      </c>
      <c r="K20" s="61">
        <v>3</v>
      </c>
      <c r="L20" s="19">
        <f t="shared" si="2"/>
        <v>678.58401317539528</v>
      </c>
      <c r="M20" s="7" t="str">
        <f t="shared" si="3"/>
        <v>OK</v>
      </c>
      <c r="N20" s="17">
        <f t="shared" si="4"/>
        <v>42.982868562555893</v>
      </c>
      <c r="O20" s="18">
        <f t="shared" si="5"/>
        <v>0.31930628315384557</v>
      </c>
      <c r="P20" s="54">
        <v>7.5</v>
      </c>
      <c r="Q20" s="84">
        <v>-9.2401999999999997</v>
      </c>
      <c r="R20" s="7">
        <f t="shared" si="6"/>
        <v>119.35467204009402</v>
      </c>
      <c r="S20" s="61">
        <v>12</v>
      </c>
      <c r="T20" s="61">
        <v>3</v>
      </c>
      <c r="U20" s="61">
        <v>12</v>
      </c>
      <c r="V20" s="61">
        <v>3</v>
      </c>
      <c r="W20" s="19">
        <f t="shared" si="7"/>
        <v>678.58401317539528</v>
      </c>
      <c r="X20" s="7" t="str">
        <f t="shared" si="8"/>
        <v>OK</v>
      </c>
      <c r="Y20" s="17">
        <f t="shared" si="9"/>
        <v>-52.534617132012755</v>
      </c>
      <c r="Z20" s="18">
        <f t="shared" si="10"/>
        <v>0.1758878336693796</v>
      </c>
    </row>
    <row r="21" spans="1:26" x14ac:dyDescent="0.25">
      <c r="A21" s="55" t="s">
        <v>17</v>
      </c>
      <c r="B21" s="54">
        <v>8</v>
      </c>
      <c r="C21" s="79">
        <v>16.282599999999999</v>
      </c>
      <c r="D21" s="7">
        <v>500</v>
      </c>
      <c r="E21" s="61">
        <v>220</v>
      </c>
      <c r="F21" s="7">
        <f t="shared" si="0"/>
        <v>180</v>
      </c>
      <c r="G21" s="7">
        <f t="shared" si="1"/>
        <v>257.05850778314539</v>
      </c>
      <c r="H21" s="61">
        <v>12</v>
      </c>
      <c r="I21" s="61">
        <v>3</v>
      </c>
      <c r="J21" s="61">
        <v>12</v>
      </c>
      <c r="K21" s="61">
        <v>3</v>
      </c>
      <c r="L21" s="19">
        <f t="shared" si="2"/>
        <v>678.58401317539528</v>
      </c>
      <c r="M21" s="7" t="str">
        <f t="shared" si="3"/>
        <v>OK</v>
      </c>
      <c r="N21" s="17">
        <f t="shared" si="4"/>
        <v>42.982868562555893</v>
      </c>
      <c r="O21" s="18">
        <f t="shared" si="5"/>
        <v>0.37881603868068559</v>
      </c>
      <c r="P21" s="54">
        <v>8</v>
      </c>
      <c r="Q21" s="84">
        <v>-15.7079</v>
      </c>
      <c r="R21" s="7">
        <f t="shared" si="6"/>
        <v>202.8972590353664</v>
      </c>
      <c r="S21" s="61">
        <v>12</v>
      </c>
      <c r="T21" s="61">
        <v>3</v>
      </c>
      <c r="U21" s="61">
        <v>12</v>
      </c>
      <c r="V21" s="61">
        <v>3</v>
      </c>
      <c r="W21" s="19">
        <f t="shared" si="7"/>
        <v>678.58401317539528</v>
      </c>
      <c r="X21" s="7" t="str">
        <f t="shared" si="8"/>
        <v>OK</v>
      </c>
      <c r="Y21" s="17">
        <f t="shared" si="9"/>
        <v>-52.534617132012755</v>
      </c>
      <c r="Z21" s="18">
        <f t="shared" si="10"/>
        <v>0.2990009418081046</v>
      </c>
    </row>
    <row r="22" spans="1:26" x14ac:dyDescent="0.25">
      <c r="A22" s="55" t="s">
        <v>18</v>
      </c>
      <c r="B22" s="54">
        <v>8</v>
      </c>
      <c r="C22" s="79">
        <v>7.8834</v>
      </c>
      <c r="D22" s="7">
        <v>500</v>
      </c>
      <c r="E22" s="61">
        <v>220</v>
      </c>
      <c r="F22" s="7">
        <f t="shared" si="0"/>
        <v>180</v>
      </c>
      <c r="G22" s="7">
        <f t="shared" si="1"/>
        <v>124.45770578762905</v>
      </c>
      <c r="H22" s="61">
        <v>12</v>
      </c>
      <c r="I22" s="61">
        <v>3</v>
      </c>
      <c r="J22" s="61">
        <v>12</v>
      </c>
      <c r="K22" s="61">
        <v>3</v>
      </c>
      <c r="L22" s="19">
        <f t="shared" si="2"/>
        <v>678.58401317539528</v>
      </c>
      <c r="M22" s="7" t="str">
        <f t="shared" si="3"/>
        <v>OK</v>
      </c>
      <c r="N22" s="17">
        <f t="shared" si="4"/>
        <v>42.982868562555893</v>
      </c>
      <c r="O22" s="18">
        <f t="shared" si="5"/>
        <v>0.18340795446275884</v>
      </c>
      <c r="P22" s="54">
        <v>8</v>
      </c>
      <c r="Q22" s="84">
        <v>-22.8628</v>
      </c>
      <c r="R22" s="7">
        <f t="shared" si="6"/>
        <v>295.31633470252393</v>
      </c>
      <c r="S22" s="61">
        <v>12</v>
      </c>
      <c r="T22" s="61">
        <v>3</v>
      </c>
      <c r="U22" s="61">
        <v>12</v>
      </c>
      <c r="V22" s="61">
        <v>3</v>
      </c>
      <c r="W22" s="19">
        <f t="shared" si="7"/>
        <v>678.58401317539528</v>
      </c>
      <c r="X22" s="7" t="str">
        <f t="shared" si="8"/>
        <v>OK</v>
      </c>
      <c r="Y22" s="17">
        <f t="shared" si="9"/>
        <v>-52.534617132012755</v>
      </c>
      <c r="Z22" s="18">
        <f t="shared" si="10"/>
        <v>0.43519494855266033</v>
      </c>
    </row>
    <row r="23" spans="1:26" x14ac:dyDescent="0.25">
      <c r="A23" s="55" t="s">
        <v>18</v>
      </c>
      <c r="B23" s="54">
        <v>8.5</v>
      </c>
      <c r="C23" s="79">
        <v>8.6570999999999998</v>
      </c>
      <c r="D23" s="7">
        <v>500</v>
      </c>
      <c r="E23" s="61">
        <v>220</v>
      </c>
      <c r="F23" s="7">
        <f t="shared" si="0"/>
        <v>180</v>
      </c>
      <c r="G23" s="7">
        <f t="shared" si="1"/>
        <v>136.67235009946006</v>
      </c>
      <c r="H23" s="61">
        <v>12</v>
      </c>
      <c r="I23" s="61">
        <v>3</v>
      </c>
      <c r="J23" s="61">
        <v>12</v>
      </c>
      <c r="K23" s="61">
        <v>3</v>
      </c>
      <c r="L23" s="19">
        <f t="shared" si="2"/>
        <v>678.58401317539528</v>
      </c>
      <c r="M23" s="7" t="str">
        <f t="shared" si="3"/>
        <v>OK</v>
      </c>
      <c r="N23" s="17">
        <f t="shared" si="4"/>
        <v>42.982868562555893</v>
      </c>
      <c r="O23" s="18">
        <f t="shared" si="5"/>
        <v>0.20140814909551077</v>
      </c>
      <c r="P23" s="54">
        <v>8.5</v>
      </c>
      <c r="Q23" s="84">
        <v>-21.552</v>
      </c>
      <c r="R23" s="7">
        <f t="shared" si="6"/>
        <v>278.38487173525533</v>
      </c>
      <c r="S23" s="61">
        <v>12</v>
      </c>
      <c r="T23" s="61">
        <v>3</v>
      </c>
      <c r="U23" s="61">
        <v>12</v>
      </c>
      <c r="V23" s="61">
        <v>3</v>
      </c>
      <c r="W23" s="19">
        <f t="shared" si="7"/>
        <v>678.58401317539528</v>
      </c>
      <c r="X23" s="7" t="str">
        <f t="shared" si="8"/>
        <v>OK</v>
      </c>
      <c r="Y23" s="17">
        <f t="shared" si="9"/>
        <v>-52.534617132012755</v>
      </c>
      <c r="Z23" s="18">
        <f t="shared" si="10"/>
        <v>0.410243781654344</v>
      </c>
    </row>
    <row r="24" spans="1:26" x14ac:dyDescent="0.25">
      <c r="A24" s="55" t="s">
        <v>18</v>
      </c>
      <c r="B24" s="54">
        <v>9</v>
      </c>
      <c r="C24" s="79">
        <v>8.7433999999999994</v>
      </c>
      <c r="D24" s="7">
        <v>500</v>
      </c>
      <c r="E24" s="61">
        <v>220</v>
      </c>
      <c r="F24" s="7">
        <f t="shared" si="0"/>
        <v>180</v>
      </c>
      <c r="G24" s="7">
        <f t="shared" si="1"/>
        <v>138.03479523854628</v>
      </c>
      <c r="H24" s="61">
        <v>12</v>
      </c>
      <c r="I24" s="61">
        <v>3</v>
      </c>
      <c r="J24" s="61">
        <v>12</v>
      </c>
      <c r="K24" s="61">
        <v>3</v>
      </c>
      <c r="L24" s="19">
        <f t="shared" si="2"/>
        <v>678.58401317539528</v>
      </c>
      <c r="M24" s="7" t="str">
        <f t="shared" si="3"/>
        <v>OK</v>
      </c>
      <c r="N24" s="17">
        <f t="shared" si="4"/>
        <v>42.982868562555893</v>
      </c>
      <c r="O24" s="18">
        <f t="shared" si="5"/>
        <v>0.20341592574900241</v>
      </c>
      <c r="P24" s="54">
        <v>9</v>
      </c>
      <c r="Q24" s="84">
        <v>-15.430999999999999</v>
      </c>
      <c r="R24" s="7">
        <f t="shared" si="6"/>
        <v>199.32057144333356</v>
      </c>
      <c r="S24" s="61">
        <v>12</v>
      </c>
      <c r="T24" s="61">
        <v>3</v>
      </c>
      <c r="U24" s="61">
        <v>12</v>
      </c>
      <c r="V24" s="61">
        <v>3</v>
      </c>
      <c r="W24" s="19">
        <f t="shared" si="7"/>
        <v>678.58401317539528</v>
      </c>
      <c r="X24" s="7" t="str">
        <f t="shared" si="8"/>
        <v>OK</v>
      </c>
      <c r="Y24" s="17">
        <f t="shared" si="9"/>
        <v>-52.534617132012755</v>
      </c>
      <c r="Z24" s="18">
        <f t="shared" si="10"/>
        <v>0.29373013152877608</v>
      </c>
    </row>
    <row r="25" spans="1:26" x14ac:dyDescent="0.25">
      <c r="A25" s="55" t="s">
        <v>18</v>
      </c>
      <c r="B25" s="54">
        <v>9.5</v>
      </c>
      <c r="C25" s="79">
        <v>8.1425000000000001</v>
      </c>
      <c r="D25" s="7">
        <v>500</v>
      </c>
      <c r="E25" s="61">
        <v>220</v>
      </c>
      <c r="F25" s="7">
        <f t="shared" si="0"/>
        <v>180</v>
      </c>
      <c r="G25" s="7">
        <f t="shared" si="1"/>
        <v>128.54819866755074</v>
      </c>
      <c r="H25" s="61">
        <v>12</v>
      </c>
      <c r="I25" s="61">
        <v>3</v>
      </c>
      <c r="J25" s="61">
        <v>12</v>
      </c>
      <c r="K25" s="61">
        <v>3</v>
      </c>
      <c r="L25" s="19">
        <f t="shared" si="2"/>
        <v>678.58401317539528</v>
      </c>
      <c r="M25" s="7" t="str">
        <f t="shared" si="3"/>
        <v>OK</v>
      </c>
      <c r="N25" s="17">
        <f t="shared" si="4"/>
        <v>42.982868562555893</v>
      </c>
      <c r="O25" s="18">
        <f t="shared" si="5"/>
        <v>0.18943593743981199</v>
      </c>
      <c r="P25" s="54">
        <v>9.5</v>
      </c>
      <c r="Q25" s="84">
        <v>-9.9972999999999992</v>
      </c>
      <c r="R25" s="7">
        <f t="shared" si="6"/>
        <v>129.13405151256811</v>
      </c>
      <c r="S25" s="61">
        <v>12</v>
      </c>
      <c r="T25" s="61">
        <v>3</v>
      </c>
      <c r="U25" s="61">
        <v>12</v>
      </c>
      <c r="V25" s="61">
        <v>3</v>
      </c>
      <c r="W25" s="19">
        <f t="shared" si="7"/>
        <v>678.58401317539528</v>
      </c>
      <c r="X25" s="7" t="str">
        <f t="shared" si="8"/>
        <v>OK</v>
      </c>
      <c r="Y25" s="17">
        <f t="shared" si="9"/>
        <v>-52.534617132012755</v>
      </c>
      <c r="Z25" s="18">
        <f t="shared" si="10"/>
        <v>0.19029928351582093</v>
      </c>
    </row>
    <row r="26" spans="1:26" x14ac:dyDescent="0.25">
      <c r="A26" s="55" t="s">
        <v>18</v>
      </c>
      <c r="B26" s="54">
        <v>10</v>
      </c>
      <c r="C26" s="79">
        <v>6.8543000000000003</v>
      </c>
      <c r="D26" s="7">
        <v>500</v>
      </c>
      <c r="E26" s="61">
        <v>220</v>
      </c>
      <c r="F26" s="7">
        <f t="shared" si="0"/>
        <v>180</v>
      </c>
      <c r="G26" s="7">
        <f t="shared" si="1"/>
        <v>108.21098165514192</v>
      </c>
      <c r="H26" s="61">
        <v>12</v>
      </c>
      <c r="I26" s="61">
        <v>3</v>
      </c>
      <c r="J26" s="61">
        <v>12</v>
      </c>
      <c r="K26" s="61">
        <v>3</v>
      </c>
      <c r="L26" s="19">
        <f t="shared" si="2"/>
        <v>678.58401317539528</v>
      </c>
      <c r="M26" s="7" t="str">
        <f t="shared" si="3"/>
        <v>OK</v>
      </c>
      <c r="N26" s="17">
        <f t="shared" si="4"/>
        <v>42.982868562555893</v>
      </c>
      <c r="O26" s="18">
        <f t="shared" si="5"/>
        <v>0.15946585765965041</v>
      </c>
      <c r="P26" s="54">
        <v>10</v>
      </c>
      <c r="Q26" s="84">
        <v>-5.2508999999999997</v>
      </c>
      <c r="R26" s="7">
        <f t="shared" si="6"/>
        <v>67.82531194295899</v>
      </c>
      <c r="S26" s="61">
        <v>12</v>
      </c>
      <c r="T26" s="61">
        <v>3</v>
      </c>
      <c r="U26" s="61">
        <v>12</v>
      </c>
      <c r="V26" s="61">
        <v>3</v>
      </c>
      <c r="W26" s="19">
        <f t="shared" si="7"/>
        <v>678.58401317539528</v>
      </c>
      <c r="X26" s="7" t="str">
        <f t="shared" si="8"/>
        <v>OK</v>
      </c>
      <c r="Y26" s="17">
        <f t="shared" si="9"/>
        <v>-52.534617132012755</v>
      </c>
      <c r="Z26" s="18">
        <f t="shared" si="10"/>
        <v>9.9951237615478597E-2</v>
      </c>
    </row>
    <row r="27" spans="1:26" x14ac:dyDescent="0.25">
      <c r="A27" s="55" t="s">
        <v>18</v>
      </c>
      <c r="B27" s="54">
        <v>10.5</v>
      </c>
      <c r="C27" s="79">
        <v>4.8788</v>
      </c>
      <c r="D27" s="7">
        <v>500</v>
      </c>
      <c r="E27" s="61">
        <v>220</v>
      </c>
      <c r="F27" s="7">
        <f t="shared" si="0"/>
        <v>180</v>
      </c>
      <c r="G27" s="7">
        <f t="shared" si="1"/>
        <v>77.023144201319809</v>
      </c>
      <c r="H27" s="61">
        <v>12</v>
      </c>
      <c r="I27" s="61">
        <v>3</v>
      </c>
      <c r="J27" s="61">
        <v>12</v>
      </c>
      <c r="K27" s="61">
        <v>3</v>
      </c>
      <c r="L27" s="19">
        <f t="shared" si="2"/>
        <v>678.58401317539528</v>
      </c>
      <c r="M27" s="7" t="str">
        <f t="shared" si="3"/>
        <v>OK</v>
      </c>
      <c r="N27" s="17">
        <f t="shared" si="4"/>
        <v>42.982868562555893</v>
      </c>
      <c r="O27" s="18">
        <f t="shared" si="5"/>
        <v>0.11350568640851763</v>
      </c>
      <c r="P27" s="54">
        <v>10.5</v>
      </c>
      <c r="Q27" s="84">
        <v>-1.1918</v>
      </c>
      <c r="R27" s="7">
        <f t="shared" si="6"/>
        <v>15.394352734506183</v>
      </c>
      <c r="S27" s="61">
        <v>12</v>
      </c>
      <c r="T27" s="61">
        <v>3</v>
      </c>
      <c r="U27" s="61">
        <v>12</v>
      </c>
      <c r="V27" s="61">
        <v>3</v>
      </c>
      <c r="W27" s="19">
        <f t="shared" si="7"/>
        <v>678.58401317539528</v>
      </c>
      <c r="X27" s="7" t="str">
        <f t="shared" si="8"/>
        <v>OK</v>
      </c>
      <c r="Y27" s="17">
        <f t="shared" si="9"/>
        <v>-52.534617132012755</v>
      </c>
      <c r="Z27" s="18">
        <f t="shared" si="10"/>
        <v>2.2685993827749034E-2</v>
      </c>
    </row>
    <row r="28" spans="1:26" x14ac:dyDescent="0.25">
      <c r="A28" s="55" t="s">
        <v>18</v>
      </c>
      <c r="B28" s="54">
        <v>11</v>
      </c>
      <c r="C28" s="79">
        <v>4.8644999999999996</v>
      </c>
      <c r="D28" s="7">
        <v>500</v>
      </c>
      <c r="E28" s="61">
        <v>220</v>
      </c>
      <c r="F28" s="7">
        <f t="shared" si="0"/>
        <v>180</v>
      </c>
      <c r="G28" s="7">
        <f t="shared" si="1"/>
        <v>76.797385620915023</v>
      </c>
      <c r="H28" s="61">
        <v>12</v>
      </c>
      <c r="I28" s="61">
        <v>3</v>
      </c>
      <c r="J28" s="61">
        <v>12</v>
      </c>
      <c r="K28" s="61">
        <v>3</v>
      </c>
      <c r="L28" s="19">
        <f t="shared" si="2"/>
        <v>678.58401317539528</v>
      </c>
      <c r="M28" s="7" t="str">
        <f t="shared" si="3"/>
        <v>OK</v>
      </c>
      <c r="N28" s="17">
        <f t="shared" si="4"/>
        <v>42.982868562555893</v>
      </c>
      <c r="O28" s="18">
        <f t="shared" si="5"/>
        <v>0.11317299572317659</v>
      </c>
      <c r="P28" s="54">
        <v>11</v>
      </c>
      <c r="Q28" s="84">
        <v>2.1800000000000002</v>
      </c>
      <c r="R28" s="7">
        <f t="shared" si="6"/>
        <v>28.158826112790301</v>
      </c>
      <c r="S28" s="61">
        <v>12</v>
      </c>
      <c r="T28" s="61">
        <v>3</v>
      </c>
      <c r="U28" s="61">
        <v>12</v>
      </c>
      <c r="V28" s="61">
        <v>3</v>
      </c>
      <c r="W28" s="19">
        <f t="shared" si="7"/>
        <v>678.58401317539528</v>
      </c>
      <c r="X28" s="7" t="str">
        <f t="shared" si="8"/>
        <v>OK</v>
      </c>
      <c r="Y28" s="17">
        <f t="shared" si="9"/>
        <v>-52.534617132012755</v>
      </c>
      <c r="Z28" s="18">
        <f t="shared" si="10"/>
        <v>-4.1496447847367758E-2</v>
      </c>
    </row>
    <row r="29" spans="1:26" x14ac:dyDescent="0.25">
      <c r="A29" s="55" t="s">
        <v>18</v>
      </c>
      <c r="B29" s="54">
        <v>11.5</v>
      </c>
      <c r="C29" s="79">
        <v>6.8617999999999997</v>
      </c>
      <c r="D29" s="7">
        <v>500</v>
      </c>
      <c r="E29" s="61">
        <v>220</v>
      </c>
      <c r="F29" s="7">
        <f t="shared" si="0"/>
        <v>180</v>
      </c>
      <c r="G29" s="7">
        <f t="shared" si="1"/>
        <v>108.32938650500456</v>
      </c>
      <c r="H29" s="61">
        <v>12</v>
      </c>
      <c r="I29" s="61">
        <v>3</v>
      </c>
      <c r="J29" s="61">
        <v>12</v>
      </c>
      <c r="K29" s="61">
        <v>3</v>
      </c>
      <c r="L29" s="19">
        <f t="shared" si="2"/>
        <v>678.58401317539528</v>
      </c>
      <c r="M29" s="7" t="str">
        <f t="shared" si="3"/>
        <v>OK</v>
      </c>
      <c r="N29" s="17">
        <f t="shared" si="4"/>
        <v>42.982868562555893</v>
      </c>
      <c r="O29" s="18">
        <f t="shared" si="5"/>
        <v>0.15964034578133274</v>
      </c>
      <c r="P29" s="54">
        <v>11.5</v>
      </c>
      <c r="Q29" s="84">
        <v>2.2160000000000002</v>
      </c>
      <c r="R29" s="7">
        <f t="shared" si="6"/>
        <v>28.623834250432711</v>
      </c>
      <c r="S29" s="61">
        <v>12</v>
      </c>
      <c r="T29" s="61">
        <v>3</v>
      </c>
      <c r="U29" s="61">
        <v>12</v>
      </c>
      <c r="V29" s="61">
        <v>3</v>
      </c>
      <c r="W29" s="19">
        <f t="shared" si="7"/>
        <v>678.58401317539528</v>
      </c>
      <c r="X29" s="7" t="str">
        <f t="shared" si="8"/>
        <v>OK</v>
      </c>
      <c r="Y29" s="17">
        <f t="shared" si="9"/>
        <v>-52.534617132012755</v>
      </c>
      <c r="Z29" s="18">
        <f t="shared" si="10"/>
        <v>-4.2181710288883928E-2</v>
      </c>
    </row>
    <row r="30" spans="1:26" x14ac:dyDescent="0.25">
      <c r="A30" s="55" t="s">
        <v>18</v>
      </c>
      <c r="B30" s="54">
        <v>12</v>
      </c>
      <c r="C30" s="79">
        <v>8.1716999999999995</v>
      </c>
      <c r="D30" s="7">
        <v>500</v>
      </c>
      <c r="E30" s="61">
        <v>220</v>
      </c>
      <c r="F30" s="7">
        <f t="shared" si="0"/>
        <v>180</v>
      </c>
      <c r="G30" s="7">
        <f t="shared" si="1"/>
        <v>129.00918821634932</v>
      </c>
      <c r="H30" s="61">
        <v>12</v>
      </c>
      <c r="I30" s="61">
        <v>3</v>
      </c>
      <c r="J30" s="61">
        <v>12</v>
      </c>
      <c r="K30" s="61">
        <v>3</v>
      </c>
      <c r="L30" s="19">
        <f t="shared" si="2"/>
        <v>678.58401317539528</v>
      </c>
      <c r="M30" s="7" t="str">
        <f t="shared" si="3"/>
        <v>OK</v>
      </c>
      <c r="N30" s="17">
        <f t="shared" si="4"/>
        <v>42.982868562555893</v>
      </c>
      <c r="O30" s="18">
        <f t="shared" si="5"/>
        <v>0.19011527786022864</v>
      </c>
      <c r="P30" s="54">
        <v>12</v>
      </c>
      <c r="Q30" s="84">
        <v>-1.1341000000000001</v>
      </c>
      <c r="R30" s="7">
        <f t="shared" si="6"/>
        <v>14.649048025007101</v>
      </c>
      <c r="S30" s="61">
        <v>12</v>
      </c>
      <c r="T30" s="61">
        <v>3</v>
      </c>
      <c r="U30" s="61">
        <v>12</v>
      </c>
      <c r="V30" s="61">
        <v>3</v>
      </c>
      <c r="W30" s="19">
        <f t="shared" si="7"/>
        <v>678.58401317539528</v>
      </c>
      <c r="X30" s="7" t="str">
        <f t="shared" si="8"/>
        <v>OK</v>
      </c>
      <c r="Y30" s="17">
        <f t="shared" si="9"/>
        <v>-52.534617132012755</v>
      </c>
      <c r="Z30" s="18">
        <f t="shared" si="10"/>
        <v>2.1587670414541182E-2</v>
      </c>
    </row>
    <row r="31" spans="1:26" x14ac:dyDescent="0.25">
      <c r="A31" s="55" t="s">
        <v>18</v>
      </c>
      <c r="B31" s="54">
        <v>12.5</v>
      </c>
      <c r="C31" s="79">
        <v>8.7942999999999998</v>
      </c>
      <c r="D31" s="7">
        <v>500</v>
      </c>
      <c r="E31" s="61">
        <v>220</v>
      </c>
      <c r="F31" s="7">
        <f t="shared" si="0"/>
        <v>180</v>
      </c>
      <c r="G31" s="7">
        <f t="shared" si="1"/>
        <v>138.83836948628081</v>
      </c>
      <c r="H31" s="61">
        <v>12</v>
      </c>
      <c r="I31" s="61">
        <v>3</v>
      </c>
      <c r="J31" s="61">
        <v>12</v>
      </c>
      <c r="K31" s="61">
        <v>3</v>
      </c>
      <c r="L31" s="19">
        <f t="shared" si="2"/>
        <v>678.58401317539528</v>
      </c>
      <c r="M31" s="7" t="str">
        <f t="shared" si="3"/>
        <v>OK</v>
      </c>
      <c r="N31" s="17">
        <f t="shared" si="4"/>
        <v>42.982868562555893</v>
      </c>
      <c r="O31" s="18">
        <f t="shared" si="5"/>
        <v>0.20460011846815335</v>
      </c>
      <c r="P31" s="54">
        <v>12.5</v>
      </c>
      <c r="Q31" s="84">
        <v>-5.1715</v>
      </c>
      <c r="R31" s="7">
        <f t="shared" si="6"/>
        <v>66.799710661603228</v>
      </c>
      <c r="S31" s="61">
        <v>12</v>
      </c>
      <c r="T31" s="61">
        <v>3</v>
      </c>
      <c r="U31" s="61">
        <v>12</v>
      </c>
      <c r="V31" s="61">
        <v>3</v>
      </c>
      <c r="W31" s="19">
        <f t="shared" si="7"/>
        <v>678.58401317539528</v>
      </c>
      <c r="X31" s="7" t="str">
        <f t="shared" si="8"/>
        <v>OK</v>
      </c>
      <c r="Y31" s="17">
        <f t="shared" si="9"/>
        <v>-52.534617132012755</v>
      </c>
      <c r="Z31" s="18">
        <f t="shared" si="10"/>
        <v>9.8439853230579064E-2</v>
      </c>
    </row>
    <row r="32" spans="1:26" x14ac:dyDescent="0.25">
      <c r="A32" s="55" t="s">
        <v>18</v>
      </c>
      <c r="B32" s="54">
        <v>13</v>
      </c>
      <c r="C32" s="79">
        <v>8.7295999999999996</v>
      </c>
      <c r="D32" s="7">
        <v>500</v>
      </c>
      <c r="E32" s="61">
        <v>220</v>
      </c>
      <c r="F32" s="7">
        <f t="shared" si="0"/>
        <v>180</v>
      </c>
      <c r="G32" s="7">
        <f t="shared" si="1"/>
        <v>137.81693031479901</v>
      </c>
      <c r="H32" s="61">
        <v>12</v>
      </c>
      <c r="I32" s="61">
        <v>3</v>
      </c>
      <c r="J32" s="61">
        <v>12</v>
      </c>
      <c r="K32" s="61">
        <v>3</v>
      </c>
      <c r="L32" s="19">
        <f t="shared" si="2"/>
        <v>678.58401317539528</v>
      </c>
      <c r="M32" s="7" t="str">
        <f t="shared" si="3"/>
        <v>OK</v>
      </c>
      <c r="N32" s="17">
        <f t="shared" si="4"/>
        <v>42.982868562555893</v>
      </c>
      <c r="O32" s="18">
        <f t="shared" si="5"/>
        <v>0.20309486760510687</v>
      </c>
      <c r="P32" s="54">
        <v>13</v>
      </c>
      <c r="Q32" s="84">
        <v>-9.8962000000000003</v>
      </c>
      <c r="R32" s="7">
        <f t="shared" si="6"/>
        <v>127.82815365935568</v>
      </c>
      <c r="S32" s="61">
        <v>12</v>
      </c>
      <c r="T32" s="61">
        <v>3</v>
      </c>
      <c r="U32" s="61">
        <v>12</v>
      </c>
      <c r="V32" s="61">
        <v>3</v>
      </c>
      <c r="W32" s="19">
        <f t="shared" si="7"/>
        <v>678.58401317539528</v>
      </c>
      <c r="X32" s="7" t="str">
        <f t="shared" si="8"/>
        <v>OK</v>
      </c>
      <c r="Y32" s="17">
        <f t="shared" si="9"/>
        <v>-52.534617132012755</v>
      </c>
      <c r="Z32" s="18">
        <f t="shared" si="10"/>
        <v>0.18837483815922973</v>
      </c>
    </row>
    <row r="33" spans="1:26" x14ac:dyDescent="0.25">
      <c r="A33" s="55" t="s">
        <v>18</v>
      </c>
      <c r="B33" s="54">
        <v>13.5</v>
      </c>
      <c r="C33" s="79">
        <v>7.9776999999999996</v>
      </c>
      <c r="D33" s="7">
        <v>500</v>
      </c>
      <c r="E33" s="61">
        <v>220</v>
      </c>
      <c r="F33" s="7">
        <f t="shared" si="0"/>
        <v>180</v>
      </c>
      <c r="G33" s="7">
        <f t="shared" si="1"/>
        <v>125.94644943323544</v>
      </c>
      <c r="H33" s="61">
        <v>12</v>
      </c>
      <c r="I33" s="61">
        <v>3</v>
      </c>
      <c r="J33" s="61">
        <v>12</v>
      </c>
      <c r="K33" s="61">
        <v>3</v>
      </c>
      <c r="L33" s="19">
        <f t="shared" si="2"/>
        <v>678.58401317539528</v>
      </c>
      <c r="M33" s="7" t="str">
        <f t="shared" si="3"/>
        <v>OK</v>
      </c>
      <c r="N33" s="17">
        <f t="shared" si="4"/>
        <v>42.982868562555893</v>
      </c>
      <c r="O33" s="18">
        <f t="shared" si="5"/>
        <v>0.18560185177937832</v>
      </c>
      <c r="P33" s="54">
        <v>13.5</v>
      </c>
      <c r="Q33" s="84">
        <v>-15.308199999999999</v>
      </c>
      <c r="R33" s="7">
        <f t="shared" si="6"/>
        <v>197.73437701826444</v>
      </c>
      <c r="S33" s="61">
        <v>12</v>
      </c>
      <c r="T33" s="61">
        <v>3</v>
      </c>
      <c r="U33" s="61">
        <v>12</v>
      </c>
      <c r="V33" s="61">
        <v>3</v>
      </c>
      <c r="W33" s="19">
        <f t="shared" si="7"/>
        <v>678.58401317539528</v>
      </c>
      <c r="X33" s="7" t="str">
        <f t="shared" si="8"/>
        <v>OK</v>
      </c>
      <c r="Y33" s="17">
        <f t="shared" si="9"/>
        <v>-52.534617132012755</v>
      </c>
      <c r="Z33" s="18">
        <f t="shared" si="10"/>
        <v>0.29139262520049314</v>
      </c>
    </row>
    <row r="34" spans="1:26" x14ac:dyDescent="0.25">
      <c r="A34" s="55" t="s">
        <v>19</v>
      </c>
      <c r="B34" s="54">
        <v>13.5</v>
      </c>
      <c r="C34" s="79">
        <v>18.034099999999999</v>
      </c>
      <c r="D34" s="7">
        <v>500</v>
      </c>
      <c r="E34" s="61">
        <v>220</v>
      </c>
      <c r="F34" s="7">
        <f t="shared" si="0"/>
        <v>180</v>
      </c>
      <c r="G34" s="7">
        <f t="shared" si="1"/>
        <v>284.70998705440303</v>
      </c>
      <c r="H34" s="61">
        <v>12</v>
      </c>
      <c r="I34" s="61">
        <v>3</v>
      </c>
      <c r="J34" s="61">
        <v>12</v>
      </c>
      <c r="K34" s="61">
        <v>3</v>
      </c>
      <c r="L34" s="19">
        <f t="shared" si="2"/>
        <v>678.58401317539528</v>
      </c>
      <c r="M34" s="7" t="str">
        <f t="shared" si="3"/>
        <v>OK</v>
      </c>
      <c r="N34" s="17">
        <f t="shared" si="4"/>
        <v>42.982868562555893</v>
      </c>
      <c r="O34" s="18">
        <f t="shared" si="5"/>
        <v>0.41956483136423867</v>
      </c>
      <c r="P34" s="54">
        <v>13.5</v>
      </c>
      <c r="Q34" s="84">
        <v>-21.407499999999999</v>
      </c>
      <c r="R34" s="7">
        <f t="shared" si="6"/>
        <v>276.51838073832954</v>
      </c>
      <c r="S34" s="61">
        <v>12</v>
      </c>
      <c r="T34" s="61">
        <v>3</v>
      </c>
      <c r="U34" s="61">
        <v>12</v>
      </c>
      <c r="V34" s="61">
        <v>3</v>
      </c>
      <c r="W34" s="19">
        <f t="shared" si="7"/>
        <v>678.58401317539528</v>
      </c>
      <c r="X34" s="7" t="str">
        <f t="shared" si="8"/>
        <v>OK</v>
      </c>
      <c r="Y34" s="17">
        <f t="shared" si="9"/>
        <v>-52.534617132012755</v>
      </c>
      <c r="Z34" s="18">
        <f t="shared" si="10"/>
        <v>0.40749321435436936</v>
      </c>
    </row>
    <row r="35" spans="1:26" x14ac:dyDescent="0.25">
      <c r="A35" s="55" t="s">
        <v>19</v>
      </c>
      <c r="B35" s="54">
        <v>14</v>
      </c>
      <c r="C35" s="79">
        <v>14.910500000000001</v>
      </c>
      <c r="D35" s="7">
        <v>500</v>
      </c>
      <c r="E35" s="61">
        <v>220</v>
      </c>
      <c r="F35" s="7">
        <f t="shared" si="0"/>
        <v>180</v>
      </c>
      <c r="G35" s="7">
        <f t="shared" si="1"/>
        <v>235.39673518360644</v>
      </c>
      <c r="H35" s="61">
        <v>12</v>
      </c>
      <c r="I35" s="61">
        <v>3</v>
      </c>
      <c r="J35" s="61">
        <v>12</v>
      </c>
      <c r="K35" s="61">
        <v>3</v>
      </c>
      <c r="L35" s="19">
        <f t="shared" si="2"/>
        <v>678.58401317539528</v>
      </c>
      <c r="M35" s="7" t="str">
        <f t="shared" si="3"/>
        <v>OK</v>
      </c>
      <c r="N35" s="17">
        <f t="shared" si="4"/>
        <v>42.982868562555893</v>
      </c>
      <c r="O35" s="18">
        <f t="shared" si="5"/>
        <v>0.34689401844597079</v>
      </c>
      <c r="P35" s="54">
        <v>14</v>
      </c>
      <c r="Q35" s="84">
        <v>-22.4254</v>
      </c>
      <c r="R35" s="7">
        <f t="shared" si="6"/>
        <v>289.66648583016865</v>
      </c>
      <c r="S35" s="61">
        <v>12</v>
      </c>
      <c r="T35" s="61">
        <v>3</v>
      </c>
      <c r="U35" s="61">
        <v>12</v>
      </c>
      <c r="V35" s="61">
        <v>3</v>
      </c>
      <c r="W35" s="19">
        <f t="shared" si="7"/>
        <v>678.58401317539528</v>
      </c>
      <c r="X35" s="7" t="str">
        <f t="shared" si="8"/>
        <v>OK</v>
      </c>
      <c r="Y35" s="17">
        <f t="shared" si="9"/>
        <v>-52.534617132012755</v>
      </c>
      <c r="Z35" s="18">
        <f t="shared" si="10"/>
        <v>0.42686900988823895</v>
      </c>
    </row>
    <row r="36" spans="1:26" x14ac:dyDescent="0.25">
      <c r="A36" s="55" t="s">
        <v>19</v>
      </c>
      <c r="B36" s="54">
        <v>14.5</v>
      </c>
      <c r="C36" s="79">
        <v>11.0997</v>
      </c>
      <c r="D36" s="7">
        <v>500</v>
      </c>
      <c r="E36" s="61">
        <v>220</v>
      </c>
      <c r="F36" s="7">
        <f t="shared" si="0"/>
        <v>180</v>
      </c>
      <c r="G36" s="7">
        <f t="shared" si="1"/>
        <v>175.23444160272803</v>
      </c>
      <c r="H36" s="61">
        <v>12</v>
      </c>
      <c r="I36" s="61">
        <v>3</v>
      </c>
      <c r="J36" s="61">
        <v>12</v>
      </c>
      <c r="K36" s="61">
        <v>3</v>
      </c>
      <c r="L36" s="19">
        <f t="shared" si="2"/>
        <v>678.58401317539528</v>
      </c>
      <c r="M36" s="7" t="str">
        <f t="shared" si="3"/>
        <v>OK</v>
      </c>
      <c r="N36" s="17">
        <f t="shared" si="4"/>
        <v>42.982868562555893</v>
      </c>
      <c r="O36" s="18">
        <f t="shared" si="5"/>
        <v>0.25823544056502074</v>
      </c>
      <c r="P36" s="54">
        <v>14.5</v>
      </c>
      <c r="Q36" s="84">
        <v>-15.2203</v>
      </c>
      <c r="R36" s="7">
        <f t="shared" si="6"/>
        <v>196.59898214885425</v>
      </c>
      <c r="S36" s="61">
        <v>12</v>
      </c>
      <c r="T36" s="61">
        <v>3</v>
      </c>
      <c r="U36" s="61">
        <v>12</v>
      </c>
      <c r="V36" s="61">
        <v>3</v>
      </c>
      <c r="W36" s="19">
        <f t="shared" si="7"/>
        <v>678.58401317539528</v>
      </c>
      <c r="X36" s="7" t="str">
        <f t="shared" si="8"/>
        <v>OK</v>
      </c>
      <c r="Y36" s="17">
        <f t="shared" si="9"/>
        <v>-52.534617132012755</v>
      </c>
      <c r="Z36" s="18">
        <f t="shared" si="10"/>
        <v>0.28971944273912453</v>
      </c>
    </row>
    <row r="37" spans="1:26" x14ac:dyDescent="0.25">
      <c r="A37" s="55" t="s">
        <v>19</v>
      </c>
      <c r="B37" s="54">
        <v>15</v>
      </c>
      <c r="C37" s="79">
        <v>6.6016000000000004</v>
      </c>
      <c r="D37" s="7">
        <v>500</v>
      </c>
      <c r="E37" s="61">
        <v>220</v>
      </c>
      <c r="F37" s="7">
        <f t="shared" si="0"/>
        <v>180</v>
      </c>
      <c r="G37" s="7">
        <f t="shared" si="1"/>
        <v>104.22152758043634</v>
      </c>
      <c r="H37" s="61">
        <v>12</v>
      </c>
      <c r="I37" s="61">
        <v>3</v>
      </c>
      <c r="J37" s="61">
        <v>12</v>
      </c>
      <c r="K37" s="61">
        <v>3</v>
      </c>
      <c r="L37" s="19">
        <f t="shared" si="2"/>
        <v>678.58401317539528</v>
      </c>
      <c r="M37" s="7" t="str">
        <f t="shared" si="3"/>
        <v>OK</v>
      </c>
      <c r="N37" s="17">
        <f t="shared" si="4"/>
        <v>42.982868562555893</v>
      </c>
      <c r="O37" s="18">
        <f t="shared" si="5"/>
        <v>0.15358677121309952</v>
      </c>
      <c r="P37" s="54">
        <v>15</v>
      </c>
      <c r="Q37" s="84">
        <v>-8.7024000000000008</v>
      </c>
      <c r="R37" s="7">
        <f t="shared" si="6"/>
        <v>112.40796713942491</v>
      </c>
      <c r="S37" s="61">
        <v>12</v>
      </c>
      <c r="T37" s="61">
        <v>3</v>
      </c>
      <c r="U37" s="61">
        <v>12</v>
      </c>
      <c r="V37" s="61">
        <v>3</v>
      </c>
      <c r="W37" s="19">
        <f t="shared" si="7"/>
        <v>678.58401317539528</v>
      </c>
      <c r="X37" s="7" t="str">
        <f t="shared" si="8"/>
        <v>OK</v>
      </c>
      <c r="Y37" s="17">
        <f t="shared" si="9"/>
        <v>-52.534617132012755</v>
      </c>
      <c r="Z37" s="18">
        <f t="shared" si="10"/>
        <v>0.16565077419584093</v>
      </c>
    </row>
    <row r="38" spans="1:26" x14ac:dyDescent="0.25">
      <c r="A38" s="55" t="s">
        <v>19</v>
      </c>
      <c r="B38" s="54">
        <v>15.5</v>
      </c>
      <c r="C38" s="79">
        <v>2.2717000000000001</v>
      </c>
      <c r="D38" s="7">
        <v>500</v>
      </c>
      <c r="E38" s="61">
        <v>220</v>
      </c>
      <c r="F38" s="7">
        <f t="shared" si="0"/>
        <v>180</v>
      </c>
      <c r="G38" s="7">
        <f t="shared" si="1"/>
        <v>35.864039657731041</v>
      </c>
      <c r="H38" s="61">
        <v>12</v>
      </c>
      <c r="I38" s="61">
        <v>3</v>
      </c>
      <c r="J38" s="61">
        <v>12</v>
      </c>
      <c r="K38" s="61">
        <v>3</v>
      </c>
      <c r="L38" s="19">
        <f t="shared" si="2"/>
        <v>678.58401317539528</v>
      </c>
      <c r="M38" s="7" t="str">
        <f t="shared" si="3"/>
        <v>OK</v>
      </c>
      <c r="N38" s="17">
        <f t="shared" si="4"/>
        <v>42.982868562555893</v>
      </c>
      <c r="O38" s="18">
        <f t="shared" si="5"/>
        <v>5.2851288803441317E-2</v>
      </c>
      <c r="P38" s="54">
        <v>15.5</v>
      </c>
      <c r="Q38" s="84">
        <v>-2.8719000000000001</v>
      </c>
      <c r="R38" s="7">
        <f t="shared" si="6"/>
        <v>37.09602418042315</v>
      </c>
      <c r="S38" s="61">
        <v>12</v>
      </c>
      <c r="T38" s="61">
        <v>3</v>
      </c>
      <c r="U38" s="61">
        <v>12</v>
      </c>
      <c r="V38" s="61">
        <v>3</v>
      </c>
      <c r="W38" s="19">
        <f t="shared" si="7"/>
        <v>678.58401317539528</v>
      </c>
      <c r="X38" s="7" t="str">
        <f t="shared" si="8"/>
        <v>OK</v>
      </c>
      <c r="Y38" s="17">
        <f t="shared" si="9"/>
        <v>-52.534617132012755</v>
      </c>
      <c r="Z38" s="18">
        <f t="shared" si="10"/>
        <v>5.4666811271952047E-2</v>
      </c>
    </row>
    <row r="39" spans="1:26" x14ac:dyDescent="0.25">
      <c r="A39" s="55" t="s">
        <v>19</v>
      </c>
      <c r="B39" s="54">
        <v>16</v>
      </c>
      <c r="C39" s="79">
        <v>6.7274000000000003</v>
      </c>
      <c r="D39" s="7">
        <v>500</v>
      </c>
      <c r="E39" s="61">
        <v>220</v>
      </c>
      <c r="F39" s="7">
        <f t="shared" si="0"/>
        <v>180</v>
      </c>
      <c r="G39" s="7">
        <f t="shared" si="1"/>
        <v>106.20757159546586</v>
      </c>
      <c r="H39" s="61">
        <v>12</v>
      </c>
      <c r="I39" s="61">
        <v>3</v>
      </c>
      <c r="J39" s="61">
        <v>12</v>
      </c>
      <c r="K39" s="61">
        <v>3</v>
      </c>
      <c r="L39" s="19">
        <f t="shared" si="2"/>
        <v>678.58401317539528</v>
      </c>
      <c r="M39" s="7" t="str">
        <f t="shared" si="3"/>
        <v>OK</v>
      </c>
      <c r="N39" s="17">
        <f t="shared" si="4"/>
        <v>42.982868562555893</v>
      </c>
      <c r="O39" s="18">
        <f t="shared" si="5"/>
        <v>0.15651351864078492</v>
      </c>
      <c r="P39" s="54">
        <v>16</v>
      </c>
      <c r="Q39" s="84">
        <v>1.4158999999999999</v>
      </c>
      <c r="R39" s="7">
        <f t="shared" si="6"/>
        <v>18.289028391330177</v>
      </c>
      <c r="S39" s="61">
        <v>12</v>
      </c>
      <c r="T39" s="61">
        <v>3</v>
      </c>
      <c r="U39" s="61">
        <v>12</v>
      </c>
      <c r="V39" s="61">
        <v>3</v>
      </c>
      <c r="W39" s="19">
        <f t="shared" si="7"/>
        <v>678.58401317539528</v>
      </c>
      <c r="X39" s="7" t="str">
        <f t="shared" si="8"/>
        <v>OK</v>
      </c>
      <c r="Y39" s="17">
        <f t="shared" si="9"/>
        <v>-52.534617132012755</v>
      </c>
      <c r="Z39" s="18">
        <f t="shared" si="10"/>
        <v>-2.6951752526187159E-2</v>
      </c>
    </row>
    <row r="40" spans="1:26" x14ac:dyDescent="0.25">
      <c r="A40" s="55" t="s">
        <v>19</v>
      </c>
      <c r="B40" s="54">
        <v>16.5</v>
      </c>
      <c r="C40" s="79">
        <v>10.4961</v>
      </c>
      <c r="D40" s="7">
        <v>500</v>
      </c>
      <c r="E40" s="61">
        <v>220</v>
      </c>
      <c r="F40" s="7">
        <f t="shared" si="0"/>
        <v>180</v>
      </c>
      <c r="G40" s="7">
        <f t="shared" si="1"/>
        <v>165.70521928578194</v>
      </c>
      <c r="H40" s="61">
        <v>12</v>
      </c>
      <c r="I40" s="61">
        <v>3</v>
      </c>
      <c r="J40" s="61">
        <v>12</v>
      </c>
      <c r="K40" s="61">
        <v>3</v>
      </c>
      <c r="L40" s="19">
        <f t="shared" si="2"/>
        <v>678.58401317539528</v>
      </c>
      <c r="M40" s="7" t="str">
        <f t="shared" si="3"/>
        <v>OK</v>
      </c>
      <c r="N40" s="17">
        <f t="shared" si="4"/>
        <v>42.982868562555893</v>
      </c>
      <c r="O40" s="18">
        <f t="shared" si="5"/>
        <v>0.24419263653202467</v>
      </c>
      <c r="P40" s="54">
        <v>16.5</v>
      </c>
      <c r="Q40" s="84">
        <v>-4.4565999999999999</v>
      </c>
      <c r="R40" s="7">
        <f t="shared" si="6"/>
        <v>57.565424061587734</v>
      </c>
      <c r="S40" s="61">
        <v>12</v>
      </c>
      <c r="T40" s="61">
        <v>3</v>
      </c>
      <c r="U40" s="61">
        <v>12</v>
      </c>
      <c r="V40" s="61">
        <v>3</v>
      </c>
      <c r="W40" s="19">
        <f t="shared" si="7"/>
        <v>678.58401317539528</v>
      </c>
      <c r="X40" s="7" t="str">
        <f t="shared" si="8"/>
        <v>OK</v>
      </c>
      <c r="Y40" s="17">
        <f t="shared" si="9"/>
        <v>-52.534617132012755</v>
      </c>
      <c r="Z40" s="18">
        <f t="shared" si="10"/>
        <v>8.4831683246137227E-2</v>
      </c>
    </row>
    <row r="41" spans="1:26" x14ac:dyDescent="0.25">
      <c r="A41" s="55" t="s">
        <v>19</v>
      </c>
      <c r="B41" s="54">
        <v>17</v>
      </c>
      <c r="C41" s="79">
        <v>13.577400000000001</v>
      </c>
      <c r="D41" s="7">
        <v>500</v>
      </c>
      <c r="E41" s="61">
        <v>220</v>
      </c>
      <c r="F41" s="7">
        <f t="shared" si="0"/>
        <v>180</v>
      </c>
      <c r="G41" s="7">
        <f t="shared" si="1"/>
        <v>214.35066780335319</v>
      </c>
      <c r="H41" s="61">
        <v>12</v>
      </c>
      <c r="I41" s="61">
        <v>3</v>
      </c>
      <c r="J41" s="61">
        <v>12</v>
      </c>
      <c r="K41" s="61">
        <v>3</v>
      </c>
      <c r="L41" s="19">
        <f t="shared" si="2"/>
        <v>678.58401317539528</v>
      </c>
      <c r="M41" s="7" t="str">
        <f t="shared" si="3"/>
        <v>OK</v>
      </c>
      <c r="N41" s="17">
        <f t="shared" si="4"/>
        <v>42.982868562555893</v>
      </c>
      <c r="O41" s="18">
        <f t="shared" si="5"/>
        <v>0.31587933644400412</v>
      </c>
      <c r="P41" s="54">
        <v>17</v>
      </c>
      <c r="Q41" s="84">
        <v>-11.0166</v>
      </c>
      <c r="R41" s="7">
        <f t="shared" si="6"/>
        <v>142.30024025420443</v>
      </c>
      <c r="S41" s="61">
        <v>12</v>
      </c>
      <c r="T41" s="61">
        <v>3</v>
      </c>
      <c r="U41" s="61">
        <v>12</v>
      </c>
      <c r="V41" s="61">
        <v>3</v>
      </c>
      <c r="W41" s="19">
        <f t="shared" si="7"/>
        <v>678.58401317539528</v>
      </c>
      <c r="X41" s="7" t="str">
        <f t="shared" si="8"/>
        <v>OK</v>
      </c>
      <c r="Y41" s="17">
        <f t="shared" si="9"/>
        <v>-52.534617132012755</v>
      </c>
      <c r="Z41" s="18">
        <f t="shared" si="10"/>
        <v>0.20970172814463836</v>
      </c>
    </row>
    <row r="42" spans="1:26" x14ac:dyDescent="0.25">
      <c r="A42" s="55" t="s">
        <v>19</v>
      </c>
      <c r="B42" s="54">
        <v>17.5</v>
      </c>
      <c r="C42" s="79">
        <v>15.971500000000001</v>
      </c>
      <c r="D42" s="7">
        <v>500</v>
      </c>
      <c r="E42" s="61">
        <v>220</v>
      </c>
      <c r="F42" s="7">
        <f t="shared" si="0"/>
        <v>180</v>
      </c>
      <c r="G42" s="7">
        <f t="shared" si="1"/>
        <v>252.14707461084271</v>
      </c>
      <c r="H42" s="61">
        <v>12</v>
      </c>
      <c r="I42" s="61">
        <v>3</v>
      </c>
      <c r="J42" s="61">
        <v>12</v>
      </c>
      <c r="K42" s="61">
        <v>3</v>
      </c>
      <c r="L42" s="19">
        <f t="shared" si="2"/>
        <v>678.58401317539528</v>
      </c>
      <c r="M42" s="7" t="str">
        <f t="shared" si="3"/>
        <v>OK</v>
      </c>
      <c r="N42" s="17">
        <f t="shared" si="4"/>
        <v>42.982868562555893</v>
      </c>
      <c r="O42" s="18">
        <f t="shared" si="5"/>
        <v>0.37157827139330152</v>
      </c>
      <c r="P42" s="54">
        <v>17.5</v>
      </c>
      <c r="Q42" s="84">
        <v>-18.2639</v>
      </c>
      <c r="R42" s="7">
        <f t="shared" si="6"/>
        <v>235.91283680797744</v>
      </c>
      <c r="S42" s="61">
        <v>12</v>
      </c>
      <c r="T42" s="61">
        <v>3</v>
      </c>
      <c r="U42" s="61">
        <v>12</v>
      </c>
      <c r="V42" s="61">
        <v>3</v>
      </c>
      <c r="W42" s="19">
        <f t="shared" si="7"/>
        <v>678.58401317539528</v>
      </c>
      <c r="X42" s="7" t="str">
        <f t="shared" si="8"/>
        <v>OK</v>
      </c>
      <c r="Y42" s="17">
        <f t="shared" si="9"/>
        <v>-52.534617132012755</v>
      </c>
      <c r="Z42" s="18">
        <f t="shared" si="10"/>
        <v>0.34765457515575227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B80-3F8B-44C0-BD42-CE5FF76D51C3}">
  <sheetPr codeName="Foglio4"/>
  <dimension ref="A1:AA43"/>
  <sheetViews>
    <sheetView topLeftCell="A32" zoomScale="55" zoomScaleNormal="55" workbookViewId="0">
      <selection activeCell="AE51" sqref="AE51"/>
    </sheetView>
  </sheetViews>
  <sheetFormatPr defaultRowHeight="15" x14ac:dyDescent="0.25"/>
  <cols>
    <col min="1" max="2" width="9.140625" style="54"/>
    <col min="3" max="3" width="9.140625" style="62"/>
    <col min="4" max="11" width="9.140625" style="54"/>
    <col min="12" max="13" width="9.140625" style="62"/>
    <col min="14" max="14" width="10.42578125" style="62" customWidth="1"/>
    <col min="15" max="15" width="13.28515625" style="62" customWidth="1"/>
    <col min="16" max="25" width="9.140625" style="62"/>
    <col min="26" max="26" width="14.140625" style="62" customWidth="1"/>
    <col min="27" max="27" width="14.28515625" style="62" customWidth="1"/>
    <col min="28" max="16384" width="9.140625" style="62"/>
  </cols>
  <sheetData>
    <row r="1" spans="1:27" x14ac:dyDescent="0.25">
      <c r="B1" s="16" t="s">
        <v>29</v>
      </c>
      <c r="C1" s="16"/>
      <c r="P1" s="16" t="s">
        <v>30</v>
      </c>
      <c r="Q1" s="16"/>
      <c r="R1" s="16"/>
      <c r="AA1" s="54"/>
    </row>
    <row r="2" spans="1:27" x14ac:dyDescent="0.25">
      <c r="B2" s="63" t="s">
        <v>2</v>
      </c>
      <c r="C2" s="6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N2" s="5" t="s">
        <v>31</v>
      </c>
      <c r="O2" s="5" t="s">
        <v>32</v>
      </c>
      <c r="P2" s="63" t="s">
        <v>2</v>
      </c>
      <c r="Q2" s="6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Y2" s="5" t="s">
        <v>31</v>
      </c>
      <c r="Z2" s="5" t="s">
        <v>32</v>
      </c>
    </row>
    <row r="3" spans="1:27" x14ac:dyDescent="0.25">
      <c r="B3" s="64" t="s">
        <v>7</v>
      </c>
      <c r="C3" s="64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N3" s="9" t="s">
        <v>9</v>
      </c>
      <c r="O3" s="8" t="s">
        <v>28</v>
      </c>
      <c r="P3" s="64" t="s">
        <v>7</v>
      </c>
      <c r="Q3" s="64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Y3" s="9" t="s">
        <v>9</v>
      </c>
      <c r="Z3" s="8" t="s">
        <v>28</v>
      </c>
    </row>
    <row r="4" spans="1:27" x14ac:dyDescent="0.25">
      <c r="A4" s="55" t="s">
        <v>16</v>
      </c>
      <c r="B4" s="54">
        <v>0</v>
      </c>
      <c r="C4" s="80">
        <v>6.8895999999999997</v>
      </c>
      <c r="D4" s="7">
        <v>500</v>
      </c>
      <c r="E4" s="61">
        <v>220</v>
      </c>
      <c r="F4" s="7">
        <f>E4-40</f>
        <v>180</v>
      </c>
      <c r="G4" s="7">
        <f>ABS(C4)*1000^2/(0.9*391*F4)</f>
        <v>108.76827381516212</v>
      </c>
      <c r="H4" s="61">
        <v>12</v>
      </c>
      <c r="I4" s="61">
        <v>3</v>
      </c>
      <c r="J4" s="61">
        <v>12</v>
      </c>
      <c r="K4" s="61">
        <v>3</v>
      </c>
      <c r="L4" s="19">
        <f>PI()*(H4^2/4*I4+J4^2/4*K4)</f>
        <v>678.58401317539528</v>
      </c>
      <c r="M4" s="7" t="str">
        <f>IF(L4&gt;=G4,"OK","NO")</f>
        <v>OK</v>
      </c>
      <c r="N4" s="17">
        <f>(L4*0.9*391*F4)/1000^2</f>
        <v>42.982868562555893</v>
      </c>
      <c r="O4" s="18">
        <f>C4/N4</f>
        <v>0.16028711508570201</v>
      </c>
      <c r="P4" s="54">
        <v>0</v>
      </c>
      <c r="Q4" s="81">
        <v>-26.198599999999999</v>
      </c>
      <c r="R4" s="7">
        <f>ABS(Q4)*1000^2/(0.9*391*E4)</f>
        <v>338.40450541217797</v>
      </c>
      <c r="S4" s="61">
        <v>12</v>
      </c>
      <c r="T4" s="61">
        <v>3</v>
      </c>
      <c r="U4" s="61">
        <v>12</v>
      </c>
      <c r="V4" s="61">
        <v>3</v>
      </c>
      <c r="W4" s="19">
        <f>PI()*(S4^2/4*T4+U4^2/4*V4)</f>
        <v>678.58401317539528</v>
      </c>
      <c r="X4" s="7" t="str">
        <f>IF(W4&gt;=R4,"OK","NO")</f>
        <v>OK</v>
      </c>
      <c r="Y4" s="17">
        <f>-(W4*0.9*391*E4)/1000^2</f>
        <v>-52.534617132012755</v>
      </c>
      <c r="Z4" s="18">
        <f>Q4/Y4</f>
        <v>0.49869212778626093</v>
      </c>
    </row>
    <row r="5" spans="1:27" x14ac:dyDescent="0.25">
      <c r="A5" s="55" t="s">
        <v>16</v>
      </c>
      <c r="B5" s="54">
        <v>0.5</v>
      </c>
      <c r="C5" s="80">
        <v>6.8467000000000002</v>
      </c>
      <c r="D5" s="7">
        <v>500</v>
      </c>
      <c r="E5" s="61">
        <v>220</v>
      </c>
      <c r="F5" s="7">
        <f t="shared" ref="F5:F42" si="0">E5-40</f>
        <v>180</v>
      </c>
      <c r="G5" s="7">
        <f t="shared" ref="G5:G42" si="1">ABS(C5)*1000^2/(0.9*391*F5)</f>
        <v>108.09099807394776</v>
      </c>
      <c r="H5" s="61">
        <v>12</v>
      </c>
      <c r="I5" s="61">
        <v>3</v>
      </c>
      <c r="J5" s="61">
        <v>12</v>
      </c>
      <c r="K5" s="61">
        <v>3</v>
      </c>
      <c r="L5" s="19">
        <f t="shared" ref="L5:L42" si="2">PI()*(H5^2/4*I5+J5^2/4*K5)</f>
        <v>678.58401317539528</v>
      </c>
      <c r="M5" s="7" t="str">
        <f t="shared" ref="M5:M42" si="3">IF(L5&gt;=G5,"OK","NO")</f>
        <v>OK</v>
      </c>
      <c r="N5" s="17">
        <f t="shared" ref="N5:N42" si="4">(L5*0.9*391*F5)/1000^2</f>
        <v>42.982868562555893</v>
      </c>
      <c r="O5" s="18">
        <f t="shared" ref="O5:O42" si="5">C5/N5</f>
        <v>0.15928904302967895</v>
      </c>
      <c r="P5" s="54">
        <v>0.5</v>
      </c>
      <c r="Q5" s="81">
        <v>-14.9847</v>
      </c>
      <c r="R5" s="7">
        <f t="shared" ref="R5:R42" si="6">ABS(Q5)*1000^2/(0.9*391*E5)</f>
        <v>193.55576222583892</v>
      </c>
      <c r="S5" s="61">
        <v>12</v>
      </c>
      <c r="T5" s="61">
        <v>3</v>
      </c>
      <c r="U5" s="61">
        <v>12</v>
      </c>
      <c r="V5" s="61">
        <v>3</v>
      </c>
      <c r="W5" s="19">
        <f t="shared" ref="W5:W42" si="7">PI()*(S5^2/4*T5+U5^2/4*V5)</f>
        <v>678.58401317539528</v>
      </c>
      <c r="X5" s="7" t="str">
        <f t="shared" ref="X5:X42" si="8">IF(W5&gt;=R5,"OK","NO")</f>
        <v>OK</v>
      </c>
      <c r="Y5" s="17">
        <f t="shared" ref="Y5:Y42" si="9">-(W5*0.9*391*E5)/1000^2</f>
        <v>-52.534617132012755</v>
      </c>
      <c r="Z5" s="18">
        <f t="shared" ref="Z5:Z42" si="10">Q5/Y5</f>
        <v>0.28523478076075764</v>
      </c>
    </row>
    <row r="6" spans="1:27" x14ac:dyDescent="0.25">
      <c r="A6" s="55" t="s">
        <v>16</v>
      </c>
      <c r="B6" s="54">
        <v>1</v>
      </c>
      <c r="C6" s="80">
        <v>6.1163999999999996</v>
      </c>
      <c r="D6" s="7">
        <v>500</v>
      </c>
      <c r="E6" s="61">
        <v>220</v>
      </c>
      <c r="F6" s="7">
        <f t="shared" si="0"/>
        <v>180</v>
      </c>
      <c r="G6" s="7">
        <f t="shared" si="1"/>
        <v>96.561523159988624</v>
      </c>
      <c r="H6" s="61">
        <v>12</v>
      </c>
      <c r="I6" s="61">
        <v>3</v>
      </c>
      <c r="J6" s="61">
        <v>12</v>
      </c>
      <c r="K6" s="61">
        <v>3</v>
      </c>
      <c r="L6" s="19">
        <f t="shared" si="2"/>
        <v>678.58401317539528</v>
      </c>
      <c r="M6" s="7" t="str">
        <f t="shared" si="3"/>
        <v>OK</v>
      </c>
      <c r="N6" s="17">
        <f t="shared" si="4"/>
        <v>42.982868562555893</v>
      </c>
      <c r="O6" s="18">
        <f t="shared" si="5"/>
        <v>0.14229855299439559</v>
      </c>
      <c r="P6" s="54">
        <v>1</v>
      </c>
      <c r="Q6" s="81">
        <v>-9.8295999999999992</v>
      </c>
      <c r="R6" s="7">
        <f t="shared" si="6"/>
        <v>126.96788860471723</v>
      </c>
      <c r="S6" s="61">
        <v>12</v>
      </c>
      <c r="T6" s="61">
        <v>3</v>
      </c>
      <c r="U6" s="61">
        <v>12</v>
      </c>
      <c r="V6" s="61">
        <v>3</v>
      </c>
      <c r="W6" s="19">
        <f t="shared" si="7"/>
        <v>678.58401317539528</v>
      </c>
      <c r="X6" s="7" t="str">
        <f t="shared" si="8"/>
        <v>OK</v>
      </c>
      <c r="Y6" s="17">
        <f t="shared" si="9"/>
        <v>-52.534617132012755</v>
      </c>
      <c r="Z6" s="18">
        <f t="shared" si="10"/>
        <v>0.18710710264242481</v>
      </c>
    </row>
    <row r="7" spans="1:27" x14ac:dyDescent="0.25">
      <c r="A7" s="55" t="s">
        <v>16</v>
      </c>
      <c r="B7" s="54">
        <v>1.5</v>
      </c>
      <c r="C7" s="80">
        <v>4.6989999999999998</v>
      </c>
      <c r="D7" s="7">
        <v>500</v>
      </c>
      <c r="E7" s="61">
        <v>220</v>
      </c>
      <c r="F7" s="7">
        <f t="shared" si="0"/>
        <v>180</v>
      </c>
      <c r="G7" s="7">
        <f t="shared" si="1"/>
        <v>74.184585267279203</v>
      </c>
      <c r="H7" s="61">
        <v>12</v>
      </c>
      <c r="I7" s="61">
        <v>3</v>
      </c>
      <c r="J7" s="61">
        <v>12</v>
      </c>
      <c r="K7" s="61">
        <v>3</v>
      </c>
      <c r="L7" s="19">
        <f t="shared" si="2"/>
        <v>678.58401317539528</v>
      </c>
      <c r="M7" s="7" t="str">
        <f t="shared" si="3"/>
        <v>OK</v>
      </c>
      <c r="N7" s="17">
        <f t="shared" si="4"/>
        <v>42.982868562555893</v>
      </c>
      <c r="O7" s="18">
        <f t="shared" si="5"/>
        <v>0.10932262450471926</v>
      </c>
      <c r="P7" s="54">
        <v>1.5</v>
      </c>
      <c r="Q7" s="81">
        <v>-5.3619000000000003</v>
      </c>
      <c r="R7" s="7">
        <f t="shared" si="6"/>
        <v>69.259087034023082</v>
      </c>
      <c r="S7" s="61">
        <v>12</v>
      </c>
      <c r="T7" s="61">
        <v>3</v>
      </c>
      <c r="U7" s="61">
        <v>12</v>
      </c>
      <c r="V7" s="61">
        <v>3</v>
      </c>
      <c r="W7" s="19">
        <f t="shared" si="7"/>
        <v>678.58401317539528</v>
      </c>
      <c r="X7" s="7" t="str">
        <f t="shared" si="8"/>
        <v>OK</v>
      </c>
      <c r="Y7" s="17">
        <f t="shared" si="9"/>
        <v>-52.534617132012755</v>
      </c>
      <c r="Z7" s="18">
        <f t="shared" si="10"/>
        <v>0.10206413014348678</v>
      </c>
    </row>
    <row r="8" spans="1:27" x14ac:dyDescent="0.25">
      <c r="A8" s="55" t="s">
        <v>16</v>
      </c>
      <c r="B8" s="54">
        <v>2</v>
      </c>
      <c r="C8" s="80">
        <v>2.5952999999999999</v>
      </c>
      <c r="D8" s="7">
        <v>500</v>
      </c>
      <c r="E8" s="61">
        <v>220</v>
      </c>
      <c r="F8" s="7">
        <f t="shared" si="0"/>
        <v>180</v>
      </c>
      <c r="G8" s="7">
        <f t="shared" si="1"/>
        <v>40.972814246471529</v>
      </c>
      <c r="H8" s="61">
        <v>12</v>
      </c>
      <c r="I8" s="61">
        <v>3</v>
      </c>
      <c r="J8" s="61">
        <v>12</v>
      </c>
      <c r="K8" s="61">
        <v>3</v>
      </c>
      <c r="L8" s="19">
        <f t="shared" si="2"/>
        <v>678.58401317539528</v>
      </c>
      <c r="M8" s="7" t="str">
        <f t="shared" si="3"/>
        <v>OK</v>
      </c>
      <c r="N8" s="17">
        <f t="shared" si="4"/>
        <v>42.982868562555893</v>
      </c>
      <c r="O8" s="18">
        <f t="shared" si="5"/>
        <v>6.0379869626962734E-2</v>
      </c>
      <c r="P8" s="54">
        <v>2</v>
      </c>
      <c r="Q8" s="81">
        <v>-1.5814999999999999</v>
      </c>
      <c r="R8" s="7">
        <f t="shared" si="6"/>
        <v>20.428065824485259</v>
      </c>
      <c r="S8" s="61">
        <v>12</v>
      </c>
      <c r="T8" s="61">
        <v>3</v>
      </c>
      <c r="U8" s="61">
        <v>12</v>
      </c>
      <c r="V8" s="61">
        <v>3</v>
      </c>
      <c r="W8" s="19">
        <f t="shared" si="7"/>
        <v>678.58401317539528</v>
      </c>
      <c r="X8" s="7" t="str">
        <f t="shared" si="8"/>
        <v>OK</v>
      </c>
      <c r="Y8" s="17">
        <f t="shared" si="9"/>
        <v>-52.534617132012755</v>
      </c>
      <c r="Z8" s="18">
        <f t="shared" si="10"/>
        <v>3.0103959757161517E-2</v>
      </c>
    </row>
    <row r="9" spans="1:27" x14ac:dyDescent="0.25">
      <c r="A9" s="55" t="s">
        <v>16</v>
      </c>
      <c r="B9" s="54">
        <v>2.5</v>
      </c>
      <c r="C9" s="80">
        <v>3.9182999999999999</v>
      </c>
      <c r="D9" s="7">
        <v>500</v>
      </c>
      <c r="E9" s="61">
        <v>220</v>
      </c>
      <c r="F9" s="7">
        <f t="shared" si="0"/>
        <v>180</v>
      </c>
      <c r="G9" s="7">
        <f t="shared" si="1"/>
        <v>61.859429762243053</v>
      </c>
      <c r="H9" s="61">
        <v>12</v>
      </c>
      <c r="I9" s="61">
        <v>3</v>
      </c>
      <c r="J9" s="61">
        <v>12</v>
      </c>
      <c r="K9" s="61">
        <v>3</v>
      </c>
      <c r="L9" s="19">
        <f t="shared" si="2"/>
        <v>678.58401317539528</v>
      </c>
      <c r="M9" s="7" t="str">
        <f t="shared" si="3"/>
        <v>OK</v>
      </c>
      <c r="N9" s="17">
        <f t="shared" si="4"/>
        <v>42.982868562555893</v>
      </c>
      <c r="O9" s="18">
        <f t="shared" si="5"/>
        <v>9.1159574291730466E-2</v>
      </c>
      <c r="P9" s="54">
        <v>2.5</v>
      </c>
      <c r="Q9" s="81">
        <v>1.5105</v>
      </c>
      <c r="R9" s="7">
        <f t="shared" si="6"/>
        <v>19.510966441912728</v>
      </c>
      <c r="S9" s="61">
        <v>12</v>
      </c>
      <c r="T9" s="61">
        <v>3</v>
      </c>
      <c r="U9" s="61">
        <v>12</v>
      </c>
      <c r="V9" s="61">
        <v>3</v>
      </c>
      <c r="W9" s="19">
        <f t="shared" si="7"/>
        <v>678.58401317539528</v>
      </c>
      <c r="X9" s="7" t="str">
        <f t="shared" si="8"/>
        <v>OK</v>
      </c>
      <c r="Y9" s="17">
        <f t="shared" si="9"/>
        <v>-52.534617132012755</v>
      </c>
      <c r="Z9" s="18">
        <f t="shared" si="10"/>
        <v>-2.875246994194908E-2</v>
      </c>
    </row>
    <row r="10" spans="1:27" x14ac:dyDescent="0.25">
      <c r="A10" s="55" t="s">
        <v>16</v>
      </c>
      <c r="B10" s="54">
        <v>3</v>
      </c>
      <c r="C10" s="80">
        <v>5.6367000000000003</v>
      </c>
      <c r="D10" s="7">
        <v>500</v>
      </c>
      <c r="E10" s="61">
        <v>220</v>
      </c>
      <c r="F10" s="7">
        <f t="shared" si="0"/>
        <v>180</v>
      </c>
      <c r="G10" s="7">
        <f t="shared" si="1"/>
        <v>88.9883489627735</v>
      </c>
      <c r="H10" s="61">
        <v>12</v>
      </c>
      <c r="I10" s="61">
        <v>3</v>
      </c>
      <c r="J10" s="61">
        <v>12</v>
      </c>
      <c r="K10" s="61">
        <v>3</v>
      </c>
      <c r="L10" s="19">
        <f t="shared" si="2"/>
        <v>678.58401317539528</v>
      </c>
      <c r="M10" s="7" t="str">
        <f t="shared" si="3"/>
        <v>OK</v>
      </c>
      <c r="N10" s="17">
        <f t="shared" si="4"/>
        <v>42.982868562555893</v>
      </c>
      <c r="O10" s="18">
        <f t="shared" si="5"/>
        <v>0.13113829273159205</v>
      </c>
      <c r="P10" s="54">
        <v>3</v>
      </c>
      <c r="Q10" s="81">
        <v>-0.19869999999999999</v>
      </c>
      <c r="R10" s="7">
        <f t="shared" si="6"/>
        <v>2.5665865819318499</v>
      </c>
      <c r="S10" s="61">
        <v>12</v>
      </c>
      <c r="T10" s="61">
        <v>3</v>
      </c>
      <c r="U10" s="61">
        <v>12</v>
      </c>
      <c r="V10" s="61">
        <v>3</v>
      </c>
      <c r="W10" s="19">
        <f t="shared" si="7"/>
        <v>678.58401317539528</v>
      </c>
      <c r="X10" s="7" t="str">
        <f t="shared" si="8"/>
        <v>OK</v>
      </c>
      <c r="Y10" s="17">
        <f t="shared" si="9"/>
        <v>-52.534617132012755</v>
      </c>
      <c r="Z10" s="18">
        <f t="shared" si="10"/>
        <v>3.7822679758128318E-3</v>
      </c>
    </row>
    <row r="11" spans="1:27" x14ac:dyDescent="0.25">
      <c r="A11" s="55" t="s">
        <v>16</v>
      </c>
      <c r="B11" s="54">
        <v>3.5</v>
      </c>
      <c r="C11" s="80">
        <v>6.6680000000000001</v>
      </c>
      <c r="D11" s="7">
        <v>500</v>
      </c>
      <c r="E11" s="61">
        <v>220</v>
      </c>
      <c r="F11" s="7">
        <f t="shared" si="0"/>
        <v>180</v>
      </c>
      <c r="G11" s="7">
        <f t="shared" si="1"/>
        <v>105.26980518455368</v>
      </c>
      <c r="H11" s="61">
        <v>12</v>
      </c>
      <c r="I11" s="61">
        <v>3</v>
      </c>
      <c r="J11" s="61">
        <v>12</v>
      </c>
      <c r="K11" s="61">
        <v>3</v>
      </c>
      <c r="L11" s="19">
        <f t="shared" si="2"/>
        <v>678.58401317539528</v>
      </c>
      <c r="M11" s="7" t="str">
        <f t="shared" si="3"/>
        <v>OK</v>
      </c>
      <c r="N11" s="17">
        <f t="shared" si="4"/>
        <v>42.982868562555893</v>
      </c>
      <c r="O11" s="18">
        <f t="shared" si="5"/>
        <v>0.15513157271706066</v>
      </c>
      <c r="P11" s="54">
        <v>3.5</v>
      </c>
      <c r="Q11" s="81">
        <v>-3.6779999999999999</v>
      </c>
      <c r="R11" s="7">
        <f t="shared" si="6"/>
        <v>47.508331395799416</v>
      </c>
      <c r="S11" s="61">
        <v>12</v>
      </c>
      <c r="T11" s="61">
        <v>3</v>
      </c>
      <c r="U11" s="61">
        <v>12</v>
      </c>
      <c r="V11" s="61">
        <v>3</v>
      </c>
      <c r="W11" s="19">
        <f t="shared" si="7"/>
        <v>678.58401317539528</v>
      </c>
      <c r="X11" s="7" t="str">
        <f t="shared" si="8"/>
        <v>OK</v>
      </c>
      <c r="Y11" s="17">
        <f t="shared" si="9"/>
        <v>-52.534617132012755</v>
      </c>
      <c r="Z11" s="18">
        <f t="shared" si="10"/>
        <v>7.0010979441568172E-2</v>
      </c>
    </row>
    <row r="12" spans="1:27" x14ac:dyDescent="0.25">
      <c r="A12" s="55" t="s">
        <v>16</v>
      </c>
      <c r="B12" s="54">
        <v>4</v>
      </c>
      <c r="C12" s="80">
        <v>7.0119999999999996</v>
      </c>
      <c r="D12" s="7">
        <v>500</v>
      </c>
      <c r="E12" s="61">
        <v>220</v>
      </c>
      <c r="F12" s="7">
        <f t="shared" si="0"/>
        <v>180</v>
      </c>
      <c r="G12" s="7">
        <f t="shared" si="1"/>
        <v>110.70064096492058</v>
      </c>
      <c r="H12" s="61">
        <v>12</v>
      </c>
      <c r="I12" s="61">
        <v>3</v>
      </c>
      <c r="J12" s="61">
        <v>12</v>
      </c>
      <c r="K12" s="61">
        <v>3</v>
      </c>
      <c r="L12" s="19">
        <f t="shared" si="2"/>
        <v>678.58401317539528</v>
      </c>
      <c r="M12" s="7" t="str">
        <f t="shared" si="3"/>
        <v>OK</v>
      </c>
      <c r="N12" s="17">
        <f t="shared" si="4"/>
        <v>42.982868562555893</v>
      </c>
      <c r="O12" s="18">
        <f t="shared" si="5"/>
        <v>0.16313476123155807</v>
      </c>
      <c r="P12" s="54">
        <v>4</v>
      </c>
      <c r="Q12" s="81">
        <v>-7.8446999999999996</v>
      </c>
      <c r="R12" s="7">
        <f t="shared" si="6"/>
        <v>101.32914826009453</v>
      </c>
      <c r="S12" s="61">
        <v>12</v>
      </c>
      <c r="T12" s="61">
        <v>3</v>
      </c>
      <c r="U12" s="61">
        <v>12</v>
      </c>
      <c r="V12" s="61">
        <v>3</v>
      </c>
      <c r="W12" s="19">
        <f t="shared" si="7"/>
        <v>678.58401317539528</v>
      </c>
      <c r="X12" s="7" t="str">
        <f t="shared" si="8"/>
        <v>OK</v>
      </c>
      <c r="Y12" s="17">
        <f t="shared" si="9"/>
        <v>-52.534617132012755</v>
      </c>
      <c r="Z12" s="18">
        <f t="shared" si="10"/>
        <v>0.14932439652671828</v>
      </c>
    </row>
    <row r="13" spans="1:27" x14ac:dyDescent="0.25">
      <c r="A13" s="55" t="s">
        <v>17</v>
      </c>
      <c r="B13" s="54">
        <v>4</v>
      </c>
      <c r="C13" s="80">
        <v>5.4024000000000001</v>
      </c>
      <c r="D13" s="7">
        <v>500</v>
      </c>
      <c r="E13" s="61">
        <v>220</v>
      </c>
      <c r="F13" s="7">
        <f t="shared" si="0"/>
        <v>180</v>
      </c>
      <c r="G13" s="7">
        <f t="shared" si="1"/>
        <v>85.289381453064308</v>
      </c>
      <c r="H13" s="61">
        <v>12</v>
      </c>
      <c r="I13" s="61">
        <v>3</v>
      </c>
      <c r="J13" s="61">
        <v>12</v>
      </c>
      <c r="K13" s="61">
        <v>3</v>
      </c>
      <c r="L13" s="19">
        <f t="shared" si="2"/>
        <v>678.58401317539528</v>
      </c>
      <c r="M13" s="7" t="str">
        <f t="shared" si="3"/>
        <v>OK</v>
      </c>
      <c r="N13" s="17">
        <f t="shared" si="4"/>
        <v>42.982868562555893</v>
      </c>
      <c r="O13" s="18">
        <f t="shared" si="5"/>
        <v>0.12568728381023522</v>
      </c>
      <c r="P13" s="54">
        <v>4</v>
      </c>
      <c r="Q13" s="81">
        <v>-12.698700000000001</v>
      </c>
      <c r="R13" s="7">
        <f t="shared" si="6"/>
        <v>164.02774548554598</v>
      </c>
      <c r="S13" s="61">
        <v>12</v>
      </c>
      <c r="T13" s="61">
        <v>3</v>
      </c>
      <c r="U13" s="61">
        <v>12</v>
      </c>
      <c r="V13" s="61">
        <v>3</v>
      </c>
      <c r="W13" s="19">
        <f t="shared" si="7"/>
        <v>678.58401317539528</v>
      </c>
      <c r="X13" s="7" t="str">
        <f t="shared" si="8"/>
        <v>OK</v>
      </c>
      <c r="Y13" s="17">
        <f t="shared" si="9"/>
        <v>-52.534617132012755</v>
      </c>
      <c r="Z13" s="18">
        <f t="shared" si="10"/>
        <v>0.24172061572448117</v>
      </c>
    </row>
    <row r="14" spans="1:27" x14ac:dyDescent="0.25">
      <c r="A14" s="55" t="s">
        <v>17</v>
      </c>
      <c r="B14" s="54">
        <v>4.5</v>
      </c>
      <c r="C14" s="80">
        <v>5.4772999999999996</v>
      </c>
      <c r="D14" s="7">
        <v>500</v>
      </c>
      <c r="E14" s="61">
        <v>220</v>
      </c>
      <c r="F14" s="7">
        <f t="shared" si="0"/>
        <v>180</v>
      </c>
      <c r="G14" s="7">
        <f t="shared" si="1"/>
        <v>86.471851220359312</v>
      </c>
      <c r="H14" s="61">
        <v>12</v>
      </c>
      <c r="I14" s="61">
        <v>3</v>
      </c>
      <c r="J14" s="61">
        <v>12</v>
      </c>
      <c r="K14" s="61">
        <v>3</v>
      </c>
      <c r="L14" s="19">
        <f t="shared" si="2"/>
        <v>678.58401317539528</v>
      </c>
      <c r="M14" s="7" t="str">
        <f t="shared" si="3"/>
        <v>OK</v>
      </c>
      <c r="N14" s="17">
        <f t="shared" si="4"/>
        <v>42.982868562555893</v>
      </c>
      <c r="O14" s="18">
        <f t="shared" si="5"/>
        <v>0.12742983851876968</v>
      </c>
      <c r="P14" s="54">
        <v>4.5</v>
      </c>
      <c r="Q14" s="81">
        <v>-13.1532</v>
      </c>
      <c r="R14" s="7">
        <f t="shared" si="6"/>
        <v>169.89847322328137</v>
      </c>
      <c r="S14" s="61">
        <v>12</v>
      </c>
      <c r="T14" s="61">
        <v>3</v>
      </c>
      <c r="U14" s="61">
        <v>12</v>
      </c>
      <c r="V14" s="61">
        <v>3</v>
      </c>
      <c r="W14" s="19">
        <f t="shared" si="7"/>
        <v>678.58401317539528</v>
      </c>
      <c r="X14" s="7" t="str">
        <f t="shared" si="8"/>
        <v>OK</v>
      </c>
      <c r="Y14" s="17">
        <f t="shared" si="9"/>
        <v>-52.534617132012755</v>
      </c>
      <c r="Z14" s="18">
        <f t="shared" si="10"/>
        <v>0.25037205404862273</v>
      </c>
    </row>
    <row r="15" spans="1:27" x14ac:dyDescent="0.25">
      <c r="A15" s="55" t="s">
        <v>17</v>
      </c>
      <c r="B15" s="54">
        <v>5</v>
      </c>
      <c r="C15" s="80">
        <v>4.8650000000000002</v>
      </c>
      <c r="D15" s="7">
        <v>500</v>
      </c>
      <c r="E15" s="61">
        <v>220</v>
      </c>
      <c r="F15" s="7">
        <f t="shared" si="0"/>
        <v>180</v>
      </c>
      <c r="G15" s="7">
        <f t="shared" si="1"/>
        <v>76.805279277572538</v>
      </c>
      <c r="H15" s="61">
        <v>12</v>
      </c>
      <c r="I15" s="61">
        <v>3</v>
      </c>
      <c r="J15" s="61">
        <v>12</v>
      </c>
      <c r="K15" s="61">
        <v>3</v>
      </c>
      <c r="L15" s="19">
        <f t="shared" si="2"/>
        <v>678.58401317539528</v>
      </c>
      <c r="M15" s="7" t="str">
        <f t="shared" si="3"/>
        <v>OK</v>
      </c>
      <c r="N15" s="17">
        <f t="shared" si="4"/>
        <v>42.982868562555893</v>
      </c>
      <c r="O15" s="18">
        <f t="shared" si="5"/>
        <v>0.1131846282646221</v>
      </c>
      <c r="P15" s="54">
        <v>5</v>
      </c>
      <c r="Q15" s="81">
        <v>-8.3781999999999996</v>
      </c>
      <c r="R15" s="7">
        <f t="shared" si="6"/>
        <v>108.22031052210079</v>
      </c>
      <c r="S15" s="61">
        <v>12</v>
      </c>
      <c r="T15" s="61">
        <v>3</v>
      </c>
      <c r="U15" s="61">
        <v>12</v>
      </c>
      <c r="V15" s="61">
        <v>3</v>
      </c>
      <c r="W15" s="19">
        <f t="shared" si="7"/>
        <v>678.58401317539528</v>
      </c>
      <c r="X15" s="7" t="str">
        <f t="shared" si="8"/>
        <v>OK</v>
      </c>
      <c r="Y15" s="17">
        <f t="shared" si="9"/>
        <v>-52.534617132012755</v>
      </c>
      <c r="Z15" s="18">
        <f t="shared" si="10"/>
        <v>0.15947960520863144</v>
      </c>
    </row>
    <row r="16" spans="1:27" x14ac:dyDescent="0.25">
      <c r="A16" s="55" t="s">
        <v>17</v>
      </c>
      <c r="B16" s="54">
        <v>5.5</v>
      </c>
      <c r="C16" s="80">
        <v>3.5653999999999999</v>
      </c>
      <c r="D16" s="7">
        <v>500</v>
      </c>
      <c r="E16" s="61">
        <v>220</v>
      </c>
      <c r="F16" s="7">
        <f t="shared" si="0"/>
        <v>180</v>
      </c>
      <c r="G16" s="7">
        <f t="shared" si="1"/>
        <v>56.28808689337248</v>
      </c>
      <c r="H16" s="61">
        <v>12</v>
      </c>
      <c r="I16" s="61">
        <v>3</v>
      </c>
      <c r="J16" s="61">
        <v>12</v>
      </c>
      <c r="K16" s="61">
        <v>3</v>
      </c>
      <c r="L16" s="19">
        <f t="shared" si="2"/>
        <v>678.58401317539528</v>
      </c>
      <c r="M16" s="7" t="str">
        <f t="shared" si="3"/>
        <v>OK</v>
      </c>
      <c r="N16" s="17">
        <f t="shared" si="4"/>
        <v>42.982868562555893</v>
      </c>
      <c r="O16" s="18">
        <f t="shared" si="5"/>
        <v>8.2949326539503307E-2</v>
      </c>
      <c r="P16" s="54">
        <v>5.5</v>
      </c>
      <c r="Q16" s="81">
        <v>-4.2904</v>
      </c>
      <c r="R16" s="7">
        <f t="shared" si="6"/>
        <v>55.418636492805277</v>
      </c>
      <c r="S16" s="61">
        <v>12</v>
      </c>
      <c r="T16" s="61">
        <v>3</v>
      </c>
      <c r="U16" s="61">
        <v>12</v>
      </c>
      <c r="V16" s="61">
        <v>3</v>
      </c>
      <c r="W16" s="19">
        <f t="shared" si="7"/>
        <v>678.58401317539528</v>
      </c>
      <c r="X16" s="7" t="str">
        <f t="shared" si="8"/>
        <v>OK</v>
      </c>
      <c r="Y16" s="17">
        <f t="shared" si="9"/>
        <v>-52.534617132012755</v>
      </c>
      <c r="Z16" s="18">
        <f t="shared" si="10"/>
        <v>8.1668054974470924E-2</v>
      </c>
    </row>
    <row r="17" spans="1:26" x14ac:dyDescent="0.25">
      <c r="A17" s="55" t="s">
        <v>17</v>
      </c>
      <c r="B17" s="54">
        <v>6</v>
      </c>
      <c r="C17" s="80">
        <v>1.8267</v>
      </c>
      <c r="D17" s="7">
        <v>500</v>
      </c>
      <c r="E17" s="61">
        <v>220</v>
      </c>
      <c r="F17" s="7">
        <f t="shared" si="0"/>
        <v>180</v>
      </c>
      <c r="G17" s="7">
        <f t="shared" si="1"/>
        <v>28.838685232547121</v>
      </c>
      <c r="H17" s="61">
        <v>12</v>
      </c>
      <c r="I17" s="61">
        <v>3</v>
      </c>
      <c r="J17" s="61">
        <v>12</v>
      </c>
      <c r="K17" s="61">
        <v>3</v>
      </c>
      <c r="L17" s="19">
        <f t="shared" si="2"/>
        <v>678.58401317539528</v>
      </c>
      <c r="M17" s="7" t="str">
        <f t="shared" si="3"/>
        <v>OK</v>
      </c>
      <c r="N17" s="17">
        <f t="shared" si="4"/>
        <v>42.982868562555893</v>
      </c>
      <c r="O17" s="18">
        <f t="shared" si="5"/>
        <v>4.2498326916954814E-2</v>
      </c>
      <c r="P17" s="54">
        <v>6</v>
      </c>
      <c r="Q17" s="81">
        <v>-0.89</v>
      </c>
      <c r="R17" s="7">
        <f t="shared" si="6"/>
        <v>11.496034513937325</v>
      </c>
      <c r="S17" s="61">
        <v>12</v>
      </c>
      <c r="T17" s="61">
        <v>3</v>
      </c>
      <c r="U17" s="61">
        <v>12</v>
      </c>
      <c r="V17" s="61">
        <v>3</v>
      </c>
      <c r="W17" s="19">
        <f t="shared" si="7"/>
        <v>678.58401317539528</v>
      </c>
      <c r="X17" s="7" t="str">
        <f t="shared" si="8"/>
        <v>OK</v>
      </c>
      <c r="Y17" s="17">
        <f t="shared" si="9"/>
        <v>-52.534617132012755</v>
      </c>
      <c r="Z17" s="18">
        <f t="shared" si="10"/>
        <v>1.6941210359705184E-2</v>
      </c>
    </row>
    <row r="18" spans="1:26" x14ac:dyDescent="0.25">
      <c r="A18" s="55" t="s">
        <v>17</v>
      </c>
      <c r="B18" s="54">
        <v>6.5</v>
      </c>
      <c r="C18" s="80">
        <v>3.8494000000000002</v>
      </c>
      <c r="D18" s="7">
        <v>500</v>
      </c>
      <c r="E18" s="61">
        <v>220</v>
      </c>
      <c r="F18" s="7">
        <f t="shared" si="0"/>
        <v>180</v>
      </c>
      <c r="G18" s="7">
        <f t="shared" si="1"/>
        <v>60.771683874838175</v>
      </c>
      <c r="H18" s="61">
        <v>12</v>
      </c>
      <c r="I18" s="61">
        <v>3</v>
      </c>
      <c r="J18" s="61">
        <v>12</v>
      </c>
      <c r="K18" s="61">
        <v>3</v>
      </c>
      <c r="L18" s="19">
        <f t="shared" si="2"/>
        <v>678.58401317539528</v>
      </c>
      <c r="M18" s="7" t="str">
        <f t="shared" si="3"/>
        <v>OK</v>
      </c>
      <c r="N18" s="17">
        <f t="shared" si="4"/>
        <v>42.982868562555893</v>
      </c>
      <c r="O18" s="18">
        <f t="shared" si="5"/>
        <v>8.9556610080541887E-2</v>
      </c>
      <c r="P18" s="54">
        <v>6.5</v>
      </c>
      <c r="Q18" s="81">
        <v>1.575</v>
      </c>
      <c r="R18" s="7">
        <f t="shared" si="6"/>
        <v>20.344106021855378</v>
      </c>
      <c r="S18" s="61">
        <v>12</v>
      </c>
      <c r="T18" s="61">
        <v>3</v>
      </c>
      <c r="U18" s="61">
        <v>12</v>
      </c>
      <c r="V18" s="61">
        <v>3</v>
      </c>
      <c r="W18" s="19">
        <f t="shared" si="7"/>
        <v>678.58401317539528</v>
      </c>
      <c r="X18" s="7" t="str">
        <f t="shared" si="8"/>
        <v>OK</v>
      </c>
      <c r="Y18" s="17">
        <f t="shared" si="9"/>
        <v>-52.534617132012755</v>
      </c>
      <c r="Z18" s="18">
        <f t="shared" si="10"/>
        <v>-2.998023181633221E-2</v>
      </c>
    </row>
    <row r="19" spans="1:26" x14ac:dyDescent="0.25">
      <c r="A19" s="55" t="s">
        <v>17</v>
      </c>
      <c r="B19" s="54">
        <v>7</v>
      </c>
      <c r="C19" s="80">
        <v>5.1879</v>
      </c>
      <c r="D19" s="7">
        <v>500</v>
      </c>
      <c r="E19" s="61">
        <v>220</v>
      </c>
      <c r="F19" s="7">
        <f t="shared" si="0"/>
        <v>180</v>
      </c>
      <c r="G19" s="7">
        <f t="shared" si="1"/>
        <v>81.903002746992513</v>
      </c>
      <c r="H19" s="61">
        <v>12</v>
      </c>
      <c r="I19" s="61">
        <v>3</v>
      </c>
      <c r="J19" s="61">
        <v>12</v>
      </c>
      <c r="K19" s="61">
        <v>3</v>
      </c>
      <c r="L19" s="19">
        <f t="shared" si="2"/>
        <v>678.58401317539528</v>
      </c>
      <c r="M19" s="7" t="str">
        <f t="shared" si="3"/>
        <v>OK</v>
      </c>
      <c r="N19" s="17">
        <f t="shared" si="4"/>
        <v>42.982868562555893</v>
      </c>
      <c r="O19" s="18">
        <f t="shared" si="5"/>
        <v>0.12069692353011982</v>
      </c>
      <c r="P19" s="54">
        <v>7</v>
      </c>
      <c r="Q19" s="81">
        <v>-1.0961000000000001</v>
      </c>
      <c r="R19" s="7">
        <f t="shared" si="6"/>
        <v>14.158206101940115</v>
      </c>
      <c r="S19" s="61">
        <v>12</v>
      </c>
      <c r="T19" s="61">
        <v>3</v>
      </c>
      <c r="U19" s="61">
        <v>12</v>
      </c>
      <c r="V19" s="61">
        <v>3</v>
      </c>
      <c r="W19" s="19">
        <f t="shared" si="7"/>
        <v>678.58401317539528</v>
      </c>
      <c r="X19" s="7" t="str">
        <f t="shared" si="8"/>
        <v>OK</v>
      </c>
      <c r="Y19" s="17">
        <f t="shared" si="9"/>
        <v>-52.534617132012755</v>
      </c>
      <c r="Z19" s="18">
        <f t="shared" si="10"/>
        <v>2.0864337837385231E-2</v>
      </c>
    </row>
    <row r="20" spans="1:26" x14ac:dyDescent="0.25">
      <c r="A20" s="55" t="s">
        <v>17</v>
      </c>
      <c r="B20" s="54">
        <v>7.5</v>
      </c>
      <c r="C20" s="80">
        <v>5.8391999999999999</v>
      </c>
      <c r="D20" s="7">
        <v>500</v>
      </c>
      <c r="E20" s="61">
        <v>220</v>
      </c>
      <c r="F20" s="7">
        <f t="shared" si="0"/>
        <v>180</v>
      </c>
      <c r="G20" s="7">
        <f t="shared" si="1"/>
        <v>92.185279909065059</v>
      </c>
      <c r="H20" s="61">
        <v>12</v>
      </c>
      <c r="I20" s="61">
        <v>3</v>
      </c>
      <c r="J20" s="61">
        <v>12</v>
      </c>
      <c r="K20" s="61">
        <v>3</v>
      </c>
      <c r="L20" s="19">
        <f t="shared" si="2"/>
        <v>678.58401317539528</v>
      </c>
      <c r="M20" s="7" t="str">
        <f t="shared" si="3"/>
        <v>OK</v>
      </c>
      <c r="N20" s="17">
        <f t="shared" si="4"/>
        <v>42.982868562555893</v>
      </c>
      <c r="O20" s="18">
        <f t="shared" si="5"/>
        <v>0.13584947201701569</v>
      </c>
      <c r="P20" s="54">
        <v>7.5</v>
      </c>
      <c r="Q20" s="81">
        <v>-4.4576000000000002</v>
      </c>
      <c r="R20" s="7">
        <f t="shared" si="6"/>
        <v>57.578340954300025</v>
      </c>
      <c r="S20" s="61">
        <v>12</v>
      </c>
      <c r="T20" s="61">
        <v>3</v>
      </c>
      <c r="U20" s="61">
        <v>12</v>
      </c>
      <c r="V20" s="61">
        <v>3</v>
      </c>
      <c r="W20" s="19">
        <f t="shared" si="7"/>
        <v>678.58401317539528</v>
      </c>
      <c r="X20" s="7" t="str">
        <f t="shared" si="8"/>
        <v>OK</v>
      </c>
      <c r="Y20" s="17">
        <f t="shared" si="9"/>
        <v>-52.534617132012755</v>
      </c>
      <c r="Z20" s="18">
        <f t="shared" si="10"/>
        <v>8.4850718313957116E-2</v>
      </c>
    </row>
    <row r="21" spans="1:26" x14ac:dyDescent="0.25">
      <c r="A21" s="55" t="s">
        <v>17</v>
      </c>
      <c r="B21" s="54">
        <v>8</v>
      </c>
      <c r="C21" s="80">
        <v>5.8032000000000004</v>
      </c>
      <c r="D21" s="7">
        <v>500</v>
      </c>
      <c r="E21" s="61">
        <v>220</v>
      </c>
      <c r="F21" s="7">
        <f t="shared" si="0"/>
        <v>180</v>
      </c>
      <c r="G21" s="7">
        <f t="shared" si="1"/>
        <v>91.61693662972435</v>
      </c>
      <c r="H21" s="61">
        <v>12</v>
      </c>
      <c r="I21" s="61">
        <v>3</v>
      </c>
      <c r="J21" s="61">
        <v>12</v>
      </c>
      <c r="K21" s="61">
        <v>3</v>
      </c>
      <c r="L21" s="19">
        <f t="shared" si="2"/>
        <v>678.58401317539528</v>
      </c>
      <c r="M21" s="7" t="str">
        <f t="shared" si="3"/>
        <v>OK</v>
      </c>
      <c r="N21" s="17">
        <f t="shared" si="4"/>
        <v>42.982868562555893</v>
      </c>
      <c r="O21" s="18">
        <f t="shared" si="5"/>
        <v>0.13501192903294038</v>
      </c>
      <c r="P21" s="54">
        <v>8</v>
      </c>
      <c r="Q21" s="81">
        <v>-8.5063999999999993</v>
      </c>
      <c r="R21" s="7">
        <f t="shared" si="6"/>
        <v>109.87625616781625</v>
      </c>
      <c r="S21" s="61">
        <v>12</v>
      </c>
      <c r="T21" s="61">
        <v>3</v>
      </c>
      <c r="U21" s="61">
        <v>12</v>
      </c>
      <c r="V21" s="61">
        <v>3</v>
      </c>
      <c r="W21" s="19">
        <f t="shared" si="7"/>
        <v>678.58401317539528</v>
      </c>
      <c r="X21" s="7" t="str">
        <f t="shared" si="8"/>
        <v>OK</v>
      </c>
      <c r="Y21" s="17">
        <f t="shared" si="9"/>
        <v>-52.534617132012755</v>
      </c>
      <c r="Z21" s="18">
        <f t="shared" si="10"/>
        <v>0.16191990090314176</v>
      </c>
    </row>
    <row r="22" spans="1:26" x14ac:dyDescent="0.25">
      <c r="A22" s="55" t="s">
        <v>18</v>
      </c>
      <c r="B22" s="54">
        <v>8</v>
      </c>
      <c r="C22" s="80">
        <v>0.63049999999999995</v>
      </c>
      <c r="D22" s="7">
        <v>500</v>
      </c>
      <c r="E22" s="61">
        <v>220</v>
      </c>
      <c r="F22" s="7">
        <f t="shared" si="0"/>
        <v>180</v>
      </c>
      <c r="G22" s="7">
        <f t="shared" si="1"/>
        <v>9.9539010451201406</v>
      </c>
      <c r="H22" s="61">
        <v>12</v>
      </c>
      <c r="I22" s="61">
        <v>3</v>
      </c>
      <c r="J22" s="61">
        <v>12</v>
      </c>
      <c r="K22" s="61">
        <v>3</v>
      </c>
      <c r="L22" s="19">
        <f t="shared" si="2"/>
        <v>678.58401317539528</v>
      </c>
      <c r="M22" s="7" t="str">
        <f t="shared" si="3"/>
        <v>OK</v>
      </c>
      <c r="N22" s="17">
        <f t="shared" si="4"/>
        <v>42.982868562555893</v>
      </c>
      <c r="O22" s="18">
        <f t="shared" si="5"/>
        <v>1.4668634762763458E-2</v>
      </c>
      <c r="P22" s="54">
        <v>8</v>
      </c>
      <c r="Q22" s="81">
        <v>-13.242599999999999</v>
      </c>
      <c r="R22" s="7">
        <f t="shared" si="6"/>
        <v>171.05324343176002</v>
      </c>
      <c r="S22" s="61">
        <v>12</v>
      </c>
      <c r="T22" s="61">
        <v>3</v>
      </c>
      <c r="U22" s="61">
        <v>12</v>
      </c>
      <c r="V22" s="61">
        <v>3</v>
      </c>
      <c r="W22" s="19">
        <f t="shared" si="7"/>
        <v>678.58401317539528</v>
      </c>
      <c r="X22" s="7" t="str">
        <f t="shared" si="8"/>
        <v>OK</v>
      </c>
      <c r="Y22" s="17">
        <f t="shared" si="9"/>
        <v>-52.534617132012755</v>
      </c>
      <c r="Z22" s="18">
        <f t="shared" si="10"/>
        <v>0.25207378911172124</v>
      </c>
    </row>
    <row r="23" spans="1:26" x14ac:dyDescent="0.25">
      <c r="A23" s="55" t="s">
        <v>18</v>
      </c>
      <c r="B23" s="54">
        <v>8.5</v>
      </c>
      <c r="C23" s="80">
        <v>2.7589999999999999</v>
      </c>
      <c r="D23" s="7">
        <v>500</v>
      </c>
      <c r="E23" s="61">
        <v>220</v>
      </c>
      <c r="F23" s="7">
        <f t="shared" si="0"/>
        <v>180</v>
      </c>
      <c r="G23" s="7">
        <f t="shared" si="1"/>
        <v>43.557197436140314</v>
      </c>
      <c r="H23" s="61">
        <v>12</v>
      </c>
      <c r="I23" s="61">
        <v>3</v>
      </c>
      <c r="J23" s="61">
        <v>12</v>
      </c>
      <c r="K23" s="61">
        <v>3</v>
      </c>
      <c r="L23" s="19">
        <f t="shared" si="2"/>
        <v>678.58401317539528</v>
      </c>
      <c r="M23" s="7" t="str">
        <f t="shared" si="3"/>
        <v>OK</v>
      </c>
      <c r="N23" s="17">
        <f t="shared" si="4"/>
        <v>42.982868562555893</v>
      </c>
      <c r="O23" s="18">
        <f t="shared" si="5"/>
        <v>6.4188363696216305E-2</v>
      </c>
      <c r="P23" s="54">
        <v>8.5</v>
      </c>
      <c r="Q23" s="81">
        <v>-14.042899999999999</v>
      </c>
      <c r="R23" s="7">
        <f t="shared" si="6"/>
        <v>181.39063266940502</v>
      </c>
      <c r="S23" s="61">
        <v>12</v>
      </c>
      <c r="T23" s="61">
        <v>3</v>
      </c>
      <c r="U23" s="61">
        <v>12</v>
      </c>
      <c r="V23" s="61">
        <v>3</v>
      </c>
      <c r="W23" s="19">
        <f t="shared" si="7"/>
        <v>678.58401317539528</v>
      </c>
      <c r="X23" s="7" t="str">
        <f t="shared" si="8"/>
        <v>OK</v>
      </c>
      <c r="Y23" s="17">
        <f t="shared" si="9"/>
        <v>-52.534617132012755</v>
      </c>
      <c r="Z23" s="18">
        <f t="shared" si="10"/>
        <v>0.26730755388798194</v>
      </c>
    </row>
    <row r="24" spans="1:26" x14ac:dyDescent="0.25">
      <c r="A24" s="55" t="s">
        <v>18</v>
      </c>
      <c r="B24" s="54">
        <v>9</v>
      </c>
      <c r="C24" s="80">
        <v>4.2003000000000004</v>
      </c>
      <c r="D24" s="7">
        <v>500</v>
      </c>
      <c r="E24" s="61">
        <v>220</v>
      </c>
      <c r="F24" s="7">
        <f t="shared" si="0"/>
        <v>180</v>
      </c>
      <c r="G24" s="7">
        <f t="shared" si="1"/>
        <v>66.311452117078701</v>
      </c>
      <c r="H24" s="61">
        <v>12</v>
      </c>
      <c r="I24" s="61">
        <v>3</v>
      </c>
      <c r="J24" s="61">
        <v>12</v>
      </c>
      <c r="K24" s="61">
        <v>3</v>
      </c>
      <c r="L24" s="19">
        <f t="shared" si="2"/>
        <v>678.58401317539528</v>
      </c>
      <c r="M24" s="7" t="str">
        <f t="shared" si="3"/>
        <v>OK</v>
      </c>
      <c r="N24" s="17">
        <f t="shared" si="4"/>
        <v>42.982868562555893</v>
      </c>
      <c r="O24" s="18">
        <f t="shared" si="5"/>
        <v>9.7720327666987086E-2</v>
      </c>
      <c r="P24" s="54">
        <v>9</v>
      </c>
      <c r="Q24" s="81">
        <v>-9.2540999999999993</v>
      </c>
      <c r="R24" s="7">
        <f t="shared" si="6"/>
        <v>119.53421684879483</v>
      </c>
      <c r="S24" s="61">
        <v>12</v>
      </c>
      <c r="T24" s="61">
        <v>3</v>
      </c>
      <c r="U24" s="61">
        <v>12</v>
      </c>
      <c r="V24" s="61">
        <v>3</v>
      </c>
      <c r="W24" s="19">
        <f t="shared" si="7"/>
        <v>678.58401317539528</v>
      </c>
      <c r="X24" s="7" t="str">
        <f t="shared" si="8"/>
        <v>OK</v>
      </c>
      <c r="Y24" s="17">
        <f t="shared" si="9"/>
        <v>-52.534617132012755</v>
      </c>
      <c r="Z24" s="18">
        <f t="shared" si="10"/>
        <v>0.17615242111207613</v>
      </c>
    </row>
    <row r="25" spans="1:26" x14ac:dyDescent="0.25">
      <c r="A25" s="55" t="s">
        <v>18</v>
      </c>
      <c r="B25" s="54">
        <v>9.5</v>
      </c>
      <c r="C25" s="80">
        <v>4.9542000000000002</v>
      </c>
      <c r="D25" s="7">
        <v>500</v>
      </c>
      <c r="E25" s="61">
        <v>220</v>
      </c>
      <c r="F25" s="7">
        <f t="shared" si="0"/>
        <v>180</v>
      </c>
      <c r="G25" s="7">
        <f t="shared" si="1"/>
        <v>78.213507625272328</v>
      </c>
      <c r="H25" s="61">
        <v>12</v>
      </c>
      <c r="I25" s="61">
        <v>3</v>
      </c>
      <c r="J25" s="61">
        <v>12</v>
      </c>
      <c r="K25" s="61">
        <v>3</v>
      </c>
      <c r="L25" s="19">
        <f t="shared" si="2"/>
        <v>678.58401317539528</v>
      </c>
      <c r="M25" s="7" t="str">
        <f t="shared" si="3"/>
        <v>OK</v>
      </c>
      <c r="N25" s="17">
        <f t="shared" si="4"/>
        <v>42.982868562555893</v>
      </c>
      <c r="O25" s="18">
        <f t="shared" si="5"/>
        <v>0.11525987365849759</v>
      </c>
      <c r="P25" s="54">
        <v>9.5</v>
      </c>
      <c r="Q25" s="81">
        <v>-5.1525999999999996</v>
      </c>
      <c r="R25" s="7">
        <f t="shared" si="6"/>
        <v>66.555581389340972</v>
      </c>
      <c r="S25" s="61">
        <v>12</v>
      </c>
      <c r="T25" s="61">
        <v>3</v>
      </c>
      <c r="U25" s="61">
        <v>12</v>
      </c>
      <c r="V25" s="61">
        <v>3</v>
      </c>
      <c r="W25" s="19">
        <f t="shared" si="7"/>
        <v>678.58401317539528</v>
      </c>
      <c r="X25" s="7" t="str">
        <f t="shared" si="8"/>
        <v>OK</v>
      </c>
      <c r="Y25" s="17">
        <f t="shared" si="9"/>
        <v>-52.534617132012755</v>
      </c>
      <c r="Z25" s="18">
        <f t="shared" si="10"/>
        <v>9.8080090448783075E-2</v>
      </c>
    </row>
    <row r="26" spans="1:26" x14ac:dyDescent="0.25">
      <c r="A26" s="55" t="s">
        <v>18</v>
      </c>
      <c r="B26" s="54">
        <v>10</v>
      </c>
      <c r="C26" s="80">
        <v>5.0209000000000001</v>
      </c>
      <c r="D26" s="7">
        <v>500</v>
      </c>
      <c r="E26" s="61">
        <v>220</v>
      </c>
      <c r="F26" s="7">
        <f t="shared" si="0"/>
        <v>180</v>
      </c>
      <c r="G26" s="7">
        <f t="shared" si="1"/>
        <v>79.266521423384162</v>
      </c>
      <c r="H26" s="61">
        <v>12</v>
      </c>
      <c r="I26" s="61">
        <v>3</v>
      </c>
      <c r="J26" s="61">
        <v>12</v>
      </c>
      <c r="K26" s="61">
        <v>3</v>
      </c>
      <c r="L26" s="19">
        <f t="shared" si="2"/>
        <v>678.58401317539528</v>
      </c>
      <c r="M26" s="7" t="str">
        <f t="shared" si="3"/>
        <v>OK</v>
      </c>
      <c r="N26" s="17">
        <f t="shared" si="4"/>
        <v>42.982868562555893</v>
      </c>
      <c r="O26" s="18">
        <f t="shared" si="5"/>
        <v>0.11681165468732602</v>
      </c>
      <c r="P26" s="54">
        <v>10</v>
      </c>
      <c r="Q26" s="81">
        <v>-1.7383999999999999</v>
      </c>
      <c r="R26" s="7">
        <f t="shared" si="6"/>
        <v>22.454726291043421</v>
      </c>
      <c r="S26" s="61">
        <v>12</v>
      </c>
      <c r="T26" s="61">
        <v>3</v>
      </c>
      <c r="U26" s="61">
        <v>12</v>
      </c>
      <c r="V26" s="61">
        <v>3</v>
      </c>
      <c r="W26" s="19">
        <f t="shared" si="7"/>
        <v>678.58401317539528</v>
      </c>
      <c r="X26" s="7" t="str">
        <f t="shared" si="8"/>
        <v>OK</v>
      </c>
      <c r="Y26" s="17">
        <f t="shared" si="9"/>
        <v>-52.534617132012755</v>
      </c>
      <c r="Z26" s="18">
        <f t="shared" si="10"/>
        <v>3.3090561898102798E-2</v>
      </c>
    </row>
    <row r="27" spans="1:26" x14ac:dyDescent="0.25">
      <c r="A27" s="55" t="s">
        <v>18</v>
      </c>
      <c r="B27" s="54">
        <v>10.5</v>
      </c>
      <c r="C27" s="80">
        <v>4.4002999999999997</v>
      </c>
      <c r="D27" s="7">
        <v>500</v>
      </c>
      <c r="E27" s="61">
        <v>220</v>
      </c>
      <c r="F27" s="7">
        <f t="shared" si="0"/>
        <v>180</v>
      </c>
      <c r="G27" s="7">
        <f t="shared" si="1"/>
        <v>69.468914780082713</v>
      </c>
      <c r="H27" s="61">
        <v>12</v>
      </c>
      <c r="I27" s="61">
        <v>3</v>
      </c>
      <c r="J27" s="61">
        <v>12</v>
      </c>
      <c r="K27" s="61">
        <v>3</v>
      </c>
      <c r="L27" s="19">
        <f t="shared" si="2"/>
        <v>678.58401317539528</v>
      </c>
      <c r="M27" s="7" t="str">
        <f t="shared" si="3"/>
        <v>OK</v>
      </c>
      <c r="N27" s="17">
        <f t="shared" si="4"/>
        <v>42.982868562555893</v>
      </c>
      <c r="O27" s="18">
        <f t="shared" si="5"/>
        <v>0.10237334424518325</v>
      </c>
      <c r="P27" s="54">
        <v>10.5</v>
      </c>
      <c r="Q27" s="81">
        <v>0.98850000000000005</v>
      </c>
      <c r="R27" s="7">
        <f t="shared" si="6"/>
        <v>12.768348446097804</v>
      </c>
      <c r="S27" s="61">
        <v>12</v>
      </c>
      <c r="T27" s="61">
        <v>3</v>
      </c>
      <c r="U27" s="61">
        <v>12</v>
      </c>
      <c r="V27" s="61">
        <v>3</v>
      </c>
      <c r="W27" s="19">
        <f t="shared" si="7"/>
        <v>678.58401317539528</v>
      </c>
      <c r="X27" s="7" t="str">
        <f t="shared" si="8"/>
        <v>OK</v>
      </c>
      <c r="Y27" s="17">
        <f t="shared" si="9"/>
        <v>-52.534617132012755</v>
      </c>
      <c r="Z27" s="18">
        <f t="shared" si="10"/>
        <v>-1.8816164539964694E-2</v>
      </c>
    </row>
    <row r="28" spans="1:26" x14ac:dyDescent="0.25">
      <c r="A28" s="55" t="s">
        <v>18</v>
      </c>
      <c r="B28" s="54">
        <v>11</v>
      </c>
      <c r="C28" s="80">
        <v>4.3806000000000003</v>
      </c>
      <c r="D28" s="7">
        <v>500</v>
      </c>
      <c r="E28" s="61">
        <v>220</v>
      </c>
      <c r="F28" s="7">
        <f t="shared" si="0"/>
        <v>180</v>
      </c>
      <c r="G28" s="7">
        <f t="shared" si="1"/>
        <v>69.157904707776822</v>
      </c>
      <c r="H28" s="61">
        <v>12</v>
      </c>
      <c r="I28" s="61">
        <v>3</v>
      </c>
      <c r="J28" s="61">
        <v>12</v>
      </c>
      <c r="K28" s="61">
        <v>3</v>
      </c>
      <c r="L28" s="19">
        <f t="shared" si="2"/>
        <v>678.58401317539528</v>
      </c>
      <c r="M28" s="7" t="str">
        <f t="shared" si="3"/>
        <v>OK</v>
      </c>
      <c r="N28" s="17">
        <f t="shared" si="4"/>
        <v>42.982868562555893</v>
      </c>
      <c r="O28" s="18">
        <f t="shared" si="5"/>
        <v>0.10191502211223094</v>
      </c>
      <c r="P28" s="54">
        <v>11</v>
      </c>
      <c r="Q28" s="81">
        <v>3.028</v>
      </c>
      <c r="R28" s="7">
        <f t="shared" si="6"/>
        <v>39.112351132811483</v>
      </c>
      <c r="S28" s="61">
        <v>12</v>
      </c>
      <c r="T28" s="61">
        <v>3</v>
      </c>
      <c r="U28" s="61">
        <v>12</v>
      </c>
      <c r="V28" s="61">
        <v>3</v>
      </c>
      <c r="W28" s="19">
        <f t="shared" si="7"/>
        <v>678.58401317539528</v>
      </c>
      <c r="X28" s="7" t="str">
        <f t="shared" si="8"/>
        <v>OK</v>
      </c>
      <c r="Y28" s="17">
        <f t="shared" si="9"/>
        <v>-52.534617132012755</v>
      </c>
      <c r="Z28" s="18">
        <f t="shared" si="10"/>
        <v>-5.763818535863742E-2</v>
      </c>
    </row>
    <row r="29" spans="1:26" x14ac:dyDescent="0.25">
      <c r="A29" s="55" t="s">
        <v>18</v>
      </c>
      <c r="B29" s="54">
        <v>11.5</v>
      </c>
      <c r="C29" s="80">
        <v>5.0456000000000003</v>
      </c>
      <c r="D29" s="7">
        <v>500</v>
      </c>
      <c r="E29" s="61">
        <v>220</v>
      </c>
      <c r="F29" s="7">
        <f t="shared" si="0"/>
        <v>180</v>
      </c>
      <c r="G29" s="7">
        <f t="shared" si="1"/>
        <v>79.656468062265148</v>
      </c>
      <c r="H29" s="61">
        <v>12</v>
      </c>
      <c r="I29" s="61">
        <v>3</v>
      </c>
      <c r="J29" s="61">
        <v>12</v>
      </c>
      <c r="K29" s="61">
        <v>3</v>
      </c>
      <c r="L29" s="19">
        <f t="shared" si="2"/>
        <v>678.58401317539528</v>
      </c>
      <c r="M29" s="7" t="str">
        <f t="shared" si="3"/>
        <v>OK</v>
      </c>
      <c r="N29" s="17">
        <f t="shared" si="4"/>
        <v>42.982868562555893</v>
      </c>
      <c r="O29" s="18">
        <f t="shared" si="5"/>
        <v>0.11738630223473324</v>
      </c>
      <c r="P29" s="54">
        <v>11.5</v>
      </c>
      <c r="Q29" s="81">
        <v>3.0920999999999998</v>
      </c>
      <c r="R29" s="7">
        <f t="shared" si="6"/>
        <v>39.940323955669214</v>
      </c>
      <c r="S29" s="61">
        <v>12</v>
      </c>
      <c r="T29" s="61">
        <v>3</v>
      </c>
      <c r="U29" s="61">
        <v>12</v>
      </c>
      <c r="V29" s="61">
        <v>3</v>
      </c>
      <c r="W29" s="19">
        <f t="shared" si="7"/>
        <v>678.58401317539528</v>
      </c>
      <c r="X29" s="7" t="str">
        <f t="shared" si="8"/>
        <v>OK</v>
      </c>
      <c r="Y29" s="17">
        <f t="shared" si="9"/>
        <v>-52.534617132012755</v>
      </c>
      <c r="Z29" s="18">
        <f t="shared" si="10"/>
        <v>-5.8858333205892586E-2</v>
      </c>
    </row>
    <row r="30" spans="1:26" x14ac:dyDescent="0.25">
      <c r="A30" s="55" t="s">
        <v>18</v>
      </c>
      <c r="B30" s="54">
        <v>12</v>
      </c>
      <c r="C30" s="80">
        <v>5.0232999999999999</v>
      </c>
      <c r="D30" s="7">
        <v>500</v>
      </c>
      <c r="E30" s="61">
        <v>220</v>
      </c>
      <c r="F30" s="7">
        <f t="shared" si="0"/>
        <v>180</v>
      </c>
      <c r="G30" s="7">
        <f t="shared" si="1"/>
        <v>79.304410975340204</v>
      </c>
      <c r="H30" s="61">
        <v>12</v>
      </c>
      <c r="I30" s="61">
        <v>3</v>
      </c>
      <c r="J30" s="61">
        <v>12</v>
      </c>
      <c r="K30" s="61">
        <v>3</v>
      </c>
      <c r="L30" s="19">
        <f t="shared" si="2"/>
        <v>678.58401317539528</v>
      </c>
      <c r="M30" s="7" t="str">
        <f t="shared" si="3"/>
        <v>OK</v>
      </c>
      <c r="N30" s="17">
        <f t="shared" si="4"/>
        <v>42.982868562555893</v>
      </c>
      <c r="O30" s="18">
        <f t="shared" si="5"/>
        <v>0.11686749088626436</v>
      </c>
      <c r="P30" s="54">
        <v>12</v>
      </c>
      <c r="Q30" s="81">
        <v>1.097</v>
      </c>
      <c r="R30" s="7">
        <f t="shared" si="6"/>
        <v>14.169831305381175</v>
      </c>
      <c r="S30" s="61">
        <v>12</v>
      </c>
      <c r="T30" s="61">
        <v>3</v>
      </c>
      <c r="U30" s="61">
        <v>12</v>
      </c>
      <c r="V30" s="61">
        <v>3</v>
      </c>
      <c r="W30" s="19">
        <f t="shared" si="7"/>
        <v>678.58401317539528</v>
      </c>
      <c r="X30" s="7" t="str">
        <f t="shared" si="8"/>
        <v>OK</v>
      </c>
      <c r="Y30" s="17">
        <f t="shared" si="9"/>
        <v>-52.534617132012755</v>
      </c>
      <c r="Z30" s="18">
        <f t="shared" si="10"/>
        <v>-2.0881469398423131E-2</v>
      </c>
    </row>
    <row r="31" spans="1:26" x14ac:dyDescent="0.25">
      <c r="A31" s="55" t="s">
        <v>18</v>
      </c>
      <c r="B31" s="54">
        <v>12.5</v>
      </c>
      <c r="C31" s="80">
        <v>4.3136999999999999</v>
      </c>
      <c r="D31" s="7">
        <v>500</v>
      </c>
      <c r="E31" s="61">
        <v>220</v>
      </c>
      <c r="F31" s="7">
        <f t="shared" si="0"/>
        <v>180</v>
      </c>
      <c r="G31" s="7">
        <f t="shared" si="1"/>
        <v>68.101733447001976</v>
      </c>
      <c r="H31" s="61">
        <v>12</v>
      </c>
      <c r="I31" s="61">
        <v>3</v>
      </c>
      <c r="J31" s="61">
        <v>12</v>
      </c>
      <c r="K31" s="61">
        <v>3</v>
      </c>
      <c r="L31" s="19">
        <f t="shared" si="2"/>
        <v>678.58401317539528</v>
      </c>
      <c r="M31" s="7" t="str">
        <f t="shared" si="3"/>
        <v>OK</v>
      </c>
      <c r="N31" s="17">
        <f t="shared" si="4"/>
        <v>42.982868562555893</v>
      </c>
      <c r="O31" s="18">
        <f t="shared" si="5"/>
        <v>0.10035858806682431</v>
      </c>
      <c r="P31" s="54">
        <v>12.5</v>
      </c>
      <c r="Q31" s="81">
        <v>-1.5854999999999999</v>
      </c>
      <c r="R31" s="7">
        <f t="shared" si="6"/>
        <v>20.479733395334414</v>
      </c>
      <c r="S31" s="61">
        <v>12</v>
      </c>
      <c r="T31" s="61">
        <v>3</v>
      </c>
      <c r="U31" s="61">
        <v>12</v>
      </c>
      <c r="V31" s="61">
        <v>3</v>
      </c>
      <c r="W31" s="19">
        <f t="shared" si="7"/>
        <v>678.58401317539528</v>
      </c>
      <c r="X31" s="7" t="str">
        <f t="shared" si="8"/>
        <v>OK</v>
      </c>
      <c r="Y31" s="17">
        <f t="shared" si="9"/>
        <v>-52.534617132012755</v>
      </c>
      <c r="Z31" s="18">
        <f t="shared" si="10"/>
        <v>3.0180100028441091E-2</v>
      </c>
    </row>
    <row r="32" spans="1:26" x14ac:dyDescent="0.25">
      <c r="A32" s="55" t="s">
        <v>18</v>
      </c>
      <c r="B32" s="54">
        <v>13</v>
      </c>
      <c r="C32" s="80">
        <v>2.9169</v>
      </c>
      <c r="D32" s="7">
        <v>500</v>
      </c>
      <c r="E32" s="61">
        <v>220</v>
      </c>
      <c r="F32" s="7">
        <f t="shared" si="0"/>
        <v>180</v>
      </c>
      <c r="G32" s="7">
        <f t="shared" si="1"/>
        <v>46.050014208581977</v>
      </c>
      <c r="H32" s="61">
        <v>12</v>
      </c>
      <c r="I32" s="61">
        <v>3</v>
      </c>
      <c r="J32" s="61">
        <v>12</v>
      </c>
      <c r="K32" s="61">
        <v>3</v>
      </c>
      <c r="L32" s="19">
        <f t="shared" si="2"/>
        <v>678.58401317539528</v>
      </c>
      <c r="M32" s="7" t="str">
        <f t="shared" si="3"/>
        <v>OK</v>
      </c>
      <c r="N32" s="17">
        <f t="shared" si="4"/>
        <v>42.982868562555893</v>
      </c>
      <c r="O32" s="18">
        <f t="shared" si="5"/>
        <v>6.7861920284702199E-2</v>
      </c>
      <c r="P32" s="54">
        <v>13</v>
      </c>
      <c r="Q32" s="81">
        <v>-4.9554</v>
      </c>
      <c r="R32" s="7">
        <f t="shared" si="6"/>
        <v>64.008370146477546</v>
      </c>
      <c r="S32" s="61">
        <v>12</v>
      </c>
      <c r="T32" s="61">
        <v>3</v>
      </c>
      <c r="U32" s="61">
        <v>12</v>
      </c>
      <c r="V32" s="61">
        <v>3</v>
      </c>
      <c r="W32" s="19">
        <f t="shared" si="7"/>
        <v>678.58401317539528</v>
      </c>
      <c r="X32" s="7" t="str">
        <f t="shared" si="8"/>
        <v>OK</v>
      </c>
      <c r="Y32" s="17">
        <f t="shared" si="9"/>
        <v>-52.534617132012755</v>
      </c>
      <c r="Z32" s="18">
        <f t="shared" si="10"/>
        <v>9.4326375074700083E-2</v>
      </c>
    </row>
    <row r="33" spans="1:26" x14ac:dyDescent="0.25">
      <c r="A33" s="55" t="s">
        <v>18</v>
      </c>
      <c r="B33" s="54">
        <v>13.5</v>
      </c>
      <c r="C33" s="80">
        <v>0.8327</v>
      </c>
      <c r="D33" s="7">
        <v>500</v>
      </c>
      <c r="E33" s="61">
        <v>220</v>
      </c>
      <c r="F33" s="7">
        <f t="shared" si="0"/>
        <v>180</v>
      </c>
      <c r="G33" s="7">
        <f t="shared" si="1"/>
        <v>13.146095797417194</v>
      </c>
      <c r="H33" s="61">
        <v>12</v>
      </c>
      <c r="I33" s="61">
        <v>3</v>
      </c>
      <c r="J33" s="61">
        <v>12</v>
      </c>
      <c r="K33" s="61">
        <v>3</v>
      </c>
      <c r="L33" s="19">
        <f t="shared" si="2"/>
        <v>678.58401317539528</v>
      </c>
      <c r="M33" s="7" t="str">
        <f t="shared" si="3"/>
        <v>OK</v>
      </c>
      <c r="N33" s="17">
        <f t="shared" si="4"/>
        <v>42.982868562555893</v>
      </c>
      <c r="O33" s="18">
        <f t="shared" si="5"/>
        <v>1.9372834523319796E-2</v>
      </c>
      <c r="P33" s="54">
        <v>13.5</v>
      </c>
      <c r="Q33" s="81">
        <v>-9.0124999999999993</v>
      </c>
      <c r="R33" s="7">
        <f t="shared" si="6"/>
        <v>116.41349556950578</v>
      </c>
      <c r="S33" s="61">
        <v>12</v>
      </c>
      <c r="T33" s="61">
        <v>3</v>
      </c>
      <c r="U33" s="61">
        <v>12</v>
      </c>
      <c r="V33" s="61">
        <v>3</v>
      </c>
      <c r="W33" s="19">
        <f t="shared" si="7"/>
        <v>678.58401317539528</v>
      </c>
      <c r="X33" s="7" t="str">
        <f t="shared" si="8"/>
        <v>OK</v>
      </c>
      <c r="Y33" s="17">
        <f t="shared" si="9"/>
        <v>-52.534617132012755</v>
      </c>
      <c r="Z33" s="18">
        <f t="shared" si="10"/>
        <v>0.17155354872678985</v>
      </c>
    </row>
    <row r="34" spans="1:26" x14ac:dyDescent="0.25">
      <c r="A34" s="55" t="s">
        <v>19</v>
      </c>
      <c r="B34" s="54">
        <v>13.5</v>
      </c>
      <c r="C34" s="80">
        <v>7.2991999999999999</v>
      </c>
      <c r="D34" s="7">
        <v>500</v>
      </c>
      <c r="E34" s="61">
        <v>220</v>
      </c>
      <c r="F34" s="7">
        <f t="shared" si="0"/>
        <v>180</v>
      </c>
      <c r="G34" s="7">
        <f t="shared" si="1"/>
        <v>115.23475734899434</v>
      </c>
      <c r="H34" s="61">
        <v>12</v>
      </c>
      <c r="I34" s="61">
        <v>3</v>
      </c>
      <c r="J34" s="61">
        <v>12</v>
      </c>
      <c r="K34" s="61">
        <v>3</v>
      </c>
      <c r="L34" s="19">
        <f t="shared" si="2"/>
        <v>678.58401317539528</v>
      </c>
      <c r="M34" s="7" t="str">
        <f t="shared" si="3"/>
        <v>OK</v>
      </c>
      <c r="N34" s="17">
        <f t="shared" si="4"/>
        <v>42.982868562555893</v>
      </c>
      <c r="O34" s="18">
        <f t="shared" si="5"/>
        <v>0.16981649303784779</v>
      </c>
      <c r="P34" s="54">
        <v>13.5</v>
      </c>
      <c r="Q34" s="81">
        <v>-13.7569</v>
      </c>
      <c r="R34" s="7">
        <f t="shared" si="6"/>
        <v>177.69640135369033</v>
      </c>
      <c r="S34" s="61">
        <v>12</v>
      </c>
      <c r="T34" s="61">
        <v>3</v>
      </c>
      <c r="U34" s="61">
        <v>12</v>
      </c>
      <c r="V34" s="61">
        <v>3</v>
      </c>
      <c r="W34" s="19">
        <f t="shared" si="7"/>
        <v>678.58401317539528</v>
      </c>
      <c r="X34" s="7" t="str">
        <f t="shared" si="8"/>
        <v>OK</v>
      </c>
      <c r="Y34" s="17">
        <f t="shared" si="9"/>
        <v>-52.534617132012755</v>
      </c>
      <c r="Z34" s="18">
        <f t="shared" si="10"/>
        <v>0.26186352449149242</v>
      </c>
    </row>
    <row r="35" spans="1:26" x14ac:dyDescent="0.25">
      <c r="A35" s="55" t="s">
        <v>19</v>
      </c>
      <c r="B35" s="54">
        <v>14</v>
      </c>
      <c r="C35" s="80">
        <v>6.8666999999999998</v>
      </c>
      <c r="D35" s="7">
        <v>500</v>
      </c>
      <c r="E35" s="61">
        <v>220</v>
      </c>
      <c r="F35" s="7">
        <f t="shared" si="0"/>
        <v>180</v>
      </c>
      <c r="G35" s="7">
        <f t="shared" si="1"/>
        <v>108.40674434024817</v>
      </c>
      <c r="H35" s="61">
        <v>12</v>
      </c>
      <c r="I35" s="61">
        <v>3</v>
      </c>
      <c r="J35" s="61">
        <v>12</v>
      </c>
      <c r="K35" s="61">
        <v>3</v>
      </c>
      <c r="L35" s="19">
        <f t="shared" si="2"/>
        <v>678.58401317539528</v>
      </c>
      <c r="M35" s="7" t="str">
        <f t="shared" si="3"/>
        <v>OK</v>
      </c>
      <c r="N35" s="17">
        <f t="shared" si="4"/>
        <v>42.982868562555893</v>
      </c>
      <c r="O35" s="18">
        <f t="shared" si="5"/>
        <v>0.15975434468749855</v>
      </c>
      <c r="P35" s="54">
        <v>14</v>
      </c>
      <c r="Q35" s="81">
        <v>-12.886900000000001</v>
      </c>
      <c r="R35" s="7">
        <f t="shared" si="6"/>
        <v>166.45870469399878</v>
      </c>
      <c r="S35" s="61">
        <v>12</v>
      </c>
      <c r="T35" s="61">
        <v>3</v>
      </c>
      <c r="U35" s="61">
        <v>12</v>
      </c>
      <c r="V35" s="61">
        <v>3</v>
      </c>
      <c r="W35" s="19">
        <f t="shared" si="7"/>
        <v>678.58401317539528</v>
      </c>
      <c r="X35" s="7" t="str">
        <f t="shared" si="8"/>
        <v>OK</v>
      </c>
      <c r="Y35" s="17">
        <f t="shared" si="9"/>
        <v>-52.534617132012755</v>
      </c>
      <c r="Z35" s="18">
        <f t="shared" si="10"/>
        <v>0.24530301548818512</v>
      </c>
    </row>
    <row r="36" spans="1:26" x14ac:dyDescent="0.25">
      <c r="A36" s="55" t="s">
        <v>19</v>
      </c>
      <c r="B36" s="54">
        <v>14.5</v>
      </c>
      <c r="C36" s="80">
        <v>5.7469000000000001</v>
      </c>
      <c r="D36" s="7">
        <v>500</v>
      </c>
      <c r="E36" s="61">
        <v>220</v>
      </c>
      <c r="F36" s="7">
        <f t="shared" si="0"/>
        <v>180</v>
      </c>
      <c r="G36" s="7">
        <f t="shared" si="1"/>
        <v>90.728110890088715</v>
      </c>
      <c r="H36" s="61">
        <v>12</v>
      </c>
      <c r="I36" s="61">
        <v>3</v>
      </c>
      <c r="J36" s="61">
        <v>12</v>
      </c>
      <c r="K36" s="61">
        <v>3</v>
      </c>
      <c r="L36" s="19">
        <f t="shared" si="2"/>
        <v>678.58401317539528</v>
      </c>
      <c r="M36" s="7" t="str">
        <f t="shared" si="3"/>
        <v>OK</v>
      </c>
      <c r="N36" s="17">
        <f t="shared" si="4"/>
        <v>42.982868562555893</v>
      </c>
      <c r="O36" s="18">
        <f t="shared" si="5"/>
        <v>0.13370210486617815</v>
      </c>
      <c r="P36" s="54">
        <v>14.5</v>
      </c>
      <c r="Q36" s="81">
        <v>-8.0460999999999991</v>
      </c>
      <c r="R36" s="7">
        <f t="shared" si="6"/>
        <v>103.93061045234955</v>
      </c>
      <c r="S36" s="61">
        <v>12</v>
      </c>
      <c r="T36" s="61">
        <v>3</v>
      </c>
      <c r="U36" s="61">
        <v>12</v>
      </c>
      <c r="V36" s="61">
        <v>3</v>
      </c>
      <c r="W36" s="19">
        <f t="shared" si="7"/>
        <v>678.58401317539528</v>
      </c>
      <c r="X36" s="7" t="str">
        <f t="shared" si="8"/>
        <v>OK</v>
      </c>
      <c r="Y36" s="17">
        <f t="shared" si="9"/>
        <v>-52.534617132012755</v>
      </c>
      <c r="Z36" s="18">
        <f t="shared" si="10"/>
        <v>0.15315805918564482</v>
      </c>
    </row>
    <row r="37" spans="1:26" x14ac:dyDescent="0.25">
      <c r="A37" s="55" t="s">
        <v>19</v>
      </c>
      <c r="B37" s="54">
        <v>15</v>
      </c>
      <c r="C37" s="80">
        <v>3.9399000000000002</v>
      </c>
      <c r="D37" s="7">
        <v>500</v>
      </c>
      <c r="E37" s="61">
        <v>220</v>
      </c>
      <c r="F37" s="7">
        <f t="shared" si="0"/>
        <v>180</v>
      </c>
      <c r="G37" s="7">
        <f t="shared" si="1"/>
        <v>62.200435729847484</v>
      </c>
      <c r="H37" s="61">
        <v>12</v>
      </c>
      <c r="I37" s="61">
        <v>3</v>
      </c>
      <c r="J37" s="61">
        <v>12</v>
      </c>
      <c r="K37" s="61">
        <v>3</v>
      </c>
      <c r="L37" s="19">
        <f t="shared" si="2"/>
        <v>678.58401317539528</v>
      </c>
      <c r="M37" s="7" t="str">
        <f t="shared" si="3"/>
        <v>OK</v>
      </c>
      <c r="N37" s="17">
        <f t="shared" si="4"/>
        <v>42.982868562555893</v>
      </c>
      <c r="O37" s="18">
        <f t="shared" si="5"/>
        <v>9.1662100082175665E-2</v>
      </c>
      <c r="P37" s="54">
        <v>15</v>
      </c>
      <c r="Q37" s="81">
        <v>-3.8925999999999998</v>
      </c>
      <c r="R37" s="7">
        <f t="shared" si="6"/>
        <v>50.280296571856667</v>
      </c>
      <c r="S37" s="61">
        <v>12</v>
      </c>
      <c r="T37" s="61">
        <v>3</v>
      </c>
      <c r="U37" s="61">
        <v>12</v>
      </c>
      <c r="V37" s="61">
        <v>3</v>
      </c>
      <c r="W37" s="19">
        <f t="shared" si="7"/>
        <v>678.58401317539528</v>
      </c>
      <c r="X37" s="7" t="str">
        <f t="shared" si="8"/>
        <v>OK</v>
      </c>
      <c r="Y37" s="17">
        <f t="shared" si="9"/>
        <v>-52.534617132012755</v>
      </c>
      <c r="Z37" s="18">
        <f t="shared" si="10"/>
        <v>7.4095904995717304E-2</v>
      </c>
    </row>
    <row r="38" spans="1:26" x14ac:dyDescent="0.25">
      <c r="A38" s="55" t="s">
        <v>19</v>
      </c>
      <c r="B38" s="54">
        <v>15.5</v>
      </c>
      <c r="C38" s="80">
        <v>2.3530000000000002</v>
      </c>
      <c r="D38" s="7">
        <v>500</v>
      </c>
      <c r="E38" s="61">
        <v>220</v>
      </c>
      <c r="F38" s="7">
        <f t="shared" si="0"/>
        <v>180</v>
      </c>
      <c r="G38" s="7">
        <f t="shared" si="1"/>
        <v>37.147548230242172</v>
      </c>
      <c r="H38" s="61">
        <v>12</v>
      </c>
      <c r="I38" s="61">
        <v>3</v>
      </c>
      <c r="J38" s="61">
        <v>12</v>
      </c>
      <c r="K38" s="61">
        <v>3</v>
      </c>
      <c r="L38" s="19">
        <f t="shared" si="2"/>
        <v>678.58401317539528</v>
      </c>
      <c r="M38" s="7" t="str">
        <f t="shared" si="3"/>
        <v>OK</v>
      </c>
      <c r="N38" s="17">
        <f t="shared" si="4"/>
        <v>42.982868562555893</v>
      </c>
      <c r="O38" s="18">
        <f t="shared" si="5"/>
        <v>5.4742740042478068E-2</v>
      </c>
      <c r="P38" s="54">
        <v>15.5</v>
      </c>
      <c r="Q38" s="81">
        <v>-0.42649999999999999</v>
      </c>
      <c r="R38" s="7">
        <f t="shared" si="6"/>
        <v>5.5090547417913136</v>
      </c>
      <c r="S38" s="61">
        <v>12</v>
      </c>
      <c r="T38" s="61">
        <v>3</v>
      </c>
      <c r="U38" s="61">
        <v>12</v>
      </c>
      <c r="V38" s="61">
        <v>3</v>
      </c>
      <c r="W38" s="19">
        <f t="shared" si="7"/>
        <v>678.58401317539528</v>
      </c>
      <c r="X38" s="7" t="str">
        <f t="shared" si="8"/>
        <v>OK</v>
      </c>
      <c r="Y38" s="17">
        <f t="shared" si="9"/>
        <v>-52.534617132012755</v>
      </c>
      <c r="Z38" s="18">
        <f t="shared" si="10"/>
        <v>8.1184564251845625E-3</v>
      </c>
    </row>
    <row r="39" spans="1:26" x14ac:dyDescent="0.25">
      <c r="A39" s="55" t="s">
        <v>19</v>
      </c>
      <c r="B39" s="54">
        <v>16</v>
      </c>
      <c r="C39" s="80">
        <v>4.4440999999999997</v>
      </c>
      <c r="D39" s="7">
        <v>500</v>
      </c>
      <c r="E39" s="61">
        <v>220</v>
      </c>
      <c r="F39" s="7">
        <f t="shared" si="0"/>
        <v>180</v>
      </c>
      <c r="G39" s="7">
        <f t="shared" si="1"/>
        <v>70.160399103280596</v>
      </c>
      <c r="H39" s="61">
        <v>12</v>
      </c>
      <c r="I39" s="61">
        <v>3</v>
      </c>
      <c r="J39" s="61">
        <v>12</v>
      </c>
      <c r="K39" s="61">
        <v>3</v>
      </c>
      <c r="L39" s="19">
        <f t="shared" si="2"/>
        <v>678.58401317539528</v>
      </c>
      <c r="M39" s="7" t="str">
        <f t="shared" si="3"/>
        <v>OK</v>
      </c>
      <c r="N39" s="17">
        <f t="shared" si="4"/>
        <v>42.982868562555893</v>
      </c>
      <c r="O39" s="18">
        <f t="shared" si="5"/>
        <v>0.10339235487580822</v>
      </c>
      <c r="P39" s="54">
        <v>16</v>
      </c>
      <c r="Q39" s="81">
        <v>1.4448000000000001</v>
      </c>
      <c r="R39" s="7">
        <f t="shared" si="6"/>
        <v>18.662326590715335</v>
      </c>
      <c r="S39" s="61">
        <v>12</v>
      </c>
      <c r="T39" s="61">
        <v>3</v>
      </c>
      <c r="U39" s="61">
        <v>12</v>
      </c>
      <c r="V39" s="61">
        <v>3</v>
      </c>
      <c r="W39" s="19">
        <f t="shared" si="7"/>
        <v>678.58401317539528</v>
      </c>
      <c r="X39" s="7" t="str">
        <f t="shared" si="8"/>
        <v>OK</v>
      </c>
      <c r="Y39" s="17">
        <f t="shared" si="9"/>
        <v>-52.534617132012755</v>
      </c>
      <c r="Z39" s="18">
        <f t="shared" si="10"/>
        <v>-2.7501865986182081E-2</v>
      </c>
    </row>
    <row r="40" spans="1:26" x14ac:dyDescent="0.25">
      <c r="A40" s="55" t="s">
        <v>19</v>
      </c>
      <c r="B40" s="54">
        <v>16.5</v>
      </c>
      <c r="C40" s="80">
        <v>5.8483999999999998</v>
      </c>
      <c r="D40" s="7">
        <v>500</v>
      </c>
      <c r="E40" s="61">
        <v>220</v>
      </c>
      <c r="F40" s="7">
        <f t="shared" si="0"/>
        <v>180</v>
      </c>
      <c r="G40" s="7">
        <f t="shared" si="1"/>
        <v>92.330523191563245</v>
      </c>
      <c r="H40" s="61">
        <v>12</v>
      </c>
      <c r="I40" s="61">
        <v>3</v>
      </c>
      <c r="J40" s="61">
        <v>12</v>
      </c>
      <c r="K40" s="61">
        <v>3</v>
      </c>
      <c r="L40" s="19">
        <f t="shared" si="2"/>
        <v>678.58401317539528</v>
      </c>
      <c r="M40" s="7" t="str">
        <f t="shared" si="3"/>
        <v>OK</v>
      </c>
      <c r="N40" s="17">
        <f t="shared" si="4"/>
        <v>42.982868562555893</v>
      </c>
      <c r="O40" s="18">
        <f t="shared" si="5"/>
        <v>0.13606351077961271</v>
      </c>
      <c r="P40" s="54">
        <v>16.5</v>
      </c>
      <c r="Q40" s="81">
        <v>-1.7363999999999999</v>
      </c>
      <c r="R40" s="7">
        <f t="shared" si="6"/>
        <v>22.428892505618844</v>
      </c>
      <c r="S40" s="61">
        <v>12</v>
      </c>
      <c r="T40" s="61">
        <v>3</v>
      </c>
      <c r="U40" s="61">
        <v>12</v>
      </c>
      <c r="V40" s="61">
        <v>3</v>
      </c>
      <c r="W40" s="19">
        <f t="shared" si="7"/>
        <v>678.58401317539528</v>
      </c>
      <c r="X40" s="7" t="str">
        <f t="shared" si="8"/>
        <v>OK</v>
      </c>
      <c r="Y40" s="17">
        <f t="shared" si="9"/>
        <v>-52.534617132012755</v>
      </c>
      <c r="Z40" s="18">
        <f t="shared" si="10"/>
        <v>3.3052491762463013E-2</v>
      </c>
    </row>
    <row r="41" spans="1:26" x14ac:dyDescent="0.25">
      <c r="A41" s="55" t="s">
        <v>19</v>
      </c>
      <c r="B41" s="54">
        <v>17</v>
      </c>
      <c r="C41" s="80">
        <v>6.5654000000000003</v>
      </c>
      <c r="D41" s="7">
        <v>500</v>
      </c>
      <c r="E41" s="61">
        <v>220</v>
      </c>
      <c r="F41" s="7">
        <f t="shared" si="0"/>
        <v>180</v>
      </c>
      <c r="G41" s="7">
        <f t="shared" si="1"/>
        <v>103.65002683843262</v>
      </c>
      <c r="H41" s="61">
        <v>12</v>
      </c>
      <c r="I41" s="61">
        <v>3</v>
      </c>
      <c r="J41" s="61">
        <v>12</v>
      </c>
      <c r="K41" s="61">
        <v>3</v>
      </c>
      <c r="L41" s="19">
        <f t="shared" si="2"/>
        <v>678.58401317539528</v>
      </c>
      <c r="M41" s="7" t="str">
        <f t="shared" si="3"/>
        <v>OK</v>
      </c>
      <c r="N41" s="17">
        <f t="shared" si="4"/>
        <v>42.982868562555893</v>
      </c>
      <c r="O41" s="18">
        <f t="shared" si="5"/>
        <v>0.15274457521244603</v>
      </c>
      <c r="P41" s="54">
        <v>17</v>
      </c>
      <c r="Q41" s="81">
        <v>-5.6054000000000004</v>
      </c>
      <c r="R41" s="7">
        <f t="shared" si="6"/>
        <v>72.404350409465479</v>
      </c>
      <c r="S41" s="61">
        <v>12</v>
      </c>
      <c r="T41" s="61">
        <v>3</v>
      </c>
      <c r="U41" s="61">
        <v>12</v>
      </c>
      <c r="V41" s="61">
        <v>3</v>
      </c>
      <c r="W41" s="19">
        <f t="shared" si="7"/>
        <v>678.58401317539528</v>
      </c>
      <c r="X41" s="7" t="str">
        <f t="shared" si="8"/>
        <v>OK</v>
      </c>
      <c r="Y41" s="17">
        <f t="shared" si="9"/>
        <v>-52.534617132012755</v>
      </c>
      <c r="Z41" s="18">
        <f t="shared" si="10"/>
        <v>0.10669916915763085</v>
      </c>
    </row>
    <row r="42" spans="1:26" x14ac:dyDescent="0.25">
      <c r="A42" s="55" t="s">
        <v>19</v>
      </c>
      <c r="B42" s="54">
        <v>17.5</v>
      </c>
      <c r="C42" s="80">
        <v>6.5951000000000004</v>
      </c>
      <c r="D42" s="7">
        <v>500</v>
      </c>
      <c r="E42" s="61">
        <v>220</v>
      </c>
      <c r="F42" s="7">
        <f t="shared" si="0"/>
        <v>180</v>
      </c>
      <c r="G42" s="7">
        <f t="shared" si="1"/>
        <v>104.11891004388872</v>
      </c>
      <c r="H42" s="61">
        <v>12</v>
      </c>
      <c r="I42" s="61">
        <v>3</v>
      </c>
      <c r="J42" s="61">
        <v>12</v>
      </c>
      <c r="K42" s="61">
        <v>3</v>
      </c>
      <c r="L42" s="19">
        <f t="shared" si="2"/>
        <v>678.58401317539528</v>
      </c>
      <c r="M42" s="7" t="str">
        <f t="shared" si="3"/>
        <v>OK</v>
      </c>
      <c r="N42" s="17">
        <f t="shared" si="4"/>
        <v>42.982868562555893</v>
      </c>
      <c r="O42" s="18">
        <f t="shared" si="5"/>
        <v>0.15343554817430816</v>
      </c>
      <c r="P42" s="54">
        <v>17.5</v>
      </c>
      <c r="Q42" s="81">
        <v>-10.1617</v>
      </c>
      <c r="R42" s="7">
        <f t="shared" si="6"/>
        <v>131.25758867446845</v>
      </c>
      <c r="S42" s="61">
        <v>12</v>
      </c>
      <c r="T42" s="61">
        <v>3</v>
      </c>
      <c r="U42" s="61">
        <v>12</v>
      </c>
      <c r="V42" s="61">
        <v>3</v>
      </c>
      <c r="W42" s="19">
        <f t="shared" si="7"/>
        <v>678.58401317539528</v>
      </c>
      <c r="X42" s="7" t="str">
        <f t="shared" si="8"/>
        <v>OK</v>
      </c>
      <c r="Y42" s="17">
        <f t="shared" si="9"/>
        <v>-52.534617132012755</v>
      </c>
      <c r="Z42" s="18">
        <f t="shared" si="10"/>
        <v>0.19342864866541143</v>
      </c>
    </row>
    <row r="43" spans="1:26" x14ac:dyDescent="0.25">
      <c r="Q43" s="81">
        <v>-15.405200000000001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97A5-04E8-4E20-B8FD-CBEDA896D9FB}">
  <sheetPr codeName="Foglio5"/>
  <dimension ref="A1:AB42"/>
  <sheetViews>
    <sheetView topLeftCell="A43" zoomScale="55" zoomScaleNormal="55" workbookViewId="0">
      <selection activeCell="AB66" sqref="AB66"/>
    </sheetView>
  </sheetViews>
  <sheetFormatPr defaultRowHeight="15" x14ac:dyDescent="0.25"/>
  <cols>
    <col min="1" max="2" width="9.140625" style="1"/>
    <col min="3" max="3" width="9.140625" style="12"/>
    <col min="4" max="12" width="9.140625" style="1"/>
    <col min="13" max="16384" width="9.140625" style="12"/>
  </cols>
  <sheetData>
    <row r="1" spans="1:28" x14ac:dyDescent="0.25">
      <c r="A1" s="54"/>
      <c r="B1" s="16" t="s">
        <v>29</v>
      </c>
      <c r="C1" s="16"/>
      <c r="D1" s="12"/>
      <c r="P1" s="16" t="s">
        <v>30</v>
      </c>
      <c r="Q1" s="16"/>
      <c r="R1" s="1"/>
    </row>
    <row r="2" spans="1:28" x14ac:dyDescent="0.25">
      <c r="A2" s="54"/>
      <c r="B2" s="13" t="s">
        <v>2</v>
      </c>
      <c r="C2" s="1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M2" s="62"/>
      <c r="N2" s="5" t="s">
        <v>31</v>
      </c>
      <c r="O2" s="5" t="s">
        <v>32</v>
      </c>
      <c r="P2" s="13" t="s">
        <v>2</v>
      </c>
      <c r="Q2" s="1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X2" s="62"/>
      <c r="Y2" s="5" t="s">
        <v>31</v>
      </c>
      <c r="Z2" s="5" t="s">
        <v>32</v>
      </c>
    </row>
    <row r="3" spans="1:28" x14ac:dyDescent="0.25">
      <c r="A3" s="54"/>
      <c r="B3" s="27" t="s">
        <v>7</v>
      </c>
      <c r="C3" s="27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M3" s="62"/>
      <c r="N3" s="9" t="s">
        <v>9</v>
      </c>
      <c r="O3" s="8" t="s">
        <v>28</v>
      </c>
      <c r="P3" s="27" t="s">
        <v>7</v>
      </c>
      <c r="Q3" s="27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X3" s="62"/>
      <c r="Y3" s="9" t="s">
        <v>9</v>
      </c>
      <c r="Z3" s="8" t="s">
        <v>28</v>
      </c>
    </row>
    <row r="4" spans="1:28" x14ac:dyDescent="0.25">
      <c r="A4" s="6" t="s">
        <v>10</v>
      </c>
      <c r="B4" s="7">
        <v>0</v>
      </c>
      <c r="C4" s="85">
        <v>148.6995</v>
      </c>
      <c r="D4" s="7">
        <v>300</v>
      </c>
      <c r="E4" s="61">
        <v>500</v>
      </c>
      <c r="F4" s="7">
        <f>E4-43</f>
        <v>457</v>
      </c>
      <c r="G4" s="7">
        <f>ABS(C4)*1000^2/(0.9*391*F4)</f>
        <v>924.64290444557605</v>
      </c>
      <c r="H4" s="61">
        <v>18</v>
      </c>
      <c r="I4" s="61">
        <v>2</v>
      </c>
      <c r="J4" s="61">
        <v>18</v>
      </c>
      <c r="K4" s="61">
        <v>2</v>
      </c>
      <c r="L4" s="19">
        <f>PI()*(H4^2/4*I4+J4^2/4*K4)</f>
        <v>1017.8760197630929</v>
      </c>
      <c r="M4" s="7" t="str">
        <f>IF(L4&gt;=G4,"OK","NO")</f>
        <v>OK</v>
      </c>
      <c r="N4" s="17">
        <f>(L4*0.9*391*F4)/1000^2</f>
        <v>163.69309110906701</v>
      </c>
      <c r="O4" s="18">
        <f>C4/N4</f>
        <v>0.90840425208247222</v>
      </c>
      <c r="P4" s="7">
        <v>0</v>
      </c>
      <c r="Q4" s="88">
        <v>-176.49879999999999</v>
      </c>
      <c r="R4" s="7">
        <f t="shared" ref="R4:R42" si="0">ABS(Q4)*1000^2/(0.9*391*F4)</f>
        <v>1097.5044506750785</v>
      </c>
      <c r="S4" s="61">
        <v>20</v>
      </c>
      <c r="T4" s="61">
        <v>2</v>
      </c>
      <c r="U4" s="61">
        <v>18</v>
      </c>
      <c r="V4" s="61">
        <v>2</v>
      </c>
      <c r="W4" s="19">
        <f>PI()*(S4^2/4*T4+U4^2/4*V4)</f>
        <v>1137.2565405995051</v>
      </c>
      <c r="X4" s="7" t="str">
        <f>IF(W4&gt;=R4,"OK","NO")</f>
        <v>OK</v>
      </c>
      <c r="Y4" s="17">
        <f t="shared" ref="Y4:Y42" si="1">-(W4*0.9*391*F4)/1000^2</f>
        <v>-182.8916635230934</v>
      </c>
      <c r="Z4" s="18">
        <f>Q4/Y4</f>
        <v>0.96504562646571257</v>
      </c>
    </row>
    <row r="5" spans="1:28" x14ac:dyDescent="0.25">
      <c r="A5" s="6" t="s">
        <v>10</v>
      </c>
      <c r="B5" s="7">
        <v>0.5</v>
      </c>
      <c r="C5" s="85">
        <v>119.9532</v>
      </c>
      <c r="D5" s="7">
        <v>300</v>
      </c>
      <c r="E5" s="61">
        <v>500</v>
      </c>
      <c r="F5" s="7">
        <f t="shared" ref="F5:F42" si="2">E5-43</f>
        <v>457</v>
      </c>
      <c r="G5" s="7">
        <f t="shared" ref="G5:G12" si="3">ABS(C5)*1000^2/(0.9*391*F5)</f>
        <v>745.8927248951145</v>
      </c>
      <c r="H5" s="61">
        <v>18</v>
      </c>
      <c r="I5" s="61">
        <v>2</v>
      </c>
      <c r="J5" s="61">
        <v>18</v>
      </c>
      <c r="K5" s="61">
        <v>2</v>
      </c>
      <c r="L5" s="19">
        <f t="shared" ref="L5:L12" si="4">PI()*(H5^2/4*I5+J5^2/4*K5)</f>
        <v>1017.8760197630929</v>
      </c>
      <c r="M5" s="7" t="str">
        <f t="shared" ref="M5:M12" si="5">IF(L5&gt;=G5,"OK","NO")</f>
        <v>OK</v>
      </c>
      <c r="N5" s="17">
        <f t="shared" ref="N5:N12" si="6">(L5*0.9*391*F5)/1000^2</f>
        <v>163.69309110906701</v>
      </c>
      <c r="O5" s="18">
        <f t="shared" ref="O5:O12" si="7">C5/N5</f>
        <v>0.73279329742802901</v>
      </c>
      <c r="P5" s="7">
        <v>0.5</v>
      </c>
      <c r="Q5" s="88">
        <v>-128.15960000000001</v>
      </c>
      <c r="R5" s="7">
        <f t="shared" si="0"/>
        <v>796.92174335880929</v>
      </c>
      <c r="S5" s="61">
        <v>20</v>
      </c>
      <c r="T5" s="61">
        <v>2</v>
      </c>
      <c r="U5" s="61">
        <v>18</v>
      </c>
      <c r="V5" s="61">
        <v>2</v>
      </c>
      <c r="W5" s="19">
        <f t="shared" ref="W5:W42" si="8">PI()*(S5^2/4*T5+U5^2/4*V5)</f>
        <v>1137.2565405995051</v>
      </c>
      <c r="X5" s="7" t="str">
        <f t="shared" ref="X5:X42" si="9">IF(W5&gt;=R5,"OK","NO")</f>
        <v>OK</v>
      </c>
      <c r="Y5" s="17">
        <f t="shared" si="1"/>
        <v>-182.8916635230934</v>
      </c>
      <c r="Z5" s="18">
        <f t="shared" ref="Z5:Z42" si="10">Q5/Y5</f>
        <v>0.70074052327605152</v>
      </c>
    </row>
    <row r="6" spans="1:28" x14ac:dyDescent="0.25">
      <c r="A6" s="6" t="s">
        <v>10</v>
      </c>
      <c r="B6" s="7">
        <v>1</v>
      </c>
      <c r="C6" s="85">
        <v>88.397099999999995</v>
      </c>
      <c r="D6" s="7">
        <v>300</v>
      </c>
      <c r="E6" s="61">
        <v>500</v>
      </c>
      <c r="F6" s="7">
        <f t="shared" si="2"/>
        <v>457</v>
      </c>
      <c r="G6" s="7">
        <f t="shared" si="3"/>
        <v>549.67065315327909</v>
      </c>
      <c r="H6" s="61">
        <v>18</v>
      </c>
      <c r="I6" s="61">
        <v>2</v>
      </c>
      <c r="J6" s="61">
        <v>18</v>
      </c>
      <c r="K6" s="61">
        <v>2</v>
      </c>
      <c r="L6" s="19">
        <f t="shared" si="4"/>
        <v>1017.8760197630929</v>
      </c>
      <c r="M6" s="7" t="str">
        <f t="shared" si="5"/>
        <v>OK</v>
      </c>
      <c r="N6" s="17">
        <f t="shared" si="6"/>
        <v>163.69309110906701</v>
      </c>
      <c r="O6" s="18">
        <f t="shared" si="7"/>
        <v>0.54001729334503146</v>
      </c>
      <c r="P6" s="7">
        <v>1</v>
      </c>
      <c r="Q6" s="88">
        <v>-82.630200000000002</v>
      </c>
      <c r="R6" s="7">
        <f t="shared" si="0"/>
        <v>513.81092823391361</v>
      </c>
      <c r="S6" s="61">
        <v>20</v>
      </c>
      <c r="T6" s="61">
        <v>2</v>
      </c>
      <c r="U6" s="61">
        <v>18</v>
      </c>
      <c r="V6" s="61">
        <v>2</v>
      </c>
      <c r="W6" s="19">
        <f t="shared" si="8"/>
        <v>1137.2565405995051</v>
      </c>
      <c r="X6" s="7" t="str">
        <f t="shared" si="9"/>
        <v>OK</v>
      </c>
      <c r="Y6" s="17">
        <f t="shared" si="1"/>
        <v>-182.8916635230934</v>
      </c>
      <c r="Z6" s="18">
        <f t="shared" si="10"/>
        <v>0.4517986134975826</v>
      </c>
    </row>
    <row r="7" spans="1:28" x14ac:dyDescent="0.25">
      <c r="A7" s="6" t="s">
        <v>10</v>
      </c>
      <c r="B7" s="7">
        <v>1.5</v>
      </c>
      <c r="C7" s="85">
        <v>54.031500000000001</v>
      </c>
      <c r="D7" s="7">
        <v>300</v>
      </c>
      <c r="E7" s="61">
        <v>500</v>
      </c>
      <c r="F7" s="7">
        <f t="shared" si="2"/>
        <v>457</v>
      </c>
      <c r="G7" s="7">
        <f t="shared" si="3"/>
        <v>335.97855467941145</v>
      </c>
      <c r="H7" s="61">
        <v>18</v>
      </c>
      <c r="I7" s="61">
        <v>2</v>
      </c>
      <c r="J7" s="61">
        <v>18</v>
      </c>
      <c r="K7" s="61">
        <v>2</v>
      </c>
      <c r="L7" s="19">
        <f t="shared" si="4"/>
        <v>1017.8760197630929</v>
      </c>
      <c r="M7" s="7" t="str">
        <f t="shared" si="5"/>
        <v>OK</v>
      </c>
      <c r="N7" s="17">
        <f t="shared" si="6"/>
        <v>163.69309110906701</v>
      </c>
      <c r="O7" s="18">
        <f t="shared" si="7"/>
        <v>0.3300780725314752</v>
      </c>
      <c r="P7" s="7">
        <v>1.5</v>
      </c>
      <c r="Q7" s="88">
        <v>-39.910699999999999</v>
      </c>
      <c r="R7" s="7">
        <f t="shared" si="0"/>
        <v>248.17262712017225</v>
      </c>
      <c r="S7" s="61">
        <v>20</v>
      </c>
      <c r="T7" s="61">
        <v>2</v>
      </c>
      <c r="U7" s="61">
        <v>18</v>
      </c>
      <c r="V7" s="61">
        <v>0</v>
      </c>
      <c r="W7" s="19">
        <f t="shared" si="8"/>
        <v>628.31853071795865</v>
      </c>
      <c r="X7" s="7" t="str">
        <f t="shared" si="9"/>
        <v>OK</v>
      </c>
      <c r="Y7" s="17">
        <f t="shared" si="1"/>
        <v>-101.04511796855988</v>
      </c>
      <c r="Z7" s="18">
        <f t="shared" si="10"/>
        <v>0.39497900346277182</v>
      </c>
    </row>
    <row r="8" spans="1:28" x14ac:dyDescent="0.25">
      <c r="A8" s="6" t="s">
        <v>10</v>
      </c>
      <c r="B8" s="7">
        <v>2</v>
      </c>
      <c r="C8" s="85">
        <v>16.858000000000001</v>
      </c>
      <c r="D8" s="7">
        <v>300</v>
      </c>
      <c r="E8" s="61">
        <v>500</v>
      </c>
      <c r="F8" s="7">
        <f t="shared" si="2"/>
        <v>457</v>
      </c>
      <c r="G8" s="7">
        <f t="shared" si="3"/>
        <v>104.82637858999877</v>
      </c>
      <c r="H8" s="61">
        <v>18</v>
      </c>
      <c r="I8" s="61">
        <v>2</v>
      </c>
      <c r="J8" s="61">
        <v>18</v>
      </c>
      <c r="K8" s="61">
        <v>2</v>
      </c>
      <c r="L8" s="19">
        <f t="shared" si="4"/>
        <v>1017.8760197630929</v>
      </c>
      <c r="M8" s="7" t="str">
        <f t="shared" si="5"/>
        <v>OK</v>
      </c>
      <c r="N8" s="17">
        <f t="shared" si="6"/>
        <v>163.69309110906701</v>
      </c>
      <c r="O8" s="18">
        <f t="shared" si="7"/>
        <v>0.10298540937667118</v>
      </c>
      <c r="P8" s="7">
        <v>2</v>
      </c>
      <c r="Q8" s="88">
        <v>-2.7000000000000001E-3</v>
      </c>
      <c r="R8" s="7">
        <f t="shared" si="0"/>
        <v>1.6789134072428321E-2</v>
      </c>
      <c r="S8" s="61">
        <v>20</v>
      </c>
      <c r="T8" s="61">
        <v>2</v>
      </c>
      <c r="U8" s="61">
        <v>18</v>
      </c>
      <c r="V8" s="61">
        <v>0</v>
      </c>
      <c r="W8" s="19">
        <f t="shared" si="8"/>
        <v>628.31853071795865</v>
      </c>
      <c r="X8" s="7" t="str">
        <f t="shared" si="9"/>
        <v>OK</v>
      </c>
      <c r="Y8" s="17">
        <f t="shared" si="1"/>
        <v>-101.04511796855988</v>
      </c>
      <c r="Z8" s="18">
        <f t="shared" si="10"/>
        <v>2.6720736778595313E-5</v>
      </c>
      <c r="AB8" s="12">
        <f>PI()*18^2/4</f>
        <v>254.46900494077323</v>
      </c>
    </row>
    <row r="9" spans="1:28" x14ac:dyDescent="0.25">
      <c r="A9" s="6" t="s">
        <v>10</v>
      </c>
      <c r="B9" s="7">
        <v>2.5</v>
      </c>
      <c r="C9" s="85">
        <v>37.1008</v>
      </c>
      <c r="D9" s="7">
        <v>300</v>
      </c>
      <c r="E9" s="61">
        <v>500</v>
      </c>
      <c r="F9" s="7">
        <f t="shared" si="2"/>
        <v>457</v>
      </c>
      <c r="G9" s="7">
        <f t="shared" si="3"/>
        <v>230.70011310901805</v>
      </c>
      <c r="H9" s="61">
        <v>18</v>
      </c>
      <c r="I9" s="61">
        <v>2</v>
      </c>
      <c r="J9" s="61">
        <v>18</v>
      </c>
      <c r="K9" s="61">
        <v>2</v>
      </c>
      <c r="L9" s="19">
        <f t="shared" si="4"/>
        <v>1017.8760197630929</v>
      </c>
      <c r="M9" s="7" t="str">
        <f t="shared" si="5"/>
        <v>OK</v>
      </c>
      <c r="N9" s="17">
        <f t="shared" si="6"/>
        <v>163.69309110906701</v>
      </c>
      <c r="O9" s="18">
        <f t="shared" si="7"/>
        <v>0.22664853934049128</v>
      </c>
      <c r="P9" s="7">
        <v>2.5</v>
      </c>
      <c r="Q9" s="88">
        <v>-23.130500000000001</v>
      </c>
      <c r="R9" s="7">
        <f t="shared" si="0"/>
        <v>143.8300243193716</v>
      </c>
      <c r="S9" s="61">
        <v>18</v>
      </c>
      <c r="T9" s="61">
        <v>2</v>
      </c>
      <c r="U9" s="61">
        <v>18</v>
      </c>
      <c r="V9" s="61">
        <v>0</v>
      </c>
      <c r="W9" s="19">
        <f t="shared" si="8"/>
        <v>508.93800988154646</v>
      </c>
      <c r="X9" s="7" t="str">
        <f t="shared" si="9"/>
        <v>OK</v>
      </c>
      <c r="Y9" s="17">
        <f t="shared" si="1"/>
        <v>-81.846545554533506</v>
      </c>
      <c r="Z9" s="18">
        <f t="shared" si="10"/>
        <v>0.28260813994389522</v>
      </c>
    </row>
    <row r="10" spans="1:28" x14ac:dyDescent="0.25">
      <c r="A10" s="6" t="s">
        <v>10</v>
      </c>
      <c r="B10" s="7">
        <v>3</v>
      </c>
      <c r="C10" s="85">
        <v>71.390900000000002</v>
      </c>
      <c r="D10" s="7">
        <v>300</v>
      </c>
      <c r="E10" s="61">
        <v>500</v>
      </c>
      <c r="F10" s="7">
        <f t="shared" si="2"/>
        <v>457</v>
      </c>
      <c r="G10" s="7">
        <f t="shared" si="3"/>
        <v>443.92273764863819</v>
      </c>
      <c r="H10" s="61">
        <v>18</v>
      </c>
      <c r="I10" s="61">
        <v>2</v>
      </c>
      <c r="J10" s="61">
        <v>18</v>
      </c>
      <c r="K10" s="61">
        <v>2</v>
      </c>
      <c r="L10" s="19">
        <f t="shared" si="4"/>
        <v>1017.8760197630929</v>
      </c>
      <c r="M10" s="7" t="str">
        <f t="shared" si="5"/>
        <v>OK</v>
      </c>
      <c r="N10" s="17">
        <f t="shared" si="6"/>
        <v>163.69309110906701</v>
      </c>
      <c r="O10" s="18">
        <f t="shared" si="7"/>
        <v>0.4361265311584408</v>
      </c>
      <c r="P10" s="7">
        <v>3</v>
      </c>
      <c r="Q10" s="88">
        <v>-65.9251</v>
      </c>
      <c r="R10" s="7">
        <f t="shared" si="0"/>
        <v>409.93531208823867</v>
      </c>
      <c r="S10" s="61">
        <v>18</v>
      </c>
      <c r="T10" s="61">
        <v>2</v>
      </c>
      <c r="U10" s="61">
        <v>18</v>
      </c>
      <c r="V10" s="61">
        <v>0</v>
      </c>
      <c r="W10" s="19">
        <f t="shared" si="8"/>
        <v>508.93800988154646</v>
      </c>
      <c r="X10" s="7" t="str">
        <f t="shared" si="9"/>
        <v>OK</v>
      </c>
      <c r="Y10" s="17">
        <f t="shared" si="1"/>
        <v>-81.846545554533506</v>
      </c>
      <c r="Z10" s="18">
        <f t="shared" si="10"/>
        <v>0.80547199094767885</v>
      </c>
    </row>
    <row r="11" spans="1:28" x14ac:dyDescent="0.25">
      <c r="A11" s="6" t="s">
        <v>10</v>
      </c>
      <c r="B11" s="7">
        <v>3.5</v>
      </c>
      <c r="C11" s="85">
        <v>102.8717</v>
      </c>
      <c r="D11" s="7">
        <v>300</v>
      </c>
      <c r="E11" s="61">
        <v>500</v>
      </c>
      <c r="F11" s="7">
        <f t="shared" si="2"/>
        <v>457</v>
      </c>
      <c r="G11" s="7">
        <f t="shared" si="3"/>
        <v>639.67657909578691</v>
      </c>
      <c r="H11" s="61">
        <v>18</v>
      </c>
      <c r="I11" s="61">
        <v>2</v>
      </c>
      <c r="J11" s="61">
        <v>18</v>
      </c>
      <c r="K11" s="61">
        <v>2</v>
      </c>
      <c r="L11" s="19">
        <f t="shared" si="4"/>
        <v>1017.8760197630929</v>
      </c>
      <c r="M11" s="7" t="str">
        <f t="shared" si="5"/>
        <v>OK</v>
      </c>
      <c r="N11" s="17">
        <f t="shared" si="6"/>
        <v>163.69309110906701</v>
      </c>
      <c r="O11" s="18">
        <f t="shared" si="7"/>
        <v>0.62844252804449552</v>
      </c>
      <c r="P11" s="7">
        <v>3.5</v>
      </c>
      <c r="Q11" s="88">
        <v>-111.52979999999999</v>
      </c>
      <c r="R11" s="7">
        <f t="shared" si="0"/>
        <v>693.51435750782082</v>
      </c>
      <c r="S11" s="61">
        <v>18</v>
      </c>
      <c r="T11" s="61">
        <v>2</v>
      </c>
      <c r="U11" s="61">
        <v>18</v>
      </c>
      <c r="V11" s="61">
        <v>2</v>
      </c>
      <c r="W11" s="19">
        <f t="shared" si="8"/>
        <v>1017.8760197630929</v>
      </c>
      <c r="X11" s="7" t="str">
        <f t="shared" si="9"/>
        <v>OK</v>
      </c>
      <c r="Y11" s="17">
        <f t="shared" si="1"/>
        <v>-163.69309110906701</v>
      </c>
      <c r="Z11" s="18">
        <f t="shared" si="10"/>
        <v>0.68133480310228145</v>
      </c>
    </row>
    <row r="12" spans="1:28" x14ac:dyDescent="0.25">
      <c r="A12" s="6" t="s">
        <v>10</v>
      </c>
      <c r="B12" s="7">
        <v>4</v>
      </c>
      <c r="C12" s="85">
        <v>131.5428</v>
      </c>
      <c r="D12" s="7">
        <v>300</v>
      </c>
      <c r="E12" s="61">
        <v>500</v>
      </c>
      <c r="F12" s="7">
        <f t="shared" si="2"/>
        <v>457</v>
      </c>
      <c r="G12" s="7">
        <f t="shared" si="3"/>
        <v>817.95915017134234</v>
      </c>
      <c r="H12" s="61">
        <v>18</v>
      </c>
      <c r="I12" s="61">
        <v>2</v>
      </c>
      <c r="J12" s="61">
        <v>18</v>
      </c>
      <c r="K12" s="61">
        <v>2</v>
      </c>
      <c r="L12" s="19">
        <f t="shared" si="4"/>
        <v>1017.8760197630929</v>
      </c>
      <c r="M12" s="7" t="str">
        <f t="shared" si="5"/>
        <v>OK</v>
      </c>
      <c r="N12" s="17">
        <f t="shared" si="6"/>
        <v>163.69309110906701</v>
      </c>
      <c r="O12" s="18">
        <f t="shared" si="7"/>
        <v>0.80359408640132768</v>
      </c>
      <c r="P12" s="7">
        <v>4</v>
      </c>
      <c r="Q12" s="88">
        <v>-159.9442</v>
      </c>
      <c r="R12" s="7">
        <f t="shared" si="0"/>
        <v>994.56467329899635</v>
      </c>
      <c r="S12" s="61">
        <v>18</v>
      </c>
      <c r="T12" s="61">
        <v>2</v>
      </c>
      <c r="U12" s="61">
        <v>18</v>
      </c>
      <c r="V12" s="61">
        <v>2</v>
      </c>
      <c r="W12" s="19">
        <f t="shared" si="8"/>
        <v>1017.8760197630929</v>
      </c>
      <c r="X12" s="7" t="str">
        <f t="shared" si="9"/>
        <v>OK</v>
      </c>
      <c r="Y12" s="17">
        <f t="shared" si="1"/>
        <v>-163.69309110906701</v>
      </c>
      <c r="Z12" s="18">
        <f t="shared" si="10"/>
        <v>0.97709804925994603</v>
      </c>
    </row>
    <row r="13" spans="1:28" x14ac:dyDescent="0.25">
      <c r="A13" s="6" t="s">
        <v>13</v>
      </c>
      <c r="B13" s="7">
        <v>4</v>
      </c>
      <c r="C13" s="85">
        <v>122.6417</v>
      </c>
      <c r="D13" s="7">
        <v>300</v>
      </c>
      <c r="E13" s="61">
        <v>500</v>
      </c>
      <c r="F13" s="7">
        <f t="shared" si="2"/>
        <v>457</v>
      </c>
      <c r="G13" s="7">
        <f t="shared" ref="G13:G42" si="11">ABS(C13)*1000^2/(0.9*391*F13)</f>
        <v>762.6103496927899</v>
      </c>
      <c r="H13" s="61">
        <v>18</v>
      </c>
      <c r="I13" s="61">
        <v>2</v>
      </c>
      <c r="J13" s="61">
        <v>18</v>
      </c>
      <c r="K13" s="61">
        <v>2</v>
      </c>
      <c r="L13" s="19">
        <f t="shared" ref="L13:L42" si="12">PI()*(H13^2/4*I13+J13^2/4*K13)</f>
        <v>1017.8760197630929</v>
      </c>
      <c r="M13" s="7" t="str">
        <f t="shared" ref="M13:M42" si="13">IF(L13&gt;=G13,"OK","NO")</f>
        <v>OK</v>
      </c>
      <c r="N13" s="17">
        <f t="shared" ref="N13:N42" si="14">(L13*0.9*391*F13)/1000^2</f>
        <v>163.69309110906701</v>
      </c>
      <c r="O13" s="18">
        <f t="shared" ref="O13:O42" si="15">C13/N13</f>
        <v>0.74921732596695301</v>
      </c>
      <c r="P13" s="7">
        <v>4</v>
      </c>
      <c r="Q13" s="88">
        <v>-152.5017</v>
      </c>
      <c r="R13" s="7">
        <f t="shared" si="0"/>
        <v>948.28573613823789</v>
      </c>
      <c r="S13" s="61">
        <v>18</v>
      </c>
      <c r="T13" s="61">
        <v>2</v>
      </c>
      <c r="U13" s="61">
        <v>18</v>
      </c>
      <c r="V13" s="61">
        <v>2</v>
      </c>
      <c r="W13" s="19">
        <f t="shared" si="8"/>
        <v>1017.8760197630929</v>
      </c>
      <c r="X13" s="7" t="str">
        <f t="shared" si="9"/>
        <v>OK</v>
      </c>
      <c r="Y13" s="17">
        <f t="shared" si="1"/>
        <v>-163.69309110906701</v>
      </c>
      <c r="Z13" s="18">
        <f t="shared" si="10"/>
        <v>0.93163186648109475</v>
      </c>
    </row>
    <row r="14" spans="1:28" x14ac:dyDescent="0.25">
      <c r="A14" s="6" t="s">
        <v>13</v>
      </c>
      <c r="B14" s="7">
        <v>4.5</v>
      </c>
      <c r="C14" s="85">
        <v>97.337400000000002</v>
      </c>
      <c r="D14" s="7">
        <v>300</v>
      </c>
      <c r="E14" s="61">
        <v>500</v>
      </c>
      <c r="F14" s="7">
        <f t="shared" si="2"/>
        <v>457</v>
      </c>
      <c r="G14" s="7">
        <f t="shared" si="11"/>
        <v>605.26320698577206</v>
      </c>
      <c r="H14" s="61">
        <v>18</v>
      </c>
      <c r="I14" s="61">
        <v>2</v>
      </c>
      <c r="J14" s="61">
        <v>14</v>
      </c>
      <c r="K14" s="61">
        <v>2</v>
      </c>
      <c r="L14" s="19">
        <f t="shared" si="12"/>
        <v>816.81408993334617</v>
      </c>
      <c r="M14" s="7" t="str">
        <f t="shared" si="13"/>
        <v>OK</v>
      </c>
      <c r="N14" s="17">
        <f t="shared" si="14"/>
        <v>131.35865335912786</v>
      </c>
      <c r="O14" s="18">
        <f t="shared" si="15"/>
        <v>0.7410048558726049</v>
      </c>
      <c r="P14" s="7">
        <v>4.5</v>
      </c>
      <c r="Q14" s="88">
        <v>-107.92010000000001</v>
      </c>
      <c r="R14" s="7">
        <f t="shared" si="0"/>
        <v>671.06852889254515</v>
      </c>
      <c r="S14" s="61">
        <v>18</v>
      </c>
      <c r="T14" s="61">
        <v>2</v>
      </c>
      <c r="U14" s="61">
        <v>18</v>
      </c>
      <c r="V14" s="61">
        <v>2</v>
      </c>
      <c r="W14" s="19">
        <f t="shared" si="8"/>
        <v>1017.8760197630929</v>
      </c>
      <c r="X14" s="7" t="str">
        <f t="shared" si="9"/>
        <v>OK</v>
      </c>
      <c r="Y14" s="17">
        <f t="shared" si="1"/>
        <v>-163.69309110906701</v>
      </c>
      <c r="Z14" s="18">
        <f t="shared" si="10"/>
        <v>0.65928316991762326</v>
      </c>
    </row>
    <row r="15" spans="1:28" x14ac:dyDescent="0.25">
      <c r="A15" s="6" t="s">
        <v>13</v>
      </c>
      <c r="B15" s="7">
        <v>5</v>
      </c>
      <c r="C15" s="85">
        <v>69.223500000000001</v>
      </c>
      <c r="D15" s="7">
        <v>300</v>
      </c>
      <c r="E15" s="61">
        <v>500</v>
      </c>
      <c r="F15" s="7">
        <f t="shared" si="2"/>
        <v>457</v>
      </c>
      <c r="G15" s="7">
        <f t="shared" si="11"/>
        <v>430.44541572694146</v>
      </c>
      <c r="H15" s="61">
        <v>18</v>
      </c>
      <c r="I15" s="61">
        <v>2</v>
      </c>
      <c r="J15" s="61">
        <v>14</v>
      </c>
      <c r="K15" s="61">
        <v>2</v>
      </c>
      <c r="L15" s="19">
        <f t="shared" si="12"/>
        <v>816.81408993334617</v>
      </c>
      <c r="M15" s="7" t="str">
        <f t="shared" si="13"/>
        <v>OK</v>
      </c>
      <c r="N15" s="17">
        <f t="shared" si="14"/>
        <v>131.35865335912786</v>
      </c>
      <c r="O15" s="18">
        <f t="shared" si="15"/>
        <v>0.52698088957068157</v>
      </c>
      <c r="P15" s="7">
        <v>5</v>
      </c>
      <c r="Q15" s="88">
        <v>-66.148099999999999</v>
      </c>
      <c r="R15" s="7">
        <f t="shared" si="0"/>
        <v>411.32197019866516</v>
      </c>
      <c r="S15" s="61">
        <v>18</v>
      </c>
      <c r="T15" s="61">
        <v>2</v>
      </c>
      <c r="U15" s="61">
        <v>18</v>
      </c>
      <c r="V15" s="61">
        <v>0</v>
      </c>
      <c r="W15" s="19">
        <f t="shared" si="8"/>
        <v>508.93800988154646</v>
      </c>
      <c r="X15" s="7" t="str">
        <f t="shared" si="9"/>
        <v>OK</v>
      </c>
      <c r="Y15" s="17">
        <f t="shared" si="1"/>
        <v>-81.846545554533506</v>
      </c>
      <c r="Z15" s="18">
        <f t="shared" si="10"/>
        <v>0.80819660196808429</v>
      </c>
    </row>
    <row r="16" spans="1:28" x14ac:dyDescent="0.25">
      <c r="A16" s="6" t="s">
        <v>13</v>
      </c>
      <c r="B16" s="7">
        <v>5.5</v>
      </c>
      <c r="C16" s="85">
        <v>38.299900000000001</v>
      </c>
      <c r="D16" s="7">
        <v>300</v>
      </c>
      <c r="E16" s="61">
        <v>500</v>
      </c>
      <c r="F16" s="7">
        <f t="shared" si="2"/>
        <v>457</v>
      </c>
      <c r="G16" s="7">
        <f t="shared" si="11"/>
        <v>238.15635409651759</v>
      </c>
      <c r="H16" s="61">
        <v>18</v>
      </c>
      <c r="I16" s="61">
        <v>2</v>
      </c>
      <c r="J16" s="61">
        <v>14</v>
      </c>
      <c r="K16" s="61">
        <v>2</v>
      </c>
      <c r="L16" s="19">
        <f t="shared" si="12"/>
        <v>816.81408993334617</v>
      </c>
      <c r="M16" s="7" t="str">
        <f t="shared" si="13"/>
        <v>OK</v>
      </c>
      <c r="N16" s="17">
        <f t="shared" si="14"/>
        <v>131.35865335912786</v>
      </c>
      <c r="O16" s="18">
        <f t="shared" si="15"/>
        <v>0.29156739217849642</v>
      </c>
      <c r="P16" s="7">
        <v>5.5</v>
      </c>
      <c r="Q16" s="88">
        <v>-27.186</v>
      </c>
      <c r="R16" s="7">
        <f t="shared" si="0"/>
        <v>169.0479255159394</v>
      </c>
      <c r="S16" s="61">
        <v>18</v>
      </c>
      <c r="T16" s="61">
        <v>2</v>
      </c>
      <c r="U16" s="61">
        <v>18</v>
      </c>
      <c r="V16" s="61">
        <v>0</v>
      </c>
      <c r="W16" s="19">
        <f t="shared" si="8"/>
        <v>508.93800988154646</v>
      </c>
      <c r="X16" s="7" t="str">
        <f t="shared" si="9"/>
        <v>OK</v>
      </c>
      <c r="Y16" s="17">
        <f t="shared" si="1"/>
        <v>-81.846545554533506</v>
      </c>
      <c r="Z16" s="18">
        <f t="shared" si="10"/>
        <v>0.33215818475669506</v>
      </c>
    </row>
    <row r="17" spans="1:26" x14ac:dyDescent="0.25">
      <c r="A17" s="6" t="s">
        <v>13</v>
      </c>
      <c r="B17" s="7">
        <v>6</v>
      </c>
      <c r="C17" s="85">
        <v>8.9707000000000008</v>
      </c>
      <c r="D17" s="7">
        <v>300</v>
      </c>
      <c r="E17" s="61">
        <v>500</v>
      </c>
      <c r="F17" s="7">
        <f t="shared" si="2"/>
        <v>457</v>
      </c>
      <c r="G17" s="7">
        <f t="shared" si="11"/>
        <v>55.781587045752872</v>
      </c>
      <c r="H17" s="61">
        <v>18</v>
      </c>
      <c r="I17" s="61">
        <v>2</v>
      </c>
      <c r="J17" s="61">
        <v>14</v>
      </c>
      <c r="K17" s="61">
        <v>2</v>
      </c>
      <c r="L17" s="19">
        <f t="shared" si="12"/>
        <v>816.81408993334617</v>
      </c>
      <c r="M17" s="7" t="str">
        <f t="shared" si="13"/>
        <v>OK</v>
      </c>
      <c r="N17" s="17">
        <f t="shared" si="14"/>
        <v>131.35865335912786</v>
      </c>
      <c r="O17" s="18">
        <f t="shared" si="15"/>
        <v>6.8291656244941587E-2</v>
      </c>
      <c r="P17" s="7">
        <v>6</v>
      </c>
      <c r="Q17" s="88">
        <v>4.5621999999999998</v>
      </c>
      <c r="R17" s="7">
        <f t="shared" si="0"/>
        <v>28.368662024160184</v>
      </c>
      <c r="S17" s="61">
        <v>18</v>
      </c>
      <c r="T17" s="61">
        <v>2</v>
      </c>
      <c r="U17" s="61">
        <v>18</v>
      </c>
      <c r="V17" s="61">
        <v>0</v>
      </c>
      <c r="W17" s="19">
        <f t="shared" si="8"/>
        <v>508.93800988154646</v>
      </c>
      <c r="X17" s="7" t="str">
        <f t="shared" si="9"/>
        <v>OK</v>
      </c>
      <c r="Y17" s="17">
        <f t="shared" si="1"/>
        <v>-81.846545554533506</v>
      </c>
      <c r="Z17" s="18">
        <f t="shared" si="10"/>
        <v>-5.5740898642573172E-2</v>
      </c>
    </row>
    <row r="18" spans="1:26" x14ac:dyDescent="0.25">
      <c r="A18" s="6" t="s">
        <v>13</v>
      </c>
      <c r="B18" s="7">
        <v>6.5</v>
      </c>
      <c r="C18" s="85">
        <v>42.309800000000003</v>
      </c>
      <c r="D18" s="7">
        <v>300</v>
      </c>
      <c r="E18" s="61">
        <v>500</v>
      </c>
      <c r="F18" s="7">
        <f t="shared" si="2"/>
        <v>457</v>
      </c>
      <c r="G18" s="7">
        <f t="shared" si="11"/>
        <v>263.0907054731955</v>
      </c>
      <c r="H18" s="61">
        <v>18</v>
      </c>
      <c r="I18" s="61">
        <v>2</v>
      </c>
      <c r="J18" s="61">
        <v>14</v>
      </c>
      <c r="K18" s="61">
        <v>2</v>
      </c>
      <c r="L18" s="19">
        <f t="shared" si="12"/>
        <v>816.81408993334617</v>
      </c>
      <c r="M18" s="7" t="str">
        <f t="shared" si="13"/>
        <v>OK</v>
      </c>
      <c r="N18" s="17">
        <f t="shared" si="14"/>
        <v>131.35865335912786</v>
      </c>
      <c r="O18" s="18">
        <f t="shared" si="15"/>
        <v>0.32209374044302336</v>
      </c>
      <c r="P18" s="7">
        <v>6.5</v>
      </c>
      <c r="Q18" s="88">
        <v>-31.9772</v>
      </c>
      <c r="R18" s="7">
        <f t="shared" si="0"/>
        <v>198.84055483735369</v>
      </c>
      <c r="S18" s="61">
        <v>18</v>
      </c>
      <c r="T18" s="61">
        <v>2</v>
      </c>
      <c r="U18" s="61">
        <v>18</v>
      </c>
      <c r="V18" s="61">
        <v>0</v>
      </c>
      <c r="W18" s="19">
        <f t="shared" si="8"/>
        <v>508.93800988154646</v>
      </c>
      <c r="X18" s="7" t="str">
        <f t="shared" si="9"/>
        <v>OK</v>
      </c>
      <c r="Y18" s="17">
        <f t="shared" si="1"/>
        <v>-81.846545554533506</v>
      </c>
      <c r="Z18" s="18">
        <f t="shared" si="10"/>
        <v>0.39069700233950527</v>
      </c>
    </row>
    <row r="19" spans="1:26" x14ac:dyDescent="0.25">
      <c r="A19" s="6" t="s">
        <v>13</v>
      </c>
      <c r="B19" s="7">
        <v>7</v>
      </c>
      <c r="C19" s="85">
        <v>72.842799999999997</v>
      </c>
      <c r="D19" s="7">
        <v>300</v>
      </c>
      <c r="E19" s="61">
        <v>500</v>
      </c>
      <c r="F19" s="7">
        <f t="shared" si="2"/>
        <v>457</v>
      </c>
      <c r="G19" s="7">
        <f t="shared" si="11"/>
        <v>452.9509390411414</v>
      </c>
      <c r="H19" s="61">
        <v>18</v>
      </c>
      <c r="I19" s="61">
        <v>2</v>
      </c>
      <c r="J19" s="61">
        <v>14</v>
      </c>
      <c r="K19" s="61">
        <v>2</v>
      </c>
      <c r="L19" s="19">
        <f t="shared" si="12"/>
        <v>816.81408993334617</v>
      </c>
      <c r="M19" s="7" t="str">
        <f t="shared" si="13"/>
        <v>OK</v>
      </c>
      <c r="N19" s="17">
        <f t="shared" si="14"/>
        <v>131.35865335912786</v>
      </c>
      <c r="O19" s="18">
        <f t="shared" si="15"/>
        <v>0.55453369943471864</v>
      </c>
      <c r="P19" s="7">
        <v>7</v>
      </c>
      <c r="Q19" s="88">
        <v>-71.33</v>
      </c>
      <c r="R19" s="7">
        <f t="shared" si="0"/>
        <v>443.54404940233786</v>
      </c>
      <c r="S19" s="61">
        <v>18</v>
      </c>
      <c r="T19" s="61">
        <v>2</v>
      </c>
      <c r="U19" s="61">
        <v>18</v>
      </c>
      <c r="V19" s="61">
        <v>0</v>
      </c>
      <c r="W19" s="19">
        <f t="shared" si="8"/>
        <v>508.93800988154646</v>
      </c>
      <c r="X19" s="7" t="str">
        <f t="shared" si="9"/>
        <v>OK</v>
      </c>
      <c r="Y19" s="17">
        <f t="shared" si="1"/>
        <v>-81.846545554533506</v>
      </c>
      <c r="Z19" s="18">
        <f t="shared" si="10"/>
        <v>0.87150898693059142</v>
      </c>
    </row>
    <row r="20" spans="1:26" x14ac:dyDescent="0.25">
      <c r="A20" s="6" t="s">
        <v>13</v>
      </c>
      <c r="B20" s="7">
        <v>7.5</v>
      </c>
      <c r="C20" s="85">
        <v>100.56610000000001</v>
      </c>
      <c r="D20" s="7">
        <v>300</v>
      </c>
      <c r="E20" s="61">
        <v>500</v>
      </c>
      <c r="F20" s="7">
        <f t="shared" si="2"/>
        <v>457</v>
      </c>
      <c r="G20" s="7">
        <f t="shared" si="11"/>
        <v>625.33990223749402</v>
      </c>
      <c r="H20" s="61">
        <v>18</v>
      </c>
      <c r="I20" s="61">
        <v>2</v>
      </c>
      <c r="J20" s="61">
        <v>14</v>
      </c>
      <c r="K20" s="61">
        <v>2</v>
      </c>
      <c r="L20" s="19">
        <f t="shared" si="12"/>
        <v>816.81408993334617</v>
      </c>
      <c r="M20" s="7" t="str">
        <f t="shared" si="13"/>
        <v>OK</v>
      </c>
      <c r="N20" s="17">
        <f t="shared" si="14"/>
        <v>131.35865335912786</v>
      </c>
      <c r="O20" s="18">
        <f t="shared" si="15"/>
        <v>0.76558412733615211</v>
      </c>
      <c r="P20" s="7">
        <v>7.5</v>
      </c>
      <c r="Q20" s="88">
        <v>-113.4926</v>
      </c>
      <c r="R20" s="7">
        <f t="shared" si="0"/>
        <v>705.71943615869577</v>
      </c>
      <c r="S20" s="61">
        <v>18</v>
      </c>
      <c r="T20" s="61">
        <v>2</v>
      </c>
      <c r="U20" s="61">
        <v>18</v>
      </c>
      <c r="V20" s="61">
        <v>2</v>
      </c>
      <c r="W20" s="19">
        <f t="shared" si="8"/>
        <v>1017.8760197630929</v>
      </c>
      <c r="X20" s="7" t="str">
        <f t="shared" si="9"/>
        <v>OK</v>
      </c>
      <c r="Y20" s="17">
        <f t="shared" si="1"/>
        <v>-163.69309110906701</v>
      </c>
      <c r="Z20" s="18">
        <f t="shared" si="10"/>
        <v>0.69332553518939322</v>
      </c>
    </row>
    <row r="21" spans="1:26" x14ac:dyDescent="0.25">
      <c r="A21" s="6" t="s">
        <v>13</v>
      </c>
      <c r="B21" s="7">
        <v>8</v>
      </c>
      <c r="C21" s="85">
        <v>125.47969999999999</v>
      </c>
      <c r="D21" s="7">
        <v>300</v>
      </c>
      <c r="E21" s="61">
        <v>500</v>
      </c>
      <c r="F21" s="7">
        <f t="shared" si="2"/>
        <v>457</v>
      </c>
      <c r="G21" s="7">
        <f t="shared" si="11"/>
        <v>780.25759506225336</v>
      </c>
      <c r="H21" s="61">
        <v>18</v>
      </c>
      <c r="I21" s="61">
        <v>2</v>
      </c>
      <c r="J21" s="61">
        <v>14</v>
      </c>
      <c r="K21" s="61">
        <v>2</v>
      </c>
      <c r="L21" s="19">
        <f t="shared" si="12"/>
        <v>816.81408993334617</v>
      </c>
      <c r="M21" s="7" t="str">
        <f t="shared" si="13"/>
        <v>OK</v>
      </c>
      <c r="N21" s="17">
        <f t="shared" si="14"/>
        <v>131.35865335912786</v>
      </c>
      <c r="O21" s="18">
        <f t="shared" si="15"/>
        <v>0.9552450241473236</v>
      </c>
      <c r="P21" s="7">
        <v>8</v>
      </c>
      <c r="Q21" s="88">
        <v>-158.4649</v>
      </c>
      <c r="R21" s="7">
        <f t="shared" si="0"/>
        <v>985.36609328664701</v>
      </c>
      <c r="S21" s="61">
        <v>18</v>
      </c>
      <c r="T21" s="61">
        <v>2</v>
      </c>
      <c r="U21" s="61">
        <v>18</v>
      </c>
      <c r="V21" s="61">
        <v>2</v>
      </c>
      <c r="W21" s="19">
        <f t="shared" si="8"/>
        <v>1017.8760197630929</v>
      </c>
      <c r="X21" s="7" t="str">
        <f t="shared" si="9"/>
        <v>OK</v>
      </c>
      <c r="Y21" s="17">
        <f t="shared" si="1"/>
        <v>-163.69309110906701</v>
      </c>
      <c r="Z21" s="18">
        <f t="shared" si="10"/>
        <v>0.96806101544271328</v>
      </c>
    </row>
    <row r="22" spans="1:26" x14ac:dyDescent="0.25">
      <c r="A22" s="6" t="s">
        <v>14</v>
      </c>
      <c r="B22" s="7">
        <v>8</v>
      </c>
      <c r="C22" s="85">
        <v>83.171300000000002</v>
      </c>
      <c r="D22" s="7">
        <v>300</v>
      </c>
      <c r="E22" s="61">
        <v>500</v>
      </c>
      <c r="F22" s="7">
        <f t="shared" si="2"/>
        <v>457</v>
      </c>
      <c r="G22" s="7">
        <f t="shared" si="11"/>
        <v>517.17559506598434</v>
      </c>
      <c r="H22" s="61">
        <v>18</v>
      </c>
      <c r="I22" s="61">
        <v>2</v>
      </c>
      <c r="J22" s="61">
        <v>14</v>
      </c>
      <c r="K22" s="61">
        <v>2</v>
      </c>
      <c r="L22" s="19">
        <f t="shared" si="12"/>
        <v>816.81408993334617</v>
      </c>
      <c r="M22" s="7" t="str">
        <f t="shared" si="13"/>
        <v>OK</v>
      </c>
      <c r="N22" s="17">
        <f t="shared" si="14"/>
        <v>131.35865335912786</v>
      </c>
      <c r="O22" s="18">
        <f t="shared" si="15"/>
        <v>0.63316194154802963</v>
      </c>
      <c r="P22" s="7">
        <v>8</v>
      </c>
      <c r="Q22" s="88">
        <v>-137.6884</v>
      </c>
      <c r="R22" s="7">
        <f t="shared" si="0"/>
        <v>856.173706599311</v>
      </c>
      <c r="S22" s="61">
        <v>18</v>
      </c>
      <c r="T22" s="61">
        <v>2</v>
      </c>
      <c r="U22" s="61">
        <v>18</v>
      </c>
      <c r="V22" s="61">
        <v>2</v>
      </c>
      <c r="W22" s="19">
        <f t="shared" si="8"/>
        <v>1017.8760197630929</v>
      </c>
      <c r="X22" s="7" t="str">
        <f t="shared" si="9"/>
        <v>OK</v>
      </c>
      <c r="Y22" s="17">
        <f t="shared" si="1"/>
        <v>-163.69309110906701</v>
      </c>
      <c r="Z22" s="18">
        <f t="shared" si="10"/>
        <v>0.84113751574438556</v>
      </c>
    </row>
    <row r="23" spans="1:26" x14ac:dyDescent="0.25">
      <c r="A23" s="6" t="s">
        <v>14</v>
      </c>
      <c r="B23" s="7">
        <v>8.5</v>
      </c>
      <c r="C23" s="85">
        <v>77.221100000000007</v>
      </c>
      <c r="D23" s="7">
        <v>300</v>
      </c>
      <c r="E23" s="61">
        <v>500</v>
      </c>
      <c r="F23" s="7">
        <f t="shared" si="2"/>
        <v>457</v>
      </c>
      <c r="G23" s="7">
        <f t="shared" si="11"/>
        <v>480.1760744890351</v>
      </c>
      <c r="H23" s="61">
        <v>18</v>
      </c>
      <c r="I23" s="61">
        <v>2</v>
      </c>
      <c r="J23" s="61">
        <v>14</v>
      </c>
      <c r="K23" s="61">
        <v>2</v>
      </c>
      <c r="L23" s="19">
        <f t="shared" si="12"/>
        <v>816.81408993334617</v>
      </c>
      <c r="M23" s="7" t="str">
        <f t="shared" si="13"/>
        <v>OK</v>
      </c>
      <c r="N23" s="17">
        <f t="shared" si="14"/>
        <v>131.35865335912786</v>
      </c>
      <c r="O23" s="18">
        <f t="shared" si="15"/>
        <v>0.58786458314916989</v>
      </c>
      <c r="P23" s="7">
        <v>8.5</v>
      </c>
      <c r="Q23" s="88">
        <v>-103.6272</v>
      </c>
      <c r="R23" s="7">
        <f t="shared" si="0"/>
        <v>644.37442753716459</v>
      </c>
      <c r="S23" s="61">
        <v>18</v>
      </c>
      <c r="T23" s="61">
        <v>2</v>
      </c>
      <c r="U23" s="61">
        <v>18</v>
      </c>
      <c r="V23" s="61">
        <v>2</v>
      </c>
      <c r="W23" s="19">
        <f t="shared" si="8"/>
        <v>1017.8760197630929</v>
      </c>
      <c r="X23" s="7" t="str">
        <f t="shared" si="9"/>
        <v>OK</v>
      </c>
      <c r="Y23" s="17">
        <f t="shared" si="1"/>
        <v>-163.69309110906701</v>
      </c>
      <c r="Z23" s="18">
        <f t="shared" si="10"/>
        <v>0.63305787249722267</v>
      </c>
    </row>
    <row r="24" spans="1:26" x14ac:dyDescent="0.25">
      <c r="A24" s="6" t="s">
        <v>14</v>
      </c>
      <c r="B24" s="7">
        <v>9</v>
      </c>
      <c r="C24" s="85">
        <v>68.461100000000002</v>
      </c>
      <c r="D24" s="7">
        <v>300</v>
      </c>
      <c r="E24" s="61">
        <v>500</v>
      </c>
      <c r="F24" s="7">
        <f t="shared" si="2"/>
        <v>457</v>
      </c>
      <c r="G24" s="7">
        <f t="shared" si="11"/>
        <v>425.70466172071207</v>
      </c>
      <c r="H24" s="61">
        <v>18</v>
      </c>
      <c r="I24" s="61">
        <v>2</v>
      </c>
      <c r="J24" s="61">
        <v>14</v>
      </c>
      <c r="K24" s="61">
        <v>2</v>
      </c>
      <c r="L24" s="19">
        <f t="shared" si="12"/>
        <v>816.81408993334617</v>
      </c>
      <c r="M24" s="7" t="str">
        <f t="shared" si="13"/>
        <v>OK</v>
      </c>
      <c r="N24" s="17">
        <f t="shared" si="14"/>
        <v>131.35865335912786</v>
      </c>
      <c r="O24" s="18">
        <f t="shared" si="15"/>
        <v>0.52117693238549612</v>
      </c>
      <c r="P24" s="7">
        <v>9</v>
      </c>
      <c r="Q24" s="88">
        <v>-72.375799999999998</v>
      </c>
      <c r="R24" s="7">
        <f t="shared" si="0"/>
        <v>450.04704066639175</v>
      </c>
      <c r="S24" s="61">
        <v>18</v>
      </c>
      <c r="T24" s="61">
        <v>2</v>
      </c>
      <c r="U24" s="61">
        <v>18</v>
      </c>
      <c r="V24" s="61">
        <v>0</v>
      </c>
      <c r="W24" s="19">
        <f t="shared" si="8"/>
        <v>508.93800988154646</v>
      </c>
      <c r="X24" s="7" t="str">
        <f t="shared" si="9"/>
        <v>OK</v>
      </c>
      <c r="Y24" s="17">
        <f t="shared" si="1"/>
        <v>-81.846545554533506</v>
      </c>
      <c r="Z24" s="18">
        <f t="shared" si="10"/>
        <v>0.88428655735722839</v>
      </c>
    </row>
    <row r="25" spans="1:26" x14ac:dyDescent="0.25">
      <c r="A25" s="6" t="s">
        <v>14</v>
      </c>
      <c r="B25" s="7">
        <v>9.5</v>
      </c>
      <c r="C25" s="85">
        <v>56.891500000000001</v>
      </c>
      <c r="D25" s="7">
        <v>300</v>
      </c>
      <c r="E25" s="61">
        <v>500</v>
      </c>
      <c r="F25" s="7">
        <f t="shared" si="2"/>
        <v>457</v>
      </c>
      <c r="G25" s="7">
        <f t="shared" si="11"/>
        <v>353.76260040057628</v>
      </c>
      <c r="H25" s="61">
        <v>18</v>
      </c>
      <c r="I25" s="61">
        <v>2</v>
      </c>
      <c r="J25" s="61">
        <v>14</v>
      </c>
      <c r="K25" s="61">
        <v>2</v>
      </c>
      <c r="L25" s="19">
        <f t="shared" si="12"/>
        <v>816.81408993334617</v>
      </c>
      <c r="M25" s="7" t="str">
        <f t="shared" si="13"/>
        <v>OK</v>
      </c>
      <c r="N25" s="17">
        <f t="shared" si="14"/>
        <v>131.35865335912786</v>
      </c>
      <c r="O25" s="18">
        <f t="shared" si="15"/>
        <v>0.43310051180611253</v>
      </c>
      <c r="P25" s="7">
        <v>9.5</v>
      </c>
      <c r="Q25" s="88">
        <v>-43.934199999999997</v>
      </c>
      <c r="R25" s="7">
        <f t="shared" si="0"/>
        <v>273.19154598699276</v>
      </c>
      <c r="S25" s="61">
        <v>18</v>
      </c>
      <c r="T25" s="61">
        <v>2</v>
      </c>
      <c r="U25" s="61">
        <v>18</v>
      </c>
      <c r="V25" s="61">
        <v>0</v>
      </c>
      <c r="W25" s="19">
        <f t="shared" si="8"/>
        <v>508.93800988154646</v>
      </c>
      <c r="X25" s="7" t="str">
        <f t="shared" si="9"/>
        <v>OK</v>
      </c>
      <c r="Y25" s="17">
        <f t="shared" si="1"/>
        <v>-81.846545554533506</v>
      </c>
      <c r="Z25" s="18">
        <f t="shared" si="10"/>
        <v>0.53678746857712023</v>
      </c>
    </row>
    <row r="26" spans="1:26" x14ac:dyDescent="0.25">
      <c r="A26" s="6" t="s">
        <v>14</v>
      </c>
      <c r="B26" s="7">
        <v>10</v>
      </c>
      <c r="C26" s="85">
        <v>42.512099999999997</v>
      </c>
      <c r="D26" s="7">
        <v>300</v>
      </c>
      <c r="E26" s="61">
        <v>500</v>
      </c>
      <c r="F26" s="7">
        <f t="shared" si="2"/>
        <v>457</v>
      </c>
      <c r="G26" s="7">
        <f t="shared" si="11"/>
        <v>264.34864688906669</v>
      </c>
      <c r="H26" s="61">
        <v>18</v>
      </c>
      <c r="I26" s="61">
        <v>2</v>
      </c>
      <c r="J26" s="61">
        <v>14</v>
      </c>
      <c r="K26" s="61">
        <v>2</v>
      </c>
      <c r="L26" s="19">
        <f t="shared" si="12"/>
        <v>816.81408993334617</v>
      </c>
      <c r="M26" s="7" t="str">
        <f t="shared" si="13"/>
        <v>OK</v>
      </c>
      <c r="N26" s="17">
        <f t="shared" si="14"/>
        <v>131.35865335912786</v>
      </c>
      <c r="O26" s="18">
        <f t="shared" si="15"/>
        <v>0.32363379886191496</v>
      </c>
      <c r="P26" s="7">
        <v>10</v>
      </c>
      <c r="Q26" s="88">
        <v>-18.302199999999999</v>
      </c>
      <c r="R26" s="7">
        <f t="shared" si="0"/>
        <v>113.80669985940654</v>
      </c>
      <c r="S26" s="61">
        <v>18</v>
      </c>
      <c r="T26" s="61">
        <v>2</v>
      </c>
      <c r="U26" s="61">
        <v>18</v>
      </c>
      <c r="V26" s="61">
        <v>0</v>
      </c>
      <c r="W26" s="19">
        <f t="shared" si="8"/>
        <v>508.93800988154646</v>
      </c>
      <c r="X26" s="7" t="str">
        <f t="shared" si="9"/>
        <v>OK</v>
      </c>
      <c r="Y26" s="17">
        <f t="shared" si="1"/>
        <v>-81.846545554533506</v>
      </c>
      <c r="Z26" s="18">
        <f t="shared" si="10"/>
        <v>0.22361603505679337</v>
      </c>
    </row>
    <row r="27" spans="1:26" x14ac:dyDescent="0.25">
      <c r="A27" s="6" t="s">
        <v>14</v>
      </c>
      <c r="B27" s="7">
        <v>10.5</v>
      </c>
      <c r="C27" s="85">
        <v>25.3232</v>
      </c>
      <c r="D27" s="7">
        <v>300</v>
      </c>
      <c r="E27" s="61">
        <v>500</v>
      </c>
      <c r="F27" s="7">
        <f t="shared" si="2"/>
        <v>457</v>
      </c>
      <c r="G27" s="7">
        <f t="shared" si="11"/>
        <v>157.46466664552477</v>
      </c>
      <c r="H27" s="61">
        <v>18</v>
      </c>
      <c r="I27" s="61">
        <v>2</v>
      </c>
      <c r="J27" s="61">
        <v>14</v>
      </c>
      <c r="K27" s="61">
        <v>2</v>
      </c>
      <c r="L27" s="19">
        <f t="shared" si="12"/>
        <v>816.81408993334617</v>
      </c>
      <c r="M27" s="7" t="str">
        <f t="shared" si="13"/>
        <v>OK</v>
      </c>
      <c r="N27" s="17">
        <f t="shared" si="14"/>
        <v>131.35865335912786</v>
      </c>
      <c r="O27" s="18">
        <f t="shared" si="15"/>
        <v>0.19277907737655975</v>
      </c>
      <c r="P27" s="7">
        <v>10.5</v>
      </c>
      <c r="Q27" s="88">
        <v>4.5198999999999998</v>
      </c>
      <c r="R27" s="7">
        <f t="shared" si="0"/>
        <v>28.105632257025473</v>
      </c>
      <c r="S27" s="61">
        <v>18</v>
      </c>
      <c r="T27" s="61">
        <v>2</v>
      </c>
      <c r="U27" s="61">
        <v>18</v>
      </c>
      <c r="V27" s="61">
        <v>0</v>
      </c>
      <c r="W27" s="19">
        <f t="shared" si="8"/>
        <v>508.93800988154646</v>
      </c>
      <c r="X27" s="7" t="str">
        <f t="shared" si="9"/>
        <v>OK</v>
      </c>
      <c r="Y27" s="17">
        <f t="shared" si="1"/>
        <v>-81.846545554533506</v>
      </c>
      <c r="Z27" s="18">
        <f t="shared" si="10"/>
        <v>-5.5224077807760834E-2</v>
      </c>
    </row>
    <row r="28" spans="1:26" x14ac:dyDescent="0.25">
      <c r="A28" s="6" t="s">
        <v>14</v>
      </c>
      <c r="B28" s="7">
        <v>11</v>
      </c>
      <c r="C28" s="85">
        <v>24.532800000000002</v>
      </c>
      <c r="D28" s="7">
        <v>300</v>
      </c>
      <c r="E28" s="61">
        <v>500</v>
      </c>
      <c r="F28" s="7">
        <f t="shared" si="2"/>
        <v>457</v>
      </c>
      <c r="G28" s="7">
        <f t="shared" si="11"/>
        <v>152.5498031007665</v>
      </c>
      <c r="H28" s="61">
        <v>18</v>
      </c>
      <c r="I28" s="61">
        <v>2</v>
      </c>
      <c r="J28" s="61">
        <v>14</v>
      </c>
      <c r="K28" s="61">
        <v>2</v>
      </c>
      <c r="L28" s="19">
        <f t="shared" si="12"/>
        <v>816.81408993334617</v>
      </c>
      <c r="M28" s="7" t="str">
        <f t="shared" si="13"/>
        <v>OK</v>
      </c>
      <c r="N28" s="17">
        <f t="shared" si="14"/>
        <v>131.35865335912786</v>
      </c>
      <c r="O28" s="18">
        <f t="shared" si="15"/>
        <v>0.18676196331678718</v>
      </c>
      <c r="P28" s="7">
        <v>11</v>
      </c>
      <c r="Q28" s="88">
        <v>5.3239000000000001</v>
      </c>
      <c r="R28" s="7">
        <f t="shared" si="0"/>
        <v>33.105063291926349</v>
      </c>
      <c r="S28" s="61">
        <v>18</v>
      </c>
      <c r="T28" s="61">
        <v>2</v>
      </c>
      <c r="U28" s="61">
        <v>18</v>
      </c>
      <c r="V28" s="61">
        <v>0</v>
      </c>
      <c r="W28" s="19">
        <f t="shared" si="8"/>
        <v>508.93800988154646</v>
      </c>
      <c r="X28" s="7" t="str">
        <f t="shared" si="9"/>
        <v>OK</v>
      </c>
      <c r="Y28" s="17">
        <f t="shared" si="1"/>
        <v>-81.846545554533506</v>
      </c>
      <c r="Z28" s="18">
        <f t="shared" si="10"/>
        <v>-6.5047339065186824E-2</v>
      </c>
    </row>
    <row r="29" spans="1:26" x14ac:dyDescent="0.25">
      <c r="A29" s="6" t="s">
        <v>14</v>
      </c>
      <c r="B29" s="7">
        <v>11.5</v>
      </c>
      <c r="C29" s="85">
        <v>41.735500000000002</v>
      </c>
      <c r="D29" s="7">
        <v>300</v>
      </c>
      <c r="E29" s="61">
        <v>500</v>
      </c>
      <c r="F29" s="7">
        <f t="shared" si="2"/>
        <v>457</v>
      </c>
      <c r="G29" s="7">
        <f t="shared" si="11"/>
        <v>259.51959447401197</v>
      </c>
      <c r="H29" s="61">
        <v>18</v>
      </c>
      <c r="I29" s="61">
        <v>2</v>
      </c>
      <c r="J29" s="61">
        <v>14</v>
      </c>
      <c r="K29" s="61">
        <v>2</v>
      </c>
      <c r="L29" s="19">
        <f t="shared" si="12"/>
        <v>816.81408993334617</v>
      </c>
      <c r="M29" s="7" t="str">
        <f t="shared" si="13"/>
        <v>OK</v>
      </c>
      <c r="N29" s="17">
        <f t="shared" si="14"/>
        <v>131.35865335912786</v>
      </c>
      <c r="O29" s="18">
        <f t="shared" si="15"/>
        <v>0.31772174069033177</v>
      </c>
      <c r="P29" s="7">
        <v>11.5</v>
      </c>
      <c r="Q29" s="88">
        <v>-17.484500000000001</v>
      </c>
      <c r="R29" s="7">
        <f t="shared" si="0"/>
        <v>108.72207951458259</v>
      </c>
      <c r="S29" s="61">
        <v>18</v>
      </c>
      <c r="T29" s="61">
        <v>2</v>
      </c>
      <c r="U29" s="61">
        <v>18</v>
      </c>
      <c r="V29" s="61">
        <v>0</v>
      </c>
      <c r="W29" s="19">
        <f t="shared" si="8"/>
        <v>508.93800988154646</v>
      </c>
      <c r="X29" s="7" t="str">
        <f t="shared" si="9"/>
        <v>OK</v>
      </c>
      <c r="Y29" s="17">
        <f t="shared" si="1"/>
        <v>-81.846545554533506</v>
      </c>
      <c r="Z29" s="18">
        <f t="shared" si="10"/>
        <v>0.21362538738241871</v>
      </c>
    </row>
    <row r="30" spans="1:26" x14ac:dyDescent="0.25">
      <c r="A30" s="6" t="s">
        <v>14</v>
      </c>
      <c r="B30" s="7">
        <v>12</v>
      </c>
      <c r="C30" s="85">
        <v>56.128500000000003</v>
      </c>
      <c r="D30" s="7">
        <v>300</v>
      </c>
      <c r="E30" s="61">
        <v>500</v>
      </c>
      <c r="F30" s="7">
        <f t="shared" si="2"/>
        <v>457</v>
      </c>
      <c r="G30" s="7">
        <f t="shared" si="11"/>
        <v>349.0181154756641</v>
      </c>
      <c r="H30" s="61">
        <v>18</v>
      </c>
      <c r="I30" s="61">
        <v>2</v>
      </c>
      <c r="J30" s="61">
        <v>14</v>
      </c>
      <c r="K30" s="61">
        <v>2</v>
      </c>
      <c r="L30" s="19">
        <f t="shared" si="12"/>
        <v>816.81408993334617</v>
      </c>
      <c r="M30" s="7" t="str">
        <f t="shared" si="13"/>
        <v>OK</v>
      </c>
      <c r="N30" s="17">
        <f t="shared" si="14"/>
        <v>131.35865335912786</v>
      </c>
      <c r="O30" s="18">
        <f t="shared" si="15"/>
        <v>0.42729198697361448</v>
      </c>
      <c r="P30" s="7">
        <v>12</v>
      </c>
      <c r="Q30" s="88">
        <v>-43.102699999999999</v>
      </c>
      <c r="R30" s="7">
        <f t="shared" si="0"/>
        <v>268.02111451246526</v>
      </c>
      <c r="S30" s="61">
        <v>18</v>
      </c>
      <c r="T30" s="61">
        <v>2</v>
      </c>
      <c r="U30" s="61">
        <v>18</v>
      </c>
      <c r="V30" s="61">
        <v>0</v>
      </c>
      <c r="W30" s="19">
        <f t="shared" si="8"/>
        <v>508.93800988154646</v>
      </c>
      <c r="X30" s="7" t="str">
        <f t="shared" si="9"/>
        <v>OK</v>
      </c>
      <c r="Y30" s="17">
        <f t="shared" si="1"/>
        <v>-81.846545554533506</v>
      </c>
      <c r="Z30" s="18">
        <f t="shared" si="10"/>
        <v>0.52662821268713311</v>
      </c>
    </row>
    <row r="31" spans="1:26" x14ac:dyDescent="0.25">
      <c r="A31" s="6" t="s">
        <v>14</v>
      </c>
      <c r="B31" s="7">
        <v>12.5</v>
      </c>
      <c r="C31" s="85">
        <v>67.7119</v>
      </c>
      <c r="D31" s="7">
        <v>300</v>
      </c>
      <c r="E31" s="61">
        <v>500</v>
      </c>
      <c r="F31" s="7">
        <f t="shared" si="2"/>
        <v>457</v>
      </c>
      <c r="G31" s="7">
        <f t="shared" si="11"/>
        <v>421.04598792550348</v>
      </c>
      <c r="H31" s="61">
        <v>18</v>
      </c>
      <c r="I31" s="61">
        <v>2</v>
      </c>
      <c r="J31" s="61">
        <v>14</v>
      </c>
      <c r="K31" s="61">
        <v>2</v>
      </c>
      <c r="L31" s="19">
        <f t="shared" si="12"/>
        <v>816.81408993334617</v>
      </c>
      <c r="M31" s="7" t="str">
        <f t="shared" si="13"/>
        <v>OK</v>
      </c>
      <c r="N31" s="17">
        <f t="shared" si="14"/>
        <v>131.35865335912786</v>
      </c>
      <c r="O31" s="18">
        <f t="shared" si="15"/>
        <v>0.51547346344118739</v>
      </c>
      <c r="P31" s="7">
        <v>12.5</v>
      </c>
      <c r="Q31" s="88">
        <v>-71.530699999999996</v>
      </c>
      <c r="R31" s="7">
        <f t="shared" si="0"/>
        <v>444.7920417017217</v>
      </c>
      <c r="S31" s="61">
        <v>18</v>
      </c>
      <c r="T31" s="61">
        <v>2</v>
      </c>
      <c r="U31" s="61">
        <v>18</v>
      </c>
      <c r="V31" s="61">
        <v>0</v>
      </c>
      <c r="W31" s="19">
        <f t="shared" si="8"/>
        <v>508.93800988154646</v>
      </c>
      <c r="X31" s="7" t="str">
        <f t="shared" si="9"/>
        <v>OK</v>
      </c>
      <c r="Y31" s="17">
        <f t="shared" si="1"/>
        <v>-81.846545554533506</v>
      </c>
      <c r="Z31" s="18">
        <f t="shared" si="10"/>
        <v>0.87396113684895638</v>
      </c>
    </row>
    <row r="32" spans="1:26" x14ac:dyDescent="0.25">
      <c r="A32" s="6" t="s">
        <v>14</v>
      </c>
      <c r="B32" s="7">
        <v>13</v>
      </c>
      <c r="C32" s="85">
        <v>76.485500000000002</v>
      </c>
      <c r="D32" s="7">
        <v>300</v>
      </c>
      <c r="E32" s="61">
        <v>500</v>
      </c>
      <c r="F32" s="7">
        <f t="shared" si="2"/>
        <v>457</v>
      </c>
      <c r="G32" s="7">
        <f t="shared" si="11"/>
        <v>475.60196818396906</v>
      </c>
      <c r="H32" s="61">
        <v>18</v>
      </c>
      <c r="I32" s="61">
        <v>2</v>
      </c>
      <c r="J32" s="61">
        <v>14</v>
      </c>
      <c r="K32" s="61">
        <v>2</v>
      </c>
      <c r="L32" s="19">
        <f t="shared" si="12"/>
        <v>816.81408993334617</v>
      </c>
      <c r="M32" s="7" t="str">
        <f t="shared" si="13"/>
        <v>OK</v>
      </c>
      <c r="N32" s="17">
        <f t="shared" si="14"/>
        <v>131.35865335912786</v>
      </c>
      <c r="O32" s="18">
        <f t="shared" si="15"/>
        <v>0.58226464754394636</v>
      </c>
      <c r="P32" s="7">
        <v>13</v>
      </c>
      <c r="Q32" s="88">
        <v>-102.7684</v>
      </c>
      <c r="R32" s="7">
        <f t="shared" si="0"/>
        <v>639.03423926257142</v>
      </c>
      <c r="S32" s="61">
        <v>20</v>
      </c>
      <c r="T32" s="61">
        <v>2</v>
      </c>
      <c r="U32" s="61">
        <v>18</v>
      </c>
      <c r="V32" s="61">
        <v>2</v>
      </c>
      <c r="W32" s="19">
        <f t="shared" si="8"/>
        <v>1137.2565405995051</v>
      </c>
      <c r="X32" s="7" t="str">
        <f t="shared" si="9"/>
        <v>OK</v>
      </c>
      <c r="Y32" s="17">
        <f t="shared" si="1"/>
        <v>-182.8916635230934</v>
      </c>
      <c r="Z32" s="18">
        <f t="shared" si="10"/>
        <v>0.56190860764423867</v>
      </c>
    </row>
    <row r="33" spans="1:26" x14ac:dyDescent="0.25">
      <c r="A33" s="6" t="s">
        <v>14</v>
      </c>
      <c r="B33" s="7">
        <v>13.5</v>
      </c>
      <c r="C33" s="85">
        <v>82.449399999999997</v>
      </c>
      <c r="D33" s="7">
        <v>300</v>
      </c>
      <c r="E33" s="61">
        <v>500</v>
      </c>
      <c r="F33" s="7">
        <f t="shared" si="2"/>
        <v>457</v>
      </c>
      <c r="G33" s="7">
        <f t="shared" si="11"/>
        <v>512.68667807084137</v>
      </c>
      <c r="H33" s="61">
        <v>18</v>
      </c>
      <c r="I33" s="61">
        <v>2</v>
      </c>
      <c r="J33" s="61">
        <v>18</v>
      </c>
      <c r="K33" s="61">
        <v>2</v>
      </c>
      <c r="L33" s="19">
        <f t="shared" si="12"/>
        <v>1017.8760197630929</v>
      </c>
      <c r="M33" s="7" t="str">
        <f t="shared" si="13"/>
        <v>OK</v>
      </c>
      <c r="N33" s="17">
        <f t="shared" si="14"/>
        <v>163.69309110906701</v>
      </c>
      <c r="O33" s="18">
        <f t="shared" si="15"/>
        <v>0.50368283377986189</v>
      </c>
      <c r="P33" s="7">
        <v>13.5</v>
      </c>
      <c r="Q33" s="88">
        <v>-136.8159</v>
      </c>
      <c r="R33" s="7">
        <f t="shared" si="0"/>
        <v>850.74832901479488</v>
      </c>
      <c r="S33" s="61">
        <v>20</v>
      </c>
      <c r="T33" s="61">
        <v>2</v>
      </c>
      <c r="U33" s="61">
        <v>18</v>
      </c>
      <c r="V33" s="61">
        <v>2</v>
      </c>
      <c r="W33" s="19">
        <f t="shared" si="8"/>
        <v>1137.2565405995051</v>
      </c>
      <c r="X33" s="7" t="str">
        <f t="shared" si="9"/>
        <v>OK</v>
      </c>
      <c r="Y33" s="17">
        <f t="shared" si="1"/>
        <v>-182.8916635230934</v>
      </c>
      <c r="Z33" s="18">
        <f t="shared" si="10"/>
        <v>0.74807072867334112</v>
      </c>
    </row>
    <row r="34" spans="1:26" x14ac:dyDescent="0.25">
      <c r="A34" s="6" t="s">
        <v>15</v>
      </c>
      <c r="B34" s="7">
        <v>13.5</v>
      </c>
      <c r="C34" s="85">
        <v>134.59889999999999</v>
      </c>
      <c r="D34" s="7">
        <v>300</v>
      </c>
      <c r="E34" s="61">
        <v>500</v>
      </c>
      <c r="F34" s="7">
        <f t="shared" si="2"/>
        <v>457</v>
      </c>
      <c r="G34" s="7">
        <f t="shared" si="11"/>
        <v>836.96258448198978</v>
      </c>
      <c r="H34" s="61">
        <v>18</v>
      </c>
      <c r="I34" s="61">
        <v>2</v>
      </c>
      <c r="J34" s="61">
        <v>18</v>
      </c>
      <c r="K34" s="61">
        <v>2</v>
      </c>
      <c r="L34" s="19">
        <f t="shared" si="12"/>
        <v>1017.8760197630929</v>
      </c>
      <c r="M34" s="7" t="str">
        <f t="shared" si="13"/>
        <v>OK</v>
      </c>
      <c r="N34" s="17">
        <f t="shared" si="14"/>
        <v>163.69309110906701</v>
      </c>
      <c r="O34" s="18">
        <f t="shared" si="15"/>
        <v>0.82226378088442431</v>
      </c>
      <c r="P34" s="7">
        <v>13.5</v>
      </c>
      <c r="Q34" s="88">
        <v>-166.0968</v>
      </c>
      <c r="R34" s="7">
        <f t="shared" si="0"/>
        <v>1032.8227571115972</v>
      </c>
      <c r="S34" s="61">
        <v>20</v>
      </c>
      <c r="T34" s="61">
        <v>2</v>
      </c>
      <c r="U34" s="61">
        <v>18</v>
      </c>
      <c r="V34" s="61">
        <v>2</v>
      </c>
      <c r="W34" s="19">
        <f t="shared" si="8"/>
        <v>1137.2565405995051</v>
      </c>
      <c r="X34" s="7" t="str">
        <f t="shared" si="9"/>
        <v>OK</v>
      </c>
      <c r="Y34" s="17">
        <f t="shared" si="1"/>
        <v>-182.8916635230934</v>
      </c>
      <c r="Z34" s="18">
        <f t="shared" si="10"/>
        <v>0.90817042614425814</v>
      </c>
    </row>
    <row r="35" spans="1:26" x14ac:dyDescent="0.25">
      <c r="A35" s="6" t="s">
        <v>15</v>
      </c>
      <c r="B35" s="7">
        <v>14</v>
      </c>
      <c r="C35" s="85">
        <v>105.4072</v>
      </c>
      <c r="D35" s="7">
        <v>300</v>
      </c>
      <c r="E35" s="61">
        <v>500</v>
      </c>
      <c r="F35" s="7">
        <f t="shared" si="2"/>
        <v>457</v>
      </c>
      <c r="G35" s="7">
        <f t="shared" si="11"/>
        <v>655.44281962935804</v>
      </c>
      <c r="H35" s="61">
        <v>18</v>
      </c>
      <c r="I35" s="61">
        <v>2</v>
      </c>
      <c r="J35" s="61">
        <v>18</v>
      </c>
      <c r="K35" s="61">
        <v>2</v>
      </c>
      <c r="L35" s="19">
        <f t="shared" si="12"/>
        <v>1017.8760197630929</v>
      </c>
      <c r="M35" s="7" t="str">
        <f t="shared" si="13"/>
        <v>OK</v>
      </c>
      <c r="N35" s="17">
        <f t="shared" si="14"/>
        <v>163.69309110906701</v>
      </c>
      <c r="O35" s="18">
        <f t="shared" si="15"/>
        <v>0.64393188060556739</v>
      </c>
      <c r="P35" s="7">
        <v>14</v>
      </c>
      <c r="Q35" s="88">
        <v>-116.7719</v>
      </c>
      <c r="R35" s="7">
        <f t="shared" si="0"/>
        <v>726.11077221933067</v>
      </c>
      <c r="S35" s="61">
        <v>20</v>
      </c>
      <c r="T35" s="61">
        <v>2</v>
      </c>
      <c r="U35" s="61">
        <v>18</v>
      </c>
      <c r="V35" s="61">
        <v>2</v>
      </c>
      <c r="W35" s="19">
        <f t="shared" si="8"/>
        <v>1137.2565405995051</v>
      </c>
      <c r="X35" s="7" t="str">
        <f t="shared" si="9"/>
        <v>OK</v>
      </c>
      <c r="Y35" s="17">
        <f t="shared" si="1"/>
        <v>-182.8916635230934</v>
      </c>
      <c r="Z35" s="18">
        <f t="shared" si="10"/>
        <v>0.63847579354132467</v>
      </c>
    </row>
    <row r="36" spans="1:26" x14ac:dyDescent="0.25">
      <c r="A36" s="6" t="s">
        <v>15</v>
      </c>
      <c r="B36" s="7">
        <v>14.5</v>
      </c>
      <c r="C36" s="85">
        <v>73.405699999999996</v>
      </c>
      <c r="D36" s="7">
        <v>300</v>
      </c>
      <c r="E36" s="61">
        <v>500</v>
      </c>
      <c r="F36" s="7">
        <f t="shared" si="2"/>
        <v>457</v>
      </c>
      <c r="G36" s="7">
        <f t="shared" si="11"/>
        <v>456.45116258535251</v>
      </c>
      <c r="H36" s="61">
        <v>18</v>
      </c>
      <c r="I36" s="61">
        <v>2</v>
      </c>
      <c r="J36" s="61">
        <v>18</v>
      </c>
      <c r="K36" s="61">
        <v>2</v>
      </c>
      <c r="L36" s="19">
        <f t="shared" si="12"/>
        <v>1017.8760197630929</v>
      </c>
      <c r="M36" s="7" t="str">
        <f t="shared" si="13"/>
        <v>OK</v>
      </c>
      <c r="N36" s="17">
        <f t="shared" si="14"/>
        <v>163.69309110906701</v>
      </c>
      <c r="O36" s="18">
        <f t="shared" si="15"/>
        <v>0.44843493089815584</v>
      </c>
      <c r="P36" s="7">
        <v>14.5</v>
      </c>
      <c r="Q36" s="88">
        <v>-70.256799999999998</v>
      </c>
      <c r="R36" s="7">
        <f t="shared" si="0"/>
        <v>436.87067951843784</v>
      </c>
      <c r="S36" s="61">
        <v>18</v>
      </c>
      <c r="T36" s="61">
        <v>2</v>
      </c>
      <c r="U36" s="61">
        <v>18</v>
      </c>
      <c r="V36" s="61">
        <v>0</v>
      </c>
      <c r="W36" s="19">
        <f t="shared" si="8"/>
        <v>508.93800988154646</v>
      </c>
      <c r="X36" s="7" t="str">
        <f t="shared" si="9"/>
        <v>OK</v>
      </c>
      <c r="Y36" s="17">
        <f t="shared" si="1"/>
        <v>-81.846545554533506</v>
      </c>
      <c r="Z36" s="18">
        <f t="shared" si="10"/>
        <v>0.85839664367005719</v>
      </c>
    </row>
    <row r="37" spans="1:26" x14ac:dyDescent="0.25">
      <c r="A37" s="6" t="s">
        <v>15</v>
      </c>
      <c r="B37" s="7">
        <v>15</v>
      </c>
      <c r="C37" s="85">
        <v>38.594700000000003</v>
      </c>
      <c r="D37" s="7">
        <v>300</v>
      </c>
      <c r="E37" s="61">
        <v>500</v>
      </c>
      <c r="F37" s="7">
        <f t="shared" si="2"/>
        <v>457</v>
      </c>
      <c r="G37" s="7">
        <f t="shared" si="11"/>
        <v>239.98947880931459</v>
      </c>
      <c r="H37" s="61">
        <v>18</v>
      </c>
      <c r="I37" s="61">
        <v>2</v>
      </c>
      <c r="J37" s="61">
        <v>18</v>
      </c>
      <c r="K37" s="61">
        <v>2</v>
      </c>
      <c r="L37" s="19">
        <f t="shared" si="12"/>
        <v>1017.8760197630929</v>
      </c>
      <c r="M37" s="7" t="str">
        <f t="shared" si="13"/>
        <v>OK</v>
      </c>
      <c r="N37" s="17">
        <f t="shared" si="14"/>
        <v>163.69309110906701</v>
      </c>
      <c r="O37" s="18">
        <f t="shared" si="15"/>
        <v>0.23577476446018578</v>
      </c>
      <c r="P37" s="7">
        <v>15</v>
      </c>
      <c r="Q37" s="88">
        <v>-26.551500000000001</v>
      </c>
      <c r="R37" s="7">
        <f t="shared" si="0"/>
        <v>165.10247900891875</v>
      </c>
      <c r="S37" s="61">
        <v>18</v>
      </c>
      <c r="T37" s="61">
        <v>2</v>
      </c>
      <c r="U37" s="61">
        <v>18</v>
      </c>
      <c r="V37" s="61">
        <v>0</v>
      </c>
      <c r="W37" s="19">
        <f t="shared" si="8"/>
        <v>508.93800988154646</v>
      </c>
      <c r="X37" s="7" t="str">
        <f t="shared" si="9"/>
        <v>OK</v>
      </c>
      <c r="Y37" s="17">
        <f t="shared" si="1"/>
        <v>-81.846545554533506</v>
      </c>
      <c r="Z37" s="18">
        <f t="shared" si="10"/>
        <v>0.32440587223451001</v>
      </c>
    </row>
    <row r="38" spans="1:26" x14ac:dyDescent="0.25">
      <c r="A38" s="6" t="s">
        <v>15</v>
      </c>
      <c r="B38" s="7">
        <v>15.5</v>
      </c>
      <c r="C38" s="85">
        <v>14.346</v>
      </c>
      <c r="D38" s="7">
        <v>300</v>
      </c>
      <c r="E38" s="61">
        <v>500</v>
      </c>
      <c r="F38" s="7">
        <f t="shared" si="2"/>
        <v>457</v>
      </c>
      <c r="G38" s="7">
        <f t="shared" si="11"/>
        <v>89.206265704835815</v>
      </c>
      <c r="H38" s="61">
        <v>18</v>
      </c>
      <c r="I38" s="61">
        <v>2</v>
      </c>
      <c r="J38" s="61">
        <v>18</v>
      </c>
      <c r="K38" s="61">
        <v>2</v>
      </c>
      <c r="L38" s="19">
        <f t="shared" si="12"/>
        <v>1017.8760197630929</v>
      </c>
      <c r="M38" s="7" t="str">
        <f t="shared" si="13"/>
        <v>OK</v>
      </c>
      <c r="N38" s="17">
        <f t="shared" si="14"/>
        <v>163.69309110906701</v>
      </c>
      <c r="O38" s="18">
        <f t="shared" si="15"/>
        <v>8.7639618158602731E-2</v>
      </c>
      <c r="P38" s="7">
        <v>15.5</v>
      </c>
      <c r="Q38" s="88">
        <v>0.97209999999999996</v>
      </c>
      <c r="R38" s="7">
        <f t="shared" si="0"/>
        <v>6.0447100858546561</v>
      </c>
      <c r="S38" s="61">
        <v>20</v>
      </c>
      <c r="T38" s="61">
        <v>2</v>
      </c>
      <c r="U38" s="61">
        <v>18</v>
      </c>
      <c r="V38" s="61">
        <v>0</v>
      </c>
      <c r="W38" s="19">
        <f t="shared" si="8"/>
        <v>628.31853071795865</v>
      </c>
      <c r="X38" s="7" t="str">
        <f t="shared" si="9"/>
        <v>OK</v>
      </c>
      <c r="Y38" s="17">
        <f t="shared" si="1"/>
        <v>-101.04511796855988</v>
      </c>
      <c r="Z38" s="18">
        <f t="shared" si="10"/>
        <v>-9.6204548972120378E-3</v>
      </c>
    </row>
    <row r="39" spans="1:26" x14ac:dyDescent="0.25">
      <c r="A39" s="6" t="s">
        <v>15</v>
      </c>
      <c r="B39" s="7">
        <v>16</v>
      </c>
      <c r="C39" s="85">
        <v>52.430799999999998</v>
      </c>
      <c r="D39" s="7">
        <v>300</v>
      </c>
      <c r="E39" s="61">
        <v>500</v>
      </c>
      <c r="F39" s="7">
        <f t="shared" si="2"/>
        <v>457</v>
      </c>
      <c r="G39" s="7">
        <f t="shared" si="11"/>
        <v>326.0250854535833</v>
      </c>
      <c r="H39" s="61">
        <v>18</v>
      </c>
      <c r="I39" s="61">
        <v>2</v>
      </c>
      <c r="J39" s="61">
        <v>18</v>
      </c>
      <c r="K39" s="61">
        <v>2</v>
      </c>
      <c r="L39" s="19">
        <f t="shared" si="12"/>
        <v>1017.8760197630929</v>
      </c>
      <c r="M39" s="7" t="str">
        <f t="shared" si="13"/>
        <v>OK</v>
      </c>
      <c r="N39" s="17">
        <f t="shared" si="14"/>
        <v>163.69309110906701</v>
      </c>
      <c r="O39" s="18">
        <f t="shared" si="15"/>
        <v>0.32029940692528008</v>
      </c>
      <c r="P39" s="7">
        <v>16</v>
      </c>
      <c r="Q39" s="88">
        <v>-39.4574</v>
      </c>
      <c r="R39" s="7">
        <f t="shared" si="0"/>
        <v>245.35391805534567</v>
      </c>
      <c r="S39" s="61">
        <v>20</v>
      </c>
      <c r="T39" s="61">
        <v>2</v>
      </c>
      <c r="U39" s="61">
        <v>18</v>
      </c>
      <c r="V39" s="61">
        <v>0</v>
      </c>
      <c r="W39" s="19">
        <f t="shared" si="8"/>
        <v>628.31853071795865</v>
      </c>
      <c r="X39" s="7" t="str">
        <f t="shared" si="9"/>
        <v>OK</v>
      </c>
      <c r="Y39" s="17">
        <f t="shared" si="1"/>
        <v>-101.04511796855988</v>
      </c>
      <c r="Z39" s="18">
        <f t="shared" si="10"/>
        <v>0.39049288865472098</v>
      </c>
    </row>
    <row r="40" spans="1:26" x14ac:dyDescent="0.25">
      <c r="A40" s="6" t="s">
        <v>15</v>
      </c>
      <c r="B40" s="7">
        <v>16.5</v>
      </c>
      <c r="C40" s="85">
        <v>87.706999999999994</v>
      </c>
      <c r="D40" s="7">
        <v>300</v>
      </c>
      <c r="E40" s="61">
        <v>500</v>
      </c>
      <c r="F40" s="7">
        <f t="shared" si="2"/>
        <v>457</v>
      </c>
      <c r="G40" s="7">
        <f t="shared" si="11"/>
        <v>545.3794748483225</v>
      </c>
      <c r="H40" s="61">
        <v>18</v>
      </c>
      <c r="I40" s="61">
        <v>2</v>
      </c>
      <c r="J40" s="61">
        <v>18</v>
      </c>
      <c r="K40" s="61">
        <v>2</v>
      </c>
      <c r="L40" s="19">
        <f t="shared" si="12"/>
        <v>1017.8760197630929</v>
      </c>
      <c r="M40" s="7" t="str">
        <f t="shared" si="13"/>
        <v>OK</v>
      </c>
      <c r="N40" s="17">
        <f t="shared" si="14"/>
        <v>163.69309110906701</v>
      </c>
      <c r="O40" s="18">
        <f t="shared" si="15"/>
        <v>0.53580147705538606</v>
      </c>
      <c r="P40" s="7">
        <v>16.5</v>
      </c>
      <c r="Q40" s="88">
        <v>-82.697599999999994</v>
      </c>
      <c r="R40" s="7">
        <f t="shared" si="0"/>
        <v>514.23003476594386</v>
      </c>
      <c r="S40" s="61">
        <v>20</v>
      </c>
      <c r="T40" s="61">
        <v>2</v>
      </c>
      <c r="U40" s="61">
        <v>18</v>
      </c>
      <c r="V40" s="61">
        <v>2</v>
      </c>
      <c r="W40" s="19">
        <f t="shared" si="8"/>
        <v>1137.2565405995051</v>
      </c>
      <c r="X40" s="7" t="str">
        <f t="shared" si="9"/>
        <v>OK</v>
      </c>
      <c r="Y40" s="17">
        <f t="shared" si="1"/>
        <v>-182.8916635230934</v>
      </c>
      <c r="Z40" s="18">
        <f t="shared" si="10"/>
        <v>0.45216713767578542</v>
      </c>
    </row>
    <row r="41" spans="1:26" x14ac:dyDescent="0.25">
      <c r="A41" s="6" t="s">
        <v>15</v>
      </c>
      <c r="B41" s="7">
        <v>17</v>
      </c>
      <c r="C41" s="85">
        <v>120.17359999999999</v>
      </c>
      <c r="D41" s="7">
        <v>300</v>
      </c>
      <c r="E41" s="61">
        <v>500</v>
      </c>
      <c r="F41" s="7">
        <f t="shared" si="2"/>
        <v>457</v>
      </c>
      <c r="G41" s="7">
        <f t="shared" si="11"/>
        <v>747.263215691249</v>
      </c>
      <c r="H41" s="61">
        <v>18</v>
      </c>
      <c r="I41" s="61">
        <v>2</v>
      </c>
      <c r="J41" s="61">
        <v>18</v>
      </c>
      <c r="K41" s="61">
        <v>2</v>
      </c>
      <c r="L41" s="19">
        <f t="shared" si="12"/>
        <v>1017.8760197630929</v>
      </c>
      <c r="M41" s="7" t="str">
        <f t="shared" si="13"/>
        <v>OK</v>
      </c>
      <c r="N41" s="17">
        <f t="shared" si="14"/>
        <v>163.69309110906701</v>
      </c>
      <c r="O41" s="18">
        <f t="shared" si="15"/>
        <v>0.73413971955560153</v>
      </c>
      <c r="P41" s="7">
        <v>17</v>
      </c>
      <c r="Q41" s="88">
        <v>-128.74770000000001</v>
      </c>
      <c r="R41" s="7">
        <f t="shared" si="0"/>
        <v>800.57866548769641</v>
      </c>
      <c r="S41" s="61">
        <v>20</v>
      </c>
      <c r="T41" s="61">
        <v>2</v>
      </c>
      <c r="U41" s="61">
        <v>18</v>
      </c>
      <c r="V41" s="61">
        <v>2</v>
      </c>
      <c r="W41" s="19">
        <f t="shared" si="8"/>
        <v>1137.2565405995051</v>
      </c>
      <c r="X41" s="7" t="str">
        <f t="shared" si="9"/>
        <v>OK</v>
      </c>
      <c r="Y41" s="17">
        <f t="shared" si="1"/>
        <v>-182.8916635230934</v>
      </c>
      <c r="Z41" s="18">
        <f t="shared" si="10"/>
        <v>0.70395608810099353</v>
      </c>
    </row>
    <row r="42" spans="1:26" x14ac:dyDescent="0.25">
      <c r="A42" s="6" t="s">
        <v>15</v>
      </c>
      <c r="B42" s="7">
        <v>17.5</v>
      </c>
      <c r="C42" s="85">
        <v>149.8304</v>
      </c>
      <c r="D42" s="7">
        <v>300</v>
      </c>
      <c r="E42" s="61">
        <v>500</v>
      </c>
      <c r="F42" s="7">
        <f t="shared" si="2"/>
        <v>457</v>
      </c>
      <c r="G42" s="7">
        <f t="shared" si="11"/>
        <v>931.67506434280165</v>
      </c>
      <c r="H42" s="61">
        <v>18</v>
      </c>
      <c r="I42" s="61">
        <v>2</v>
      </c>
      <c r="J42" s="61">
        <v>18</v>
      </c>
      <c r="K42" s="61">
        <v>2</v>
      </c>
      <c r="L42" s="19">
        <f t="shared" si="12"/>
        <v>1017.8760197630929</v>
      </c>
      <c r="M42" s="7" t="str">
        <f t="shared" si="13"/>
        <v>OK</v>
      </c>
      <c r="N42" s="17">
        <f t="shared" si="14"/>
        <v>163.69309110906701</v>
      </c>
      <c r="O42" s="18">
        <f t="shared" si="15"/>
        <v>0.91531291262726266</v>
      </c>
      <c r="P42" s="7">
        <v>17.5</v>
      </c>
      <c r="Q42" s="88">
        <v>-177.60749999999999</v>
      </c>
      <c r="R42" s="7">
        <f t="shared" si="0"/>
        <v>1104.3985665810419</v>
      </c>
      <c r="S42" s="61">
        <v>20</v>
      </c>
      <c r="T42" s="61">
        <v>2</v>
      </c>
      <c r="U42" s="61">
        <v>18</v>
      </c>
      <c r="V42" s="61">
        <v>2</v>
      </c>
      <c r="W42" s="19">
        <f t="shared" si="8"/>
        <v>1137.2565405995051</v>
      </c>
      <c r="X42" s="7" t="str">
        <f t="shared" si="9"/>
        <v>OK</v>
      </c>
      <c r="Y42" s="17">
        <f t="shared" si="1"/>
        <v>-182.8916635230934</v>
      </c>
      <c r="Z42" s="18">
        <f t="shared" si="10"/>
        <v>0.97110768516561619</v>
      </c>
    </row>
  </sheetData>
  <conditionalFormatting sqref="M4:M42">
    <cfRule type="cellIs" dxfId="3" priority="3" operator="equal">
      <formula>"NO"</formula>
    </cfRule>
    <cfRule type="cellIs" dxfId="2" priority="4" operator="equal">
      <formula>"OK"</formula>
    </cfRule>
  </conditionalFormatting>
  <conditionalFormatting sqref="X4:X42">
    <cfRule type="cellIs" dxfId="1" priority="1" operator="equal">
      <formula>"OK"</formula>
    </cfRule>
    <cfRule type="cellIs" dxfId="0" priority="2" operator="equal">
      <formula>"NO"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105F-9C53-4EA9-B172-067C9A13FE06}">
  <sheetPr codeName="Foglio6"/>
  <dimension ref="A1:Z42"/>
  <sheetViews>
    <sheetView topLeftCell="A37" zoomScale="70" zoomScaleNormal="70" workbookViewId="0">
      <selection activeCell="AB51" sqref="AB51"/>
    </sheetView>
  </sheetViews>
  <sheetFormatPr defaultRowHeight="15" x14ac:dyDescent="0.25"/>
  <cols>
    <col min="1" max="2" width="9.140625" style="54"/>
    <col min="3" max="3" width="9.140625" style="62"/>
    <col min="4" max="12" width="9.140625" style="54"/>
    <col min="13" max="16384" width="9.140625" style="62"/>
  </cols>
  <sheetData>
    <row r="1" spans="1:26" x14ac:dyDescent="0.25">
      <c r="B1" s="16" t="s">
        <v>29</v>
      </c>
      <c r="C1" s="16"/>
      <c r="D1" s="62"/>
      <c r="P1" s="16" t="s">
        <v>30</v>
      </c>
      <c r="Q1" s="16"/>
      <c r="R1" s="54"/>
    </row>
    <row r="2" spans="1:26" x14ac:dyDescent="0.25">
      <c r="B2" s="63" t="s">
        <v>2</v>
      </c>
      <c r="C2" s="6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N2" s="5" t="s">
        <v>31</v>
      </c>
      <c r="O2" s="5" t="s">
        <v>32</v>
      </c>
      <c r="P2" s="63" t="s">
        <v>2</v>
      </c>
      <c r="Q2" s="6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Y2" s="5" t="s">
        <v>31</v>
      </c>
      <c r="Z2" s="5" t="s">
        <v>32</v>
      </c>
    </row>
    <row r="3" spans="1:26" x14ac:dyDescent="0.25">
      <c r="B3" s="27" t="s">
        <v>7</v>
      </c>
      <c r="C3" s="27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N3" s="9" t="s">
        <v>9</v>
      </c>
      <c r="O3" s="8" t="s">
        <v>28</v>
      </c>
      <c r="P3" s="27" t="s">
        <v>7</v>
      </c>
      <c r="Q3" s="27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Y3" s="9" t="s">
        <v>9</v>
      </c>
      <c r="Z3" s="8" t="s">
        <v>28</v>
      </c>
    </row>
    <row r="4" spans="1:26" x14ac:dyDescent="0.25">
      <c r="A4" s="55" t="s">
        <v>81</v>
      </c>
      <c r="B4" s="7">
        <v>0</v>
      </c>
      <c r="C4" s="86">
        <v>141.53479999999999</v>
      </c>
      <c r="D4" s="7">
        <v>300</v>
      </c>
      <c r="E4" s="61">
        <v>500</v>
      </c>
      <c r="F4" s="7">
        <f t="shared" ref="F4:F41" si="0">E4-43</f>
        <v>457</v>
      </c>
      <c r="G4" s="7">
        <f>ABS(C4)*1000^2/(0.9*391*F4)</f>
        <v>880.09138263493639</v>
      </c>
      <c r="H4" s="61">
        <v>18</v>
      </c>
      <c r="I4" s="61">
        <v>2</v>
      </c>
      <c r="J4" s="61">
        <v>18</v>
      </c>
      <c r="K4" s="61">
        <v>2</v>
      </c>
      <c r="L4" s="19">
        <f>PI()*(H4^2/4*I4+J4^2/4*K4)</f>
        <v>1017.8760197630929</v>
      </c>
      <c r="M4" s="7" t="str">
        <f>IF(L4&gt;=G4,"OK","NO")</f>
        <v>OK</v>
      </c>
      <c r="N4" s="17">
        <f>(L4*0.9*391*F4)/1000^2</f>
        <v>163.69309110906701</v>
      </c>
      <c r="O4" s="18">
        <f>C4/N4</f>
        <v>0.86463514764772098</v>
      </c>
      <c r="P4" s="7">
        <v>0</v>
      </c>
      <c r="Q4" s="81">
        <v>-171.74610000000001</v>
      </c>
      <c r="R4" s="7">
        <f t="shared" ref="R4:R42" si="1">ABS(Q4)*1000^2/(0.9*391*F4)</f>
        <v>1067.9512219691414</v>
      </c>
      <c r="S4" s="61">
        <v>20</v>
      </c>
      <c r="T4" s="61">
        <v>2</v>
      </c>
      <c r="U4" s="61">
        <v>18</v>
      </c>
      <c r="V4" s="61">
        <v>2</v>
      </c>
      <c r="W4" s="19">
        <f>PI()*(S4^2/4*T4+U4^2/4*V4)</f>
        <v>1137.2565405995051</v>
      </c>
      <c r="X4" s="7" t="str">
        <f>IF(W4&gt;=R4,"OK","NO")</f>
        <v>OK</v>
      </c>
      <c r="Y4" s="17">
        <f t="shared" ref="Y4:Y42" si="2">-(W4*0.9*391*F4)/1000^2</f>
        <v>-182.8916635230934</v>
      </c>
      <c r="Z4" s="18">
        <f>Q4/Y4</f>
        <v>0.9390592041846344</v>
      </c>
    </row>
    <row r="5" spans="1:26" x14ac:dyDescent="0.25">
      <c r="A5" s="55" t="s">
        <v>81</v>
      </c>
      <c r="B5" s="7">
        <v>0.5</v>
      </c>
      <c r="C5" s="86">
        <v>114.738</v>
      </c>
      <c r="D5" s="7">
        <v>300</v>
      </c>
      <c r="E5" s="61">
        <v>500</v>
      </c>
      <c r="F5" s="7">
        <f t="shared" si="0"/>
        <v>457</v>
      </c>
      <c r="G5" s="7">
        <f t="shared" ref="G5:G42" si="3">ABS(C5)*1000^2/(0.9*391*F5)</f>
        <v>713.46357970454847</v>
      </c>
      <c r="H5" s="61">
        <v>18</v>
      </c>
      <c r="I5" s="61">
        <v>2</v>
      </c>
      <c r="J5" s="61">
        <v>18</v>
      </c>
      <c r="K5" s="61">
        <v>2</v>
      </c>
      <c r="L5" s="19">
        <f t="shared" ref="L5:L42" si="4">PI()*(H5^2/4*I5+J5^2/4*K5)</f>
        <v>1017.8760197630929</v>
      </c>
      <c r="M5" s="7" t="str">
        <f t="shared" ref="M5:M42" si="5">IF(L5&gt;=G5,"OK","NO")</f>
        <v>OK</v>
      </c>
      <c r="N5" s="17">
        <f t="shared" ref="N5:N42" si="6">(L5*0.9*391*F5)/1000^2</f>
        <v>163.69309110906701</v>
      </c>
      <c r="O5" s="18">
        <f t="shared" ref="O5:O42" si="7">C5/N5</f>
        <v>0.70093367546924301</v>
      </c>
      <c r="P5" s="7">
        <v>0.5</v>
      </c>
      <c r="Q5" s="81">
        <v>-124.7606</v>
      </c>
      <c r="R5" s="7">
        <f t="shared" si="1"/>
        <v>775.78608902096335</v>
      </c>
      <c r="S5" s="61">
        <v>20</v>
      </c>
      <c r="T5" s="61">
        <v>2</v>
      </c>
      <c r="U5" s="61">
        <v>18</v>
      </c>
      <c r="V5" s="61">
        <v>2</v>
      </c>
      <c r="W5" s="19">
        <f t="shared" ref="W5:W42" si="8">PI()*(S5^2/4*T5+U5^2/4*V5)</f>
        <v>1137.2565405995051</v>
      </c>
      <c r="X5" s="7" t="str">
        <f t="shared" ref="X5:X42" si="9">IF(W5&gt;=R5,"OK","NO")</f>
        <v>OK</v>
      </c>
      <c r="Y5" s="17">
        <f t="shared" si="2"/>
        <v>-182.8916635230934</v>
      </c>
      <c r="Z5" s="18">
        <f t="shared" ref="Z5:Z42" si="10">Q5/Y5</f>
        <v>0.68215575055036171</v>
      </c>
    </row>
    <row r="6" spans="1:26" x14ac:dyDescent="0.25">
      <c r="A6" s="55" t="s">
        <v>81</v>
      </c>
      <c r="B6" s="7">
        <v>1</v>
      </c>
      <c r="C6" s="86">
        <v>85.131500000000003</v>
      </c>
      <c r="D6" s="7">
        <v>300</v>
      </c>
      <c r="E6" s="61">
        <v>500</v>
      </c>
      <c r="F6" s="7">
        <f t="shared" si="0"/>
        <v>457</v>
      </c>
      <c r="G6" s="7">
        <f t="shared" si="3"/>
        <v>529.36450640256726</v>
      </c>
      <c r="H6" s="61">
        <v>18</v>
      </c>
      <c r="I6" s="61">
        <v>2</v>
      </c>
      <c r="J6" s="61">
        <v>18</v>
      </c>
      <c r="K6" s="61">
        <v>2</v>
      </c>
      <c r="L6" s="19">
        <f t="shared" si="4"/>
        <v>1017.8760197630929</v>
      </c>
      <c r="M6" s="7" t="str">
        <f t="shared" si="5"/>
        <v>OK</v>
      </c>
      <c r="N6" s="17">
        <f t="shared" si="6"/>
        <v>163.69309110906701</v>
      </c>
      <c r="O6" s="18">
        <f t="shared" si="7"/>
        <v>0.52006776476154248</v>
      </c>
      <c r="P6" s="7">
        <v>1</v>
      </c>
      <c r="Q6" s="81">
        <v>-80.584800000000001</v>
      </c>
      <c r="R6" s="7">
        <f t="shared" si="1"/>
        <v>501.09222644437847</v>
      </c>
      <c r="S6" s="61">
        <v>20</v>
      </c>
      <c r="T6" s="61">
        <v>2</v>
      </c>
      <c r="U6" s="61">
        <v>18</v>
      </c>
      <c r="V6" s="61">
        <v>2</v>
      </c>
      <c r="W6" s="19">
        <f t="shared" si="8"/>
        <v>1137.2565405995051</v>
      </c>
      <c r="X6" s="7" t="str">
        <f t="shared" si="9"/>
        <v>OK</v>
      </c>
      <c r="Y6" s="17">
        <f t="shared" si="2"/>
        <v>-182.8916635230934</v>
      </c>
      <c r="Z6" s="18">
        <f t="shared" si="10"/>
        <v>0.44061494355550385</v>
      </c>
    </row>
    <row r="7" spans="1:26" x14ac:dyDescent="0.25">
      <c r="A7" s="55" t="s">
        <v>81</v>
      </c>
      <c r="B7" s="7">
        <v>1.5</v>
      </c>
      <c r="C7" s="86">
        <v>52.715400000000002</v>
      </c>
      <c r="D7" s="7">
        <v>300</v>
      </c>
      <c r="E7" s="61">
        <v>500</v>
      </c>
      <c r="F7" s="7">
        <f t="shared" si="0"/>
        <v>457</v>
      </c>
      <c r="G7" s="7">
        <f t="shared" si="3"/>
        <v>327.79478454877335</v>
      </c>
      <c r="H7" s="61">
        <v>18</v>
      </c>
      <c r="I7" s="61">
        <v>2</v>
      </c>
      <c r="J7" s="61">
        <v>12</v>
      </c>
      <c r="K7" s="61">
        <v>0</v>
      </c>
      <c r="L7" s="19">
        <f t="shared" si="4"/>
        <v>508.93800988154646</v>
      </c>
      <c r="M7" s="7" t="str">
        <f t="shared" si="5"/>
        <v>OK</v>
      </c>
      <c r="N7" s="17">
        <f t="shared" si="6"/>
        <v>81.846545554533506</v>
      </c>
      <c r="O7" s="18">
        <f t="shared" si="7"/>
        <v>0.6440760528479027</v>
      </c>
      <c r="P7" s="7">
        <v>1.5</v>
      </c>
      <c r="Q7" s="81">
        <v>-39.218899999999998</v>
      </c>
      <c r="R7" s="7">
        <f t="shared" si="1"/>
        <v>243.87087787894782</v>
      </c>
      <c r="S7" s="61">
        <v>20</v>
      </c>
      <c r="T7" s="61">
        <v>2</v>
      </c>
      <c r="U7" s="61">
        <v>18</v>
      </c>
      <c r="V7" s="61">
        <v>0</v>
      </c>
      <c r="W7" s="19">
        <f t="shared" si="8"/>
        <v>628.31853071795865</v>
      </c>
      <c r="X7" s="7" t="str">
        <f t="shared" si="9"/>
        <v>OK</v>
      </c>
      <c r="Y7" s="17">
        <f t="shared" si="2"/>
        <v>-101.04511796855988</v>
      </c>
      <c r="Z7" s="18">
        <f t="shared" si="10"/>
        <v>0.38813255690594506</v>
      </c>
    </row>
    <row r="8" spans="1:26" x14ac:dyDescent="0.25">
      <c r="A8" s="55" t="s">
        <v>81</v>
      </c>
      <c r="B8" s="7">
        <v>2</v>
      </c>
      <c r="C8" s="86">
        <v>17.490500000000001</v>
      </c>
      <c r="D8" s="7">
        <v>300</v>
      </c>
      <c r="E8" s="61">
        <v>500</v>
      </c>
      <c r="F8" s="7">
        <f t="shared" si="0"/>
        <v>457</v>
      </c>
      <c r="G8" s="7">
        <f t="shared" si="3"/>
        <v>108.75938870141022</v>
      </c>
      <c r="H8" s="61">
        <v>18</v>
      </c>
      <c r="I8" s="61">
        <v>2</v>
      </c>
      <c r="J8" s="61">
        <v>14</v>
      </c>
      <c r="K8" s="61">
        <v>0</v>
      </c>
      <c r="L8" s="19">
        <f t="shared" si="4"/>
        <v>508.93800988154646</v>
      </c>
      <c r="M8" s="7" t="str">
        <f t="shared" si="5"/>
        <v>OK</v>
      </c>
      <c r="N8" s="17">
        <f t="shared" si="6"/>
        <v>81.846545554533506</v>
      </c>
      <c r="O8" s="18">
        <f t="shared" si="7"/>
        <v>0.21369869530225025</v>
      </c>
      <c r="P8" s="7">
        <v>2</v>
      </c>
      <c r="Q8" s="81">
        <v>-0.66359999999999997</v>
      </c>
      <c r="R8" s="7">
        <f t="shared" si="1"/>
        <v>4.1263960631346057</v>
      </c>
      <c r="S8" s="61">
        <v>20</v>
      </c>
      <c r="T8" s="61">
        <v>2</v>
      </c>
      <c r="U8" s="61">
        <v>18</v>
      </c>
      <c r="V8" s="61">
        <v>0</v>
      </c>
      <c r="W8" s="19">
        <f t="shared" si="8"/>
        <v>628.31853071795865</v>
      </c>
      <c r="X8" s="7" t="str">
        <f t="shared" si="9"/>
        <v>OK</v>
      </c>
      <c r="Y8" s="17">
        <f t="shared" si="2"/>
        <v>-101.04511796855988</v>
      </c>
      <c r="Z8" s="18">
        <f t="shared" si="10"/>
        <v>6.5673633060280923E-3</v>
      </c>
    </row>
    <row r="9" spans="1:26" x14ac:dyDescent="0.25">
      <c r="A9" s="55" t="s">
        <v>81</v>
      </c>
      <c r="B9" s="7">
        <v>2.5</v>
      </c>
      <c r="C9" s="86">
        <v>35.084800000000001</v>
      </c>
      <c r="D9" s="7">
        <v>300</v>
      </c>
      <c r="E9" s="61">
        <v>500</v>
      </c>
      <c r="F9" s="7">
        <f t="shared" si="0"/>
        <v>457</v>
      </c>
      <c r="G9" s="7">
        <f t="shared" si="3"/>
        <v>218.16422633493823</v>
      </c>
      <c r="H9" s="61">
        <v>18</v>
      </c>
      <c r="I9" s="61">
        <v>2</v>
      </c>
      <c r="J9" s="61">
        <v>14</v>
      </c>
      <c r="K9" s="61">
        <v>0</v>
      </c>
      <c r="L9" s="19">
        <f t="shared" si="4"/>
        <v>508.93800988154646</v>
      </c>
      <c r="M9" s="7" t="str">
        <f t="shared" si="5"/>
        <v>OK</v>
      </c>
      <c r="N9" s="17">
        <f t="shared" si="6"/>
        <v>81.846545554533506</v>
      </c>
      <c r="O9" s="18">
        <f t="shared" si="7"/>
        <v>0.42866561761758609</v>
      </c>
      <c r="P9" s="7">
        <v>2.5</v>
      </c>
      <c r="Q9" s="81">
        <v>-20.547000000000001</v>
      </c>
      <c r="R9" s="7">
        <f t="shared" si="1"/>
        <v>127.76531029117953</v>
      </c>
      <c r="S9" s="61">
        <v>18</v>
      </c>
      <c r="T9" s="61">
        <v>2</v>
      </c>
      <c r="U9" s="61">
        <v>18</v>
      </c>
      <c r="V9" s="61">
        <v>0</v>
      </c>
      <c r="W9" s="19">
        <f t="shared" si="8"/>
        <v>508.93800988154646</v>
      </c>
      <c r="X9" s="7" t="str">
        <f t="shared" si="9"/>
        <v>OK</v>
      </c>
      <c r="Y9" s="17">
        <f t="shared" si="2"/>
        <v>-81.846545554533506</v>
      </c>
      <c r="Z9" s="18">
        <f t="shared" si="10"/>
        <v>0.25104297146309917</v>
      </c>
    </row>
    <row r="10" spans="1:26" x14ac:dyDescent="0.25">
      <c r="A10" s="55" t="s">
        <v>81</v>
      </c>
      <c r="B10" s="7">
        <v>3</v>
      </c>
      <c r="C10" s="86">
        <v>68.0214</v>
      </c>
      <c r="D10" s="7">
        <v>300</v>
      </c>
      <c r="E10" s="61">
        <v>500</v>
      </c>
      <c r="F10" s="7">
        <f t="shared" si="0"/>
        <v>457</v>
      </c>
      <c r="G10" s="7">
        <f t="shared" si="3"/>
        <v>422.97052014602809</v>
      </c>
      <c r="H10" s="61">
        <v>18</v>
      </c>
      <c r="I10" s="61">
        <v>2</v>
      </c>
      <c r="J10" s="61">
        <v>14</v>
      </c>
      <c r="K10" s="61">
        <v>0</v>
      </c>
      <c r="L10" s="19">
        <f t="shared" si="4"/>
        <v>508.93800988154646</v>
      </c>
      <c r="M10" s="7" t="str">
        <f t="shared" si="5"/>
        <v>OK</v>
      </c>
      <c r="N10" s="17">
        <f t="shared" si="6"/>
        <v>81.846545554533506</v>
      </c>
      <c r="O10" s="18">
        <f t="shared" si="7"/>
        <v>0.83108455633815415</v>
      </c>
      <c r="P10" s="7">
        <v>3</v>
      </c>
      <c r="Q10" s="81">
        <v>-61.392099999999999</v>
      </c>
      <c r="R10" s="7">
        <f t="shared" si="1"/>
        <v>381.74822143997289</v>
      </c>
      <c r="S10" s="61">
        <v>18</v>
      </c>
      <c r="T10" s="61">
        <v>2</v>
      </c>
      <c r="U10" s="61">
        <v>18</v>
      </c>
      <c r="V10" s="61">
        <v>0</v>
      </c>
      <c r="W10" s="19">
        <f t="shared" si="8"/>
        <v>508.93800988154646</v>
      </c>
      <c r="X10" s="7" t="str">
        <f t="shared" si="9"/>
        <v>OK</v>
      </c>
      <c r="Y10" s="17">
        <f t="shared" si="2"/>
        <v>-81.846545554533506</v>
      </c>
      <c r="Z10" s="18">
        <f t="shared" si="10"/>
        <v>0.75008785751495255</v>
      </c>
    </row>
    <row r="11" spans="1:26" x14ac:dyDescent="0.25">
      <c r="A11" s="55" t="s">
        <v>81</v>
      </c>
      <c r="B11" s="7">
        <v>3.5</v>
      </c>
      <c r="C11" s="86">
        <v>98.148600000000002</v>
      </c>
      <c r="D11" s="7">
        <v>300</v>
      </c>
      <c r="E11" s="61">
        <v>500</v>
      </c>
      <c r="F11" s="7">
        <f t="shared" si="0"/>
        <v>457</v>
      </c>
      <c r="G11" s="7">
        <f t="shared" si="3"/>
        <v>610.30740904486606</v>
      </c>
      <c r="H11" s="61">
        <v>18</v>
      </c>
      <c r="I11" s="61">
        <v>2</v>
      </c>
      <c r="J11" s="61">
        <v>14</v>
      </c>
      <c r="K11" s="61">
        <v>2</v>
      </c>
      <c r="L11" s="19">
        <f t="shared" si="4"/>
        <v>816.81408993334617</v>
      </c>
      <c r="M11" s="7" t="str">
        <f t="shared" si="5"/>
        <v>OK</v>
      </c>
      <c r="N11" s="17">
        <f t="shared" si="6"/>
        <v>131.35865335912786</v>
      </c>
      <c r="O11" s="18">
        <f t="shared" si="7"/>
        <v>0.74718031503921356</v>
      </c>
      <c r="P11" s="7">
        <v>3.5</v>
      </c>
      <c r="Q11" s="81">
        <v>-105.0472</v>
      </c>
      <c r="R11" s="7">
        <f t="shared" si="1"/>
        <v>653.20426841970095</v>
      </c>
      <c r="S11" s="61">
        <v>18</v>
      </c>
      <c r="T11" s="61">
        <v>2</v>
      </c>
      <c r="U11" s="61">
        <v>18</v>
      </c>
      <c r="V11" s="61">
        <v>2</v>
      </c>
      <c r="W11" s="19">
        <f t="shared" si="8"/>
        <v>1017.8760197630929</v>
      </c>
      <c r="X11" s="7" t="str">
        <f t="shared" si="9"/>
        <v>OK</v>
      </c>
      <c r="Y11" s="17">
        <f t="shared" si="2"/>
        <v>-163.69309110906701</v>
      </c>
      <c r="Z11" s="18">
        <f t="shared" si="10"/>
        <v>0.64173264301062127</v>
      </c>
    </row>
    <row r="12" spans="1:26" x14ac:dyDescent="0.25">
      <c r="A12" s="55" t="s">
        <v>81</v>
      </c>
      <c r="B12" s="7">
        <v>4</v>
      </c>
      <c r="C12" s="86">
        <v>125.46599999999999</v>
      </c>
      <c r="D12" s="7">
        <v>300</v>
      </c>
      <c r="E12" s="61">
        <v>500</v>
      </c>
      <c r="F12" s="7">
        <f t="shared" si="0"/>
        <v>457</v>
      </c>
      <c r="G12" s="7">
        <f t="shared" si="3"/>
        <v>780.17240575233029</v>
      </c>
      <c r="H12" s="61">
        <v>18</v>
      </c>
      <c r="I12" s="61">
        <v>2</v>
      </c>
      <c r="J12" s="61">
        <v>14</v>
      </c>
      <c r="K12" s="61">
        <v>2</v>
      </c>
      <c r="L12" s="19">
        <f t="shared" si="4"/>
        <v>816.81408993334617</v>
      </c>
      <c r="M12" s="7" t="str">
        <f t="shared" si="5"/>
        <v>OK</v>
      </c>
      <c r="N12" s="17">
        <f t="shared" si="6"/>
        <v>131.35865335912786</v>
      </c>
      <c r="O12" s="18">
        <f t="shared" si="7"/>
        <v>0.95514072953368634</v>
      </c>
      <c r="P12" s="7">
        <v>4</v>
      </c>
      <c r="Q12" s="81">
        <v>-151.512</v>
      </c>
      <c r="R12" s="7">
        <f t="shared" si="1"/>
        <v>942.13158577102217</v>
      </c>
      <c r="S12" s="61">
        <v>18</v>
      </c>
      <c r="T12" s="61">
        <v>2</v>
      </c>
      <c r="U12" s="61">
        <v>18</v>
      </c>
      <c r="V12" s="61">
        <v>2</v>
      </c>
      <c r="W12" s="19">
        <f t="shared" si="8"/>
        <v>1017.8760197630929</v>
      </c>
      <c r="X12" s="7" t="str">
        <f t="shared" si="9"/>
        <v>OK</v>
      </c>
      <c r="Y12" s="17">
        <f t="shared" si="2"/>
        <v>-163.69309110906701</v>
      </c>
      <c r="Z12" s="18">
        <f t="shared" si="10"/>
        <v>0.92558579579298872</v>
      </c>
    </row>
    <row r="13" spans="1:26" x14ac:dyDescent="0.25">
      <c r="A13" s="55" t="s">
        <v>82</v>
      </c>
      <c r="B13" s="7">
        <v>4</v>
      </c>
      <c r="C13" s="86">
        <v>116.3051</v>
      </c>
      <c r="D13" s="7">
        <v>300</v>
      </c>
      <c r="E13" s="61">
        <v>500</v>
      </c>
      <c r="F13" s="7">
        <f t="shared" si="0"/>
        <v>457</v>
      </c>
      <c r="G13" s="7">
        <f t="shared" si="3"/>
        <v>723.20811748414201</v>
      </c>
      <c r="H13" s="61">
        <v>18</v>
      </c>
      <c r="I13" s="61">
        <v>2</v>
      </c>
      <c r="J13" s="61">
        <v>14</v>
      </c>
      <c r="K13" s="61">
        <v>2</v>
      </c>
      <c r="L13" s="19">
        <f t="shared" si="4"/>
        <v>816.81408993334617</v>
      </c>
      <c r="M13" s="7" t="str">
        <f t="shared" si="5"/>
        <v>OK</v>
      </c>
      <c r="N13" s="17">
        <f t="shared" si="6"/>
        <v>131.35865335912786</v>
      </c>
      <c r="O13" s="18">
        <f t="shared" si="7"/>
        <v>0.88540112909065671</v>
      </c>
      <c r="P13" s="7">
        <v>4</v>
      </c>
      <c r="Q13" s="81">
        <v>-146.8081</v>
      </c>
      <c r="R13" s="7">
        <f t="shared" si="1"/>
        <v>912.88180511794974</v>
      </c>
      <c r="S13" s="61">
        <v>18</v>
      </c>
      <c r="T13" s="61">
        <v>2</v>
      </c>
      <c r="U13" s="61">
        <v>18</v>
      </c>
      <c r="V13" s="61">
        <v>2</v>
      </c>
      <c r="W13" s="19">
        <f t="shared" si="8"/>
        <v>1017.8760197630929</v>
      </c>
      <c r="X13" s="7" t="str">
        <f t="shared" si="9"/>
        <v>OK</v>
      </c>
      <c r="Y13" s="17">
        <f t="shared" si="2"/>
        <v>-163.69309110906701</v>
      </c>
      <c r="Z13" s="18">
        <f t="shared" si="10"/>
        <v>0.89684970211835802</v>
      </c>
    </row>
    <row r="14" spans="1:26" x14ac:dyDescent="0.25">
      <c r="A14" s="55" t="s">
        <v>82</v>
      </c>
      <c r="B14" s="7">
        <v>4.5</v>
      </c>
      <c r="C14" s="86">
        <v>92.6267</v>
      </c>
      <c r="D14" s="7">
        <v>300</v>
      </c>
      <c r="E14" s="61">
        <v>500</v>
      </c>
      <c r="F14" s="7">
        <f t="shared" si="0"/>
        <v>457</v>
      </c>
      <c r="G14" s="7">
        <f t="shared" si="3"/>
        <v>575.97114258762838</v>
      </c>
      <c r="H14" s="61">
        <v>18</v>
      </c>
      <c r="I14" s="61">
        <v>2</v>
      </c>
      <c r="J14" s="61">
        <v>14</v>
      </c>
      <c r="K14" s="61">
        <v>2</v>
      </c>
      <c r="L14" s="19">
        <f t="shared" si="4"/>
        <v>816.81408993334617</v>
      </c>
      <c r="M14" s="7" t="str">
        <f t="shared" si="5"/>
        <v>OK</v>
      </c>
      <c r="N14" s="17">
        <f t="shared" si="6"/>
        <v>131.35865335912786</v>
      </c>
      <c r="O14" s="18">
        <f t="shared" si="7"/>
        <v>0.70514349554698408</v>
      </c>
      <c r="P14" s="7">
        <v>4.5</v>
      </c>
      <c r="Q14" s="81">
        <v>-103.6477</v>
      </c>
      <c r="R14" s="7">
        <f t="shared" si="1"/>
        <v>644.5019005921589</v>
      </c>
      <c r="S14" s="61">
        <v>18</v>
      </c>
      <c r="T14" s="61">
        <v>2</v>
      </c>
      <c r="U14" s="61">
        <v>18</v>
      </c>
      <c r="V14" s="61">
        <v>2</v>
      </c>
      <c r="W14" s="19">
        <f t="shared" si="8"/>
        <v>1017.8760197630929</v>
      </c>
      <c r="X14" s="7" t="str">
        <f t="shared" si="9"/>
        <v>OK</v>
      </c>
      <c r="Y14" s="17">
        <f t="shared" si="2"/>
        <v>-163.69309110906701</v>
      </c>
      <c r="Z14" s="18">
        <f t="shared" si="10"/>
        <v>0.63318310686026824</v>
      </c>
    </row>
    <row r="15" spans="1:26" x14ac:dyDescent="0.25">
      <c r="A15" s="55" t="s">
        <v>82</v>
      </c>
      <c r="B15" s="7">
        <v>5</v>
      </c>
      <c r="C15" s="86">
        <v>66.138599999999997</v>
      </c>
      <c r="D15" s="7">
        <v>300</v>
      </c>
      <c r="E15" s="61">
        <v>500</v>
      </c>
      <c r="F15" s="7">
        <f t="shared" si="0"/>
        <v>457</v>
      </c>
      <c r="G15" s="7">
        <f t="shared" si="3"/>
        <v>411.26289731952141</v>
      </c>
      <c r="H15" s="61">
        <v>18</v>
      </c>
      <c r="I15" s="61">
        <v>2</v>
      </c>
      <c r="J15" s="61">
        <v>14</v>
      </c>
      <c r="K15" s="61">
        <v>0</v>
      </c>
      <c r="L15" s="19">
        <f t="shared" si="4"/>
        <v>508.93800988154646</v>
      </c>
      <c r="M15" s="7" t="str">
        <f t="shared" si="5"/>
        <v>OK</v>
      </c>
      <c r="N15" s="17">
        <f t="shared" si="6"/>
        <v>81.846545554533506</v>
      </c>
      <c r="O15" s="18">
        <f t="shared" si="7"/>
        <v>0.80808053109501776</v>
      </c>
      <c r="P15" s="7">
        <v>5</v>
      </c>
      <c r="Q15" s="81">
        <v>-63.296999999999997</v>
      </c>
      <c r="R15" s="7">
        <f t="shared" si="1"/>
        <v>393.59326643796129</v>
      </c>
      <c r="S15" s="61">
        <v>18</v>
      </c>
      <c r="T15" s="61">
        <v>2</v>
      </c>
      <c r="U15" s="61">
        <v>18</v>
      </c>
      <c r="V15" s="61">
        <v>0</v>
      </c>
      <c r="W15" s="19">
        <f t="shared" si="8"/>
        <v>508.93800988154646</v>
      </c>
      <c r="X15" s="7" t="str">
        <f t="shared" si="9"/>
        <v>OK</v>
      </c>
      <c r="Y15" s="17">
        <f t="shared" si="2"/>
        <v>-81.846545554533506</v>
      </c>
      <c r="Z15" s="18">
        <f t="shared" si="10"/>
        <v>0.77336190026280172</v>
      </c>
    </row>
    <row r="16" spans="1:26" x14ac:dyDescent="0.25">
      <c r="A16" s="55" t="s">
        <v>82</v>
      </c>
      <c r="B16" s="7">
        <v>5.5</v>
      </c>
      <c r="C16" s="86">
        <v>36.840899999999998</v>
      </c>
      <c r="D16" s="7">
        <v>300</v>
      </c>
      <c r="E16" s="61">
        <v>500</v>
      </c>
      <c r="F16" s="7">
        <f t="shared" si="0"/>
        <v>457</v>
      </c>
      <c r="G16" s="7">
        <f t="shared" si="3"/>
        <v>229.08400349960169</v>
      </c>
      <c r="H16" s="61">
        <v>18</v>
      </c>
      <c r="I16" s="61">
        <v>2</v>
      </c>
      <c r="J16" s="61">
        <v>14</v>
      </c>
      <c r="K16" s="61">
        <v>0</v>
      </c>
      <c r="L16" s="19">
        <f t="shared" si="4"/>
        <v>508.93800988154646</v>
      </c>
      <c r="M16" s="7" t="str">
        <f t="shared" si="5"/>
        <v>OK</v>
      </c>
      <c r="N16" s="17">
        <f t="shared" si="6"/>
        <v>81.846545554533506</v>
      </c>
      <c r="O16" s="18">
        <f t="shared" si="7"/>
        <v>0.45012162395361316</v>
      </c>
      <c r="P16" s="7">
        <v>5.5</v>
      </c>
      <c r="Q16" s="81">
        <v>-25.7561</v>
      </c>
      <c r="R16" s="7">
        <f t="shared" si="1"/>
        <v>160.15652447513745</v>
      </c>
      <c r="S16" s="61">
        <v>18</v>
      </c>
      <c r="T16" s="61">
        <v>2</v>
      </c>
      <c r="U16" s="61">
        <v>18</v>
      </c>
      <c r="V16" s="61">
        <v>0</v>
      </c>
      <c r="W16" s="19">
        <f t="shared" si="8"/>
        <v>508.93800988154646</v>
      </c>
      <c r="X16" s="7" t="str">
        <f t="shared" si="9"/>
        <v>OK</v>
      </c>
      <c r="Y16" s="17">
        <f t="shared" si="2"/>
        <v>-81.846545554533506</v>
      </c>
      <c r="Z16" s="18">
        <f t="shared" si="10"/>
        <v>0.31468768566217592</v>
      </c>
    </row>
    <row r="17" spans="1:26" x14ac:dyDescent="0.25">
      <c r="A17" s="55" t="s">
        <v>82</v>
      </c>
      <c r="B17" s="7">
        <v>6</v>
      </c>
      <c r="C17" s="86">
        <v>9.0128000000000004</v>
      </c>
      <c r="D17" s="7">
        <v>300</v>
      </c>
      <c r="E17" s="61">
        <v>500</v>
      </c>
      <c r="F17" s="7">
        <f t="shared" si="0"/>
        <v>457</v>
      </c>
      <c r="G17" s="7">
        <f t="shared" si="3"/>
        <v>56.043373173326664</v>
      </c>
      <c r="H17" s="61">
        <v>18</v>
      </c>
      <c r="I17" s="61">
        <v>2</v>
      </c>
      <c r="J17" s="61">
        <v>14</v>
      </c>
      <c r="K17" s="61">
        <v>0</v>
      </c>
      <c r="L17" s="19">
        <f t="shared" si="4"/>
        <v>508.93800988154646</v>
      </c>
      <c r="M17" s="7" t="str">
        <f t="shared" si="5"/>
        <v>OK</v>
      </c>
      <c r="N17" s="17">
        <f t="shared" si="6"/>
        <v>81.846545554533506</v>
      </c>
      <c r="O17" s="18">
        <f t="shared" si="7"/>
        <v>0.11011826997627976</v>
      </c>
      <c r="P17" s="7">
        <v>6</v>
      </c>
      <c r="Q17" s="81">
        <v>4.7308000000000003</v>
      </c>
      <c r="R17" s="7">
        <f t="shared" si="1"/>
        <v>29.417050174016261</v>
      </c>
      <c r="S17" s="61">
        <v>18</v>
      </c>
      <c r="T17" s="61">
        <v>2</v>
      </c>
      <c r="U17" s="61">
        <v>18</v>
      </c>
      <c r="V17" s="61">
        <v>0</v>
      </c>
      <c r="W17" s="19">
        <f t="shared" si="8"/>
        <v>508.93800988154646</v>
      </c>
      <c r="X17" s="7" t="str">
        <f t="shared" si="9"/>
        <v>OK</v>
      </c>
      <c r="Y17" s="17">
        <f t="shared" si="2"/>
        <v>-81.846545554533506</v>
      </c>
      <c r="Z17" s="18">
        <f t="shared" si="10"/>
        <v>-5.7800851189839374E-2</v>
      </c>
    </row>
    <row r="18" spans="1:26" x14ac:dyDescent="0.25">
      <c r="A18" s="55" t="s">
        <v>82</v>
      </c>
      <c r="B18" s="7">
        <v>6.5</v>
      </c>
      <c r="C18" s="86">
        <v>40.896999999999998</v>
      </c>
      <c r="D18" s="7">
        <v>300</v>
      </c>
      <c r="E18" s="61">
        <v>500</v>
      </c>
      <c r="F18" s="7">
        <f t="shared" si="0"/>
        <v>457</v>
      </c>
      <c r="G18" s="7">
        <f t="shared" si="3"/>
        <v>254.30563561485226</v>
      </c>
      <c r="H18" s="61">
        <v>18</v>
      </c>
      <c r="I18" s="61">
        <v>2</v>
      </c>
      <c r="J18" s="61">
        <v>14</v>
      </c>
      <c r="K18" s="61">
        <v>0</v>
      </c>
      <c r="L18" s="19">
        <f t="shared" si="4"/>
        <v>508.93800988154646</v>
      </c>
      <c r="M18" s="7" t="str">
        <f t="shared" si="5"/>
        <v>OK</v>
      </c>
      <c r="N18" s="17">
        <f t="shared" si="6"/>
        <v>81.846545554533506</v>
      </c>
      <c r="O18" s="18">
        <f t="shared" si="7"/>
        <v>0.49967899955839618</v>
      </c>
      <c r="P18" s="7">
        <v>6.5</v>
      </c>
      <c r="Q18" s="81">
        <v>-30.1843</v>
      </c>
      <c r="R18" s="7">
        <f t="shared" si="1"/>
        <v>187.69194799348082</v>
      </c>
      <c r="S18" s="61">
        <v>18</v>
      </c>
      <c r="T18" s="61">
        <v>2</v>
      </c>
      <c r="U18" s="61">
        <v>18</v>
      </c>
      <c r="V18" s="61">
        <v>0</v>
      </c>
      <c r="W18" s="19">
        <f t="shared" si="8"/>
        <v>508.93800988154646</v>
      </c>
      <c r="X18" s="7" t="str">
        <f t="shared" si="9"/>
        <v>OK</v>
      </c>
      <c r="Y18" s="17">
        <f t="shared" si="2"/>
        <v>-81.846545554533506</v>
      </c>
      <c r="Z18" s="18">
        <f t="shared" si="10"/>
        <v>0.36879137409517809</v>
      </c>
    </row>
    <row r="19" spans="1:26" x14ac:dyDescent="0.25">
      <c r="A19" s="55" t="s">
        <v>82</v>
      </c>
      <c r="B19" s="7">
        <v>7</v>
      </c>
      <c r="C19" s="86">
        <v>70.008700000000005</v>
      </c>
      <c r="D19" s="7">
        <v>300</v>
      </c>
      <c r="E19" s="61">
        <v>500</v>
      </c>
      <c r="F19" s="7">
        <f t="shared" si="0"/>
        <v>457</v>
      </c>
      <c r="G19" s="7">
        <f t="shared" si="3"/>
        <v>435.32794464311581</v>
      </c>
      <c r="H19" s="61">
        <v>18</v>
      </c>
      <c r="I19" s="61">
        <v>2</v>
      </c>
      <c r="J19" s="61">
        <v>14</v>
      </c>
      <c r="K19" s="61">
        <v>2</v>
      </c>
      <c r="L19" s="19">
        <f t="shared" si="4"/>
        <v>816.81408993334617</v>
      </c>
      <c r="M19" s="7" t="str">
        <f t="shared" si="5"/>
        <v>OK</v>
      </c>
      <c r="N19" s="17">
        <f t="shared" si="6"/>
        <v>131.35865335912786</v>
      </c>
      <c r="O19" s="18">
        <f t="shared" si="7"/>
        <v>0.53295841735374516</v>
      </c>
      <c r="P19" s="7">
        <v>7</v>
      </c>
      <c r="Q19" s="81">
        <v>-67.911299999999997</v>
      </c>
      <c r="R19" s="7">
        <f t="shared" si="1"/>
        <v>422.2858965677413</v>
      </c>
      <c r="S19" s="61">
        <v>18</v>
      </c>
      <c r="T19" s="61">
        <v>2</v>
      </c>
      <c r="U19" s="61">
        <v>18</v>
      </c>
      <c r="V19" s="61">
        <v>0</v>
      </c>
      <c r="W19" s="19">
        <f t="shared" si="8"/>
        <v>508.93800988154646</v>
      </c>
      <c r="X19" s="7" t="str">
        <f t="shared" si="9"/>
        <v>OK</v>
      </c>
      <c r="Y19" s="17">
        <f t="shared" si="2"/>
        <v>-81.846545554533506</v>
      </c>
      <c r="Z19" s="18">
        <f t="shared" si="10"/>
        <v>0.82973935600924542</v>
      </c>
    </row>
    <row r="20" spans="1:26" x14ac:dyDescent="0.25">
      <c r="A20" s="55" t="s">
        <v>82</v>
      </c>
      <c r="B20" s="7">
        <v>7.5</v>
      </c>
      <c r="C20" s="86">
        <v>96.3108</v>
      </c>
      <c r="D20" s="7">
        <v>300</v>
      </c>
      <c r="E20" s="61">
        <v>500</v>
      </c>
      <c r="F20" s="7">
        <f t="shared" si="0"/>
        <v>457</v>
      </c>
      <c r="G20" s="7">
        <f t="shared" si="3"/>
        <v>598.87960511956658</v>
      </c>
      <c r="H20" s="61">
        <v>18</v>
      </c>
      <c r="I20" s="61">
        <v>2</v>
      </c>
      <c r="J20" s="61">
        <v>14</v>
      </c>
      <c r="K20" s="61">
        <v>2</v>
      </c>
      <c r="L20" s="19">
        <f t="shared" si="4"/>
        <v>816.81408993334617</v>
      </c>
      <c r="M20" s="7" t="str">
        <f t="shared" si="5"/>
        <v>OK</v>
      </c>
      <c r="N20" s="17">
        <f t="shared" si="6"/>
        <v>131.35865335912786</v>
      </c>
      <c r="O20" s="18">
        <f t="shared" si="7"/>
        <v>0.73318961132077975</v>
      </c>
      <c r="P20" s="7">
        <v>7.5</v>
      </c>
      <c r="Q20" s="81">
        <v>-108.44799999999999</v>
      </c>
      <c r="R20" s="7">
        <f t="shared" si="1"/>
        <v>674.35111551359512</v>
      </c>
      <c r="S20" s="61">
        <v>18</v>
      </c>
      <c r="T20" s="61">
        <v>2</v>
      </c>
      <c r="U20" s="61">
        <v>18</v>
      </c>
      <c r="V20" s="61">
        <v>2</v>
      </c>
      <c r="W20" s="19">
        <f t="shared" si="8"/>
        <v>1017.8760197630929</v>
      </c>
      <c r="X20" s="7" t="str">
        <f t="shared" si="9"/>
        <v>OK</v>
      </c>
      <c r="Y20" s="17">
        <f t="shared" si="2"/>
        <v>-163.69309110906701</v>
      </c>
      <c r="Z20" s="18">
        <f t="shared" si="10"/>
        <v>0.66250810749087885</v>
      </c>
    </row>
    <row r="21" spans="1:26" x14ac:dyDescent="0.25">
      <c r="A21" s="55" t="s">
        <v>82</v>
      </c>
      <c r="B21" s="7">
        <v>8</v>
      </c>
      <c r="C21" s="86">
        <v>119.8031</v>
      </c>
      <c r="D21" s="7">
        <v>300</v>
      </c>
      <c r="E21" s="61">
        <v>500</v>
      </c>
      <c r="F21" s="7">
        <f t="shared" si="0"/>
        <v>457</v>
      </c>
      <c r="G21" s="7">
        <f t="shared" si="3"/>
        <v>744.95937340464354</v>
      </c>
      <c r="H21" s="61">
        <v>18</v>
      </c>
      <c r="I21" s="61">
        <v>2</v>
      </c>
      <c r="J21" s="61">
        <v>14</v>
      </c>
      <c r="K21" s="61">
        <v>2</v>
      </c>
      <c r="L21" s="19">
        <f t="shared" si="4"/>
        <v>816.81408993334617</v>
      </c>
      <c r="M21" s="7" t="str">
        <f t="shared" si="5"/>
        <v>OK</v>
      </c>
      <c r="N21" s="17">
        <f t="shared" si="6"/>
        <v>131.35865335912786</v>
      </c>
      <c r="O21" s="18">
        <f t="shared" si="7"/>
        <v>0.91203051292300052</v>
      </c>
      <c r="P21" s="7">
        <v>8</v>
      </c>
      <c r="Q21" s="81">
        <v>-151.7945</v>
      </c>
      <c r="R21" s="7">
        <f t="shared" si="1"/>
        <v>943.88822665082262</v>
      </c>
      <c r="S21" s="61">
        <v>18</v>
      </c>
      <c r="T21" s="61">
        <v>2</v>
      </c>
      <c r="U21" s="61">
        <v>18</v>
      </c>
      <c r="V21" s="61">
        <v>2</v>
      </c>
      <c r="W21" s="19">
        <f t="shared" si="8"/>
        <v>1017.8760197630929</v>
      </c>
      <c r="X21" s="7" t="str">
        <f t="shared" si="9"/>
        <v>OK</v>
      </c>
      <c r="Y21" s="17">
        <f t="shared" si="2"/>
        <v>-163.69309110906701</v>
      </c>
      <c r="Z21" s="18">
        <f t="shared" si="10"/>
        <v>0.92731158640568956</v>
      </c>
    </row>
    <row r="22" spans="1:26" x14ac:dyDescent="0.25">
      <c r="A22" s="55" t="s">
        <v>83</v>
      </c>
      <c r="B22" s="7">
        <v>8</v>
      </c>
      <c r="C22" s="86">
        <v>80.521100000000004</v>
      </c>
      <c r="D22" s="7">
        <v>300</v>
      </c>
      <c r="E22" s="61">
        <v>500</v>
      </c>
      <c r="F22" s="7">
        <f t="shared" si="0"/>
        <v>457</v>
      </c>
      <c r="G22" s="7">
        <f t="shared" si="3"/>
        <v>500.69612724422524</v>
      </c>
      <c r="H22" s="61">
        <v>18</v>
      </c>
      <c r="I22" s="61">
        <v>2</v>
      </c>
      <c r="J22" s="61">
        <v>14</v>
      </c>
      <c r="K22" s="61">
        <v>2</v>
      </c>
      <c r="L22" s="19">
        <f t="shared" si="4"/>
        <v>816.81408993334617</v>
      </c>
      <c r="M22" s="7" t="str">
        <f t="shared" si="5"/>
        <v>OK</v>
      </c>
      <c r="N22" s="17">
        <f t="shared" si="6"/>
        <v>131.35865335912786</v>
      </c>
      <c r="O22" s="18">
        <f t="shared" si="7"/>
        <v>0.61298664336836206</v>
      </c>
      <c r="P22" s="7">
        <v>8</v>
      </c>
      <c r="Q22" s="81">
        <v>-135.07429999999999</v>
      </c>
      <c r="R22" s="7">
        <f t="shared" si="1"/>
        <v>839.91871571829813</v>
      </c>
      <c r="S22" s="61">
        <v>18</v>
      </c>
      <c r="T22" s="61">
        <v>2</v>
      </c>
      <c r="U22" s="61">
        <v>18</v>
      </c>
      <c r="V22" s="61">
        <v>2</v>
      </c>
      <c r="W22" s="19">
        <f t="shared" si="8"/>
        <v>1017.8760197630929</v>
      </c>
      <c r="X22" s="7" t="str">
        <f t="shared" si="9"/>
        <v>OK</v>
      </c>
      <c r="Y22" s="17">
        <f t="shared" si="2"/>
        <v>-163.69309110906701</v>
      </c>
      <c r="Z22" s="18">
        <f t="shared" si="10"/>
        <v>0.82516799630841708</v>
      </c>
    </row>
    <row r="23" spans="1:26" x14ac:dyDescent="0.25">
      <c r="A23" s="55" t="s">
        <v>83</v>
      </c>
      <c r="B23" s="7">
        <v>8.5</v>
      </c>
      <c r="C23" s="86">
        <v>75.078900000000004</v>
      </c>
      <c r="D23" s="7">
        <v>300</v>
      </c>
      <c r="E23" s="61">
        <v>500</v>
      </c>
      <c r="F23" s="7">
        <f t="shared" si="0"/>
        <v>457</v>
      </c>
      <c r="G23" s="7">
        <f t="shared" si="3"/>
        <v>466.85545115201438</v>
      </c>
      <c r="H23" s="61">
        <v>18</v>
      </c>
      <c r="I23" s="61">
        <v>2</v>
      </c>
      <c r="J23" s="61">
        <v>14</v>
      </c>
      <c r="K23" s="61">
        <v>0</v>
      </c>
      <c r="L23" s="19">
        <f t="shared" si="4"/>
        <v>508.93800988154646</v>
      </c>
      <c r="M23" s="7" t="str">
        <f t="shared" si="5"/>
        <v>OK</v>
      </c>
      <c r="N23" s="17">
        <f t="shared" si="6"/>
        <v>81.846545554533506</v>
      </c>
      <c r="O23" s="18">
        <f t="shared" si="7"/>
        <v>0.9173129970399998</v>
      </c>
      <c r="P23" s="7">
        <v>8.5</v>
      </c>
      <c r="Q23" s="81">
        <v>-101.4371</v>
      </c>
      <c r="R23" s="7">
        <f t="shared" si="1"/>
        <v>630.75595252530331</v>
      </c>
      <c r="S23" s="61">
        <v>18</v>
      </c>
      <c r="T23" s="61">
        <v>2</v>
      </c>
      <c r="U23" s="61">
        <v>18</v>
      </c>
      <c r="V23" s="61">
        <v>2</v>
      </c>
      <c r="W23" s="19">
        <f t="shared" si="8"/>
        <v>1017.8760197630929</v>
      </c>
      <c r="X23" s="7" t="str">
        <f t="shared" si="9"/>
        <v>OK</v>
      </c>
      <c r="Y23" s="17">
        <f t="shared" si="2"/>
        <v>-163.69309110906701</v>
      </c>
      <c r="Z23" s="18">
        <f t="shared" si="10"/>
        <v>0.61967856622863526</v>
      </c>
    </row>
    <row r="24" spans="1:26" x14ac:dyDescent="0.25">
      <c r="A24" s="55" t="s">
        <v>83</v>
      </c>
      <c r="B24" s="7">
        <v>9</v>
      </c>
      <c r="C24" s="86">
        <v>66.827100000000002</v>
      </c>
      <c r="D24" s="7">
        <v>300</v>
      </c>
      <c r="E24" s="61">
        <v>500</v>
      </c>
      <c r="F24" s="7">
        <f t="shared" si="0"/>
        <v>457</v>
      </c>
      <c r="G24" s="7">
        <f t="shared" si="3"/>
        <v>415.54412650799065</v>
      </c>
      <c r="H24" s="61">
        <v>18</v>
      </c>
      <c r="I24" s="61">
        <v>2</v>
      </c>
      <c r="J24" s="61">
        <v>14</v>
      </c>
      <c r="K24" s="61">
        <v>0</v>
      </c>
      <c r="L24" s="19">
        <f t="shared" si="4"/>
        <v>508.93800988154646</v>
      </c>
      <c r="M24" s="7" t="str">
        <f t="shared" si="5"/>
        <v>OK</v>
      </c>
      <c r="N24" s="17">
        <f t="shared" si="6"/>
        <v>81.846545554533506</v>
      </c>
      <c r="O24" s="18">
        <f t="shared" si="7"/>
        <v>0.8164926148956867</v>
      </c>
      <c r="P24" s="7">
        <v>9</v>
      </c>
      <c r="Q24" s="81">
        <v>-70.6096</v>
      </c>
      <c r="R24" s="7">
        <f t="shared" si="1"/>
        <v>439.06445970390183</v>
      </c>
      <c r="S24" s="61">
        <v>18</v>
      </c>
      <c r="T24" s="61">
        <v>2</v>
      </c>
      <c r="U24" s="61">
        <v>18</v>
      </c>
      <c r="V24" s="61">
        <v>0</v>
      </c>
      <c r="W24" s="19">
        <f t="shared" si="8"/>
        <v>508.93800988154646</v>
      </c>
      <c r="X24" s="7" t="str">
        <f t="shared" si="9"/>
        <v>OK</v>
      </c>
      <c r="Y24" s="17">
        <f t="shared" si="2"/>
        <v>-81.846545554533506</v>
      </c>
      <c r="Z24" s="18">
        <f t="shared" si="10"/>
        <v>0.86270714935615156</v>
      </c>
    </row>
    <row r="25" spans="1:26" x14ac:dyDescent="0.25">
      <c r="A25" s="55" t="s">
        <v>83</v>
      </c>
      <c r="B25" s="7">
        <v>9.5</v>
      </c>
      <c r="C25" s="86">
        <v>55.765500000000003</v>
      </c>
      <c r="D25" s="7">
        <v>300</v>
      </c>
      <c r="E25" s="61">
        <v>500</v>
      </c>
      <c r="F25" s="7">
        <f t="shared" si="0"/>
        <v>457</v>
      </c>
      <c r="G25" s="7">
        <f t="shared" si="3"/>
        <v>346.76090967259319</v>
      </c>
      <c r="H25" s="61">
        <v>18</v>
      </c>
      <c r="I25" s="61">
        <v>2</v>
      </c>
      <c r="J25" s="61">
        <v>14</v>
      </c>
      <c r="K25" s="61">
        <v>0</v>
      </c>
      <c r="L25" s="19">
        <f t="shared" si="4"/>
        <v>508.93800988154646</v>
      </c>
      <c r="M25" s="7" t="str">
        <f t="shared" si="5"/>
        <v>OK</v>
      </c>
      <c r="N25" s="17">
        <f t="shared" si="6"/>
        <v>81.846545554533506</v>
      </c>
      <c r="O25" s="18">
        <f t="shared" si="7"/>
        <v>0.68134213389426468</v>
      </c>
      <c r="P25" s="7">
        <v>9.5</v>
      </c>
      <c r="Q25" s="81">
        <v>-42.591900000000003</v>
      </c>
      <c r="R25" s="7">
        <f t="shared" si="1"/>
        <v>264.84485907387403</v>
      </c>
      <c r="S25" s="61">
        <v>18</v>
      </c>
      <c r="T25" s="61">
        <v>2</v>
      </c>
      <c r="U25" s="61">
        <v>18</v>
      </c>
      <c r="V25" s="61">
        <v>0</v>
      </c>
      <c r="W25" s="19">
        <f t="shared" si="8"/>
        <v>508.93800988154646</v>
      </c>
      <c r="X25" s="7" t="str">
        <f t="shared" si="9"/>
        <v>OK</v>
      </c>
      <c r="Y25" s="17">
        <f t="shared" si="2"/>
        <v>-81.846545554533506</v>
      </c>
      <c r="Z25" s="18">
        <f t="shared" si="10"/>
        <v>0.52038726511214162</v>
      </c>
    </row>
    <row r="26" spans="1:26" x14ac:dyDescent="0.25">
      <c r="A26" s="55" t="s">
        <v>83</v>
      </c>
      <c r="B26" s="7">
        <v>10</v>
      </c>
      <c r="C26" s="86">
        <v>41.894199999999998</v>
      </c>
      <c r="D26" s="7">
        <v>300</v>
      </c>
      <c r="E26" s="61">
        <v>500</v>
      </c>
      <c r="F26" s="7">
        <f t="shared" si="0"/>
        <v>457</v>
      </c>
      <c r="G26" s="7">
        <f t="shared" si="3"/>
        <v>260.50642246560244</v>
      </c>
      <c r="H26" s="61">
        <v>18</v>
      </c>
      <c r="I26" s="61">
        <v>2</v>
      </c>
      <c r="J26" s="61">
        <v>14</v>
      </c>
      <c r="K26" s="61">
        <v>0</v>
      </c>
      <c r="L26" s="19">
        <f t="shared" si="4"/>
        <v>508.93800988154646</v>
      </c>
      <c r="M26" s="7" t="str">
        <f t="shared" si="5"/>
        <v>OK</v>
      </c>
      <c r="N26" s="17">
        <f t="shared" si="6"/>
        <v>81.846545554533506</v>
      </c>
      <c r="O26" s="18">
        <f t="shared" si="7"/>
        <v>0.51186277583439765</v>
      </c>
      <c r="P26" s="7">
        <v>10</v>
      </c>
      <c r="Q26" s="81">
        <v>-17.383900000000001</v>
      </c>
      <c r="R26" s="7">
        <f t="shared" si="1"/>
        <v>108.09652881543953</v>
      </c>
      <c r="S26" s="61">
        <v>18</v>
      </c>
      <c r="T26" s="61">
        <v>2</v>
      </c>
      <c r="U26" s="61">
        <v>18</v>
      </c>
      <c r="V26" s="61">
        <v>0</v>
      </c>
      <c r="W26" s="19">
        <f t="shared" si="8"/>
        <v>508.93800988154646</v>
      </c>
      <c r="X26" s="7" t="str">
        <f t="shared" si="9"/>
        <v>OK</v>
      </c>
      <c r="Y26" s="17">
        <f t="shared" si="2"/>
        <v>-81.846545554533506</v>
      </c>
      <c r="Z26" s="18">
        <f t="shared" si="10"/>
        <v>0.2123962579265766</v>
      </c>
    </row>
    <row r="27" spans="1:26" x14ac:dyDescent="0.25">
      <c r="A27" s="55" t="s">
        <v>83</v>
      </c>
      <c r="B27" s="7">
        <v>10.5</v>
      </c>
      <c r="C27" s="86">
        <v>25.2133</v>
      </c>
      <c r="D27" s="7">
        <v>300</v>
      </c>
      <c r="E27" s="61">
        <v>500</v>
      </c>
      <c r="F27" s="7">
        <f t="shared" si="0"/>
        <v>457</v>
      </c>
      <c r="G27" s="7">
        <f t="shared" si="3"/>
        <v>156.78128670679891</v>
      </c>
      <c r="H27" s="61">
        <v>18</v>
      </c>
      <c r="I27" s="61">
        <v>2</v>
      </c>
      <c r="J27" s="61">
        <v>14</v>
      </c>
      <c r="K27" s="61">
        <v>0</v>
      </c>
      <c r="L27" s="19">
        <f t="shared" si="4"/>
        <v>508.93800988154646</v>
      </c>
      <c r="M27" s="7" t="str">
        <f t="shared" si="5"/>
        <v>OK</v>
      </c>
      <c r="N27" s="17">
        <f t="shared" si="6"/>
        <v>81.846545554533506</v>
      </c>
      <c r="O27" s="18">
        <f t="shared" si="7"/>
        <v>0.30805576251474948</v>
      </c>
      <c r="P27" s="7">
        <v>10.5</v>
      </c>
      <c r="Q27" s="81">
        <v>5.0143000000000004</v>
      </c>
      <c r="R27" s="7">
        <f t="shared" si="1"/>
        <v>31.179909251621236</v>
      </c>
      <c r="S27" s="61">
        <v>18</v>
      </c>
      <c r="T27" s="61">
        <v>2</v>
      </c>
      <c r="U27" s="61">
        <v>18</v>
      </c>
      <c r="V27" s="61">
        <v>0</v>
      </c>
      <c r="W27" s="19">
        <f t="shared" si="8"/>
        <v>508.93800988154646</v>
      </c>
      <c r="X27" s="7" t="str">
        <f t="shared" si="9"/>
        <v>OK</v>
      </c>
      <c r="Y27" s="17">
        <f t="shared" si="2"/>
        <v>-81.846545554533506</v>
      </c>
      <c r="Z27" s="18">
        <f t="shared" si="10"/>
        <v>-6.1264650401879506E-2</v>
      </c>
    </row>
    <row r="28" spans="1:26" x14ac:dyDescent="0.25">
      <c r="A28" s="55" t="s">
        <v>83</v>
      </c>
      <c r="B28" s="7">
        <v>11</v>
      </c>
      <c r="C28" s="86">
        <v>24.603200000000001</v>
      </c>
      <c r="D28" s="7">
        <v>300</v>
      </c>
      <c r="E28" s="61">
        <v>500</v>
      </c>
      <c r="F28" s="7">
        <f t="shared" si="0"/>
        <v>457</v>
      </c>
      <c r="G28" s="7">
        <f t="shared" si="3"/>
        <v>152.98756422621057</v>
      </c>
      <c r="H28" s="61">
        <v>18</v>
      </c>
      <c r="I28" s="61">
        <v>2</v>
      </c>
      <c r="J28" s="61">
        <v>14</v>
      </c>
      <c r="K28" s="61">
        <v>0</v>
      </c>
      <c r="L28" s="19">
        <f t="shared" si="4"/>
        <v>508.93800988154646</v>
      </c>
      <c r="M28" s="7" t="str">
        <f t="shared" si="5"/>
        <v>OK</v>
      </c>
      <c r="N28" s="17">
        <f t="shared" si="6"/>
        <v>81.846545554533506</v>
      </c>
      <c r="O28" s="18">
        <f t="shared" si="7"/>
        <v>0.30060156886654604</v>
      </c>
      <c r="P28" s="7">
        <v>11</v>
      </c>
      <c r="Q28" s="81">
        <v>5.7222</v>
      </c>
      <c r="R28" s="7">
        <f t="shared" si="1"/>
        <v>35.581771477499757</v>
      </c>
      <c r="S28" s="61">
        <v>18</v>
      </c>
      <c r="T28" s="61">
        <v>2</v>
      </c>
      <c r="U28" s="61">
        <v>18</v>
      </c>
      <c r="V28" s="61">
        <v>0</v>
      </c>
      <c r="W28" s="19">
        <f t="shared" si="8"/>
        <v>508.93800988154646</v>
      </c>
      <c r="X28" s="7" t="str">
        <f t="shared" si="9"/>
        <v>OK</v>
      </c>
      <c r="Y28" s="17">
        <f t="shared" si="2"/>
        <v>-81.846545554533506</v>
      </c>
      <c r="Z28" s="18">
        <f t="shared" si="10"/>
        <v>-6.9913763143337027E-2</v>
      </c>
    </row>
    <row r="29" spans="1:26" x14ac:dyDescent="0.25">
      <c r="A29" s="55" t="s">
        <v>83</v>
      </c>
      <c r="B29" s="7">
        <v>11.5</v>
      </c>
      <c r="C29" s="86">
        <v>41.381900000000002</v>
      </c>
      <c r="D29" s="7">
        <v>300</v>
      </c>
      <c r="E29" s="61">
        <v>500</v>
      </c>
      <c r="F29" s="7">
        <f t="shared" si="0"/>
        <v>457</v>
      </c>
      <c r="G29" s="7">
        <f t="shared" si="3"/>
        <v>257.32083973030427</v>
      </c>
      <c r="H29" s="61">
        <v>18</v>
      </c>
      <c r="I29" s="61">
        <v>2</v>
      </c>
      <c r="J29" s="61">
        <v>14</v>
      </c>
      <c r="K29" s="61">
        <v>0</v>
      </c>
      <c r="L29" s="19">
        <f t="shared" si="4"/>
        <v>508.93800988154646</v>
      </c>
      <c r="M29" s="7" t="str">
        <f t="shared" si="5"/>
        <v>OK</v>
      </c>
      <c r="N29" s="17">
        <f t="shared" si="6"/>
        <v>81.846545554533506</v>
      </c>
      <c r="O29" s="18">
        <f t="shared" si="7"/>
        <v>0.50560350127944831</v>
      </c>
      <c r="P29" s="7">
        <v>11.5</v>
      </c>
      <c r="Q29" s="81">
        <v>-16.578199999999999</v>
      </c>
      <c r="R29" s="7">
        <f t="shared" si="1"/>
        <v>103.08652684427081</v>
      </c>
      <c r="S29" s="61">
        <v>18</v>
      </c>
      <c r="T29" s="61">
        <v>2</v>
      </c>
      <c r="U29" s="61">
        <v>18</v>
      </c>
      <c r="V29" s="61">
        <v>0</v>
      </c>
      <c r="W29" s="19">
        <f t="shared" si="8"/>
        <v>508.93800988154646</v>
      </c>
      <c r="X29" s="7" t="str">
        <f t="shared" si="9"/>
        <v>OK</v>
      </c>
      <c r="Y29" s="17">
        <f t="shared" si="2"/>
        <v>-81.846545554533506</v>
      </c>
      <c r="Z29" s="18">
        <f t="shared" si="10"/>
        <v>0.20255222609186499</v>
      </c>
    </row>
    <row r="30" spans="1:26" x14ac:dyDescent="0.25">
      <c r="A30" s="55" t="s">
        <v>83</v>
      </c>
      <c r="B30" s="7">
        <v>12</v>
      </c>
      <c r="C30" s="86">
        <v>55.350999999999999</v>
      </c>
      <c r="D30" s="7">
        <v>300</v>
      </c>
      <c r="E30" s="61">
        <v>500</v>
      </c>
      <c r="F30" s="7">
        <f t="shared" si="0"/>
        <v>457</v>
      </c>
      <c r="G30" s="7">
        <f t="shared" si="3"/>
        <v>344.18346668258522</v>
      </c>
      <c r="H30" s="61">
        <v>18</v>
      </c>
      <c r="I30" s="61">
        <v>2</v>
      </c>
      <c r="J30" s="61">
        <v>14</v>
      </c>
      <c r="K30" s="61">
        <v>0</v>
      </c>
      <c r="L30" s="19">
        <f t="shared" si="4"/>
        <v>508.93800988154646</v>
      </c>
      <c r="M30" s="7" t="str">
        <f t="shared" si="5"/>
        <v>OK</v>
      </c>
      <c r="N30" s="17">
        <f t="shared" si="6"/>
        <v>81.846545554533506</v>
      </c>
      <c r="O30" s="18">
        <f t="shared" si="7"/>
        <v>0.67627777843256931</v>
      </c>
      <c r="P30" s="7">
        <v>12</v>
      </c>
      <c r="Q30" s="81">
        <v>-41.688400000000001</v>
      </c>
      <c r="R30" s="7">
        <f t="shared" si="1"/>
        <v>259.22671735741517</v>
      </c>
      <c r="S30" s="61">
        <v>18</v>
      </c>
      <c r="T30" s="61">
        <v>2</v>
      </c>
      <c r="U30" s="61">
        <v>18</v>
      </c>
      <c r="V30" s="61">
        <v>0</v>
      </c>
      <c r="W30" s="19">
        <f t="shared" si="8"/>
        <v>508.93800988154646</v>
      </c>
      <c r="X30" s="7" t="str">
        <f t="shared" si="9"/>
        <v>OK</v>
      </c>
      <c r="Y30" s="17">
        <f t="shared" si="2"/>
        <v>-81.846545554533506</v>
      </c>
      <c r="Z30" s="18">
        <f t="shared" si="10"/>
        <v>0.50934831418417592</v>
      </c>
    </row>
    <row r="31" spans="1:26" x14ac:dyDescent="0.25">
      <c r="A31" s="55" t="s">
        <v>83</v>
      </c>
      <c r="B31" s="7">
        <v>12.5</v>
      </c>
      <c r="C31" s="86">
        <v>66.510400000000004</v>
      </c>
      <c r="D31" s="7">
        <v>300</v>
      </c>
      <c r="E31" s="61">
        <v>500</v>
      </c>
      <c r="F31" s="7">
        <f t="shared" si="0"/>
        <v>457</v>
      </c>
      <c r="G31" s="7">
        <f t="shared" si="3"/>
        <v>413.57482326327289</v>
      </c>
      <c r="H31" s="61">
        <v>18</v>
      </c>
      <c r="I31" s="61">
        <v>2</v>
      </c>
      <c r="J31" s="61">
        <v>14</v>
      </c>
      <c r="K31" s="61">
        <v>0</v>
      </c>
      <c r="L31" s="19">
        <f t="shared" si="4"/>
        <v>508.93800988154646</v>
      </c>
      <c r="M31" s="7" t="str">
        <f t="shared" si="5"/>
        <v>OK</v>
      </c>
      <c r="N31" s="17">
        <f t="shared" si="6"/>
        <v>81.846545554533506</v>
      </c>
      <c r="O31" s="18">
        <f t="shared" si="7"/>
        <v>0.81262317852724542</v>
      </c>
      <c r="P31" s="7">
        <v>12.5</v>
      </c>
      <c r="Q31" s="81">
        <v>-69.6083</v>
      </c>
      <c r="R31" s="7">
        <f t="shared" si="1"/>
        <v>432.83817824215276</v>
      </c>
      <c r="S31" s="61">
        <v>18</v>
      </c>
      <c r="T31" s="61">
        <v>2</v>
      </c>
      <c r="U31" s="61">
        <v>18</v>
      </c>
      <c r="V31" s="61">
        <v>0</v>
      </c>
      <c r="W31" s="19">
        <f t="shared" si="8"/>
        <v>508.93800988154646</v>
      </c>
      <c r="X31" s="7" t="str">
        <f t="shared" si="9"/>
        <v>OK</v>
      </c>
      <c r="Y31" s="17">
        <f t="shared" si="2"/>
        <v>-81.846545554533506</v>
      </c>
      <c r="Z31" s="18">
        <f t="shared" si="10"/>
        <v>0.85047327933493189</v>
      </c>
    </row>
    <row r="32" spans="1:26" x14ac:dyDescent="0.25">
      <c r="A32" s="55" t="s">
        <v>83</v>
      </c>
      <c r="B32" s="7">
        <v>13</v>
      </c>
      <c r="C32" s="86">
        <v>74.860100000000003</v>
      </c>
      <c r="D32" s="7">
        <v>300</v>
      </c>
      <c r="E32" s="61">
        <v>500</v>
      </c>
      <c r="F32" s="7">
        <f t="shared" si="0"/>
        <v>457</v>
      </c>
      <c r="G32" s="7">
        <f t="shared" si="3"/>
        <v>465.49490947236723</v>
      </c>
      <c r="H32" s="61">
        <v>18</v>
      </c>
      <c r="I32" s="61">
        <v>2</v>
      </c>
      <c r="J32" s="61">
        <v>14</v>
      </c>
      <c r="K32" s="61">
        <v>2</v>
      </c>
      <c r="L32" s="19">
        <f t="shared" si="4"/>
        <v>816.81408993334617</v>
      </c>
      <c r="M32" s="7" t="str">
        <f t="shared" si="5"/>
        <v>OK</v>
      </c>
      <c r="N32" s="17">
        <f t="shared" si="6"/>
        <v>131.35865335912786</v>
      </c>
      <c r="O32" s="18">
        <f t="shared" si="7"/>
        <v>0.56989089097416601</v>
      </c>
      <c r="P32" s="7">
        <v>13</v>
      </c>
      <c r="Q32" s="81">
        <v>-100.3379</v>
      </c>
      <c r="R32" s="7">
        <f t="shared" si="1"/>
        <v>623.92090949848364</v>
      </c>
      <c r="S32" s="61">
        <v>18</v>
      </c>
      <c r="T32" s="61">
        <v>2</v>
      </c>
      <c r="U32" s="61">
        <v>18</v>
      </c>
      <c r="V32" s="61">
        <v>2</v>
      </c>
      <c r="W32" s="19">
        <f t="shared" si="8"/>
        <v>1017.8760197630929</v>
      </c>
      <c r="X32" s="7" t="str">
        <f t="shared" si="9"/>
        <v>OK</v>
      </c>
      <c r="Y32" s="17">
        <f t="shared" si="2"/>
        <v>-163.69309110906701</v>
      </c>
      <c r="Z32" s="18">
        <f t="shared" si="10"/>
        <v>0.61296356077206648</v>
      </c>
    </row>
    <row r="33" spans="1:26" x14ac:dyDescent="0.25">
      <c r="A33" s="55" t="s">
        <v>83</v>
      </c>
      <c r="B33" s="7">
        <v>13.5</v>
      </c>
      <c r="C33" s="86">
        <v>80.400099999999995</v>
      </c>
      <c r="D33" s="7">
        <v>300</v>
      </c>
      <c r="E33" s="61">
        <v>500</v>
      </c>
      <c r="F33" s="7">
        <f t="shared" si="0"/>
        <v>457</v>
      </c>
      <c r="G33" s="7">
        <f t="shared" si="3"/>
        <v>499.94372530986828</v>
      </c>
      <c r="H33" s="61">
        <v>18</v>
      </c>
      <c r="I33" s="61">
        <v>2</v>
      </c>
      <c r="J33" s="61">
        <v>14</v>
      </c>
      <c r="K33" s="61">
        <v>2</v>
      </c>
      <c r="L33" s="19">
        <f t="shared" si="4"/>
        <v>816.81408993334617</v>
      </c>
      <c r="M33" s="7" t="str">
        <f t="shared" si="5"/>
        <v>OK</v>
      </c>
      <c r="N33" s="17">
        <f t="shared" si="6"/>
        <v>131.35865335912786</v>
      </c>
      <c r="O33" s="18">
        <f t="shared" si="7"/>
        <v>0.61206550116032499</v>
      </c>
      <c r="P33" s="7">
        <v>13.5</v>
      </c>
      <c r="Q33" s="81">
        <v>-133.87729999999999</v>
      </c>
      <c r="R33" s="7">
        <f t="shared" si="1"/>
        <v>832.4755329461882</v>
      </c>
      <c r="S33" s="61">
        <v>18</v>
      </c>
      <c r="T33" s="61">
        <v>2</v>
      </c>
      <c r="U33" s="61">
        <v>18</v>
      </c>
      <c r="V33" s="61">
        <v>2</v>
      </c>
      <c r="W33" s="19">
        <f t="shared" si="8"/>
        <v>1017.8760197630929</v>
      </c>
      <c r="X33" s="7" t="str">
        <f t="shared" si="9"/>
        <v>OK</v>
      </c>
      <c r="Y33" s="17">
        <f t="shared" si="2"/>
        <v>-163.69309110906701</v>
      </c>
      <c r="Z33" s="18">
        <f t="shared" si="10"/>
        <v>0.81785553130522126</v>
      </c>
    </row>
    <row r="34" spans="1:26" x14ac:dyDescent="0.25">
      <c r="A34" s="55" t="s">
        <v>84</v>
      </c>
      <c r="B34" s="7">
        <v>13.5</v>
      </c>
      <c r="C34" s="86">
        <v>128.34739999999999</v>
      </c>
      <c r="D34" s="7">
        <v>300</v>
      </c>
      <c r="E34" s="61">
        <v>500</v>
      </c>
      <c r="F34" s="7">
        <f t="shared" si="0"/>
        <v>457</v>
      </c>
      <c r="G34" s="7">
        <f t="shared" si="3"/>
        <v>798.08952090651371</v>
      </c>
      <c r="H34" s="61">
        <v>18</v>
      </c>
      <c r="I34" s="61">
        <v>2</v>
      </c>
      <c r="J34" s="61">
        <v>14</v>
      </c>
      <c r="K34" s="61">
        <v>2</v>
      </c>
      <c r="L34" s="19">
        <f t="shared" si="4"/>
        <v>816.81408993334617</v>
      </c>
      <c r="M34" s="7" t="str">
        <f t="shared" si="5"/>
        <v>OK</v>
      </c>
      <c r="N34" s="17">
        <f t="shared" si="6"/>
        <v>131.35865335912786</v>
      </c>
      <c r="O34" s="18">
        <f t="shared" si="7"/>
        <v>0.97707609447780153</v>
      </c>
      <c r="P34" s="7">
        <v>13.5</v>
      </c>
      <c r="Q34" s="81">
        <v>-155.98830000000001</v>
      </c>
      <c r="R34" s="7">
        <f t="shared" si="1"/>
        <v>969.96610460376701</v>
      </c>
      <c r="S34" s="61">
        <v>18</v>
      </c>
      <c r="T34" s="61">
        <v>2</v>
      </c>
      <c r="U34" s="61">
        <v>18</v>
      </c>
      <c r="V34" s="61">
        <v>2</v>
      </c>
      <c r="W34" s="19">
        <f t="shared" si="8"/>
        <v>1017.8760197630929</v>
      </c>
      <c r="X34" s="7" t="str">
        <f t="shared" si="9"/>
        <v>OK</v>
      </c>
      <c r="Y34" s="17">
        <f t="shared" si="2"/>
        <v>-163.69309110906701</v>
      </c>
      <c r="Z34" s="18">
        <f t="shared" si="10"/>
        <v>0.95293148258814797</v>
      </c>
    </row>
    <row r="35" spans="1:26" x14ac:dyDescent="0.25">
      <c r="A35" s="55" t="s">
        <v>84</v>
      </c>
      <c r="B35" s="7">
        <v>14</v>
      </c>
      <c r="C35" s="86">
        <v>100.5536</v>
      </c>
      <c r="D35" s="7">
        <v>300</v>
      </c>
      <c r="E35" s="61">
        <v>500</v>
      </c>
      <c r="F35" s="7">
        <f t="shared" si="0"/>
        <v>457</v>
      </c>
      <c r="G35" s="7">
        <f t="shared" si="3"/>
        <v>625.2621747649365</v>
      </c>
      <c r="H35" s="61">
        <v>18</v>
      </c>
      <c r="I35" s="61">
        <v>2</v>
      </c>
      <c r="J35" s="61">
        <v>14</v>
      </c>
      <c r="K35" s="61">
        <v>2</v>
      </c>
      <c r="L35" s="19">
        <f t="shared" si="4"/>
        <v>816.81408993334617</v>
      </c>
      <c r="M35" s="7" t="str">
        <f t="shared" si="5"/>
        <v>OK</v>
      </c>
      <c r="N35" s="17">
        <f t="shared" si="6"/>
        <v>131.35865335912786</v>
      </c>
      <c r="O35" s="18">
        <f t="shared" si="7"/>
        <v>0.76548896801713995</v>
      </c>
      <c r="P35" s="7">
        <v>14</v>
      </c>
      <c r="Q35" s="81">
        <v>-109.0052</v>
      </c>
      <c r="R35" s="7">
        <f t="shared" si="1"/>
        <v>677.8158953303199</v>
      </c>
      <c r="S35" s="61">
        <v>18</v>
      </c>
      <c r="T35" s="61">
        <v>2</v>
      </c>
      <c r="U35" s="61">
        <v>18</v>
      </c>
      <c r="V35" s="61">
        <v>2</v>
      </c>
      <c r="W35" s="19">
        <f t="shared" si="8"/>
        <v>1017.8760197630929</v>
      </c>
      <c r="X35" s="7" t="str">
        <f t="shared" si="9"/>
        <v>OK</v>
      </c>
      <c r="Y35" s="17">
        <f t="shared" si="2"/>
        <v>-163.69309110906701</v>
      </c>
      <c r="Z35" s="18">
        <f t="shared" si="10"/>
        <v>0.66591203856838999</v>
      </c>
    </row>
    <row r="36" spans="1:26" x14ac:dyDescent="0.25">
      <c r="A36" s="55" t="s">
        <v>84</v>
      </c>
      <c r="B36" s="7">
        <v>14.5</v>
      </c>
      <c r="C36" s="86">
        <v>69.95</v>
      </c>
      <c r="D36" s="7">
        <v>300</v>
      </c>
      <c r="E36" s="61">
        <v>500</v>
      </c>
      <c r="F36" s="7">
        <f t="shared" si="0"/>
        <v>457</v>
      </c>
      <c r="G36" s="7">
        <f t="shared" si="3"/>
        <v>434.96293643198561</v>
      </c>
      <c r="H36" s="61">
        <v>18</v>
      </c>
      <c r="I36" s="61">
        <v>2</v>
      </c>
      <c r="J36" s="61">
        <v>14</v>
      </c>
      <c r="K36" s="61">
        <v>2</v>
      </c>
      <c r="L36" s="19">
        <f t="shared" si="4"/>
        <v>816.81408993334617</v>
      </c>
      <c r="M36" s="7" t="str">
        <f t="shared" si="5"/>
        <v>OK</v>
      </c>
      <c r="N36" s="17">
        <f t="shared" si="6"/>
        <v>131.35865335912786</v>
      </c>
      <c r="O36" s="18">
        <f t="shared" si="7"/>
        <v>0.53251154919166432</v>
      </c>
      <c r="P36" s="7">
        <v>14.5</v>
      </c>
      <c r="Q36" s="81">
        <v>-64.831800000000001</v>
      </c>
      <c r="R36" s="7">
        <f t="shared" si="1"/>
        <v>403.13695642846614</v>
      </c>
      <c r="S36" s="61">
        <v>18</v>
      </c>
      <c r="T36" s="61">
        <v>2</v>
      </c>
      <c r="U36" s="61">
        <v>18</v>
      </c>
      <c r="V36" s="61">
        <v>0</v>
      </c>
      <c r="W36" s="19">
        <f t="shared" si="8"/>
        <v>508.93800988154646</v>
      </c>
      <c r="X36" s="7" t="str">
        <f t="shared" si="9"/>
        <v>OK</v>
      </c>
      <c r="Y36" s="17">
        <f t="shared" si="2"/>
        <v>-81.846545554533506</v>
      </c>
      <c r="Z36" s="18">
        <f t="shared" si="10"/>
        <v>0.79211406615570901</v>
      </c>
    </row>
    <row r="37" spans="1:26" x14ac:dyDescent="0.25">
      <c r="A37" s="55" t="s">
        <v>84</v>
      </c>
      <c r="B37" s="7">
        <v>15</v>
      </c>
      <c r="C37" s="86">
        <v>36.536900000000003</v>
      </c>
      <c r="D37" s="7">
        <v>300</v>
      </c>
      <c r="E37" s="61">
        <v>500</v>
      </c>
      <c r="F37" s="7">
        <f t="shared" si="0"/>
        <v>457</v>
      </c>
      <c r="G37" s="7">
        <f t="shared" si="3"/>
        <v>227.19367136700237</v>
      </c>
      <c r="H37" s="61">
        <v>18</v>
      </c>
      <c r="I37" s="61">
        <v>2</v>
      </c>
      <c r="J37" s="61">
        <v>14</v>
      </c>
      <c r="K37" s="61">
        <v>0</v>
      </c>
      <c r="L37" s="19">
        <f t="shared" si="4"/>
        <v>508.93800988154646</v>
      </c>
      <c r="M37" s="7" t="str">
        <f t="shared" si="5"/>
        <v>OK</v>
      </c>
      <c r="N37" s="17">
        <f t="shared" si="6"/>
        <v>81.846545554533506</v>
      </c>
      <c r="O37" s="18">
        <f t="shared" si="7"/>
        <v>0.44640735601548198</v>
      </c>
      <c r="P37" s="7">
        <v>15</v>
      </c>
      <c r="Q37" s="81">
        <v>-23.4682</v>
      </c>
      <c r="R37" s="7">
        <f t="shared" si="1"/>
        <v>145.92990971798605</v>
      </c>
      <c r="S37" s="61">
        <v>18</v>
      </c>
      <c r="T37" s="61">
        <v>2</v>
      </c>
      <c r="U37" s="61">
        <v>18</v>
      </c>
      <c r="V37" s="61">
        <v>0</v>
      </c>
      <c r="W37" s="19">
        <f t="shared" si="8"/>
        <v>508.93800988154646</v>
      </c>
      <c r="X37" s="7" t="str">
        <f t="shared" si="9"/>
        <v>OK</v>
      </c>
      <c r="Y37" s="17">
        <f t="shared" si="2"/>
        <v>-81.846545554533506</v>
      </c>
      <c r="Z37" s="18">
        <f t="shared" si="10"/>
        <v>0.2867341540317469</v>
      </c>
    </row>
    <row r="38" spans="1:26" x14ac:dyDescent="0.25">
      <c r="A38" s="55" t="s">
        <v>84</v>
      </c>
      <c r="B38" s="7">
        <v>15.5</v>
      </c>
      <c r="C38" s="86">
        <v>15.0871</v>
      </c>
      <c r="D38" s="7">
        <v>300</v>
      </c>
      <c r="E38" s="61">
        <v>500</v>
      </c>
      <c r="F38" s="7">
        <f t="shared" si="0"/>
        <v>457</v>
      </c>
      <c r="G38" s="7">
        <f t="shared" si="3"/>
        <v>93.814572097827167</v>
      </c>
      <c r="H38" s="61">
        <v>18</v>
      </c>
      <c r="I38" s="61">
        <v>2</v>
      </c>
      <c r="J38" s="61">
        <v>14</v>
      </c>
      <c r="K38" s="61">
        <v>0</v>
      </c>
      <c r="L38" s="19">
        <f t="shared" si="4"/>
        <v>508.93800988154646</v>
      </c>
      <c r="M38" s="7" t="str">
        <f t="shared" si="5"/>
        <v>OK</v>
      </c>
      <c r="N38" s="17">
        <f t="shared" si="6"/>
        <v>81.846545554533506</v>
      </c>
      <c r="O38" s="18">
        <f t="shared" si="7"/>
        <v>0.18433398621506417</v>
      </c>
      <c r="P38" s="7">
        <v>15.5</v>
      </c>
      <c r="Q38" s="81">
        <v>0.31259999999999999</v>
      </c>
      <c r="R38" s="7">
        <f t="shared" si="1"/>
        <v>1.9438086337189235</v>
      </c>
      <c r="S38" s="61">
        <v>20</v>
      </c>
      <c r="T38" s="61">
        <v>2</v>
      </c>
      <c r="U38" s="61">
        <v>18</v>
      </c>
      <c r="V38" s="61">
        <v>0</v>
      </c>
      <c r="W38" s="19">
        <f t="shared" si="8"/>
        <v>628.31853071795865</v>
      </c>
      <c r="X38" s="7" t="str">
        <f t="shared" si="9"/>
        <v>OK</v>
      </c>
      <c r="Y38" s="17">
        <f t="shared" si="2"/>
        <v>-101.04511796855988</v>
      </c>
      <c r="Z38" s="18">
        <f t="shared" si="10"/>
        <v>-3.0936675248107014E-3</v>
      </c>
    </row>
    <row r="39" spans="1:26" x14ac:dyDescent="0.25">
      <c r="A39" s="55" t="s">
        <v>84</v>
      </c>
      <c r="B39" s="7">
        <v>16</v>
      </c>
      <c r="C39" s="86">
        <v>50.830500000000001</v>
      </c>
      <c r="D39" s="7">
        <v>300</v>
      </c>
      <c r="E39" s="61">
        <v>500</v>
      </c>
      <c r="F39" s="7">
        <f t="shared" si="0"/>
        <v>457</v>
      </c>
      <c r="G39" s="7">
        <f t="shared" si="3"/>
        <v>316.07410350687701</v>
      </c>
      <c r="H39" s="61">
        <v>18</v>
      </c>
      <c r="I39" s="61">
        <v>2</v>
      </c>
      <c r="J39" s="61">
        <v>14</v>
      </c>
      <c r="K39" s="61">
        <v>0</v>
      </c>
      <c r="L39" s="19">
        <f t="shared" si="4"/>
        <v>508.93800988154646</v>
      </c>
      <c r="M39" s="7" t="str">
        <f t="shared" si="5"/>
        <v>OK</v>
      </c>
      <c r="N39" s="17">
        <f t="shared" si="6"/>
        <v>81.846545554533506</v>
      </c>
      <c r="O39" s="18">
        <f t="shared" si="7"/>
        <v>0.62104636983282535</v>
      </c>
      <c r="P39" s="7">
        <v>16</v>
      </c>
      <c r="Q39" s="81">
        <v>-38.719299999999997</v>
      </c>
      <c r="R39" s="7">
        <f>ABS(Q39)*1000^2/(0.9*391*F39)</f>
        <v>240.76426625576812</v>
      </c>
      <c r="S39" s="61">
        <v>20</v>
      </c>
      <c r="T39" s="61">
        <v>2</v>
      </c>
      <c r="U39" s="61">
        <v>18</v>
      </c>
      <c r="V39" s="61">
        <v>0</v>
      </c>
      <c r="W39" s="19">
        <f t="shared" si="8"/>
        <v>628.31853071795865</v>
      </c>
      <c r="X39" s="7" t="str">
        <f t="shared" si="9"/>
        <v>OK</v>
      </c>
      <c r="Y39" s="17">
        <f t="shared" si="2"/>
        <v>-101.04511796855988</v>
      </c>
      <c r="Z39" s="18">
        <f t="shared" si="10"/>
        <v>0.38318823094498716</v>
      </c>
    </row>
    <row r="40" spans="1:26" x14ac:dyDescent="0.25">
      <c r="A40" s="55" t="s">
        <v>84</v>
      </c>
      <c r="B40" s="7">
        <v>16.5</v>
      </c>
      <c r="C40" s="86">
        <v>83.764899999999997</v>
      </c>
      <c r="D40" s="7">
        <v>300</v>
      </c>
      <c r="E40" s="61">
        <v>500</v>
      </c>
      <c r="F40" s="7">
        <f t="shared" si="0"/>
        <v>457</v>
      </c>
      <c r="G40" s="7">
        <f t="shared" si="3"/>
        <v>520.86671728279669</v>
      </c>
      <c r="H40" s="61">
        <v>18</v>
      </c>
      <c r="I40" s="61">
        <v>2</v>
      </c>
      <c r="J40" s="61">
        <v>18</v>
      </c>
      <c r="K40" s="61">
        <v>2</v>
      </c>
      <c r="L40" s="19">
        <f t="shared" si="4"/>
        <v>1017.8760197630929</v>
      </c>
      <c r="M40" s="7" t="str">
        <f t="shared" si="5"/>
        <v>OK</v>
      </c>
      <c r="N40" s="17">
        <f t="shared" si="6"/>
        <v>163.69309110906701</v>
      </c>
      <c r="O40" s="18">
        <f t="shared" si="7"/>
        <v>0.51171921449139424</v>
      </c>
      <c r="P40" s="7">
        <v>16.5</v>
      </c>
      <c r="Q40" s="81">
        <v>-80.561700000000002</v>
      </c>
      <c r="R40" s="7">
        <f t="shared" si="1"/>
        <v>500.94858607509212</v>
      </c>
      <c r="S40" s="61">
        <v>20</v>
      </c>
      <c r="T40" s="61">
        <v>2</v>
      </c>
      <c r="U40" s="61">
        <v>18</v>
      </c>
      <c r="V40" s="61">
        <v>2</v>
      </c>
      <c r="W40" s="19">
        <f t="shared" si="8"/>
        <v>1137.2565405995051</v>
      </c>
      <c r="X40" s="7" t="str">
        <f t="shared" si="9"/>
        <v>OK</v>
      </c>
      <c r="Y40" s="17">
        <f t="shared" si="2"/>
        <v>-182.8916635230934</v>
      </c>
      <c r="Z40" s="18">
        <f t="shared" si="10"/>
        <v>0.44048863927484383</v>
      </c>
    </row>
    <row r="41" spans="1:26" x14ac:dyDescent="0.25">
      <c r="A41" s="55" t="s">
        <v>84</v>
      </c>
      <c r="B41" s="7">
        <v>17</v>
      </c>
      <c r="C41" s="86">
        <v>113.8897</v>
      </c>
      <c r="D41" s="7">
        <v>300</v>
      </c>
      <c r="E41" s="61">
        <v>500</v>
      </c>
      <c r="F41" s="7">
        <f t="shared" si="0"/>
        <v>457</v>
      </c>
      <c r="G41" s="7">
        <f t="shared" si="3"/>
        <v>708.18868250690366</v>
      </c>
      <c r="H41" s="61">
        <v>18</v>
      </c>
      <c r="I41" s="61">
        <v>2</v>
      </c>
      <c r="J41" s="61">
        <v>18</v>
      </c>
      <c r="K41" s="61">
        <v>2</v>
      </c>
      <c r="L41" s="19">
        <f t="shared" si="4"/>
        <v>1017.8760197630929</v>
      </c>
      <c r="M41" s="7" t="str">
        <f t="shared" si="5"/>
        <v>OK</v>
      </c>
      <c r="N41" s="17">
        <f t="shared" si="6"/>
        <v>163.69309110906701</v>
      </c>
      <c r="O41" s="18">
        <f t="shared" si="7"/>
        <v>0.6957514164364853</v>
      </c>
      <c r="P41" s="7">
        <v>17</v>
      </c>
      <c r="Q41" s="81">
        <v>-125.2139</v>
      </c>
      <c r="R41" s="7">
        <f t="shared" si="1"/>
        <v>778.60479808578987</v>
      </c>
      <c r="S41" s="61">
        <v>20</v>
      </c>
      <c r="T41" s="61">
        <v>2</v>
      </c>
      <c r="U41" s="61">
        <v>18</v>
      </c>
      <c r="V41" s="61">
        <v>2</v>
      </c>
      <c r="W41" s="19">
        <f t="shared" si="8"/>
        <v>1137.2565405995051</v>
      </c>
      <c r="X41" s="7" t="str">
        <f t="shared" si="9"/>
        <v>OK</v>
      </c>
      <c r="Y41" s="17">
        <f t="shared" si="2"/>
        <v>-182.8916635230934</v>
      </c>
      <c r="Z41" s="18">
        <f t="shared" si="10"/>
        <v>0.68463426701889807</v>
      </c>
    </row>
    <row r="42" spans="1:26" x14ac:dyDescent="0.25">
      <c r="A42" s="55" t="s">
        <v>84</v>
      </c>
      <c r="B42" s="7">
        <v>17.5</v>
      </c>
      <c r="C42" s="86">
        <v>141.20480000000001</v>
      </c>
      <c r="D42" s="7">
        <v>300</v>
      </c>
      <c r="E42" s="61">
        <v>500</v>
      </c>
      <c r="F42" s="7">
        <f>E42-43</f>
        <v>457</v>
      </c>
      <c r="G42" s="7">
        <f t="shared" si="3"/>
        <v>878.03937735941736</v>
      </c>
      <c r="H42" s="61">
        <v>18</v>
      </c>
      <c r="I42" s="61">
        <v>2</v>
      </c>
      <c r="J42" s="61">
        <v>18</v>
      </c>
      <c r="K42" s="61">
        <v>2</v>
      </c>
      <c r="L42" s="19">
        <f t="shared" si="4"/>
        <v>1017.8760197630929</v>
      </c>
      <c r="M42" s="7" t="str">
        <f t="shared" si="5"/>
        <v>OK</v>
      </c>
      <c r="N42" s="17">
        <f t="shared" si="6"/>
        <v>163.69309110906701</v>
      </c>
      <c r="O42" s="18">
        <f t="shared" si="7"/>
        <v>0.8626191798523537</v>
      </c>
      <c r="P42" s="7">
        <v>17.5</v>
      </c>
      <c r="Q42" s="81">
        <v>-176.67580000000001</v>
      </c>
      <c r="R42" s="7">
        <f t="shared" si="1"/>
        <v>1098.6050716864934</v>
      </c>
      <c r="S42" s="61">
        <v>20</v>
      </c>
      <c r="T42" s="61">
        <v>2</v>
      </c>
      <c r="U42" s="61">
        <v>18</v>
      </c>
      <c r="V42" s="61">
        <v>2</v>
      </c>
      <c r="W42" s="19">
        <f t="shared" si="8"/>
        <v>1137.2565405995051</v>
      </c>
      <c r="X42" s="7" t="str">
        <f t="shared" si="9"/>
        <v>OK</v>
      </c>
      <c r="Y42" s="17">
        <f t="shared" si="2"/>
        <v>-182.8916635230934</v>
      </c>
      <c r="Z42" s="18">
        <f t="shared" si="10"/>
        <v>0.96601341251232853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96F9-25E8-4545-8173-A2981BD68E7E}">
  <sheetPr codeName="Foglio7"/>
  <dimension ref="A1:Z42"/>
  <sheetViews>
    <sheetView topLeftCell="A34" zoomScale="70" zoomScaleNormal="70" workbookViewId="0">
      <selection activeCell="AB51" sqref="AB51"/>
    </sheetView>
  </sheetViews>
  <sheetFormatPr defaultRowHeight="15" x14ac:dyDescent="0.25"/>
  <cols>
    <col min="1" max="2" width="9.140625" style="54"/>
    <col min="3" max="3" width="9.140625" style="62"/>
    <col min="4" max="12" width="9.140625" style="54"/>
    <col min="13" max="16384" width="9.140625" style="62"/>
  </cols>
  <sheetData>
    <row r="1" spans="1:26" x14ac:dyDescent="0.25">
      <c r="B1" s="16" t="s">
        <v>29</v>
      </c>
      <c r="C1" s="16"/>
      <c r="D1" s="62"/>
      <c r="P1" s="16" t="s">
        <v>30</v>
      </c>
      <c r="Q1" s="16"/>
      <c r="R1" s="54"/>
    </row>
    <row r="2" spans="1:26" x14ac:dyDescent="0.25">
      <c r="B2" s="63" t="s">
        <v>2</v>
      </c>
      <c r="C2" s="63" t="s">
        <v>5</v>
      </c>
      <c r="D2" s="5" t="s">
        <v>20</v>
      </c>
      <c r="E2" s="5" t="s">
        <v>21</v>
      </c>
      <c r="F2" s="5" t="s">
        <v>25</v>
      </c>
      <c r="G2" s="5" t="s">
        <v>23</v>
      </c>
      <c r="H2" s="5" t="s">
        <v>26</v>
      </c>
      <c r="I2" s="5" t="s">
        <v>27</v>
      </c>
      <c r="J2" s="5" t="s">
        <v>26</v>
      </c>
      <c r="K2" s="5" t="s">
        <v>27</v>
      </c>
      <c r="L2" s="5" t="s">
        <v>23</v>
      </c>
      <c r="N2" s="5" t="s">
        <v>31</v>
      </c>
      <c r="O2" s="5" t="s">
        <v>32</v>
      </c>
      <c r="P2" s="63" t="s">
        <v>2</v>
      </c>
      <c r="Q2" s="63" t="s">
        <v>5</v>
      </c>
      <c r="R2" s="5" t="s">
        <v>23</v>
      </c>
      <c r="S2" s="5" t="s">
        <v>26</v>
      </c>
      <c r="T2" s="5" t="s">
        <v>27</v>
      </c>
      <c r="U2" s="5" t="s">
        <v>26</v>
      </c>
      <c r="V2" s="5" t="s">
        <v>27</v>
      </c>
      <c r="W2" s="5" t="s">
        <v>23</v>
      </c>
      <c r="Y2" s="5" t="s">
        <v>31</v>
      </c>
      <c r="Z2" s="5" t="s">
        <v>32</v>
      </c>
    </row>
    <row r="3" spans="1:26" x14ac:dyDescent="0.25">
      <c r="B3" s="27" t="s">
        <v>7</v>
      </c>
      <c r="C3" s="27" t="s">
        <v>9</v>
      </c>
      <c r="D3" s="9" t="s">
        <v>22</v>
      </c>
      <c r="E3" s="9" t="s">
        <v>22</v>
      </c>
      <c r="F3" s="9" t="s">
        <v>22</v>
      </c>
      <c r="G3" s="9" t="s">
        <v>24</v>
      </c>
      <c r="H3" s="9" t="s">
        <v>22</v>
      </c>
      <c r="I3" s="9" t="s">
        <v>28</v>
      </c>
      <c r="J3" s="9" t="s">
        <v>22</v>
      </c>
      <c r="K3" s="9" t="s">
        <v>28</v>
      </c>
      <c r="L3" s="9" t="s">
        <v>24</v>
      </c>
      <c r="N3" s="9" t="s">
        <v>9</v>
      </c>
      <c r="O3" s="8" t="s">
        <v>28</v>
      </c>
      <c r="P3" s="27" t="s">
        <v>7</v>
      </c>
      <c r="Q3" s="27" t="s">
        <v>9</v>
      </c>
      <c r="R3" s="9" t="s">
        <v>24</v>
      </c>
      <c r="S3" s="9" t="s">
        <v>22</v>
      </c>
      <c r="T3" s="9" t="s">
        <v>28</v>
      </c>
      <c r="U3" s="9" t="s">
        <v>22</v>
      </c>
      <c r="V3" s="9" t="s">
        <v>28</v>
      </c>
      <c r="W3" s="9" t="s">
        <v>24</v>
      </c>
      <c r="Y3" s="9" t="s">
        <v>9</v>
      </c>
      <c r="Z3" s="8" t="s">
        <v>28</v>
      </c>
    </row>
    <row r="4" spans="1:26" x14ac:dyDescent="0.25">
      <c r="A4" s="55" t="s">
        <v>85</v>
      </c>
      <c r="B4" s="7">
        <v>0</v>
      </c>
      <c r="C4" s="87">
        <v>90.173299999999998</v>
      </c>
      <c r="D4" s="7">
        <v>300</v>
      </c>
      <c r="E4" s="61">
        <v>500</v>
      </c>
      <c r="F4" s="7">
        <f>E4-43</f>
        <v>457</v>
      </c>
      <c r="G4" s="7">
        <f>ABS(C4)*1000^2/(0.9*391*F4)</f>
        <v>560.71541609381518</v>
      </c>
      <c r="H4" s="61">
        <v>18</v>
      </c>
      <c r="I4" s="61">
        <v>2</v>
      </c>
      <c r="J4" s="61">
        <v>12</v>
      </c>
      <c r="K4" s="61">
        <v>1</v>
      </c>
      <c r="L4" s="19">
        <f>PI()*(H4^2/4*I4+J4^2/4*K4)</f>
        <v>622.03534541077909</v>
      </c>
      <c r="M4" s="7" t="str">
        <f>IF(L4&gt;=G4,"OK","NO")</f>
        <v>OK</v>
      </c>
      <c r="N4" s="17">
        <f>(L4*0.9*391*F4)/1000^2</f>
        <v>100.0346667888743</v>
      </c>
      <c r="O4" s="18">
        <f>C4/N4</f>
        <v>0.90142050645615712</v>
      </c>
      <c r="P4" s="7">
        <v>0</v>
      </c>
      <c r="Q4" s="89">
        <v>-119.27500000000001</v>
      </c>
      <c r="R4" s="7">
        <f t="shared" ref="R4:R42" si="0">ABS(Q4)*1000^2/(0.9*391*F4)</f>
        <v>741.67554314403264</v>
      </c>
      <c r="S4" s="61">
        <v>18</v>
      </c>
      <c r="T4" s="61">
        <v>2</v>
      </c>
      <c r="U4" s="61">
        <v>18</v>
      </c>
      <c r="V4" s="61">
        <v>1</v>
      </c>
      <c r="W4" s="19">
        <f>PI()*(S4^2/4*T4+U4^2/4*V4)</f>
        <v>763.40701482231975</v>
      </c>
      <c r="X4" s="7" t="str">
        <f>IF(W4&gt;=R4,"OK","NO")</f>
        <v>OK</v>
      </c>
      <c r="Y4" s="17">
        <f t="shared" ref="Y4:Y42" si="1">-(W4*0.9*391*F4)/1000^2</f>
        <v>-122.76981833180028</v>
      </c>
      <c r="Z4" s="18">
        <f>Q4/Y4</f>
        <v>0.971533570878511</v>
      </c>
    </row>
    <row r="5" spans="1:26" x14ac:dyDescent="0.25">
      <c r="A5" s="55" t="s">
        <v>85</v>
      </c>
      <c r="B5" s="7">
        <v>0.5</v>
      </c>
      <c r="C5" s="87">
        <v>75.953999999999994</v>
      </c>
      <c r="D5" s="7">
        <v>300</v>
      </c>
      <c r="E5" s="61">
        <v>500</v>
      </c>
      <c r="F5" s="7">
        <f t="shared" ref="F5:F42" si="2">E5-43</f>
        <v>457</v>
      </c>
      <c r="G5" s="7">
        <f t="shared" ref="G5:G42" si="3">ABS(C5)*1000^2/(0.9*391*F5)</f>
        <v>472.29699605082254</v>
      </c>
      <c r="H5" s="61">
        <v>18</v>
      </c>
      <c r="I5" s="61">
        <v>2</v>
      </c>
      <c r="J5" s="61">
        <v>12</v>
      </c>
      <c r="K5" s="61">
        <v>1</v>
      </c>
      <c r="L5" s="19">
        <f t="shared" ref="L5:L42" si="4">PI()*(H5^2/4*I5+J5^2/4*K5)</f>
        <v>622.03534541077909</v>
      </c>
      <c r="M5" s="7" t="str">
        <f t="shared" ref="M5:M42" si="5">IF(L5&gt;=G5,"OK","NO")</f>
        <v>OK</v>
      </c>
      <c r="N5" s="17">
        <f t="shared" ref="N5:N42" si="6">(L5*0.9*391*F5)/1000^2</f>
        <v>100.0346667888743</v>
      </c>
      <c r="O5" s="18">
        <f t="shared" ref="O5:O42" si="7">C5/N5</f>
        <v>0.75927678312062385</v>
      </c>
      <c r="P5" s="7">
        <v>0.5</v>
      </c>
      <c r="Q5" s="89">
        <v>-84.900400000000005</v>
      </c>
      <c r="R5" s="7">
        <f t="shared" si="0"/>
        <v>527.92748088992357</v>
      </c>
      <c r="S5" s="61">
        <v>18</v>
      </c>
      <c r="T5" s="61">
        <v>2</v>
      </c>
      <c r="U5" s="61">
        <v>18</v>
      </c>
      <c r="V5" s="61">
        <v>1</v>
      </c>
      <c r="W5" s="19">
        <f t="shared" ref="W5:W42" si="8">PI()*(S5^2/4*T5+U5^2/4*V5)</f>
        <v>763.40701482231975</v>
      </c>
      <c r="X5" s="7" t="str">
        <f t="shared" ref="X5:X42" si="9">IF(W5&gt;=R5,"OK","NO")</f>
        <v>OK</v>
      </c>
      <c r="Y5" s="17">
        <f t="shared" si="1"/>
        <v>-122.76981833180028</v>
      </c>
      <c r="Z5" s="18">
        <f t="shared" ref="Z5:Z42" si="10">Q5/Y5</f>
        <v>0.69154130187393781</v>
      </c>
    </row>
    <row r="6" spans="1:26" x14ac:dyDescent="0.25">
      <c r="A6" s="55" t="s">
        <v>85</v>
      </c>
      <c r="B6" s="7">
        <v>1</v>
      </c>
      <c r="C6" s="87">
        <v>58.924999999999997</v>
      </c>
      <c r="D6" s="7">
        <v>300</v>
      </c>
      <c r="E6" s="61">
        <v>500</v>
      </c>
      <c r="F6" s="7">
        <f t="shared" si="2"/>
        <v>457</v>
      </c>
      <c r="G6" s="7">
        <f t="shared" si="3"/>
        <v>366.40730563623663</v>
      </c>
      <c r="H6" s="61">
        <v>18</v>
      </c>
      <c r="I6" s="61">
        <v>2</v>
      </c>
      <c r="J6" s="61">
        <v>12</v>
      </c>
      <c r="K6" s="61">
        <v>1</v>
      </c>
      <c r="L6" s="19">
        <f t="shared" si="4"/>
        <v>622.03534541077909</v>
      </c>
      <c r="M6" s="7" t="str">
        <f t="shared" si="5"/>
        <v>OK</v>
      </c>
      <c r="N6" s="17">
        <f t="shared" si="6"/>
        <v>100.0346667888743</v>
      </c>
      <c r="O6" s="18">
        <f t="shared" si="7"/>
        <v>0.58904579673727209</v>
      </c>
      <c r="P6" s="7">
        <v>1</v>
      </c>
      <c r="Q6" s="89">
        <v>-53.335599999999999</v>
      </c>
      <c r="R6" s="7">
        <f t="shared" si="0"/>
        <v>331.65131082718818</v>
      </c>
      <c r="S6" s="61">
        <v>18</v>
      </c>
      <c r="T6" s="61">
        <v>2</v>
      </c>
      <c r="U6" s="61">
        <v>18</v>
      </c>
      <c r="V6" s="61">
        <v>1</v>
      </c>
      <c r="W6" s="19">
        <f t="shared" si="8"/>
        <v>763.40701482231975</v>
      </c>
      <c r="X6" s="7" t="str">
        <f t="shared" si="9"/>
        <v>OK</v>
      </c>
      <c r="Y6" s="17">
        <f t="shared" si="1"/>
        <v>-122.76981833180028</v>
      </c>
      <c r="Z6" s="18">
        <f t="shared" si="10"/>
        <v>0.43443576544077056</v>
      </c>
    </row>
    <row r="7" spans="1:26" x14ac:dyDescent="0.25">
      <c r="A7" s="55" t="s">
        <v>85</v>
      </c>
      <c r="B7" s="7">
        <v>1.5</v>
      </c>
      <c r="C7" s="87">
        <v>39.086399999999998</v>
      </c>
      <c r="D7" s="7">
        <v>300</v>
      </c>
      <c r="E7" s="61">
        <v>500</v>
      </c>
      <c r="F7" s="7">
        <f t="shared" si="2"/>
        <v>457</v>
      </c>
      <c r="G7" s="7">
        <f t="shared" si="3"/>
        <v>243.04696666983793</v>
      </c>
      <c r="H7" s="61">
        <v>18</v>
      </c>
      <c r="I7" s="61">
        <v>2</v>
      </c>
      <c r="J7" s="61">
        <v>12</v>
      </c>
      <c r="K7" s="61">
        <v>0</v>
      </c>
      <c r="L7" s="19">
        <f t="shared" si="4"/>
        <v>508.93800988154646</v>
      </c>
      <c r="M7" s="7" t="str">
        <f t="shared" si="5"/>
        <v>OK</v>
      </c>
      <c r="N7" s="17">
        <f t="shared" si="6"/>
        <v>81.846545554533506</v>
      </c>
      <c r="O7" s="18">
        <f t="shared" si="7"/>
        <v>0.47755711295056591</v>
      </c>
      <c r="P7" s="7">
        <v>1.5</v>
      </c>
      <c r="Q7" s="89">
        <v>-24.5806</v>
      </c>
      <c r="R7" s="7">
        <f t="shared" si="0"/>
        <v>152.84703295582653</v>
      </c>
      <c r="S7" s="61">
        <v>18</v>
      </c>
      <c r="T7" s="61">
        <v>2</v>
      </c>
      <c r="U7" s="61">
        <v>14</v>
      </c>
      <c r="V7" s="61">
        <v>0</v>
      </c>
      <c r="W7" s="19">
        <f t="shared" si="8"/>
        <v>508.93800988154646</v>
      </c>
      <c r="X7" s="7" t="str">
        <f t="shared" si="9"/>
        <v>OK</v>
      </c>
      <c r="Y7" s="17">
        <f t="shared" si="1"/>
        <v>-81.846545554533506</v>
      </c>
      <c r="Z7" s="18">
        <f t="shared" si="10"/>
        <v>0.30032544236851388</v>
      </c>
    </row>
    <row r="8" spans="1:26" x14ac:dyDescent="0.25">
      <c r="A8" s="55" t="s">
        <v>85</v>
      </c>
      <c r="B8" s="7">
        <v>2</v>
      </c>
      <c r="C8" s="87">
        <v>16.439499999999999</v>
      </c>
      <c r="D8" s="7">
        <v>300</v>
      </c>
      <c r="E8" s="61">
        <v>500</v>
      </c>
      <c r="F8" s="7">
        <f t="shared" si="2"/>
        <v>457</v>
      </c>
      <c r="G8" s="7">
        <f t="shared" si="3"/>
        <v>102.22406280877236</v>
      </c>
      <c r="H8" s="61">
        <v>18</v>
      </c>
      <c r="I8" s="61">
        <v>2</v>
      </c>
      <c r="J8" s="61">
        <v>14</v>
      </c>
      <c r="K8" s="61">
        <v>0</v>
      </c>
      <c r="L8" s="19">
        <f t="shared" si="4"/>
        <v>508.93800988154646</v>
      </c>
      <c r="M8" s="7" t="str">
        <f t="shared" si="5"/>
        <v>OK</v>
      </c>
      <c r="N8" s="17">
        <f t="shared" si="6"/>
        <v>81.846545554533506</v>
      </c>
      <c r="O8" s="18">
        <f t="shared" si="7"/>
        <v>0.20085759134509262</v>
      </c>
      <c r="P8" s="7">
        <v>2</v>
      </c>
      <c r="Q8" s="89">
        <v>1.3632</v>
      </c>
      <c r="R8" s="7">
        <f t="shared" si="0"/>
        <v>8.4766472472349221</v>
      </c>
      <c r="S8" s="61">
        <v>18</v>
      </c>
      <c r="T8" s="61">
        <v>2</v>
      </c>
      <c r="U8" s="61">
        <v>14</v>
      </c>
      <c r="V8" s="61">
        <v>0</v>
      </c>
      <c r="W8" s="19">
        <f t="shared" si="8"/>
        <v>508.93800988154646</v>
      </c>
      <c r="X8" s="7" t="str">
        <f t="shared" si="9"/>
        <v>OK</v>
      </c>
      <c r="Y8" s="17">
        <f t="shared" si="1"/>
        <v>-81.846545554533506</v>
      </c>
      <c r="Z8" s="18">
        <f t="shared" si="10"/>
        <v>-1.6655559385725251E-2</v>
      </c>
    </row>
    <row r="9" spans="1:26" x14ac:dyDescent="0.25">
      <c r="A9" s="55" t="s">
        <v>85</v>
      </c>
      <c r="B9" s="7">
        <v>2.5</v>
      </c>
      <c r="C9" s="87">
        <v>24.502099999999999</v>
      </c>
      <c r="D9" s="7">
        <v>300</v>
      </c>
      <c r="E9" s="61">
        <v>500</v>
      </c>
      <c r="F9" s="7">
        <f t="shared" si="2"/>
        <v>457</v>
      </c>
      <c r="G9" s="7">
        <f t="shared" si="3"/>
        <v>152.35890442816518</v>
      </c>
      <c r="H9" s="61">
        <v>18</v>
      </c>
      <c r="I9" s="61">
        <v>2</v>
      </c>
      <c r="J9" s="61">
        <v>14</v>
      </c>
      <c r="K9" s="61">
        <v>0</v>
      </c>
      <c r="L9" s="19">
        <f t="shared" si="4"/>
        <v>508.93800988154646</v>
      </c>
      <c r="M9" s="7" t="str">
        <f t="shared" si="5"/>
        <v>OK</v>
      </c>
      <c r="N9" s="17">
        <f t="shared" si="6"/>
        <v>81.846545554533506</v>
      </c>
      <c r="O9" s="18">
        <f t="shared" si="7"/>
        <v>0.29936633041738459</v>
      </c>
      <c r="P9" s="7">
        <v>2.5</v>
      </c>
      <c r="Q9" s="89">
        <v>-9.0218000000000007</v>
      </c>
      <c r="R9" s="7">
        <f t="shared" si="0"/>
        <v>56.099336953568091</v>
      </c>
      <c r="S9" s="61">
        <v>18</v>
      </c>
      <c r="T9" s="61">
        <v>2</v>
      </c>
      <c r="U9" s="61">
        <v>14</v>
      </c>
      <c r="V9" s="61">
        <v>0</v>
      </c>
      <c r="W9" s="19">
        <f t="shared" si="8"/>
        <v>508.93800988154646</v>
      </c>
      <c r="X9" s="7" t="str">
        <f t="shared" si="9"/>
        <v>OK</v>
      </c>
      <c r="Y9" s="17">
        <f t="shared" si="1"/>
        <v>-81.846545554533506</v>
      </c>
      <c r="Z9" s="18">
        <f t="shared" si="10"/>
        <v>0.11022823185602706</v>
      </c>
    </row>
    <row r="10" spans="1:26" x14ac:dyDescent="0.25">
      <c r="A10" s="55" t="s">
        <v>85</v>
      </c>
      <c r="B10" s="7">
        <v>3</v>
      </c>
      <c r="C10" s="87">
        <v>44.827500000000001</v>
      </c>
      <c r="D10" s="7">
        <v>300</v>
      </c>
      <c r="E10" s="61">
        <v>500</v>
      </c>
      <c r="F10" s="7">
        <f t="shared" si="2"/>
        <v>457</v>
      </c>
      <c r="G10" s="7">
        <f t="shared" si="3"/>
        <v>278.74626208584471</v>
      </c>
      <c r="H10" s="61">
        <v>18</v>
      </c>
      <c r="I10" s="61">
        <v>2</v>
      </c>
      <c r="J10" s="61">
        <v>14</v>
      </c>
      <c r="K10" s="61">
        <v>0</v>
      </c>
      <c r="L10" s="19">
        <f t="shared" si="4"/>
        <v>508.93800988154646</v>
      </c>
      <c r="M10" s="7" t="str">
        <f t="shared" si="5"/>
        <v>OK</v>
      </c>
      <c r="N10" s="17">
        <f t="shared" si="6"/>
        <v>81.846545554533506</v>
      </c>
      <c r="O10" s="18">
        <f t="shared" si="7"/>
        <v>0.54770179604137237</v>
      </c>
      <c r="P10" s="7">
        <v>3</v>
      </c>
      <c r="Q10" s="89">
        <v>-37.289200000000001</v>
      </c>
      <c r="R10" s="7">
        <f t="shared" si="0"/>
        <v>231.87162157540527</v>
      </c>
      <c r="S10" s="61">
        <v>18</v>
      </c>
      <c r="T10" s="61">
        <v>2</v>
      </c>
      <c r="U10" s="61">
        <v>14</v>
      </c>
      <c r="V10" s="61">
        <v>0</v>
      </c>
      <c r="W10" s="19">
        <f t="shared" si="8"/>
        <v>508.93800988154646</v>
      </c>
      <c r="X10" s="7" t="str">
        <f t="shared" si="9"/>
        <v>OK</v>
      </c>
      <c r="Y10" s="17">
        <f t="shared" si="1"/>
        <v>-81.846545554533506</v>
      </c>
      <c r="Z10" s="18">
        <f t="shared" si="10"/>
        <v>0.45559894736369289</v>
      </c>
    </row>
    <row r="11" spans="1:26" x14ac:dyDescent="0.25">
      <c r="A11" s="55" t="s">
        <v>85</v>
      </c>
      <c r="B11" s="7">
        <v>3.5</v>
      </c>
      <c r="C11" s="87">
        <v>62.343699999999998</v>
      </c>
      <c r="D11" s="7">
        <v>300</v>
      </c>
      <c r="E11" s="61">
        <v>500</v>
      </c>
      <c r="F11" s="7">
        <f t="shared" si="2"/>
        <v>457</v>
      </c>
      <c r="G11" s="7">
        <f t="shared" si="3"/>
        <v>387.66545847083319</v>
      </c>
      <c r="H11" s="61">
        <v>18</v>
      </c>
      <c r="I11" s="61">
        <v>2</v>
      </c>
      <c r="J11" s="61">
        <v>14</v>
      </c>
      <c r="K11" s="61">
        <v>0</v>
      </c>
      <c r="L11" s="19">
        <f t="shared" si="4"/>
        <v>508.93800988154646</v>
      </c>
      <c r="M11" s="7" t="str">
        <f t="shared" si="5"/>
        <v>OK</v>
      </c>
      <c r="N11" s="17">
        <f t="shared" si="6"/>
        <v>81.846545554533506</v>
      </c>
      <c r="O11" s="18">
        <f t="shared" si="7"/>
        <v>0.76171449360023435</v>
      </c>
      <c r="P11" s="7">
        <v>3.5</v>
      </c>
      <c r="Q11" s="89">
        <v>-68.366799999999998</v>
      </c>
      <c r="R11" s="7">
        <f t="shared" si="0"/>
        <v>425.11828566773801</v>
      </c>
      <c r="S11" s="61">
        <v>18</v>
      </c>
      <c r="T11" s="61">
        <v>2</v>
      </c>
      <c r="U11" s="61">
        <v>14</v>
      </c>
      <c r="V11" s="61">
        <v>1</v>
      </c>
      <c r="W11" s="19">
        <f t="shared" si="8"/>
        <v>662.87604990744637</v>
      </c>
      <c r="X11" s="7" t="str">
        <f t="shared" si="9"/>
        <v>OK</v>
      </c>
      <c r="Y11" s="17">
        <f t="shared" si="1"/>
        <v>-106.60259945683067</v>
      </c>
      <c r="Z11" s="18">
        <f t="shared" si="10"/>
        <v>0.6413239484623029</v>
      </c>
    </row>
    <row r="12" spans="1:26" x14ac:dyDescent="0.25">
      <c r="A12" s="55" t="s">
        <v>85</v>
      </c>
      <c r="B12" s="7">
        <v>4</v>
      </c>
      <c r="C12" s="87">
        <v>77.050200000000004</v>
      </c>
      <c r="D12" s="7">
        <v>300</v>
      </c>
      <c r="E12" s="61">
        <v>500</v>
      </c>
      <c r="F12" s="7">
        <f t="shared" si="2"/>
        <v>457</v>
      </c>
      <c r="G12" s="7">
        <f t="shared" si="3"/>
        <v>479.11338448422845</v>
      </c>
      <c r="H12" s="61">
        <v>18</v>
      </c>
      <c r="I12" s="61">
        <v>2</v>
      </c>
      <c r="J12" s="61">
        <v>14</v>
      </c>
      <c r="K12" s="61">
        <v>0</v>
      </c>
      <c r="L12" s="19">
        <f t="shared" si="4"/>
        <v>508.93800988154646</v>
      </c>
      <c r="M12" s="7" t="str">
        <f t="shared" si="5"/>
        <v>OK</v>
      </c>
      <c r="N12" s="17">
        <f t="shared" si="6"/>
        <v>81.846545554533506</v>
      </c>
      <c r="O12" s="18">
        <f t="shared" si="7"/>
        <v>0.94139831410065133</v>
      </c>
      <c r="P12" s="7">
        <v>4</v>
      </c>
      <c r="Q12" s="89">
        <v>-102.2542</v>
      </c>
      <c r="R12" s="7">
        <f t="shared" si="0"/>
        <v>635.83684195144451</v>
      </c>
      <c r="S12" s="61">
        <v>18</v>
      </c>
      <c r="T12" s="61">
        <v>2</v>
      </c>
      <c r="U12" s="61">
        <v>14</v>
      </c>
      <c r="V12" s="61">
        <v>1</v>
      </c>
      <c r="W12" s="19">
        <f t="shared" si="8"/>
        <v>662.87604990744637</v>
      </c>
      <c r="X12" s="7" t="str">
        <f t="shared" si="9"/>
        <v>OK</v>
      </c>
      <c r="Y12" s="17">
        <f t="shared" si="1"/>
        <v>-106.60259945683067</v>
      </c>
      <c r="Z12" s="18">
        <f t="shared" si="10"/>
        <v>0.9592092549432476</v>
      </c>
    </row>
    <row r="13" spans="1:26" x14ac:dyDescent="0.25">
      <c r="A13" s="55" t="s">
        <v>86</v>
      </c>
      <c r="B13" s="7">
        <v>4</v>
      </c>
      <c r="C13" s="87">
        <v>70.567300000000003</v>
      </c>
      <c r="D13" s="7">
        <v>300</v>
      </c>
      <c r="E13" s="61">
        <v>500</v>
      </c>
      <c r="F13" s="7">
        <f t="shared" si="2"/>
        <v>457</v>
      </c>
      <c r="G13" s="7">
        <f t="shared" si="3"/>
        <v>438.80142993676708</v>
      </c>
      <c r="H13" s="61">
        <v>18</v>
      </c>
      <c r="I13" s="61">
        <v>2</v>
      </c>
      <c r="J13" s="61">
        <v>14</v>
      </c>
      <c r="K13" s="61">
        <v>0</v>
      </c>
      <c r="L13" s="19">
        <f t="shared" si="4"/>
        <v>508.93800988154646</v>
      </c>
      <c r="M13" s="7" t="str">
        <f t="shared" si="5"/>
        <v>OK</v>
      </c>
      <c r="N13" s="17">
        <f t="shared" si="6"/>
        <v>81.846545554533506</v>
      </c>
      <c r="O13" s="18">
        <f t="shared" si="7"/>
        <v>0.86219032852133926</v>
      </c>
      <c r="P13" s="7">
        <v>4</v>
      </c>
      <c r="Q13" s="89">
        <v>-101.1198</v>
      </c>
      <c r="R13" s="7">
        <f t="shared" si="0"/>
        <v>628.78291836190283</v>
      </c>
      <c r="S13" s="61">
        <v>18</v>
      </c>
      <c r="T13" s="61">
        <v>2</v>
      </c>
      <c r="U13" s="61">
        <v>14</v>
      </c>
      <c r="V13" s="61">
        <v>1</v>
      </c>
      <c r="W13" s="19">
        <f t="shared" si="8"/>
        <v>662.87604990744637</v>
      </c>
      <c r="X13" s="7" t="str">
        <f t="shared" si="9"/>
        <v>OK</v>
      </c>
      <c r="Y13" s="17">
        <f t="shared" si="1"/>
        <v>-106.60259945683067</v>
      </c>
      <c r="Z13" s="18">
        <f t="shared" si="10"/>
        <v>0.9485678634032656</v>
      </c>
    </row>
    <row r="14" spans="1:26" x14ac:dyDescent="0.25">
      <c r="A14" s="55" t="s">
        <v>86</v>
      </c>
      <c r="B14" s="7">
        <v>4.5</v>
      </c>
      <c r="C14" s="87">
        <v>58.4039</v>
      </c>
      <c r="D14" s="7">
        <v>300</v>
      </c>
      <c r="E14" s="61">
        <v>500</v>
      </c>
      <c r="F14" s="7">
        <f t="shared" si="2"/>
        <v>457</v>
      </c>
      <c r="G14" s="7">
        <f t="shared" si="3"/>
        <v>363.16700276025796</v>
      </c>
      <c r="H14" s="61">
        <v>18</v>
      </c>
      <c r="I14" s="61">
        <v>2</v>
      </c>
      <c r="J14" s="61">
        <v>14</v>
      </c>
      <c r="K14" s="61">
        <v>0</v>
      </c>
      <c r="L14" s="19">
        <f t="shared" si="4"/>
        <v>508.93800988154646</v>
      </c>
      <c r="M14" s="7" t="str">
        <f t="shared" si="5"/>
        <v>OK</v>
      </c>
      <c r="N14" s="17">
        <f t="shared" si="6"/>
        <v>81.846545554533506</v>
      </c>
      <c r="O14" s="18">
        <f t="shared" si="7"/>
        <v>0.71357806984151928</v>
      </c>
      <c r="P14" s="7">
        <v>4.5</v>
      </c>
      <c r="Q14" s="89">
        <v>-69.615899999999996</v>
      </c>
      <c r="R14" s="7">
        <f t="shared" si="0"/>
        <v>432.88543654546771</v>
      </c>
      <c r="S14" s="61">
        <v>18</v>
      </c>
      <c r="T14" s="61">
        <v>2</v>
      </c>
      <c r="U14" s="61">
        <v>14</v>
      </c>
      <c r="V14" s="61">
        <v>1</v>
      </c>
      <c r="W14" s="19">
        <f t="shared" si="8"/>
        <v>662.87604990744637</v>
      </c>
      <c r="X14" s="7" t="str">
        <f t="shared" si="9"/>
        <v>OK</v>
      </c>
      <c r="Y14" s="17">
        <f t="shared" si="1"/>
        <v>-106.60259945683067</v>
      </c>
      <c r="Z14" s="18">
        <f t="shared" si="10"/>
        <v>0.65304129875549</v>
      </c>
    </row>
    <row r="15" spans="1:26" x14ac:dyDescent="0.25">
      <c r="A15" s="55" t="s">
        <v>86</v>
      </c>
      <c r="B15" s="7">
        <v>5</v>
      </c>
      <c r="C15" s="87">
        <v>43.430900000000001</v>
      </c>
      <c r="D15" s="7">
        <v>300</v>
      </c>
      <c r="E15" s="61">
        <v>500</v>
      </c>
      <c r="F15" s="7">
        <f t="shared" si="2"/>
        <v>457</v>
      </c>
      <c r="G15" s="7">
        <f t="shared" si="3"/>
        <v>270.06192703193602</v>
      </c>
      <c r="H15" s="61">
        <v>18</v>
      </c>
      <c r="I15" s="61">
        <v>2</v>
      </c>
      <c r="J15" s="61">
        <v>14</v>
      </c>
      <c r="K15" s="61">
        <v>0</v>
      </c>
      <c r="L15" s="19">
        <f t="shared" si="4"/>
        <v>508.93800988154646</v>
      </c>
      <c r="M15" s="7" t="str">
        <f t="shared" si="5"/>
        <v>OK</v>
      </c>
      <c r="N15" s="17">
        <f t="shared" si="6"/>
        <v>81.846545554533506</v>
      </c>
      <c r="O15" s="18">
        <f t="shared" si="7"/>
        <v>0.53063815590191821</v>
      </c>
      <c r="P15" s="7">
        <v>5</v>
      </c>
      <c r="Q15" s="89">
        <v>-40.921799999999998</v>
      </c>
      <c r="R15" s="7">
        <f t="shared" si="0"/>
        <v>254.45984692040642</v>
      </c>
      <c r="S15" s="61">
        <v>18</v>
      </c>
      <c r="T15" s="61">
        <v>2</v>
      </c>
      <c r="U15" s="61">
        <v>14</v>
      </c>
      <c r="V15" s="61">
        <v>0</v>
      </c>
      <c r="W15" s="19">
        <f t="shared" si="8"/>
        <v>508.93800988154646</v>
      </c>
      <c r="X15" s="7" t="str">
        <f t="shared" si="9"/>
        <v>OK</v>
      </c>
      <c r="Y15" s="17">
        <f t="shared" si="1"/>
        <v>-81.846545554533506</v>
      </c>
      <c r="Z15" s="18">
        <f t="shared" si="10"/>
        <v>0.49998200562703315</v>
      </c>
    </row>
    <row r="16" spans="1:26" x14ac:dyDescent="0.25">
      <c r="A16" s="55" t="s">
        <v>86</v>
      </c>
      <c r="B16" s="7">
        <v>5.5</v>
      </c>
      <c r="C16" s="87">
        <v>25.648399999999999</v>
      </c>
      <c r="D16" s="7">
        <v>300</v>
      </c>
      <c r="E16" s="61">
        <v>500</v>
      </c>
      <c r="F16" s="7">
        <f t="shared" si="2"/>
        <v>457</v>
      </c>
      <c r="G16" s="7">
        <f t="shared" si="3"/>
        <v>159.48682457158171</v>
      </c>
      <c r="H16" s="61">
        <v>18</v>
      </c>
      <c r="I16" s="61">
        <v>2</v>
      </c>
      <c r="J16" s="61">
        <v>14</v>
      </c>
      <c r="K16" s="61">
        <v>0</v>
      </c>
      <c r="L16" s="19">
        <f t="shared" si="4"/>
        <v>508.93800988154646</v>
      </c>
      <c r="M16" s="7" t="str">
        <f t="shared" si="5"/>
        <v>OK</v>
      </c>
      <c r="N16" s="17">
        <f t="shared" si="6"/>
        <v>81.846545554533506</v>
      </c>
      <c r="O16" s="18">
        <f t="shared" si="7"/>
        <v>0.31337180850119978</v>
      </c>
      <c r="P16" s="7">
        <v>5.5</v>
      </c>
      <c r="Q16" s="89">
        <v>-15.037699999999999</v>
      </c>
      <c r="R16" s="7">
        <f t="shared" si="0"/>
        <v>93.507393126279766</v>
      </c>
      <c r="S16" s="61">
        <v>18</v>
      </c>
      <c r="T16" s="61">
        <v>2</v>
      </c>
      <c r="U16" s="61">
        <v>14</v>
      </c>
      <c r="V16" s="61">
        <v>0</v>
      </c>
      <c r="W16" s="19">
        <f t="shared" si="8"/>
        <v>508.93800988154646</v>
      </c>
      <c r="X16" s="7" t="str">
        <f t="shared" si="9"/>
        <v>OK</v>
      </c>
      <c r="Y16" s="17">
        <f t="shared" si="1"/>
        <v>-81.846545554533506</v>
      </c>
      <c r="Z16" s="18">
        <f t="shared" si="10"/>
        <v>0.18373041767511783</v>
      </c>
    </row>
    <row r="17" spans="1:26" x14ac:dyDescent="0.25">
      <c r="A17" s="55" t="s">
        <v>86</v>
      </c>
      <c r="B17" s="7">
        <v>6</v>
      </c>
      <c r="C17" s="87">
        <v>8.6668000000000003</v>
      </c>
      <c r="D17" s="7">
        <v>300</v>
      </c>
      <c r="E17" s="61">
        <v>500</v>
      </c>
      <c r="F17" s="7">
        <f t="shared" si="2"/>
        <v>457</v>
      </c>
      <c r="G17" s="7">
        <f t="shared" si="3"/>
        <v>53.891876732933994</v>
      </c>
      <c r="H17" s="61">
        <v>18</v>
      </c>
      <c r="I17" s="61">
        <v>2</v>
      </c>
      <c r="J17" s="61">
        <v>14</v>
      </c>
      <c r="K17" s="61">
        <v>0</v>
      </c>
      <c r="L17" s="19">
        <f t="shared" si="4"/>
        <v>508.93800988154646</v>
      </c>
      <c r="M17" s="7" t="str">
        <f t="shared" si="5"/>
        <v>OK</v>
      </c>
      <c r="N17" s="17">
        <f t="shared" si="6"/>
        <v>81.846545554533506</v>
      </c>
      <c r="O17" s="18">
        <f t="shared" si="7"/>
        <v>0.10589084659932778</v>
      </c>
      <c r="P17" s="7">
        <v>6</v>
      </c>
      <c r="Q17" s="89">
        <v>5.0467000000000004</v>
      </c>
      <c r="R17" s="7">
        <f t="shared" si="0"/>
        <v>31.381378860490376</v>
      </c>
      <c r="S17" s="61">
        <v>18</v>
      </c>
      <c r="T17" s="61">
        <v>2</v>
      </c>
      <c r="U17" s="61">
        <v>14</v>
      </c>
      <c r="V17" s="61">
        <v>0</v>
      </c>
      <c r="W17" s="19">
        <f t="shared" si="8"/>
        <v>508.93800988154646</v>
      </c>
      <c r="X17" s="7" t="str">
        <f t="shared" si="9"/>
        <v>OK</v>
      </c>
      <c r="Y17" s="17">
        <f t="shared" si="1"/>
        <v>-81.846545554533506</v>
      </c>
      <c r="Z17" s="18">
        <f t="shared" si="10"/>
        <v>-6.1660513168969804E-2</v>
      </c>
    </row>
    <row r="18" spans="1:26" x14ac:dyDescent="0.25">
      <c r="A18" s="55" t="s">
        <v>86</v>
      </c>
      <c r="B18" s="7">
        <v>6.5</v>
      </c>
      <c r="C18" s="87">
        <v>28.3033</v>
      </c>
      <c r="D18" s="7">
        <v>300</v>
      </c>
      <c r="E18" s="61">
        <v>500</v>
      </c>
      <c r="F18" s="7">
        <f t="shared" si="2"/>
        <v>457</v>
      </c>
      <c r="G18" s="7">
        <f t="shared" si="3"/>
        <v>175.99551792302242</v>
      </c>
      <c r="H18" s="61">
        <v>18</v>
      </c>
      <c r="I18" s="61">
        <v>2</v>
      </c>
      <c r="J18" s="61">
        <v>14</v>
      </c>
      <c r="K18" s="61">
        <v>0</v>
      </c>
      <c r="L18" s="19">
        <f t="shared" si="4"/>
        <v>508.93800988154646</v>
      </c>
      <c r="M18" s="7" t="str">
        <f t="shared" si="5"/>
        <v>OK</v>
      </c>
      <c r="N18" s="17">
        <f t="shared" si="6"/>
        <v>81.846545554533506</v>
      </c>
      <c r="O18" s="18">
        <f t="shared" si="7"/>
        <v>0.34580934122799117</v>
      </c>
      <c r="P18" s="7">
        <v>6.5</v>
      </c>
      <c r="Q18" s="89">
        <v>-18.3476</v>
      </c>
      <c r="R18" s="7">
        <f t="shared" si="0"/>
        <v>114.08900603973551</v>
      </c>
      <c r="S18" s="61">
        <v>18</v>
      </c>
      <c r="T18" s="61">
        <v>2</v>
      </c>
      <c r="U18" s="61">
        <v>14</v>
      </c>
      <c r="V18" s="61">
        <v>0</v>
      </c>
      <c r="W18" s="19">
        <f t="shared" si="8"/>
        <v>508.93800988154646</v>
      </c>
      <c r="X18" s="7" t="str">
        <f t="shared" si="9"/>
        <v>OK</v>
      </c>
      <c r="Y18" s="17">
        <f t="shared" si="1"/>
        <v>-81.846545554533506</v>
      </c>
      <c r="Z18" s="18">
        <f t="shared" si="10"/>
        <v>0.22417073165018533</v>
      </c>
    </row>
    <row r="19" spans="1:26" x14ac:dyDescent="0.25">
      <c r="A19" s="55" t="s">
        <v>86</v>
      </c>
      <c r="B19" s="7">
        <v>7</v>
      </c>
      <c r="C19" s="87">
        <v>45.758299999999998</v>
      </c>
      <c r="D19" s="7">
        <v>300</v>
      </c>
      <c r="E19" s="61">
        <v>500</v>
      </c>
      <c r="F19" s="7">
        <f t="shared" si="2"/>
        <v>457</v>
      </c>
      <c r="G19" s="7">
        <f t="shared" si="3"/>
        <v>284.53416060236924</v>
      </c>
      <c r="H19" s="61">
        <v>18</v>
      </c>
      <c r="I19" s="61">
        <v>2</v>
      </c>
      <c r="J19" s="61">
        <v>14</v>
      </c>
      <c r="K19" s="61">
        <v>0</v>
      </c>
      <c r="L19" s="19">
        <f t="shared" si="4"/>
        <v>508.93800988154646</v>
      </c>
      <c r="M19" s="7" t="str">
        <f t="shared" si="5"/>
        <v>OK</v>
      </c>
      <c r="N19" s="17">
        <f t="shared" si="6"/>
        <v>81.846545554533506</v>
      </c>
      <c r="O19" s="18">
        <f t="shared" si="7"/>
        <v>0.55907429800457142</v>
      </c>
      <c r="P19" s="7">
        <v>7</v>
      </c>
      <c r="Q19" s="89">
        <v>-44.5593</v>
      </c>
      <c r="R19" s="7">
        <f t="shared" si="0"/>
        <v>277.07854143465011</v>
      </c>
      <c r="S19" s="61">
        <v>18</v>
      </c>
      <c r="T19" s="61">
        <v>2</v>
      </c>
      <c r="U19" s="61">
        <v>14</v>
      </c>
      <c r="V19" s="61">
        <v>0</v>
      </c>
      <c r="W19" s="19">
        <f t="shared" si="8"/>
        <v>508.93800988154646</v>
      </c>
      <c r="X19" s="7" t="str">
        <f t="shared" si="9"/>
        <v>OK</v>
      </c>
      <c r="Y19" s="17">
        <f t="shared" si="1"/>
        <v>-81.846545554533506</v>
      </c>
      <c r="Z19" s="18">
        <f t="shared" si="10"/>
        <v>0.54442493202490261</v>
      </c>
    </row>
    <row r="20" spans="1:26" x14ac:dyDescent="0.25">
      <c r="A20" s="55" t="s">
        <v>86</v>
      </c>
      <c r="B20" s="7">
        <v>7.5</v>
      </c>
      <c r="C20" s="87">
        <v>60.403799999999997</v>
      </c>
      <c r="D20" s="7">
        <v>300</v>
      </c>
      <c r="E20" s="61">
        <v>500</v>
      </c>
      <c r="F20" s="7">
        <f t="shared" si="2"/>
        <v>457</v>
      </c>
      <c r="G20" s="7">
        <f t="shared" si="3"/>
        <v>375.60277654968365</v>
      </c>
      <c r="H20" s="61">
        <v>18</v>
      </c>
      <c r="I20" s="61">
        <v>2</v>
      </c>
      <c r="J20" s="61">
        <v>14</v>
      </c>
      <c r="K20" s="61">
        <v>0</v>
      </c>
      <c r="L20" s="19">
        <f t="shared" si="4"/>
        <v>508.93800988154646</v>
      </c>
      <c r="M20" s="7" t="str">
        <f t="shared" si="5"/>
        <v>OK</v>
      </c>
      <c r="N20" s="17">
        <f t="shared" si="6"/>
        <v>81.846545554533506</v>
      </c>
      <c r="O20" s="18">
        <f t="shared" si="7"/>
        <v>0.73801282132003443</v>
      </c>
      <c r="P20" s="7">
        <v>7.5</v>
      </c>
      <c r="Q20" s="89">
        <v>-73.5809</v>
      </c>
      <c r="R20" s="7">
        <f t="shared" si="0"/>
        <v>457.54059084071895</v>
      </c>
      <c r="S20" s="61">
        <v>18</v>
      </c>
      <c r="T20" s="61">
        <v>2</v>
      </c>
      <c r="U20" s="61">
        <v>14</v>
      </c>
      <c r="V20" s="61">
        <v>1</v>
      </c>
      <c r="W20" s="19">
        <f t="shared" si="8"/>
        <v>662.87604990744637</v>
      </c>
      <c r="X20" s="7" t="str">
        <f t="shared" si="9"/>
        <v>OK</v>
      </c>
      <c r="Y20" s="17">
        <f t="shared" si="1"/>
        <v>-106.60259945683067</v>
      </c>
      <c r="Z20" s="18">
        <f t="shared" si="10"/>
        <v>0.69023551372025405</v>
      </c>
    </row>
    <row r="21" spans="1:26" x14ac:dyDescent="0.25">
      <c r="A21" s="55" t="s">
        <v>86</v>
      </c>
      <c r="B21" s="7">
        <v>8</v>
      </c>
      <c r="C21" s="87">
        <v>72.239599999999996</v>
      </c>
      <c r="D21" s="7">
        <v>300</v>
      </c>
      <c r="E21" s="61">
        <v>500</v>
      </c>
      <c r="F21" s="7">
        <f t="shared" si="2"/>
        <v>457</v>
      </c>
      <c r="G21" s="7">
        <f t="shared" si="3"/>
        <v>449.20012212540485</v>
      </c>
      <c r="H21" s="61">
        <v>18</v>
      </c>
      <c r="I21" s="61">
        <v>2</v>
      </c>
      <c r="J21" s="61">
        <v>14</v>
      </c>
      <c r="K21" s="61">
        <v>0</v>
      </c>
      <c r="L21" s="19">
        <f t="shared" si="4"/>
        <v>508.93800988154646</v>
      </c>
      <c r="M21" s="7" t="str">
        <f t="shared" si="5"/>
        <v>OK</v>
      </c>
      <c r="N21" s="17">
        <f t="shared" si="6"/>
        <v>81.846545554533506</v>
      </c>
      <c r="O21" s="18">
        <f t="shared" si="7"/>
        <v>0.88262246757705243</v>
      </c>
      <c r="P21" s="7">
        <v>8</v>
      </c>
      <c r="Q21" s="89">
        <v>-105.4123</v>
      </c>
      <c r="R21" s="7">
        <f t="shared" si="0"/>
        <v>655.47453243816153</v>
      </c>
      <c r="S21" s="61">
        <v>18</v>
      </c>
      <c r="T21" s="61">
        <v>2</v>
      </c>
      <c r="U21" s="61">
        <v>14</v>
      </c>
      <c r="V21" s="61">
        <v>1</v>
      </c>
      <c r="W21" s="19">
        <f t="shared" si="8"/>
        <v>662.87604990744637</v>
      </c>
      <c r="X21" s="7" t="str">
        <f t="shared" si="9"/>
        <v>OK</v>
      </c>
      <c r="Y21" s="17">
        <f t="shared" si="1"/>
        <v>-106.60259945683067</v>
      </c>
      <c r="Z21" s="18">
        <f t="shared" si="10"/>
        <v>0.98883423609841059</v>
      </c>
    </row>
    <row r="22" spans="1:26" x14ac:dyDescent="0.25">
      <c r="A22" s="55" t="s">
        <v>87</v>
      </c>
      <c r="B22" s="7">
        <v>8</v>
      </c>
      <c r="C22" s="87">
        <v>46.398899999999998</v>
      </c>
      <c r="D22" s="7">
        <v>300</v>
      </c>
      <c r="E22" s="61">
        <v>500</v>
      </c>
      <c r="F22" s="7">
        <f t="shared" si="2"/>
        <v>457</v>
      </c>
      <c r="G22" s="7">
        <f t="shared" si="3"/>
        <v>288.51753811599798</v>
      </c>
      <c r="H22" s="61">
        <v>18</v>
      </c>
      <c r="I22" s="61">
        <v>2</v>
      </c>
      <c r="J22" s="61">
        <v>14</v>
      </c>
      <c r="K22" s="61">
        <v>0</v>
      </c>
      <c r="L22" s="19">
        <f t="shared" si="4"/>
        <v>508.93800988154646</v>
      </c>
      <c r="M22" s="7" t="str">
        <f t="shared" si="5"/>
        <v>OK</v>
      </c>
      <c r="N22" s="17">
        <f t="shared" si="6"/>
        <v>81.846545554533506</v>
      </c>
      <c r="O22" s="18">
        <f t="shared" si="7"/>
        <v>0.56690114024525196</v>
      </c>
      <c r="P22" s="7">
        <v>8</v>
      </c>
      <c r="Q22" s="89">
        <v>-100.0463</v>
      </c>
      <c r="R22" s="7">
        <f t="shared" si="0"/>
        <v>622.10768301866142</v>
      </c>
      <c r="S22" s="61">
        <v>18</v>
      </c>
      <c r="T22" s="61">
        <v>2</v>
      </c>
      <c r="U22" s="61">
        <v>14</v>
      </c>
      <c r="V22" s="61">
        <v>1</v>
      </c>
      <c r="W22" s="19">
        <f t="shared" si="8"/>
        <v>662.87604990744637</v>
      </c>
      <c r="X22" s="7" t="str">
        <f t="shared" si="9"/>
        <v>OK</v>
      </c>
      <c r="Y22" s="17">
        <f t="shared" si="1"/>
        <v>-106.60259945683067</v>
      </c>
      <c r="Z22" s="18">
        <f t="shared" si="10"/>
        <v>0.93849775249162026</v>
      </c>
    </row>
    <row r="23" spans="1:26" x14ac:dyDescent="0.25">
      <c r="A23" s="55" t="s">
        <v>87</v>
      </c>
      <c r="B23" s="7">
        <v>8.5</v>
      </c>
      <c r="C23" s="87">
        <v>47.230699999999999</v>
      </c>
      <c r="D23" s="7">
        <v>300</v>
      </c>
      <c r="E23" s="61">
        <v>500</v>
      </c>
      <c r="F23" s="7">
        <f t="shared" si="2"/>
        <v>457</v>
      </c>
      <c r="G23" s="7">
        <f t="shared" si="3"/>
        <v>293.68983504986682</v>
      </c>
      <c r="H23" s="61">
        <v>18</v>
      </c>
      <c r="I23" s="61">
        <v>2</v>
      </c>
      <c r="J23" s="61">
        <v>14</v>
      </c>
      <c r="K23" s="61">
        <v>0</v>
      </c>
      <c r="L23" s="19">
        <f t="shared" si="4"/>
        <v>508.93800988154646</v>
      </c>
      <c r="M23" s="7" t="str">
        <f t="shared" si="5"/>
        <v>OK</v>
      </c>
      <c r="N23" s="17">
        <f t="shared" si="6"/>
        <v>81.846545554533506</v>
      </c>
      <c r="O23" s="18">
        <f t="shared" si="7"/>
        <v>0.57706406153123069</v>
      </c>
      <c r="P23" s="7">
        <v>8.5</v>
      </c>
      <c r="Q23" s="89">
        <v>-72.654499999999999</v>
      </c>
      <c r="R23" s="7">
        <f t="shared" si="0"/>
        <v>451.78005239453466</v>
      </c>
      <c r="S23" s="61">
        <v>18</v>
      </c>
      <c r="T23" s="61">
        <v>2</v>
      </c>
      <c r="U23" s="61">
        <v>14</v>
      </c>
      <c r="V23" s="61">
        <v>1</v>
      </c>
      <c r="W23" s="19">
        <f t="shared" si="8"/>
        <v>662.87604990744637</v>
      </c>
      <c r="X23" s="7" t="str">
        <f t="shared" si="9"/>
        <v>OK</v>
      </c>
      <c r="Y23" s="17">
        <f t="shared" si="1"/>
        <v>-106.60259945683067</v>
      </c>
      <c r="Z23" s="18">
        <f t="shared" si="10"/>
        <v>0.68154529411284992</v>
      </c>
    </row>
    <row r="24" spans="1:26" x14ac:dyDescent="0.25">
      <c r="A24" s="55" t="s">
        <v>87</v>
      </c>
      <c r="B24" s="7">
        <v>9</v>
      </c>
      <c r="C24" s="87">
        <v>45.252800000000001</v>
      </c>
      <c r="D24" s="7">
        <v>300</v>
      </c>
      <c r="E24" s="61">
        <v>500</v>
      </c>
      <c r="F24" s="7">
        <f t="shared" si="2"/>
        <v>457</v>
      </c>
      <c r="G24" s="7">
        <f t="shared" si="3"/>
        <v>281.39086161214237</v>
      </c>
      <c r="H24" s="61">
        <v>18</v>
      </c>
      <c r="I24" s="61">
        <v>2</v>
      </c>
      <c r="J24" s="61">
        <v>14</v>
      </c>
      <c r="K24" s="61">
        <v>0</v>
      </c>
      <c r="L24" s="19">
        <f t="shared" si="4"/>
        <v>508.93800988154646</v>
      </c>
      <c r="M24" s="7" t="str">
        <f t="shared" si="5"/>
        <v>OK</v>
      </c>
      <c r="N24" s="17">
        <f t="shared" si="6"/>
        <v>81.846545554533506</v>
      </c>
      <c r="O24" s="18">
        <f t="shared" si="7"/>
        <v>0.55289810575876452</v>
      </c>
      <c r="P24" s="7">
        <v>9</v>
      </c>
      <c r="Q24" s="89">
        <v>-48.072499999999998</v>
      </c>
      <c r="R24" s="7">
        <f t="shared" si="0"/>
        <v>298.92431396178171</v>
      </c>
      <c r="S24" s="61">
        <v>18</v>
      </c>
      <c r="T24" s="61">
        <v>2</v>
      </c>
      <c r="U24" s="61">
        <v>14</v>
      </c>
      <c r="V24" s="61">
        <v>0</v>
      </c>
      <c r="W24" s="19">
        <f t="shared" si="8"/>
        <v>508.93800988154646</v>
      </c>
      <c r="X24" s="7" t="str">
        <f t="shared" si="9"/>
        <v>OK</v>
      </c>
      <c r="Y24" s="17">
        <f t="shared" si="1"/>
        <v>-81.846545554533506</v>
      </c>
      <c r="Z24" s="18">
        <f t="shared" si="10"/>
        <v>0.58734916268359538</v>
      </c>
    </row>
    <row r="25" spans="1:26" x14ac:dyDescent="0.25">
      <c r="A25" s="55" t="s">
        <v>87</v>
      </c>
      <c r="B25" s="7">
        <v>9.5</v>
      </c>
      <c r="C25" s="87">
        <v>40.465200000000003</v>
      </c>
      <c r="D25" s="7">
        <v>300</v>
      </c>
      <c r="E25" s="61">
        <v>500</v>
      </c>
      <c r="F25" s="7">
        <f t="shared" si="2"/>
        <v>457</v>
      </c>
      <c r="G25" s="7">
        <f t="shared" si="3"/>
        <v>251.62061780282465</v>
      </c>
      <c r="H25" s="61">
        <v>18</v>
      </c>
      <c r="I25" s="61">
        <v>2</v>
      </c>
      <c r="J25" s="61">
        <v>14</v>
      </c>
      <c r="K25" s="61">
        <v>0</v>
      </c>
      <c r="L25" s="19">
        <f t="shared" si="4"/>
        <v>508.93800988154646</v>
      </c>
      <c r="M25" s="7" t="str">
        <f t="shared" si="5"/>
        <v>OK</v>
      </c>
      <c r="N25" s="17">
        <f t="shared" si="6"/>
        <v>81.846545554533506</v>
      </c>
      <c r="O25" s="18">
        <f t="shared" si="7"/>
        <v>0.49440327292785324</v>
      </c>
      <c r="P25" s="7">
        <v>9.5</v>
      </c>
      <c r="Q25" s="89">
        <v>-26.3002</v>
      </c>
      <c r="R25" s="7">
        <f t="shared" si="0"/>
        <v>163.539845900622</v>
      </c>
      <c r="S25" s="61">
        <v>18</v>
      </c>
      <c r="T25" s="61">
        <v>2</v>
      </c>
      <c r="U25" s="61">
        <v>14</v>
      </c>
      <c r="V25" s="61">
        <v>0</v>
      </c>
      <c r="W25" s="19">
        <f t="shared" si="8"/>
        <v>508.93800988154646</v>
      </c>
      <c r="X25" s="7" t="str">
        <f t="shared" si="9"/>
        <v>OK</v>
      </c>
      <c r="Y25" s="17">
        <f t="shared" si="1"/>
        <v>-81.846545554533506</v>
      </c>
      <c r="Z25" s="18">
        <f t="shared" si="10"/>
        <v>0.32133549219223245</v>
      </c>
    </row>
    <row r="26" spans="1:26" x14ac:dyDescent="0.25">
      <c r="A26" s="55" t="s">
        <v>87</v>
      </c>
      <c r="B26" s="7">
        <v>10</v>
      </c>
      <c r="C26" s="87">
        <v>32.867899999999999</v>
      </c>
      <c r="D26" s="7">
        <v>300</v>
      </c>
      <c r="E26" s="61">
        <v>500</v>
      </c>
      <c r="F26" s="7">
        <f t="shared" si="2"/>
        <v>457</v>
      </c>
      <c r="G26" s="7">
        <f t="shared" si="3"/>
        <v>204.37910362191366</v>
      </c>
      <c r="H26" s="61">
        <v>18</v>
      </c>
      <c r="I26" s="61">
        <v>2</v>
      </c>
      <c r="J26" s="61">
        <v>14</v>
      </c>
      <c r="K26" s="61">
        <v>0</v>
      </c>
      <c r="L26" s="19">
        <f t="shared" si="4"/>
        <v>508.93800988154646</v>
      </c>
      <c r="M26" s="7" t="str">
        <f t="shared" si="5"/>
        <v>OK</v>
      </c>
      <c r="N26" s="17">
        <f t="shared" si="6"/>
        <v>81.846545554533506</v>
      </c>
      <c r="O26" s="18">
        <f t="shared" si="7"/>
        <v>0.40157956303849696</v>
      </c>
      <c r="P26" s="7">
        <v>10</v>
      </c>
      <c r="Q26" s="89">
        <v>-7.3376000000000001</v>
      </c>
      <c r="R26" s="7">
        <f t="shared" si="0"/>
        <v>45.626648211055574</v>
      </c>
      <c r="S26" s="61">
        <v>18</v>
      </c>
      <c r="T26" s="61">
        <v>2</v>
      </c>
      <c r="U26" s="61">
        <v>14</v>
      </c>
      <c r="V26" s="61">
        <v>0</v>
      </c>
      <c r="W26" s="19">
        <f t="shared" si="8"/>
        <v>508.93800988154646</v>
      </c>
      <c r="X26" s="7" t="str">
        <f t="shared" si="9"/>
        <v>OK</v>
      </c>
      <c r="Y26" s="17">
        <f t="shared" si="1"/>
        <v>-81.846545554533506</v>
      </c>
      <c r="Z26" s="18">
        <f t="shared" si="10"/>
        <v>8.965069875931457E-2</v>
      </c>
    </row>
    <row r="27" spans="1:26" x14ac:dyDescent="0.25">
      <c r="A27" s="55" t="s">
        <v>87</v>
      </c>
      <c r="B27" s="7">
        <v>10.5</v>
      </c>
      <c r="C27" s="87">
        <v>22.461200000000002</v>
      </c>
      <c r="D27" s="7">
        <v>300</v>
      </c>
      <c r="E27" s="61">
        <v>500</v>
      </c>
      <c r="F27" s="7">
        <f t="shared" si="2"/>
        <v>457</v>
      </c>
      <c r="G27" s="7">
        <f t="shared" si="3"/>
        <v>139.66818452875074</v>
      </c>
      <c r="H27" s="61">
        <v>18</v>
      </c>
      <c r="I27" s="61">
        <v>2</v>
      </c>
      <c r="J27" s="61">
        <v>14</v>
      </c>
      <c r="K27" s="61">
        <v>0</v>
      </c>
      <c r="L27" s="19">
        <f t="shared" si="4"/>
        <v>508.93800988154646</v>
      </c>
      <c r="M27" s="7" t="str">
        <f t="shared" si="5"/>
        <v>OK</v>
      </c>
      <c r="N27" s="17">
        <f t="shared" si="6"/>
        <v>81.846545554533506</v>
      </c>
      <c r="O27" s="18">
        <f t="shared" si="7"/>
        <v>0.27443064148668728</v>
      </c>
      <c r="P27" s="7">
        <v>10.5</v>
      </c>
      <c r="Q27" s="89">
        <v>8.8148999999999997</v>
      </c>
      <c r="R27" s="7">
        <f t="shared" si="0"/>
        <v>54.812791827795714</v>
      </c>
      <c r="S27" s="61">
        <v>18</v>
      </c>
      <c r="T27" s="61">
        <v>2</v>
      </c>
      <c r="U27" s="61">
        <v>14</v>
      </c>
      <c r="V27" s="61">
        <v>0</v>
      </c>
      <c r="W27" s="19">
        <f t="shared" si="8"/>
        <v>508.93800988154646</v>
      </c>
      <c r="X27" s="7" t="str">
        <f t="shared" si="9"/>
        <v>OK</v>
      </c>
      <c r="Y27" s="17">
        <f t="shared" si="1"/>
        <v>-81.846545554533506</v>
      </c>
      <c r="Z27" s="18">
        <f t="shared" si="10"/>
        <v>-0.10770033042050288</v>
      </c>
    </row>
    <row r="28" spans="1:26" x14ac:dyDescent="0.25">
      <c r="A28" s="55" t="s">
        <v>87</v>
      </c>
      <c r="B28" s="7">
        <v>11</v>
      </c>
      <c r="C28" s="87">
        <v>22.158999999999999</v>
      </c>
      <c r="D28" s="7">
        <v>300</v>
      </c>
      <c r="E28" s="61">
        <v>500</v>
      </c>
      <c r="F28" s="7">
        <f t="shared" si="2"/>
        <v>457</v>
      </c>
      <c r="G28" s="7">
        <f t="shared" si="3"/>
        <v>137.78904515219969</v>
      </c>
      <c r="H28" s="61">
        <v>18</v>
      </c>
      <c r="I28" s="61">
        <v>2</v>
      </c>
      <c r="J28" s="61">
        <v>14</v>
      </c>
      <c r="K28" s="61">
        <v>0</v>
      </c>
      <c r="L28" s="19">
        <f t="shared" si="4"/>
        <v>508.93800988154646</v>
      </c>
      <c r="M28" s="7" t="str">
        <f t="shared" si="5"/>
        <v>OK</v>
      </c>
      <c r="N28" s="17">
        <f t="shared" si="6"/>
        <v>81.846545554533506</v>
      </c>
      <c r="O28" s="18">
        <f t="shared" si="7"/>
        <v>0.27073836592450545</v>
      </c>
      <c r="P28" s="7">
        <v>11</v>
      </c>
      <c r="Q28" s="89">
        <v>9.2433999999999994</v>
      </c>
      <c r="R28" s="7">
        <f t="shared" si="0"/>
        <v>57.477289587068135</v>
      </c>
      <c r="S28" s="61">
        <v>18</v>
      </c>
      <c r="T28" s="61">
        <v>2</v>
      </c>
      <c r="U28" s="61">
        <v>14</v>
      </c>
      <c r="V28" s="61">
        <v>0</v>
      </c>
      <c r="W28" s="19">
        <f t="shared" si="8"/>
        <v>508.93800988154646</v>
      </c>
      <c r="X28" s="7" t="str">
        <f t="shared" si="9"/>
        <v>OK</v>
      </c>
      <c r="Y28" s="17">
        <f t="shared" si="1"/>
        <v>-81.846545554533506</v>
      </c>
      <c r="Z28" s="18">
        <f t="shared" si="10"/>
        <v>-0.1129357376951385</v>
      </c>
    </row>
    <row r="29" spans="1:26" x14ac:dyDescent="0.25">
      <c r="A29" s="55" t="s">
        <v>87</v>
      </c>
      <c r="B29" s="7">
        <v>11.5</v>
      </c>
      <c r="C29" s="87">
        <v>32.692100000000003</v>
      </c>
      <c r="D29" s="7">
        <v>300</v>
      </c>
      <c r="E29" s="61">
        <v>500</v>
      </c>
      <c r="F29" s="7">
        <f t="shared" si="2"/>
        <v>457</v>
      </c>
      <c r="G29" s="7">
        <f t="shared" si="3"/>
        <v>203.28594444786447</v>
      </c>
      <c r="H29" s="61">
        <v>18</v>
      </c>
      <c r="I29" s="61">
        <v>2</v>
      </c>
      <c r="J29" s="61">
        <v>14</v>
      </c>
      <c r="K29" s="61">
        <v>0</v>
      </c>
      <c r="L29" s="19">
        <f t="shared" si="4"/>
        <v>508.93800988154646</v>
      </c>
      <c r="M29" s="7" t="str">
        <f t="shared" si="5"/>
        <v>OK</v>
      </c>
      <c r="N29" s="17">
        <f t="shared" si="6"/>
        <v>81.846545554533506</v>
      </c>
      <c r="O29" s="18">
        <f t="shared" si="7"/>
        <v>0.39943164098743295</v>
      </c>
      <c r="P29" s="7">
        <v>11.5</v>
      </c>
      <c r="Q29" s="89">
        <v>-6.7827999999999999</v>
      </c>
      <c r="R29" s="7">
        <f t="shared" si="0"/>
        <v>42.17679206906179</v>
      </c>
      <c r="S29" s="61">
        <v>18</v>
      </c>
      <c r="T29" s="61">
        <v>2</v>
      </c>
      <c r="U29" s="61">
        <v>14</v>
      </c>
      <c r="V29" s="61">
        <v>0</v>
      </c>
      <c r="W29" s="19">
        <f t="shared" si="8"/>
        <v>508.93800988154646</v>
      </c>
      <c r="X29" s="7" t="str">
        <f t="shared" si="9"/>
        <v>OK</v>
      </c>
      <c r="Y29" s="17">
        <f t="shared" si="1"/>
        <v>-81.846545554533506</v>
      </c>
      <c r="Z29" s="18">
        <f t="shared" si="10"/>
        <v>8.287215977222509E-2</v>
      </c>
    </row>
    <row r="30" spans="1:26" x14ac:dyDescent="0.25">
      <c r="A30" s="55" t="s">
        <v>87</v>
      </c>
      <c r="B30" s="7">
        <v>12</v>
      </c>
      <c r="C30" s="87">
        <v>40.415799999999997</v>
      </c>
      <c r="D30" s="7">
        <v>300</v>
      </c>
      <c r="E30" s="61">
        <v>500</v>
      </c>
      <c r="F30" s="7">
        <f t="shared" si="2"/>
        <v>457</v>
      </c>
      <c r="G30" s="7">
        <f t="shared" si="3"/>
        <v>251.31343883127727</v>
      </c>
      <c r="H30" s="61">
        <v>18</v>
      </c>
      <c r="I30" s="61">
        <v>2</v>
      </c>
      <c r="J30" s="61">
        <v>14</v>
      </c>
      <c r="K30" s="61">
        <v>0</v>
      </c>
      <c r="L30" s="19">
        <f t="shared" si="4"/>
        <v>508.93800988154646</v>
      </c>
      <c r="M30" s="7" t="str">
        <f t="shared" si="5"/>
        <v>OK</v>
      </c>
      <c r="N30" s="17">
        <f t="shared" si="6"/>
        <v>81.846545554533506</v>
      </c>
      <c r="O30" s="18">
        <f t="shared" si="7"/>
        <v>0.49379970438790688</v>
      </c>
      <c r="P30" s="7">
        <v>12</v>
      </c>
      <c r="Q30" s="89">
        <v>-25.619</v>
      </c>
      <c r="R30" s="7">
        <f t="shared" si="0"/>
        <v>159.30400955612637</v>
      </c>
      <c r="S30" s="61">
        <v>18</v>
      </c>
      <c r="T30" s="61">
        <v>2</v>
      </c>
      <c r="U30" s="61">
        <v>14</v>
      </c>
      <c r="V30" s="61">
        <v>0</v>
      </c>
      <c r="W30" s="19">
        <f t="shared" si="8"/>
        <v>508.93800988154646</v>
      </c>
      <c r="X30" s="7" t="str">
        <f t="shared" si="9"/>
        <v>OK</v>
      </c>
      <c r="Y30" s="17">
        <f t="shared" si="1"/>
        <v>-81.846545554533506</v>
      </c>
      <c r="Z30" s="18">
        <f t="shared" si="10"/>
        <v>0.31301259969402528</v>
      </c>
    </row>
    <row r="31" spans="1:26" x14ac:dyDescent="0.25">
      <c r="A31" s="55" t="s">
        <v>87</v>
      </c>
      <c r="B31" s="7">
        <v>12.5</v>
      </c>
      <c r="C31" s="87">
        <v>45.329700000000003</v>
      </c>
      <c r="D31" s="7">
        <v>300</v>
      </c>
      <c r="E31" s="61">
        <v>500</v>
      </c>
      <c r="F31" s="7">
        <f t="shared" si="2"/>
        <v>457</v>
      </c>
      <c r="G31" s="7">
        <f t="shared" si="3"/>
        <v>281.86904102331636</v>
      </c>
      <c r="H31" s="61">
        <v>18</v>
      </c>
      <c r="I31" s="61">
        <v>2</v>
      </c>
      <c r="J31" s="61">
        <v>14</v>
      </c>
      <c r="K31" s="61">
        <v>0</v>
      </c>
      <c r="L31" s="19">
        <f t="shared" si="4"/>
        <v>508.93800988154646</v>
      </c>
      <c r="M31" s="7" t="str">
        <f t="shared" si="5"/>
        <v>OK</v>
      </c>
      <c r="N31" s="17">
        <f t="shared" si="6"/>
        <v>81.846545554533506</v>
      </c>
      <c r="O31" s="18">
        <f t="shared" si="7"/>
        <v>0.55383766893127206</v>
      </c>
      <c r="P31" s="7">
        <v>12.5</v>
      </c>
      <c r="Q31" s="89">
        <v>-47.264899999999997</v>
      </c>
      <c r="R31" s="7">
        <f t="shared" si="0"/>
        <v>293.90249741478425</v>
      </c>
      <c r="S31" s="61">
        <v>18</v>
      </c>
      <c r="T31" s="61">
        <v>2</v>
      </c>
      <c r="U31" s="61">
        <v>14</v>
      </c>
      <c r="V31" s="61">
        <v>0</v>
      </c>
      <c r="W31" s="19">
        <f t="shared" si="8"/>
        <v>508.93800988154646</v>
      </c>
      <c r="X31" s="7" t="str">
        <f t="shared" si="9"/>
        <v>OK</v>
      </c>
      <c r="Y31" s="17">
        <f t="shared" si="1"/>
        <v>-81.846545554533506</v>
      </c>
      <c r="Z31" s="18">
        <f t="shared" si="10"/>
        <v>0.5774819166742704</v>
      </c>
    </row>
    <row r="32" spans="1:26" x14ac:dyDescent="0.25">
      <c r="A32" s="55" t="s">
        <v>87</v>
      </c>
      <c r="B32" s="7">
        <v>13</v>
      </c>
      <c r="C32" s="87">
        <v>47.433999999999997</v>
      </c>
      <c r="D32" s="7">
        <v>300</v>
      </c>
      <c r="E32" s="61">
        <v>500</v>
      </c>
      <c r="F32" s="7">
        <f t="shared" si="2"/>
        <v>457</v>
      </c>
      <c r="G32" s="7">
        <f t="shared" si="3"/>
        <v>294.95399466354263</v>
      </c>
      <c r="H32" s="61">
        <v>18</v>
      </c>
      <c r="I32" s="61">
        <v>2</v>
      </c>
      <c r="J32" s="61">
        <v>14</v>
      </c>
      <c r="K32" s="61">
        <v>0</v>
      </c>
      <c r="L32" s="19">
        <f t="shared" si="4"/>
        <v>508.93800988154646</v>
      </c>
      <c r="M32" s="7" t="str">
        <f t="shared" si="5"/>
        <v>OK</v>
      </c>
      <c r="N32" s="17">
        <f t="shared" si="6"/>
        <v>81.846545554533506</v>
      </c>
      <c r="O32" s="18">
        <f t="shared" si="7"/>
        <v>0.57954797821485593</v>
      </c>
      <c r="P32" s="7">
        <v>13</v>
      </c>
      <c r="Q32" s="89">
        <v>-71.720600000000005</v>
      </c>
      <c r="R32" s="7">
        <f t="shared" si="0"/>
        <v>445.97287746481584</v>
      </c>
      <c r="S32" s="61">
        <v>18</v>
      </c>
      <c r="T32" s="61">
        <v>2</v>
      </c>
      <c r="U32" s="61">
        <v>14</v>
      </c>
      <c r="V32" s="61">
        <v>1</v>
      </c>
      <c r="W32" s="19">
        <f t="shared" si="8"/>
        <v>662.87604990744637</v>
      </c>
      <c r="X32" s="7" t="str">
        <f t="shared" si="9"/>
        <v>OK</v>
      </c>
      <c r="Y32" s="17">
        <f t="shared" si="1"/>
        <v>-106.60259945683067</v>
      </c>
      <c r="Z32" s="18">
        <f t="shared" si="10"/>
        <v>0.67278471974826159</v>
      </c>
    </row>
    <row r="33" spans="1:26" x14ac:dyDescent="0.25">
      <c r="A33" s="55" t="s">
        <v>87</v>
      </c>
      <c r="B33" s="7">
        <v>13.5</v>
      </c>
      <c r="C33" s="87">
        <v>46.728499999999997</v>
      </c>
      <c r="D33" s="7">
        <v>300</v>
      </c>
      <c r="E33" s="61">
        <v>500</v>
      </c>
      <c r="F33" s="7">
        <f t="shared" si="2"/>
        <v>457</v>
      </c>
      <c r="G33" s="7">
        <f t="shared" si="3"/>
        <v>290.56705611239516</v>
      </c>
      <c r="H33" s="61">
        <v>18</v>
      </c>
      <c r="I33" s="61">
        <v>2</v>
      </c>
      <c r="J33" s="61">
        <v>14</v>
      </c>
      <c r="K33" s="61">
        <v>0</v>
      </c>
      <c r="L33" s="19">
        <f t="shared" si="4"/>
        <v>508.93800988154646</v>
      </c>
      <c r="M33" s="7" t="str">
        <f t="shared" si="5"/>
        <v>OK</v>
      </c>
      <c r="N33" s="17">
        <f t="shared" si="6"/>
        <v>81.846545554533506</v>
      </c>
      <c r="O33" s="18">
        <f t="shared" si="7"/>
        <v>0.57092818864133099</v>
      </c>
      <c r="P33" s="7">
        <v>13.5</v>
      </c>
      <c r="Q33" s="89">
        <v>-98.986000000000004</v>
      </c>
      <c r="R33" s="7">
        <f t="shared" si="0"/>
        <v>615.51452788644076</v>
      </c>
      <c r="S33" s="61">
        <v>18</v>
      </c>
      <c r="T33" s="61">
        <v>2</v>
      </c>
      <c r="U33" s="61">
        <v>14</v>
      </c>
      <c r="V33" s="61">
        <v>1</v>
      </c>
      <c r="W33" s="19">
        <f t="shared" si="8"/>
        <v>662.87604990744637</v>
      </c>
      <c r="X33" s="7" t="str">
        <f t="shared" si="9"/>
        <v>OK</v>
      </c>
      <c r="Y33" s="17">
        <f t="shared" si="1"/>
        <v>-106.60259945683067</v>
      </c>
      <c r="Z33" s="18">
        <f t="shared" si="10"/>
        <v>0.92855146595261917</v>
      </c>
    </row>
    <row r="34" spans="1:26" x14ac:dyDescent="0.25">
      <c r="A34" s="55" t="s">
        <v>88</v>
      </c>
      <c r="B34" s="7">
        <v>13.5</v>
      </c>
      <c r="C34" s="87">
        <v>77.258300000000006</v>
      </c>
      <c r="D34" s="7">
        <v>300</v>
      </c>
      <c r="E34" s="61">
        <v>500</v>
      </c>
      <c r="F34" s="7">
        <f t="shared" si="2"/>
        <v>457</v>
      </c>
      <c r="G34" s="7">
        <f t="shared" si="3"/>
        <v>480.40739144736631</v>
      </c>
      <c r="H34" s="61">
        <v>18</v>
      </c>
      <c r="I34" s="61">
        <v>2</v>
      </c>
      <c r="J34" s="61">
        <v>14</v>
      </c>
      <c r="K34" s="61">
        <v>0</v>
      </c>
      <c r="L34" s="19">
        <f t="shared" si="4"/>
        <v>508.93800988154646</v>
      </c>
      <c r="M34" s="7" t="str">
        <f t="shared" si="5"/>
        <v>OK</v>
      </c>
      <c r="N34" s="17">
        <f t="shared" si="6"/>
        <v>81.846545554533506</v>
      </c>
      <c r="O34" s="18">
        <f t="shared" si="7"/>
        <v>0.94394087712014185</v>
      </c>
      <c r="P34" s="7">
        <v>13.5</v>
      </c>
      <c r="Q34" s="89">
        <v>-105.3477</v>
      </c>
      <c r="R34" s="7">
        <f t="shared" si="0"/>
        <v>655.07283685998414</v>
      </c>
      <c r="S34" s="61">
        <v>18</v>
      </c>
      <c r="T34" s="61">
        <v>2</v>
      </c>
      <c r="U34" s="61">
        <v>14</v>
      </c>
      <c r="V34" s="61">
        <v>1</v>
      </c>
      <c r="W34" s="19">
        <f t="shared" si="8"/>
        <v>662.87604990744637</v>
      </c>
      <c r="X34" s="7" t="str">
        <f t="shared" si="9"/>
        <v>OK</v>
      </c>
      <c r="Y34" s="17">
        <f t="shared" si="1"/>
        <v>-106.60259945683067</v>
      </c>
      <c r="Z34" s="18">
        <f t="shared" si="10"/>
        <v>0.98822824712319657</v>
      </c>
    </row>
    <row r="35" spans="1:26" x14ac:dyDescent="0.25">
      <c r="A35" s="55" t="s">
        <v>88</v>
      </c>
      <c r="B35" s="7">
        <v>14</v>
      </c>
      <c r="C35" s="87">
        <v>62.528199999999998</v>
      </c>
      <c r="D35" s="7">
        <v>300</v>
      </c>
      <c r="E35" s="61">
        <v>500</v>
      </c>
      <c r="F35" s="7">
        <f t="shared" si="2"/>
        <v>457</v>
      </c>
      <c r="G35" s="7">
        <f t="shared" si="3"/>
        <v>388.81271596578244</v>
      </c>
      <c r="H35" s="61">
        <v>18</v>
      </c>
      <c r="I35" s="61">
        <v>2</v>
      </c>
      <c r="J35" s="61">
        <v>14</v>
      </c>
      <c r="K35" s="61">
        <v>0</v>
      </c>
      <c r="L35" s="19">
        <f t="shared" si="4"/>
        <v>508.93800988154646</v>
      </c>
      <c r="M35" s="7" t="str">
        <f t="shared" si="5"/>
        <v>OK</v>
      </c>
      <c r="N35" s="17">
        <f t="shared" si="6"/>
        <v>81.846545554533506</v>
      </c>
      <c r="O35" s="18">
        <f t="shared" si="7"/>
        <v>0.76396871213505413</v>
      </c>
      <c r="P35" s="7">
        <v>14</v>
      </c>
      <c r="Q35" s="89">
        <v>-71.256500000000003</v>
      </c>
      <c r="R35" s="7">
        <f t="shared" si="0"/>
        <v>443.08701186369956</v>
      </c>
      <c r="S35" s="61">
        <v>18</v>
      </c>
      <c r="T35" s="61">
        <v>2</v>
      </c>
      <c r="U35" s="61">
        <v>14</v>
      </c>
      <c r="V35" s="61">
        <v>1</v>
      </c>
      <c r="W35" s="19">
        <f t="shared" si="8"/>
        <v>662.87604990744637</v>
      </c>
      <c r="X35" s="7" t="str">
        <f t="shared" si="9"/>
        <v>OK</v>
      </c>
      <c r="Y35" s="17">
        <f t="shared" si="1"/>
        <v>-106.60259945683067</v>
      </c>
      <c r="Z35" s="18">
        <f t="shared" si="10"/>
        <v>0.66843116737369734</v>
      </c>
    </row>
    <row r="36" spans="1:26" x14ac:dyDescent="0.25">
      <c r="A36" s="55" t="s">
        <v>88</v>
      </c>
      <c r="B36" s="7">
        <v>14.5</v>
      </c>
      <c r="C36" s="87">
        <v>44.988300000000002</v>
      </c>
      <c r="D36" s="7">
        <v>300</v>
      </c>
      <c r="E36" s="61">
        <v>500</v>
      </c>
      <c r="F36" s="7">
        <f t="shared" si="2"/>
        <v>457</v>
      </c>
      <c r="G36" s="7">
        <f t="shared" si="3"/>
        <v>279.74614829282484</v>
      </c>
      <c r="H36" s="61">
        <v>18</v>
      </c>
      <c r="I36" s="61">
        <v>2</v>
      </c>
      <c r="J36" s="61">
        <v>14</v>
      </c>
      <c r="K36" s="61">
        <v>0</v>
      </c>
      <c r="L36" s="19">
        <f t="shared" si="4"/>
        <v>508.93800988154646</v>
      </c>
      <c r="M36" s="7" t="str">
        <f t="shared" si="5"/>
        <v>OK</v>
      </c>
      <c r="N36" s="17">
        <f t="shared" si="6"/>
        <v>81.846545554533506</v>
      </c>
      <c r="O36" s="18">
        <f t="shared" si="7"/>
        <v>0.5496664482928576</v>
      </c>
      <c r="P36" s="7">
        <v>14.5</v>
      </c>
      <c r="Q36" s="89">
        <v>-39.975000000000001</v>
      </c>
      <c r="R36" s="7">
        <f t="shared" si="0"/>
        <v>248.57245723900823</v>
      </c>
      <c r="S36" s="61">
        <v>18</v>
      </c>
      <c r="T36" s="61">
        <v>2</v>
      </c>
      <c r="U36" s="61">
        <v>14</v>
      </c>
      <c r="V36" s="61">
        <v>0</v>
      </c>
      <c r="W36" s="19">
        <f t="shared" si="8"/>
        <v>508.93800988154646</v>
      </c>
      <c r="X36" s="7" t="str">
        <f t="shared" si="9"/>
        <v>OK</v>
      </c>
      <c r="Y36" s="17">
        <f t="shared" si="1"/>
        <v>-81.846545554533506</v>
      </c>
      <c r="Z36" s="18">
        <f t="shared" si="10"/>
        <v>0.48841401587761663</v>
      </c>
    </row>
    <row r="37" spans="1:26" x14ac:dyDescent="0.25">
      <c r="A37" s="55" t="s">
        <v>88</v>
      </c>
      <c r="B37" s="7">
        <v>15</v>
      </c>
      <c r="C37" s="87">
        <v>24.6388</v>
      </c>
      <c r="D37" s="7">
        <v>300</v>
      </c>
      <c r="E37" s="61">
        <v>500</v>
      </c>
      <c r="F37" s="7">
        <f t="shared" si="2"/>
        <v>457</v>
      </c>
      <c r="G37" s="7">
        <f t="shared" si="3"/>
        <v>153.20893206805442</v>
      </c>
      <c r="H37" s="61">
        <v>18</v>
      </c>
      <c r="I37" s="61">
        <v>2</v>
      </c>
      <c r="J37" s="61">
        <v>14</v>
      </c>
      <c r="K37" s="61">
        <v>0</v>
      </c>
      <c r="L37" s="19">
        <f t="shared" si="4"/>
        <v>508.93800988154646</v>
      </c>
      <c r="M37" s="7" t="str">
        <f t="shared" si="5"/>
        <v>OK</v>
      </c>
      <c r="N37" s="17">
        <f t="shared" si="6"/>
        <v>81.846545554533506</v>
      </c>
      <c r="O37" s="18">
        <f t="shared" si="7"/>
        <v>0.30103652919087981</v>
      </c>
      <c r="P37" s="7">
        <v>15</v>
      </c>
      <c r="Q37" s="89">
        <v>-11.503399999999999</v>
      </c>
      <c r="R37" s="7">
        <f t="shared" si="0"/>
        <v>71.530416625471105</v>
      </c>
      <c r="S37" s="61">
        <v>18</v>
      </c>
      <c r="T37" s="61">
        <v>2</v>
      </c>
      <c r="U37" s="61">
        <v>14</v>
      </c>
      <c r="V37" s="61">
        <v>0</v>
      </c>
      <c r="W37" s="19">
        <f t="shared" si="8"/>
        <v>508.93800988154646</v>
      </c>
      <c r="X37" s="7" t="str">
        <f t="shared" si="9"/>
        <v>OK</v>
      </c>
      <c r="Y37" s="17">
        <f t="shared" si="1"/>
        <v>-81.846545554533506</v>
      </c>
      <c r="Z37" s="18">
        <f t="shared" si="10"/>
        <v>0.14054838749835083</v>
      </c>
    </row>
    <row r="38" spans="1:26" x14ac:dyDescent="0.25">
      <c r="A38" s="55" t="s">
        <v>88</v>
      </c>
      <c r="B38" s="7">
        <v>15.5</v>
      </c>
      <c r="C38" s="87">
        <v>14.1594</v>
      </c>
      <c r="D38" s="7">
        <v>300</v>
      </c>
      <c r="E38" s="61">
        <v>500</v>
      </c>
      <c r="F38" s="7">
        <f t="shared" si="2"/>
        <v>457</v>
      </c>
      <c r="G38" s="7">
        <f t="shared" si="3"/>
        <v>88.04594999449688</v>
      </c>
      <c r="H38" s="61">
        <v>18</v>
      </c>
      <c r="I38" s="61">
        <v>2</v>
      </c>
      <c r="J38" s="61">
        <v>14</v>
      </c>
      <c r="K38" s="61">
        <v>0</v>
      </c>
      <c r="L38" s="19">
        <f t="shared" si="4"/>
        <v>508.93800988154646</v>
      </c>
      <c r="M38" s="7" t="str">
        <f t="shared" si="5"/>
        <v>OK</v>
      </c>
      <c r="N38" s="17">
        <f t="shared" si="6"/>
        <v>81.846545554533506</v>
      </c>
      <c r="O38" s="18">
        <f t="shared" si="7"/>
        <v>0.17299936001044464</v>
      </c>
      <c r="P38" s="7">
        <v>15.5</v>
      </c>
      <c r="Q38" s="89">
        <v>1.4787999999999999</v>
      </c>
      <c r="R38" s="7">
        <f t="shared" si="0"/>
        <v>9.1954709134470392</v>
      </c>
      <c r="S38" s="61">
        <v>18</v>
      </c>
      <c r="T38" s="61">
        <v>2</v>
      </c>
      <c r="U38" s="61">
        <v>14</v>
      </c>
      <c r="V38" s="61">
        <v>0</v>
      </c>
      <c r="W38" s="19">
        <f t="shared" si="8"/>
        <v>508.93800988154646</v>
      </c>
      <c r="X38" s="7" t="str">
        <f t="shared" si="9"/>
        <v>OK</v>
      </c>
      <c r="Y38" s="17">
        <f t="shared" si="1"/>
        <v>-81.846545554533506</v>
      </c>
      <c r="Z38" s="18">
        <f t="shared" si="10"/>
        <v>-1.8067958641146201E-2</v>
      </c>
    </row>
    <row r="39" spans="1:26" x14ac:dyDescent="0.25">
      <c r="A39" s="55" t="s">
        <v>88</v>
      </c>
      <c r="B39" s="7">
        <v>16</v>
      </c>
      <c r="C39" s="87">
        <v>37.011299999999999</v>
      </c>
      <c r="D39" s="7">
        <v>300</v>
      </c>
      <c r="E39" s="61">
        <v>500</v>
      </c>
      <c r="F39" s="7">
        <f t="shared" si="2"/>
        <v>457</v>
      </c>
      <c r="G39" s="7">
        <f t="shared" si="3"/>
        <v>230.14358440550606</v>
      </c>
      <c r="H39" s="61">
        <v>18</v>
      </c>
      <c r="I39" s="61">
        <v>2</v>
      </c>
      <c r="J39" s="61">
        <v>14</v>
      </c>
      <c r="K39" s="61">
        <v>0</v>
      </c>
      <c r="L39" s="19">
        <f t="shared" si="4"/>
        <v>508.93800988154646</v>
      </c>
      <c r="M39" s="7" t="str">
        <f t="shared" si="5"/>
        <v>OK</v>
      </c>
      <c r="N39" s="17">
        <f t="shared" si="6"/>
        <v>81.846545554533506</v>
      </c>
      <c r="O39" s="18">
        <f t="shared" si="7"/>
        <v>0.45220356887682878</v>
      </c>
      <c r="P39" s="7">
        <v>16</v>
      </c>
      <c r="Q39" s="89">
        <v>-24.489799999999999</v>
      </c>
      <c r="R39" s="7">
        <f t="shared" si="0"/>
        <v>152.28242059516856</v>
      </c>
      <c r="S39" s="61">
        <v>18</v>
      </c>
      <c r="T39" s="61">
        <v>2</v>
      </c>
      <c r="U39" s="61">
        <v>18</v>
      </c>
      <c r="V39" s="61">
        <v>0</v>
      </c>
      <c r="W39" s="19">
        <f t="shared" si="8"/>
        <v>508.93800988154646</v>
      </c>
      <c r="X39" s="7" t="str">
        <f t="shared" si="9"/>
        <v>OK</v>
      </c>
      <c r="Y39" s="17">
        <f t="shared" si="1"/>
        <v>-81.846545554533506</v>
      </c>
      <c r="Z39" s="18">
        <f t="shared" si="10"/>
        <v>0.29921604918172995</v>
      </c>
    </row>
    <row r="40" spans="1:26" x14ac:dyDescent="0.25">
      <c r="A40" s="55" t="s">
        <v>88</v>
      </c>
      <c r="B40" s="7">
        <v>16.5</v>
      </c>
      <c r="C40" s="87">
        <v>57.053899999999999</v>
      </c>
      <c r="D40" s="7">
        <v>300</v>
      </c>
      <c r="E40" s="61">
        <v>500</v>
      </c>
      <c r="F40" s="7">
        <f t="shared" si="2"/>
        <v>457</v>
      </c>
      <c r="G40" s="7">
        <f t="shared" si="3"/>
        <v>354.77243572404382</v>
      </c>
      <c r="H40" s="61">
        <v>18</v>
      </c>
      <c r="I40" s="61">
        <v>2</v>
      </c>
      <c r="J40" s="61">
        <v>12</v>
      </c>
      <c r="K40" s="61">
        <v>1</v>
      </c>
      <c r="L40" s="19">
        <f t="shared" si="4"/>
        <v>622.03534541077909</v>
      </c>
      <c r="M40" s="7" t="str">
        <f t="shared" si="5"/>
        <v>OK</v>
      </c>
      <c r="N40" s="17">
        <f t="shared" si="6"/>
        <v>100.0346667888743</v>
      </c>
      <c r="O40" s="18">
        <f t="shared" si="7"/>
        <v>0.57034128099225545</v>
      </c>
      <c r="P40" s="7">
        <v>16.5</v>
      </c>
      <c r="Q40" s="89">
        <v>-53.268599999999999</v>
      </c>
      <c r="R40" s="7">
        <f t="shared" si="0"/>
        <v>331.23469157427974</v>
      </c>
      <c r="S40" s="61">
        <v>18</v>
      </c>
      <c r="T40" s="61">
        <v>2</v>
      </c>
      <c r="U40" s="61">
        <v>18</v>
      </c>
      <c r="V40" s="61">
        <v>1</v>
      </c>
      <c r="W40" s="19">
        <f t="shared" si="8"/>
        <v>763.40701482231975</v>
      </c>
      <c r="X40" s="7" t="str">
        <f t="shared" si="9"/>
        <v>OK</v>
      </c>
      <c r="Y40" s="17">
        <f t="shared" si="1"/>
        <v>-122.76981833180028</v>
      </c>
      <c r="Z40" s="18">
        <f t="shared" si="10"/>
        <v>0.43389002870424687</v>
      </c>
    </row>
    <row r="41" spans="1:26" x14ac:dyDescent="0.25">
      <c r="A41" s="55" t="s">
        <v>88</v>
      </c>
      <c r="B41" s="7">
        <v>17</v>
      </c>
      <c r="C41" s="87">
        <v>74.286699999999996</v>
      </c>
      <c r="D41" s="7">
        <v>300</v>
      </c>
      <c r="E41" s="61">
        <v>500</v>
      </c>
      <c r="F41" s="7">
        <f t="shared" si="2"/>
        <v>457</v>
      </c>
      <c r="G41" s="7">
        <f t="shared" si="3"/>
        <v>461.9293948512078</v>
      </c>
      <c r="H41" s="61">
        <v>18</v>
      </c>
      <c r="I41" s="61">
        <v>2</v>
      </c>
      <c r="J41" s="61">
        <v>12</v>
      </c>
      <c r="K41" s="61">
        <v>1</v>
      </c>
      <c r="L41" s="19">
        <f t="shared" si="4"/>
        <v>622.03534541077909</v>
      </c>
      <c r="M41" s="7" t="str">
        <f t="shared" si="5"/>
        <v>OK</v>
      </c>
      <c r="N41" s="17">
        <f t="shared" si="6"/>
        <v>100.0346667888743</v>
      </c>
      <c r="O41" s="18">
        <f t="shared" si="7"/>
        <v>0.74260956111128906</v>
      </c>
      <c r="P41" s="7">
        <v>17</v>
      </c>
      <c r="Q41" s="89">
        <v>-84.856999999999999</v>
      </c>
      <c r="R41" s="7">
        <f t="shared" si="0"/>
        <v>527.65761110520373</v>
      </c>
      <c r="S41" s="61">
        <v>18</v>
      </c>
      <c r="T41" s="61">
        <v>2</v>
      </c>
      <c r="U41" s="61">
        <v>18</v>
      </c>
      <c r="V41" s="61">
        <v>1</v>
      </c>
      <c r="W41" s="19">
        <f t="shared" si="8"/>
        <v>763.40701482231975</v>
      </c>
      <c r="X41" s="7" t="str">
        <f t="shared" si="9"/>
        <v>OK</v>
      </c>
      <c r="Y41" s="17">
        <f t="shared" si="1"/>
        <v>-122.76981833180028</v>
      </c>
      <c r="Z41" s="18">
        <f t="shared" si="10"/>
        <v>0.69118779479386128</v>
      </c>
    </row>
    <row r="42" spans="1:26" x14ac:dyDescent="0.25">
      <c r="A42" s="55" t="s">
        <v>88</v>
      </c>
      <c r="B42" s="7">
        <v>17.5</v>
      </c>
      <c r="C42" s="87">
        <v>88.709900000000005</v>
      </c>
      <c r="D42" s="7">
        <v>300</v>
      </c>
      <c r="E42" s="61">
        <v>500</v>
      </c>
      <c r="F42" s="7">
        <f t="shared" si="2"/>
        <v>457</v>
      </c>
      <c r="G42" s="7">
        <f t="shared" si="3"/>
        <v>551.61570542655897</v>
      </c>
      <c r="H42" s="61">
        <v>18</v>
      </c>
      <c r="I42" s="61">
        <v>2</v>
      </c>
      <c r="J42" s="61">
        <v>12</v>
      </c>
      <c r="K42" s="61">
        <v>1</v>
      </c>
      <c r="L42" s="19">
        <f t="shared" si="4"/>
        <v>622.03534541077909</v>
      </c>
      <c r="M42" s="7" t="str">
        <f t="shared" si="5"/>
        <v>OK</v>
      </c>
      <c r="N42" s="17">
        <f t="shared" si="6"/>
        <v>100.0346667888743</v>
      </c>
      <c r="O42" s="18">
        <f t="shared" si="7"/>
        <v>0.88679157783595652</v>
      </c>
      <c r="P42" s="7">
        <v>17.5</v>
      </c>
      <c r="Q42" s="89">
        <v>-119.25530000000001</v>
      </c>
      <c r="R42" s="7">
        <f t="shared" si="0"/>
        <v>741.55304464728192</v>
      </c>
      <c r="S42" s="61">
        <v>18</v>
      </c>
      <c r="T42" s="61">
        <v>2</v>
      </c>
      <c r="U42" s="61">
        <v>18</v>
      </c>
      <c r="V42" s="61">
        <v>1</v>
      </c>
      <c r="W42" s="19">
        <f t="shared" si="8"/>
        <v>763.40701482231975</v>
      </c>
      <c r="X42" s="7" t="str">
        <f t="shared" si="9"/>
        <v>OK</v>
      </c>
      <c r="Y42" s="17">
        <f t="shared" si="1"/>
        <v>-122.76981833180028</v>
      </c>
      <c r="Z42" s="18">
        <f t="shared" si="10"/>
        <v>0.97137310798732412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8FB3-7237-405E-80E7-4747B476161B}">
  <sheetPr codeName="Foglio8"/>
  <dimension ref="A1:AB42"/>
  <sheetViews>
    <sheetView zoomScale="55" zoomScaleNormal="55" workbookViewId="0">
      <selection activeCell="AF7" sqref="AF7"/>
    </sheetView>
  </sheetViews>
  <sheetFormatPr defaultRowHeight="15" x14ac:dyDescent="0.25"/>
  <cols>
    <col min="1" max="3" width="9.140625" style="54"/>
    <col min="4" max="4" width="9.140625" style="62"/>
    <col min="5" max="13" width="9.140625" style="54"/>
    <col min="14" max="18" width="9.140625" style="62"/>
    <col min="19" max="19" width="11.42578125" style="62" customWidth="1"/>
    <col min="20" max="16384" width="9.140625" style="62"/>
  </cols>
  <sheetData>
    <row r="1" spans="1:28" x14ac:dyDescent="0.25">
      <c r="B1" s="16" t="s">
        <v>29</v>
      </c>
      <c r="C1" s="16"/>
      <c r="D1" s="16"/>
      <c r="E1" s="62"/>
      <c r="Q1" s="16" t="s">
        <v>30</v>
      </c>
      <c r="R1" s="16"/>
      <c r="S1" s="16"/>
      <c r="T1" s="54"/>
    </row>
    <row r="2" spans="1:28" x14ac:dyDescent="0.25">
      <c r="B2" s="63" t="s">
        <v>2</v>
      </c>
      <c r="C2" s="63" t="s">
        <v>4</v>
      </c>
      <c r="D2" s="63" t="s">
        <v>5</v>
      </c>
      <c r="E2" s="5" t="s">
        <v>20</v>
      </c>
      <c r="F2" s="5" t="s">
        <v>21</v>
      </c>
      <c r="G2" s="5" t="s">
        <v>25</v>
      </c>
      <c r="H2" s="5" t="s">
        <v>23</v>
      </c>
      <c r="I2" s="5" t="s">
        <v>26</v>
      </c>
      <c r="J2" s="5" t="s">
        <v>27</v>
      </c>
      <c r="K2" s="5" t="s">
        <v>26</v>
      </c>
      <c r="L2" s="5" t="s">
        <v>27</v>
      </c>
      <c r="M2" s="5" t="s">
        <v>23</v>
      </c>
      <c r="O2" s="5" t="s">
        <v>31</v>
      </c>
      <c r="P2" s="5" t="s">
        <v>32</v>
      </c>
      <c r="Q2" s="63" t="s">
        <v>2</v>
      </c>
      <c r="R2" s="63" t="s">
        <v>4</v>
      </c>
      <c r="S2" s="63" t="s">
        <v>5</v>
      </c>
      <c r="T2" s="5" t="s">
        <v>23</v>
      </c>
      <c r="U2" s="5" t="s">
        <v>26</v>
      </c>
      <c r="V2" s="5" t="s">
        <v>27</v>
      </c>
      <c r="W2" s="5" t="s">
        <v>26</v>
      </c>
      <c r="X2" s="5" t="s">
        <v>27</v>
      </c>
      <c r="Y2" s="5" t="s">
        <v>23</v>
      </c>
      <c r="AA2" s="5" t="s">
        <v>31</v>
      </c>
      <c r="AB2" s="5" t="s">
        <v>32</v>
      </c>
    </row>
    <row r="3" spans="1:28" x14ac:dyDescent="0.25">
      <c r="B3" s="27" t="s">
        <v>7</v>
      </c>
      <c r="C3" s="27" t="s">
        <v>8</v>
      </c>
      <c r="D3" s="27" t="s">
        <v>9</v>
      </c>
      <c r="E3" s="9" t="s">
        <v>22</v>
      </c>
      <c r="F3" s="9" t="s">
        <v>22</v>
      </c>
      <c r="G3" s="9" t="s">
        <v>22</v>
      </c>
      <c r="H3" s="9" t="s">
        <v>24</v>
      </c>
      <c r="I3" s="9" t="s">
        <v>22</v>
      </c>
      <c r="J3" s="9" t="s">
        <v>28</v>
      </c>
      <c r="K3" s="9" t="s">
        <v>22</v>
      </c>
      <c r="L3" s="9" t="s">
        <v>28</v>
      </c>
      <c r="M3" s="9" t="s">
        <v>24</v>
      </c>
      <c r="O3" s="9" t="s">
        <v>9</v>
      </c>
      <c r="P3" s="8" t="s">
        <v>28</v>
      </c>
      <c r="Q3" s="27" t="s">
        <v>7</v>
      </c>
      <c r="R3" s="27" t="s">
        <v>8</v>
      </c>
      <c r="S3" s="27" t="s">
        <v>9</v>
      </c>
      <c r="T3" s="9" t="s">
        <v>24</v>
      </c>
      <c r="U3" s="9" t="s">
        <v>22</v>
      </c>
      <c r="V3" s="9" t="s">
        <v>28</v>
      </c>
      <c r="W3" s="9" t="s">
        <v>22</v>
      </c>
      <c r="X3" s="9" t="s">
        <v>28</v>
      </c>
      <c r="Y3" s="9" t="s">
        <v>24</v>
      </c>
      <c r="AA3" s="9" t="s">
        <v>9</v>
      </c>
      <c r="AB3" s="8" t="s">
        <v>28</v>
      </c>
    </row>
    <row r="4" spans="1:28" x14ac:dyDescent="0.25">
      <c r="A4" s="6" t="s">
        <v>89</v>
      </c>
      <c r="B4" s="7">
        <v>0</v>
      </c>
      <c r="C4" s="28">
        <v>49.14</v>
      </c>
      <c r="D4" s="72">
        <v>37.878500000000003</v>
      </c>
      <c r="E4" s="17">
        <v>300</v>
      </c>
      <c r="F4" s="90">
        <v>500</v>
      </c>
      <c r="G4" s="17">
        <f>F4-43</f>
        <v>457</v>
      </c>
      <c r="H4" s="17">
        <f>ABS(D4)*1000^2/(0.9*391*G4)</f>
        <v>235.53600554165786</v>
      </c>
      <c r="I4" s="90">
        <v>18</v>
      </c>
      <c r="J4" s="90">
        <v>2</v>
      </c>
      <c r="K4" s="90">
        <v>12</v>
      </c>
      <c r="L4" s="90">
        <v>0</v>
      </c>
      <c r="M4" s="17">
        <f>PI()*(I4^2/4*J4+K4^2/4*L4)</f>
        <v>508.93800988154646</v>
      </c>
      <c r="N4" s="17" t="str">
        <f>IF(M4&gt;=H4,"OK","NO")</f>
        <v>OK</v>
      </c>
      <c r="O4" s="17">
        <f>(M4*0.9*391*G4)/1000^2</f>
        <v>81.846545554533506</v>
      </c>
      <c r="P4" s="91">
        <f>D4/O4</f>
        <v>0.46279900688981368</v>
      </c>
      <c r="Q4" s="17">
        <v>0</v>
      </c>
      <c r="R4" s="17">
        <v>-93.945999999999998</v>
      </c>
      <c r="S4" s="92">
        <v>-48.9816</v>
      </c>
      <c r="T4" s="17">
        <f>ABS(S4)*1000^2/(0.9*391*G4)</f>
        <v>304.57727758594632</v>
      </c>
      <c r="U4" s="90">
        <v>18</v>
      </c>
      <c r="V4" s="90">
        <v>2</v>
      </c>
      <c r="W4" s="90">
        <v>12</v>
      </c>
      <c r="X4" s="90">
        <v>0</v>
      </c>
      <c r="Y4" s="17">
        <f>PI()*(U4^2/4*V4+W4^2/4*X4)</f>
        <v>508.93800988154646</v>
      </c>
      <c r="Z4" s="17" t="str">
        <f>IF(Y4&gt;=T4,"OK","NO")</f>
        <v>OK</v>
      </c>
      <c r="AA4" s="17">
        <f>-(Y4*0.9*391*G4)/1000^2</f>
        <v>-81.846545554533506</v>
      </c>
      <c r="AB4" s="91">
        <f>S4/AA4</f>
        <v>0.59845653433673707</v>
      </c>
    </row>
    <row r="5" spans="1:28" x14ac:dyDescent="0.25">
      <c r="A5" s="6" t="s">
        <v>89</v>
      </c>
      <c r="B5" s="7">
        <v>0.5</v>
      </c>
      <c r="C5" s="28">
        <v>54.759</v>
      </c>
      <c r="D5" s="72">
        <v>31.868099999999998</v>
      </c>
      <c r="E5" s="17">
        <v>300</v>
      </c>
      <c r="F5" s="90">
        <v>500</v>
      </c>
      <c r="G5" s="17">
        <f t="shared" ref="G5:G42" si="0">F5-43</f>
        <v>457</v>
      </c>
      <c r="H5" s="17">
        <f t="shared" ref="H5:H42" si="1">ABS(D5)*1000^2/(0.9*391*G5)</f>
        <v>198.1621494568715</v>
      </c>
      <c r="I5" s="90">
        <v>18</v>
      </c>
      <c r="J5" s="90">
        <v>2</v>
      </c>
      <c r="K5" s="90">
        <v>12</v>
      </c>
      <c r="L5" s="90">
        <v>0</v>
      </c>
      <c r="M5" s="17">
        <f t="shared" ref="M5:M42" si="2">PI()*(I5^2/4*J5+K5^2/4*L5)</f>
        <v>508.93800988154646</v>
      </c>
      <c r="N5" s="17" t="str">
        <f t="shared" ref="N5:N42" si="3">IF(M5&gt;=H5,"OK","NO")</f>
        <v>OK</v>
      </c>
      <c r="O5" s="17">
        <f t="shared" ref="O5:O42" si="4">(M5*0.9*391*G5)/1000^2</f>
        <v>81.846545554533506</v>
      </c>
      <c r="P5" s="91">
        <f t="shared" ref="P5:P42" si="5">D5/O5</f>
        <v>0.38936401999723513</v>
      </c>
      <c r="Q5" s="17">
        <v>0.5</v>
      </c>
      <c r="R5" s="17">
        <v>-88.325999999999993</v>
      </c>
      <c r="S5" s="92">
        <v>-35.743499999999997</v>
      </c>
      <c r="T5" s="17">
        <f t="shared" ref="T5:T42" si="6">ABS(S5)*1000^2/(0.9*391*G5)</f>
        <v>222.26015322883029</v>
      </c>
      <c r="U5" s="90">
        <v>18</v>
      </c>
      <c r="V5" s="90">
        <v>2</v>
      </c>
      <c r="W5" s="90">
        <v>12</v>
      </c>
      <c r="X5" s="90">
        <v>0</v>
      </c>
      <c r="Y5" s="17">
        <f t="shared" ref="Y5:Y42" si="7">PI()*(U5^2/4*V5+W5^2/4*X5)</f>
        <v>508.93800988154646</v>
      </c>
      <c r="Z5" s="17" t="str">
        <f t="shared" ref="Z5:Z42" si="8">IF(Y5&gt;=T5,"OK","NO")</f>
        <v>OK</v>
      </c>
      <c r="AA5" s="17">
        <f t="shared" ref="AA5:AA42" si="9">-(Y5*0.9*391*G5)/1000^2</f>
        <v>-81.846545554533506</v>
      </c>
      <c r="AB5" s="91">
        <f t="shared" ref="AB5:AB42" si="10">S5/AA5</f>
        <v>0.43671360541642495</v>
      </c>
    </row>
    <row r="6" spans="1:28" x14ac:dyDescent="0.25">
      <c r="A6" s="6" t="s">
        <v>89</v>
      </c>
      <c r="B6" s="7">
        <v>1</v>
      </c>
      <c r="C6" s="28">
        <v>60.378</v>
      </c>
      <c r="D6" s="72">
        <v>24.920500000000001</v>
      </c>
      <c r="E6" s="17">
        <v>300</v>
      </c>
      <c r="F6" s="90">
        <v>500</v>
      </c>
      <c r="G6" s="17">
        <f t="shared" si="0"/>
        <v>457</v>
      </c>
      <c r="H6" s="17">
        <f t="shared" si="1"/>
        <v>154.96059838961111</v>
      </c>
      <c r="I6" s="90">
        <v>18</v>
      </c>
      <c r="J6" s="90">
        <v>2</v>
      </c>
      <c r="K6" s="90">
        <v>12</v>
      </c>
      <c r="L6" s="90">
        <v>0</v>
      </c>
      <c r="M6" s="17">
        <f t="shared" si="2"/>
        <v>508.93800988154646</v>
      </c>
      <c r="N6" s="17" t="str">
        <f t="shared" si="3"/>
        <v>OK</v>
      </c>
      <c r="O6" s="17">
        <f t="shared" si="4"/>
        <v>81.846545554533506</v>
      </c>
      <c r="P6" s="91">
        <f t="shared" si="5"/>
        <v>0.3044783360269705</v>
      </c>
      <c r="Q6" s="17">
        <v>1</v>
      </c>
      <c r="R6" s="17">
        <v>-82.706999999999994</v>
      </c>
      <c r="S6" s="92">
        <v>-23.442699999999999</v>
      </c>
      <c r="T6" s="17">
        <f t="shared" si="6"/>
        <v>145.77134567396868</v>
      </c>
      <c r="U6" s="90">
        <v>18</v>
      </c>
      <c r="V6" s="90">
        <v>2</v>
      </c>
      <c r="W6" s="90">
        <v>12</v>
      </c>
      <c r="X6" s="90">
        <v>0</v>
      </c>
      <c r="Y6" s="17">
        <f t="shared" si="7"/>
        <v>508.93800988154646</v>
      </c>
      <c r="Z6" s="17" t="str">
        <f t="shared" si="8"/>
        <v>OK</v>
      </c>
      <c r="AA6" s="17">
        <f t="shared" si="9"/>
        <v>-81.846545554533506</v>
      </c>
      <c r="AB6" s="91">
        <f t="shared" si="10"/>
        <v>0.28642259537246284</v>
      </c>
    </row>
    <row r="7" spans="1:28" x14ac:dyDescent="0.25">
      <c r="A7" s="6" t="s">
        <v>89</v>
      </c>
      <c r="B7" s="7">
        <v>1.5</v>
      </c>
      <c r="C7" s="28">
        <v>65.998000000000005</v>
      </c>
      <c r="D7" s="72">
        <v>17.035799999999998</v>
      </c>
      <c r="E7" s="17">
        <v>300</v>
      </c>
      <c r="F7" s="90">
        <v>500</v>
      </c>
      <c r="G7" s="17">
        <f t="shared" si="0"/>
        <v>457</v>
      </c>
      <c r="H7" s="17">
        <f t="shared" si="1"/>
        <v>105.93197415965719</v>
      </c>
      <c r="I7" s="90">
        <v>18</v>
      </c>
      <c r="J7" s="90">
        <v>2</v>
      </c>
      <c r="K7" s="90">
        <v>12</v>
      </c>
      <c r="L7" s="90">
        <v>0</v>
      </c>
      <c r="M7" s="17">
        <f t="shared" si="2"/>
        <v>508.93800988154646</v>
      </c>
      <c r="N7" s="17" t="str">
        <f t="shared" si="3"/>
        <v>OK</v>
      </c>
      <c r="O7" s="17">
        <f t="shared" si="4"/>
        <v>81.846545554533506</v>
      </c>
      <c r="P7" s="91">
        <f t="shared" si="5"/>
        <v>0.20814317677768357</v>
      </c>
      <c r="Q7" s="17">
        <v>1.5</v>
      </c>
      <c r="R7" s="17">
        <v>-77.087000000000003</v>
      </c>
      <c r="S7" s="92">
        <v>-12.0792</v>
      </c>
      <c r="T7" s="17">
        <f t="shared" si="6"/>
        <v>75.11085492136155</v>
      </c>
      <c r="U7" s="90">
        <v>18</v>
      </c>
      <c r="V7" s="90">
        <v>2</v>
      </c>
      <c r="W7" s="90">
        <v>12</v>
      </c>
      <c r="X7" s="90">
        <v>0</v>
      </c>
      <c r="Y7" s="17">
        <f t="shared" si="7"/>
        <v>508.93800988154646</v>
      </c>
      <c r="Z7" s="17" t="str">
        <f t="shared" si="8"/>
        <v>OK</v>
      </c>
      <c r="AA7" s="17">
        <f t="shared" si="9"/>
        <v>-81.846545554533506</v>
      </c>
      <c r="AB7" s="91">
        <f t="shared" si="10"/>
        <v>0.1475835042048507</v>
      </c>
    </row>
    <row r="8" spans="1:28" x14ac:dyDescent="0.25">
      <c r="A8" s="6" t="s">
        <v>89</v>
      </c>
      <c r="B8" s="7">
        <v>2</v>
      </c>
      <c r="C8" s="28">
        <v>71.617000000000004</v>
      </c>
      <c r="D8" s="72">
        <v>8.2152999999999992</v>
      </c>
      <c r="E8" s="17">
        <v>300</v>
      </c>
      <c r="F8" s="90">
        <v>500</v>
      </c>
      <c r="G8" s="17">
        <f t="shared" si="0"/>
        <v>457</v>
      </c>
      <c r="H8" s="17">
        <f t="shared" si="1"/>
        <v>51.084360424155697</v>
      </c>
      <c r="I8" s="90">
        <v>18</v>
      </c>
      <c r="J8" s="90">
        <v>2</v>
      </c>
      <c r="K8" s="90">
        <v>12</v>
      </c>
      <c r="L8" s="90">
        <v>0</v>
      </c>
      <c r="M8" s="17">
        <f t="shared" si="2"/>
        <v>508.93800988154646</v>
      </c>
      <c r="N8" s="17" t="str">
        <f t="shared" si="3"/>
        <v>OK</v>
      </c>
      <c r="O8" s="17">
        <f t="shared" si="4"/>
        <v>81.846545554533506</v>
      </c>
      <c r="P8" s="91">
        <f t="shared" si="5"/>
        <v>0.10037442563200459</v>
      </c>
      <c r="Q8" s="17">
        <v>2</v>
      </c>
      <c r="R8" s="17">
        <v>-71.468000000000004</v>
      </c>
      <c r="S8" s="92">
        <v>-1.6543000000000001</v>
      </c>
      <c r="T8" s="17">
        <f t="shared" si="6"/>
        <v>10.286764628154879</v>
      </c>
      <c r="U8" s="90">
        <v>18</v>
      </c>
      <c r="V8" s="90">
        <v>2</v>
      </c>
      <c r="W8" s="90">
        <v>12</v>
      </c>
      <c r="X8" s="90">
        <v>0</v>
      </c>
      <c r="Y8" s="17">
        <f t="shared" si="7"/>
        <v>508.93800988154646</v>
      </c>
      <c r="Z8" s="17" t="str">
        <f t="shared" si="8"/>
        <v>OK</v>
      </c>
      <c r="AA8" s="17">
        <f t="shared" si="9"/>
        <v>-81.846545554533506</v>
      </c>
      <c r="AB8" s="91">
        <f t="shared" si="10"/>
        <v>2.0212215296218666E-2</v>
      </c>
    </row>
    <row r="9" spans="1:28" x14ac:dyDescent="0.25">
      <c r="A9" s="6" t="s">
        <v>89</v>
      </c>
      <c r="B9" s="7">
        <v>2.5</v>
      </c>
      <c r="C9" s="28">
        <v>77.236999999999995</v>
      </c>
      <c r="D9" s="72">
        <v>7.84</v>
      </c>
      <c r="E9" s="17">
        <v>300</v>
      </c>
      <c r="F9" s="90">
        <v>500</v>
      </c>
      <c r="G9" s="17">
        <f t="shared" si="0"/>
        <v>457</v>
      </c>
      <c r="H9" s="17">
        <f t="shared" si="1"/>
        <v>48.750670788088165</v>
      </c>
      <c r="I9" s="90">
        <v>18</v>
      </c>
      <c r="J9" s="90">
        <v>2</v>
      </c>
      <c r="K9" s="90">
        <v>12</v>
      </c>
      <c r="L9" s="90">
        <v>0</v>
      </c>
      <c r="M9" s="17">
        <f t="shared" si="2"/>
        <v>508.93800988154646</v>
      </c>
      <c r="N9" s="17" t="str">
        <f t="shared" si="3"/>
        <v>OK</v>
      </c>
      <c r="O9" s="17">
        <f t="shared" si="4"/>
        <v>81.846545554533506</v>
      </c>
      <c r="P9" s="91">
        <f t="shared" si="5"/>
        <v>9.5789015246541945E-2</v>
      </c>
      <c r="Q9" s="17">
        <v>2.5</v>
      </c>
      <c r="R9" s="17">
        <v>-65.849000000000004</v>
      </c>
      <c r="S9" s="92">
        <v>-1.5491999999999999</v>
      </c>
      <c r="T9" s="17">
        <f t="shared" si="6"/>
        <v>9.6332320388910961</v>
      </c>
      <c r="U9" s="90">
        <v>18</v>
      </c>
      <c r="V9" s="90">
        <v>2</v>
      </c>
      <c r="W9" s="90">
        <v>12</v>
      </c>
      <c r="X9" s="90">
        <v>0</v>
      </c>
      <c r="Y9" s="17">
        <f t="shared" si="7"/>
        <v>508.93800988154646</v>
      </c>
      <c r="Z9" s="17" t="str">
        <f t="shared" si="8"/>
        <v>OK</v>
      </c>
      <c r="AA9" s="17">
        <f t="shared" si="9"/>
        <v>-81.846545554533506</v>
      </c>
      <c r="AB9" s="91">
        <f t="shared" si="10"/>
        <v>1.8928104900502906E-2</v>
      </c>
    </row>
    <row r="10" spans="1:28" x14ac:dyDescent="0.25">
      <c r="A10" s="6" t="s">
        <v>89</v>
      </c>
      <c r="B10" s="7">
        <v>3</v>
      </c>
      <c r="C10" s="28">
        <v>82.855999999999995</v>
      </c>
      <c r="D10" s="72">
        <v>16.3903</v>
      </c>
      <c r="E10" s="17">
        <v>300</v>
      </c>
      <c r="F10" s="90">
        <v>500</v>
      </c>
      <c r="G10" s="17">
        <f t="shared" si="0"/>
        <v>457</v>
      </c>
      <c r="H10" s="17">
        <f t="shared" si="1"/>
        <v>101.9181274767859</v>
      </c>
      <c r="I10" s="90">
        <v>18</v>
      </c>
      <c r="J10" s="90">
        <v>2</v>
      </c>
      <c r="K10" s="90">
        <v>12</v>
      </c>
      <c r="L10" s="90">
        <v>0</v>
      </c>
      <c r="M10" s="17">
        <f t="shared" si="2"/>
        <v>508.93800988154646</v>
      </c>
      <c r="N10" s="17" t="str">
        <f t="shared" si="3"/>
        <v>OK</v>
      </c>
      <c r="O10" s="17">
        <f t="shared" si="4"/>
        <v>81.846545554533506</v>
      </c>
      <c r="P10" s="91">
        <f t="shared" si="5"/>
        <v>0.20025646640247405</v>
      </c>
      <c r="Q10" s="17">
        <v>3</v>
      </c>
      <c r="R10" s="17">
        <v>-60.228999999999999</v>
      </c>
      <c r="S10" s="92">
        <v>-12.2441</v>
      </c>
      <c r="T10" s="17">
        <f t="shared" si="6"/>
        <v>76.136235739340606</v>
      </c>
      <c r="U10" s="90">
        <v>18</v>
      </c>
      <c r="V10" s="90">
        <v>2</v>
      </c>
      <c r="W10" s="90">
        <v>12</v>
      </c>
      <c r="X10" s="90">
        <v>0</v>
      </c>
      <c r="Y10" s="17">
        <f t="shared" si="7"/>
        <v>508.93800988154646</v>
      </c>
      <c r="Z10" s="17" t="str">
        <f t="shared" si="8"/>
        <v>OK</v>
      </c>
      <c r="AA10" s="17">
        <f t="shared" si="9"/>
        <v>-81.846545554533506</v>
      </c>
      <c r="AB10" s="91">
        <f t="shared" si="10"/>
        <v>0.14959825020155409</v>
      </c>
    </row>
    <row r="11" spans="1:28" x14ac:dyDescent="0.25">
      <c r="A11" s="6" t="s">
        <v>89</v>
      </c>
      <c r="B11" s="7">
        <v>3.5</v>
      </c>
      <c r="C11" s="28">
        <v>88.475999999999999</v>
      </c>
      <c r="D11" s="72">
        <v>24.004899999999999</v>
      </c>
      <c r="E11" s="17">
        <v>300</v>
      </c>
      <c r="F11" s="90">
        <v>500</v>
      </c>
      <c r="G11" s="17">
        <f t="shared" si="0"/>
        <v>457</v>
      </c>
      <c r="H11" s="17">
        <f t="shared" si="1"/>
        <v>149.26721647971652</v>
      </c>
      <c r="I11" s="90">
        <v>18</v>
      </c>
      <c r="J11" s="90">
        <v>2</v>
      </c>
      <c r="K11" s="90">
        <v>12</v>
      </c>
      <c r="L11" s="90">
        <v>0</v>
      </c>
      <c r="M11" s="17">
        <f t="shared" si="2"/>
        <v>508.93800988154646</v>
      </c>
      <c r="N11" s="17" t="str">
        <f t="shared" si="3"/>
        <v>OK</v>
      </c>
      <c r="O11" s="17">
        <f t="shared" si="4"/>
        <v>81.846545554533506</v>
      </c>
      <c r="P11" s="91">
        <f t="shared" si="5"/>
        <v>0.29329154746067787</v>
      </c>
      <c r="Q11" s="17">
        <v>3.5</v>
      </c>
      <c r="R11" s="17">
        <v>-54.61</v>
      </c>
      <c r="S11" s="92">
        <v>-23.877600000000001</v>
      </c>
      <c r="T11" s="17">
        <f t="shared" si="6"/>
        <v>148.47563989919055</v>
      </c>
      <c r="U11" s="90">
        <v>18</v>
      </c>
      <c r="V11" s="90">
        <v>2</v>
      </c>
      <c r="W11" s="90">
        <v>12</v>
      </c>
      <c r="X11" s="90">
        <v>0</v>
      </c>
      <c r="Y11" s="17">
        <f t="shared" si="7"/>
        <v>508.93800988154646</v>
      </c>
      <c r="Z11" s="17" t="str">
        <f t="shared" si="8"/>
        <v>OK</v>
      </c>
      <c r="AA11" s="17">
        <f t="shared" si="9"/>
        <v>-81.846545554533506</v>
      </c>
      <c r="AB11" s="91">
        <f t="shared" si="10"/>
        <v>0.29173619776158549</v>
      </c>
    </row>
    <row r="12" spans="1:28" x14ac:dyDescent="0.25">
      <c r="A12" s="6" t="s">
        <v>89</v>
      </c>
      <c r="B12" s="7">
        <v>4</v>
      </c>
      <c r="C12" s="28">
        <v>94.094999999999999</v>
      </c>
      <c r="D12" s="72">
        <v>30.682400000000001</v>
      </c>
      <c r="E12" s="17">
        <v>300</v>
      </c>
      <c r="F12" s="90">
        <v>500</v>
      </c>
      <c r="G12" s="17">
        <f t="shared" si="0"/>
        <v>457</v>
      </c>
      <c r="H12" s="17">
        <f t="shared" si="1"/>
        <v>190.78923231995361</v>
      </c>
      <c r="I12" s="90">
        <v>18</v>
      </c>
      <c r="J12" s="90">
        <v>2</v>
      </c>
      <c r="K12" s="90">
        <v>12</v>
      </c>
      <c r="L12" s="90">
        <v>0</v>
      </c>
      <c r="M12" s="17">
        <f t="shared" si="2"/>
        <v>508.93800988154646</v>
      </c>
      <c r="N12" s="17" t="str">
        <f t="shared" si="3"/>
        <v>OK</v>
      </c>
      <c r="O12" s="17">
        <f t="shared" si="4"/>
        <v>81.846545554533506</v>
      </c>
      <c r="P12" s="91">
        <f t="shared" si="5"/>
        <v>0.37487715323985954</v>
      </c>
      <c r="Q12" s="17">
        <v>4</v>
      </c>
      <c r="R12" s="17">
        <v>-48.99</v>
      </c>
      <c r="S12" s="92">
        <v>-36.448500000000003</v>
      </c>
      <c r="T12" s="17">
        <f t="shared" si="6"/>
        <v>226.64398268107544</v>
      </c>
      <c r="U12" s="90">
        <v>18</v>
      </c>
      <c r="V12" s="90">
        <v>2</v>
      </c>
      <c r="W12" s="90">
        <v>12</v>
      </c>
      <c r="X12" s="90">
        <v>0</v>
      </c>
      <c r="Y12" s="17">
        <f t="shared" si="7"/>
        <v>508.93800988154646</v>
      </c>
      <c r="Z12" s="17" t="str">
        <f t="shared" si="8"/>
        <v>OK</v>
      </c>
      <c r="AA12" s="17">
        <f t="shared" si="9"/>
        <v>-81.846545554533506</v>
      </c>
      <c r="AB12" s="91">
        <f t="shared" si="10"/>
        <v>0.44532728599663068</v>
      </c>
    </row>
    <row r="13" spans="1:28" x14ac:dyDescent="0.25">
      <c r="A13" s="6" t="s">
        <v>90</v>
      </c>
      <c r="B13" s="7">
        <v>4</v>
      </c>
      <c r="C13" s="28">
        <v>42.561999999999998</v>
      </c>
      <c r="D13" s="72">
        <v>27.7029</v>
      </c>
      <c r="E13" s="17">
        <v>300</v>
      </c>
      <c r="F13" s="90">
        <v>500</v>
      </c>
      <c r="G13" s="17">
        <f t="shared" si="0"/>
        <v>457</v>
      </c>
      <c r="H13" s="17">
        <f t="shared" si="1"/>
        <v>172.26211196113874</v>
      </c>
      <c r="I13" s="90">
        <v>18</v>
      </c>
      <c r="J13" s="90">
        <v>2</v>
      </c>
      <c r="K13" s="90">
        <v>12</v>
      </c>
      <c r="L13" s="90">
        <v>0</v>
      </c>
      <c r="M13" s="17">
        <f t="shared" si="2"/>
        <v>508.93800988154646</v>
      </c>
      <c r="N13" s="17" t="str">
        <f t="shared" si="3"/>
        <v>OK</v>
      </c>
      <c r="O13" s="17">
        <f t="shared" si="4"/>
        <v>81.846545554533506</v>
      </c>
      <c r="P13" s="91">
        <f t="shared" si="5"/>
        <v>0.33847366205018198</v>
      </c>
      <c r="Q13" s="17">
        <v>4</v>
      </c>
      <c r="R13" s="17">
        <v>-86.738</v>
      </c>
      <c r="S13" s="92">
        <v>-37.473700000000001</v>
      </c>
      <c r="T13" s="17">
        <f t="shared" si="6"/>
        <v>233.01887907035453</v>
      </c>
      <c r="U13" s="90">
        <v>18</v>
      </c>
      <c r="V13" s="90">
        <v>2</v>
      </c>
      <c r="W13" s="90">
        <v>12</v>
      </c>
      <c r="X13" s="90">
        <v>0</v>
      </c>
      <c r="Y13" s="17">
        <f t="shared" si="7"/>
        <v>508.93800988154646</v>
      </c>
      <c r="Z13" s="17" t="str">
        <f t="shared" si="8"/>
        <v>OK</v>
      </c>
      <c r="AA13" s="17">
        <f t="shared" si="9"/>
        <v>-81.846545554533506</v>
      </c>
      <c r="AB13" s="91">
        <f t="shared" si="10"/>
        <v>0.4578531658985126</v>
      </c>
    </row>
    <row r="14" spans="1:28" x14ac:dyDescent="0.25">
      <c r="A14" s="6" t="s">
        <v>90</v>
      </c>
      <c r="B14" s="7">
        <v>4.5</v>
      </c>
      <c r="C14" s="28">
        <v>48.180999999999997</v>
      </c>
      <c r="D14" s="72">
        <v>22.7029</v>
      </c>
      <c r="E14" s="17">
        <v>300</v>
      </c>
      <c r="F14" s="90">
        <v>500</v>
      </c>
      <c r="G14" s="17">
        <f t="shared" si="0"/>
        <v>457</v>
      </c>
      <c r="H14" s="17">
        <f t="shared" si="1"/>
        <v>141.17112293812332</v>
      </c>
      <c r="I14" s="90">
        <v>18</v>
      </c>
      <c r="J14" s="90">
        <v>2</v>
      </c>
      <c r="K14" s="90">
        <v>12</v>
      </c>
      <c r="L14" s="90">
        <v>0</v>
      </c>
      <c r="M14" s="17">
        <f t="shared" si="2"/>
        <v>508.93800988154646</v>
      </c>
      <c r="N14" s="17" t="str">
        <f t="shared" si="3"/>
        <v>OK</v>
      </c>
      <c r="O14" s="17">
        <f t="shared" si="4"/>
        <v>81.846545554533506</v>
      </c>
      <c r="P14" s="91">
        <f t="shared" si="5"/>
        <v>0.27738372885723434</v>
      </c>
      <c r="Q14" s="17">
        <v>4.5</v>
      </c>
      <c r="R14" s="17">
        <v>-81.119</v>
      </c>
      <c r="S14" s="92">
        <v>-26.0565</v>
      </c>
      <c r="T14" s="17">
        <f t="shared" si="6"/>
        <v>162.02447109564022</v>
      </c>
      <c r="U14" s="90">
        <v>18</v>
      </c>
      <c r="V14" s="90">
        <v>2</v>
      </c>
      <c r="W14" s="90">
        <v>12</v>
      </c>
      <c r="X14" s="90">
        <v>0</v>
      </c>
      <c r="Y14" s="17">
        <f t="shared" si="7"/>
        <v>508.93800988154646</v>
      </c>
      <c r="Z14" s="17" t="str">
        <f t="shared" si="8"/>
        <v>OK</v>
      </c>
      <c r="AA14" s="17">
        <f t="shared" si="9"/>
        <v>-81.846545554533506</v>
      </c>
      <c r="AB14" s="91">
        <f t="shared" si="10"/>
        <v>0.31835796884840817</v>
      </c>
    </row>
    <row r="15" spans="1:28" x14ac:dyDescent="0.25">
      <c r="A15" s="6" t="s">
        <v>90</v>
      </c>
      <c r="B15" s="7">
        <v>5</v>
      </c>
      <c r="C15" s="28">
        <v>53.8</v>
      </c>
      <c r="D15" s="72">
        <v>16.767099999999999</v>
      </c>
      <c r="E15" s="17">
        <v>300</v>
      </c>
      <c r="F15" s="90">
        <v>500</v>
      </c>
      <c r="G15" s="17">
        <f t="shared" si="0"/>
        <v>457</v>
      </c>
      <c r="H15" s="17">
        <f t="shared" si="1"/>
        <v>104.26114440956034</v>
      </c>
      <c r="I15" s="90">
        <v>18</v>
      </c>
      <c r="J15" s="90">
        <v>2</v>
      </c>
      <c r="K15" s="90">
        <v>12</v>
      </c>
      <c r="L15" s="90">
        <v>0</v>
      </c>
      <c r="M15" s="17">
        <f t="shared" si="2"/>
        <v>508.93800988154646</v>
      </c>
      <c r="N15" s="17" t="str">
        <f t="shared" si="3"/>
        <v>OK</v>
      </c>
      <c r="O15" s="17">
        <f t="shared" si="4"/>
        <v>81.846545554533506</v>
      </c>
      <c r="P15" s="91">
        <f t="shared" si="5"/>
        <v>0.20486020376789457</v>
      </c>
      <c r="Q15" s="17">
        <v>5</v>
      </c>
      <c r="R15" s="17">
        <v>-75.498999999999995</v>
      </c>
      <c r="S15" s="92">
        <v>-15.5777</v>
      </c>
      <c r="T15" s="17">
        <f t="shared" si="6"/>
        <v>96.865219940765442</v>
      </c>
      <c r="U15" s="90">
        <v>18</v>
      </c>
      <c r="V15" s="90">
        <v>2</v>
      </c>
      <c r="W15" s="90">
        <v>12</v>
      </c>
      <c r="X15" s="90">
        <v>0</v>
      </c>
      <c r="Y15" s="17">
        <f t="shared" si="7"/>
        <v>508.93800988154646</v>
      </c>
      <c r="Z15" s="17" t="str">
        <f t="shared" si="8"/>
        <v>OK</v>
      </c>
      <c r="AA15" s="17">
        <f t="shared" si="9"/>
        <v>-81.846545554533506</v>
      </c>
      <c r="AB15" s="91">
        <f t="shared" si="10"/>
        <v>0.1903281304599562</v>
      </c>
    </row>
    <row r="16" spans="1:28" x14ac:dyDescent="0.25">
      <c r="A16" s="6" t="s">
        <v>90</v>
      </c>
      <c r="B16" s="7">
        <v>5.5</v>
      </c>
      <c r="C16" s="28">
        <v>59.42</v>
      </c>
      <c r="D16" s="72">
        <v>9.8992000000000004</v>
      </c>
      <c r="E16" s="17">
        <v>300</v>
      </c>
      <c r="F16" s="90">
        <v>500</v>
      </c>
      <c r="G16" s="17">
        <f t="shared" si="0"/>
        <v>457</v>
      </c>
      <c r="H16" s="17">
        <f t="shared" si="1"/>
        <v>61.555183707326833</v>
      </c>
      <c r="I16" s="90">
        <v>18</v>
      </c>
      <c r="J16" s="90">
        <v>2</v>
      </c>
      <c r="K16" s="90">
        <v>12</v>
      </c>
      <c r="L16" s="90">
        <v>0</v>
      </c>
      <c r="M16" s="17">
        <f t="shared" si="2"/>
        <v>508.93800988154646</v>
      </c>
      <c r="N16" s="17" t="str">
        <f t="shared" si="3"/>
        <v>OK</v>
      </c>
      <c r="O16" s="17">
        <f t="shared" si="4"/>
        <v>81.846545554533506</v>
      </c>
      <c r="P16" s="91">
        <f t="shared" si="5"/>
        <v>0.12094829333272553</v>
      </c>
      <c r="Q16" s="17">
        <v>5.5</v>
      </c>
      <c r="R16" s="17">
        <v>-69.88</v>
      </c>
      <c r="S16" s="92">
        <v>-6.0415000000000001</v>
      </c>
      <c r="T16" s="17">
        <f t="shared" si="6"/>
        <v>37.567242036509519</v>
      </c>
      <c r="U16" s="90">
        <v>18</v>
      </c>
      <c r="V16" s="90">
        <v>2</v>
      </c>
      <c r="W16" s="90">
        <v>12</v>
      </c>
      <c r="X16" s="90">
        <v>0</v>
      </c>
      <c r="Y16" s="17">
        <f t="shared" si="7"/>
        <v>508.93800988154646</v>
      </c>
      <c r="Z16" s="17" t="str">
        <f t="shared" si="8"/>
        <v>OK</v>
      </c>
      <c r="AA16" s="17">
        <f t="shared" si="9"/>
        <v>-81.846545554533506</v>
      </c>
      <c r="AB16" s="91">
        <f t="shared" si="10"/>
        <v>7.3814966277038666E-2</v>
      </c>
    </row>
    <row r="17" spans="1:28" x14ac:dyDescent="0.25">
      <c r="A17" s="6" t="s">
        <v>90</v>
      </c>
      <c r="B17" s="7">
        <v>6</v>
      </c>
      <c r="C17" s="28">
        <v>65.039000000000001</v>
      </c>
      <c r="D17" s="72">
        <v>3.2517</v>
      </c>
      <c r="E17" s="17">
        <v>300</v>
      </c>
      <c r="F17" s="90">
        <v>500</v>
      </c>
      <c r="G17" s="17">
        <f t="shared" si="0"/>
        <v>457</v>
      </c>
      <c r="H17" s="17">
        <f t="shared" si="1"/>
        <v>20.219713801227844</v>
      </c>
      <c r="I17" s="90">
        <v>18</v>
      </c>
      <c r="J17" s="90">
        <v>2</v>
      </c>
      <c r="K17" s="90">
        <v>12</v>
      </c>
      <c r="L17" s="90">
        <v>0</v>
      </c>
      <c r="M17" s="17">
        <f t="shared" si="2"/>
        <v>508.93800988154646</v>
      </c>
      <c r="N17" s="17" t="str">
        <f t="shared" si="3"/>
        <v>OK</v>
      </c>
      <c r="O17" s="17">
        <f t="shared" si="4"/>
        <v>81.846545554533506</v>
      </c>
      <c r="P17" s="91">
        <f t="shared" si="5"/>
        <v>3.9729227152701586E-2</v>
      </c>
      <c r="Q17" s="17">
        <v>6</v>
      </c>
      <c r="R17" s="17">
        <v>-64.260000000000005</v>
      </c>
      <c r="S17" s="92">
        <v>1.7777000000000001</v>
      </c>
      <c r="T17" s="17">
        <f t="shared" si="6"/>
        <v>11.0540902372429</v>
      </c>
      <c r="U17" s="90">
        <v>18</v>
      </c>
      <c r="V17" s="90">
        <v>2</v>
      </c>
      <c r="W17" s="90">
        <v>12</v>
      </c>
      <c r="X17" s="90">
        <v>0</v>
      </c>
      <c r="Y17" s="17">
        <f t="shared" si="7"/>
        <v>508.93800988154646</v>
      </c>
      <c r="Z17" s="17" t="str">
        <f t="shared" si="8"/>
        <v>OK</v>
      </c>
      <c r="AA17" s="17">
        <f t="shared" si="9"/>
        <v>-81.846545554533506</v>
      </c>
      <c r="AB17" s="91">
        <f t="shared" si="10"/>
        <v>-2.1719914847420616E-2</v>
      </c>
    </row>
    <row r="18" spans="1:28" x14ac:dyDescent="0.25">
      <c r="A18" s="6" t="s">
        <v>90</v>
      </c>
      <c r="B18" s="7">
        <v>6.5</v>
      </c>
      <c r="C18" s="28">
        <v>70.659000000000006</v>
      </c>
      <c r="D18" s="72">
        <v>10.264699999999999</v>
      </c>
      <c r="E18" s="17">
        <v>300</v>
      </c>
      <c r="F18" s="90">
        <v>500</v>
      </c>
      <c r="G18" s="17">
        <f t="shared" si="0"/>
        <v>457</v>
      </c>
      <c r="H18" s="17">
        <f t="shared" si="1"/>
        <v>63.827935004909257</v>
      </c>
      <c r="I18" s="90">
        <v>18</v>
      </c>
      <c r="J18" s="90">
        <v>2</v>
      </c>
      <c r="K18" s="90">
        <v>12</v>
      </c>
      <c r="L18" s="90">
        <v>0</v>
      </c>
      <c r="M18" s="17">
        <f t="shared" si="2"/>
        <v>508.93800988154646</v>
      </c>
      <c r="N18" s="17" t="str">
        <f t="shared" si="3"/>
        <v>OK</v>
      </c>
      <c r="O18" s="17">
        <f t="shared" si="4"/>
        <v>81.846545554533506</v>
      </c>
      <c r="P18" s="91">
        <f t="shared" si="5"/>
        <v>0.12541396744912997</v>
      </c>
      <c r="Q18" s="17">
        <v>6.5</v>
      </c>
      <c r="R18" s="17">
        <v>-58.640999999999998</v>
      </c>
      <c r="S18" s="92">
        <v>-6.6935000000000002</v>
      </c>
      <c r="T18" s="17">
        <f t="shared" si="6"/>
        <v>41.621507005110729</v>
      </c>
      <c r="U18" s="90">
        <v>18</v>
      </c>
      <c r="V18" s="90">
        <v>2</v>
      </c>
      <c r="W18" s="90">
        <v>12</v>
      </c>
      <c r="X18" s="90">
        <v>0</v>
      </c>
      <c r="Y18" s="17">
        <f t="shared" si="7"/>
        <v>508.93800988154646</v>
      </c>
      <c r="Z18" s="17" t="str">
        <f t="shared" si="8"/>
        <v>OK</v>
      </c>
      <c r="AA18" s="17">
        <f t="shared" si="9"/>
        <v>-81.846545554533506</v>
      </c>
      <c r="AB18" s="91">
        <f t="shared" si="10"/>
        <v>8.1781093565399046E-2</v>
      </c>
    </row>
    <row r="19" spans="1:28" x14ac:dyDescent="0.25">
      <c r="A19" s="6" t="s">
        <v>90</v>
      </c>
      <c r="B19" s="7">
        <v>7</v>
      </c>
      <c r="C19" s="28">
        <v>76.278000000000006</v>
      </c>
      <c r="D19" s="72">
        <v>16.990100000000002</v>
      </c>
      <c r="E19" s="17">
        <v>300</v>
      </c>
      <c r="F19" s="90">
        <v>500</v>
      </c>
      <c r="G19" s="17">
        <f t="shared" si="0"/>
        <v>457</v>
      </c>
      <c r="H19" s="17">
        <f t="shared" si="1"/>
        <v>105.64780251998683</v>
      </c>
      <c r="I19" s="90">
        <v>18</v>
      </c>
      <c r="J19" s="90">
        <v>2</v>
      </c>
      <c r="K19" s="90">
        <v>12</v>
      </c>
      <c r="L19" s="90">
        <v>0</v>
      </c>
      <c r="M19" s="17">
        <f t="shared" si="2"/>
        <v>508.93800988154646</v>
      </c>
      <c r="N19" s="17" t="str">
        <f t="shared" si="3"/>
        <v>OK</v>
      </c>
      <c r="O19" s="17">
        <f t="shared" si="4"/>
        <v>81.846545554533506</v>
      </c>
      <c r="P19" s="91">
        <f t="shared" si="5"/>
        <v>0.20758481478830007</v>
      </c>
      <c r="Q19" s="17">
        <v>7</v>
      </c>
      <c r="R19" s="17">
        <v>-53.021999999999998</v>
      </c>
      <c r="S19" s="92">
        <v>-16.373699999999999</v>
      </c>
      <c r="T19" s="17">
        <f t="shared" si="6"/>
        <v>101.81490539322949</v>
      </c>
      <c r="U19" s="90">
        <v>18</v>
      </c>
      <c r="V19" s="90">
        <v>2</v>
      </c>
      <c r="W19" s="90">
        <v>12</v>
      </c>
      <c r="X19" s="90">
        <v>0</v>
      </c>
      <c r="Y19" s="17">
        <f t="shared" si="7"/>
        <v>508.93800988154646</v>
      </c>
      <c r="Z19" s="17" t="str">
        <f t="shared" si="8"/>
        <v>OK</v>
      </c>
      <c r="AA19" s="17">
        <f t="shared" si="9"/>
        <v>-81.846545554533506</v>
      </c>
      <c r="AB19" s="91">
        <f t="shared" si="10"/>
        <v>0.20005364782427346</v>
      </c>
    </row>
    <row r="20" spans="1:28" x14ac:dyDescent="0.25">
      <c r="A20" s="6" t="s">
        <v>90</v>
      </c>
      <c r="B20" s="7">
        <v>7.5</v>
      </c>
      <c r="C20" s="28">
        <v>81.897999999999996</v>
      </c>
      <c r="D20" s="72">
        <v>22.782900000000001</v>
      </c>
      <c r="E20" s="17">
        <v>300</v>
      </c>
      <c r="F20" s="90">
        <v>500</v>
      </c>
      <c r="G20" s="17">
        <f t="shared" si="0"/>
        <v>457</v>
      </c>
      <c r="H20" s="17">
        <f t="shared" si="1"/>
        <v>141.66857876249156</v>
      </c>
      <c r="I20" s="90">
        <v>18</v>
      </c>
      <c r="J20" s="90">
        <v>2</v>
      </c>
      <c r="K20" s="90">
        <v>12</v>
      </c>
      <c r="L20" s="90">
        <v>0</v>
      </c>
      <c r="M20" s="17">
        <f t="shared" si="2"/>
        <v>508.93800988154646</v>
      </c>
      <c r="N20" s="17" t="str">
        <f t="shared" si="3"/>
        <v>OK</v>
      </c>
      <c r="O20" s="17">
        <f t="shared" si="4"/>
        <v>81.846545554533506</v>
      </c>
      <c r="P20" s="91">
        <f t="shared" si="5"/>
        <v>0.27836116778832154</v>
      </c>
      <c r="Q20" s="17">
        <v>7.5</v>
      </c>
      <c r="R20" s="17">
        <v>-47.402000000000001</v>
      </c>
      <c r="S20" s="92">
        <v>-26.995899999999999</v>
      </c>
      <c r="T20" s="17">
        <f t="shared" si="6"/>
        <v>167.86584611328436</v>
      </c>
      <c r="U20" s="90">
        <v>18</v>
      </c>
      <c r="V20" s="90">
        <v>2</v>
      </c>
      <c r="W20" s="90">
        <v>12</v>
      </c>
      <c r="X20" s="90">
        <v>0</v>
      </c>
      <c r="Y20" s="17">
        <f t="shared" si="7"/>
        <v>508.93800988154646</v>
      </c>
      <c r="Z20" s="17" t="str">
        <f t="shared" si="8"/>
        <v>OK</v>
      </c>
      <c r="AA20" s="17">
        <f t="shared" si="9"/>
        <v>-81.846545554533506</v>
      </c>
      <c r="AB20" s="91">
        <f t="shared" si="10"/>
        <v>0.32983554549669919</v>
      </c>
    </row>
    <row r="21" spans="1:28" x14ac:dyDescent="0.25">
      <c r="A21" s="6" t="s">
        <v>90</v>
      </c>
      <c r="B21" s="7">
        <v>8</v>
      </c>
      <c r="C21" s="28">
        <v>87.516999999999996</v>
      </c>
      <c r="D21" s="72">
        <v>27.639600000000002</v>
      </c>
      <c r="E21" s="17">
        <v>300</v>
      </c>
      <c r="F21" s="90">
        <v>500</v>
      </c>
      <c r="G21" s="17">
        <f t="shared" si="0"/>
        <v>457</v>
      </c>
      <c r="H21" s="17">
        <f t="shared" si="1"/>
        <v>171.86850004010736</v>
      </c>
      <c r="I21" s="90">
        <v>18</v>
      </c>
      <c r="J21" s="90">
        <v>2</v>
      </c>
      <c r="K21" s="90">
        <v>12</v>
      </c>
      <c r="L21" s="90">
        <v>0</v>
      </c>
      <c r="M21" s="17">
        <f t="shared" si="2"/>
        <v>508.93800988154646</v>
      </c>
      <c r="N21" s="17" t="str">
        <f t="shared" si="3"/>
        <v>OK</v>
      </c>
      <c r="O21" s="17">
        <f t="shared" si="4"/>
        <v>81.846545554533506</v>
      </c>
      <c r="P21" s="91">
        <f t="shared" si="5"/>
        <v>0.33770026349595933</v>
      </c>
      <c r="Q21" s="17">
        <v>8</v>
      </c>
      <c r="R21" s="17">
        <v>-41.783000000000001</v>
      </c>
      <c r="S21" s="92">
        <v>-38.556399999999996</v>
      </c>
      <c r="T21" s="17">
        <f t="shared" si="6"/>
        <v>239.75132183339829</v>
      </c>
      <c r="U21" s="90">
        <v>18</v>
      </c>
      <c r="V21" s="90">
        <v>2</v>
      </c>
      <c r="W21" s="90">
        <v>12</v>
      </c>
      <c r="X21" s="90">
        <v>0</v>
      </c>
      <c r="Y21" s="17">
        <f t="shared" si="7"/>
        <v>508.93800988154646</v>
      </c>
      <c r="Z21" s="17" t="str">
        <f t="shared" si="8"/>
        <v>OK</v>
      </c>
      <c r="AA21" s="17">
        <f t="shared" si="9"/>
        <v>-81.846545554533506</v>
      </c>
      <c r="AB21" s="91">
        <f t="shared" si="10"/>
        <v>0.47108158003211348</v>
      </c>
    </row>
    <row r="22" spans="1:28" x14ac:dyDescent="0.25">
      <c r="A22" s="6" t="s">
        <v>91</v>
      </c>
      <c r="B22" s="7">
        <v>8</v>
      </c>
      <c r="C22" s="28">
        <v>6.0780000000000003</v>
      </c>
      <c r="D22" s="72">
        <v>21.915800000000001</v>
      </c>
      <c r="E22" s="17">
        <v>300</v>
      </c>
      <c r="F22" s="90">
        <v>500</v>
      </c>
      <c r="G22" s="17">
        <f t="shared" si="0"/>
        <v>457</v>
      </c>
      <c r="H22" s="17">
        <f t="shared" si="1"/>
        <v>136.27677944612023</v>
      </c>
      <c r="I22" s="90">
        <v>18</v>
      </c>
      <c r="J22" s="90">
        <v>2</v>
      </c>
      <c r="K22" s="90">
        <v>12</v>
      </c>
      <c r="L22" s="90">
        <v>0</v>
      </c>
      <c r="M22" s="17">
        <f t="shared" si="2"/>
        <v>508.93800988154646</v>
      </c>
      <c r="N22" s="17" t="str">
        <f t="shared" si="3"/>
        <v>OK</v>
      </c>
      <c r="O22" s="17">
        <f t="shared" si="4"/>
        <v>81.846545554533506</v>
      </c>
      <c r="P22" s="91">
        <f t="shared" si="5"/>
        <v>0.26776695157400054</v>
      </c>
      <c r="Q22" s="17">
        <v>8</v>
      </c>
      <c r="R22" s="17">
        <v>-67.933999999999997</v>
      </c>
      <c r="S22" s="92">
        <v>-39.5764</v>
      </c>
      <c r="T22" s="17">
        <f t="shared" si="6"/>
        <v>246.09388359409343</v>
      </c>
      <c r="U22" s="90">
        <v>18</v>
      </c>
      <c r="V22" s="90">
        <v>2</v>
      </c>
      <c r="W22" s="90">
        <v>12</v>
      </c>
      <c r="X22" s="90">
        <v>0</v>
      </c>
      <c r="Y22" s="17">
        <f t="shared" si="7"/>
        <v>508.93800988154646</v>
      </c>
      <c r="Z22" s="17" t="str">
        <f t="shared" si="8"/>
        <v>OK</v>
      </c>
      <c r="AA22" s="17">
        <f t="shared" si="9"/>
        <v>-81.846545554533506</v>
      </c>
      <c r="AB22" s="91">
        <f t="shared" si="10"/>
        <v>0.48354392640347482</v>
      </c>
    </row>
    <row r="23" spans="1:28" x14ac:dyDescent="0.25">
      <c r="A23" s="6" t="s">
        <v>91</v>
      </c>
      <c r="B23" s="7">
        <v>8.5</v>
      </c>
      <c r="C23" s="28">
        <v>11.698</v>
      </c>
      <c r="D23" s="72">
        <v>21.140699999999999</v>
      </c>
      <c r="E23" s="17">
        <v>300</v>
      </c>
      <c r="F23" s="90">
        <v>500</v>
      </c>
      <c r="G23" s="17">
        <f t="shared" si="0"/>
        <v>457</v>
      </c>
      <c r="H23" s="17">
        <f t="shared" si="1"/>
        <v>131.4570543277724</v>
      </c>
      <c r="I23" s="90">
        <v>18</v>
      </c>
      <c r="J23" s="90">
        <v>2</v>
      </c>
      <c r="K23" s="90">
        <v>12</v>
      </c>
      <c r="L23" s="90">
        <v>0</v>
      </c>
      <c r="M23" s="17">
        <f t="shared" si="2"/>
        <v>508.93800988154646</v>
      </c>
      <c r="N23" s="17" t="str">
        <f t="shared" si="3"/>
        <v>OK</v>
      </c>
      <c r="O23" s="17">
        <f t="shared" si="4"/>
        <v>81.846545554533506</v>
      </c>
      <c r="P23" s="91">
        <f t="shared" si="5"/>
        <v>0.25829679013042972</v>
      </c>
      <c r="Q23" s="17">
        <v>8.5</v>
      </c>
      <c r="R23" s="17">
        <v>-62.314</v>
      </c>
      <c r="S23" s="92">
        <v>-29.124099999999999</v>
      </c>
      <c r="T23" s="17">
        <f t="shared" si="6"/>
        <v>181.09941468104063</v>
      </c>
      <c r="U23" s="90">
        <v>18</v>
      </c>
      <c r="V23" s="90">
        <v>2</v>
      </c>
      <c r="W23" s="90">
        <v>12</v>
      </c>
      <c r="X23" s="90">
        <v>0</v>
      </c>
      <c r="Y23" s="17">
        <f t="shared" si="7"/>
        <v>508.93800988154646</v>
      </c>
      <c r="Z23" s="17" t="str">
        <f t="shared" si="8"/>
        <v>OK</v>
      </c>
      <c r="AA23" s="17">
        <f t="shared" si="9"/>
        <v>-81.846545554533506</v>
      </c>
      <c r="AB23" s="91">
        <f t="shared" si="10"/>
        <v>0.35583786466094541</v>
      </c>
    </row>
    <row r="24" spans="1:28" x14ac:dyDescent="0.25">
      <c r="A24" s="6" t="s">
        <v>91</v>
      </c>
      <c r="B24" s="7">
        <v>9</v>
      </c>
      <c r="C24" s="28">
        <v>17.317</v>
      </c>
      <c r="D24" s="72">
        <v>19.4284</v>
      </c>
      <c r="E24" s="17">
        <v>300</v>
      </c>
      <c r="F24" s="90">
        <v>500</v>
      </c>
      <c r="G24" s="17">
        <f t="shared" si="0"/>
        <v>457</v>
      </c>
      <c r="H24" s="17">
        <f t="shared" si="1"/>
        <v>120.80963422695052</v>
      </c>
      <c r="I24" s="90">
        <v>18</v>
      </c>
      <c r="J24" s="90">
        <v>2</v>
      </c>
      <c r="K24" s="90">
        <v>12</v>
      </c>
      <c r="L24" s="90">
        <v>0</v>
      </c>
      <c r="M24" s="17">
        <f t="shared" si="2"/>
        <v>508.93800988154646</v>
      </c>
      <c r="N24" s="17" t="str">
        <f t="shared" si="3"/>
        <v>OK</v>
      </c>
      <c r="O24" s="17">
        <f t="shared" si="4"/>
        <v>81.846545554533506</v>
      </c>
      <c r="P24" s="91">
        <f t="shared" si="5"/>
        <v>0.23737593160917289</v>
      </c>
      <c r="Q24" s="17">
        <v>9</v>
      </c>
      <c r="R24" s="17">
        <v>-56.695</v>
      </c>
      <c r="S24" s="92">
        <v>-19.609300000000001</v>
      </c>
      <c r="T24" s="17">
        <f t="shared" si="6"/>
        <v>121.93450620980322</v>
      </c>
      <c r="U24" s="90">
        <v>18</v>
      </c>
      <c r="V24" s="90">
        <v>2</v>
      </c>
      <c r="W24" s="90">
        <v>12</v>
      </c>
      <c r="X24" s="90">
        <v>0</v>
      </c>
      <c r="Y24" s="17">
        <f t="shared" si="7"/>
        <v>508.93800988154646</v>
      </c>
      <c r="Z24" s="17" t="str">
        <f t="shared" si="8"/>
        <v>OK</v>
      </c>
      <c r="AA24" s="17">
        <f t="shared" si="9"/>
        <v>-81.846545554533506</v>
      </c>
      <c r="AB24" s="91">
        <f t="shared" si="10"/>
        <v>0.23958616539209376</v>
      </c>
    </row>
    <row r="25" spans="1:28" x14ac:dyDescent="0.25">
      <c r="A25" s="6" t="s">
        <v>91</v>
      </c>
      <c r="B25" s="7">
        <v>9.5</v>
      </c>
      <c r="C25" s="28">
        <v>22.936</v>
      </c>
      <c r="D25" s="72">
        <v>16.779299999999999</v>
      </c>
      <c r="E25" s="17">
        <v>300</v>
      </c>
      <c r="F25" s="90">
        <v>500</v>
      </c>
      <c r="G25" s="17">
        <f t="shared" si="0"/>
        <v>457</v>
      </c>
      <c r="H25" s="17">
        <f t="shared" si="1"/>
        <v>104.3370064227765</v>
      </c>
      <c r="I25" s="90">
        <v>18</v>
      </c>
      <c r="J25" s="90">
        <v>2</v>
      </c>
      <c r="K25" s="90">
        <v>12</v>
      </c>
      <c r="L25" s="90">
        <v>0</v>
      </c>
      <c r="M25" s="17">
        <f t="shared" si="2"/>
        <v>508.93800988154646</v>
      </c>
      <c r="N25" s="17" t="str">
        <f t="shared" si="3"/>
        <v>OK</v>
      </c>
      <c r="O25" s="17">
        <f t="shared" si="4"/>
        <v>81.846545554533506</v>
      </c>
      <c r="P25" s="91">
        <f t="shared" si="5"/>
        <v>0.20500926320488536</v>
      </c>
      <c r="Q25" s="17">
        <v>9.5</v>
      </c>
      <c r="R25" s="17">
        <v>-51.076000000000001</v>
      </c>
      <c r="S25" s="92">
        <v>-11.032</v>
      </c>
      <c r="T25" s="17">
        <f t="shared" si="6"/>
        <v>68.59915818038121</v>
      </c>
      <c r="U25" s="90">
        <v>18</v>
      </c>
      <c r="V25" s="90">
        <v>2</v>
      </c>
      <c r="W25" s="90">
        <v>12</v>
      </c>
      <c r="X25" s="90">
        <v>0</v>
      </c>
      <c r="Y25" s="17">
        <f t="shared" si="7"/>
        <v>508.93800988154646</v>
      </c>
      <c r="Z25" s="17" t="str">
        <f t="shared" si="8"/>
        <v>OK</v>
      </c>
      <c r="AA25" s="17">
        <f t="shared" si="9"/>
        <v>-81.846545554533506</v>
      </c>
      <c r="AB25" s="91">
        <f t="shared" si="10"/>
        <v>0.13478882859691974</v>
      </c>
    </row>
    <row r="26" spans="1:28" x14ac:dyDescent="0.25">
      <c r="A26" s="6" t="s">
        <v>91</v>
      </c>
      <c r="B26" s="7">
        <v>10</v>
      </c>
      <c r="C26" s="28">
        <v>28.556000000000001</v>
      </c>
      <c r="D26" s="72">
        <v>13.193899999999999</v>
      </c>
      <c r="E26" s="17">
        <v>300</v>
      </c>
      <c r="F26" s="90">
        <v>500</v>
      </c>
      <c r="G26" s="17">
        <f t="shared" si="0"/>
        <v>457</v>
      </c>
      <c r="H26" s="17">
        <f t="shared" si="1"/>
        <v>82.04228001415261</v>
      </c>
      <c r="I26" s="90">
        <v>18</v>
      </c>
      <c r="J26" s="90">
        <v>2</v>
      </c>
      <c r="K26" s="90">
        <v>12</v>
      </c>
      <c r="L26" s="90">
        <v>0</v>
      </c>
      <c r="M26" s="17">
        <f t="shared" si="2"/>
        <v>508.93800988154646</v>
      </c>
      <c r="N26" s="17" t="str">
        <f t="shared" si="3"/>
        <v>OK</v>
      </c>
      <c r="O26" s="17">
        <f t="shared" si="4"/>
        <v>81.846545554533506</v>
      </c>
      <c r="P26" s="91">
        <f t="shared" si="5"/>
        <v>0.16120289391088644</v>
      </c>
      <c r="Q26" s="17">
        <v>10</v>
      </c>
      <c r="R26" s="17">
        <v>-45.456000000000003</v>
      </c>
      <c r="S26" s="92">
        <v>-3.3927999999999998</v>
      </c>
      <c r="T26" s="17">
        <f t="shared" si="6"/>
        <v>21.097101511457339</v>
      </c>
      <c r="U26" s="90">
        <v>18</v>
      </c>
      <c r="V26" s="90">
        <v>2</v>
      </c>
      <c r="W26" s="90">
        <v>12</v>
      </c>
      <c r="X26" s="90">
        <v>0</v>
      </c>
      <c r="Y26" s="17">
        <f t="shared" si="7"/>
        <v>508.93800988154646</v>
      </c>
      <c r="Z26" s="17" t="str">
        <f t="shared" si="8"/>
        <v>OK</v>
      </c>
      <c r="AA26" s="17">
        <f t="shared" si="9"/>
        <v>-81.846545554533506</v>
      </c>
      <c r="AB26" s="91">
        <f t="shared" si="10"/>
        <v>4.145318506740657E-2</v>
      </c>
    </row>
    <row r="27" spans="1:28" x14ac:dyDescent="0.25">
      <c r="A27" s="6" t="s">
        <v>91</v>
      </c>
      <c r="B27" s="7">
        <v>10.5</v>
      </c>
      <c r="C27" s="28">
        <v>34.174999999999997</v>
      </c>
      <c r="D27" s="72">
        <v>8.6784999999999997</v>
      </c>
      <c r="E27" s="17">
        <v>300</v>
      </c>
      <c r="F27" s="90">
        <v>500</v>
      </c>
      <c r="G27" s="17">
        <f t="shared" si="0"/>
        <v>457</v>
      </c>
      <c r="H27" s="17">
        <f t="shared" si="1"/>
        <v>53.964629647247854</v>
      </c>
      <c r="I27" s="90">
        <v>18</v>
      </c>
      <c r="J27" s="90">
        <v>2</v>
      </c>
      <c r="K27" s="90">
        <v>12</v>
      </c>
      <c r="L27" s="90">
        <v>0</v>
      </c>
      <c r="M27" s="17">
        <f t="shared" si="2"/>
        <v>508.93800988154646</v>
      </c>
      <c r="N27" s="17" t="str">
        <f t="shared" si="3"/>
        <v>OK</v>
      </c>
      <c r="O27" s="17">
        <f t="shared" si="4"/>
        <v>81.846545554533506</v>
      </c>
      <c r="P27" s="91">
        <f t="shared" si="5"/>
        <v>0.10603379704299927</v>
      </c>
      <c r="Q27" s="17">
        <v>10.5</v>
      </c>
      <c r="R27" s="17">
        <v>-39.837000000000003</v>
      </c>
      <c r="S27" s="92">
        <v>3.3018999999999998</v>
      </c>
      <c r="T27" s="17">
        <f t="shared" si="6"/>
        <v>20.531867331018919</v>
      </c>
      <c r="U27" s="90">
        <v>18</v>
      </c>
      <c r="V27" s="90">
        <v>2</v>
      </c>
      <c r="W27" s="90">
        <v>12</v>
      </c>
      <c r="X27" s="90">
        <v>0</v>
      </c>
      <c r="Y27" s="17">
        <f t="shared" si="7"/>
        <v>508.93800988154646</v>
      </c>
      <c r="Z27" s="17" t="str">
        <f t="shared" si="8"/>
        <v>OK</v>
      </c>
      <c r="AA27" s="17">
        <f t="shared" si="9"/>
        <v>-81.846545554533506</v>
      </c>
      <c r="AB27" s="91">
        <f t="shared" si="10"/>
        <v>-4.0342570081958781E-2</v>
      </c>
    </row>
    <row r="28" spans="1:28" x14ac:dyDescent="0.25">
      <c r="A28" s="6" t="s">
        <v>91</v>
      </c>
      <c r="B28" s="7">
        <v>11</v>
      </c>
      <c r="C28" s="28">
        <v>39.795000000000002</v>
      </c>
      <c r="D28" s="72">
        <v>9.0932999999999993</v>
      </c>
      <c r="E28" s="17">
        <v>300</v>
      </c>
      <c r="F28" s="90">
        <v>500</v>
      </c>
      <c r="G28" s="17">
        <f t="shared" si="0"/>
        <v>457</v>
      </c>
      <c r="H28" s="17">
        <f t="shared" si="1"/>
        <v>56.543938096597209</v>
      </c>
      <c r="I28" s="90">
        <v>18</v>
      </c>
      <c r="J28" s="90">
        <v>2</v>
      </c>
      <c r="K28" s="90">
        <v>12</v>
      </c>
      <c r="L28" s="90">
        <v>0</v>
      </c>
      <c r="M28" s="17">
        <f t="shared" si="2"/>
        <v>508.93800988154646</v>
      </c>
      <c r="N28" s="17" t="str">
        <f t="shared" si="3"/>
        <v>OK</v>
      </c>
      <c r="O28" s="17">
        <f t="shared" si="4"/>
        <v>81.846545554533506</v>
      </c>
      <c r="P28" s="91">
        <f t="shared" si="5"/>
        <v>0.1111018179006862</v>
      </c>
      <c r="Q28" s="17">
        <v>11</v>
      </c>
      <c r="R28" s="17">
        <v>-34.216999999999999</v>
      </c>
      <c r="S28" s="92">
        <v>3.1919</v>
      </c>
      <c r="T28" s="17">
        <f t="shared" si="6"/>
        <v>19.847865572512578</v>
      </c>
      <c r="U28" s="90">
        <v>18</v>
      </c>
      <c r="V28" s="90">
        <v>2</v>
      </c>
      <c r="W28" s="90">
        <v>12</v>
      </c>
      <c r="X28" s="90">
        <v>0</v>
      </c>
      <c r="Y28" s="17">
        <f t="shared" si="7"/>
        <v>508.93800988154646</v>
      </c>
      <c r="Z28" s="17" t="str">
        <f t="shared" si="8"/>
        <v>OK</v>
      </c>
      <c r="AA28" s="17">
        <f t="shared" si="9"/>
        <v>-81.846545554533506</v>
      </c>
      <c r="AB28" s="91">
        <f t="shared" si="10"/>
        <v>-3.8998591551713931E-2</v>
      </c>
    </row>
    <row r="29" spans="1:28" x14ac:dyDescent="0.25">
      <c r="A29" s="6" t="s">
        <v>91</v>
      </c>
      <c r="B29" s="7">
        <v>11.5</v>
      </c>
      <c r="C29" s="28">
        <v>45.414000000000001</v>
      </c>
      <c r="D29" s="72">
        <v>13.9146</v>
      </c>
      <c r="E29" s="17">
        <v>300</v>
      </c>
      <c r="F29" s="90">
        <v>500</v>
      </c>
      <c r="G29" s="17">
        <f t="shared" si="0"/>
        <v>457</v>
      </c>
      <c r="H29" s="17">
        <f t="shared" si="1"/>
        <v>86.523735171930056</v>
      </c>
      <c r="I29" s="90">
        <v>18</v>
      </c>
      <c r="J29" s="90">
        <v>2</v>
      </c>
      <c r="K29" s="90">
        <v>12</v>
      </c>
      <c r="L29" s="90">
        <v>0</v>
      </c>
      <c r="M29" s="17">
        <f t="shared" si="2"/>
        <v>508.93800988154646</v>
      </c>
      <c r="N29" s="17" t="str">
        <f t="shared" si="3"/>
        <v>OK</v>
      </c>
      <c r="O29" s="17">
        <f t="shared" si="4"/>
        <v>81.846545554533506</v>
      </c>
      <c r="P29" s="91">
        <f t="shared" si="5"/>
        <v>0.17000839688131794</v>
      </c>
      <c r="Q29" s="17">
        <v>11.5</v>
      </c>
      <c r="R29" s="17">
        <v>-28.597999999999999</v>
      </c>
      <c r="S29" s="92">
        <v>-3.1989999999999998</v>
      </c>
      <c r="T29" s="17">
        <f t="shared" si="6"/>
        <v>19.892014776925262</v>
      </c>
      <c r="U29" s="90">
        <v>18</v>
      </c>
      <c r="V29" s="90">
        <v>2</v>
      </c>
      <c r="W29" s="90">
        <v>12</v>
      </c>
      <c r="X29" s="90">
        <v>0</v>
      </c>
      <c r="Y29" s="17">
        <f t="shared" si="7"/>
        <v>508.93800988154646</v>
      </c>
      <c r="Z29" s="17" t="str">
        <f t="shared" si="8"/>
        <v>OK</v>
      </c>
      <c r="AA29" s="17">
        <f t="shared" si="9"/>
        <v>-81.846545554533506</v>
      </c>
      <c r="AB29" s="91">
        <f t="shared" si="10"/>
        <v>3.9085339256847915E-2</v>
      </c>
    </row>
    <row r="30" spans="1:28" x14ac:dyDescent="0.25">
      <c r="A30" s="6" t="s">
        <v>91</v>
      </c>
      <c r="B30" s="7">
        <v>12</v>
      </c>
      <c r="C30" s="28">
        <v>51.033999999999999</v>
      </c>
      <c r="D30" s="72">
        <v>17.8049</v>
      </c>
      <c r="E30" s="17">
        <v>300</v>
      </c>
      <c r="F30" s="90">
        <v>500</v>
      </c>
      <c r="G30" s="17">
        <f t="shared" si="0"/>
        <v>457</v>
      </c>
      <c r="H30" s="17">
        <f t="shared" si="1"/>
        <v>110.71439009117742</v>
      </c>
      <c r="I30" s="90">
        <v>18</v>
      </c>
      <c r="J30" s="90">
        <v>2</v>
      </c>
      <c r="K30" s="90">
        <v>12</v>
      </c>
      <c r="L30" s="90">
        <v>0</v>
      </c>
      <c r="M30" s="17">
        <f t="shared" si="2"/>
        <v>508.93800988154646</v>
      </c>
      <c r="N30" s="17" t="str">
        <f t="shared" si="3"/>
        <v>OK</v>
      </c>
      <c r="O30" s="17">
        <f t="shared" si="4"/>
        <v>81.846545554533506</v>
      </c>
      <c r="P30" s="91">
        <f t="shared" si="5"/>
        <v>0.2175400303014228</v>
      </c>
      <c r="Q30" s="17">
        <v>12</v>
      </c>
      <c r="R30" s="17">
        <v>-22.978000000000002</v>
      </c>
      <c r="S30" s="92">
        <v>-10.533300000000001</v>
      </c>
      <c r="T30" s="17">
        <f t="shared" si="6"/>
        <v>65.498142935225644</v>
      </c>
      <c r="U30" s="90">
        <v>18</v>
      </c>
      <c r="V30" s="90">
        <v>2</v>
      </c>
      <c r="W30" s="90">
        <v>12</v>
      </c>
      <c r="X30" s="90">
        <v>0</v>
      </c>
      <c r="Y30" s="17">
        <f t="shared" si="7"/>
        <v>508.93800988154646</v>
      </c>
      <c r="Z30" s="17" t="str">
        <f t="shared" si="8"/>
        <v>OK</v>
      </c>
      <c r="AA30" s="17">
        <f t="shared" si="9"/>
        <v>-81.846545554533506</v>
      </c>
      <c r="AB30" s="91">
        <f t="shared" si="10"/>
        <v>0.12869571866025514</v>
      </c>
    </row>
    <row r="31" spans="1:28" x14ac:dyDescent="0.25">
      <c r="A31" s="6" t="s">
        <v>91</v>
      </c>
      <c r="B31" s="7">
        <v>12.5</v>
      </c>
      <c r="C31" s="28">
        <v>56.652999999999999</v>
      </c>
      <c r="D31" s="72">
        <v>20.758900000000001</v>
      </c>
      <c r="E31" s="17">
        <v>300</v>
      </c>
      <c r="F31" s="90">
        <v>500</v>
      </c>
      <c r="G31" s="17">
        <f t="shared" si="0"/>
        <v>457</v>
      </c>
      <c r="H31" s="17">
        <f t="shared" si="1"/>
        <v>129.08294640597492</v>
      </c>
      <c r="I31" s="90">
        <v>18</v>
      </c>
      <c r="J31" s="90">
        <v>2</v>
      </c>
      <c r="K31" s="90">
        <v>12</v>
      </c>
      <c r="L31" s="90">
        <v>0</v>
      </c>
      <c r="M31" s="17">
        <f t="shared" si="2"/>
        <v>508.93800988154646</v>
      </c>
      <c r="N31" s="17" t="str">
        <f t="shared" si="3"/>
        <v>OK</v>
      </c>
      <c r="O31" s="17">
        <f t="shared" si="4"/>
        <v>81.846545554533506</v>
      </c>
      <c r="P31" s="91">
        <f t="shared" si="5"/>
        <v>0.25363196283181627</v>
      </c>
      <c r="Q31" s="17">
        <v>12.5</v>
      </c>
      <c r="R31" s="17">
        <v>-17.359000000000002</v>
      </c>
      <c r="S31" s="92">
        <v>-18.805800000000001</v>
      </c>
      <c r="T31" s="17">
        <f t="shared" si="6"/>
        <v>116.93818427380465</v>
      </c>
      <c r="U31" s="90">
        <v>18</v>
      </c>
      <c r="V31" s="90">
        <v>2</v>
      </c>
      <c r="W31" s="90">
        <v>12</v>
      </c>
      <c r="X31" s="90">
        <v>0</v>
      </c>
      <c r="Y31" s="17">
        <f t="shared" si="7"/>
        <v>508.93800988154646</v>
      </c>
      <c r="Z31" s="17" t="str">
        <f t="shared" si="8"/>
        <v>OK</v>
      </c>
      <c r="AA31" s="17">
        <f t="shared" si="9"/>
        <v>-81.846545554533506</v>
      </c>
      <c r="AB31" s="91">
        <f t="shared" si="10"/>
        <v>0.22976901312798709</v>
      </c>
    </row>
    <row r="32" spans="1:28" x14ac:dyDescent="0.25">
      <c r="A32" s="6" t="s">
        <v>91</v>
      </c>
      <c r="B32" s="7">
        <v>13</v>
      </c>
      <c r="C32" s="28">
        <v>62.273000000000003</v>
      </c>
      <c r="D32" s="72">
        <v>22.776</v>
      </c>
      <c r="E32" s="17">
        <v>300</v>
      </c>
      <c r="F32" s="90">
        <v>500</v>
      </c>
      <c r="G32" s="17">
        <f t="shared" si="0"/>
        <v>457</v>
      </c>
      <c r="H32" s="17">
        <f t="shared" si="1"/>
        <v>141.6256731976398</v>
      </c>
      <c r="I32" s="90">
        <v>18</v>
      </c>
      <c r="J32" s="90">
        <v>2</v>
      </c>
      <c r="K32" s="90">
        <v>12</v>
      </c>
      <c r="L32" s="90">
        <v>0</v>
      </c>
      <c r="M32" s="17">
        <f t="shared" si="2"/>
        <v>508.93800988154646</v>
      </c>
      <c r="N32" s="17" t="str">
        <f t="shared" si="3"/>
        <v>OK</v>
      </c>
      <c r="O32" s="17">
        <f t="shared" si="4"/>
        <v>81.846545554533506</v>
      </c>
      <c r="P32" s="91">
        <f t="shared" si="5"/>
        <v>0.27827686368051524</v>
      </c>
      <c r="Q32" s="17">
        <v>13</v>
      </c>
      <c r="R32" s="17">
        <v>-11.739000000000001</v>
      </c>
      <c r="S32" s="92">
        <v>-28.015799999999999</v>
      </c>
      <c r="T32" s="17">
        <f t="shared" si="6"/>
        <v>174.20778605419903</v>
      </c>
      <c r="U32" s="90">
        <v>18</v>
      </c>
      <c r="V32" s="90">
        <v>2</v>
      </c>
      <c r="W32" s="90">
        <v>12</v>
      </c>
      <c r="X32" s="90">
        <v>0</v>
      </c>
      <c r="Y32" s="17">
        <f t="shared" si="7"/>
        <v>508.93800988154646</v>
      </c>
      <c r="Z32" s="17" t="str">
        <f t="shared" si="8"/>
        <v>OK</v>
      </c>
      <c r="AA32" s="17">
        <f t="shared" si="9"/>
        <v>-81.846545554533506</v>
      </c>
      <c r="AB32" s="91">
        <f t="shared" si="10"/>
        <v>0.34229667006939662</v>
      </c>
    </row>
    <row r="33" spans="1:28" x14ac:dyDescent="0.25">
      <c r="A33" s="6" t="s">
        <v>91</v>
      </c>
      <c r="B33" s="7">
        <v>13.5</v>
      </c>
      <c r="C33" s="28">
        <v>67.891999999999996</v>
      </c>
      <c r="D33" s="72">
        <v>23.856000000000002</v>
      </c>
      <c r="E33" s="17">
        <v>300</v>
      </c>
      <c r="F33" s="90">
        <v>500</v>
      </c>
      <c r="G33" s="17">
        <f t="shared" si="0"/>
        <v>457</v>
      </c>
      <c r="H33" s="17">
        <f t="shared" si="1"/>
        <v>148.34132682661112</v>
      </c>
      <c r="I33" s="90">
        <v>18</v>
      </c>
      <c r="J33" s="90">
        <v>2</v>
      </c>
      <c r="K33" s="90">
        <v>12</v>
      </c>
      <c r="L33" s="90">
        <v>0</v>
      </c>
      <c r="M33" s="17">
        <f t="shared" si="2"/>
        <v>508.93800988154646</v>
      </c>
      <c r="N33" s="17" t="str">
        <f t="shared" si="3"/>
        <v>OK</v>
      </c>
      <c r="O33" s="17">
        <f t="shared" si="4"/>
        <v>81.846545554533506</v>
      </c>
      <c r="P33" s="91">
        <f t="shared" si="5"/>
        <v>0.29147228925019192</v>
      </c>
      <c r="Q33" s="17">
        <v>13.5</v>
      </c>
      <c r="R33" s="17">
        <v>-6.12</v>
      </c>
      <c r="S33" s="92">
        <v>-38.163200000000003</v>
      </c>
      <c r="T33" s="17">
        <f t="shared" si="6"/>
        <v>237.30632645662837</v>
      </c>
      <c r="U33" s="90">
        <v>18</v>
      </c>
      <c r="V33" s="90">
        <v>2</v>
      </c>
      <c r="W33" s="90">
        <v>12</v>
      </c>
      <c r="X33" s="90">
        <v>0</v>
      </c>
      <c r="Y33" s="17">
        <f t="shared" si="7"/>
        <v>508.93800988154646</v>
      </c>
      <c r="Z33" s="17" t="str">
        <f t="shared" si="8"/>
        <v>OK</v>
      </c>
      <c r="AA33" s="17">
        <f t="shared" si="9"/>
        <v>-81.846545554533506</v>
      </c>
      <c r="AB33" s="91">
        <f t="shared" si="10"/>
        <v>0.46627746768582012</v>
      </c>
    </row>
    <row r="34" spans="1:28" x14ac:dyDescent="0.25">
      <c r="A34" s="6" t="s">
        <v>92</v>
      </c>
      <c r="B34" s="7">
        <v>13.5</v>
      </c>
      <c r="C34" s="28">
        <v>49.935000000000002</v>
      </c>
      <c r="D34" s="72">
        <v>30.148499999999999</v>
      </c>
      <c r="E34" s="17">
        <v>300</v>
      </c>
      <c r="F34" s="90">
        <v>500</v>
      </c>
      <c r="G34" s="17">
        <f t="shared" si="0"/>
        <v>457</v>
      </c>
      <c r="H34" s="17">
        <f t="shared" si="1"/>
        <v>187.46933651207604</v>
      </c>
      <c r="I34" s="90">
        <v>18</v>
      </c>
      <c r="J34" s="90">
        <v>2</v>
      </c>
      <c r="K34" s="90">
        <v>12</v>
      </c>
      <c r="L34" s="90">
        <v>0</v>
      </c>
      <c r="M34" s="17">
        <f t="shared" si="2"/>
        <v>508.93800988154646</v>
      </c>
      <c r="N34" s="17" t="str">
        <f t="shared" si="3"/>
        <v>OK</v>
      </c>
      <c r="O34" s="17">
        <f t="shared" si="4"/>
        <v>81.846545554533506</v>
      </c>
      <c r="P34" s="91">
        <f t="shared" si="5"/>
        <v>0.36835397017351657</v>
      </c>
      <c r="Q34" s="17">
        <v>13.5</v>
      </c>
      <c r="R34" s="17">
        <v>-95.856999999999999</v>
      </c>
      <c r="S34" s="92">
        <v>-35.203000000000003</v>
      </c>
      <c r="T34" s="17">
        <f t="shared" si="6"/>
        <v>218.89921731544231</v>
      </c>
      <c r="U34" s="90">
        <v>18</v>
      </c>
      <c r="V34" s="90">
        <v>2</v>
      </c>
      <c r="W34" s="90">
        <v>12</v>
      </c>
      <c r="X34" s="90">
        <v>0</v>
      </c>
      <c r="Y34" s="17">
        <f t="shared" si="7"/>
        <v>508.93800988154646</v>
      </c>
      <c r="Z34" s="17" t="str">
        <f t="shared" si="8"/>
        <v>OK</v>
      </c>
      <c r="AA34" s="17">
        <f t="shared" si="9"/>
        <v>-81.846545554533506</v>
      </c>
      <c r="AB34" s="91">
        <f t="shared" si="10"/>
        <v>0.43010978363826741</v>
      </c>
    </row>
    <row r="35" spans="1:28" x14ac:dyDescent="0.25">
      <c r="A35" s="6" t="s">
        <v>92</v>
      </c>
      <c r="B35" s="7">
        <v>14</v>
      </c>
      <c r="C35" s="28">
        <v>55.554000000000002</v>
      </c>
      <c r="D35" s="72">
        <v>23.5611</v>
      </c>
      <c r="E35" s="17">
        <v>300</v>
      </c>
      <c r="F35" s="90">
        <v>500</v>
      </c>
      <c r="G35" s="17">
        <f t="shared" si="0"/>
        <v>457</v>
      </c>
      <c r="H35" s="17">
        <f t="shared" si="1"/>
        <v>146.50758029403369</v>
      </c>
      <c r="I35" s="90">
        <v>18</v>
      </c>
      <c r="J35" s="90">
        <v>2</v>
      </c>
      <c r="K35" s="90">
        <v>12</v>
      </c>
      <c r="L35" s="90">
        <v>0</v>
      </c>
      <c r="M35" s="17">
        <f t="shared" si="2"/>
        <v>508.93800988154646</v>
      </c>
      <c r="N35" s="17" t="str">
        <f t="shared" si="3"/>
        <v>OK</v>
      </c>
      <c r="O35" s="17">
        <f t="shared" si="4"/>
        <v>81.846545554533506</v>
      </c>
      <c r="P35" s="91">
        <f t="shared" si="5"/>
        <v>0.28786920499047186</v>
      </c>
      <c r="Q35" s="17">
        <v>14</v>
      </c>
      <c r="R35" s="17">
        <v>-90.238</v>
      </c>
      <c r="S35" s="92">
        <v>-23.0305</v>
      </c>
      <c r="T35" s="17">
        <f t="shared" si="6"/>
        <v>143.2082045389113</v>
      </c>
      <c r="U35" s="90">
        <v>18</v>
      </c>
      <c r="V35" s="90">
        <v>2</v>
      </c>
      <c r="W35" s="90">
        <v>12</v>
      </c>
      <c r="X35" s="90">
        <v>0</v>
      </c>
      <c r="Y35" s="17">
        <f t="shared" si="7"/>
        <v>508.93800988154646</v>
      </c>
      <c r="Z35" s="17" t="str">
        <f t="shared" si="8"/>
        <v>OK</v>
      </c>
      <c r="AA35" s="17">
        <f t="shared" si="9"/>
        <v>-81.846545554533506</v>
      </c>
      <c r="AB35" s="91">
        <f t="shared" si="10"/>
        <v>0.28138634128003626</v>
      </c>
    </row>
    <row r="36" spans="1:28" x14ac:dyDescent="0.25">
      <c r="A36" s="6" t="s">
        <v>92</v>
      </c>
      <c r="B36" s="7">
        <v>14.5</v>
      </c>
      <c r="C36" s="28">
        <v>61.173000000000002</v>
      </c>
      <c r="D36" s="72">
        <v>16.037199999999999</v>
      </c>
      <c r="E36" s="17">
        <v>300</v>
      </c>
      <c r="F36" s="90">
        <v>500</v>
      </c>
      <c r="G36" s="17">
        <f t="shared" si="0"/>
        <v>457</v>
      </c>
      <c r="H36" s="17">
        <f t="shared" si="1"/>
        <v>99.722481831980545</v>
      </c>
      <c r="I36" s="90">
        <v>18</v>
      </c>
      <c r="J36" s="90">
        <v>2</v>
      </c>
      <c r="K36" s="90">
        <v>12</v>
      </c>
      <c r="L36" s="90">
        <v>0</v>
      </c>
      <c r="M36" s="17">
        <f t="shared" si="2"/>
        <v>508.93800988154646</v>
      </c>
      <c r="N36" s="17" t="str">
        <f t="shared" si="3"/>
        <v>OK</v>
      </c>
      <c r="O36" s="17">
        <f t="shared" si="4"/>
        <v>81.846545554533506</v>
      </c>
      <c r="P36" s="91">
        <f t="shared" si="5"/>
        <v>0.19594229532038807</v>
      </c>
      <c r="Q36" s="17">
        <v>14.5</v>
      </c>
      <c r="R36" s="17">
        <v>-84.617999999999995</v>
      </c>
      <c r="S36" s="92">
        <v>-11.7959</v>
      </c>
      <c r="T36" s="17">
        <f t="shared" si="6"/>
        <v>73.349239483317504</v>
      </c>
      <c r="U36" s="90">
        <v>18</v>
      </c>
      <c r="V36" s="90">
        <v>2</v>
      </c>
      <c r="W36" s="90">
        <v>12</v>
      </c>
      <c r="X36" s="90">
        <v>0</v>
      </c>
      <c r="Y36" s="17">
        <f t="shared" si="7"/>
        <v>508.93800988154646</v>
      </c>
      <c r="Z36" s="17" t="str">
        <f t="shared" si="8"/>
        <v>OK</v>
      </c>
      <c r="AA36" s="17">
        <f t="shared" si="9"/>
        <v>-81.846545554533506</v>
      </c>
      <c r="AB36" s="91">
        <f t="shared" si="10"/>
        <v>0.14412214859013828</v>
      </c>
    </row>
    <row r="37" spans="1:28" x14ac:dyDescent="0.25">
      <c r="A37" s="6" t="s">
        <v>92</v>
      </c>
      <c r="B37" s="7">
        <v>15</v>
      </c>
      <c r="C37" s="28">
        <v>66.793000000000006</v>
      </c>
      <c r="D37" s="72">
        <v>7.5811999999999999</v>
      </c>
      <c r="E37" s="17">
        <v>300</v>
      </c>
      <c r="F37" s="90">
        <v>500</v>
      </c>
      <c r="G37" s="17">
        <f t="shared" si="0"/>
        <v>457</v>
      </c>
      <c r="H37" s="17">
        <f t="shared" si="1"/>
        <v>47.141401196256886</v>
      </c>
      <c r="I37" s="90">
        <v>18</v>
      </c>
      <c r="J37" s="90">
        <v>2</v>
      </c>
      <c r="K37" s="90">
        <v>12</v>
      </c>
      <c r="L37" s="90">
        <v>0</v>
      </c>
      <c r="M37" s="17">
        <f t="shared" si="2"/>
        <v>508.93800988154646</v>
      </c>
      <c r="N37" s="17" t="str">
        <f t="shared" si="3"/>
        <v>OK</v>
      </c>
      <c r="O37" s="17">
        <f t="shared" si="4"/>
        <v>81.846545554533506</v>
      </c>
      <c r="P37" s="91">
        <f t="shared" si="5"/>
        <v>9.2627000304474974E-2</v>
      </c>
      <c r="Q37" s="17">
        <v>15</v>
      </c>
      <c r="R37" s="17">
        <v>-78.998999999999995</v>
      </c>
      <c r="S37" s="92">
        <v>-1.5037</v>
      </c>
      <c r="T37" s="17">
        <f t="shared" si="6"/>
        <v>9.3503040387816547</v>
      </c>
      <c r="U37" s="90">
        <v>18</v>
      </c>
      <c r="V37" s="90">
        <v>2</v>
      </c>
      <c r="W37" s="90">
        <v>12</v>
      </c>
      <c r="X37" s="90">
        <v>0</v>
      </c>
      <c r="Y37" s="17">
        <f t="shared" si="7"/>
        <v>508.93800988154646</v>
      </c>
      <c r="Z37" s="17" t="str">
        <f t="shared" si="8"/>
        <v>OK</v>
      </c>
      <c r="AA37" s="17">
        <f t="shared" si="9"/>
        <v>-81.846545554533506</v>
      </c>
      <c r="AB37" s="91">
        <f t="shared" si="10"/>
        <v>1.8372186508447082E-2</v>
      </c>
    </row>
    <row r="38" spans="1:28" x14ac:dyDescent="0.25">
      <c r="A38" s="6" t="s">
        <v>92</v>
      </c>
      <c r="B38" s="7">
        <v>15.5</v>
      </c>
      <c r="C38" s="28">
        <v>72.412000000000006</v>
      </c>
      <c r="D38" s="72">
        <v>7.8758999999999997</v>
      </c>
      <c r="E38" s="17">
        <v>300</v>
      </c>
      <c r="F38" s="90">
        <v>500</v>
      </c>
      <c r="G38" s="17">
        <f t="shared" si="0"/>
        <v>457</v>
      </c>
      <c r="H38" s="17">
        <f t="shared" si="1"/>
        <v>48.973904089273418</v>
      </c>
      <c r="I38" s="90">
        <v>18</v>
      </c>
      <c r="J38" s="90">
        <v>2</v>
      </c>
      <c r="K38" s="90">
        <v>12</v>
      </c>
      <c r="L38" s="90">
        <v>0</v>
      </c>
      <c r="M38" s="17">
        <f t="shared" si="2"/>
        <v>508.93800988154646</v>
      </c>
      <c r="N38" s="17" t="str">
        <f t="shared" si="3"/>
        <v>OK</v>
      </c>
      <c r="O38" s="17">
        <f t="shared" si="4"/>
        <v>81.846545554533506</v>
      </c>
      <c r="P38" s="91">
        <f t="shared" si="5"/>
        <v>9.6227640966867312E-2</v>
      </c>
      <c r="Q38" s="17">
        <v>15.5</v>
      </c>
      <c r="R38" s="17">
        <v>-73.379000000000005</v>
      </c>
      <c r="S38" s="92">
        <v>-1.8367</v>
      </c>
      <c r="T38" s="17">
        <f t="shared" si="6"/>
        <v>11.420963907714482</v>
      </c>
      <c r="U38" s="90">
        <v>18</v>
      </c>
      <c r="V38" s="90">
        <v>2</v>
      </c>
      <c r="W38" s="90">
        <v>12</v>
      </c>
      <c r="X38" s="90">
        <v>0</v>
      </c>
      <c r="Y38" s="17">
        <f t="shared" si="7"/>
        <v>508.93800988154646</v>
      </c>
      <c r="Z38" s="17" t="str">
        <f t="shared" si="8"/>
        <v>OK</v>
      </c>
      <c r="AA38" s="17">
        <f t="shared" si="9"/>
        <v>-81.846545554533506</v>
      </c>
      <c r="AB38" s="91">
        <f t="shared" si="10"/>
        <v>2.2440776059097396E-2</v>
      </c>
    </row>
    <row r="39" spans="1:28" x14ac:dyDescent="0.25">
      <c r="A39" s="6" t="s">
        <v>92</v>
      </c>
      <c r="B39" s="7">
        <v>16</v>
      </c>
      <c r="C39" s="28">
        <v>78.031999999999996</v>
      </c>
      <c r="D39" s="72">
        <v>16.2942</v>
      </c>
      <c r="E39" s="17">
        <v>300</v>
      </c>
      <c r="F39" s="90">
        <v>500</v>
      </c>
      <c r="G39" s="17">
        <f t="shared" si="0"/>
        <v>457</v>
      </c>
      <c r="H39" s="17">
        <f t="shared" si="1"/>
        <v>101.32055866776355</v>
      </c>
      <c r="I39" s="90">
        <v>18</v>
      </c>
      <c r="J39" s="90">
        <v>2</v>
      </c>
      <c r="K39" s="90">
        <v>12</v>
      </c>
      <c r="L39" s="90">
        <v>0</v>
      </c>
      <c r="M39" s="17">
        <f t="shared" si="2"/>
        <v>508.93800988154646</v>
      </c>
      <c r="N39" s="17" t="str">
        <f t="shared" si="3"/>
        <v>OK</v>
      </c>
      <c r="O39" s="17">
        <f t="shared" si="4"/>
        <v>81.846545554533506</v>
      </c>
      <c r="P39" s="91">
        <f t="shared" si="5"/>
        <v>0.19908231788650557</v>
      </c>
      <c r="Q39" s="17">
        <v>16</v>
      </c>
      <c r="R39" s="17">
        <v>-67.760000000000005</v>
      </c>
      <c r="S39" s="92">
        <v>-12.1677</v>
      </c>
      <c r="T39" s="17">
        <f t="shared" si="6"/>
        <v>75.661165427068923</v>
      </c>
      <c r="U39" s="90">
        <v>18</v>
      </c>
      <c r="V39" s="90">
        <v>2</v>
      </c>
      <c r="W39" s="90">
        <v>12</v>
      </c>
      <c r="X39" s="90">
        <v>0</v>
      </c>
      <c r="Y39" s="17">
        <f t="shared" si="7"/>
        <v>508.93800988154646</v>
      </c>
      <c r="Z39" s="17" t="str">
        <f t="shared" si="8"/>
        <v>OK</v>
      </c>
      <c r="AA39" s="17">
        <f t="shared" si="9"/>
        <v>-81.846545554533506</v>
      </c>
      <c r="AB39" s="91">
        <f t="shared" si="10"/>
        <v>0.14866479602236587</v>
      </c>
    </row>
    <row r="40" spans="1:28" x14ac:dyDescent="0.25">
      <c r="A40" s="6" t="s">
        <v>92</v>
      </c>
      <c r="B40" s="7">
        <v>16.5</v>
      </c>
      <c r="C40" s="28">
        <v>83.650999999999996</v>
      </c>
      <c r="D40" s="72">
        <v>23.779900000000001</v>
      </c>
      <c r="E40" s="17">
        <v>300</v>
      </c>
      <c r="F40" s="90">
        <v>500</v>
      </c>
      <c r="G40" s="17">
        <f t="shared" si="0"/>
        <v>457</v>
      </c>
      <c r="H40" s="17">
        <f t="shared" si="1"/>
        <v>147.86812197368084</v>
      </c>
      <c r="I40" s="90">
        <v>18</v>
      </c>
      <c r="J40" s="90">
        <v>2</v>
      </c>
      <c r="K40" s="90">
        <v>12</v>
      </c>
      <c r="L40" s="90">
        <v>0</v>
      </c>
      <c r="M40" s="17">
        <f t="shared" si="2"/>
        <v>508.93800988154646</v>
      </c>
      <c r="N40" s="17" t="str">
        <f t="shared" si="3"/>
        <v>OK</v>
      </c>
      <c r="O40" s="17">
        <f t="shared" si="4"/>
        <v>81.846545554533506</v>
      </c>
      <c r="P40" s="91">
        <f t="shared" si="5"/>
        <v>0.29054250046699526</v>
      </c>
      <c r="Q40" s="17">
        <v>16.5</v>
      </c>
      <c r="R40" s="17">
        <v>-62.14</v>
      </c>
      <c r="S40" s="92">
        <v>-23.4405</v>
      </c>
      <c r="T40" s="17">
        <f t="shared" si="6"/>
        <v>145.75766563879856</v>
      </c>
      <c r="U40" s="90">
        <v>18</v>
      </c>
      <c r="V40" s="90">
        <v>2</v>
      </c>
      <c r="W40" s="90">
        <v>12</v>
      </c>
      <c r="X40" s="90">
        <v>0</v>
      </c>
      <c r="Y40" s="17">
        <f t="shared" si="7"/>
        <v>508.93800988154646</v>
      </c>
      <c r="Z40" s="17" t="str">
        <f t="shared" si="8"/>
        <v>OK</v>
      </c>
      <c r="AA40" s="17">
        <f t="shared" si="9"/>
        <v>-81.846545554533506</v>
      </c>
      <c r="AB40" s="91">
        <f t="shared" si="10"/>
        <v>0.28639571580185796</v>
      </c>
    </row>
    <row r="41" spans="1:28" x14ac:dyDescent="0.25">
      <c r="A41" s="6" t="s">
        <v>92</v>
      </c>
      <c r="B41" s="7">
        <v>17</v>
      </c>
      <c r="C41" s="28">
        <v>89.271000000000001</v>
      </c>
      <c r="D41" s="72">
        <v>30.3291</v>
      </c>
      <c r="E41" s="17">
        <v>300</v>
      </c>
      <c r="F41" s="90">
        <v>500</v>
      </c>
      <c r="G41" s="17">
        <f t="shared" si="0"/>
        <v>457</v>
      </c>
      <c r="H41" s="17">
        <f t="shared" si="1"/>
        <v>188.59234303558733</v>
      </c>
      <c r="I41" s="90">
        <v>18</v>
      </c>
      <c r="J41" s="90">
        <v>2</v>
      </c>
      <c r="K41" s="90">
        <v>12</v>
      </c>
      <c r="L41" s="90">
        <v>0</v>
      </c>
      <c r="M41" s="17">
        <f t="shared" si="2"/>
        <v>508.93800988154646</v>
      </c>
      <c r="N41" s="17" t="str">
        <f t="shared" si="3"/>
        <v>OK</v>
      </c>
      <c r="O41" s="17">
        <f t="shared" si="4"/>
        <v>81.846545554533506</v>
      </c>
      <c r="P41" s="91">
        <f t="shared" si="5"/>
        <v>0.37056053856044585</v>
      </c>
      <c r="Q41" s="17">
        <v>17</v>
      </c>
      <c r="R41" s="17">
        <v>-56.521000000000001</v>
      </c>
      <c r="S41" s="92">
        <v>-35.651299999999999</v>
      </c>
      <c r="T41" s="17">
        <f t="shared" si="6"/>
        <v>221.68683539124586</v>
      </c>
      <c r="U41" s="90">
        <v>18</v>
      </c>
      <c r="V41" s="90">
        <v>2</v>
      </c>
      <c r="W41" s="90">
        <v>12</v>
      </c>
      <c r="X41" s="90">
        <v>0</v>
      </c>
      <c r="Y41" s="17">
        <f t="shared" si="7"/>
        <v>508.93800988154646</v>
      </c>
      <c r="Z41" s="17" t="str">
        <f t="shared" si="8"/>
        <v>OK</v>
      </c>
      <c r="AA41" s="17">
        <f t="shared" si="9"/>
        <v>-81.846545554533506</v>
      </c>
      <c r="AB41" s="91">
        <f t="shared" si="10"/>
        <v>0.43558710704834702</v>
      </c>
    </row>
    <row r="42" spans="1:28" x14ac:dyDescent="0.25">
      <c r="A42" s="6" t="s">
        <v>92</v>
      </c>
      <c r="B42" s="7">
        <v>17.5</v>
      </c>
      <c r="C42" s="28">
        <v>94.89</v>
      </c>
      <c r="D42" s="72">
        <v>35.941299999999998</v>
      </c>
      <c r="E42" s="17">
        <v>300</v>
      </c>
      <c r="F42" s="90">
        <v>500</v>
      </c>
      <c r="G42" s="17">
        <f t="shared" si="0"/>
        <v>457</v>
      </c>
      <c r="H42" s="17">
        <f t="shared" si="1"/>
        <v>223.49011275458076</v>
      </c>
      <c r="I42" s="90">
        <v>18</v>
      </c>
      <c r="J42" s="90">
        <v>2</v>
      </c>
      <c r="K42" s="90">
        <v>12</v>
      </c>
      <c r="L42" s="90">
        <v>0</v>
      </c>
      <c r="M42" s="17">
        <f t="shared" si="2"/>
        <v>508.93800988154646</v>
      </c>
      <c r="N42" s="17" t="str">
        <f t="shared" si="3"/>
        <v>OK</v>
      </c>
      <c r="O42" s="17">
        <f t="shared" si="4"/>
        <v>81.846545554533506</v>
      </c>
      <c r="P42" s="91">
        <f t="shared" si="5"/>
        <v>0.43913032317353801</v>
      </c>
      <c r="Q42" s="17">
        <v>17.5</v>
      </c>
      <c r="R42" s="17">
        <v>-50.902000000000001</v>
      </c>
      <c r="S42" s="92">
        <v>-48.799500000000002</v>
      </c>
      <c r="T42" s="17">
        <f t="shared" si="6"/>
        <v>303.44494376572811</v>
      </c>
      <c r="U42" s="90">
        <v>18</v>
      </c>
      <c r="V42" s="90">
        <v>2</v>
      </c>
      <c r="W42" s="90">
        <v>12</v>
      </c>
      <c r="X42" s="90">
        <v>0</v>
      </c>
      <c r="Y42" s="17">
        <f t="shared" si="7"/>
        <v>508.93800988154646</v>
      </c>
      <c r="Z42" s="17" t="str">
        <f t="shared" si="8"/>
        <v>OK</v>
      </c>
      <c r="AA42" s="17">
        <f t="shared" si="9"/>
        <v>-81.846545554533506</v>
      </c>
      <c r="AB42" s="91">
        <f t="shared" si="10"/>
        <v>0.59623163896984999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C9A7-31A9-42E9-857C-CE607CE45722}">
  <sheetPr>
    <pageSetUpPr fitToPage="1"/>
  </sheetPr>
  <dimension ref="A1"/>
  <sheetViews>
    <sheetView topLeftCell="BG40" zoomScale="55" zoomScaleNormal="55" workbookViewId="0">
      <selection activeCell="CF64" sqref="CF64"/>
    </sheetView>
  </sheetViews>
  <sheetFormatPr defaultRowHeight="15" x14ac:dyDescent="0.25"/>
  <sheetData/>
  <pageMargins left="0.7" right="0.7" top="0.75" bottom="0.75" header="0.3" footer="0.3"/>
  <pageSetup paperSize="8" scale="2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5BBC-B341-44F9-BDBA-E5257E34C8C4}">
  <sheetPr codeName="Foglio9">
    <pageSetUpPr fitToPage="1"/>
  </sheetPr>
  <dimension ref="A1:AL253"/>
  <sheetViews>
    <sheetView tabSelected="1" topLeftCell="A209" zoomScale="40" zoomScaleNormal="40" workbookViewId="0">
      <selection activeCell="AQ228" sqref="AQ228"/>
    </sheetView>
  </sheetViews>
  <sheetFormatPr defaultRowHeight="15" x14ac:dyDescent="0.25"/>
  <cols>
    <col min="2" max="2" width="9.7109375" bestFit="1" customWidth="1"/>
    <col min="4" max="4" width="9.7109375" bestFit="1" customWidth="1"/>
    <col min="5" max="6" width="10.7109375" bestFit="1" customWidth="1"/>
    <col min="7" max="7" width="8.140625" customWidth="1"/>
    <col min="8" max="8" width="14" customWidth="1"/>
    <col min="15" max="15" width="15.42578125" customWidth="1"/>
    <col min="16" max="16" width="16.85546875" style="1" customWidth="1"/>
    <col min="24" max="24" width="10.7109375" bestFit="1" customWidth="1"/>
    <col min="25" max="28" width="9.28515625" bestFit="1" customWidth="1"/>
    <col min="29" max="29" width="10.7109375" bestFit="1" customWidth="1"/>
    <col min="31" max="31" width="10.42578125" bestFit="1" customWidth="1"/>
    <col min="32" max="32" width="9.28515625" bestFit="1" customWidth="1"/>
  </cols>
  <sheetData>
    <row r="1" spans="1:32" x14ac:dyDescent="0.25">
      <c r="A1" s="22" t="s">
        <v>0</v>
      </c>
      <c r="B1" s="21"/>
      <c r="C1" s="23"/>
      <c r="D1" s="21"/>
    </row>
    <row r="2" spans="1:32" x14ac:dyDescent="0.25">
      <c r="A2" s="2" t="s">
        <v>1</v>
      </c>
      <c r="B2" s="3" t="s">
        <v>2</v>
      </c>
      <c r="C2" s="2" t="s">
        <v>3</v>
      </c>
      <c r="D2" s="3" t="s">
        <v>5</v>
      </c>
      <c r="E2" s="5" t="s">
        <v>20</v>
      </c>
      <c r="F2" s="5" t="s">
        <v>21</v>
      </c>
      <c r="G2" s="5" t="s">
        <v>25</v>
      </c>
      <c r="H2" s="5" t="s">
        <v>23</v>
      </c>
      <c r="I2" s="5" t="s">
        <v>26</v>
      </c>
      <c r="J2" s="5" t="s">
        <v>27</v>
      </c>
      <c r="K2" s="5" t="s">
        <v>26</v>
      </c>
      <c r="L2" s="5" t="s">
        <v>27</v>
      </c>
      <c r="M2" s="5" t="s">
        <v>23</v>
      </c>
      <c r="N2" s="20">
        <f>PI()*18^2/4</f>
        <v>254.46900494077323</v>
      </c>
      <c r="O2" s="5" t="s">
        <v>31</v>
      </c>
      <c r="P2" s="5" t="s">
        <v>33</v>
      </c>
      <c r="Q2" s="24" t="s">
        <v>1</v>
      </c>
      <c r="R2" s="25" t="s">
        <v>2</v>
      </c>
      <c r="S2" s="24" t="s">
        <v>3</v>
      </c>
      <c r="T2" s="25" t="s">
        <v>5</v>
      </c>
      <c r="U2" s="5" t="s">
        <v>20</v>
      </c>
      <c r="V2" s="5" t="s">
        <v>21</v>
      </c>
      <c r="W2" s="5" t="s">
        <v>25</v>
      </c>
      <c r="X2" s="5" t="s">
        <v>23</v>
      </c>
      <c r="Y2" s="5" t="s">
        <v>26</v>
      </c>
      <c r="Z2" s="5" t="s">
        <v>27</v>
      </c>
      <c r="AA2" s="5" t="s">
        <v>26</v>
      </c>
      <c r="AB2" s="5" t="s">
        <v>27</v>
      </c>
      <c r="AC2" s="5" t="s">
        <v>23</v>
      </c>
      <c r="AD2" s="20"/>
      <c r="AE2" s="5" t="s">
        <v>31</v>
      </c>
      <c r="AF2" s="5" t="s">
        <v>33</v>
      </c>
    </row>
    <row r="3" spans="1:32" x14ac:dyDescent="0.25">
      <c r="A3" s="4" t="s">
        <v>6</v>
      </c>
      <c r="B3" s="5" t="s">
        <v>7</v>
      </c>
      <c r="C3" s="4" t="s">
        <v>6</v>
      </c>
      <c r="D3" s="5" t="s">
        <v>9</v>
      </c>
      <c r="E3" s="9" t="s">
        <v>22</v>
      </c>
      <c r="F3" s="9" t="s">
        <v>22</v>
      </c>
      <c r="G3" s="9" t="s">
        <v>22</v>
      </c>
      <c r="H3" s="9" t="s">
        <v>24</v>
      </c>
      <c r="I3" s="9" t="s">
        <v>22</v>
      </c>
      <c r="J3" s="9" t="s">
        <v>28</v>
      </c>
      <c r="K3" s="9" t="s">
        <v>22</v>
      </c>
      <c r="L3" s="9" t="s">
        <v>28</v>
      </c>
      <c r="M3" s="9" t="s">
        <v>24</v>
      </c>
      <c r="N3" s="20"/>
      <c r="O3" s="9" t="s">
        <v>9</v>
      </c>
      <c r="P3" s="8" t="s">
        <v>28</v>
      </c>
      <c r="Q3" s="26" t="s">
        <v>6</v>
      </c>
      <c r="R3" s="27" t="s">
        <v>7</v>
      </c>
      <c r="S3" s="26" t="s">
        <v>6</v>
      </c>
      <c r="T3" s="27" t="s">
        <v>9</v>
      </c>
      <c r="U3" s="9" t="s">
        <v>22</v>
      </c>
      <c r="V3" s="9" t="s">
        <v>22</v>
      </c>
      <c r="W3" s="9" t="s">
        <v>22</v>
      </c>
      <c r="X3" s="9" t="s">
        <v>24</v>
      </c>
      <c r="Y3" s="9" t="s">
        <v>22</v>
      </c>
      <c r="Z3" s="9" t="s">
        <v>28</v>
      </c>
      <c r="AA3" s="9" t="s">
        <v>22</v>
      </c>
      <c r="AB3" s="9" t="s">
        <v>28</v>
      </c>
      <c r="AC3" s="9" t="s">
        <v>24</v>
      </c>
      <c r="AD3" s="20"/>
      <c r="AE3" s="9" t="s">
        <v>9</v>
      </c>
      <c r="AF3" s="8" t="s">
        <v>28</v>
      </c>
    </row>
    <row r="4" spans="1:32" x14ac:dyDescent="0.25">
      <c r="A4" s="28" t="s">
        <v>35</v>
      </c>
      <c r="B4" s="17">
        <v>0</v>
      </c>
      <c r="C4" s="28" t="s">
        <v>11</v>
      </c>
      <c r="D4" s="65">
        <v>66.679100000000005</v>
      </c>
      <c r="E4" s="29">
        <v>300</v>
      </c>
      <c r="F4" s="29">
        <v>500</v>
      </c>
      <c r="G4" s="28">
        <f t="shared" ref="G4" si="0">F4-40</f>
        <v>460</v>
      </c>
      <c r="H4" s="28">
        <f t="shared" ref="H4:H33" si="1">ABS(D4)*1000^2/(0.9*391*G4)</f>
        <v>411.9197647553035</v>
      </c>
      <c r="I4" s="59">
        <v>18</v>
      </c>
      <c r="J4" s="59">
        <v>2</v>
      </c>
      <c r="K4" s="59">
        <v>12</v>
      </c>
      <c r="L4" s="59">
        <v>0</v>
      </c>
      <c r="M4" s="28">
        <f>PI()*I4^2/4*J4+PI()*K4^2/4*L4</f>
        <v>508.93800988154646</v>
      </c>
      <c r="N4" s="34" t="str">
        <f t="shared" ref="N4" si="2">IF(M4&gt;=H4,"OK","NO")</f>
        <v>OK</v>
      </c>
      <c r="O4" s="17">
        <f t="shared" ref="O4:O33" si="3">(M4*0.9*391*G4)/1000^2</f>
        <v>82.383831411565467</v>
      </c>
      <c r="P4" s="19">
        <f>D4/O4</f>
        <v>0.80937119405008939</v>
      </c>
      <c r="Q4" s="6" t="s">
        <v>35</v>
      </c>
      <c r="R4" s="17">
        <v>0</v>
      </c>
      <c r="S4" s="6" t="s">
        <v>12</v>
      </c>
      <c r="T4" s="69">
        <v>-107.375</v>
      </c>
      <c r="U4" s="10">
        <v>300</v>
      </c>
      <c r="V4" s="10">
        <v>500</v>
      </c>
      <c r="W4" s="7">
        <f t="shared" ref="W4:W33" si="4">V4-40</f>
        <v>460</v>
      </c>
      <c r="X4" s="28">
        <f t="shared" ref="X4:X33" si="5">ABS(T4)*1000^2/(0.9*391*W4)</f>
        <v>663.32456107836947</v>
      </c>
      <c r="Y4" s="60">
        <v>18</v>
      </c>
      <c r="Z4" s="60">
        <v>2</v>
      </c>
      <c r="AA4" s="60">
        <v>18</v>
      </c>
      <c r="AB4" s="60">
        <v>1</v>
      </c>
      <c r="AC4" s="28">
        <f>PI()*Y4^2/4*Z4+PI()*AA4^2/4*AB4</f>
        <v>763.40701482231975</v>
      </c>
      <c r="AD4" s="35" t="str">
        <f t="shared" ref="AD4" si="6">IF(AC4&gt;=X4,"OK","NO")</f>
        <v>OK</v>
      </c>
      <c r="AE4" s="28">
        <f>-(AC4*0.9*391*W4)/1000^2</f>
        <v>-123.57574711734821</v>
      </c>
      <c r="AF4" s="32">
        <f>T4/AE4</f>
        <v>0.86890026971098222</v>
      </c>
    </row>
    <row r="5" spans="1:32" x14ac:dyDescent="0.25">
      <c r="A5" s="28" t="s">
        <v>35</v>
      </c>
      <c r="B5" s="17">
        <v>0.5</v>
      </c>
      <c r="C5" s="28" t="s">
        <v>11</v>
      </c>
      <c r="D5" s="65">
        <v>63.394399999999997</v>
      </c>
      <c r="E5" s="29">
        <v>300</v>
      </c>
      <c r="F5" s="29">
        <v>500</v>
      </c>
      <c r="G5" s="28">
        <f t="shared" ref="G5:G33" si="7">F5-40</f>
        <v>460</v>
      </c>
      <c r="H5" s="28">
        <f t="shared" si="1"/>
        <v>391.62805638953745</v>
      </c>
      <c r="I5" s="59">
        <v>18</v>
      </c>
      <c r="J5" s="59">
        <v>2</v>
      </c>
      <c r="K5" s="59">
        <v>12</v>
      </c>
      <c r="L5" s="59">
        <v>0</v>
      </c>
      <c r="M5" s="28">
        <f t="shared" ref="M5:M32" si="8">PI()*I5^2/4*J5+PI()*K5^2/4*L5</f>
        <v>508.93800988154646</v>
      </c>
      <c r="N5" s="34" t="str">
        <f t="shared" ref="N5:N33" si="9">IF(M5&gt;=H5,"OK","NO")</f>
        <v>OK</v>
      </c>
      <c r="O5" s="17">
        <f t="shared" si="3"/>
        <v>82.383831411565467</v>
      </c>
      <c r="P5" s="19">
        <f t="shared" ref="P5:P33" si="10">D5/O5</f>
        <v>0.7695005065168693</v>
      </c>
      <c r="Q5" s="6" t="s">
        <v>35</v>
      </c>
      <c r="R5" s="17">
        <v>0.5</v>
      </c>
      <c r="S5" s="6" t="s">
        <v>12</v>
      </c>
      <c r="T5" s="69">
        <v>-64.508499999999998</v>
      </c>
      <c r="U5" s="10">
        <v>300</v>
      </c>
      <c r="V5" s="10">
        <v>500</v>
      </c>
      <c r="W5" s="7">
        <f t="shared" si="4"/>
        <v>460</v>
      </c>
      <c r="X5" s="28">
        <f t="shared" si="5"/>
        <v>398.5105699494668</v>
      </c>
      <c r="Y5" s="60">
        <v>18</v>
      </c>
      <c r="Z5" s="60">
        <v>2</v>
      </c>
      <c r="AA5" s="60">
        <v>18</v>
      </c>
      <c r="AB5" s="60">
        <v>1</v>
      </c>
      <c r="AC5" s="28">
        <f t="shared" ref="AC5:AC33" si="11">PI()*Y5^2/4*Z5+PI()*AA5^2/4*AB5</f>
        <v>763.40701482231975</v>
      </c>
      <c r="AD5" s="35" t="str">
        <f t="shared" ref="AD5:AD33" si="12">IF(AC5&gt;=X5,"OK","NO")</f>
        <v>OK</v>
      </c>
      <c r="AE5" s="28">
        <f t="shared" ref="AE5:AE33" si="13">-(AC5*0.9*391*W5)/1000^2</f>
        <v>-123.57574711734821</v>
      </c>
      <c r="AF5" s="32">
        <f t="shared" ref="AF5:AF32" si="14">T5/AE5</f>
        <v>0.52201586075577089</v>
      </c>
    </row>
    <row r="6" spans="1:32" x14ac:dyDescent="0.25">
      <c r="A6" s="28" t="s">
        <v>35</v>
      </c>
      <c r="B6" s="17">
        <v>1</v>
      </c>
      <c r="C6" s="28" t="s">
        <v>11</v>
      </c>
      <c r="D6" s="65">
        <v>53.651600000000002</v>
      </c>
      <c r="E6" s="29">
        <v>300</v>
      </c>
      <c r="F6" s="29">
        <v>500</v>
      </c>
      <c r="G6" s="28">
        <f t="shared" si="7"/>
        <v>460</v>
      </c>
      <c r="H6" s="28">
        <f t="shared" si="1"/>
        <v>331.44050310735503</v>
      </c>
      <c r="I6" s="59">
        <v>18</v>
      </c>
      <c r="J6" s="59">
        <v>2</v>
      </c>
      <c r="K6" s="59">
        <v>12</v>
      </c>
      <c r="L6" s="59">
        <v>0</v>
      </c>
      <c r="M6" s="28">
        <f t="shared" si="8"/>
        <v>508.93800988154646</v>
      </c>
      <c r="N6" s="34" t="str">
        <f t="shared" si="9"/>
        <v>OK</v>
      </c>
      <c r="O6" s="17">
        <f t="shared" si="3"/>
        <v>82.383831411565467</v>
      </c>
      <c r="P6" s="19">
        <f t="shared" si="10"/>
        <v>0.65123943716543531</v>
      </c>
      <c r="Q6" s="6" t="s">
        <v>35</v>
      </c>
      <c r="R6" s="17">
        <v>1</v>
      </c>
      <c r="S6" s="6" t="s">
        <v>12</v>
      </c>
      <c r="T6" s="69">
        <v>-28.100200000000001</v>
      </c>
      <c r="U6" s="10">
        <v>300</v>
      </c>
      <c r="V6" s="10">
        <v>500</v>
      </c>
      <c r="W6" s="7">
        <f t="shared" si="4"/>
        <v>460</v>
      </c>
      <c r="X6" s="28">
        <f t="shared" si="5"/>
        <v>173.59304150141466</v>
      </c>
      <c r="Y6" s="60">
        <v>18</v>
      </c>
      <c r="Z6" s="60">
        <v>2</v>
      </c>
      <c r="AA6" s="60">
        <v>18</v>
      </c>
      <c r="AB6" s="60">
        <v>1</v>
      </c>
      <c r="AC6" s="28">
        <f t="shared" si="11"/>
        <v>763.40701482231975</v>
      </c>
      <c r="AD6" s="35" t="str">
        <f t="shared" si="12"/>
        <v>OK</v>
      </c>
      <c r="AE6" s="28">
        <f t="shared" si="13"/>
        <v>-123.57574711734821</v>
      </c>
      <c r="AF6" s="32">
        <f t="shared" si="14"/>
        <v>0.22739251556631007</v>
      </c>
    </row>
    <row r="7" spans="1:32" x14ac:dyDescent="0.25">
      <c r="A7" s="28" t="s">
        <v>35</v>
      </c>
      <c r="B7" s="17">
        <v>1.5</v>
      </c>
      <c r="C7" s="28" t="s">
        <v>11</v>
      </c>
      <c r="D7" s="65">
        <v>37.450899999999997</v>
      </c>
      <c r="E7" s="29">
        <v>300</v>
      </c>
      <c r="F7" s="29">
        <v>500</v>
      </c>
      <c r="G7" s="28">
        <f t="shared" si="7"/>
        <v>460</v>
      </c>
      <c r="H7" s="28">
        <f t="shared" si="1"/>
        <v>231.35834043762429</v>
      </c>
      <c r="I7" s="59">
        <v>18</v>
      </c>
      <c r="J7" s="59">
        <v>2</v>
      </c>
      <c r="K7" s="59">
        <v>12</v>
      </c>
      <c r="L7" s="59">
        <v>0</v>
      </c>
      <c r="M7" s="28">
        <f t="shared" si="8"/>
        <v>508.93800988154646</v>
      </c>
      <c r="N7" s="34" t="str">
        <f t="shared" si="9"/>
        <v>OK</v>
      </c>
      <c r="O7" s="17">
        <f t="shared" si="3"/>
        <v>82.383831411565467</v>
      </c>
      <c r="P7" s="19">
        <f t="shared" si="10"/>
        <v>0.4545904136566104</v>
      </c>
      <c r="Q7" s="6" t="s">
        <v>35</v>
      </c>
      <c r="R7" s="17">
        <v>1.5</v>
      </c>
      <c r="S7" s="6" t="s">
        <v>12</v>
      </c>
      <c r="T7" s="69">
        <v>1.8493999999999999</v>
      </c>
      <c r="U7" s="10">
        <v>300</v>
      </c>
      <c r="V7" s="10">
        <v>500</v>
      </c>
      <c r="W7" s="7">
        <f t="shared" si="4"/>
        <v>460</v>
      </c>
      <c r="X7" s="28">
        <f t="shared" si="5"/>
        <v>11.424935443616638</v>
      </c>
      <c r="Y7" s="60">
        <v>18</v>
      </c>
      <c r="Z7" s="60">
        <v>2</v>
      </c>
      <c r="AA7" s="60">
        <v>18</v>
      </c>
      <c r="AB7" s="60">
        <v>0</v>
      </c>
      <c r="AC7" s="28">
        <f t="shared" si="11"/>
        <v>508.93800988154646</v>
      </c>
      <c r="AD7" s="35" t="str">
        <f t="shared" si="12"/>
        <v>OK</v>
      </c>
      <c r="AE7" s="28">
        <f t="shared" si="13"/>
        <v>-82.383831411565467</v>
      </c>
      <c r="AF7" s="32">
        <f t="shared" si="14"/>
        <v>-2.2448579634041781E-2</v>
      </c>
    </row>
    <row r="8" spans="1:32" x14ac:dyDescent="0.25">
      <c r="A8" s="28" t="s">
        <v>35</v>
      </c>
      <c r="B8" s="17">
        <v>2</v>
      </c>
      <c r="C8" s="28" t="s">
        <v>11</v>
      </c>
      <c r="D8" s="65">
        <v>25.3461</v>
      </c>
      <c r="E8" s="29">
        <v>300</v>
      </c>
      <c r="F8" s="29">
        <v>500</v>
      </c>
      <c r="G8" s="28">
        <f t="shared" si="7"/>
        <v>460</v>
      </c>
      <c r="H8" s="28">
        <f t="shared" si="1"/>
        <v>156.5791912228029</v>
      </c>
      <c r="I8" s="59">
        <v>18</v>
      </c>
      <c r="J8" s="59">
        <v>2</v>
      </c>
      <c r="K8" s="59">
        <v>12</v>
      </c>
      <c r="L8" s="59">
        <v>0</v>
      </c>
      <c r="M8" s="28">
        <f t="shared" si="8"/>
        <v>508.93800988154646</v>
      </c>
      <c r="N8" s="34" t="str">
        <f t="shared" si="9"/>
        <v>OK</v>
      </c>
      <c r="O8" s="17">
        <f t="shared" si="3"/>
        <v>82.383831411565467</v>
      </c>
      <c r="P8" s="19">
        <f t="shared" si="10"/>
        <v>0.30765866998074315</v>
      </c>
      <c r="Q8" s="6" t="s">
        <v>35</v>
      </c>
      <c r="R8" s="17">
        <v>2</v>
      </c>
      <c r="S8" s="6" t="s">
        <v>12</v>
      </c>
      <c r="T8" s="69">
        <v>14.786799999999999</v>
      </c>
      <c r="U8" s="10">
        <v>300</v>
      </c>
      <c r="V8" s="10">
        <v>500</v>
      </c>
      <c r="W8" s="7">
        <f t="shared" si="4"/>
        <v>460</v>
      </c>
      <c r="X8" s="28">
        <f t="shared" si="5"/>
        <v>91.347591336471567</v>
      </c>
      <c r="Y8" s="60">
        <v>18</v>
      </c>
      <c r="Z8" s="60">
        <v>2</v>
      </c>
      <c r="AA8" s="60">
        <v>14</v>
      </c>
      <c r="AB8" s="60">
        <v>0</v>
      </c>
      <c r="AC8" s="28">
        <f t="shared" si="11"/>
        <v>508.93800988154646</v>
      </c>
      <c r="AD8" s="35" t="str">
        <f t="shared" si="12"/>
        <v>OK</v>
      </c>
      <c r="AE8" s="28">
        <f t="shared" si="13"/>
        <v>-82.383831411565467</v>
      </c>
      <c r="AF8" s="32">
        <f t="shared" si="14"/>
        <v>-0.17948667531775114</v>
      </c>
    </row>
    <row r="9" spans="1:32" x14ac:dyDescent="0.25">
      <c r="A9" s="28" t="s">
        <v>35</v>
      </c>
      <c r="B9" s="17">
        <v>2.5</v>
      </c>
      <c r="C9" s="28" t="s">
        <v>11</v>
      </c>
      <c r="D9" s="65">
        <v>42.376899999999999</v>
      </c>
      <c r="E9" s="29">
        <v>300</v>
      </c>
      <c r="F9" s="29">
        <v>500</v>
      </c>
      <c r="G9" s="28">
        <f t="shared" si="7"/>
        <v>460</v>
      </c>
      <c r="H9" s="28">
        <f t="shared" si="1"/>
        <v>261.78941645971554</v>
      </c>
      <c r="I9" s="59">
        <v>18</v>
      </c>
      <c r="J9" s="59">
        <v>2</v>
      </c>
      <c r="K9" s="59">
        <v>12</v>
      </c>
      <c r="L9" s="59">
        <v>0</v>
      </c>
      <c r="M9" s="28">
        <f t="shared" si="8"/>
        <v>508.93800988154646</v>
      </c>
      <c r="N9" s="34" t="str">
        <f t="shared" si="9"/>
        <v>OK</v>
      </c>
      <c r="O9" s="17">
        <f t="shared" si="3"/>
        <v>82.383831411565467</v>
      </c>
      <c r="P9" s="19">
        <f t="shared" si="10"/>
        <v>0.51438369973711751</v>
      </c>
      <c r="Q9" s="6" t="s">
        <v>35</v>
      </c>
      <c r="R9" s="17">
        <v>2.5</v>
      </c>
      <c r="S9" s="6" t="s">
        <v>12</v>
      </c>
      <c r="T9" s="69">
        <v>-14.3279</v>
      </c>
      <c r="U9" s="10">
        <v>300</v>
      </c>
      <c r="V9" s="10">
        <v>500</v>
      </c>
      <c r="W9" s="7">
        <f t="shared" si="4"/>
        <v>460</v>
      </c>
      <c r="X9" s="28">
        <f t="shared" si="5"/>
        <v>88.512670348542684</v>
      </c>
      <c r="Y9" s="60">
        <v>18</v>
      </c>
      <c r="Z9" s="60">
        <v>2</v>
      </c>
      <c r="AA9" s="60">
        <v>18</v>
      </c>
      <c r="AB9" s="60">
        <v>0</v>
      </c>
      <c r="AC9" s="28">
        <f t="shared" si="11"/>
        <v>508.93800988154646</v>
      </c>
      <c r="AD9" s="35" t="str">
        <f t="shared" si="12"/>
        <v>OK</v>
      </c>
      <c r="AE9" s="28">
        <f t="shared" si="13"/>
        <v>-82.383831411565467</v>
      </c>
      <c r="AF9" s="32">
        <f t="shared" si="14"/>
        <v>0.17391640755844448</v>
      </c>
    </row>
    <row r="10" spans="1:32" x14ac:dyDescent="0.25">
      <c r="A10" s="28" t="s">
        <v>35</v>
      </c>
      <c r="B10" s="17">
        <v>3</v>
      </c>
      <c r="C10" s="28" t="s">
        <v>11</v>
      </c>
      <c r="D10" s="65">
        <v>52.952100000000002</v>
      </c>
      <c r="E10" s="29">
        <v>300</v>
      </c>
      <c r="F10" s="29">
        <v>500</v>
      </c>
      <c r="G10" s="28">
        <f t="shared" si="7"/>
        <v>460</v>
      </c>
      <c r="H10" s="28">
        <f t="shared" si="1"/>
        <v>327.11924089106338</v>
      </c>
      <c r="I10" s="59">
        <v>18</v>
      </c>
      <c r="J10" s="59">
        <v>2</v>
      </c>
      <c r="K10" s="59">
        <v>12</v>
      </c>
      <c r="L10" s="59">
        <v>0</v>
      </c>
      <c r="M10" s="28">
        <f t="shared" si="8"/>
        <v>508.93800988154646</v>
      </c>
      <c r="N10" s="34" t="str">
        <f t="shared" si="9"/>
        <v>OK</v>
      </c>
      <c r="O10" s="17">
        <f t="shared" si="3"/>
        <v>82.383831411565467</v>
      </c>
      <c r="P10" s="19">
        <f t="shared" si="10"/>
        <v>0.64274869343557028</v>
      </c>
      <c r="Q10" s="6" t="s">
        <v>35</v>
      </c>
      <c r="R10" s="17">
        <v>3</v>
      </c>
      <c r="S10" s="6" t="s">
        <v>12</v>
      </c>
      <c r="T10" s="69">
        <v>-49.903500000000001</v>
      </c>
      <c r="U10" s="10">
        <v>300</v>
      </c>
      <c r="V10" s="10">
        <v>500</v>
      </c>
      <c r="W10" s="7">
        <f t="shared" si="4"/>
        <v>460</v>
      </c>
      <c r="X10" s="28">
        <f t="shared" si="5"/>
        <v>308.28607435412721</v>
      </c>
      <c r="Y10" s="60">
        <v>18</v>
      </c>
      <c r="Z10" s="60">
        <v>2</v>
      </c>
      <c r="AA10" s="60">
        <v>18</v>
      </c>
      <c r="AB10" s="60">
        <v>0</v>
      </c>
      <c r="AC10" s="28">
        <f t="shared" si="11"/>
        <v>508.93800988154646</v>
      </c>
      <c r="AD10" s="35" t="str">
        <f t="shared" si="12"/>
        <v>OK</v>
      </c>
      <c r="AE10" s="28">
        <f t="shared" si="13"/>
        <v>-82.383831411565467</v>
      </c>
      <c r="AF10" s="32">
        <f t="shared" si="14"/>
        <v>0.60574385950438192</v>
      </c>
    </row>
    <row r="11" spans="1:32" x14ac:dyDescent="0.25">
      <c r="A11" s="28" t="s">
        <v>35</v>
      </c>
      <c r="B11" s="17">
        <v>3.5</v>
      </c>
      <c r="C11" s="28" t="s">
        <v>11</v>
      </c>
      <c r="D11" s="65">
        <v>57.069299999999998</v>
      </c>
      <c r="E11" s="29">
        <v>300</v>
      </c>
      <c r="F11" s="29">
        <v>500</v>
      </c>
      <c r="G11" s="28">
        <f t="shared" si="7"/>
        <v>460</v>
      </c>
      <c r="H11" s="28">
        <f t="shared" si="1"/>
        <v>352.55383817042878</v>
      </c>
      <c r="I11" s="59">
        <v>18</v>
      </c>
      <c r="J11" s="59">
        <v>2</v>
      </c>
      <c r="K11" s="59">
        <v>12</v>
      </c>
      <c r="L11" s="59">
        <v>0</v>
      </c>
      <c r="M11" s="28">
        <f t="shared" si="8"/>
        <v>508.93800988154646</v>
      </c>
      <c r="N11" s="34" t="str">
        <f t="shared" si="9"/>
        <v>OK</v>
      </c>
      <c r="O11" s="17">
        <f t="shared" si="3"/>
        <v>82.383831411565467</v>
      </c>
      <c r="P11" s="19">
        <f t="shared" si="10"/>
        <v>0.69272451914622069</v>
      </c>
      <c r="Q11" s="6" t="s">
        <v>35</v>
      </c>
      <c r="R11" s="17">
        <v>3.5</v>
      </c>
      <c r="S11" s="6" t="s">
        <v>12</v>
      </c>
      <c r="T11" s="69">
        <v>-91.9375</v>
      </c>
      <c r="U11" s="10">
        <v>300</v>
      </c>
      <c r="V11" s="10">
        <v>500</v>
      </c>
      <c r="W11" s="7">
        <f t="shared" si="4"/>
        <v>460</v>
      </c>
      <c r="X11" s="28">
        <f t="shared" si="5"/>
        <v>567.95717656943043</v>
      </c>
      <c r="Y11" s="60">
        <v>18</v>
      </c>
      <c r="Z11" s="60">
        <v>2</v>
      </c>
      <c r="AA11" s="60">
        <v>18</v>
      </c>
      <c r="AB11" s="60">
        <v>2</v>
      </c>
      <c r="AC11" s="28">
        <f t="shared" si="11"/>
        <v>1017.8760197630929</v>
      </c>
      <c r="AD11" s="35" t="str">
        <f t="shared" si="12"/>
        <v>OK</v>
      </c>
      <c r="AE11" s="28">
        <f t="shared" si="13"/>
        <v>-164.76766282313093</v>
      </c>
      <c r="AF11" s="32">
        <f t="shared" si="14"/>
        <v>0.55798266737988433</v>
      </c>
    </row>
    <row r="12" spans="1:32" x14ac:dyDescent="0.25">
      <c r="A12" s="28" t="s">
        <v>35</v>
      </c>
      <c r="B12" s="17">
        <v>4</v>
      </c>
      <c r="C12" s="28" t="s">
        <v>11</v>
      </c>
      <c r="D12" s="65">
        <v>54.728299999999997</v>
      </c>
      <c r="E12" s="29">
        <v>300</v>
      </c>
      <c r="F12" s="29">
        <v>500</v>
      </c>
      <c r="G12" s="28">
        <f t="shared" si="7"/>
        <v>460</v>
      </c>
      <c r="H12" s="28">
        <f t="shared" si="1"/>
        <v>338.09197276894366</v>
      </c>
      <c r="I12" s="59">
        <v>18</v>
      </c>
      <c r="J12" s="59">
        <v>2</v>
      </c>
      <c r="K12" s="59">
        <v>12</v>
      </c>
      <c r="L12" s="59">
        <v>0</v>
      </c>
      <c r="M12" s="28">
        <f t="shared" si="8"/>
        <v>508.93800988154646</v>
      </c>
      <c r="N12" s="34" t="str">
        <f t="shared" si="9"/>
        <v>OK</v>
      </c>
      <c r="O12" s="17">
        <f t="shared" si="3"/>
        <v>82.383831411565467</v>
      </c>
      <c r="P12" s="19">
        <f t="shared" si="10"/>
        <v>0.66430874920824523</v>
      </c>
      <c r="Q12" s="6" t="s">
        <v>35</v>
      </c>
      <c r="R12" s="17">
        <v>4</v>
      </c>
      <c r="S12" s="6" t="s">
        <v>12</v>
      </c>
      <c r="T12" s="69">
        <v>-140.4298</v>
      </c>
      <c r="U12" s="10">
        <v>300</v>
      </c>
      <c r="V12" s="10">
        <v>500</v>
      </c>
      <c r="W12" s="7">
        <f t="shared" si="4"/>
        <v>460</v>
      </c>
      <c r="X12" s="28">
        <f t="shared" si="5"/>
        <v>867.52535923001824</v>
      </c>
      <c r="Y12" s="60">
        <v>18</v>
      </c>
      <c r="Z12" s="60">
        <v>2</v>
      </c>
      <c r="AA12" s="60">
        <v>18</v>
      </c>
      <c r="AB12" s="60">
        <v>2</v>
      </c>
      <c r="AC12" s="28">
        <f t="shared" si="11"/>
        <v>1017.8760197630929</v>
      </c>
      <c r="AD12" s="35" t="str">
        <f t="shared" si="12"/>
        <v>OK</v>
      </c>
      <c r="AE12" s="28">
        <f t="shared" si="13"/>
        <v>-164.76766282313093</v>
      </c>
      <c r="AF12" s="32">
        <f t="shared" si="14"/>
        <v>0.85228980974709645</v>
      </c>
    </row>
    <row r="13" spans="1:32" x14ac:dyDescent="0.25">
      <c r="A13" s="28" t="s">
        <v>37</v>
      </c>
      <c r="B13" s="17">
        <v>4</v>
      </c>
      <c r="C13" s="28" t="s">
        <v>11</v>
      </c>
      <c r="D13" s="65">
        <v>19.612400000000001</v>
      </c>
      <c r="E13" s="29">
        <v>300</v>
      </c>
      <c r="F13" s="29">
        <v>500</v>
      </c>
      <c r="G13" s="28">
        <f t="shared" si="7"/>
        <v>460</v>
      </c>
      <c r="H13" s="28">
        <f t="shared" si="1"/>
        <v>121.15843186676055</v>
      </c>
      <c r="I13" s="59">
        <v>18</v>
      </c>
      <c r="J13" s="59">
        <v>2</v>
      </c>
      <c r="K13" s="59">
        <v>12</v>
      </c>
      <c r="L13" s="59">
        <v>0</v>
      </c>
      <c r="M13" s="28">
        <f t="shared" si="8"/>
        <v>508.93800988154646</v>
      </c>
      <c r="N13" s="34" t="str">
        <f t="shared" si="9"/>
        <v>OK</v>
      </c>
      <c r="O13" s="17">
        <f t="shared" si="3"/>
        <v>82.383831411565467</v>
      </c>
      <c r="P13" s="19">
        <f t="shared" si="10"/>
        <v>0.23806127566490809</v>
      </c>
      <c r="Q13" s="6" t="s">
        <v>37</v>
      </c>
      <c r="R13" s="17">
        <v>4</v>
      </c>
      <c r="S13" s="6" t="s">
        <v>12</v>
      </c>
      <c r="T13" s="69">
        <v>-145.7989</v>
      </c>
      <c r="U13" s="10">
        <v>300</v>
      </c>
      <c r="V13" s="10">
        <v>500</v>
      </c>
      <c r="W13" s="7">
        <f t="shared" si="4"/>
        <v>460</v>
      </c>
      <c r="X13" s="28">
        <f t="shared" si="5"/>
        <v>900.69374945945594</v>
      </c>
      <c r="Y13" s="60">
        <v>18</v>
      </c>
      <c r="Z13" s="60">
        <v>2</v>
      </c>
      <c r="AA13" s="60">
        <v>18</v>
      </c>
      <c r="AB13" s="60">
        <v>2</v>
      </c>
      <c r="AC13" s="28">
        <f t="shared" si="11"/>
        <v>1017.8760197630929</v>
      </c>
      <c r="AD13" s="35" t="str">
        <f t="shared" si="12"/>
        <v>OK</v>
      </c>
      <c r="AE13" s="28">
        <f t="shared" si="13"/>
        <v>-164.76766282313093</v>
      </c>
      <c r="AF13" s="32">
        <f t="shared" si="14"/>
        <v>0.88487569406447875</v>
      </c>
    </row>
    <row r="14" spans="1:32" x14ac:dyDescent="0.25">
      <c r="A14" s="28" t="s">
        <v>37</v>
      </c>
      <c r="B14" s="17">
        <v>4.5</v>
      </c>
      <c r="C14" s="28" t="s">
        <v>11</v>
      </c>
      <c r="D14" s="65">
        <v>36.873100000000001</v>
      </c>
      <c r="E14" s="29">
        <v>300</v>
      </c>
      <c r="F14" s="29">
        <v>500</v>
      </c>
      <c r="G14" s="28">
        <f t="shared" si="7"/>
        <v>460</v>
      </c>
      <c r="H14" s="28">
        <f t="shared" si="1"/>
        <v>227.78889753759091</v>
      </c>
      <c r="I14" s="59">
        <v>18</v>
      </c>
      <c r="J14" s="59">
        <v>2</v>
      </c>
      <c r="K14" s="59">
        <v>12</v>
      </c>
      <c r="L14" s="59">
        <v>0</v>
      </c>
      <c r="M14" s="28">
        <f t="shared" si="8"/>
        <v>508.93800988154646</v>
      </c>
      <c r="N14" s="34" t="str">
        <f t="shared" si="9"/>
        <v>OK</v>
      </c>
      <c r="O14" s="17">
        <f t="shared" si="3"/>
        <v>82.383831411565467</v>
      </c>
      <c r="P14" s="19">
        <f t="shared" si="10"/>
        <v>0.44757690153778845</v>
      </c>
      <c r="Q14" s="6" t="s">
        <v>37</v>
      </c>
      <c r="R14" s="17">
        <v>4.5</v>
      </c>
      <c r="S14" s="6" t="s">
        <v>12</v>
      </c>
      <c r="T14" s="69">
        <v>-98.477400000000003</v>
      </c>
      <c r="U14" s="10">
        <v>300</v>
      </c>
      <c r="V14" s="10">
        <v>500</v>
      </c>
      <c r="W14" s="7">
        <f t="shared" si="4"/>
        <v>460</v>
      </c>
      <c r="X14" s="28">
        <f t="shared" si="5"/>
        <v>608.35835279291291</v>
      </c>
      <c r="Y14" s="60">
        <v>18</v>
      </c>
      <c r="Z14" s="60">
        <v>2</v>
      </c>
      <c r="AA14" s="60">
        <v>18</v>
      </c>
      <c r="AB14" s="60">
        <v>2</v>
      </c>
      <c r="AC14" s="28">
        <f t="shared" si="11"/>
        <v>1017.8760197630929</v>
      </c>
      <c r="AD14" s="35" t="str">
        <f t="shared" si="12"/>
        <v>OK</v>
      </c>
      <c r="AE14" s="28">
        <f t="shared" si="13"/>
        <v>-164.76766282313093</v>
      </c>
      <c r="AF14" s="32">
        <f t="shared" si="14"/>
        <v>0.5976743149273781</v>
      </c>
    </row>
    <row r="15" spans="1:32" x14ac:dyDescent="0.25">
      <c r="A15" s="28" t="s">
        <v>37</v>
      </c>
      <c r="B15" s="17">
        <v>5</v>
      </c>
      <c r="C15" s="28" t="s">
        <v>11</v>
      </c>
      <c r="D15" s="65">
        <v>47.675600000000003</v>
      </c>
      <c r="E15" s="29">
        <v>300</v>
      </c>
      <c r="F15" s="29">
        <v>500</v>
      </c>
      <c r="G15" s="28">
        <f t="shared" si="7"/>
        <v>460</v>
      </c>
      <c r="H15" s="28">
        <f t="shared" si="1"/>
        <v>294.52290052757076</v>
      </c>
      <c r="I15" s="59">
        <v>18</v>
      </c>
      <c r="J15" s="59">
        <v>2</v>
      </c>
      <c r="K15" s="59">
        <v>12</v>
      </c>
      <c r="L15" s="59">
        <v>0</v>
      </c>
      <c r="M15" s="28">
        <f t="shared" si="8"/>
        <v>508.93800988154646</v>
      </c>
      <c r="N15" s="34" t="str">
        <f t="shared" si="9"/>
        <v>OK</v>
      </c>
      <c r="O15" s="17">
        <f t="shared" si="3"/>
        <v>82.383831411565467</v>
      </c>
      <c r="P15" s="19">
        <f t="shared" si="10"/>
        <v>0.57870093176204296</v>
      </c>
      <c r="Q15" s="6" t="s">
        <v>37</v>
      </c>
      <c r="R15" s="17">
        <v>5</v>
      </c>
      <c r="S15" s="6" t="s">
        <v>12</v>
      </c>
      <c r="T15" s="69">
        <v>-57.614100000000001</v>
      </c>
      <c r="U15" s="10">
        <v>300</v>
      </c>
      <c r="V15" s="10">
        <v>500</v>
      </c>
      <c r="W15" s="7">
        <f t="shared" si="4"/>
        <v>460</v>
      </c>
      <c r="X15" s="28">
        <f t="shared" si="5"/>
        <v>355.91941880722038</v>
      </c>
      <c r="Y15" s="60">
        <v>18</v>
      </c>
      <c r="Z15" s="60">
        <v>2</v>
      </c>
      <c r="AA15" s="60">
        <v>18</v>
      </c>
      <c r="AB15" s="60">
        <v>0</v>
      </c>
      <c r="AC15" s="28">
        <f t="shared" si="11"/>
        <v>508.93800988154646</v>
      </c>
      <c r="AD15" s="35" t="str">
        <f t="shared" si="12"/>
        <v>OK</v>
      </c>
      <c r="AE15" s="28">
        <f t="shared" si="13"/>
        <v>-82.383831411565467</v>
      </c>
      <c r="AF15" s="32">
        <f t="shared" si="14"/>
        <v>0.69933746722918055</v>
      </c>
    </row>
    <row r="16" spans="1:32" x14ac:dyDescent="0.25">
      <c r="A16" s="28" t="s">
        <v>37</v>
      </c>
      <c r="B16" s="17">
        <v>5.5</v>
      </c>
      <c r="C16" s="28" t="s">
        <v>11</v>
      </c>
      <c r="D16" s="65">
        <v>52.0199</v>
      </c>
      <c r="E16" s="29">
        <v>300</v>
      </c>
      <c r="F16" s="29">
        <v>500</v>
      </c>
      <c r="G16" s="28">
        <f t="shared" si="7"/>
        <v>460</v>
      </c>
      <c r="H16" s="28">
        <f t="shared" si="1"/>
        <v>321.36044083670009</v>
      </c>
      <c r="I16" s="59">
        <v>18</v>
      </c>
      <c r="J16" s="59">
        <v>2</v>
      </c>
      <c r="K16" s="59">
        <v>12</v>
      </c>
      <c r="L16" s="59">
        <v>1</v>
      </c>
      <c r="M16" s="28">
        <f t="shared" si="8"/>
        <v>622.03534541077897</v>
      </c>
      <c r="N16" s="34" t="str">
        <f t="shared" si="9"/>
        <v>OK</v>
      </c>
      <c r="O16" s="17">
        <f t="shared" si="3"/>
        <v>100.69134950302445</v>
      </c>
      <c r="P16" s="19">
        <f t="shared" si="10"/>
        <v>0.51662729973082233</v>
      </c>
      <c r="Q16" s="6" t="s">
        <v>37</v>
      </c>
      <c r="R16" s="17">
        <v>5.5</v>
      </c>
      <c r="S16" s="6" t="s">
        <v>12</v>
      </c>
      <c r="T16" s="69">
        <v>-23.209</v>
      </c>
      <c r="U16" s="10">
        <v>300</v>
      </c>
      <c r="V16" s="10">
        <v>500</v>
      </c>
      <c r="W16" s="7">
        <f t="shared" si="4"/>
        <v>460</v>
      </c>
      <c r="X16" s="28">
        <f t="shared" si="5"/>
        <v>143.37694750237836</v>
      </c>
      <c r="Y16" s="60">
        <v>18</v>
      </c>
      <c r="Z16" s="60">
        <v>2</v>
      </c>
      <c r="AA16" s="60">
        <v>0</v>
      </c>
      <c r="AB16" s="60">
        <v>2</v>
      </c>
      <c r="AC16" s="28">
        <f t="shared" si="11"/>
        <v>508.93800988154646</v>
      </c>
      <c r="AD16" s="35" t="str">
        <f t="shared" si="12"/>
        <v>OK</v>
      </c>
      <c r="AE16" s="28">
        <f t="shared" si="13"/>
        <v>-82.383831411565467</v>
      </c>
      <c r="AF16" s="32">
        <f t="shared" si="14"/>
        <v>0.28171790025223081</v>
      </c>
    </row>
    <row r="17" spans="1:32" x14ac:dyDescent="0.25">
      <c r="A17" s="28" t="s">
        <v>37</v>
      </c>
      <c r="B17" s="17">
        <v>6</v>
      </c>
      <c r="C17" s="28" t="s">
        <v>11</v>
      </c>
      <c r="D17" s="65">
        <v>49.905999999999999</v>
      </c>
      <c r="E17" s="29">
        <v>300</v>
      </c>
      <c r="F17" s="29">
        <v>500</v>
      </c>
      <c r="G17" s="28">
        <f t="shared" si="7"/>
        <v>460</v>
      </c>
      <c r="H17" s="28">
        <f t="shared" si="1"/>
        <v>308.30151846497887</v>
      </c>
      <c r="I17" s="59">
        <v>18</v>
      </c>
      <c r="J17" s="59">
        <v>2</v>
      </c>
      <c r="K17" s="59">
        <v>12</v>
      </c>
      <c r="L17" s="59">
        <v>1</v>
      </c>
      <c r="M17" s="28">
        <f t="shared" si="8"/>
        <v>622.03534541077897</v>
      </c>
      <c r="N17" s="34" t="str">
        <f t="shared" si="9"/>
        <v>OK</v>
      </c>
      <c r="O17" s="17">
        <f t="shared" si="3"/>
        <v>100.69134950302445</v>
      </c>
      <c r="P17" s="19">
        <f t="shared" si="10"/>
        <v>0.49563344067109733</v>
      </c>
      <c r="Q17" s="6" t="s">
        <v>37</v>
      </c>
      <c r="R17" s="17">
        <v>6</v>
      </c>
      <c r="S17" s="6" t="s">
        <v>12</v>
      </c>
      <c r="T17" s="69">
        <v>4.7378</v>
      </c>
      <c r="U17" s="10">
        <v>300</v>
      </c>
      <c r="V17" s="10">
        <v>500</v>
      </c>
      <c r="W17" s="7">
        <f t="shared" si="4"/>
        <v>460</v>
      </c>
      <c r="X17" s="28">
        <f t="shared" si="5"/>
        <v>29.268443357179034</v>
      </c>
      <c r="Y17" s="60">
        <v>18</v>
      </c>
      <c r="Z17" s="60">
        <v>2</v>
      </c>
      <c r="AA17" s="60">
        <v>0</v>
      </c>
      <c r="AB17" s="60">
        <v>2</v>
      </c>
      <c r="AC17" s="28">
        <f t="shared" si="11"/>
        <v>508.93800988154646</v>
      </c>
      <c r="AD17" s="35" t="str">
        <f t="shared" si="12"/>
        <v>OK</v>
      </c>
      <c r="AE17" s="28">
        <f t="shared" si="13"/>
        <v>-82.383831411565467</v>
      </c>
      <c r="AF17" s="32">
        <f t="shared" si="14"/>
        <v>-5.7508857245681382E-2</v>
      </c>
    </row>
    <row r="18" spans="1:32" x14ac:dyDescent="0.25">
      <c r="A18" s="28" t="s">
        <v>37</v>
      </c>
      <c r="B18" s="17">
        <v>6.5</v>
      </c>
      <c r="C18" s="28" t="s">
        <v>11</v>
      </c>
      <c r="D18" s="65">
        <v>41.333799999999997</v>
      </c>
      <c r="E18" s="29">
        <v>300</v>
      </c>
      <c r="F18" s="29">
        <v>500</v>
      </c>
      <c r="G18" s="28">
        <f t="shared" si="7"/>
        <v>460</v>
      </c>
      <c r="H18" s="28">
        <f t="shared" si="1"/>
        <v>255.34551564797306</v>
      </c>
      <c r="I18" s="59">
        <v>18</v>
      </c>
      <c r="J18" s="59">
        <v>2</v>
      </c>
      <c r="K18" s="59">
        <v>12</v>
      </c>
      <c r="L18" s="59">
        <v>1</v>
      </c>
      <c r="M18" s="28">
        <f t="shared" si="8"/>
        <v>622.03534541077897</v>
      </c>
      <c r="N18" s="34" t="str">
        <f t="shared" si="9"/>
        <v>OK</v>
      </c>
      <c r="O18" s="17">
        <f t="shared" si="3"/>
        <v>100.69134950302445</v>
      </c>
      <c r="P18" s="19">
        <f t="shared" si="10"/>
        <v>0.41050001021943261</v>
      </c>
      <c r="Q18" s="6" t="s">
        <v>37</v>
      </c>
      <c r="R18" s="17">
        <v>6.5</v>
      </c>
      <c r="S18" s="6" t="s">
        <v>12</v>
      </c>
      <c r="T18" s="69">
        <v>26.226400000000002</v>
      </c>
      <c r="U18" s="10">
        <v>300</v>
      </c>
      <c r="V18" s="10">
        <v>500</v>
      </c>
      <c r="W18" s="7">
        <f t="shared" si="4"/>
        <v>460</v>
      </c>
      <c r="X18" s="28">
        <f t="shared" si="5"/>
        <v>162.0173715358859</v>
      </c>
      <c r="Y18" s="60">
        <v>18</v>
      </c>
      <c r="Z18" s="60">
        <v>2</v>
      </c>
      <c r="AA18" s="60">
        <v>0</v>
      </c>
      <c r="AB18" s="60">
        <v>2</v>
      </c>
      <c r="AC18" s="28">
        <f t="shared" si="11"/>
        <v>508.93800988154646</v>
      </c>
      <c r="AD18" s="35" t="str">
        <f t="shared" si="12"/>
        <v>OK</v>
      </c>
      <c r="AE18" s="28">
        <f t="shared" si="13"/>
        <v>-82.383831411565467</v>
      </c>
      <c r="AF18" s="32">
        <f t="shared" si="14"/>
        <v>-0.31834401909496773</v>
      </c>
    </row>
    <row r="19" spans="1:32" x14ac:dyDescent="0.25">
      <c r="A19" s="28" t="s">
        <v>37</v>
      </c>
      <c r="B19" s="17">
        <v>7</v>
      </c>
      <c r="C19" s="28" t="s">
        <v>11</v>
      </c>
      <c r="D19" s="65">
        <v>41.333799999999997</v>
      </c>
      <c r="E19" s="29">
        <v>300</v>
      </c>
      <c r="F19" s="29">
        <v>500</v>
      </c>
      <c r="G19" s="28">
        <f t="shared" si="7"/>
        <v>460</v>
      </c>
      <c r="H19" s="28">
        <f t="shared" si="1"/>
        <v>255.34551564797306</v>
      </c>
      <c r="I19" s="59">
        <v>18</v>
      </c>
      <c r="J19" s="59">
        <v>2</v>
      </c>
      <c r="K19" s="59">
        <v>12</v>
      </c>
      <c r="L19" s="59">
        <v>1</v>
      </c>
      <c r="M19" s="28">
        <f t="shared" si="8"/>
        <v>622.03534541077897</v>
      </c>
      <c r="N19" s="34" t="str">
        <f t="shared" si="9"/>
        <v>OK</v>
      </c>
      <c r="O19" s="17">
        <f t="shared" si="3"/>
        <v>100.69134950302445</v>
      </c>
      <c r="P19" s="19">
        <f t="shared" si="10"/>
        <v>0.41050001021943261</v>
      </c>
      <c r="Q19" s="6" t="s">
        <v>37</v>
      </c>
      <c r="R19" s="17">
        <v>7</v>
      </c>
      <c r="S19" s="6" t="s">
        <v>12</v>
      </c>
      <c r="T19" s="69">
        <v>26.226400000000002</v>
      </c>
      <c r="U19" s="10">
        <v>300</v>
      </c>
      <c r="V19" s="10">
        <v>500</v>
      </c>
      <c r="W19" s="7">
        <f t="shared" si="4"/>
        <v>460</v>
      </c>
      <c r="X19" s="28">
        <f t="shared" si="5"/>
        <v>162.0173715358859</v>
      </c>
      <c r="Y19" s="60">
        <v>18</v>
      </c>
      <c r="Z19" s="60">
        <v>2</v>
      </c>
      <c r="AA19" s="60">
        <v>0</v>
      </c>
      <c r="AB19" s="60">
        <v>2</v>
      </c>
      <c r="AC19" s="28">
        <f t="shared" si="11"/>
        <v>508.93800988154646</v>
      </c>
      <c r="AD19" s="35" t="str">
        <f t="shared" si="12"/>
        <v>OK</v>
      </c>
      <c r="AE19" s="28">
        <f t="shared" si="13"/>
        <v>-82.383831411565467</v>
      </c>
      <c r="AF19" s="32">
        <f t="shared" si="14"/>
        <v>-0.31834401909496773</v>
      </c>
    </row>
    <row r="20" spans="1:32" x14ac:dyDescent="0.25">
      <c r="A20" s="28" t="s">
        <v>37</v>
      </c>
      <c r="B20" s="17">
        <v>7.5</v>
      </c>
      <c r="C20" s="28" t="s">
        <v>11</v>
      </c>
      <c r="D20" s="65">
        <v>49.905999999999999</v>
      </c>
      <c r="E20" s="29">
        <v>300</v>
      </c>
      <c r="F20" s="29">
        <v>500</v>
      </c>
      <c r="G20" s="28">
        <f t="shared" si="7"/>
        <v>460</v>
      </c>
      <c r="H20" s="28">
        <f t="shared" si="1"/>
        <v>308.30151846497887</v>
      </c>
      <c r="I20" s="59">
        <v>18</v>
      </c>
      <c r="J20" s="59">
        <v>2</v>
      </c>
      <c r="K20" s="59">
        <v>12</v>
      </c>
      <c r="L20" s="59">
        <v>1</v>
      </c>
      <c r="M20" s="28">
        <f t="shared" si="8"/>
        <v>622.03534541077897</v>
      </c>
      <c r="N20" s="34" t="str">
        <f t="shared" si="9"/>
        <v>OK</v>
      </c>
      <c r="O20" s="17">
        <f t="shared" si="3"/>
        <v>100.69134950302445</v>
      </c>
      <c r="P20" s="19">
        <f t="shared" si="10"/>
        <v>0.49563344067109733</v>
      </c>
      <c r="Q20" s="6" t="s">
        <v>37</v>
      </c>
      <c r="R20" s="17">
        <v>7.5</v>
      </c>
      <c r="S20" s="6" t="s">
        <v>12</v>
      </c>
      <c r="T20" s="69">
        <v>4.7378</v>
      </c>
      <c r="U20" s="10">
        <v>300</v>
      </c>
      <c r="V20" s="10">
        <v>500</v>
      </c>
      <c r="W20" s="7">
        <f t="shared" si="4"/>
        <v>460</v>
      </c>
      <c r="X20" s="28">
        <f t="shared" si="5"/>
        <v>29.268443357179034</v>
      </c>
      <c r="Y20" s="60">
        <v>18</v>
      </c>
      <c r="Z20" s="60">
        <v>2</v>
      </c>
      <c r="AA20" s="60">
        <v>0</v>
      </c>
      <c r="AB20" s="60">
        <v>2</v>
      </c>
      <c r="AC20" s="28">
        <f t="shared" si="11"/>
        <v>508.93800988154646</v>
      </c>
      <c r="AD20" s="35" t="str">
        <f t="shared" si="12"/>
        <v>OK</v>
      </c>
      <c r="AE20" s="28">
        <f t="shared" si="13"/>
        <v>-82.383831411565467</v>
      </c>
      <c r="AF20" s="32">
        <f t="shared" si="14"/>
        <v>-5.7508857245681382E-2</v>
      </c>
    </row>
    <row r="21" spans="1:32" x14ac:dyDescent="0.25">
      <c r="A21" s="28" t="s">
        <v>37</v>
      </c>
      <c r="B21" s="17">
        <v>8</v>
      </c>
      <c r="C21" s="28" t="s">
        <v>11</v>
      </c>
      <c r="D21" s="65">
        <v>52.0199</v>
      </c>
      <c r="E21" s="29">
        <v>300</v>
      </c>
      <c r="F21" s="29">
        <v>500</v>
      </c>
      <c r="G21" s="28">
        <f t="shared" si="7"/>
        <v>460</v>
      </c>
      <c r="H21" s="28">
        <f t="shared" si="1"/>
        <v>321.36044083670009</v>
      </c>
      <c r="I21" s="59">
        <v>18</v>
      </c>
      <c r="J21" s="59">
        <v>2</v>
      </c>
      <c r="K21" s="59">
        <v>12</v>
      </c>
      <c r="L21" s="59">
        <v>1</v>
      </c>
      <c r="M21" s="28">
        <f t="shared" si="8"/>
        <v>622.03534541077897</v>
      </c>
      <c r="N21" s="34" t="str">
        <f t="shared" si="9"/>
        <v>OK</v>
      </c>
      <c r="O21" s="17">
        <f t="shared" si="3"/>
        <v>100.69134950302445</v>
      </c>
      <c r="P21" s="19">
        <f t="shared" si="10"/>
        <v>0.51662729973082233</v>
      </c>
      <c r="Q21" s="6" t="s">
        <v>37</v>
      </c>
      <c r="R21" s="17">
        <v>8</v>
      </c>
      <c r="S21" s="6" t="s">
        <v>12</v>
      </c>
      <c r="T21" s="69">
        <v>-23.209</v>
      </c>
      <c r="U21" s="10">
        <v>300</v>
      </c>
      <c r="V21" s="10">
        <v>500</v>
      </c>
      <c r="W21" s="7">
        <f t="shared" si="4"/>
        <v>460</v>
      </c>
      <c r="X21" s="28">
        <f t="shared" si="5"/>
        <v>143.37694750237836</v>
      </c>
      <c r="Y21" s="60">
        <v>18</v>
      </c>
      <c r="Z21" s="60">
        <v>2</v>
      </c>
      <c r="AA21" s="60">
        <v>0</v>
      </c>
      <c r="AB21" s="60">
        <v>2</v>
      </c>
      <c r="AC21" s="28">
        <f t="shared" si="11"/>
        <v>508.93800988154646</v>
      </c>
      <c r="AD21" s="35" t="str">
        <f t="shared" si="12"/>
        <v>OK</v>
      </c>
      <c r="AE21" s="28">
        <f t="shared" si="13"/>
        <v>-82.383831411565467</v>
      </c>
      <c r="AF21" s="32">
        <f t="shared" si="14"/>
        <v>0.28171790025223081</v>
      </c>
    </row>
    <row r="22" spans="1:32" x14ac:dyDescent="0.25">
      <c r="A22" s="28" t="s">
        <v>37</v>
      </c>
      <c r="B22" s="17">
        <v>8.5</v>
      </c>
      <c r="C22" s="28" t="s">
        <v>11</v>
      </c>
      <c r="D22" s="65">
        <v>47.675600000000003</v>
      </c>
      <c r="E22" s="29">
        <v>300</v>
      </c>
      <c r="F22" s="29">
        <v>500</v>
      </c>
      <c r="G22" s="28">
        <f t="shared" si="7"/>
        <v>460</v>
      </c>
      <c r="H22" s="28">
        <f t="shared" si="1"/>
        <v>294.52290052757076</v>
      </c>
      <c r="I22" s="59">
        <v>18</v>
      </c>
      <c r="J22" s="59">
        <v>2</v>
      </c>
      <c r="K22" s="59">
        <v>12</v>
      </c>
      <c r="L22" s="59">
        <v>0</v>
      </c>
      <c r="M22" s="28">
        <f t="shared" si="8"/>
        <v>508.93800988154646</v>
      </c>
      <c r="N22" s="34" t="str">
        <f t="shared" si="9"/>
        <v>OK</v>
      </c>
      <c r="O22" s="17">
        <f t="shared" si="3"/>
        <v>82.383831411565467</v>
      </c>
      <c r="P22" s="19">
        <f t="shared" si="10"/>
        <v>0.57870093176204296</v>
      </c>
      <c r="Q22" s="6" t="s">
        <v>37</v>
      </c>
      <c r="R22" s="17">
        <v>8.5</v>
      </c>
      <c r="S22" s="6" t="s">
        <v>12</v>
      </c>
      <c r="T22" s="69">
        <v>-57.614100000000001</v>
      </c>
      <c r="U22" s="10">
        <v>300</v>
      </c>
      <c r="V22" s="10">
        <v>500</v>
      </c>
      <c r="W22" s="7">
        <f t="shared" si="4"/>
        <v>460</v>
      </c>
      <c r="X22" s="28">
        <f t="shared" si="5"/>
        <v>355.91941880722038</v>
      </c>
      <c r="Y22" s="60">
        <v>18</v>
      </c>
      <c r="Z22" s="60">
        <v>2</v>
      </c>
      <c r="AA22" s="60">
        <v>18</v>
      </c>
      <c r="AB22" s="60">
        <v>2</v>
      </c>
      <c r="AC22" s="28">
        <f t="shared" si="11"/>
        <v>1017.8760197630929</v>
      </c>
      <c r="AD22" s="35" t="str">
        <f t="shared" si="12"/>
        <v>OK</v>
      </c>
      <c r="AE22" s="28">
        <f t="shared" si="13"/>
        <v>-164.76766282313093</v>
      </c>
      <c r="AF22" s="32">
        <f t="shared" si="14"/>
        <v>0.34966873361459028</v>
      </c>
    </row>
    <row r="23" spans="1:32" x14ac:dyDescent="0.25">
      <c r="A23" s="28" t="s">
        <v>37</v>
      </c>
      <c r="B23" s="17">
        <v>9</v>
      </c>
      <c r="C23" s="28" t="s">
        <v>11</v>
      </c>
      <c r="D23" s="65">
        <v>36.873100000000001</v>
      </c>
      <c r="E23" s="29">
        <v>300</v>
      </c>
      <c r="F23" s="29">
        <v>500</v>
      </c>
      <c r="G23" s="28">
        <f t="shared" si="7"/>
        <v>460</v>
      </c>
      <c r="H23" s="28">
        <f t="shared" si="1"/>
        <v>227.78889753759091</v>
      </c>
      <c r="I23" s="59">
        <v>18</v>
      </c>
      <c r="J23" s="59">
        <v>2</v>
      </c>
      <c r="K23" s="59">
        <v>12</v>
      </c>
      <c r="L23" s="59">
        <v>0</v>
      </c>
      <c r="M23" s="28">
        <f t="shared" si="8"/>
        <v>508.93800988154646</v>
      </c>
      <c r="N23" s="34" t="str">
        <f t="shared" si="9"/>
        <v>OK</v>
      </c>
      <c r="O23" s="17">
        <f t="shared" si="3"/>
        <v>82.383831411565467</v>
      </c>
      <c r="P23" s="19">
        <f t="shared" si="10"/>
        <v>0.44757690153778845</v>
      </c>
      <c r="Q23" s="6" t="s">
        <v>37</v>
      </c>
      <c r="R23" s="17">
        <v>9</v>
      </c>
      <c r="S23" s="6" t="s">
        <v>12</v>
      </c>
      <c r="T23" s="69">
        <v>-98.477400000000003</v>
      </c>
      <c r="U23" s="10">
        <v>300</v>
      </c>
      <c r="V23" s="10">
        <v>500</v>
      </c>
      <c r="W23" s="7">
        <f t="shared" si="4"/>
        <v>460</v>
      </c>
      <c r="X23" s="28">
        <f t="shared" si="5"/>
        <v>608.35835279291291</v>
      </c>
      <c r="Y23" s="60">
        <v>18</v>
      </c>
      <c r="Z23" s="60">
        <v>2</v>
      </c>
      <c r="AA23" s="60">
        <v>18</v>
      </c>
      <c r="AB23" s="60">
        <v>2</v>
      </c>
      <c r="AC23" s="28">
        <f t="shared" si="11"/>
        <v>1017.8760197630929</v>
      </c>
      <c r="AD23" s="35" t="str">
        <f t="shared" si="12"/>
        <v>OK</v>
      </c>
      <c r="AE23" s="28">
        <f t="shared" si="13"/>
        <v>-164.76766282313093</v>
      </c>
      <c r="AF23" s="32">
        <f t="shared" si="14"/>
        <v>0.5976743149273781</v>
      </c>
    </row>
    <row r="24" spans="1:32" x14ac:dyDescent="0.25">
      <c r="A24" s="28" t="s">
        <v>37</v>
      </c>
      <c r="B24" s="17">
        <v>9.5</v>
      </c>
      <c r="C24" s="28" t="s">
        <v>11</v>
      </c>
      <c r="D24" s="65">
        <v>19.612400000000001</v>
      </c>
      <c r="E24" s="29">
        <v>300</v>
      </c>
      <c r="F24" s="29">
        <v>500</v>
      </c>
      <c r="G24" s="28">
        <f t="shared" si="7"/>
        <v>460</v>
      </c>
      <c r="H24" s="28">
        <f t="shared" si="1"/>
        <v>121.15843186676055</v>
      </c>
      <c r="I24" s="59">
        <v>18</v>
      </c>
      <c r="J24" s="59">
        <v>2</v>
      </c>
      <c r="K24" s="59">
        <v>12</v>
      </c>
      <c r="L24" s="59">
        <v>0</v>
      </c>
      <c r="M24" s="28">
        <f t="shared" si="8"/>
        <v>508.93800988154646</v>
      </c>
      <c r="N24" s="34" t="str">
        <f t="shared" si="9"/>
        <v>OK</v>
      </c>
      <c r="O24" s="17">
        <f t="shared" si="3"/>
        <v>82.383831411565467</v>
      </c>
      <c r="P24" s="19">
        <f t="shared" si="10"/>
        <v>0.23806127566490809</v>
      </c>
      <c r="Q24" s="6" t="s">
        <v>37</v>
      </c>
      <c r="R24" s="17">
        <v>9.5</v>
      </c>
      <c r="S24" s="6" t="s">
        <v>12</v>
      </c>
      <c r="T24" s="69">
        <v>-145.7989</v>
      </c>
      <c r="U24" s="10">
        <v>300</v>
      </c>
      <c r="V24" s="10">
        <v>500</v>
      </c>
      <c r="W24" s="7">
        <f t="shared" si="4"/>
        <v>460</v>
      </c>
      <c r="X24" s="28">
        <f t="shared" si="5"/>
        <v>900.69374945945594</v>
      </c>
      <c r="Y24" s="60">
        <v>18</v>
      </c>
      <c r="Z24" s="60">
        <v>2</v>
      </c>
      <c r="AA24" s="60">
        <v>18</v>
      </c>
      <c r="AB24" s="60">
        <v>2</v>
      </c>
      <c r="AC24" s="28">
        <f t="shared" si="11"/>
        <v>1017.8760197630929</v>
      </c>
      <c r="AD24" s="35" t="str">
        <f t="shared" si="12"/>
        <v>OK</v>
      </c>
      <c r="AE24" s="28">
        <f t="shared" si="13"/>
        <v>-164.76766282313093</v>
      </c>
      <c r="AF24" s="32">
        <f t="shared" si="14"/>
        <v>0.88487569406447875</v>
      </c>
    </row>
    <row r="25" spans="1:32" x14ac:dyDescent="0.25">
      <c r="A25" s="28" t="s">
        <v>38</v>
      </c>
      <c r="B25" s="17">
        <v>9.5</v>
      </c>
      <c r="C25" s="28" t="s">
        <v>11</v>
      </c>
      <c r="D25" s="65">
        <v>54.728299999999997</v>
      </c>
      <c r="E25" s="29">
        <v>300</v>
      </c>
      <c r="F25" s="29">
        <v>500</v>
      </c>
      <c r="G25" s="28">
        <f t="shared" si="7"/>
        <v>460</v>
      </c>
      <c r="H25" s="28">
        <f t="shared" si="1"/>
        <v>338.09197276894366</v>
      </c>
      <c r="I25" s="59">
        <v>18</v>
      </c>
      <c r="J25" s="59">
        <v>2</v>
      </c>
      <c r="K25" s="59">
        <v>12</v>
      </c>
      <c r="L25" s="59">
        <v>0</v>
      </c>
      <c r="M25" s="28">
        <f t="shared" si="8"/>
        <v>508.93800988154646</v>
      </c>
      <c r="N25" s="34" t="str">
        <f t="shared" si="9"/>
        <v>OK</v>
      </c>
      <c r="O25" s="17">
        <f t="shared" si="3"/>
        <v>82.383831411565467</v>
      </c>
      <c r="P25" s="19">
        <f t="shared" si="10"/>
        <v>0.66430874920824523</v>
      </c>
      <c r="Q25" s="6" t="s">
        <v>38</v>
      </c>
      <c r="R25" s="17">
        <v>9.5</v>
      </c>
      <c r="S25" s="6" t="s">
        <v>12</v>
      </c>
      <c r="T25" s="69">
        <v>-140.4298</v>
      </c>
      <c r="U25" s="10">
        <v>300</v>
      </c>
      <c r="V25" s="10">
        <v>500</v>
      </c>
      <c r="W25" s="7">
        <f t="shared" si="4"/>
        <v>460</v>
      </c>
      <c r="X25" s="28">
        <f t="shared" si="5"/>
        <v>867.52535923001824</v>
      </c>
      <c r="Y25" s="60">
        <v>18</v>
      </c>
      <c r="Z25" s="60">
        <v>2</v>
      </c>
      <c r="AA25" s="60">
        <v>18</v>
      </c>
      <c r="AB25" s="60">
        <v>2</v>
      </c>
      <c r="AC25" s="28">
        <f t="shared" si="11"/>
        <v>1017.8760197630929</v>
      </c>
      <c r="AD25" s="35" t="str">
        <f t="shared" si="12"/>
        <v>OK</v>
      </c>
      <c r="AE25" s="28">
        <f t="shared" si="13"/>
        <v>-164.76766282313093</v>
      </c>
      <c r="AF25" s="32">
        <f t="shared" si="14"/>
        <v>0.85228980974709645</v>
      </c>
    </row>
    <row r="26" spans="1:32" x14ac:dyDescent="0.25">
      <c r="A26" s="28" t="s">
        <v>38</v>
      </c>
      <c r="B26" s="17">
        <v>10</v>
      </c>
      <c r="C26" s="28" t="s">
        <v>11</v>
      </c>
      <c r="D26" s="65">
        <v>57.069299999999998</v>
      </c>
      <c r="E26" s="29">
        <v>300</v>
      </c>
      <c r="F26" s="29">
        <v>500</v>
      </c>
      <c r="G26" s="28">
        <f t="shared" si="7"/>
        <v>460</v>
      </c>
      <c r="H26" s="28">
        <f t="shared" si="1"/>
        <v>352.55383817042878</v>
      </c>
      <c r="I26" s="59">
        <v>18</v>
      </c>
      <c r="J26" s="59">
        <v>2</v>
      </c>
      <c r="K26" s="59">
        <v>12</v>
      </c>
      <c r="L26" s="59">
        <v>0</v>
      </c>
      <c r="M26" s="28">
        <f t="shared" si="8"/>
        <v>508.93800988154646</v>
      </c>
      <c r="N26" s="34" t="str">
        <f t="shared" si="9"/>
        <v>OK</v>
      </c>
      <c r="O26" s="17">
        <f t="shared" si="3"/>
        <v>82.383831411565467</v>
      </c>
      <c r="P26" s="19">
        <f t="shared" si="10"/>
        <v>0.69272451914622069</v>
      </c>
      <c r="Q26" s="6" t="s">
        <v>38</v>
      </c>
      <c r="R26" s="17">
        <v>10</v>
      </c>
      <c r="S26" s="6" t="s">
        <v>12</v>
      </c>
      <c r="T26" s="69">
        <v>-91.9375</v>
      </c>
      <c r="U26" s="10">
        <v>300</v>
      </c>
      <c r="V26" s="10">
        <v>500</v>
      </c>
      <c r="W26" s="7">
        <f t="shared" si="4"/>
        <v>460</v>
      </c>
      <c r="X26" s="28">
        <f t="shared" si="5"/>
        <v>567.95717656943043</v>
      </c>
      <c r="Y26" s="60">
        <v>18</v>
      </c>
      <c r="Z26" s="60">
        <v>2</v>
      </c>
      <c r="AA26" s="60">
        <v>18</v>
      </c>
      <c r="AB26" s="60">
        <v>2</v>
      </c>
      <c r="AC26" s="28">
        <f t="shared" si="11"/>
        <v>1017.8760197630929</v>
      </c>
      <c r="AD26" s="35" t="str">
        <f t="shared" si="12"/>
        <v>OK</v>
      </c>
      <c r="AE26" s="28">
        <f t="shared" si="13"/>
        <v>-164.76766282313093</v>
      </c>
      <c r="AF26" s="32">
        <f t="shared" si="14"/>
        <v>0.55798266737988433</v>
      </c>
    </row>
    <row r="27" spans="1:32" x14ac:dyDescent="0.25">
      <c r="A27" s="28" t="s">
        <v>38</v>
      </c>
      <c r="B27" s="17">
        <v>10.5</v>
      </c>
      <c r="C27" s="28" t="s">
        <v>11</v>
      </c>
      <c r="D27" s="65">
        <v>52.952100000000002</v>
      </c>
      <c r="E27" s="29">
        <v>300</v>
      </c>
      <c r="F27" s="29">
        <v>500</v>
      </c>
      <c r="G27" s="28">
        <f t="shared" si="7"/>
        <v>460</v>
      </c>
      <c r="H27" s="28">
        <f t="shared" si="1"/>
        <v>327.11924089106338</v>
      </c>
      <c r="I27" s="59">
        <v>18</v>
      </c>
      <c r="J27" s="59">
        <v>2</v>
      </c>
      <c r="K27" s="59">
        <v>12</v>
      </c>
      <c r="L27" s="59">
        <v>0</v>
      </c>
      <c r="M27" s="28">
        <f t="shared" si="8"/>
        <v>508.93800988154646</v>
      </c>
      <c r="N27" s="34" t="str">
        <f t="shared" si="9"/>
        <v>OK</v>
      </c>
      <c r="O27" s="17">
        <f t="shared" si="3"/>
        <v>82.383831411565467</v>
      </c>
      <c r="P27" s="19">
        <f t="shared" si="10"/>
        <v>0.64274869343557028</v>
      </c>
      <c r="Q27" s="6" t="s">
        <v>38</v>
      </c>
      <c r="R27" s="17">
        <v>10.5</v>
      </c>
      <c r="S27" s="6" t="s">
        <v>12</v>
      </c>
      <c r="T27" s="69">
        <v>-49.903500000000001</v>
      </c>
      <c r="U27" s="10">
        <v>300</v>
      </c>
      <c r="V27" s="10">
        <v>500</v>
      </c>
      <c r="W27" s="7">
        <f t="shared" si="4"/>
        <v>460</v>
      </c>
      <c r="X27" s="28">
        <f t="shared" si="5"/>
        <v>308.28607435412721</v>
      </c>
      <c r="Y27" s="60">
        <v>18</v>
      </c>
      <c r="Z27" s="60">
        <v>2</v>
      </c>
      <c r="AA27" s="60">
        <v>18</v>
      </c>
      <c r="AB27" s="60">
        <v>2</v>
      </c>
      <c r="AC27" s="28">
        <f t="shared" si="11"/>
        <v>1017.8760197630929</v>
      </c>
      <c r="AD27" s="35" t="str">
        <f t="shared" si="12"/>
        <v>OK</v>
      </c>
      <c r="AE27" s="28">
        <f t="shared" si="13"/>
        <v>-164.76766282313093</v>
      </c>
      <c r="AF27" s="32">
        <f t="shared" si="14"/>
        <v>0.30287192975219096</v>
      </c>
    </row>
    <row r="28" spans="1:32" x14ac:dyDescent="0.25">
      <c r="A28" s="28" t="s">
        <v>38</v>
      </c>
      <c r="B28" s="17">
        <v>11</v>
      </c>
      <c r="C28" s="28" t="s">
        <v>11</v>
      </c>
      <c r="D28" s="65">
        <v>42.376899999999999</v>
      </c>
      <c r="E28" s="29">
        <v>300</v>
      </c>
      <c r="F28" s="29">
        <v>500</v>
      </c>
      <c r="G28" s="28">
        <f t="shared" si="7"/>
        <v>460</v>
      </c>
      <c r="H28" s="28">
        <f t="shared" si="1"/>
        <v>261.78941645971554</v>
      </c>
      <c r="I28" s="59">
        <v>18</v>
      </c>
      <c r="J28" s="59">
        <v>2</v>
      </c>
      <c r="K28" s="59">
        <v>12</v>
      </c>
      <c r="L28" s="59">
        <v>0</v>
      </c>
      <c r="M28" s="28">
        <f t="shared" si="8"/>
        <v>508.93800988154646</v>
      </c>
      <c r="N28" s="34" t="str">
        <f t="shared" si="9"/>
        <v>OK</v>
      </c>
      <c r="O28" s="17">
        <f t="shared" si="3"/>
        <v>82.383831411565467</v>
      </c>
      <c r="P28" s="19">
        <f t="shared" si="10"/>
        <v>0.51438369973711751</v>
      </c>
      <c r="Q28" s="6" t="s">
        <v>38</v>
      </c>
      <c r="R28" s="17">
        <v>11</v>
      </c>
      <c r="S28" s="6" t="s">
        <v>12</v>
      </c>
      <c r="T28" s="69">
        <v>-14.3279</v>
      </c>
      <c r="U28" s="10">
        <v>300</v>
      </c>
      <c r="V28" s="10">
        <v>500</v>
      </c>
      <c r="W28" s="7">
        <f t="shared" si="4"/>
        <v>460</v>
      </c>
      <c r="X28" s="28">
        <f t="shared" si="5"/>
        <v>88.512670348542684</v>
      </c>
      <c r="Y28" s="60">
        <v>18</v>
      </c>
      <c r="Z28" s="60">
        <v>2</v>
      </c>
      <c r="AA28" s="60">
        <v>18</v>
      </c>
      <c r="AB28" s="60">
        <v>0</v>
      </c>
      <c r="AC28" s="28">
        <f t="shared" si="11"/>
        <v>508.93800988154646</v>
      </c>
      <c r="AD28" s="35" t="str">
        <f t="shared" si="12"/>
        <v>OK</v>
      </c>
      <c r="AE28" s="28">
        <f t="shared" si="13"/>
        <v>-82.383831411565467</v>
      </c>
      <c r="AF28" s="32">
        <f t="shared" si="14"/>
        <v>0.17391640755844448</v>
      </c>
    </row>
    <row r="29" spans="1:32" x14ac:dyDescent="0.25">
      <c r="A29" s="28" t="s">
        <v>38</v>
      </c>
      <c r="B29" s="17">
        <v>11.5</v>
      </c>
      <c r="C29" s="28" t="s">
        <v>11</v>
      </c>
      <c r="D29" s="65">
        <v>25.3461</v>
      </c>
      <c r="E29" s="29">
        <v>300</v>
      </c>
      <c r="F29" s="29">
        <v>500</v>
      </c>
      <c r="G29" s="28">
        <f t="shared" si="7"/>
        <v>460</v>
      </c>
      <c r="H29" s="28">
        <f t="shared" si="1"/>
        <v>156.5791912228029</v>
      </c>
      <c r="I29" s="59">
        <v>18</v>
      </c>
      <c r="J29" s="59">
        <v>2</v>
      </c>
      <c r="K29" s="59">
        <v>12</v>
      </c>
      <c r="L29" s="59">
        <v>0</v>
      </c>
      <c r="M29" s="28">
        <f t="shared" si="8"/>
        <v>508.93800988154646</v>
      </c>
      <c r="N29" s="34" t="str">
        <f t="shared" si="9"/>
        <v>OK</v>
      </c>
      <c r="O29" s="17">
        <f t="shared" si="3"/>
        <v>82.383831411565467</v>
      </c>
      <c r="P29" s="19">
        <f t="shared" si="10"/>
        <v>0.30765866998074315</v>
      </c>
      <c r="Q29" s="6" t="s">
        <v>38</v>
      </c>
      <c r="R29" s="17">
        <v>11.5</v>
      </c>
      <c r="S29" s="6" t="s">
        <v>12</v>
      </c>
      <c r="T29" s="69">
        <v>14.786799999999999</v>
      </c>
      <c r="U29" s="10">
        <v>300</v>
      </c>
      <c r="V29" s="10">
        <v>500</v>
      </c>
      <c r="W29" s="7">
        <f t="shared" si="4"/>
        <v>460</v>
      </c>
      <c r="X29" s="28">
        <f t="shared" si="5"/>
        <v>91.347591336471567</v>
      </c>
      <c r="Y29" s="60">
        <v>18</v>
      </c>
      <c r="Z29" s="60">
        <v>2</v>
      </c>
      <c r="AA29" s="60">
        <v>14</v>
      </c>
      <c r="AB29" s="60">
        <v>0</v>
      </c>
      <c r="AC29" s="28">
        <f t="shared" si="11"/>
        <v>508.93800988154646</v>
      </c>
      <c r="AD29" s="35" t="str">
        <f t="shared" si="12"/>
        <v>OK</v>
      </c>
      <c r="AE29" s="28">
        <f t="shared" si="13"/>
        <v>-82.383831411565467</v>
      </c>
      <c r="AF29" s="32">
        <f t="shared" si="14"/>
        <v>-0.17948667531775114</v>
      </c>
    </row>
    <row r="30" spans="1:32" x14ac:dyDescent="0.25">
      <c r="A30" s="28" t="s">
        <v>38</v>
      </c>
      <c r="B30" s="17">
        <v>12</v>
      </c>
      <c r="C30" s="28" t="s">
        <v>11</v>
      </c>
      <c r="D30" s="65">
        <v>37.450899999999997</v>
      </c>
      <c r="E30" s="29">
        <v>300</v>
      </c>
      <c r="F30" s="29">
        <v>500</v>
      </c>
      <c r="G30" s="28">
        <f t="shared" si="7"/>
        <v>460</v>
      </c>
      <c r="H30" s="28">
        <f t="shared" si="1"/>
        <v>231.35834043762429</v>
      </c>
      <c r="I30" s="59">
        <v>18</v>
      </c>
      <c r="J30" s="59">
        <v>2</v>
      </c>
      <c r="K30" s="59">
        <v>12</v>
      </c>
      <c r="L30" s="59">
        <v>0</v>
      </c>
      <c r="M30" s="28">
        <f t="shared" si="8"/>
        <v>508.93800988154646</v>
      </c>
      <c r="N30" s="34" t="str">
        <f t="shared" si="9"/>
        <v>OK</v>
      </c>
      <c r="O30" s="17">
        <f t="shared" si="3"/>
        <v>82.383831411565467</v>
      </c>
      <c r="P30" s="19">
        <f t="shared" si="10"/>
        <v>0.4545904136566104</v>
      </c>
      <c r="Q30" s="6" t="s">
        <v>38</v>
      </c>
      <c r="R30" s="17">
        <v>12</v>
      </c>
      <c r="S30" s="6" t="s">
        <v>12</v>
      </c>
      <c r="T30" s="69">
        <v>1.8493999999999999</v>
      </c>
      <c r="U30" s="10">
        <v>300</v>
      </c>
      <c r="V30" s="10">
        <v>500</v>
      </c>
      <c r="W30" s="7">
        <f t="shared" si="4"/>
        <v>460</v>
      </c>
      <c r="X30" s="28">
        <f t="shared" si="5"/>
        <v>11.424935443616638</v>
      </c>
      <c r="Y30" s="60">
        <v>18</v>
      </c>
      <c r="Z30" s="60">
        <v>2</v>
      </c>
      <c r="AA30" s="60">
        <v>14</v>
      </c>
      <c r="AB30" s="60">
        <v>0</v>
      </c>
      <c r="AC30" s="28">
        <f t="shared" si="11"/>
        <v>508.93800988154646</v>
      </c>
      <c r="AD30" s="35" t="str">
        <f t="shared" si="12"/>
        <v>OK</v>
      </c>
      <c r="AE30" s="28">
        <f t="shared" si="13"/>
        <v>-82.383831411565467</v>
      </c>
      <c r="AF30" s="32">
        <f t="shared" si="14"/>
        <v>-2.2448579634041781E-2</v>
      </c>
    </row>
    <row r="31" spans="1:32" x14ac:dyDescent="0.25">
      <c r="A31" s="28" t="s">
        <v>38</v>
      </c>
      <c r="B31" s="17">
        <v>12.5</v>
      </c>
      <c r="C31" s="28" t="s">
        <v>11</v>
      </c>
      <c r="D31" s="65">
        <v>53.651600000000002</v>
      </c>
      <c r="E31" s="29">
        <v>300</v>
      </c>
      <c r="F31" s="29">
        <v>500</v>
      </c>
      <c r="G31" s="28">
        <f t="shared" si="7"/>
        <v>460</v>
      </c>
      <c r="H31" s="28">
        <f t="shared" si="1"/>
        <v>331.44050310735503</v>
      </c>
      <c r="I31" s="59">
        <v>18</v>
      </c>
      <c r="J31" s="59">
        <v>2</v>
      </c>
      <c r="K31" s="59">
        <v>12</v>
      </c>
      <c r="L31" s="59">
        <v>0</v>
      </c>
      <c r="M31" s="28">
        <f t="shared" si="8"/>
        <v>508.93800988154646</v>
      </c>
      <c r="N31" s="34" t="str">
        <f t="shared" si="9"/>
        <v>OK</v>
      </c>
      <c r="O31" s="17">
        <f t="shared" si="3"/>
        <v>82.383831411565467</v>
      </c>
      <c r="P31" s="19">
        <f t="shared" si="10"/>
        <v>0.65123943716543531</v>
      </c>
      <c r="Q31" s="6" t="s">
        <v>38</v>
      </c>
      <c r="R31" s="17">
        <v>12.5</v>
      </c>
      <c r="S31" s="6" t="s">
        <v>12</v>
      </c>
      <c r="T31" s="69">
        <v>-28.100200000000001</v>
      </c>
      <c r="U31" s="10">
        <v>300</v>
      </c>
      <c r="V31" s="10">
        <v>500</v>
      </c>
      <c r="W31" s="7">
        <f t="shared" si="4"/>
        <v>460</v>
      </c>
      <c r="X31" s="28">
        <f t="shared" si="5"/>
        <v>173.59304150141466</v>
      </c>
      <c r="Y31" s="60">
        <v>18</v>
      </c>
      <c r="Z31" s="60">
        <v>2</v>
      </c>
      <c r="AA31" s="60">
        <v>18</v>
      </c>
      <c r="AB31" s="60">
        <v>1</v>
      </c>
      <c r="AC31" s="28">
        <f t="shared" si="11"/>
        <v>763.40701482231975</v>
      </c>
      <c r="AD31" s="35" t="str">
        <f t="shared" si="12"/>
        <v>OK</v>
      </c>
      <c r="AE31" s="28">
        <f t="shared" si="13"/>
        <v>-123.57574711734821</v>
      </c>
      <c r="AF31" s="32">
        <f t="shared" si="14"/>
        <v>0.22739251556631007</v>
      </c>
    </row>
    <row r="32" spans="1:32" x14ac:dyDescent="0.25">
      <c r="A32" s="28" t="s">
        <v>38</v>
      </c>
      <c r="B32" s="17">
        <v>13</v>
      </c>
      <c r="C32" s="28" t="s">
        <v>11</v>
      </c>
      <c r="D32" s="65">
        <v>63.394399999999997</v>
      </c>
      <c r="E32" s="29">
        <v>300</v>
      </c>
      <c r="F32" s="29">
        <v>500</v>
      </c>
      <c r="G32" s="28">
        <f t="shared" si="7"/>
        <v>460</v>
      </c>
      <c r="H32" s="28">
        <f t="shared" si="1"/>
        <v>391.62805638953745</v>
      </c>
      <c r="I32" s="59">
        <v>18</v>
      </c>
      <c r="J32" s="59">
        <v>2</v>
      </c>
      <c r="K32" s="59">
        <v>12</v>
      </c>
      <c r="L32" s="59">
        <v>0</v>
      </c>
      <c r="M32" s="28">
        <f t="shared" si="8"/>
        <v>508.93800988154646</v>
      </c>
      <c r="N32" s="34" t="str">
        <f t="shared" si="9"/>
        <v>OK</v>
      </c>
      <c r="O32" s="17">
        <f t="shared" si="3"/>
        <v>82.383831411565467</v>
      </c>
      <c r="P32" s="19">
        <f t="shared" si="10"/>
        <v>0.7695005065168693</v>
      </c>
      <c r="Q32" s="6" t="s">
        <v>38</v>
      </c>
      <c r="R32" s="17">
        <v>13</v>
      </c>
      <c r="S32" s="6" t="s">
        <v>12</v>
      </c>
      <c r="T32" s="69">
        <v>-64.508499999999998</v>
      </c>
      <c r="U32" s="10">
        <v>300</v>
      </c>
      <c r="V32" s="10">
        <v>500</v>
      </c>
      <c r="W32" s="7">
        <f t="shared" si="4"/>
        <v>460</v>
      </c>
      <c r="X32" s="28">
        <f t="shared" si="5"/>
        <v>398.5105699494668</v>
      </c>
      <c r="Y32" s="60">
        <v>18</v>
      </c>
      <c r="Z32" s="60">
        <v>2</v>
      </c>
      <c r="AA32" s="60">
        <v>18</v>
      </c>
      <c r="AB32" s="60">
        <v>1</v>
      </c>
      <c r="AC32" s="28">
        <f t="shared" si="11"/>
        <v>763.40701482231975</v>
      </c>
      <c r="AD32" s="35" t="str">
        <f t="shared" si="12"/>
        <v>OK</v>
      </c>
      <c r="AE32" s="28">
        <f t="shared" si="13"/>
        <v>-123.57574711734821</v>
      </c>
      <c r="AF32" s="32">
        <f t="shared" si="14"/>
        <v>0.52201586075577089</v>
      </c>
    </row>
    <row r="33" spans="1:32" x14ac:dyDescent="0.25">
      <c r="A33" s="28" t="s">
        <v>38</v>
      </c>
      <c r="B33" s="17">
        <v>13.5</v>
      </c>
      <c r="C33" s="28" t="s">
        <v>11</v>
      </c>
      <c r="D33" s="65">
        <v>66.679100000000005</v>
      </c>
      <c r="E33" s="29">
        <v>300</v>
      </c>
      <c r="F33" s="29">
        <v>500</v>
      </c>
      <c r="G33" s="28">
        <f t="shared" si="7"/>
        <v>460</v>
      </c>
      <c r="H33" s="28">
        <f t="shared" si="1"/>
        <v>411.9197647553035</v>
      </c>
      <c r="I33" s="59">
        <v>18</v>
      </c>
      <c r="J33" s="59">
        <v>2</v>
      </c>
      <c r="K33" s="59">
        <v>12</v>
      </c>
      <c r="L33" s="59">
        <v>0</v>
      </c>
      <c r="M33" s="28">
        <f>PI()*I33^2/4*J33+PI()*K33^2/4*L33</f>
        <v>508.93800988154646</v>
      </c>
      <c r="N33" s="34" t="str">
        <f t="shared" si="9"/>
        <v>OK</v>
      </c>
      <c r="O33" s="17">
        <f t="shared" si="3"/>
        <v>82.383831411565467</v>
      </c>
      <c r="P33" s="19">
        <f t="shared" si="10"/>
        <v>0.80937119405008939</v>
      </c>
      <c r="Q33" s="6" t="s">
        <v>38</v>
      </c>
      <c r="R33" s="17">
        <v>13.5</v>
      </c>
      <c r="S33" s="6" t="s">
        <v>12</v>
      </c>
      <c r="T33" s="69">
        <v>-107.375</v>
      </c>
      <c r="U33" s="10">
        <v>300</v>
      </c>
      <c r="V33" s="10">
        <v>500</v>
      </c>
      <c r="W33" s="7">
        <f t="shared" si="4"/>
        <v>460</v>
      </c>
      <c r="X33" s="28">
        <f t="shared" si="5"/>
        <v>663.32456107836947</v>
      </c>
      <c r="Y33" s="60">
        <v>18</v>
      </c>
      <c r="Z33" s="60">
        <v>2</v>
      </c>
      <c r="AA33" s="60">
        <v>18</v>
      </c>
      <c r="AB33" s="60">
        <v>1</v>
      </c>
      <c r="AC33" s="28">
        <f t="shared" si="11"/>
        <v>763.40701482231975</v>
      </c>
      <c r="AD33" s="35" t="str">
        <f t="shared" si="12"/>
        <v>OK</v>
      </c>
      <c r="AE33" s="28">
        <f t="shared" si="13"/>
        <v>-123.57574711734821</v>
      </c>
      <c r="AF33" s="32">
        <f>T33/AE33</f>
        <v>0.86890026971098222</v>
      </c>
    </row>
    <row r="34" spans="1:3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AF34" s="33"/>
    </row>
    <row r="35" spans="1:3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3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3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3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3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3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3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3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3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3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3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3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3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3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3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3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3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3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3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6" spans="1:32" x14ac:dyDescent="0.25">
      <c r="A56" s="2" t="s">
        <v>1</v>
      </c>
      <c r="B56" s="3" t="s">
        <v>2</v>
      </c>
      <c r="C56" s="2" t="s">
        <v>3</v>
      </c>
      <c r="D56" s="3" t="s">
        <v>5</v>
      </c>
      <c r="E56" s="5" t="s">
        <v>20</v>
      </c>
      <c r="F56" s="5" t="s">
        <v>21</v>
      </c>
      <c r="G56" s="5" t="s">
        <v>25</v>
      </c>
      <c r="H56" s="5" t="s">
        <v>23</v>
      </c>
      <c r="I56" s="5" t="s">
        <v>26</v>
      </c>
      <c r="J56" s="5" t="s">
        <v>27</v>
      </c>
      <c r="K56" s="5" t="s">
        <v>26</v>
      </c>
      <c r="L56" s="5" t="s">
        <v>27</v>
      </c>
      <c r="M56" s="5" t="s">
        <v>23</v>
      </c>
      <c r="N56" s="18"/>
      <c r="O56" s="5" t="s">
        <v>31</v>
      </c>
      <c r="P56" s="5" t="s">
        <v>33</v>
      </c>
      <c r="Q56" s="2" t="s">
        <v>1</v>
      </c>
      <c r="R56" s="3" t="s">
        <v>2</v>
      </c>
      <c r="S56" s="2" t="s">
        <v>3</v>
      </c>
      <c r="T56" s="3" t="s">
        <v>5</v>
      </c>
      <c r="U56" s="5" t="s">
        <v>20</v>
      </c>
      <c r="V56" s="5" t="s">
        <v>21</v>
      </c>
      <c r="W56" s="5" t="s">
        <v>25</v>
      </c>
      <c r="X56" s="5" t="s">
        <v>23</v>
      </c>
      <c r="Y56" s="5" t="s">
        <v>26</v>
      </c>
      <c r="Z56" s="5" t="s">
        <v>27</v>
      </c>
      <c r="AA56" s="5" t="s">
        <v>26</v>
      </c>
      <c r="AB56" s="5" t="s">
        <v>27</v>
      </c>
      <c r="AC56" s="5" t="s">
        <v>23</v>
      </c>
      <c r="AD56" s="20"/>
      <c r="AE56" s="5" t="s">
        <v>31</v>
      </c>
      <c r="AF56" s="5" t="s">
        <v>33</v>
      </c>
    </row>
    <row r="57" spans="1:32" x14ac:dyDescent="0.25">
      <c r="A57" s="4" t="s">
        <v>6</v>
      </c>
      <c r="B57" s="5" t="s">
        <v>7</v>
      </c>
      <c r="C57" s="4" t="s">
        <v>6</v>
      </c>
      <c r="D57" s="5" t="s">
        <v>9</v>
      </c>
      <c r="E57" s="5" t="s">
        <v>22</v>
      </c>
      <c r="F57" s="5" t="s">
        <v>22</v>
      </c>
      <c r="G57" s="5" t="s">
        <v>22</v>
      </c>
      <c r="H57" s="5" t="s">
        <v>24</v>
      </c>
      <c r="I57" s="5" t="s">
        <v>22</v>
      </c>
      <c r="J57" s="5" t="s">
        <v>28</v>
      </c>
      <c r="K57" s="5" t="s">
        <v>22</v>
      </c>
      <c r="L57" s="5" t="s">
        <v>28</v>
      </c>
      <c r="M57" s="5" t="s">
        <v>24</v>
      </c>
      <c r="N57" s="18"/>
      <c r="O57" s="5" t="s">
        <v>9</v>
      </c>
      <c r="P57" s="5" t="s">
        <v>28</v>
      </c>
      <c r="Q57" s="4" t="s">
        <v>6</v>
      </c>
      <c r="R57" s="5" t="s">
        <v>7</v>
      </c>
      <c r="S57" s="4" t="s">
        <v>6</v>
      </c>
      <c r="T57" s="5" t="s">
        <v>9</v>
      </c>
      <c r="U57" s="9" t="s">
        <v>22</v>
      </c>
      <c r="V57" s="9" t="s">
        <v>22</v>
      </c>
      <c r="W57" s="9" t="s">
        <v>22</v>
      </c>
      <c r="X57" s="9" t="s">
        <v>24</v>
      </c>
      <c r="Y57" s="9" t="s">
        <v>22</v>
      </c>
      <c r="Z57" s="9" t="s">
        <v>28</v>
      </c>
      <c r="AA57" s="9" t="s">
        <v>22</v>
      </c>
      <c r="AB57" s="9" t="s">
        <v>28</v>
      </c>
      <c r="AC57" s="9" t="s">
        <v>24</v>
      </c>
      <c r="AD57" s="20"/>
      <c r="AE57" s="9" t="s">
        <v>9</v>
      </c>
      <c r="AF57" s="8" t="s">
        <v>28</v>
      </c>
    </row>
    <row r="58" spans="1:32" x14ac:dyDescent="0.25">
      <c r="A58" s="6" t="s">
        <v>39</v>
      </c>
      <c r="B58" s="17">
        <v>0</v>
      </c>
      <c r="C58" s="6" t="s">
        <v>11</v>
      </c>
      <c r="D58" s="66">
        <v>56.563200000000002</v>
      </c>
      <c r="E58" s="29">
        <v>300</v>
      </c>
      <c r="F58" s="29">
        <v>500</v>
      </c>
      <c r="G58" s="28">
        <f t="shared" ref="G58:G87" si="15">F58-40</f>
        <v>460</v>
      </c>
      <c r="H58" s="28">
        <f>ABS(D58)*1000^2/(0.9*391*G58)</f>
        <v>349.42733236962073</v>
      </c>
      <c r="I58" s="59">
        <v>14</v>
      </c>
      <c r="J58" s="59">
        <v>2</v>
      </c>
      <c r="K58" s="59">
        <v>12</v>
      </c>
      <c r="L58" s="59">
        <v>2</v>
      </c>
      <c r="M58" s="28">
        <f>PI()*I58^2/4*J58+PI()*K58^2/4*L58</f>
        <v>534.07075111026484</v>
      </c>
      <c r="N58" s="34" t="str">
        <f t="shared" ref="N58:N87" si="16">IF(M58&gt;=H58,"OK","NO")</f>
        <v>OK</v>
      </c>
      <c r="O58" s="17">
        <f t="shared" ref="O58:O87" si="17">(M58*0.9*391*G58)/1000^2</f>
        <v>86.452168765223007</v>
      </c>
      <c r="P58" s="19">
        <f>D58/O58</f>
        <v>0.6542716140945859</v>
      </c>
      <c r="Q58" s="6" t="s">
        <v>39</v>
      </c>
      <c r="R58" s="17">
        <v>0</v>
      </c>
      <c r="S58" s="6" t="s">
        <v>12</v>
      </c>
      <c r="T58" s="15">
        <v>-108.7894</v>
      </c>
      <c r="U58" s="10">
        <v>300</v>
      </c>
      <c r="V58" s="10">
        <v>500</v>
      </c>
      <c r="W58" s="7">
        <f t="shared" ref="W58:W87" si="18">V58-40</f>
        <v>460</v>
      </c>
      <c r="X58" s="28">
        <f t="shared" ref="X58:X87" si="19">ABS(T58)*1000^2/(0.9*391*W58)</f>
        <v>672.06222123379905</v>
      </c>
      <c r="Y58" s="60">
        <v>18</v>
      </c>
      <c r="Z58" s="60">
        <v>2</v>
      </c>
      <c r="AA58" s="60">
        <v>14</v>
      </c>
      <c r="AB58" s="60">
        <v>2</v>
      </c>
      <c r="AC58" s="28">
        <f>PI()*Y58^2/4*Z58+PI()*AA58^2/4*AB58</f>
        <v>816.81408993334617</v>
      </c>
      <c r="AD58" s="35" t="str">
        <f t="shared" ref="AD58:AD87" si="20">IF(AC58&gt;=X58,"OK","NO")</f>
        <v>OK</v>
      </c>
      <c r="AE58" s="28">
        <f>-(AC58*0.9*391*W58)/1000^2</f>
        <v>-132.22096399387047</v>
      </c>
      <c r="AF58" s="32">
        <f>T58/AE58</f>
        <v>0.82278480442060065</v>
      </c>
    </row>
    <row r="59" spans="1:32" x14ac:dyDescent="0.25">
      <c r="A59" s="6" t="s">
        <v>39</v>
      </c>
      <c r="B59" s="17">
        <v>0.5</v>
      </c>
      <c r="C59" s="6" t="s">
        <v>11</v>
      </c>
      <c r="D59" s="66">
        <v>59.907800000000002</v>
      </c>
      <c r="E59" s="29">
        <v>300</v>
      </c>
      <c r="F59" s="29">
        <v>500</v>
      </c>
      <c r="G59" s="28">
        <f t="shared" si="15"/>
        <v>460</v>
      </c>
      <c r="H59" s="28">
        <f t="shared" ref="H59:H87" si="21">ABS(D59)*1000^2/(0.9*391*G59)</f>
        <v>370.08908163139228</v>
      </c>
      <c r="I59" s="59">
        <v>14</v>
      </c>
      <c r="J59" s="59">
        <v>2</v>
      </c>
      <c r="K59" s="59">
        <v>12</v>
      </c>
      <c r="L59" s="59">
        <v>2</v>
      </c>
      <c r="M59" s="28">
        <f t="shared" ref="M59:M86" si="22">PI()*I59^2/4*J59+PI()*K59^2/4*L59</f>
        <v>534.07075111026484</v>
      </c>
      <c r="N59" s="34" t="str">
        <f t="shared" si="16"/>
        <v>OK</v>
      </c>
      <c r="O59" s="17">
        <f t="shared" si="17"/>
        <v>86.452168765223007</v>
      </c>
      <c r="P59" s="19">
        <f t="shared" ref="P59:P87" si="23">D59/O59</f>
        <v>0.69295890265854188</v>
      </c>
      <c r="Q59" s="6" t="s">
        <v>39</v>
      </c>
      <c r="R59" s="17">
        <v>0.5</v>
      </c>
      <c r="S59" s="6" t="s">
        <v>12</v>
      </c>
      <c r="T59" s="15">
        <v>-61.625</v>
      </c>
      <c r="U59" s="10">
        <v>300</v>
      </c>
      <c r="V59" s="10">
        <v>500</v>
      </c>
      <c r="W59" s="7">
        <f t="shared" si="18"/>
        <v>460</v>
      </c>
      <c r="X59" s="28">
        <f t="shared" si="19"/>
        <v>380.69733249317363</v>
      </c>
      <c r="Y59" s="60">
        <v>18</v>
      </c>
      <c r="Z59" s="60">
        <v>2</v>
      </c>
      <c r="AA59" s="60">
        <v>14</v>
      </c>
      <c r="AB59" s="60">
        <v>2</v>
      </c>
      <c r="AC59" s="28">
        <f t="shared" ref="AC59:AC87" si="24">PI()*Y59^2/4*Z59+PI()*AA59^2/4*AB59</f>
        <v>816.81408993334617</v>
      </c>
      <c r="AD59" s="35" t="str">
        <f t="shared" si="20"/>
        <v>OK</v>
      </c>
      <c r="AE59" s="28">
        <f t="shared" ref="AE59:AE87" si="25">-(AC59*0.9*391*W59)/1000^2</f>
        <v>-132.22096399387047</v>
      </c>
      <c r="AF59" s="32">
        <f t="shared" ref="AF59:AF86" si="26">T59/AE59</f>
        <v>0.46607586375528792</v>
      </c>
    </row>
    <row r="60" spans="1:32" x14ac:dyDescent="0.25">
      <c r="A60" s="6" t="s">
        <v>39</v>
      </c>
      <c r="B60" s="17">
        <v>1</v>
      </c>
      <c r="C60" s="6" t="s">
        <v>11</v>
      </c>
      <c r="D60" s="66">
        <v>55.018300000000004</v>
      </c>
      <c r="E60" s="29">
        <v>300</v>
      </c>
      <c r="F60" s="29">
        <v>500</v>
      </c>
      <c r="G60" s="28">
        <f t="shared" si="15"/>
        <v>460</v>
      </c>
      <c r="H60" s="28">
        <f t="shared" si="21"/>
        <v>339.88348962773512</v>
      </c>
      <c r="I60" s="59">
        <v>14</v>
      </c>
      <c r="J60" s="59">
        <v>2</v>
      </c>
      <c r="K60" s="59">
        <v>12</v>
      </c>
      <c r="L60" s="59">
        <v>2</v>
      </c>
      <c r="M60" s="28">
        <f t="shared" si="22"/>
        <v>534.07075111026484</v>
      </c>
      <c r="N60" s="34" t="str">
        <f t="shared" si="16"/>
        <v>OK</v>
      </c>
      <c r="O60" s="17">
        <f t="shared" si="17"/>
        <v>86.452168765223007</v>
      </c>
      <c r="P60" s="19">
        <f t="shared" si="23"/>
        <v>0.63640161705384701</v>
      </c>
      <c r="Q60" s="6" t="s">
        <v>39</v>
      </c>
      <c r="R60" s="17">
        <v>1</v>
      </c>
      <c r="S60" s="6" t="s">
        <v>12</v>
      </c>
      <c r="T60" s="15">
        <v>-22.694800000000001</v>
      </c>
      <c r="U60" s="10">
        <v>300</v>
      </c>
      <c r="V60" s="10">
        <v>500</v>
      </c>
      <c r="W60" s="7">
        <f t="shared" si="18"/>
        <v>460</v>
      </c>
      <c r="X60" s="28">
        <f t="shared" si="19"/>
        <v>140.20040278241098</v>
      </c>
      <c r="Y60" s="60">
        <v>18</v>
      </c>
      <c r="Z60" s="60">
        <v>2</v>
      </c>
      <c r="AA60" s="60">
        <v>14</v>
      </c>
      <c r="AB60" s="60">
        <v>2</v>
      </c>
      <c r="AC60" s="28">
        <f t="shared" si="24"/>
        <v>816.81408993334617</v>
      </c>
      <c r="AD60" s="35" t="str">
        <f t="shared" si="20"/>
        <v>OK</v>
      </c>
      <c r="AE60" s="28">
        <f t="shared" si="25"/>
        <v>-132.22096399387047</v>
      </c>
      <c r="AF60" s="32">
        <f t="shared" si="26"/>
        <v>0.17164297789458025</v>
      </c>
    </row>
    <row r="61" spans="1:32" x14ac:dyDescent="0.25">
      <c r="A61" s="6" t="s">
        <v>39</v>
      </c>
      <c r="B61" s="17">
        <v>1.5</v>
      </c>
      <c r="C61" s="6" t="s">
        <v>11</v>
      </c>
      <c r="D61" s="66">
        <v>41.895099999999999</v>
      </c>
      <c r="E61" s="29">
        <v>300</v>
      </c>
      <c r="F61" s="29">
        <v>500</v>
      </c>
      <c r="G61" s="28">
        <f t="shared" si="15"/>
        <v>460</v>
      </c>
      <c r="H61" s="28">
        <f t="shared" si="21"/>
        <v>258.81302741638552</v>
      </c>
      <c r="I61" s="59">
        <v>14</v>
      </c>
      <c r="J61" s="59">
        <v>2</v>
      </c>
      <c r="K61" s="59">
        <v>12</v>
      </c>
      <c r="L61" s="59">
        <v>2</v>
      </c>
      <c r="M61" s="28">
        <f t="shared" si="22"/>
        <v>534.07075111026484</v>
      </c>
      <c r="N61" s="34" t="str">
        <f t="shared" si="16"/>
        <v>OK</v>
      </c>
      <c r="O61" s="17">
        <f t="shared" si="17"/>
        <v>86.452168765223007</v>
      </c>
      <c r="P61" s="19">
        <f t="shared" si="23"/>
        <v>0.48460438411642348</v>
      </c>
      <c r="Q61" s="6" t="s">
        <v>39</v>
      </c>
      <c r="R61" s="17">
        <v>1.5</v>
      </c>
      <c r="S61" s="6" t="s">
        <v>12</v>
      </c>
      <c r="T61" s="15">
        <v>8.0007000000000001</v>
      </c>
      <c r="U61" s="10">
        <v>300</v>
      </c>
      <c r="V61" s="10">
        <v>500</v>
      </c>
      <c r="W61" s="7">
        <f t="shared" si="18"/>
        <v>460</v>
      </c>
      <c r="X61" s="28">
        <f t="shared" si="19"/>
        <v>49.425479076318609</v>
      </c>
      <c r="Y61" s="60">
        <v>18</v>
      </c>
      <c r="Z61" s="60">
        <v>2</v>
      </c>
      <c r="AA61" s="60">
        <v>14</v>
      </c>
      <c r="AB61" s="60">
        <v>2</v>
      </c>
      <c r="AC61" s="28">
        <f t="shared" si="24"/>
        <v>816.81408993334617</v>
      </c>
      <c r="AD61" s="35" t="str">
        <f t="shared" si="20"/>
        <v>OK</v>
      </c>
      <c r="AE61" s="28">
        <f t="shared" si="25"/>
        <v>-132.22096399387047</v>
      </c>
      <c r="AF61" s="32">
        <f t="shared" si="26"/>
        <v>-6.0510071612931961E-2</v>
      </c>
    </row>
    <row r="62" spans="1:32" x14ac:dyDescent="0.25">
      <c r="A62" s="6" t="s">
        <v>39</v>
      </c>
      <c r="B62" s="17">
        <v>2</v>
      </c>
      <c r="C62" s="6" t="s">
        <v>11</v>
      </c>
      <c r="D62" s="66">
        <v>30.467300000000002</v>
      </c>
      <c r="E62" s="29">
        <v>300</v>
      </c>
      <c r="F62" s="29">
        <v>500</v>
      </c>
      <c r="G62" s="28">
        <f t="shared" si="15"/>
        <v>460</v>
      </c>
      <c r="H62" s="28">
        <f t="shared" si="21"/>
        <v>188.21614342019097</v>
      </c>
      <c r="I62" s="59">
        <v>14</v>
      </c>
      <c r="J62" s="59">
        <v>2</v>
      </c>
      <c r="K62" s="59">
        <v>12</v>
      </c>
      <c r="L62" s="59">
        <v>2</v>
      </c>
      <c r="M62" s="28">
        <f t="shared" si="22"/>
        <v>534.07075111026484</v>
      </c>
      <c r="N62" s="34" t="str">
        <f t="shared" si="16"/>
        <v>OK</v>
      </c>
      <c r="O62" s="17">
        <f t="shared" si="17"/>
        <v>86.452168765223007</v>
      </c>
      <c r="P62" s="19">
        <f t="shared" si="23"/>
        <v>0.35241799523548839</v>
      </c>
      <c r="Q62" s="6" t="s">
        <v>39</v>
      </c>
      <c r="R62" s="17">
        <v>2</v>
      </c>
      <c r="S62" s="6" t="s">
        <v>12</v>
      </c>
      <c r="T62" s="15">
        <v>20.5322</v>
      </c>
      <c r="U62" s="10">
        <v>300</v>
      </c>
      <c r="V62" s="10">
        <v>500</v>
      </c>
      <c r="W62" s="7">
        <f t="shared" si="18"/>
        <v>460</v>
      </c>
      <c r="X62" s="28">
        <f t="shared" si="19"/>
        <v>126.84062913129964</v>
      </c>
      <c r="Y62" s="60">
        <v>18</v>
      </c>
      <c r="Z62" s="60">
        <v>2</v>
      </c>
      <c r="AA62" s="60">
        <v>14</v>
      </c>
      <c r="AB62" s="60">
        <v>2</v>
      </c>
      <c r="AC62" s="28">
        <f t="shared" si="24"/>
        <v>816.81408993334617</v>
      </c>
      <c r="AD62" s="35" t="str">
        <f t="shared" si="20"/>
        <v>OK</v>
      </c>
      <c r="AE62" s="28">
        <f t="shared" si="25"/>
        <v>-132.22096399387047</v>
      </c>
      <c r="AF62" s="32">
        <f t="shared" si="26"/>
        <v>-0.15528702393178614</v>
      </c>
    </row>
    <row r="63" spans="1:32" x14ac:dyDescent="0.25">
      <c r="A63" s="6" t="s">
        <v>39</v>
      </c>
      <c r="B63" s="17">
        <v>2.5</v>
      </c>
      <c r="C63" s="6" t="s">
        <v>11</v>
      </c>
      <c r="D63" s="66">
        <v>44.692</v>
      </c>
      <c r="E63" s="29">
        <v>300</v>
      </c>
      <c r="F63" s="29">
        <v>500</v>
      </c>
      <c r="G63" s="28">
        <f t="shared" si="15"/>
        <v>460</v>
      </c>
      <c r="H63" s="28">
        <f t="shared" si="21"/>
        <v>276.09128087277753</v>
      </c>
      <c r="I63" s="59">
        <v>14</v>
      </c>
      <c r="J63" s="59">
        <v>2</v>
      </c>
      <c r="K63" s="59">
        <v>12</v>
      </c>
      <c r="L63" s="59">
        <v>2</v>
      </c>
      <c r="M63" s="28">
        <f t="shared" si="22"/>
        <v>534.07075111026484</v>
      </c>
      <c r="N63" s="34" t="str">
        <f t="shared" si="16"/>
        <v>OK</v>
      </c>
      <c r="O63" s="17">
        <f t="shared" si="17"/>
        <v>86.452168765223007</v>
      </c>
      <c r="P63" s="19">
        <f t="shared" si="23"/>
        <v>0.5169563775938284</v>
      </c>
      <c r="Q63" s="6" t="s">
        <v>39</v>
      </c>
      <c r="R63" s="17">
        <v>2.5</v>
      </c>
      <c r="S63" s="6" t="s">
        <v>12</v>
      </c>
      <c r="T63" s="15">
        <v>-9.0571000000000002</v>
      </c>
      <c r="U63" s="10">
        <v>300</v>
      </c>
      <c r="V63" s="10">
        <v>500</v>
      </c>
      <c r="W63" s="7">
        <f t="shared" si="18"/>
        <v>460</v>
      </c>
      <c r="X63" s="28">
        <f t="shared" si="19"/>
        <v>55.951542557791853</v>
      </c>
      <c r="Y63" s="60">
        <v>18</v>
      </c>
      <c r="Z63" s="60">
        <v>2</v>
      </c>
      <c r="AA63" s="60">
        <v>18</v>
      </c>
      <c r="AB63" s="60">
        <v>2</v>
      </c>
      <c r="AC63" s="28">
        <f t="shared" si="24"/>
        <v>1017.8760197630929</v>
      </c>
      <c r="AD63" s="35" t="str">
        <f t="shared" si="20"/>
        <v>OK</v>
      </c>
      <c r="AE63" s="28">
        <f t="shared" si="25"/>
        <v>-164.76766282313093</v>
      </c>
      <c r="AF63" s="32">
        <f t="shared" si="26"/>
        <v>5.496891710919212E-2</v>
      </c>
    </row>
    <row r="64" spans="1:32" x14ac:dyDescent="0.25">
      <c r="A64" s="6" t="s">
        <v>39</v>
      </c>
      <c r="B64" s="17">
        <v>3</v>
      </c>
      <c r="C64" s="6" t="s">
        <v>11</v>
      </c>
      <c r="D64" s="66">
        <v>50.685099999999998</v>
      </c>
      <c r="E64" s="29">
        <v>300</v>
      </c>
      <c r="F64" s="29">
        <v>500</v>
      </c>
      <c r="G64" s="28">
        <f t="shared" si="15"/>
        <v>460</v>
      </c>
      <c r="H64" s="28">
        <f t="shared" si="21"/>
        <v>313.1145211707871</v>
      </c>
      <c r="I64" s="59">
        <v>14</v>
      </c>
      <c r="J64" s="59">
        <v>2</v>
      </c>
      <c r="K64" s="59">
        <v>12</v>
      </c>
      <c r="L64" s="59">
        <v>2</v>
      </c>
      <c r="M64" s="28">
        <f t="shared" si="22"/>
        <v>534.07075111026484</v>
      </c>
      <c r="N64" s="34" t="str">
        <f t="shared" si="16"/>
        <v>OK</v>
      </c>
      <c r="O64" s="17">
        <f t="shared" si="17"/>
        <v>86.452168765223007</v>
      </c>
      <c r="P64" s="19">
        <f t="shared" si="23"/>
        <v>0.58627910350803158</v>
      </c>
      <c r="Q64" s="6" t="s">
        <v>39</v>
      </c>
      <c r="R64" s="17">
        <v>3</v>
      </c>
      <c r="S64" s="6" t="s">
        <v>12</v>
      </c>
      <c r="T64" s="15">
        <v>-46.883400000000002</v>
      </c>
      <c r="U64" s="10">
        <v>300</v>
      </c>
      <c r="V64" s="10">
        <v>500</v>
      </c>
      <c r="W64" s="7">
        <f t="shared" si="18"/>
        <v>460</v>
      </c>
      <c r="X64" s="28">
        <f t="shared" si="19"/>
        <v>289.6289706808999</v>
      </c>
      <c r="Y64" s="60">
        <v>18</v>
      </c>
      <c r="Z64" s="60">
        <v>2</v>
      </c>
      <c r="AA64" s="60">
        <v>18</v>
      </c>
      <c r="AB64" s="60">
        <v>2</v>
      </c>
      <c r="AC64" s="28">
        <f t="shared" si="24"/>
        <v>1017.8760197630929</v>
      </c>
      <c r="AD64" s="35" t="str">
        <f t="shared" si="20"/>
        <v>OK</v>
      </c>
      <c r="AE64" s="28">
        <f t="shared" si="25"/>
        <v>-164.76766282313093</v>
      </c>
      <c r="AF64" s="32">
        <f t="shared" si="26"/>
        <v>0.28454248362026452</v>
      </c>
    </row>
    <row r="65" spans="1:32" x14ac:dyDescent="0.25">
      <c r="A65" s="6" t="s">
        <v>39</v>
      </c>
      <c r="B65" s="17">
        <v>3.5</v>
      </c>
      <c r="C65" s="6" t="s">
        <v>11</v>
      </c>
      <c r="D65" s="66">
        <v>48.444200000000002</v>
      </c>
      <c r="E65" s="29">
        <v>300</v>
      </c>
      <c r="F65" s="29">
        <v>500</v>
      </c>
      <c r="G65" s="28">
        <f t="shared" si="15"/>
        <v>460</v>
      </c>
      <c r="H65" s="28">
        <f t="shared" si="21"/>
        <v>299.27103796780204</v>
      </c>
      <c r="I65" s="59">
        <v>14</v>
      </c>
      <c r="J65" s="59">
        <v>2</v>
      </c>
      <c r="K65" s="59">
        <v>12</v>
      </c>
      <c r="L65" s="59">
        <v>2</v>
      </c>
      <c r="M65" s="28">
        <f t="shared" si="22"/>
        <v>534.07075111026484</v>
      </c>
      <c r="N65" s="34" t="str">
        <f t="shared" si="16"/>
        <v>OK</v>
      </c>
      <c r="O65" s="17">
        <f t="shared" si="17"/>
        <v>86.452168765223007</v>
      </c>
      <c r="P65" s="19">
        <f t="shared" si="23"/>
        <v>0.56035841196256475</v>
      </c>
      <c r="Q65" s="6" t="s">
        <v>39</v>
      </c>
      <c r="R65" s="17">
        <v>3.5</v>
      </c>
      <c r="S65" s="6" t="s">
        <v>12</v>
      </c>
      <c r="T65" s="15">
        <v>-92.944000000000003</v>
      </c>
      <c r="U65" s="10">
        <v>300</v>
      </c>
      <c r="V65" s="10">
        <v>500</v>
      </c>
      <c r="W65" s="7">
        <f t="shared" si="18"/>
        <v>460</v>
      </c>
      <c r="X65" s="28">
        <f t="shared" si="19"/>
        <v>574.17497559830474</v>
      </c>
      <c r="Y65" s="60">
        <v>20</v>
      </c>
      <c r="Z65" s="60">
        <v>2</v>
      </c>
      <c r="AA65" s="60">
        <v>18</v>
      </c>
      <c r="AB65" s="60">
        <v>2</v>
      </c>
      <c r="AC65" s="28">
        <f t="shared" si="24"/>
        <v>1137.2565405995051</v>
      </c>
      <c r="AD65" s="35" t="str">
        <f t="shared" si="20"/>
        <v>OK</v>
      </c>
      <c r="AE65" s="28">
        <f t="shared" si="25"/>
        <v>-184.09226525300429</v>
      </c>
      <c r="AF65" s="32">
        <f t="shared" si="26"/>
        <v>0.50487726832120783</v>
      </c>
    </row>
    <row r="66" spans="1:32" x14ac:dyDescent="0.25">
      <c r="A66" s="6" t="s">
        <v>39</v>
      </c>
      <c r="B66" s="17">
        <v>4</v>
      </c>
      <c r="C66" s="6" t="s">
        <v>11</v>
      </c>
      <c r="D66" s="66">
        <v>37.969099999999997</v>
      </c>
      <c r="E66" s="29">
        <v>300</v>
      </c>
      <c r="F66" s="29">
        <v>500</v>
      </c>
      <c r="G66" s="28">
        <f t="shared" si="15"/>
        <v>460</v>
      </c>
      <c r="H66" s="28">
        <f t="shared" si="21"/>
        <v>234.55959573495431</v>
      </c>
      <c r="I66" s="59">
        <v>14</v>
      </c>
      <c r="J66" s="59">
        <v>2</v>
      </c>
      <c r="K66" s="59">
        <v>12</v>
      </c>
      <c r="L66" s="59">
        <v>2</v>
      </c>
      <c r="M66" s="28">
        <f t="shared" si="22"/>
        <v>534.07075111026484</v>
      </c>
      <c r="N66" s="34" t="str">
        <f t="shared" si="16"/>
        <v>OK</v>
      </c>
      <c r="O66" s="17">
        <f t="shared" si="17"/>
        <v>86.452168765223007</v>
      </c>
      <c r="P66" s="19">
        <f t="shared" si="23"/>
        <v>0.43919198953946631</v>
      </c>
      <c r="Q66" s="6" t="s">
        <v>39</v>
      </c>
      <c r="R66" s="17">
        <v>4</v>
      </c>
      <c r="S66" s="6" t="s">
        <v>12</v>
      </c>
      <c r="T66" s="15">
        <v>-147.239</v>
      </c>
      <c r="U66" s="10">
        <v>300</v>
      </c>
      <c r="V66" s="10">
        <v>500</v>
      </c>
      <c r="W66" s="7">
        <f t="shared" si="18"/>
        <v>460</v>
      </c>
      <c r="X66" s="28">
        <f t="shared" si="19"/>
        <v>909.59017507444048</v>
      </c>
      <c r="Y66" s="60">
        <v>20</v>
      </c>
      <c r="Z66" s="60">
        <v>2</v>
      </c>
      <c r="AA66" s="60">
        <v>18</v>
      </c>
      <c r="AB66" s="60">
        <v>2</v>
      </c>
      <c r="AC66" s="28">
        <f t="shared" si="24"/>
        <v>1137.2565405995051</v>
      </c>
      <c r="AD66" s="35" t="str">
        <f t="shared" si="20"/>
        <v>OK</v>
      </c>
      <c r="AE66" s="28">
        <f t="shared" si="25"/>
        <v>-184.09226525300429</v>
      </c>
      <c r="AF66" s="32">
        <f t="shared" si="26"/>
        <v>0.79981089807137973</v>
      </c>
    </row>
    <row r="67" spans="1:32" x14ac:dyDescent="0.25">
      <c r="A67" s="6" t="s">
        <v>40</v>
      </c>
      <c r="B67" s="17">
        <v>4</v>
      </c>
      <c r="C67" s="6" t="s">
        <v>11</v>
      </c>
      <c r="D67" s="66">
        <v>-1.5528</v>
      </c>
      <c r="E67" s="29">
        <v>300</v>
      </c>
      <c r="F67" s="29">
        <v>500</v>
      </c>
      <c r="G67" s="28">
        <f t="shared" si="15"/>
        <v>460</v>
      </c>
      <c r="H67" s="28">
        <f t="shared" si="21"/>
        <v>9.5926461321768759</v>
      </c>
      <c r="I67" s="59">
        <v>14</v>
      </c>
      <c r="J67" s="59">
        <v>2</v>
      </c>
      <c r="K67" s="59">
        <v>14</v>
      </c>
      <c r="L67" s="59">
        <v>2</v>
      </c>
      <c r="M67" s="28">
        <f t="shared" si="22"/>
        <v>615.75216010359941</v>
      </c>
      <c r="N67" s="34" t="str">
        <f t="shared" si="16"/>
        <v>OK</v>
      </c>
      <c r="O67" s="17">
        <f t="shared" si="17"/>
        <v>99.674265164610063</v>
      </c>
      <c r="P67" s="19">
        <f t="shared" si="23"/>
        <v>-1.5578745400686744E-2</v>
      </c>
      <c r="Q67" s="6" t="s">
        <v>40</v>
      </c>
      <c r="R67" s="17">
        <v>4</v>
      </c>
      <c r="S67" s="6" t="s">
        <v>12</v>
      </c>
      <c r="T67" s="15">
        <v>-159.35599999999999</v>
      </c>
      <c r="U67" s="10">
        <v>300</v>
      </c>
      <c r="V67" s="10">
        <v>500</v>
      </c>
      <c r="W67" s="7">
        <f t="shared" si="18"/>
        <v>460</v>
      </c>
      <c r="X67" s="28">
        <f t="shared" si="19"/>
        <v>984.44469155021784</v>
      </c>
      <c r="Y67" s="60">
        <v>20</v>
      </c>
      <c r="Z67" s="60">
        <v>2</v>
      </c>
      <c r="AA67" s="60">
        <v>18</v>
      </c>
      <c r="AB67" s="60">
        <v>2</v>
      </c>
      <c r="AC67" s="28">
        <f t="shared" si="24"/>
        <v>1137.2565405995051</v>
      </c>
      <c r="AD67" s="35" t="str">
        <f t="shared" si="20"/>
        <v>OK</v>
      </c>
      <c r="AE67" s="28">
        <f t="shared" si="25"/>
        <v>-184.09226525300429</v>
      </c>
      <c r="AF67" s="32">
        <f t="shared" si="26"/>
        <v>0.86563115392703549</v>
      </c>
    </row>
    <row r="68" spans="1:32" x14ac:dyDescent="0.25">
      <c r="A68" s="6" t="s">
        <v>40</v>
      </c>
      <c r="B68" s="17">
        <v>4.5</v>
      </c>
      <c r="C68" s="6" t="s">
        <v>11</v>
      </c>
      <c r="D68" s="66">
        <v>25.273299999999999</v>
      </c>
      <c r="E68" s="29">
        <v>300</v>
      </c>
      <c r="F68" s="29">
        <v>500</v>
      </c>
      <c r="G68" s="28">
        <f t="shared" si="15"/>
        <v>460</v>
      </c>
      <c r="H68" s="28">
        <f t="shared" si="21"/>
        <v>156.12945871480284</v>
      </c>
      <c r="I68" s="59">
        <v>14</v>
      </c>
      <c r="J68" s="59">
        <v>2</v>
      </c>
      <c r="K68" s="59">
        <v>14</v>
      </c>
      <c r="L68" s="59">
        <v>2</v>
      </c>
      <c r="M68" s="28">
        <f t="shared" si="22"/>
        <v>615.75216010359941</v>
      </c>
      <c r="N68" s="34" t="str">
        <f t="shared" si="16"/>
        <v>OK</v>
      </c>
      <c r="O68" s="17">
        <f t="shared" si="17"/>
        <v>99.674265164610063</v>
      </c>
      <c r="P68" s="19">
        <f t="shared" si="23"/>
        <v>0.25355892976247829</v>
      </c>
      <c r="Q68" s="6" t="s">
        <v>40</v>
      </c>
      <c r="R68" s="17">
        <v>4.5</v>
      </c>
      <c r="S68" s="6" t="s">
        <v>12</v>
      </c>
      <c r="T68" s="15">
        <v>-103.8399</v>
      </c>
      <c r="U68" s="10">
        <v>300</v>
      </c>
      <c r="V68" s="10">
        <v>500</v>
      </c>
      <c r="W68" s="7">
        <f t="shared" si="18"/>
        <v>460</v>
      </c>
      <c r="X68" s="28">
        <f t="shared" si="19"/>
        <v>641.4859705697022</v>
      </c>
      <c r="Y68" s="60">
        <v>20</v>
      </c>
      <c r="Z68" s="60">
        <v>2</v>
      </c>
      <c r="AA68" s="60">
        <v>18</v>
      </c>
      <c r="AB68" s="60">
        <v>2</v>
      </c>
      <c r="AC68" s="28">
        <f t="shared" si="24"/>
        <v>1137.2565405995051</v>
      </c>
      <c r="AD68" s="35" t="str">
        <f t="shared" si="20"/>
        <v>OK</v>
      </c>
      <c r="AE68" s="28">
        <f t="shared" si="25"/>
        <v>-184.09226525300429</v>
      </c>
      <c r="AF68" s="32">
        <f t="shared" si="26"/>
        <v>0.56406443723906208</v>
      </c>
    </row>
    <row r="69" spans="1:32" x14ac:dyDescent="0.25">
      <c r="A69" s="6" t="s">
        <v>40</v>
      </c>
      <c r="B69" s="17">
        <v>5</v>
      </c>
      <c r="C69" s="6" t="s">
        <v>11</v>
      </c>
      <c r="D69" s="66">
        <v>43.865200000000002</v>
      </c>
      <c r="E69" s="29">
        <v>300</v>
      </c>
      <c r="F69" s="29">
        <v>500</v>
      </c>
      <c r="G69" s="28">
        <f t="shared" si="15"/>
        <v>460</v>
      </c>
      <c r="H69" s="28">
        <f t="shared" si="21"/>
        <v>270.98360453191987</v>
      </c>
      <c r="I69" s="59">
        <v>14</v>
      </c>
      <c r="J69" s="59">
        <v>2</v>
      </c>
      <c r="K69" s="59">
        <v>14</v>
      </c>
      <c r="L69" s="59">
        <v>2</v>
      </c>
      <c r="M69" s="28">
        <f t="shared" si="22"/>
        <v>615.75216010359941</v>
      </c>
      <c r="N69" s="34" t="str">
        <f t="shared" si="16"/>
        <v>OK</v>
      </c>
      <c r="O69" s="17">
        <f t="shared" si="17"/>
        <v>99.674265164610063</v>
      </c>
      <c r="P69" s="19">
        <f t="shared" si="23"/>
        <v>0.44008551181749367</v>
      </c>
      <c r="Q69" s="6" t="s">
        <v>40</v>
      </c>
      <c r="R69" s="17">
        <v>5</v>
      </c>
      <c r="S69" s="6" t="s">
        <v>12</v>
      </c>
      <c r="T69" s="15">
        <v>-56.558</v>
      </c>
      <c r="U69" s="10">
        <v>300</v>
      </c>
      <c r="V69" s="10">
        <v>500</v>
      </c>
      <c r="W69" s="7">
        <f t="shared" si="18"/>
        <v>460</v>
      </c>
      <c r="X69" s="28">
        <f t="shared" si="19"/>
        <v>349.3952086190493</v>
      </c>
      <c r="Y69" s="60">
        <v>20</v>
      </c>
      <c r="Z69" s="60">
        <v>2</v>
      </c>
      <c r="AA69" s="60">
        <v>18</v>
      </c>
      <c r="AB69" s="60">
        <v>2</v>
      </c>
      <c r="AC69" s="28">
        <f t="shared" si="24"/>
        <v>1137.2565405995051</v>
      </c>
      <c r="AD69" s="35" t="str">
        <f t="shared" si="20"/>
        <v>OK</v>
      </c>
      <c r="AE69" s="28">
        <f t="shared" si="25"/>
        <v>-184.09226525300429</v>
      </c>
      <c r="AF69" s="32">
        <f t="shared" si="26"/>
        <v>0.30722637869804259</v>
      </c>
    </row>
    <row r="70" spans="1:32" x14ac:dyDescent="0.25">
      <c r="A70" s="6" t="s">
        <v>40</v>
      </c>
      <c r="B70" s="17">
        <v>5.5</v>
      </c>
      <c r="C70" s="6" t="s">
        <v>11</v>
      </c>
      <c r="D70" s="66">
        <v>54.222900000000003</v>
      </c>
      <c r="E70" s="29">
        <v>300</v>
      </c>
      <c r="F70" s="29">
        <v>500</v>
      </c>
      <c r="G70" s="28">
        <f t="shared" si="15"/>
        <v>460</v>
      </c>
      <c r="H70" s="28">
        <f t="shared" si="21"/>
        <v>334.96979131917413</v>
      </c>
      <c r="I70" s="59">
        <v>14</v>
      </c>
      <c r="J70" s="59">
        <v>2</v>
      </c>
      <c r="K70" s="59">
        <v>14</v>
      </c>
      <c r="L70" s="59">
        <v>2</v>
      </c>
      <c r="M70" s="28">
        <f t="shared" si="22"/>
        <v>615.75216010359941</v>
      </c>
      <c r="N70" s="34" t="str">
        <f t="shared" si="16"/>
        <v>OK</v>
      </c>
      <c r="O70" s="17">
        <f t="shared" si="17"/>
        <v>99.674265164610063</v>
      </c>
      <c r="P70" s="19">
        <f t="shared" si="23"/>
        <v>0.54400100076435942</v>
      </c>
      <c r="Q70" s="6" t="s">
        <v>40</v>
      </c>
      <c r="R70" s="17">
        <v>5.5</v>
      </c>
      <c r="S70" s="6" t="s">
        <v>12</v>
      </c>
      <c r="T70" s="15">
        <v>-17.510400000000001</v>
      </c>
      <c r="U70" s="10">
        <v>300</v>
      </c>
      <c r="V70" s="10">
        <v>500</v>
      </c>
      <c r="W70" s="7">
        <f t="shared" si="18"/>
        <v>460</v>
      </c>
      <c r="X70" s="28">
        <f t="shared" si="19"/>
        <v>108.17302346269318</v>
      </c>
      <c r="Y70" s="60">
        <v>20</v>
      </c>
      <c r="Z70" s="60">
        <v>2</v>
      </c>
      <c r="AA70" s="60">
        <v>0</v>
      </c>
      <c r="AB70" s="60">
        <v>2</v>
      </c>
      <c r="AC70" s="28">
        <f t="shared" si="24"/>
        <v>628.31853071795865</v>
      </c>
      <c r="AD70" s="35" t="str">
        <f t="shared" si="20"/>
        <v>OK</v>
      </c>
      <c r="AE70" s="28">
        <f t="shared" si="25"/>
        <v>-101.70843384143883</v>
      </c>
      <c r="AF70" s="32">
        <f t="shared" si="26"/>
        <v>0.17216271393283197</v>
      </c>
    </row>
    <row r="71" spans="1:32" x14ac:dyDescent="0.25">
      <c r="A71" s="6" t="s">
        <v>40</v>
      </c>
      <c r="B71" s="17">
        <v>6</v>
      </c>
      <c r="C71" s="6" t="s">
        <v>11</v>
      </c>
      <c r="D71" s="66">
        <v>56.346400000000003</v>
      </c>
      <c r="E71" s="29">
        <v>300</v>
      </c>
      <c r="F71" s="29">
        <v>500</v>
      </c>
      <c r="G71" s="28">
        <f t="shared" si="15"/>
        <v>460</v>
      </c>
      <c r="H71" s="28">
        <f t="shared" si="21"/>
        <v>348.08801907656567</v>
      </c>
      <c r="I71" s="59">
        <v>14</v>
      </c>
      <c r="J71" s="59">
        <v>2</v>
      </c>
      <c r="K71" s="59">
        <v>14</v>
      </c>
      <c r="L71" s="59">
        <v>2</v>
      </c>
      <c r="M71" s="28">
        <f t="shared" si="22"/>
        <v>615.75216010359941</v>
      </c>
      <c r="N71" s="34" t="str">
        <f t="shared" si="16"/>
        <v>OK</v>
      </c>
      <c r="O71" s="17">
        <f t="shared" si="17"/>
        <v>99.674265164610063</v>
      </c>
      <c r="P71" s="19">
        <f t="shared" si="23"/>
        <v>0.56530539660307544</v>
      </c>
      <c r="Q71" s="6" t="s">
        <v>40</v>
      </c>
      <c r="R71" s="17">
        <v>6</v>
      </c>
      <c r="S71" s="6" t="s">
        <v>12</v>
      </c>
      <c r="T71" s="15">
        <v>13.303100000000001</v>
      </c>
      <c r="U71" s="10">
        <v>300</v>
      </c>
      <c r="V71" s="10">
        <v>500</v>
      </c>
      <c r="W71" s="7">
        <f t="shared" si="18"/>
        <v>460</v>
      </c>
      <c r="X71" s="28">
        <f t="shared" si="19"/>
        <v>82.181820428234289</v>
      </c>
      <c r="Y71" s="60">
        <v>20</v>
      </c>
      <c r="Z71" s="60">
        <v>2</v>
      </c>
      <c r="AA71" s="60">
        <v>0</v>
      </c>
      <c r="AB71" s="60">
        <v>2</v>
      </c>
      <c r="AC71" s="28">
        <f t="shared" si="24"/>
        <v>628.31853071795865</v>
      </c>
      <c r="AD71" s="35" t="str">
        <f t="shared" si="20"/>
        <v>OK</v>
      </c>
      <c r="AE71" s="28">
        <f t="shared" si="25"/>
        <v>-101.70843384143883</v>
      </c>
      <c r="AF71" s="32">
        <f t="shared" si="26"/>
        <v>-0.13079642953443993</v>
      </c>
    </row>
    <row r="72" spans="1:32" x14ac:dyDescent="0.25">
      <c r="A72" s="6" t="s">
        <v>40</v>
      </c>
      <c r="B72" s="17">
        <v>6.5</v>
      </c>
      <c r="C72" s="6" t="s">
        <v>11</v>
      </c>
      <c r="D72" s="66">
        <v>50.235599999999998</v>
      </c>
      <c r="E72" s="29">
        <v>300</v>
      </c>
      <c r="F72" s="29">
        <v>500</v>
      </c>
      <c r="G72" s="28">
        <f t="shared" si="15"/>
        <v>460</v>
      </c>
      <c r="H72" s="28">
        <f t="shared" si="21"/>
        <v>310.3376700396604</v>
      </c>
      <c r="I72" s="59">
        <v>14</v>
      </c>
      <c r="J72" s="59">
        <v>2</v>
      </c>
      <c r="K72" s="59">
        <v>14</v>
      </c>
      <c r="L72" s="59">
        <v>2</v>
      </c>
      <c r="M72" s="28">
        <f t="shared" si="22"/>
        <v>615.75216010359941</v>
      </c>
      <c r="N72" s="34" t="str">
        <f t="shared" si="16"/>
        <v>OK</v>
      </c>
      <c r="O72" s="17">
        <f t="shared" si="17"/>
        <v>99.674265164610063</v>
      </c>
      <c r="P72" s="19">
        <f t="shared" si="23"/>
        <v>0.50399769606564848</v>
      </c>
      <c r="Q72" s="6" t="s">
        <v>40</v>
      </c>
      <c r="R72" s="17">
        <v>6.5</v>
      </c>
      <c r="S72" s="6" t="s">
        <v>12</v>
      </c>
      <c r="T72" s="15">
        <v>35.882300000000001</v>
      </c>
      <c r="U72" s="10">
        <v>300</v>
      </c>
      <c r="V72" s="10">
        <v>500</v>
      </c>
      <c r="W72" s="7">
        <f t="shared" si="18"/>
        <v>460</v>
      </c>
      <c r="X72" s="28">
        <f t="shared" si="19"/>
        <v>221.66808752486497</v>
      </c>
      <c r="Y72" s="60">
        <v>20</v>
      </c>
      <c r="Z72" s="60">
        <v>2</v>
      </c>
      <c r="AA72" s="60">
        <v>0</v>
      </c>
      <c r="AB72" s="60">
        <v>2</v>
      </c>
      <c r="AC72" s="28">
        <f t="shared" si="24"/>
        <v>628.31853071795865</v>
      </c>
      <c r="AD72" s="35" t="str">
        <f t="shared" si="20"/>
        <v>OK</v>
      </c>
      <c r="AE72" s="28">
        <f t="shared" si="25"/>
        <v>-101.70843384143883</v>
      </c>
      <c r="AF72" s="32">
        <f t="shared" si="26"/>
        <v>-0.35279571855309166</v>
      </c>
    </row>
    <row r="73" spans="1:32" x14ac:dyDescent="0.25">
      <c r="A73" s="6" t="s">
        <v>40</v>
      </c>
      <c r="B73" s="17">
        <v>7</v>
      </c>
      <c r="C73" s="6" t="s">
        <v>11</v>
      </c>
      <c r="D73" s="66">
        <v>50.235599999999998</v>
      </c>
      <c r="E73" s="29">
        <v>300</v>
      </c>
      <c r="F73" s="29">
        <v>500</v>
      </c>
      <c r="G73" s="28">
        <f t="shared" si="15"/>
        <v>460</v>
      </c>
      <c r="H73" s="28">
        <f t="shared" si="21"/>
        <v>310.3376700396604</v>
      </c>
      <c r="I73" s="59">
        <v>14</v>
      </c>
      <c r="J73" s="59">
        <v>2</v>
      </c>
      <c r="K73" s="59">
        <v>14</v>
      </c>
      <c r="L73" s="59">
        <v>2</v>
      </c>
      <c r="M73" s="28">
        <f t="shared" si="22"/>
        <v>615.75216010359941</v>
      </c>
      <c r="N73" s="34" t="str">
        <f t="shared" si="16"/>
        <v>OK</v>
      </c>
      <c r="O73" s="17">
        <f t="shared" si="17"/>
        <v>99.674265164610063</v>
      </c>
      <c r="P73" s="19">
        <f t="shared" si="23"/>
        <v>0.50399769606564848</v>
      </c>
      <c r="Q73" s="6" t="s">
        <v>40</v>
      </c>
      <c r="R73" s="17">
        <v>7</v>
      </c>
      <c r="S73" s="6" t="s">
        <v>12</v>
      </c>
      <c r="T73" s="15">
        <v>35.882300000000001</v>
      </c>
      <c r="U73" s="10">
        <v>300</v>
      </c>
      <c r="V73" s="10">
        <v>500</v>
      </c>
      <c r="W73" s="7">
        <f t="shared" si="18"/>
        <v>460</v>
      </c>
      <c r="X73" s="28">
        <f t="shared" si="19"/>
        <v>221.66808752486497</v>
      </c>
      <c r="Y73" s="60">
        <v>20</v>
      </c>
      <c r="Z73" s="60">
        <v>2</v>
      </c>
      <c r="AA73" s="60">
        <v>0</v>
      </c>
      <c r="AB73" s="60">
        <v>2</v>
      </c>
      <c r="AC73" s="28">
        <f t="shared" si="24"/>
        <v>628.31853071795865</v>
      </c>
      <c r="AD73" s="35" t="str">
        <f t="shared" si="20"/>
        <v>OK</v>
      </c>
      <c r="AE73" s="28">
        <f t="shared" si="25"/>
        <v>-101.70843384143883</v>
      </c>
      <c r="AF73" s="32">
        <f t="shared" si="26"/>
        <v>-0.35279571855309166</v>
      </c>
    </row>
    <row r="74" spans="1:32" x14ac:dyDescent="0.25">
      <c r="A74" s="6" t="s">
        <v>40</v>
      </c>
      <c r="B74" s="17">
        <v>7.5</v>
      </c>
      <c r="C74" s="6" t="s">
        <v>11</v>
      </c>
      <c r="D74" s="66">
        <v>56.346400000000003</v>
      </c>
      <c r="E74" s="29">
        <v>300</v>
      </c>
      <c r="F74" s="29">
        <v>500</v>
      </c>
      <c r="G74" s="28">
        <f t="shared" si="15"/>
        <v>460</v>
      </c>
      <c r="H74" s="28">
        <f t="shared" si="21"/>
        <v>348.08801907656567</v>
      </c>
      <c r="I74" s="59">
        <v>14</v>
      </c>
      <c r="J74" s="59">
        <v>2</v>
      </c>
      <c r="K74" s="59">
        <v>14</v>
      </c>
      <c r="L74" s="59">
        <v>2</v>
      </c>
      <c r="M74" s="28">
        <f t="shared" si="22"/>
        <v>615.75216010359941</v>
      </c>
      <c r="N74" s="34" t="str">
        <f t="shared" si="16"/>
        <v>OK</v>
      </c>
      <c r="O74" s="17">
        <f t="shared" si="17"/>
        <v>99.674265164610063</v>
      </c>
      <c r="P74" s="19">
        <f t="shared" si="23"/>
        <v>0.56530539660307544</v>
      </c>
      <c r="Q74" s="6" t="s">
        <v>40</v>
      </c>
      <c r="R74" s="17">
        <v>7.5</v>
      </c>
      <c r="S74" s="6" t="s">
        <v>12</v>
      </c>
      <c r="T74" s="15">
        <v>13.303100000000001</v>
      </c>
      <c r="U74" s="10">
        <v>300</v>
      </c>
      <c r="V74" s="10">
        <v>500</v>
      </c>
      <c r="W74" s="7">
        <f t="shared" si="18"/>
        <v>460</v>
      </c>
      <c r="X74" s="28">
        <f t="shared" si="19"/>
        <v>82.181820428234289</v>
      </c>
      <c r="Y74" s="60">
        <v>20</v>
      </c>
      <c r="Z74" s="60">
        <v>2</v>
      </c>
      <c r="AA74" s="60">
        <v>0</v>
      </c>
      <c r="AB74" s="60">
        <v>2</v>
      </c>
      <c r="AC74" s="28">
        <f t="shared" si="24"/>
        <v>628.31853071795865</v>
      </c>
      <c r="AD74" s="35" t="str">
        <f t="shared" si="20"/>
        <v>OK</v>
      </c>
      <c r="AE74" s="28">
        <f t="shared" si="25"/>
        <v>-101.70843384143883</v>
      </c>
      <c r="AF74" s="32">
        <f t="shared" si="26"/>
        <v>-0.13079642953443993</v>
      </c>
    </row>
    <row r="75" spans="1:32" x14ac:dyDescent="0.25">
      <c r="A75" s="6" t="s">
        <v>40</v>
      </c>
      <c r="B75" s="17">
        <v>8</v>
      </c>
      <c r="C75" s="6" t="s">
        <v>11</v>
      </c>
      <c r="D75" s="66">
        <v>54.222900000000003</v>
      </c>
      <c r="E75" s="29">
        <v>300</v>
      </c>
      <c r="F75" s="29">
        <v>500</v>
      </c>
      <c r="G75" s="28">
        <f t="shared" si="15"/>
        <v>460</v>
      </c>
      <c r="H75" s="28">
        <f t="shared" si="21"/>
        <v>334.96979131917413</v>
      </c>
      <c r="I75" s="59">
        <v>14</v>
      </c>
      <c r="J75" s="59">
        <v>2</v>
      </c>
      <c r="K75" s="59">
        <v>14</v>
      </c>
      <c r="L75" s="59">
        <v>2</v>
      </c>
      <c r="M75" s="28">
        <f t="shared" si="22"/>
        <v>615.75216010359941</v>
      </c>
      <c r="N75" s="34" t="str">
        <f t="shared" si="16"/>
        <v>OK</v>
      </c>
      <c r="O75" s="17">
        <f t="shared" si="17"/>
        <v>99.674265164610063</v>
      </c>
      <c r="P75" s="19">
        <f t="shared" si="23"/>
        <v>0.54400100076435942</v>
      </c>
      <c r="Q75" s="6" t="s">
        <v>40</v>
      </c>
      <c r="R75" s="17">
        <v>8</v>
      </c>
      <c r="S75" s="6" t="s">
        <v>12</v>
      </c>
      <c r="T75" s="15">
        <v>-17.510400000000001</v>
      </c>
      <c r="U75" s="10">
        <v>300</v>
      </c>
      <c r="V75" s="10">
        <v>500</v>
      </c>
      <c r="W75" s="7">
        <f t="shared" si="18"/>
        <v>460</v>
      </c>
      <c r="X75" s="28">
        <f t="shared" si="19"/>
        <v>108.17302346269318</v>
      </c>
      <c r="Y75" s="60">
        <v>20</v>
      </c>
      <c r="Z75" s="60">
        <v>2</v>
      </c>
      <c r="AA75" s="60">
        <v>0</v>
      </c>
      <c r="AB75" s="60">
        <v>2</v>
      </c>
      <c r="AC75" s="28">
        <f t="shared" si="24"/>
        <v>628.31853071795865</v>
      </c>
      <c r="AD75" s="35" t="str">
        <f t="shared" si="20"/>
        <v>OK</v>
      </c>
      <c r="AE75" s="28">
        <f t="shared" si="25"/>
        <v>-101.70843384143883</v>
      </c>
      <c r="AF75" s="32">
        <f t="shared" si="26"/>
        <v>0.17216271393283197</v>
      </c>
    </row>
    <row r="76" spans="1:32" x14ac:dyDescent="0.25">
      <c r="A76" s="6" t="s">
        <v>40</v>
      </c>
      <c r="B76" s="17">
        <v>8.5</v>
      </c>
      <c r="C76" s="6" t="s">
        <v>11</v>
      </c>
      <c r="D76" s="66">
        <v>43.865200000000002</v>
      </c>
      <c r="E76" s="29">
        <v>300</v>
      </c>
      <c r="F76" s="29">
        <v>500</v>
      </c>
      <c r="G76" s="28">
        <f t="shared" si="15"/>
        <v>460</v>
      </c>
      <c r="H76" s="28">
        <f t="shared" si="21"/>
        <v>270.98360453191987</v>
      </c>
      <c r="I76" s="59">
        <v>14</v>
      </c>
      <c r="J76" s="59">
        <v>2</v>
      </c>
      <c r="K76" s="59">
        <v>14</v>
      </c>
      <c r="L76" s="59">
        <v>2</v>
      </c>
      <c r="M76" s="28">
        <f t="shared" si="22"/>
        <v>615.75216010359941</v>
      </c>
      <c r="N76" s="34" t="str">
        <f t="shared" si="16"/>
        <v>OK</v>
      </c>
      <c r="O76" s="17">
        <f t="shared" si="17"/>
        <v>99.674265164610063</v>
      </c>
      <c r="P76" s="19">
        <f t="shared" si="23"/>
        <v>0.44008551181749367</v>
      </c>
      <c r="Q76" s="6" t="s">
        <v>40</v>
      </c>
      <c r="R76" s="17">
        <v>8.5</v>
      </c>
      <c r="S76" s="6" t="s">
        <v>12</v>
      </c>
      <c r="T76" s="15">
        <v>-56.558</v>
      </c>
      <c r="U76" s="10">
        <v>300</v>
      </c>
      <c r="V76" s="10">
        <v>500</v>
      </c>
      <c r="W76" s="7">
        <f t="shared" si="18"/>
        <v>460</v>
      </c>
      <c r="X76" s="28">
        <f t="shared" si="19"/>
        <v>349.3952086190493</v>
      </c>
      <c r="Y76" s="60">
        <v>20</v>
      </c>
      <c r="Z76" s="60">
        <v>2</v>
      </c>
      <c r="AA76" s="60">
        <v>18</v>
      </c>
      <c r="AB76" s="60">
        <v>2</v>
      </c>
      <c r="AC76" s="28">
        <f t="shared" si="24"/>
        <v>1137.2565405995051</v>
      </c>
      <c r="AD76" s="35" t="str">
        <f t="shared" si="20"/>
        <v>OK</v>
      </c>
      <c r="AE76" s="28">
        <f t="shared" si="25"/>
        <v>-184.09226525300429</v>
      </c>
      <c r="AF76" s="32">
        <f t="shared" si="26"/>
        <v>0.30722637869804259</v>
      </c>
    </row>
    <row r="77" spans="1:32" x14ac:dyDescent="0.25">
      <c r="A77" s="6" t="s">
        <v>40</v>
      </c>
      <c r="B77" s="17">
        <v>9</v>
      </c>
      <c r="C77" s="6" t="s">
        <v>11</v>
      </c>
      <c r="D77" s="66">
        <v>25.273299999999999</v>
      </c>
      <c r="E77" s="29">
        <v>300</v>
      </c>
      <c r="F77" s="29">
        <v>500</v>
      </c>
      <c r="G77" s="28">
        <f t="shared" si="15"/>
        <v>460</v>
      </c>
      <c r="H77" s="28">
        <f t="shared" si="21"/>
        <v>156.12945871480284</v>
      </c>
      <c r="I77" s="59">
        <v>14</v>
      </c>
      <c r="J77" s="59">
        <v>2</v>
      </c>
      <c r="K77" s="59">
        <v>14</v>
      </c>
      <c r="L77" s="59">
        <v>2</v>
      </c>
      <c r="M77" s="28">
        <f t="shared" si="22"/>
        <v>615.75216010359941</v>
      </c>
      <c r="N77" s="34" t="str">
        <f t="shared" si="16"/>
        <v>OK</v>
      </c>
      <c r="O77" s="17">
        <f t="shared" si="17"/>
        <v>99.674265164610063</v>
      </c>
      <c r="P77" s="19">
        <f t="shared" si="23"/>
        <v>0.25355892976247829</v>
      </c>
      <c r="Q77" s="6" t="s">
        <v>40</v>
      </c>
      <c r="R77" s="17">
        <v>9</v>
      </c>
      <c r="S77" s="6" t="s">
        <v>12</v>
      </c>
      <c r="T77" s="15">
        <v>-103.8399</v>
      </c>
      <c r="U77" s="10">
        <v>300</v>
      </c>
      <c r="V77" s="10">
        <v>500</v>
      </c>
      <c r="W77" s="7">
        <f t="shared" si="18"/>
        <v>460</v>
      </c>
      <c r="X77" s="28">
        <f t="shared" si="19"/>
        <v>641.4859705697022</v>
      </c>
      <c r="Y77" s="60">
        <v>20</v>
      </c>
      <c r="Z77" s="60">
        <v>2</v>
      </c>
      <c r="AA77" s="60">
        <v>18</v>
      </c>
      <c r="AB77" s="60">
        <v>2</v>
      </c>
      <c r="AC77" s="28">
        <f t="shared" si="24"/>
        <v>1137.2565405995051</v>
      </c>
      <c r="AD77" s="35" t="str">
        <f t="shared" si="20"/>
        <v>OK</v>
      </c>
      <c r="AE77" s="28">
        <f t="shared" si="25"/>
        <v>-184.09226525300429</v>
      </c>
      <c r="AF77" s="32">
        <f t="shared" si="26"/>
        <v>0.56406443723906208</v>
      </c>
    </row>
    <row r="78" spans="1:32" x14ac:dyDescent="0.25">
      <c r="A78" s="6" t="s">
        <v>40</v>
      </c>
      <c r="B78" s="17">
        <v>9.5</v>
      </c>
      <c r="C78" s="6" t="s">
        <v>11</v>
      </c>
      <c r="D78" s="66">
        <v>-1.5528</v>
      </c>
      <c r="E78" s="29">
        <v>300</v>
      </c>
      <c r="F78" s="29">
        <v>500</v>
      </c>
      <c r="G78" s="28">
        <f t="shared" si="15"/>
        <v>460</v>
      </c>
      <c r="H78" s="28">
        <f t="shared" si="21"/>
        <v>9.5926461321768759</v>
      </c>
      <c r="I78" s="59">
        <v>14</v>
      </c>
      <c r="J78" s="59">
        <v>2</v>
      </c>
      <c r="K78" s="59">
        <v>14</v>
      </c>
      <c r="L78" s="59">
        <v>2</v>
      </c>
      <c r="M78" s="28">
        <f t="shared" si="22"/>
        <v>615.75216010359941</v>
      </c>
      <c r="N78" s="34" t="str">
        <f t="shared" si="16"/>
        <v>OK</v>
      </c>
      <c r="O78" s="17">
        <f t="shared" si="17"/>
        <v>99.674265164610063</v>
      </c>
      <c r="P78" s="19">
        <f t="shared" si="23"/>
        <v>-1.5578745400686744E-2</v>
      </c>
      <c r="Q78" s="6" t="s">
        <v>40</v>
      </c>
      <c r="R78" s="17">
        <v>9.5</v>
      </c>
      <c r="S78" s="6" t="s">
        <v>12</v>
      </c>
      <c r="T78" s="15">
        <v>-159.35599999999999</v>
      </c>
      <c r="U78" s="10">
        <v>300</v>
      </c>
      <c r="V78" s="10">
        <v>500</v>
      </c>
      <c r="W78" s="7">
        <f t="shared" si="18"/>
        <v>460</v>
      </c>
      <c r="X78" s="28">
        <f t="shared" si="19"/>
        <v>984.44469155021784</v>
      </c>
      <c r="Y78" s="60">
        <v>20</v>
      </c>
      <c r="Z78" s="60">
        <v>2</v>
      </c>
      <c r="AA78" s="60">
        <v>18</v>
      </c>
      <c r="AB78" s="60">
        <v>2</v>
      </c>
      <c r="AC78" s="28">
        <f t="shared" si="24"/>
        <v>1137.2565405995051</v>
      </c>
      <c r="AD78" s="35" t="str">
        <f t="shared" si="20"/>
        <v>OK</v>
      </c>
      <c r="AE78" s="28">
        <f t="shared" si="25"/>
        <v>-184.09226525300429</v>
      </c>
      <c r="AF78" s="32">
        <f t="shared" si="26"/>
        <v>0.86563115392703549</v>
      </c>
    </row>
    <row r="79" spans="1:32" x14ac:dyDescent="0.25">
      <c r="A79" s="6" t="s">
        <v>41</v>
      </c>
      <c r="B79" s="17">
        <v>9.5</v>
      </c>
      <c r="C79" s="6" t="s">
        <v>11</v>
      </c>
      <c r="D79" s="66">
        <v>37.969099999999997</v>
      </c>
      <c r="E79" s="29">
        <v>300</v>
      </c>
      <c r="F79" s="29">
        <v>500</v>
      </c>
      <c r="G79" s="28">
        <f t="shared" si="15"/>
        <v>460</v>
      </c>
      <c r="H79" s="28">
        <f t="shared" si="21"/>
        <v>234.55959573495431</v>
      </c>
      <c r="I79" s="59">
        <v>14</v>
      </c>
      <c r="J79" s="59">
        <v>2</v>
      </c>
      <c r="K79" s="59">
        <v>12</v>
      </c>
      <c r="L79" s="59">
        <v>2</v>
      </c>
      <c r="M79" s="28">
        <f t="shared" si="22"/>
        <v>534.07075111026484</v>
      </c>
      <c r="N79" s="34" t="str">
        <f t="shared" si="16"/>
        <v>OK</v>
      </c>
      <c r="O79" s="17">
        <f t="shared" si="17"/>
        <v>86.452168765223007</v>
      </c>
      <c r="P79" s="19">
        <f t="shared" si="23"/>
        <v>0.43919198953946631</v>
      </c>
      <c r="Q79" s="6" t="s">
        <v>41</v>
      </c>
      <c r="R79" s="17">
        <v>9.5</v>
      </c>
      <c r="S79" s="6" t="s">
        <v>12</v>
      </c>
      <c r="T79" s="15">
        <v>-147.239</v>
      </c>
      <c r="U79" s="10">
        <v>300</v>
      </c>
      <c r="V79" s="10">
        <v>500</v>
      </c>
      <c r="W79" s="7">
        <f t="shared" si="18"/>
        <v>460</v>
      </c>
      <c r="X79" s="28">
        <f t="shared" si="19"/>
        <v>909.59017507444048</v>
      </c>
      <c r="Y79" s="60">
        <v>20</v>
      </c>
      <c r="Z79" s="60">
        <v>2</v>
      </c>
      <c r="AA79" s="60">
        <v>18</v>
      </c>
      <c r="AB79" s="60">
        <v>2</v>
      </c>
      <c r="AC79" s="28">
        <f t="shared" si="24"/>
        <v>1137.2565405995051</v>
      </c>
      <c r="AD79" s="35" t="str">
        <f t="shared" si="20"/>
        <v>OK</v>
      </c>
      <c r="AE79" s="28">
        <f t="shared" si="25"/>
        <v>-184.09226525300429</v>
      </c>
      <c r="AF79" s="32">
        <f t="shared" si="26"/>
        <v>0.79981089807137973</v>
      </c>
    </row>
    <row r="80" spans="1:32" x14ac:dyDescent="0.25">
      <c r="A80" s="6" t="s">
        <v>41</v>
      </c>
      <c r="B80" s="17">
        <v>10</v>
      </c>
      <c r="C80" s="6" t="s">
        <v>11</v>
      </c>
      <c r="D80" s="66">
        <v>48.444200000000002</v>
      </c>
      <c r="E80" s="29">
        <v>300</v>
      </c>
      <c r="F80" s="29">
        <v>500</v>
      </c>
      <c r="G80" s="28">
        <f t="shared" si="15"/>
        <v>460</v>
      </c>
      <c r="H80" s="28">
        <f t="shared" si="21"/>
        <v>299.27103796780204</v>
      </c>
      <c r="I80" s="59">
        <v>14</v>
      </c>
      <c r="J80" s="59">
        <v>2</v>
      </c>
      <c r="K80" s="59">
        <v>12</v>
      </c>
      <c r="L80" s="59">
        <v>2</v>
      </c>
      <c r="M80" s="28">
        <f t="shared" si="22"/>
        <v>534.07075111026484</v>
      </c>
      <c r="N80" s="34" t="str">
        <f t="shared" si="16"/>
        <v>OK</v>
      </c>
      <c r="O80" s="17">
        <f t="shared" si="17"/>
        <v>86.452168765223007</v>
      </c>
      <c r="P80" s="19">
        <f t="shared" si="23"/>
        <v>0.56035841196256475</v>
      </c>
      <c r="Q80" s="6" t="s">
        <v>41</v>
      </c>
      <c r="R80" s="17">
        <v>10</v>
      </c>
      <c r="S80" s="6" t="s">
        <v>12</v>
      </c>
      <c r="T80" s="15">
        <v>-92.944000000000003</v>
      </c>
      <c r="U80" s="10">
        <v>300</v>
      </c>
      <c r="V80" s="10">
        <v>500</v>
      </c>
      <c r="W80" s="7">
        <f t="shared" si="18"/>
        <v>460</v>
      </c>
      <c r="X80" s="28">
        <f t="shared" si="19"/>
        <v>574.17497559830474</v>
      </c>
      <c r="Y80" s="60">
        <v>18</v>
      </c>
      <c r="Z80" s="60">
        <v>2</v>
      </c>
      <c r="AA80" s="60">
        <v>18</v>
      </c>
      <c r="AB80" s="60">
        <v>2</v>
      </c>
      <c r="AC80" s="28">
        <f t="shared" si="24"/>
        <v>1017.8760197630929</v>
      </c>
      <c r="AD80" s="35" t="str">
        <f t="shared" si="20"/>
        <v>OK</v>
      </c>
      <c r="AE80" s="28">
        <f t="shared" si="25"/>
        <v>-164.76766282313093</v>
      </c>
      <c r="AF80" s="32">
        <f t="shared" si="26"/>
        <v>0.56409126892678141</v>
      </c>
    </row>
    <row r="81" spans="1:32" x14ac:dyDescent="0.25">
      <c r="A81" s="6" t="s">
        <v>41</v>
      </c>
      <c r="B81" s="17">
        <v>10.5</v>
      </c>
      <c r="C81" s="6" t="s">
        <v>11</v>
      </c>
      <c r="D81" s="66">
        <v>50.685099999999998</v>
      </c>
      <c r="E81" s="29">
        <v>300</v>
      </c>
      <c r="F81" s="29">
        <v>500</v>
      </c>
      <c r="G81" s="28">
        <f t="shared" si="15"/>
        <v>460</v>
      </c>
      <c r="H81" s="28">
        <f t="shared" si="21"/>
        <v>313.1145211707871</v>
      </c>
      <c r="I81" s="59">
        <v>14</v>
      </c>
      <c r="J81" s="59">
        <v>2</v>
      </c>
      <c r="K81" s="59">
        <v>12</v>
      </c>
      <c r="L81" s="59">
        <v>2</v>
      </c>
      <c r="M81" s="28">
        <f t="shared" si="22"/>
        <v>534.07075111026484</v>
      </c>
      <c r="N81" s="34" t="str">
        <f t="shared" si="16"/>
        <v>OK</v>
      </c>
      <c r="O81" s="17">
        <f t="shared" si="17"/>
        <v>86.452168765223007</v>
      </c>
      <c r="P81" s="19">
        <f t="shared" si="23"/>
        <v>0.58627910350803158</v>
      </c>
      <c r="Q81" s="6" t="s">
        <v>41</v>
      </c>
      <c r="R81" s="17">
        <v>10.5</v>
      </c>
      <c r="S81" s="6" t="s">
        <v>12</v>
      </c>
      <c r="T81" s="15">
        <v>-46.883400000000002</v>
      </c>
      <c r="U81" s="10">
        <v>300</v>
      </c>
      <c r="V81" s="10">
        <v>500</v>
      </c>
      <c r="W81" s="7">
        <f t="shared" si="18"/>
        <v>460</v>
      </c>
      <c r="X81" s="28">
        <f t="shared" si="19"/>
        <v>289.6289706808999</v>
      </c>
      <c r="Y81" s="60">
        <v>18</v>
      </c>
      <c r="Z81" s="60">
        <v>2</v>
      </c>
      <c r="AA81" s="60">
        <v>18</v>
      </c>
      <c r="AB81" s="60">
        <v>2</v>
      </c>
      <c r="AC81" s="28">
        <f t="shared" si="24"/>
        <v>1017.8760197630929</v>
      </c>
      <c r="AD81" s="35" t="str">
        <f t="shared" si="20"/>
        <v>OK</v>
      </c>
      <c r="AE81" s="28">
        <f t="shared" si="25"/>
        <v>-164.76766282313093</v>
      </c>
      <c r="AF81" s="32">
        <f t="shared" si="26"/>
        <v>0.28454248362026452</v>
      </c>
    </row>
    <row r="82" spans="1:32" x14ac:dyDescent="0.25">
      <c r="A82" s="6" t="s">
        <v>41</v>
      </c>
      <c r="B82" s="17">
        <v>11</v>
      </c>
      <c r="C82" s="6" t="s">
        <v>11</v>
      </c>
      <c r="D82" s="66">
        <v>44.692</v>
      </c>
      <c r="E82" s="29">
        <v>300</v>
      </c>
      <c r="F82" s="29">
        <v>500</v>
      </c>
      <c r="G82" s="28">
        <f t="shared" si="15"/>
        <v>460</v>
      </c>
      <c r="H82" s="28">
        <f t="shared" si="21"/>
        <v>276.09128087277753</v>
      </c>
      <c r="I82" s="59">
        <v>14</v>
      </c>
      <c r="J82" s="59">
        <v>2</v>
      </c>
      <c r="K82" s="59">
        <v>12</v>
      </c>
      <c r="L82" s="59">
        <v>2</v>
      </c>
      <c r="M82" s="28">
        <f t="shared" si="22"/>
        <v>534.07075111026484</v>
      </c>
      <c r="N82" s="34" t="str">
        <f t="shared" si="16"/>
        <v>OK</v>
      </c>
      <c r="O82" s="17">
        <f t="shared" si="17"/>
        <v>86.452168765223007</v>
      </c>
      <c r="P82" s="19">
        <f t="shared" si="23"/>
        <v>0.5169563775938284</v>
      </c>
      <c r="Q82" s="6" t="s">
        <v>41</v>
      </c>
      <c r="R82" s="17">
        <v>11</v>
      </c>
      <c r="S82" s="6" t="s">
        <v>12</v>
      </c>
      <c r="T82" s="15">
        <v>-9.0571000000000002</v>
      </c>
      <c r="U82" s="10">
        <v>300</v>
      </c>
      <c r="V82" s="10">
        <v>500</v>
      </c>
      <c r="W82" s="7">
        <f t="shared" si="18"/>
        <v>460</v>
      </c>
      <c r="X82" s="28">
        <f t="shared" si="19"/>
        <v>55.951542557791853</v>
      </c>
      <c r="Y82" s="60">
        <v>18</v>
      </c>
      <c r="Z82" s="60">
        <v>2</v>
      </c>
      <c r="AA82" s="60">
        <v>18</v>
      </c>
      <c r="AB82" s="60">
        <v>2</v>
      </c>
      <c r="AC82" s="28">
        <f t="shared" si="24"/>
        <v>1017.8760197630929</v>
      </c>
      <c r="AD82" s="35" t="str">
        <f t="shared" si="20"/>
        <v>OK</v>
      </c>
      <c r="AE82" s="28">
        <f t="shared" si="25"/>
        <v>-164.76766282313093</v>
      </c>
      <c r="AF82" s="32">
        <f t="shared" si="26"/>
        <v>5.496891710919212E-2</v>
      </c>
    </row>
    <row r="83" spans="1:32" x14ac:dyDescent="0.25">
      <c r="A83" s="6" t="s">
        <v>41</v>
      </c>
      <c r="B83" s="17">
        <v>11.5</v>
      </c>
      <c r="C83" s="6" t="s">
        <v>11</v>
      </c>
      <c r="D83" s="66">
        <v>30.467300000000002</v>
      </c>
      <c r="E83" s="29">
        <v>300</v>
      </c>
      <c r="F83" s="29">
        <v>500</v>
      </c>
      <c r="G83" s="28">
        <f t="shared" si="15"/>
        <v>460</v>
      </c>
      <c r="H83" s="28">
        <f t="shared" si="21"/>
        <v>188.21614342019097</v>
      </c>
      <c r="I83" s="59">
        <v>14</v>
      </c>
      <c r="J83" s="59">
        <v>2</v>
      </c>
      <c r="K83" s="59">
        <v>12</v>
      </c>
      <c r="L83" s="59">
        <v>2</v>
      </c>
      <c r="M83" s="28">
        <f t="shared" si="22"/>
        <v>534.07075111026484</v>
      </c>
      <c r="N83" s="34" t="str">
        <f t="shared" si="16"/>
        <v>OK</v>
      </c>
      <c r="O83" s="17">
        <f t="shared" si="17"/>
        <v>86.452168765223007</v>
      </c>
      <c r="P83" s="19">
        <f t="shared" si="23"/>
        <v>0.35241799523548839</v>
      </c>
      <c r="Q83" s="6" t="s">
        <v>41</v>
      </c>
      <c r="R83" s="17">
        <v>11.5</v>
      </c>
      <c r="S83" s="6" t="s">
        <v>12</v>
      </c>
      <c r="T83" s="15">
        <v>20.5322</v>
      </c>
      <c r="U83" s="10">
        <v>300</v>
      </c>
      <c r="V83" s="10">
        <v>500</v>
      </c>
      <c r="W83" s="7">
        <f t="shared" si="18"/>
        <v>460</v>
      </c>
      <c r="X83" s="28">
        <f t="shared" si="19"/>
        <v>126.84062913129964</v>
      </c>
      <c r="Y83" s="60">
        <v>18</v>
      </c>
      <c r="Z83" s="60">
        <v>2</v>
      </c>
      <c r="AA83" s="60">
        <v>14</v>
      </c>
      <c r="AB83" s="60">
        <v>2</v>
      </c>
      <c r="AC83" s="28">
        <f t="shared" si="24"/>
        <v>816.81408993334617</v>
      </c>
      <c r="AD83" s="35" t="str">
        <f t="shared" si="20"/>
        <v>OK</v>
      </c>
      <c r="AE83" s="28">
        <f t="shared" si="25"/>
        <v>-132.22096399387047</v>
      </c>
      <c r="AF83" s="32">
        <f t="shared" si="26"/>
        <v>-0.15528702393178614</v>
      </c>
    </row>
    <row r="84" spans="1:32" x14ac:dyDescent="0.25">
      <c r="A84" s="6" t="s">
        <v>41</v>
      </c>
      <c r="B84" s="17">
        <v>12</v>
      </c>
      <c r="C84" s="6" t="s">
        <v>11</v>
      </c>
      <c r="D84" s="66">
        <v>41.895099999999999</v>
      </c>
      <c r="E84" s="29">
        <v>300</v>
      </c>
      <c r="F84" s="29">
        <v>500</v>
      </c>
      <c r="G84" s="28">
        <f t="shared" si="15"/>
        <v>460</v>
      </c>
      <c r="H84" s="28">
        <f t="shared" si="21"/>
        <v>258.81302741638552</v>
      </c>
      <c r="I84" s="59">
        <v>14</v>
      </c>
      <c r="J84" s="59">
        <v>2</v>
      </c>
      <c r="K84" s="59">
        <v>12</v>
      </c>
      <c r="L84" s="59">
        <v>2</v>
      </c>
      <c r="M84" s="28">
        <f t="shared" si="22"/>
        <v>534.07075111026484</v>
      </c>
      <c r="N84" s="34" t="str">
        <f t="shared" si="16"/>
        <v>OK</v>
      </c>
      <c r="O84" s="17">
        <f t="shared" si="17"/>
        <v>86.452168765223007</v>
      </c>
      <c r="P84" s="19">
        <f t="shared" si="23"/>
        <v>0.48460438411642348</v>
      </c>
      <c r="Q84" s="6" t="s">
        <v>41</v>
      </c>
      <c r="R84" s="17">
        <v>12</v>
      </c>
      <c r="S84" s="6" t="s">
        <v>12</v>
      </c>
      <c r="T84" s="15">
        <v>8.0007000000000001</v>
      </c>
      <c r="U84" s="10">
        <v>300</v>
      </c>
      <c r="V84" s="10">
        <v>500</v>
      </c>
      <c r="W84" s="7">
        <f t="shared" si="18"/>
        <v>460</v>
      </c>
      <c r="X84" s="28">
        <f t="shared" si="19"/>
        <v>49.425479076318609</v>
      </c>
      <c r="Y84" s="60">
        <v>18</v>
      </c>
      <c r="Z84" s="60">
        <v>2</v>
      </c>
      <c r="AA84" s="60">
        <v>14</v>
      </c>
      <c r="AB84" s="60">
        <v>2</v>
      </c>
      <c r="AC84" s="28">
        <f t="shared" si="24"/>
        <v>816.81408993334617</v>
      </c>
      <c r="AD84" s="35" t="str">
        <f t="shared" si="20"/>
        <v>OK</v>
      </c>
      <c r="AE84" s="28">
        <f t="shared" si="25"/>
        <v>-132.22096399387047</v>
      </c>
      <c r="AF84" s="32">
        <f t="shared" si="26"/>
        <v>-6.0510071612931961E-2</v>
      </c>
    </row>
    <row r="85" spans="1:32" x14ac:dyDescent="0.25">
      <c r="A85" s="6" t="s">
        <v>41</v>
      </c>
      <c r="B85" s="17">
        <v>12.5</v>
      </c>
      <c r="C85" s="6" t="s">
        <v>11</v>
      </c>
      <c r="D85" s="66">
        <v>55.018300000000004</v>
      </c>
      <c r="E85" s="29">
        <v>300</v>
      </c>
      <c r="F85" s="29">
        <v>500</v>
      </c>
      <c r="G85" s="28">
        <f t="shared" si="15"/>
        <v>460</v>
      </c>
      <c r="H85" s="28">
        <f t="shared" si="21"/>
        <v>339.88348962773512</v>
      </c>
      <c r="I85" s="59">
        <v>14</v>
      </c>
      <c r="J85" s="59">
        <v>2</v>
      </c>
      <c r="K85" s="59">
        <v>12</v>
      </c>
      <c r="L85" s="59">
        <v>2</v>
      </c>
      <c r="M85" s="28">
        <f t="shared" si="22"/>
        <v>534.07075111026484</v>
      </c>
      <c r="N85" s="34" t="str">
        <f t="shared" si="16"/>
        <v>OK</v>
      </c>
      <c r="O85" s="17">
        <f t="shared" si="17"/>
        <v>86.452168765223007</v>
      </c>
      <c r="P85" s="19">
        <f t="shared" si="23"/>
        <v>0.63640161705384701</v>
      </c>
      <c r="Q85" s="6" t="s">
        <v>41</v>
      </c>
      <c r="R85" s="17">
        <v>12.5</v>
      </c>
      <c r="S85" s="6" t="s">
        <v>12</v>
      </c>
      <c r="T85" s="15">
        <v>-22.694800000000001</v>
      </c>
      <c r="U85" s="10">
        <v>300</v>
      </c>
      <c r="V85" s="10">
        <v>500</v>
      </c>
      <c r="W85" s="7">
        <f t="shared" si="18"/>
        <v>460</v>
      </c>
      <c r="X85" s="28">
        <f t="shared" si="19"/>
        <v>140.20040278241098</v>
      </c>
      <c r="Y85" s="60">
        <v>18</v>
      </c>
      <c r="Z85" s="60">
        <v>2</v>
      </c>
      <c r="AA85" s="60">
        <v>14</v>
      </c>
      <c r="AB85" s="60">
        <v>2</v>
      </c>
      <c r="AC85" s="28">
        <f t="shared" si="24"/>
        <v>816.81408993334617</v>
      </c>
      <c r="AD85" s="35" t="str">
        <f t="shared" si="20"/>
        <v>OK</v>
      </c>
      <c r="AE85" s="28">
        <f t="shared" si="25"/>
        <v>-132.22096399387047</v>
      </c>
      <c r="AF85" s="32">
        <f t="shared" si="26"/>
        <v>0.17164297789458025</v>
      </c>
    </row>
    <row r="86" spans="1:32" x14ac:dyDescent="0.25">
      <c r="A86" s="6" t="s">
        <v>41</v>
      </c>
      <c r="B86" s="17">
        <v>13</v>
      </c>
      <c r="C86" s="6" t="s">
        <v>11</v>
      </c>
      <c r="D86" s="66">
        <v>59.907800000000002</v>
      </c>
      <c r="E86" s="29">
        <v>300</v>
      </c>
      <c r="F86" s="29">
        <v>500</v>
      </c>
      <c r="G86" s="28">
        <f t="shared" si="15"/>
        <v>460</v>
      </c>
      <c r="H86" s="28">
        <f t="shared" si="21"/>
        <v>370.08908163139228</v>
      </c>
      <c r="I86" s="59">
        <v>14</v>
      </c>
      <c r="J86" s="59">
        <v>2</v>
      </c>
      <c r="K86" s="59">
        <v>12</v>
      </c>
      <c r="L86" s="59">
        <v>2</v>
      </c>
      <c r="M86" s="28">
        <f t="shared" si="22"/>
        <v>534.07075111026484</v>
      </c>
      <c r="N86" s="34" t="str">
        <f t="shared" si="16"/>
        <v>OK</v>
      </c>
      <c r="O86" s="17">
        <f t="shared" si="17"/>
        <v>86.452168765223007</v>
      </c>
      <c r="P86" s="19">
        <f t="shared" si="23"/>
        <v>0.69295890265854188</v>
      </c>
      <c r="Q86" s="6" t="s">
        <v>41</v>
      </c>
      <c r="R86" s="17">
        <v>13</v>
      </c>
      <c r="S86" s="6" t="s">
        <v>12</v>
      </c>
      <c r="T86" s="15">
        <v>-61.625</v>
      </c>
      <c r="U86" s="10">
        <v>300</v>
      </c>
      <c r="V86" s="10">
        <v>500</v>
      </c>
      <c r="W86" s="7">
        <f t="shared" si="18"/>
        <v>460</v>
      </c>
      <c r="X86" s="28">
        <f t="shared" si="19"/>
        <v>380.69733249317363</v>
      </c>
      <c r="Y86" s="60">
        <v>18</v>
      </c>
      <c r="Z86" s="60">
        <v>2</v>
      </c>
      <c r="AA86" s="60">
        <v>14</v>
      </c>
      <c r="AB86" s="60">
        <v>2</v>
      </c>
      <c r="AC86" s="28">
        <f t="shared" si="24"/>
        <v>816.81408993334617</v>
      </c>
      <c r="AD86" s="35" t="str">
        <f t="shared" si="20"/>
        <v>OK</v>
      </c>
      <c r="AE86" s="28">
        <f t="shared" si="25"/>
        <v>-132.22096399387047</v>
      </c>
      <c r="AF86" s="32">
        <f t="shared" si="26"/>
        <v>0.46607586375528792</v>
      </c>
    </row>
    <row r="87" spans="1:32" x14ac:dyDescent="0.25">
      <c r="A87" s="6" t="s">
        <v>41</v>
      </c>
      <c r="B87" s="17">
        <v>13.5</v>
      </c>
      <c r="C87" s="6" t="s">
        <v>11</v>
      </c>
      <c r="D87" s="66">
        <v>56.563200000000002</v>
      </c>
      <c r="E87" s="29">
        <v>300</v>
      </c>
      <c r="F87" s="29">
        <v>500</v>
      </c>
      <c r="G87" s="28">
        <f t="shared" si="15"/>
        <v>460</v>
      </c>
      <c r="H87" s="28">
        <f t="shared" si="21"/>
        <v>349.42733236962073</v>
      </c>
      <c r="I87" s="59">
        <v>14</v>
      </c>
      <c r="J87" s="59">
        <v>2</v>
      </c>
      <c r="K87" s="59">
        <v>12</v>
      </c>
      <c r="L87" s="59">
        <v>2</v>
      </c>
      <c r="M87" s="28">
        <f>PI()*I87^2/4*J87+PI()*K87^2/4*L87</f>
        <v>534.07075111026484</v>
      </c>
      <c r="N87" s="34" t="str">
        <f t="shared" si="16"/>
        <v>OK</v>
      </c>
      <c r="O87" s="17">
        <f t="shared" si="17"/>
        <v>86.452168765223007</v>
      </c>
      <c r="P87" s="19">
        <f t="shared" si="23"/>
        <v>0.6542716140945859</v>
      </c>
      <c r="Q87" s="6" t="s">
        <v>41</v>
      </c>
      <c r="R87" s="17">
        <v>13.5</v>
      </c>
      <c r="S87" s="6" t="s">
        <v>12</v>
      </c>
      <c r="T87" s="15">
        <v>-108.7894</v>
      </c>
      <c r="U87" s="10">
        <v>300</v>
      </c>
      <c r="V87" s="10">
        <v>500</v>
      </c>
      <c r="W87" s="7">
        <f t="shared" si="18"/>
        <v>460</v>
      </c>
      <c r="X87" s="28">
        <f t="shared" si="19"/>
        <v>672.06222123379905</v>
      </c>
      <c r="Y87" s="60">
        <v>18</v>
      </c>
      <c r="Z87" s="60">
        <v>2</v>
      </c>
      <c r="AA87" s="60">
        <v>14</v>
      </c>
      <c r="AB87" s="60">
        <v>2</v>
      </c>
      <c r="AC87" s="28">
        <f t="shared" si="24"/>
        <v>816.81408993334617</v>
      </c>
      <c r="AD87" s="35" t="str">
        <f t="shared" si="20"/>
        <v>OK</v>
      </c>
      <c r="AE87" s="28">
        <f t="shared" si="25"/>
        <v>-132.22096399387047</v>
      </c>
      <c r="AF87" s="32">
        <f>T87/AE87</f>
        <v>0.82278480442060065</v>
      </c>
    </row>
    <row r="88" spans="1:3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3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112" spans="1:32" x14ac:dyDescent="0.25">
      <c r="A112" s="2" t="s">
        <v>1</v>
      </c>
      <c r="B112" s="3" t="s">
        <v>2</v>
      </c>
      <c r="C112" s="2" t="s">
        <v>3</v>
      </c>
      <c r="D112" s="3" t="s">
        <v>5</v>
      </c>
      <c r="E112" s="5" t="s">
        <v>20</v>
      </c>
      <c r="F112" s="5" t="s">
        <v>21</v>
      </c>
      <c r="G112" s="5" t="s">
        <v>25</v>
      </c>
      <c r="H112" s="5" t="s">
        <v>23</v>
      </c>
      <c r="I112" s="5" t="s">
        <v>26</v>
      </c>
      <c r="J112" s="5" t="s">
        <v>27</v>
      </c>
      <c r="K112" s="5" t="s">
        <v>26</v>
      </c>
      <c r="L112" s="5" t="s">
        <v>27</v>
      </c>
      <c r="M112" s="5" t="s">
        <v>23</v>
      </c>
      <c r="N112" s="18"/>
      <c r="O112" s="5" t="s">
        <v>31</v>
      </c>
      <c r="P112" s="5" t="s">
        <v>33</v>
      </c>
      <c r="Q112" s="2" t="s">
        <v>1</v>
      </c>
      <c r="R112" s="3" t="s">
        <v>2</v>
      </c>
      <c r="S112" s="2" t="s">
        <v>3</v>
      </c>
      <c r="T112" s="3" t="s">
        <v>5</v>
      </c>
      <c r="U112" s="5" t="s">
        <v>20</v>
      </c>
      <c r="V112" s="5" t="s">
        <v>21</v>
      </c>
      <c r="W112" s="5" t="s">
        <v>25</v>
      </c>
      <c r="X112" s="5" t="s">
        <v>23</v>
      </c>
      <c r="Y112" s="5" t="s">
        <v>26</v>
      </c>
      <c r="Z112" s="5" t="s">
        <v>27</v>
      </c>
      <c r="AA112" s="5" t="s">
        <v>26</v>
      </c>
      <c r="AB112" s="5" t="s">
        <v>27</v>
      </c>
      <c r="AC112" s="5" t="s">
        <v>23</v>
      </c>
      <c r="AD112" s="18"/>
      <c r="AE112" s="5" t="s">
        <v>31</v>
      </c>
      <c r="AF112" s="5" t="s">
        <v>33</v>
      </c>
    </row>
    <row r="113" spans="1:32" x14ac:dyDescent="0.25">
      <c r="A113" s="4" t="s">
        <v>6</v>
      </c>
      <c r="B113" s="5" t="s">
        <v>7</v>
      </c>
      <c r="C113" s="4" t="s">
        <v>6</v>
      </c>
      <c r="D113" s="5" t="s">
        <v>9</v>
      </c>
      <c r="E113" s="5" t="s">
        <v>22</v>
      </c>
      <c r="F113" s="5" t="s">
        <v>22</v>
      </c>
      <c r="G113" s="5" t="s">
        <v>22</v>
      </c>
      <c r="H113" s="5" t="s">
        <v>24</v>
      </c>
      <c r="I113" s="5" t="s">
        <v>22</v>
      </c>
      <c r="J113" s="5" t="s">
        <v>28</v>
      </c>
      <c r="K113" s="5" t="s">
        <v>22</v>
      </c>
      <c r="L113" s="5" t="s">
        <v>28</v>
      </c>
      <c r="M113" s="5" t="s">
        <v>24</v>
      </c>
      <c r="N113" s="18"/>
      <c r="O113" s="5" t="s">
        <v>9</v>
      </c>
      <c r="P113" s="5" t="s">
        <v>28</v>
      </c>
      <c r="Q113" s="4" t="s">
        <v>6</v>
      </c>
      <c r="R113" s="5" t="s">
        <v>7</v>
      </c>
      <c r="S113" s="4" t="s">
        <v>6</v>
      </c>
      <c r="T113" s="5" t="s">
        <v>9</v>
      </c>
      <c r="U113" s="5" t="s">
        <v>22</v>
      </c>
      <c r="V113" s="5" t="s">
        <v>22</v>
      </c>
      <c r="W113" s="5" t="s">
        <v>22</v>
      </c>
      <c r="X113" s="5" t="s">
        <v>24</v>
      </c>
      <c r="Y113" s="5" t="s">
        <v>22</v>
      </c>
      <c r="Z113" s="5" t="s">
        <v>28</v>
      </c>
      <c r="AA113" s="5" t="s">
        <v>22</v>
      </c>
      <c r="AB113" s="5" t="s">
        <v>28</v>
      </c>
      <c r="AC113" s="5" t="s">
        <v>24</v>
      </c>
      <c r="AD113" s="18"/>
      <c r="AE113" s="5" t="s">
        <v>9</v>
      </c>
      <c r="AF113" s="5" t="s">
        <v>28</v>
      </c>
    </row>
    <row r="114" spans="1:32" x14ac:dyDescent="0.25">
      <c r="A114" s="6" t="s">
        <v>42</v>
      </c>
      <c r="B114" s="17">
        <v>0</v>
      </c>
      <c r="C114" s="6" t="s">
        <v>11</v>
      </c>
      <c r="D114" s="67">
        <v>48.335999999999999</v>
      </c>
      <c r="E114" s="29">
        <v>300</v>
      </c>
      <c r="F114" s="29">
        <v>500</v>
      </c>
      <c r="G114" s="28">
        <f t="shared" ref="G114:G143" si="27">F114-40</f>
        <v>460</v>
      </c>
      <c r="H114" s="28">
        <f>ABS(D114)*1000^2/(0.9*391*G114)</f>
        <v>298.60261685014262</v>
      </c>
      <c r="I114" s="11">
        <v>14</v>
      </c>
      <c r="J114" s="11">
        <v>2</v>
      </c>
      <c r="K114" s="11">
        <v>12</v>
      </c>
      <c r="L114" s="11">
        <v>2</v>
      </c>
      <c r="M114" s="28">
        <f>PI()*I114^2/4*J114+PI()*K114^2/4*L114</f>
        <v>534.07075111026484</v>
      </c>
      <c r="N114" s="34" t="str">
        <f t="shared" ref="N114:N143" si="28">IF(M114&gt;=H114,"OK","NO")</f>
        <v>OK</v>
      </c>
      <c r="O114" s="17">
        <f t="shared" ref="O114:O143" si="29">(M114*0.9*391*G114)/1000^2</f>
        <v>86.452168765223007</v>
      </c>
      <c r="P114" s="19">
        <f>D114/O114</f>
        <v>0.55910685284559403</v>
      </c>
      <c r="Q114" s="6" t="s">
        <v>42</v>
      </c>
      <c r="R114" s="17">
        <v>0</v>
      </c>
      <c r="S114" s="6" t="s">
        <v>12</v>
      </c>
      <c r="T114" s="70">
        <v>-109.29900000000001</v>
      </c>
      <c r="U114" s="29">
        <v>300</v>
      </c>
      <c r="V114" s="29">
        <v>500</v>
      </c>
      <c r="W114" s="28">
        <f t="shared" ref="W114:W143" si="30">V114-40</f>
        <v>460</v>
      </c>
      <c r="X114" s="28">
        <f>ABS(T114)*1000^2/(0.9*391*W114)</f>
        <v>675.21034878979935</v>
      </c>
      <c r="Y114" s="60">
        <v>20</v>
      </c>
      <c r="Z114" s="60">
        <v>2</v>
      </c>
      <c r="AA114" s="60">
        <v>14</v>
      </c>
      <c r="AB114" s="60">
        <v>2</v>
      </c>
      <c r="AC114" s="28">
        <f>PI()*Y114^2/4*Z114+PI()*AA114^2/4*AB114</f>
        <v>936.19461076975836</v>
      </c>
      <c r="AD114" s="34" t="str">
        <f t="shared" ref="AD114:AD143" si="31">IF(AC114&gt;=X114,"OK","NO")</f>
        <v>OK</v>
      </c>
      <c r="AE114" s="28">
        <f>-(AC114*0.9*391*W114)/1000^2</f>
        <v>-151.54556642374388</v>
      </c>
      <c r="AF114" s="32">
        <f>T114/AE114</f>
        <v>0.72122862172281432</v>
      </c>
    </row>
    <row r="115" spans="1:32" x14ac:dyDescent="0.25">
      <c r="A115" s="6" t="s">
        <v>42</v>
      </c>
      <c r="B115" s="17">
        <v>0.5</v>
      </c>
      <c r="C115" s="6" t="s">
        <v>11</v>
      </c>
      <c r="D115" s="67">
        <v>56.898200000000003</v>
      </c>
      <c r="E115" s="29">
        <v>300</v>
      </c>
      <c r="F115" s="29">
        <v>500</v>
      </c>
      <c r="G115" s="28">
        <f t="shared" si="27"/>
        <v>460</v>
      </c>
      <c r="H115" s="28">
        <f t="shared" ref="H115:H143" si="32">ABS(D115)*1000^2/(0.9*391*G115)</f>
        <v>351.49684322374185</v>
      </c>
      <c r="I115" s="61">
        <v>14</v>
      </c>
      <c r="J115" s="61">
        <v>2</v>
      </c>
      <c r="K115" s="61">
        <v>12</v>
      </c>
      <c r="L115" s="61">
        <v>2</v>
      </c>
      <c r="M115" s="28">
        <f t="shared" ref="M115:M142" si="33">PI()*I115^2/4*J115+PI()*K115^2/4*L115</f>
        <v>534.07075111026484</v>
      </c>
      <c r="N115" s="34" t="str">
        <f t="shared" si="28"/>
        <v>OK</v>
      </c>
      <c r="O115" s="17">
        <f t="shared" si="29"/>
        <v>86.452168765223007</v>
      </c>
      <c r="P115" s="19">
        <f t="shared" ref="P115:P143" si="34">D115/O115</f>
        <v>0.65814658917947655</v>
      </c>
      <c r="Q115" s="6" t="s">
        <v>42</v>
      </c>
      <c r="R115" s="17">
        <v>0.5</v>
      </c>
      <c r="S115" s="6" t="s">
        <v>12</v>
      </c>
      <c r="T115" s="70">
        <v>-58.962499999999999</v>
      </c>
      <c r="U115" s="29">
        <v>300</v>
      </c>
      <c r="V115" s="29">
        <v>500</v>
      </c>
      <c r="W115" s="28">
        <f t="shared" si="30"/>
        <v>460</v>
      </c>
      <c r="X115" s="28">
        <f t="shared" ref="X115:X143" si="35">ABS(T115)*1000^2/(0.9*391*W115)</f>
        <v>364.24935443616636</v>
      </c>
      <c r="Y115" s="60">
        <v>20</v>
      </c>
      <c r="Z115" s="60">
        <v>2</v>
      </c>
      <c r="AA115" s="60">
        <v>14</v>
      </c>
      <c r="AB115" s="60">
        <v>2</v>
      </c>
      <c r="AC115" s="28">
        <f t="shared" ref="AC115:AC142" si="36">PI()*Y115^2/4*Z115+PI()*AA115^2/4*AB115</f>
        <v>936.19461076975836</v>
      </c>
      <c r="AD115" s="34" t="str">
        <f t="shared" si="31"/>
        <v>OK</v>
      </c>
      <c r="AE115" s="28">
        <f t="shared" ref="AE115:AE143" si="37">-(AC115*0.9*391*W115)/1000^2</f>
        <v>-151.54556642374388</v>
      </c>
      <c r="AF115" s="32">
        <f t="shared" ref="AF115:AF142" si="38">T115/AE115</f>
        <v>0.38907439782917902</v>
      </c>
    </row>
    <row r="116" spans="1:32" x14ac:dyDescent="0.25">
      <c r="A116" s="6" t="s">
        <v>42</v>
      </c>
      <c r="B116" s="17">
        <v>1</v>
      </c>
      <c r="C116" s="6" t="s">
        <v>11</v>
      </c>
      <c r="D116" s="67">
        <v>55.857999999999997</v>
      </c>
      <c r="E116" s="29">
        <v>300</v>
      </c>
      <c r="F116" s="29">
        <v>500</v>
      </c>
      <c r="G116" s="28">
        <f t="shared" si="27"/>
        <v>460</v>
      </c>
      <c r="H116" s="28">
        <f t="shared" si="32"/>
        <v>345.0708575805873</v>
      </c>
      <c r="I116" s="61">
        <v>14</v>
      </c>
      <c r="J116" s="61">
        <v>2</v>
      </c>
      <c r="K116" s="61">
        <v>12</v>
      </c>
      <c r="L116" s="61">
        <v>2</v>
      </c>
      <c r="M116" s="28">
        <f t="shared" si="33"/>
        <v>534.07075111026484</v>
      </c>
      <c r="N116" s="34" t="str">
        <f t="shared" si="28"/>
        <v>OK</v>
      </c>
      <c r="O116" s="17">
        <f t="shared" si="29"/>
        <v>86.452168765223007</v>
      </c>
      <c r="P116" s="19">
        <f t="shared" si="34"/>
        <v>0.64611450236364587</v>
      </c>
      <c r="Q116" s="6" t="s">
        <v>42</v>
      </c>
      <c r="R116" s="17">
        <v>1</v>
      </c>
      <c r="S116" s="6" t="s">
        <v>12</v>
      </c>
      <c r="T116" s="70">
        <v>-18.2286</v>
      </c>
      <c r="U116" s="29">
        <v>300</v>
      </c>
      <c r="V116" s="29">
        <v>500</v>
      </c>
      <c r="W116" s="28">
        <f t="shared" si="30"/>
        <v>460</v>
      </c>
      <c r="X116" s="28">
        <f t="shared" si="35"/>
        <v>112.60980762815521</v>
      </c>
      <c r="Y116" s="60">
        <v>20</v>
      </c>
      <c r="Z116" s="60">
        <v>2</v>
      </c>
      <c r="AA116" s="60">
        <v>14</v>
      </c>
      <c r="AB116" s="60">
        <v>2</v>
      </c>
      <c r="AC116" s="28">
        <f t="shared" si="36"/>
        <v>936.19461076975836</v>
      </c>
      <c r="AD116" s="34" t="str">
        <f t="shared" si="31"/>
        <v>OK</v>
      </c>
      <c r="AE116" s="28">
        <f t="shared" si="37"/>
        <v>-151.54556642374388</v>
      </c>
      <c r="AF116" s="32">
        <f t="shared" si="38"/>
        <v>0.12028461425938473</v>
      </c>
    </row>
    <row r="117" spans="1:32" x14ac:dyDescent="0.25">
      <c r="A117" s="6" t="s">
        <v>42</v>
      </c>
      <c r="B117" s="17">
        <v>1.5</v>
      </c>
      <c r="C117" s="6" t="s">
        <v>11</v>
      </c>
      <c r="D117" s="67">
        <v>45.215899999999998</v>
      </c>
      <c r="E117" s="29">
        <v>300</v>
      </c>
      <c r="F117" s="29">
        <v>500</v>
      </c>
      <c r="G117" s="28">
        <f t="shared" si="27"/>
        <v>460</v>
      </c>
      <c r="H117" s="28">
        <f t="shared" si="32"/>
        <v>279.32774874284934</v>
      </c>
      <c r="I117" s="61">
        <v>14</v>
      </c>
      <c r="J117" s="61">
        <v>2</v>
      </c>
      <c r="K117" s="61">
        <v>12</v>
      </c>
      <c r="L117" s="61">
        <v>2</v>
      </c>
      <c r="M117" s="28">
        <f t="shared" si="33"/>
        <v>534.07075111026484</v>
      </c>
      <c r="N117" s="34" t="str">
        <f t="shared" si="28"/>
        <v>OK</v>
      </c>
      <c r="O117" s="17">
        <f t="shared" si="29"/>
        <v>86.452168765223007</v>
      </c>
      <c r="P117" s="19">
        <f t="shared" si="34"/>
        <v>0.5230163759430051</v>
      </c>
      <c r="Q117" s="6" t="s">
        <v>42</v>
      </c>
      <c r="R117" s="17">
        <v>1.5</v>
      </c>
      <c r="S117" s="6" t="s">
        <v>12</v>
      </c>
      <c r="T117" s="70">
        <v>12.9025</v>
      </c>
      <c r="U117" s="29">
        <v>300</v>
      </c>
      <c r="V117" s="29">
        <v>500</v>
      </c>
      <c r="W117" s="28">
        <f t="shared" si="30"/>
        <v>460</v>
      </c>
      <c r="X117" s="28">
        <f t="shared" si="35"/>
        <v>79.707056105365893</v>
      </c>
      <c r="Y117" s="60">
        <v>20</v>
      </c>
      <c r="Z117" s="60">
        <v>2</v>
      </c>
      <c r="AA117" s="60">
        <v>14</v>
      </c>
      <c r="AB117" s="60">
        <v>2</v>
      </c>
      <c r="AC117" s="28">
        <f t="shared" si="36"/>
        <v>936.19461076975836</v>
      </c>
      <c r="AD117" s="34" t="str">
        <f t="shared" si="31"/>
        <v>OK</v>
      </c>
      <c r="AE117" s="28">
        <f t="shared" si="37"/>
        <v>-151.54556642374388</v>
      </c>
      <c r="AF117" s="32">
        <f t="shared" si="38"/>
        <v>-8.513940925149005E-2</v>
      </c>
    </row>
    <row r="118" spans="1:32" x14ac:dyDescent="0.25">
      <c r="A118" s="6" t="s">
        <v>42</v>
      </c>
      <c r="B118" s="17">
        <v>2</v>
      </c>
      <c r="C118" s="6" t="s">
        <v>11</v>
      </c>
      <c r="D118" s="67">
        <v>34.436700000000002</v>
      </c>
      <c r="E118" s="29">
        <v>300</v>
      </c>
      <c r="F118" s="29">
        <v>500</v>
      </c>
      <c r="G118" s="28">
        <f t="shared" si="27"/>
        <v>460</v>
      </c>
      <c r="H118" s="28">
        <f t="shared" si="32"/>
        <v>212.73768486600684</v>
      </c>
      <c r="I118" s="61">
        <v>14</v>
      </c>
      <c r="J118" s="61">
        <v>2</v>
      </c>
      <c r="K118" s="61">
        <v>12</v>
      </c>
      <c r="L118" s="61">
        <v>2</v>
      </c>
      <c r="M118" s="28">
        <f t="shared" si="33"/>
        <v>534.07075111026484</v>
      </c>
      <c r="N118" s="34" t="str">
        <f t="shared" si="28"/>
        <v>OK</v>
      </c>
      <c r="O118" s="17">
        <f t="shared" si="29"/>
        <v>86.452168765223007</v>
      </c>
      <c r="P118" s="19">
        <f t="shared" si="34"/>
        <v>0.39833240151001054</v>
      </c>
      <c r="Q118" s="6" t="s">
        <v>42</v>
      </c>
      <c r="R118" s="17">
        <v>2</v>
      </c>
      <c r="S118" s="6" t="s">
        <v>12</v>
      </c>
      <c r="T118" s="70">
        <v>24.965900000000001</v>
      </c>
      <c r="U118" s="29">
        <v>300</v>
      </c>
      <c r="V118" s="29">
        <v>500</v>
      </c>
      <c r="W118" s="28">
        <f t="shared" si="30"/>
        <v>460</v>
      </c>
      <c r="X118" s="28">
        <f t="shared" si="35"/>
        <v>154.23045084448395</v>
      </c>
      <c r="Y118" s="60">
        <v>20</v>
      </c>
      <c r="Z118" s="60">
        <v>2</v>
      </c>
      <c r="AA118" s="60">
        <v>14</v>
      </c>
      <c r="AB118" s="60">
        <v>2</v>
      </c>
      <c r="AC118" s="28">
        <f t="shared" si="36"/>
        <v>936.19461076975836</v>
      </c>
      <c r="AD118" s="34" t="str">
        <f t="shared" si="31"/>
        <v>OK</v>
      </c>
      <c r="AE118" s="28">
        <f t="shared" si="37"/>
        <v>-151.54556642374388</v>
      </c>
      <c r="AF118" s="32">
        <f t="shared" si="38"/>
        <v>-0.16474186998114906</v>
      </c>
    </row>
    <row r="119" spans="1:32" x14ac:dyDescent="0.25">
      <c r="A119" s="6" t="s">
        <v>42</v>
      </c>
      <c r="B119" s="17">
        <v>2.5</v>
      </c>
      <c r="C119" s="6" t="s">
        <v>11</v>
      </c>
      <c r="D119" s="67">
        <v>46.360500000000002</v>
      </c>
      <c r="E119" s="29">
        <v>300</v>
      </c>
      <c r="F119" s="29">
        <v>500</v>
      </c>
      <c r="G119" s="28">
        <f t="shared" si="27"/>
        <v>460</v>
      </c>
      <c r="H119" s="28">
        <f t="shared" si="32"/>
        <v>286.3986804551688</v>
      </c>
      <c r="I119" s="61">
        <v>14</v>
      </c>
      <c r="J119" s="61">
        <v>2</v>
      </c>
      <c r="K119" s="61">
        <v>12</v>
      </c>
      <c r="L119" s="61">
        <v>2</v>
      </c>
      <c r="M119" s="28">
        <f t="shared" si="33"/>
        <v>534.07075111026484</v>
      </c>
      <c r="N119" s="34" t="str">
        <f t="shared" si="28"/>
        <v>OK</v>
      </c>
      <c r="O119" s="17">
        <f t="shared" si="29"/>
        <v>86.452168765223007</v>
      </c>
      <c r="P119" s="19">
        <f t="shared" si="34"/>
        <v>0.53625606693454486</v>
      </c>
      <c r="Q119" s="6" t="s">
        <v>42</v>
      </c>
      <c r="R119" s="17">
        <v>2.5</v>
      </c>
      <c r="S119" s="6" t="s">
        <v>12</v>
      </c>
      <c r="T119" s="70">
        <v>-4.8785999999999996</v>
      </c>
      <c r="U119" s="29">
        <v>300</v>
      </c>
      <c r="V119" s="29">
        <v>500</v>
      </c>
      <c r="W119" s="28">
        <f t="shared" si="30"/>
        <v>460</v>
      </c>
      <c r="X119" s="28">
        <f t="shared" si="35"/>
        <v>30.138255680343967</v>
      </c>
      <c r="Y119" s="60">
        <v>20</v>
      </c>
      <c r="Z119" s="60">
        <v>2</v>
      </c>
      <c r="AA119" s="60">
        <v>20</v>
      </c>
      <c r="AB119" s="60">
        <v>2</v>
      </c>
      <c r="AC119" s="28">
        <f t="shared" si="36"/>
        <v>1256.6370614359173</v>
      </c>
      <c r="AD119" s="34" t="str">
        <f t="shared" si="31"/>
        <v>OK</v>
      </c>
      <c r="AE119" s="28">
        <f t="shared" si="37"/>
        <v>-203.41686768287767</v>
      </c>
      <c r="AF119" s="32">
        <f t="shared" si="38"/>
        <v>2.3983261838470681E-2</v>
      </c>
    </row>
    <row r="120" spans="1:32" x14ac:dyDescent="0.25">
      <c r="A120" s="6" t="s">
        <v>42</v>
      </c>
      <c r="B120" s="17">
        <v>3</v>
      </c>
      <c r="C120" s="6" t="s">
        <v>11</v>
      </c>
      <c r="D120" s="67">
        <v>48.684699999999999</v>
      </c>
      <c r="E120" s="29">
        <v>300</v>
      </c>
      <c r="F120" s="29">
        <v>500</v>
      </c>
      <c r="G120" s="28">
        <f t="shared" si="27"/>
        <v>460</v>
      </c>
      <c r="H120" s="28">
        <f t="shared" si="32"/>
        <v>300.75676143173081</v>
      </c>
      <c r="I120" s="61">
        <v>14</v>
      </c>
      <c r="J120" s="61">
        <v>2</v>
      </c>
      <c r="K120" s="61">
        <v>12</v>
      </c>
      <c r="L120" s="61">
        <v>2</v>
      </c>
      <c r="M120" s="28">
        <f t="shared" si="33"/>
        <v>534.07075111026484</v>
      </c>
      <c r="N120" s="34" t="str">
        <f t="shared" si="28"/>
        <v>OK</v>
      </c>
      <c r="O120" s="17">
        <f t="shared" si="29"/>
        <v>86.452168765223007</v>
      </c>
      <c r="P120" s="19">
        <f t="shared" si="34"/>
        <v>0.56314029706082203</v>
      </c>
      <c r="Q120" s="6" t="s">
        <v>42</v>
      </c>
      <c r="R120" s="17">
        <v>3</v>
      </c>
      <c r="S120" s="6" t="s">
        <v>12</v>
      </c>
      <c r="T120" s="70">
        <v>-44.328200000000002</v>
      </c>
      <c r="U120" s="29">
        <v>300</v>
      </c>
      <c r="V120" s="29">
        <v>500</v>
      </c>
      <c r="W120" s="28">
        <f t="shared" si="30"/>
        <v>460</v>
      </c>
      <c r="X120" s="28">
        <f t="shared" si="35"/>
        <v>273.84385386164541</v>
      </c>
      <c r="Y120" s="60">
        <v>20</v>
      </c>
      <c r="Z120" s="60">
        <v>2</v>
      </c>
      <c r="AA120" s="60">
        <v>20</v>
      </c>
      <c r="AB120" s="60">
        <v>2</v>
      </c>
      <c r="AC120" s="28">
        <f t="shared" si="36"/>
        <v>1256.6370614359173</v>
      </c>
      <c r="AD120" s="34" t="str">
        <f t="shared" si="31"/>
        <v>OK</v>
      </c>
      <c r="AE120" s="28">
        <f t="shared" si="37"/>
        <v>-203.41686768287767</v>
      </c>
      <c r="AF120" s="32">
        <f t="shared" si="38"/>
        <v>0.21791801488707746</v>
      </c>
    </row>
    <row r="121" spans="1:32" x14ac:dyDescent="0.25">
      <c r="A121" s="6" t="s">
        <v>42</v>
      </c>
      <c r="B121" s="17">
        <v>3.5</v>
      </c>
      <c r="C121" s="6" t="s">
        <v>11</v>
      </c>
      <c r="D121" s="67">
        <v>41.406700000000001</v>
      </c>
      <c r="E121" s="29">
        <v>300</v>
      </c>
      <c r="F121" s="29">
        <v>500</v>
      </c>
      <c r="G121" s="28">
        <f t="shared" si="27"/>
        <v>460</v>
      </c>
      <c r="H121" s="28">
        <f t="shared" si="32"/>
        <v>255.79586592040718</v>
      </c>
      <c r="I121" s="61">
        <v>14</v>
      </c>
      <c r="J121" s="61">
        <v>2</v>
      </c>
      <c r="K121" s="61">
        <v>12</v>
      </c>
      <c r="L121" s="61">
        <v>2</v>
      </c>
      <c r="M121" s="28">
        <f t="shared" si="33"/>
        <v>534.07075111026484</v>
      </c>
      <c r="N121" s="34" t="str">
        <f t="shared" si="28"/>
        <v>OK</v>
      </c>
      <c r="O121" s="17">
        <f t="shared" si="29"/>
        <v>86.452168765223007</v>
      </c>
      <c r="P121" s="19">
        <f t="shared" si="34"/>
        <v>0.47895501745534713</v>
      </c>
      <c r="Q121" s="6" t="s">
        <v>42</v>
      </c>
      <c r="R121" s="17">
        <v>3.5</v>
      </c>
      <c r="S121" s="6" t="s">
        <v>12</v>
      </c>
      <c r="T121" s="70">
        <v>-93.380499999999998</v>
      </c>
      <c r="U121" s="29">
        <v>300</v>
      </c>
      <c r="V121" s="29">
        <v>500</v>
      </c>
      <c r="W121" s="28">
        <f t="shared" si="30"/>
        <v>460</v>
      </c>
      <c r="X121" s="28">
        <f t="shared" si="35"/>
        <v>576.8715173530029</v>
      </c>
      <c r="Y121" s="60">
        <v>20</v>
      </c>
      <c r="Z121" s="60">
        <v>2</v>
      </c>
      <c r="AA121" s="60">
        <v>20</v>
      </c>
      <c r="AB121" s="60">
        <v>2</v>
      </c>
      <c r="AC121" s="28">
        <f t="shared" si="36"/>
        <v>1256.6370614359173</v>
      </c>
      <c r="AD121" s="34" t="str">
        <f t="shared" si="31"/>
        <v>OK</v>
      </c>
      <c r="AE121" s="28">
        <f t="shared" si="37"/>
        <v>-203.41686768287767</v>
      </c>
      <c r="AF121" s="32">
        <f t="shared" si="38"/>
        <v>0.4590597675782625</v>
      </c>
    </row>
    <row r="122" spans="1:32" x14ac:dyDescent="0.25">
      <c r="A122" s="6" t="s">
        <v>42</v>
      </c>
      <c r="B122" s="17">
        <v>4</v>
      </c>
      <c r="C122" s="6" t="s">
        <v>11</v>
      </c>
      <c r="D122" s="67">
        <v>24.526299999999999</v>
      </c>
      <c r="E122" s="29">
        <v>300</v>
      </c>
      <c r="F122" s="29">
        <v>500</v>
      </c>
      <c r="G122" s="28">
        <f t="shared" si="27"/>
        <v>460</v>
      </c>
      <c r="H122" s="28">
        <f t="shared" si="32"/>
        <v>151.51475839232981</v>
      </c>
      <c r="I122" s="61">
        <v>14</v>
      </c>
      <c r="J122" s="61">
        <v>2</v>
      </c>
      <c r="K122" s="61">
        <v>12</v>
      </c>
      <c r="L122" s="61">
        <v>2</v>
      </c>
      <c r="M122" s="28">
        <f t="shared" si="33"/>
        <v>534.07075111026484</v>
      </c>
      <c r="N122" s="34" t="str">
        <f t="shared" si="28"/>
        <v>OK</v>
      </c>
      <c r="O122" s="17">
        <f t="shared" si="29"/>
        <v>86.452168765223007</v>
      </c>
      <c r="P122" s="19">
        <f t="shared" si="34"/>
        <v>0.28369791470015915</v>
      </c>
      <c r="Q122" s="6" t="s">
        <v>42</v>
      </c>
      <c r="R122" s="17">
        <v>4</v>
      </c>
      <c r="S122" s="6" t="s">
        <v>12</v>
      </c>
      <c r="T122" s="70">
        <v>-152.0352</v>
      </c>
      <c r="U122" s="29">
        <v>300</v>
      </c>
      <c r="V122" s="29">
        <v>500</v>
      </c>
      <c r="W122" s="28">
        <f t="shared" si="30"/>
        <v>460</v>
      </c>
      <c r="X122" s="28">
        <f t="shared" si="35"/>
        <v>939.21939286111399</v>
      </c>
      <c r="Y122" s="60">
        <v>20</v>
      </c>
      <c r="Z122" s="60">
        <v>2</v>
      </c>
      <c r="AA122" s="60">
        <v>20</v>
      </c>
      <c r="AB122" s="60">
        <v>2</v>
      </c>
      <c r="AC122" s="28">
        <f t="shared" si="36"/>
        <v>1256.6370614359173</v>
      </c>
      <c r="AD122" s="34" t="str">
        <f t="shared" si="31"/>
        <v>OK</v>
      </c>
      <c r="AE122" s="28">
        <f t="shared" si="37"/>
        <v>-203.41686768287767</v>
      </c>
      <c r="AF122" s="32">
        <f t="shared" si="38"/>
        <v>0.74740704510807565</v>
      </c>
    </row>
    <row r="123" spans="1:32" x14ac:dyDescent="0.25">
      <c r="A123" s="6" t="s">
        <v>43</v>
      </c>
      <c r="B123" s="17">
        <v>4</v>
      </c>
      <c r="C123" s="6" t="s">
        <v>11</v>
      </c>
      <c r="D123" s="67">
        <v>-18.669899999999998</v>
      </c>
      <c r="E123" s="29">
        <v>300</v>
      </c>
      <c r="F123" s="29">
        <v>500</v>
      </c>
      <c r="G123" s="28">
        <f t="shared" si="27"/>
        <v>460</v>
      </c>
      <c r="H123" s="28">
        <f t="shared" si="32"/>
        <v>115.33600207568848</v>
      </c>
      <c r="I123" s="61">
        <v>14</v>
      </c>
      <c r="J123" s="61">
        <v>2</v>
      </c>
      <c r="K123" s="61">
        <v>12</v>
      </c>
      <c r="L123" s="61">
        <v>2</v>
      </c>
      <c r="M123" s="28">
        <f t="shared" si="33"/>
        <v>534.07075111026484</v>
      </c>
      <c r="N123" s="34" t="str">
        <f t="shared" si="28"/>
        <v>OK</v>
      </c>
      <c r="O123" s="17">
        <f t="shared" si="29"/>
        <v>86.452168765223007</v>
      </c>
      <c r="P123" s="19">
        <f t="shared" si="34"/>
        <v>-0.21595640996238735</v>
      </c>
      <c r="Q123" s="6" t="s">
        <v>43</v>
      </c>
      <c r="R123" s="17">
        <v>4</v>
      </c>
      <c r="S123" s="6" t="s">
        <v>12</v>
      </c>
      <c r="T123" s="70">
        <v>-168.98599999999999</v>
      </c>
      <c r="U123" s="29">
        <v>300</v>
      </c>
      <c r="V123" s="29">
        <v>500</v>
      </c>
      <c r="W123" s="28">
        <f t="shared" si="30"/>
        <v>460</v>
      </c>
      <c r="X123" s="28">
        <f t="shared" si="35"/>
        <v>1043.9354065507739</v>
      </c>
      <c r="Y123" s="60">
        <v>20</v>
      </c>
      <c r="Z123" s="60">
        <v>2</v>
      </c>
      <c r="AA123" s="60">
        <v>20</v>
      </c>
      <c r="AB123" s="60">
        <v>2</v>
      </c>
      <c r="AC123" s="28">
        <f t="shared" si="36"/>
        <v>1256.6370614359173</v>
      </c>
      <c r="AD123" s="34" t="str">
        <f t="shared" si="31"/>
        <v>OK</v>
      </c>
      <c r="AE123" s="28">
        <f t="shared" si="37"/>
        <v>-203.41686768287767</v>
      </c>
      <c r="AF123" s="32">
        <f t="shared" si="38"/>
        <v>0.83073740110601535</v>
      </c>
    </row>
    <row r="124" spans="1:32" x14ac:dyDescent="0.25">
      <c r="A124" s="6" t="s">
        <v>43</v>
      </c>
      <c r="B124" s="17">
        <v>4.5</v>
      </c>
      <c r="C124" s="6" t="s">
        <v>11</v>
      </c>
      <c r="D124" s="67">
        <v>15.679500000000001</v>
      </c>
      <c r="E124" s="29">
        <v>300</v>
      </c>
      <c r="F124" s="29">
        <v>500</v>
      </c>
      <c r="G124" s="28">
        <f t="shared" si="27"/>
        <v>460</v>
      </c>
      <c r="H124" s="28">
        <f t="shared" si="32"/>
        <v>96.862374439378755</v>
      </c>
      <c r="I124" s="11">
        <v>14</v>
      </c>
      <c r="J124" s="11">
        <v>4</v>
      </c>
      <c r="K124" s="11">
        <v>12</v>
      </c>
      <c r="L124" s="11">
        <v>0</v>
      </c>
      <c r="M124" s="28">
        <f t="shared" si="33"/>
        <v>615.75216010359941</v>
      </c>
      <c r="N124" s="34" t="str">
        <f t="shared" si="28"/>
        <v>OK</v>
      </c>
      <c r="O124" s="17">
        <f t="shared" si="29"/>
        <v>99.674265164610063</v>
      </c>
      <c r="P124" s="19">
        <f t="shared" si="34"/>
        <v>0.15730740501678761</v>
      </c>
      <c r="Q124" s="6" t="s">
        <v>43</v>
      </c>
      <c r="R124" s="17">
        <v>4.5</v>
      </c>
      <c r="S124" s="6" t="s">
        <v>12</v>
      </c>
      <c r="T124" s="70">
        <v>-107.3113</v>
      </c>
      <c r="U124" s="29">
        <v>300</v>
      </c>
      <c r="V124" s="29">
        <v>500</v>
      </c>
      <c r="W124" s="28">
        <f t="shared" si="30"/>
        <v>460</v>
      </c>
      <c r="X124" s="28">
        <f t="shared" si="35"/>
        <v>662.93104513386947</v>
      </c>
      <c r="Y124" s="60">
        <v>20</v>
      </c>
      <c r="Z124" s="60">
        <v>2</v>
      </c>
      <c r="AA124" s="60">
        <v>20</v>
      </c>
      <c r="AB124" s="60">
        <v>2</v>
      </c>
      <c r="AC124" s="28">
        <f t="shared" si="36"/>
        <v>1256.6370614359173</v>
      </c>
      <c r="AD124" s="34" t="str">
        <f t="shared" si="31"/>
        <v>OK</v>
      </c>
      <c r="AE124" s="28">
        <f t="shared" si="37"/>
        <v>-203.41686768287767</v>
      </c>
      <c r="AF124" s="32">
        <f t="shared" si="38"/>
        <v>0.52754376381065859</v>
      </c>
    </row>
    <row r="125" spans="1:32" x14ac:dyDescent="0.25">
      <c r="A125" s="6" t="s">
        <v>43</v>
      </c>
      <c r="B125" s="17">
        <v>5</v>
      </c>
      <c r="C125" s="6" t="s">
        <v>11</v>
      </c>
      <c r="D125" s="67">
        <v>40.426499999999997</v>
      </c>
      <c r="E125" s="29">
        <v>300</v>
      </c>
      <c r="F125" s="29">
        <v>500</v>
      </c>
      <c r="G125" s="28">
        <f t="shared" si="27"/>
        <v>460</v>
      </c>
      <c r="H125" s="28">
        <f t="shared" si="32"/>
        <v>249.74053893769224</v>
      </c>
      <c r="I125" s="11">
        <v>14</v>
      </c>
      <c r="J125" s="11">
        <v>4</v>
      </c>
      <c r="K125" s="61">
        <v>12</v>
      </c>
      <c r="L125" s="11">
        <v>0</v>
      </c>
      <c r="M125" s="28">
        <f t="shared" si="33"/>
        <v>615.75216010359941</v>
      </c>
      <c r="N125" s="34" t="str">
        <f t="shared" si="28"/>
        <v>OK</v>
      </c>
      <c r="O125" s="17">
        <f t="shared" si="29"/>
        <v>99.674265164610063</v>
      </c>
      <c r="P125" s="19">
        <f t="shared" si="34"/>
        <v>0.40558613533028248</v>
      </c>
      <c r="Q125" s="6" t="s">
        <v>43</v>
      </c>
      <c r="R125" s="17">
        <v>5</v>
      </c>
      <c r="S125" s="6" t="s">
        <v>12</v>
      </c>
      <c r="T125" s="70">
        <v>-55.239100000000001</v>
      </c>
      <c r="U125" s="29">
        <v>300</v>
      </c>
      <c r="V125" s="29">
        <v>500</v>
      </c>
      <c r="W125" s="28">
        <f t="shared" si="30"/>
        <v>460</v>
      </c>
      <c r="X125" s="28">
        <f t="shared" si="35"/>
        <v>341.24751349815284</v>
      </c>
      <c r="Y125" s="60">
        <v>20</v>
      </c>
      <c r="Z125" s="60">
        <v>2</v>
      </c>
      <c r="AA125" s="60">
        <v>20</v>
      </c>
      <c r="AB125" s="60">
        <v>2</v>
      </c>
      <c r="AC125" s="28">
        <f t="shared" si="36"/>
        <v>1256.6370614359173</v>
      </c>
      <c r="AD125" s="34" t="str">
        <f t="shared" si="31"/>
        <v>OK</v>
      </c>
      <c r="AE125" s="28">
        <f t="shared" si="37"/>
        <v>-203.41686768287767</v>
      </c>
      <c r="AF125" s="32">
        <f t="shared" si="38"/>
        <v>0.27155614295524655</v>
      </c>
    </row>
    <row r="126" spans="1:32" x14ac:dyDescent="0.25">
      <c r="A126" s="6" t="s">
        <v>43</v>
      </c>
      <c r="B126" s="17">
        <v>5.5</v>
      </c>
      <c r="C126" s="6" t="s">
        <v>11</v>
      </c>
      <c r="D126" s="67">
        <v>55.571100000000001</v>
      </c>
      <c r="E126" s="29">
        <v>300</v>
      </c>
      <c r="F126" s="29">
        <v>500</v>
      </c>
      <c r="G126" s="28">
        <f t="shared" si="27"/>
        <v>460</v>
      </c>
      <c r="H126" s="28">
        <f t="shared" si="32"/>
        <v>343.29849141925195</v>
      </c>
      <c r="I126" s="11">
        <v>14</v>
      </c>
      <c r="J126" s="11">
        <v>4</v>
      </c>
      <c r="K126" s="61">
        <v>12</v>
      </c>
      <c r="L126" s="11">
        <v>0</v>
      </c>
      <c r="M126" s="28">
        <f t="shared" si="33"/>
        <v>615.75216010359941</v>
      </c>
      <c r="N126" s="34" t="str">
        <f t="shared" si="28"/>
        <v>OK</v>
      </c>
      <c r="O126" s="17">
        <f t="shared" si="29"/>
        <v>99.674265164610063</v>
      </c>
      <c r="P126" s="19">
        <f t="shared" si="34"/>
        <v>0.55752705985065887</v>
      </c>
      <c r="Q126" s="6" t="s">
        <v>43</v>
      </c>
      <c r="R126" s="17">
        <v>5.5</v>
      </c>
      <c r="S126" s="6" t="s">
        <v>12</v>
      </c>
      <c r="T126" s="70">
        <v>-12.7692</v>
      </c>
      <c r="U126" s="29">
        <v>300</v>
      </c>
      <c r="V126" s="29">
        <v>500</v>
      </c>
      <c r="W126" s="28">
        <f t="shared" si="30"/>
        <v>460</v>
      </c>
      <c r="X126" s="28">
        <f t="shared" si="35"/>
        <v>78.883576114755911</v>
      </c>
      <c r="Y126" s="60">
        <v>20</v>
      </c>
      <c r="Z126" s="60">
        <v>2</v>
      </c>
      <c r="AA126" s="60">
        <v>0</v>
      </c>
      <c r="AB126" s="60">
        <v>2</v>
      </c>
      <c r="AC126" s="28">
        <f t="shared" si="36"/>
        <v>628.31853071795865</v>
      </c>
      <c r="AD126" s="34" t="str">
        <f t="shared" si="31"/>
        <v>OK</v>
      </c>
      <c r="AE126" s="28">
        <f t="shared" si="37"/>
        <v>-101.70843384143883</v>
      </c>
      <c r="AF126" s="32">
        <f t="shared" si="38"/>
        <v>0.12554711067429172</v>
      </c>
    </row>
    <row r="127" spans="1:32" x14ac:dyDescent="0.25">
      <c r="A127" s="6" t="s">
        <v>43</v>
      </c>
      <c r="B127" s="17">
        <v>6</v>
      </c>
      <c r="C127" s="6" t="s">
        <v>11</v>
      </c>
      <c r="D127" s="67">
        <v>61.113300000000002</v>
      </c>
      <c r="E127" s="29">
        <v>300</v>
      </c>
      <c r="F127" s="29">
        <v>500</v>
      </c>
      <c r="G127" s="28">
        <f t="shared" si="27"/>
        <v>460</v>
      </c>
      <c r="H127" s="28">
        <f t="shared" si="32"/>
        <v>377.53623188405788</v>
      </c>
      <c r="I127" s="11">
        <v>14</v>
      </c>
      <c r="J127" s="11">
        <v>4</v>
      </c>
      <c r="K127" s="61">
        <v>12</v>
      </c>
      <c r="L127" s="11">
        <v>0</v>
      </c>
      <c r="M127" s="28">
        <f t="shared" si="33"/>
        <v>615.75216010359941</v>
      </c>
      <c r="N127" s="34" t="str">
        <f t="shared" si="28"/>
        <v>OK</v>
      </c>
      <c r="O127" s="17">
        <f t="shared" si="29"/>
        <v>99.674265164610063</v>
      </c>
      <c r="P127" s="19">
        <f t="shared" si="34"/>
        <v>0.61313017857791685</v>
      </c>
      <c r="Q127" s="6" t="s">
        <v>43</v>
      </c>
      <c r="R127" s="17">
        <v>6</v>
      </c>
      <c r="S127" s="6" t="s">
        <v>12</v>
      </c>
      <c r="T127" s="70">
        <v>20.098299999999998</v>
      </c>
      <c r="U127" s="29">
        <v>300</v>
      </c>
      <c r="V127" s="29">
        <v>500</v>
      </c>
      <c r="W127" s="28">
        <f t="shared" si="30"/>
        <v>460</v>
      </c>
      <c r="X127" s="28">
        <f t="shared" si="35"/>
        <v>124.16014925188725</v>
      </c>
      <c r="Y127" s="60">
        <v>20</v>
      </c>
      <c r="Z127" s="60">
        <v>2</v>
      </c>
      <c r="AA127" s="60">
        <v>0</v>
      </c>
      <c r="AB127" s="60">
        <v>2</v>
      </c>
      <c r="AC127" s="28">
        <f t="shared" si="36"/>
        <v>628.31853071795865</v>
      </c>
      <c r="AD127" s="34" t="str">
        <f t="shared" si="31"/>
        <v>OK</v>
      </c>
      <c r="AE127" s="28">
        <f t="shared" si="37"/>
        <v>-101.70843384143883</v>
      </c>
      <c r="AF127" s="32">
        <f t="shared" si="38"/>
        <v>-0.19760701488465349</v>
      </c>
    </row>
    <row r="128" spans="1:32" x14ac:dyDescent="0.25">
      <c r="A128" s="6" t="s">
        <v>43</v>
      </c>
      <c r="B128" s="17">
        <v>6.5</v>
      </c>
      <c r="C128" s="6" t="s">
        <v>11</v>
      </c>
      <c r="D128" s="67">
        <v>57.053100000000001</v>
      </c>
      <c r="E128" s="29">
        <v>300</v>
      </c>
      <c r="F128" s="29">
        <v>500</v>
      </c>
      <c r="G128" s="28">
        <f t="shared" si="27"/>
        <v>460</v>
      </c>
      <c r="H128" s="28">
        <f t="shared" si="32"/>
        <v>352.45376033211011</v>
      </c>
      <c r="I128" s="11">
        <v>14</v>
      </c>
      <c r="J128" s="11">
        <v>4</v>
      </c>
      <c r="K128" s="61">
        <v>12</v>
      </c>
      <c r="L128" s="11">
        <v>0</v>
      </c>
      <c r="M128" s="28">
        <f t="shared" si="33"/>
        <v>615.75216010359941</v>
      </c>
      <c r="N128" s="34" t="str">
        <f t="shared" si="28"/>
        <v>OK</v>
      </c>
      <c r="O128" s="17">
        <f t="shared" si="29"/>
        <v>99.674265164610063</v>
      </c>
      <c r="P128" s="19">
        <f t="shared" si="34"/>
        <v>0.57239549151205626</v>
      </c>
      <c r="Q128" s="6" t="s">
        <v>43</v>
      </c>
      <c r="R128" s="17">
        <v>6.5</v>
      </c>
      <c r="S128" s="6" t="s">
        <v>12</v>
      </c>
      <c r="T128" s="70">
        <v>43.363300000000002</v>
      </c>
      <c r="U128" s="29">
        <v>300</v>
      </c>
      <c r="V128" s="29">
        <v>500</v>
      </c>
      <c r="W128" s="28">
        <f t="shared" si="30"/>
        <v>460</v>
      </c>
      <c r="X128" s="28">
        <f t="shared" si="35"/>
        <v>267.8830448373426</v>
      </c>
      <c r="Y128" s="60">
        <v>20</v>
      </c>
      <c r="Z128" s="60">
        <v>2</v>
      </c>
      <c r="AA128" s="60">
        <v>0</v>
      </c>
      <c r="AB128" s="60">
        <v>2</v>
      </c>
      <c r="AC128" s="28">
        <f t="shared" si="36"/>
        <v>628.31853071795865</v>
      </c>
      <c r="AD128" s="34" t="str">
        <f t="shared" si="31"/>
        <v>OK</v>
      </c>
      <c r="AE128" s="28">
        <f t="shared" si="37"/>
        <v>-101.70843384143883</v>
      </c>
      <c r="AF128" s="32">
        <f t="shared" si="38"/>
        <v>-0.42634910756370914</v>
      </c>
    </row>
    <row r="129" spans="1:32" x14ac:dyDescent="0.25">
      <c r="A129" s="6" t="s">
        <v>43</v>
      </c>
      <c r="B129" s="17">
        <v>7</v>
      </c>
      <c r="C129" s="6" t="s">
        <v>11</v>
      </c>
      <c r="D129" s="67">
        <v>57.053100000000001</v>
      </c>
      <c r="E129" s="29">
        <v>300</v>
      </c>
      <c r="F129" s="29">
        <v>500</v>
      </c>
      <c r="G129" s="28">
        <f t="shared" si="27"/>
        <v>460</v>
      </c>
      <c r="H129" s="28">
        <f t="shared" si="32"/>
        <v>352.45376033211011</v>
      </c>
      <c r="I129" s="11">
        <v>14</v>
      </c>
      <c r="J129" s="11">
        <v>4</v>
      </c>
      <c r="K129" s="61">
        <v>12</v>
      </c>
      <c r="L129" s="11">
        <v>0</v>
      </c>
      <c r="M129" s="28">
        <f t="shared" si="33"/>
        <v>615.75216010359941</v>
      </c>
      <c r="N129" s="34" t="str">
        <f t="shared" si="28"/>
        <v>OK</v>
      </c>
      <c r="O129" s="17">
        <f t="shared" si="29"/>
        <v>99.674265164610063</v>
      </c>
      <c r="P129" s="19">
        <f t="shared" si="34"/>
        <v>0.57239549151205626</v>
      </c>
      <c r="Q129" s="6" t="s">
        <v>43</v>
      </c>
      <c r="R129" s="17">
        <v>7</v>
      </c>
      <c r="S129" s="6" t="s">
        <v>12</v>
      </c>
      <c r="T129" s="70">
        <v>43.363300000000002</v>
      </c>
      <c r="U129" s="29">
        <v>300</v>
      </c>
      <c r="V129" s="29">
        <v>500</v>
      </c>
      <c r="W129" s="28">
        <f t="shared" si="30"/>
        <v>460</v>
      </c>
      <c r="X129" s="28">
        <f t="shared" si="35"/>
        <v>267.8830448373426</v>
      </c>
      <c r="Y129" s="60">
        <v>20</v>
      </c>
      <c r="Z129" s="60">
        <v>2</v>
      </c>
      <c r="AA129" s="60">
        <v>0</v>
      </c>
      <c r="AB129" s="60">
        <v>2</v>
      </c>
      <c r="AC129" s="28">
        <f t="shared" si="36"/>
        <v>628.31853071795865</v>
      </c>
      <c r="AD129" s="34" t="str">
        <f t="shared" si="31"/>
        <v>OK</v>
      </c>
      <c r="AE129" s="28">
        <f t="shared" si="37"/>
        <v>-101.70843384143883</v>
      </c>
      <c r="AF129" s="32">
        <f t="shared" si="38"/>
        <v>-0.42634910756370914</v>
      </c>
    </row>
    <row r="130" spans="1:32" x14ac:dyDescent="0.25">
      <c r="A130" s="6" t="s">
        <v>43</v>
      </c>
      <c r="B130" s="17">
        <v>7.5</v>
      </c>
      <c r="C130" s="6" t="s">
        <v>11</v>
      </c>
      <c r="D130" s="67">
        <v>61.113300000000002</v>
      </c>
      <c r="E130" s="29">
        <v>300</v>
      </c>
      <c r="F130" s="29">
        <v>500</v>
      </c>
      <c r="G130" s="28">
        <f t="shared" si="27"/>
        <v>460</v>
      </c>
      <c r="H130" s="28">
        <f t="shared" si="32"/>
        <v>377.53623188405788</v>
      </c>
      <c r="I130" s="11">
        <v>14</v>
      </c>
      <c r="J130" s="11">
        <v>4</v>
      </c>
      <c r="K130" s="61">
        <v>12</v>
      </c>
      <c r="L130" s="11">
        <v>0</v>
      </c>
      <c r="M130" s="28">
        <f t="shared" si="33"/>
        <v>615.75216010359941</v>
      </c>
      <c r="N130" s="34" t="str">
        <f t="shared" si="28"/>
        <v>OK</v>
      </c>
      <c r="O130" s="17">
        <f t="shared" si="29"/>
        <v>99.674265164610063</v>
      </c>
      <c r="P130" s="19">
        <f t="shared" si="34"/>
        <v>0.61313017857791685</v>
      </c>
      <c r="Q130" s="6" t="s">
        <v>43</v>
      </c>
      <c r="R130" s="17">
        <v>7.5</v>
      </c>
      <c r="S130" s="6" t="s">
        <v>12</v>
      </c>
      <c r="T130" s="70">
        <v>20.098299999999998</v>
      </c>
      <c r="U130" s="29">
        <v>300</v>
      </c>
      <c r="V130" s="29">
        <v>500</v>
      </c>
      <c r="W130" s="28">
        <f t="shared" si="30"/>
        <v>460</v>
      </c>
      <c r="X130" s="28">
        <f t="shared" si="35"/>
        <v>124.16014925188725</v>
      </c>
      <c r="Y130" s="60">
        <v>20</v>
      </c>
      <c r="Z130" s="60">
        <v>2</v>
      </c>
      <c r="AA130" s="60">
        <v>0</v>
      </c>
      <c r="AB130" s="60">
        <v>2</v>
      </c>
      <c r="AC130" s="28">
        <f t="shared" si="36"/>
        <v>628.31853071795865</v>
      </c>
      <c r="AD130" s="34" t="str">
        <f t="shared" si="31"/>
        <v>OK</v>
      </c>
      <c r="AE130" s="28">
        <f t="shared" si="37"/>
        <v>-101.70843384143883</v>
      </c>
      <c r="AF130" s="32">
        <f t="shared" si="38"/>
        <v>-0.19760701488465349</v>
      </c>
    </row>
    <row r="131" spans="1:32" x14ac:dyDescent="0.25">
      <c r="A131" s="6" t="s">
        <v>43</v>
      </c>
      <c r="B131" s="17">
        <v>8</v>
      </c>
      <c r="C131" s="6" t="s">
        <v>11</v>
      </c>
      <c r="D131" s="67">
        <v>55.571100000000001</v>
      </c>
      <c r="E131" s="29">
        <v>300</v>
      </c>
      <c r="F131" s="29">
        <v>500</v>
      </c>
      <c r="G131" s="28">
        <f t="shared" si="27"/>
        <v>460</v>
      </c>
      <c r="H131" s="28">
        <f t="shared" si="32"/>
        <v>343.29849141925195</v>
      </c>
      <c r="I131" s="11">
        <v>14</v>
      </c>
      <c r="J131" s="11">
        <v>4</v>
      </c>
      <c r="K131" s="61">
        <v>12</v>
      </c>
      <c r="L131" s="11">
        <v>0</v>
      </c>
      <c r="M131" s="28">
        <f t="shared" si="33"/>
        <v>615.75216010359941</v>
      </c>
      <c r="N131" s="34" t="str">
        <f t="shared" si="28"/>
        <v>OK</v>
      </c>
      <c r="O131" s="17">
        <f t="shared" si="29"/>
        <v>99.674265164610063</v>
      </c>
      <c r="P131" s="19">
        <f t="shared" si="34"/>
        <v>0.55752705985065887</v>
      </c>
      <c r="Q131" s="6" t="s">
        <v>43</v>
      </c>
      <c r="R131" s="17">
        <v>8</v>
      </c>
      <c r="S131" s="6" t="s">
        <v>12</v>
      </c>
      <c r="T131" s="70">
        <v>-12.7692</v>
      </c>
      <c r="U131" s="29">
        <v>300</v>
      </c>
      <c r="V131" s="29">
        <v>500</v>
      </c>
      <c r="W131" s="28">
        <f t="shared" si="30"/>
        <v>460</v>
      </c>
      <c r="X131" s="28">
        <f t="shared" si="35"/>
        <v>78.883576114755911</v>
      </c>
      <c r="Y131" s="60">
        <v>20</v>
      </c>
      <c r="Z131" s="60">
        <v>2</v>
      </c>
      <c r="AA131" s="60">
        <v>0</v>
      </c>
      <c r="AB131" s="60">
        <v>2</v>
      </c>
      <c r="AC131" s="28">
        <f t="shared" si="36"/>
        <v>628.31853071795865</v>
      </c>
      <c r="AD131" s="34" t="str">
        <f t="shared" si="31"/>
        <v>OK</v>
      </c>
      <c r="AE131" s="28">
        <f t="shared" si="37"/>
        <v>-101.70843384143883</v>
      </c>
      <c r="AF131" s="32">
        <f t="shared" si="38"/>
        <v>0.12554711067429172</v>
      </c>
    </row>
    <row r="132" spans="1:32" x14ac:dyDescent="0.25">
      <c r="A132" s="6" t="s">
        <v>43</v>
      </c>
      <c r="B132" s="17">
        <v>8.5</v>
      </c>
      <c r="C132" s="6" t="s">
        <v>11</v>
      </c>
      <c r="D132" s="67">
        <v>40.426499999999997</v>
      </c>
      <c r="E132" s="29">
        <v>300</v>
      </c>
      <c r="F132" s="29">
        <v>500</v>
      </c>
      <c r="G132" s="28">
        <f t="shared" si="27"/>
        <v>460</v>
      </c>
      <c r="H132" s="28">
        <f t="shared" si="32"/>
        <v>249.74053893769224</v>
      </c>
      <c r="I132" s="11">
        <v>14</v>
      </c>
      <c r="J132" s="11">
        <v>4</v>
      </c>
      <c r="K132" s="61">
        <v>12</v>
      </c>
      <c r="L132" s="11">
        <v>0</v>
      </c>
      <c r="M132" s="28">
        <f t="shared" si="33"/>
        <v>615.75216010359941</v>
      </c>
      <c r="N132" s="34" t="str">
        <f t="shared" si="28"/>
        <v>OK</v>
      </c>
      <c r="O132" s="17">
        <f t="shared" si="29"/>
        <v>99.674265164610063</v>
      </c>
      <c r="P132" s="19">
        <f t="shared" si="34"/>
        <v>0.40558613533028248</v>
      </c>
      <c r="Q132" s="6" t="s">
        <v>43</v>
      </c>
      <c r="R132" s="17">
        <v>8.5</v>
      </c>
      <c r="S132" s="6" t="s">
        <v>12</v>
      </c>
      <c r="T132" s="70">
        <v>-55.239100000000001</v>
      </c>
      <c r="U132" s="29">
        <v>300</v>
      </c>
      <c r="V132" s="29">
        <v>500</v>
      </c>
      <c r="W132" s="28">
        <f t="shared" si="30"/>
        <v>460</v>
      </c>
      <c r="X132" s="28">
        <f t="shared" si="35"/>
        <v>341.24751349815284</v>
      </c>
      <c r="Y132" s="60">
        <v>20</v>
      </c>
      <c r="Z132" s="60">
        <v>2</v>
      </c>
      <c r="AA132" s="60">
        <v>20</v>
      </c>
      <c r="AB132" s="60">
        <v>2</v>
      </c>
      <c r="AC132" s="28">
        <f t="shared" si="36"/>
        <v>1256.6370614359173</v>
      </c>
      <c r="AD132" s="34" t="str">
        <f t="shared" si="31"/>
        <v>OK</v>
      </c>
      <c r="AE132" s="28">
        <f t="shared" si="37"/>
        <v>-203.41686768287767</v>
      </c>
      <c r="AF132" s="32">
        <f t="shared" si="38"/>
        <v>0.27155614295524655</v>
      </c>
    </row>
    <row r="133" spans="1:32" x14ac:dyDescent="0.25">
      <c r="A133" s="6" t="s">
        <v>43</v>
      </c>
      <c r="B133" s="17">
        <v>9</v>
      </c>
      <c r="C133" s="6" t="s">
        <v>11</v>
      </c>
      <c r="D133" s="67">
        <v>15.679500000000001</v>
      </c>
      <c r="E133" s="29">
        <v>300</v>
      </c>
      <c r="F133" s="29">
        <v>500</v>
      </c>
      <c r="G133" s="28">
        <f t="shared" si="27"/>
        <v>460</v>
      </c>
      <c r="H133" s="28">
        <f t="shared" si="32"/>
        <v>96.862374439378755</v>
      </c>
      <c r="I133" s="11">
        <v>14</v>
      </c>
      <c r="J133" s="11">
        <v>4</v>
      </c>
      <c r="K133" s="61">
        <v>12</v>
      </c>
      <c r="L133" s="11">
        <v>0</v>
      </c>
      <c r="M133" s="28">
        <f t="shared" si="33"/>
        <v>615.75216010359941</v>
      </c>
      <c r="N133" s="34" t="str">
        <f t="shared" si="28"/>
        <v>OK</v>
      </c>
      <c r="O133" s="17">
        <f t="shared" si="29"/>
        <v>99.674265164610063</v>
      </c>
      <c r="P133" s="19">
        <f t="shared" si="34"/>
        <v>0.15730740501678761</v>
      </c>
      <c r="Q133" s="6" t="s">
        <v>43</v>
      </c>
      <c r="R133" s="17">
        <v>9</v>
      </c>
      <c r="S133" s="6" t="s">
        <v>12</v>
      </c>
      <c r="T133" s="70">
        <v>-107.3113</v>
      </c>
      <c r="U133" s="29">
        <v>300</v>
      </c>
      <c r="V133" s="29">
        <v>500</v>
      </c>
      <c r="W133" s="28">
        <f t="shared" si="30"/>
        <v>460</v>
      </c>
      <c r="X133" s="28">
        <f t="shared" si="35"/>
        <v>662.93104513386947</v>
      </c>
      <c r="Y133" s="60">
        <v>20</v>
      </c>
      <c r="Z133" s="60">
        <v>2</v>
      </c>
      <c r="AA133" s="60">
        <v>20</v>
      </c>
      <c r="AB133" s="60">
        <v>2</v>
      </c>
      <c r="AC133" s="28">
        <f t="shared" si="36"/>
        <v>1256.6370614359173</v>
      </c>
      <c r="AD133" s="34" t="str">
        <f t="shared" si="31"/>
        <v>OK</v>
      </c>
      <c r="AE133" s="28">
        <f t="shared" si="37"/>
        <v>-203.41686768287767</v>
      </c>
      <c r="AF133" s="32">
        <f t="shared" si="38"/>
        <v>0.52754376381065859</v>
      </c>
    </row>
    <row r="134" spans="1:32" x14ac:dyDescent="0.25">
      <c r="A134" s="6" t="s">
        <v>43</v>
      </c>
      <c r="B134" s="17">
        <v>9.5</v>
      </c>
      <c r="C134" s="6" t="s">
        <v>11</v>
      </c>
      <c r="D134" s="67">
        <v>-18.669899999999998</v>
      </c>
      <c r="E134" s="29">
        <v>300</v>
      </c>
      <c r="F134" s="29">
        <v>500</v>
      </c>
      <c r="G134" s="28">
        <f t="shared" si="27"/>
        <v>460</v>
      </c>
      <c r="H134" s="28">
        <f t="shared" si="32"/>
        <v>115.33600207568848</v>
      </c>
      <c r="I134" s="61">
        <v>14</v>
      </c>
      <c r="J134" s="61">
        <v>2</v>
      </c>
      <c r="K134" s="61">
        <v>12</v>
      </c>
      <c r="L134" s="61">
        <v>2</v>
      </c>
      <c r="M134" s="28">
        <f t="shared" si="33"/>
        <v>534.07075111026484</v>
      </c>
      <c r="N134" s="34" t="str">
        <f t="shared" si="28"/>
        <v>OK</v>
      </c>
      <c r="O134" s="17">
        <f t="shared" si="29"/>
        <v>86.452168765223007</v>
      </c>
      <c r="P134" s="19">
        <f t="shared" si="34"/>
        <v>-0.21595640996238735</v>
      </c>
      <c r="Q134" s="6" t="s">
        <v>43</v>
      </c>
      <c r="R134" s="17">
        <v>9.5</v>
      </c>
      <c r="S134" s="6" t="s">
        <v>12</v>
      </c>
      <c r="T134" s="70">
        <v>-168.98599999999999</v>
      </c>
      <c r="U134" s="29">
        <v>300</v>
      </c>
      <c r="V134" s="29">
        <v>500</v>
      </c>
      <c r="W134" s="28">
        <f t="shared" si="30"/>
        <v>460</v>
      </c>
      <c r="X134" s="28">
        <f t="shared" si="35"/>
        <v>1043.9354065507739</v>
      </c>
      <c r="Y134" s="60">
        <v>20</v>
      </c>
      <c r="Z134" s="60">
        <v>2</v>
      </c>
      <c r="AA134" s="60">
        <v>20</v>
      </c>
      <c r="AB134" s="60">
        <v>2</v>
      </c>
      <c r="AC134" s="28">
        <f t="shared" si="36"/>
        <v>1256.6370614359173</v>
      </c>
      <c r="AD134" s="34" t="str">
        <f t="shared" si="31"/>
        <v>OK</v>
      </c>
      <c r="AE134" s="28">
        <f t="shared" si="37"/>
        <v>-203.41686768287767</v>
      </c>
      <c r="AF134" s="32">
        <f t="shared" si="38"/>
        <v>0.83073740110601535</v>
      </c>
    </row>
    <row r="135" spans="1:32" x14ac:dyDescent="0.25">
      <c r="A135" s="6" t="s">
        <v>44</v>
      </c>
      <c r="B135" s="17">
        <v>9.5</v>
      </c>
      <c r="C135" s="6" t="s">
        <v>11</v>
      </c>
      <c r="D135" s="67">
        <v>24.526299999999999</v>
      </c>
      <c r="E135" s="29">
        <v>300</v>
      </c>
      <c r="F135" s="29">
        <v>500</v>
      </c>
      <c r="G135" s="28">
        <f t="shared" si="27"/>
        <v>460</v>
      </c>
      <c r="H135" s="28">
        <f t="shared" si="32"/>
        <v>151.51475839232981</v>
      </c>
      <c r="I135" s="61">
        <v>14</v>
      </c>
      <c r="J135" s="61">
        <v>2</v>
      </c>
      <c r="K135" s="61">
        <v>12</v>
      </c>
      <c r="L135" s="61">
        <v>2</v>
      </c>
      <c r="M135" s="28">
        <f t="shared" si="33"/>
        <v>534.07075111026484</v>
      </c>
      <c r="N135" s="34" t="str">
        <f t="shared" si="28"/>
        <v>OK</v>
      </c>
      <c r="O135" s="17">
        <f t="shared" si="29"/>
        <v>86.452168765223007</v>
      </c>
      <c r="P135" s="19">
        <f t="shared" si="34"/>
        <v>0.28369791470015915</v>
      </c>
      <c r="Q135" s="6" t="s">
        <v>44</v>
      </c>
      <c r="R135" s="17">
        <v>9.5</v>
      </c>
      <c r="S135" s="6" t="s">
        <v>12</v>
      </c>
      <c r="T135" s="70">
        <v>-152.0352</v>
      </c>
      <c r="U135" s="29">
        <v>300</v>
      </c>
      <c r="V135" s="29">
        <v>500</v>
      </c>
      <c r="W135" s="28">
        <f t="shared" si="30"/>
        <v>460</v>
      </c>
      <c r="X135" s="28">
        <f t="shared" si="35"/>
        <v>939.21939286111399</v>
      </c>
      <c r="Y135" s="60">
        <v>20</v>
      </c>
      <c r="Z135" s="60">
        <v>2</v>
      </c>
      <c r="AA135" s="60">
        <v>20</v>
      </c>
      <c r="AB135" s="60">
        <v>2</v>
      </c>
      <c r="AC135" s="28">
        <f t="shared" si="36"/>
        <v>1256.6370614359173</v>
      </c>
      <c r="AD135" s="34" t="str">
        <f t="shared" si="31"/>
        <v>OK</v>
      </c>
      <c r="AE135" s="28">
        <f t="shared" si="37"/>
        <v>-203.41686768287767</v>
      </c>
      <c r="AF135" s="32">
        <f t="shared" si="38"/>
        <v>0.74740704510807565</v>
      </c>
    </row>
    <row r="136" spans="1:32" x14ac:dyDescent="0.25">
      <c r="A136" s="6" t="s">
        <v>44</v>
      </c>
      <c r="B136" s="17">
        <v>10</v>
      </c>
      <c r="C136" s="6" t="s">
        <v>11</v>
      </c>
      <c r="D136" s="67">
        <v>41.406700000000001</v>
      </c>
      <c r="E136" s="29">
        <v>300</v>
      </c>
      <c r="F136" s="29">
        <v>500</v>
      </c>
      <c r="G136" s="28">
        <f t="shared" si="27"/>
        <v>460</v>
      </c>
      <c r="H136" s="28">
        <f t="shared" si="32"/>
        <v>255.79586592040718</v>
      </c>
      <c r="I136" s="61">
        <v>14</v>
      </c>
      <c r="J136" s="61">
        <v>2</v>
      </c>
      <c r="K136" s="61">
        <v>12</v>
      </c>
      <c r="L136" s="61">
        <v>2</v>
      </c>
      <c r="M136" s="28">
        <f t="shared" si="33"/>
        <v>534.07075111026484</v>
      </c>
      <c r="N136" s="34" t="str">
        <f t="shared" si="28"/>
        <v>OK</v>
      </c>
      <c r="O136" s="17">
        <f t="shared" si="29"/>
        <v>86.452168765223007</v>
      </c>
      <c r="P136" s="19">
        <f t="shared" si="34"/>
        <v>0.47895501745534713</v>
      </c>
      <c r="Q136" s="6" t="s">
        <v>44</v>
      </c>
      <c r="R136" s="17">
        <v>10</v>
      </c>
      <c r="S136" s="6" t="s">
        <v>12</v>
      </c>
      <c r="T136" s="70">
        <v>-93.380499999999998</v>
      </c>
      <c r="U136" s="29">
        <v>300</v>
      </c>
      <c r="V136" s="29">
        <v>500</v>
      </c>
      <c r="W136" s="28">
        <f t="shared" si="30"/>
        <v>460</v>
      </c>
      <c r="X136" s="28">
        <f t="shared" si="35"/>
        <v>576.8715173530029</v>
      </c>
      <c r="Y136" s="60">
        <v>20</v>
      </c>
      <c r="Z136" s="60">
        <v>2</v>
      </c>
      <c r="AA136" s="60">
        <v>20</v>
      </c>
      <c r="AB136" s="60">
        <v>2</v>
      </c>
      <c r="AC136" s="28">
        <f t="shared" si="36"/>
        <v>1256.6370614359173</v>
      </c>
      <c r="AD136" s="34" t="str">
        <f t="shared" si="31"/>
        <v>OK</v>
      </c>
      <c r="AE136" s="28">
        <f t="shared" si="37"/>
        <v>-203.41686768287767</v>
      </c>
      <c r="AF136" s="32">
        <f t="shared" si="38"/>
        <v>0.4590597675782625</v>
      </c>
    </row>
    <row r="137" spans="1:32" x14ac:dyDescent="0.25">
      <c r="A137" s="6" t="s">
        <v>44</v>
      </c>
      <c r="B137" s="17">
        <v>10.5</v>
      </c>
      <c r="C137" s="6" t="s">
        <v>11</v>
      </c>
      <c r="D137" s="67">
        <v>48.684699999999999</v>
      </c>
      <c r="E137" s="29">
        <v>300</v>
      </c>
      <c r="F137" s="29">
        <v>500</v>
      </c>
      <c r="G137" s="28">
        <f t="shared" si="27"/>
        <v>460</v>
      </c>
      <c r="H137" s="28">
        <f t="shared" si="32"/>
        <v>300.75676143173081</v>
      </c>
      <c r="I137" s="61">
        <v>14</v>
      </c>
      <c r="J137" s="61">
        <v>2</v>
      </c>
      <c r="K137" s="61">
        <v>12</v>
      </c>
      <c r="L137" s="61">
        <v>2</v>
      </c>
      <c r="M137" s="28">
        <f t="shared" si="33"/>
        <v>534.07075111026484</v>
      </c>
      <c r="N137" s="34" t="str">
        <f t="shared" si="28"/>
        <v>OK</v>
      </c>
      <c r="O137" s="17">
        <f t="shared" si="29"/>
        <v>86.452168765223007</v>
      </c>
      <c r="P137" s="19">
        <f t="shared" si="34"/>
        <v>0.56314029706082203</v>
      </c>
      <c r="Q137" s="6" t="s">
        <v>44</v>
      </c>
      <c r="R137" s="17">
        <v>10.5</v>
      </c>
      <c r="S137" s="6" t="s">
        <v>12</v>
      </c>
      <c r="T137" s="70">
        <v>-44.328200000000002</v>
      </c>
      <c r="U137" s="29">
        <v>300</v>
      </c>
      <c r="V137" s="29">
        <v>500</v>
      </c>
      <c r="W137" s="28">
        <f t="shared" si="30"/>
        <v>460</v>
      </c>
      <c r="X137" s="28">
        <f t="shared" si="35"/>
        <v>273.84385386164541</v>
      </c>
      <c r="Y137" s="60">
        <v>20</v>
      </c>
      <c r="Z137" s="60">
        <v>2</v>
      </c>
      <c r="AA137" s="60">
        <v>20</v>
      </c>
      <c r="AB137" s="60">
        <v>2</v>
      </c>
      <c r="AC137" s="28">
        <f t="shared" si="36"/>
        <v>1256.6370614359173</v>
      </c>
      <c r="AD137" s="34" t="str">
        <f t="shared" si="31"/>
        <v>OK</v>
      </c>
      <c r="AE137" s="28">
        <f t="shared" si="37"/>
        <v>-203.41686768287767</v>
      </c>
      <c r="AF137" s="32">
        <f t="shared" si="38"/>
        <v>0.21791801488707746</v>
      </c>
    </row>
    <row r="138" spans="1:32" x14ac:dyDescent="0.25">
      <c r="A138" s="6" t="s">
        <v>44</v>
      </c>
      <c r="B138" s="17">
        <v>11</v>
      </c>
      <c r="C138" s="6" t="s">
        <v>11</v>
      </c>
      <c r="D138" s="67">
        <v>46.360500000000002</v>
      </c>
      <c r="E138" s="29">
        <v>300</v>
      </c>
      <c r="F138" s="29">
        <v>500</v>
      </c>
      <c r="G138" s="28">
        <f t="shared" si="27"/>
        <v>460</v>
      </c>
      <c r="H138" s="28">
        <f t="shared" si="32"/>
        <v>286.3986804551688</v>
      </c>
      <c r="I138" s="61">
        <v>14</v>
      </c>
      <c r="J138" s="61">
        <v>2</v>
      </c>
      <c r="K138" s="61">
        <v>12</v>
      </c>
      <c r="L138" s="61">
        <v>2</v>
      </c>
      <c r="M138" s="28">
        <f t="shared" si="33"/>
        <v>534.07075111026484</v>
      </c>
      <c r="N138" s="34" t="str">
        <f t="shared" si="28"/>
        <v>OK</v>
      </c>
      <c r="O138" s="17">
        <f t="shared" si="29"/>
        <v>86.452168765223007</v>
      </c>
      <c r="P138" s="19">
        <f t="shared" si="34"/>
        <v>0.53625606693454486</v>
      </c>
      <c r="Q138" s="6" t="s">
        <v>44</v>
      </c>
      <c r="R138" s="17">
        <v>11</v>
      </c>
      <c r="S138" s="6" t="s">
        <v>12</v>
      </c>
      <c r="T138" s="70">
        <v>-4.8785999999999996</v>
      </c>
      <c r="U138" s="29">
        <v>300</v>
      </c>
      <c r="V138" s="29">
        <v>500</v>
      </c>
      <c r="W138" s="28">
        <f t="shared" si="30"/>
        <v>460</v>
      </c>
      <c r="X138" s="28">
        <f t="shared" si="35"/>
        <v>30.138255680343967</v>
      </c>
      <c r="Y138" s="60">
        <v>20</v>
      </c>
      <c r="Z138" s="60">
        <v>2</v>
      </c>
      <c r="AA138" s="60">
        <v>20</v>
      </c>
      <c r="AB138" s="60">
        <v>2</v>
      </c>
      <c r="AC138" s="28">
        <f t="shared" si="36"/>
        <v>1256.6370614359173</v>
      </c>
      <c r="AD138" s="34" t="str">
        <f t="shared" si="31"/>
        <v>OK</v>
      </c>
      <c r="AE138" s="28">
        <f t="shared" si="37"/>
        <v>-203.41686768287767</v>
      </c>
      <c r="AF138" s="32">
        <f t="shared" si="38"/>
        <v>2.3983261838470681E-2</v>
      </c>
    </row>
    <row r="139" spans="1:32" x14ac:dyDescent="0.25">
      <c r="A139" s="6" t="s">
        <v>44</v>
      </c>
      <c r="B139" s="17">
        <v>11.5</v>
      </c>
      <c r="C139" s="6" t="s">
        <v>11</v>
      </c>
      <c r="D139" s="67">
        <v>34.436700000000002</v>
      </c>
      <c r="E139" s="29">
        <v>300</v>
      </c>
      <c r="F139" s="29">
        <v>500</v>
      </c>
      <c r="G139" s="28">
        <f t="shared" si="27"/>
        <v>460</v>
      </c>
      <c r="H139" s="28">
        <f t="shared" si="32"/>
        <v>212.73768486600684</v>
      </c>
      <c r="I139" s="61">
        <v>14</v>
      </c>
      <c r="J139" s="61">
        <v>2</v>
      </c>
      <c r="K139" s="61">
        <v>12</v>
      </c>
      <c r="L139" s="61">
        <v>2</v>
      </c>
      <c r="M139" s="28">
        <f t="shared" si="33"/>
        <v>534.07075111026484</v>
      </c>
      <c r="N139" s="34" t="str">
        <f t="shared" si="28"/>
        <v>OK</v>
      </c>
      <c r="O139" s="17">
        <f t="shared" si="29"/>
        <v>86.452168765223007</v>
      </c>
      <c r="P139" s="19">
        <f t="shared" si="34"/>
        <v>0.39833240151001054</v>
      </c>
      <c r="Q139" s="6" t="s">
        <v>44</v>
      </c>
      <c r="R139" s="17">
        <v>11.5</v>
      </c>
      <c r="S139" s="6" t="s">
        <v>12</v>
      </c>
      <c r="T139" s="70">
        <v>24.965900000000001</v>
      </c>
      <c r="U139" s="29">
        <v>300</v>
      </c>
      <c r="V139" s="29">
        <v>500</v>
      </c>
      <c r="W139" s="28">
        <f t="shared" si="30"/>
        <v>460</v>
      </c>
      <c r="X139" s="28">
        <f t="shared" si="35"/>
        <v>154.23045084448395</v>
      </c>
      <c r="Y139" s="60">
        <v>20</v>
      </c>
      <c r="Z139" s="60">
        <v>2</v>
      </c>
      <c r="AA139" s="60">
        <v>14</v>
      </c>
      <c r="AB139" s="60">
        <v>2</v>
      </c>
      <c r="AC139" s="28">
        <f t="shared" si="36"/>
        <v>936.19461076975836</v>
      </c>
      <c r="AD139" s="34" t="str">
        <f t="shared" si="31"/>
        <v>OK</v>
      </c>
      <c r="AE139" s="28">
        <f t="shared" si="37"/>
        <v>-151.54556642374388</v>
      </c>
      <c r="AF139" s="32">
        <f t="shared" si="38"/>
        <v>-0.16474186998114906</v>
      </c>
    </row>
    <row r="140" spans="1:32" x14ac:dyDescent="0.25">
      <c r="A140" s="6" t="s">
        <v>44</v>
      </c>
      <c r="B140" s="17">
        <v>12</v>
      </c>
      <c r="C140" s="6" t="s">
        <v>11</v>
      </c>
      <c r="D140" s="67">
        <v>45.215899999999998</v>
      </c>
      <c r="E140" s="29">
        <v>300</v>
      </c>
      <c r="F140" s="29">
        <v>500</v>
      </c>
      <c r="G140" s="28">
        <f t="shared" si="27"/>
        <v>460</v>
      </c>
      <c r="H140" s="28">
        <f t="shared" si="32"/>
        <v>279.32774874284934</v>
      </c>
      <c r="I140" s="61">
        <v>14</v>
      </c>
      <c r="J140" s="61">
        <v>2</v>
      </c>
      <c r="K140" s="61">
        <v>12</v>
      </c>
      <c r="L140" s="61">
        <v>2</v>
      </c>
      <c r="M140" s="28">
        <f t="shared" si="33"/>
        <v>534.07075111026484</v>
      </c>
      <c r="N140" s="34" t="str">
        <f t="shared" si="28"/>
        <v>OK</v>
      </c>
      <c r="O140" s="17">
        <f t="shared" si="29"/>
        <v>86.452168765223007</v>
      </c>
      <c r="P140" s="19">
        <f t="shared" si="34"/>
        <v>0.5230163759430051</v>
      </c>
      <c r="Q140" s="6" t="s">
        <v>44</v>
      </c>
      <c r="R140" s="17">
        <v>12</v>
      </c>
      <c r="S140" s="6" t="s">
        <v>12</v>
      </c>
      <c r="T140" s="70">
        <v>12.9025</v>
      </c>
      <c r="U140" s="29">
        <v>300</v>
      </c>
      <c r="V140" s="29">
        <v>500</v>
      </c>
      <c r="W140" s="28">
        <f t="shared" si="30"/>
        <v>460</v>
      </c>
      <c r="X140" s="28">
        <f t="shared" si="35"/>
        <v>79.707056105365893</v>
      </c>
      <c r="Y140" s="60">
        <v>20</v>
      </c>
      <c r="Z140" s="60">
        <v>2</v>
      </c>
      <c r="AA140" s="60">
        <v>14</v>
      </c>
      <c r="AB140" s="60">
        <v>2</v>
      </c>
      <c r="AC140" s="28">
        <f t="shared" si="36"/>
        <v>936.19461076975836</v>
      </c>
      <c r="AD140" s="34" t="str">
        <f t="shared" si="31"/>
        <v>OK</v>
      </c>
      <c r="AE140" s="28">
        <f t="shared" si="37"/>
        <v>-151.54556642374388</v>
      </c>
      <c r="AF140" s="32">
        <f t="shared" si="38"/>
        <v>-8.513940925149005E-2</v>
      </c>
    </row>
    <row r="141" spans="1:32" x14ac:dyDescent="0.25">
      <c r="A141" s="6" t="s">
        <v>44</v>
      </c>
      <c r="B141" s="17">
        <v>12.5</v>
      </c>
      <c r="C141" s="6" t="s">
        <v>11</v>
      </c>
      <c r="D141" s="67">
        <v>55.857999999999997</v>
      </c>
      <c r="E141" s="29">
        <v>300</v>
      </c>
      <c r="F141" s="29">
        <v>500</v>
      </c>
      <c r="G141" s="28">
        <f t="shared" si="27"/>
        <v>460</v>
      </c>
      <c r="H141" s="28">
        <f t="shared" si="32"/>
        <v>345.0708575805873</v>
      </c>
      <c r="I141" s="61">
        <v>14</v>
      </c>
      <c r="J141" s="61">
        <v>2</v>
      </c>
      <c r="K141" s="61">
        <v>12</v>
      </c>
      <c r="L141" s="61">
        <v>2</v>
      </c>
      <c r="M141" s="28">
        <f t="shared" si="33"/>
        <v>534.07075111026484</v>
      </c>
      <c r="N141" s="34" t="str">
        <f t="shared" si="28"/>
        <v>OK</v>
      </c>
      <c r="O141" s="17">
        <f t="shared" si="29"/>
        <v>86.452168765223007</v>
      </c>
      <c r="P141" s="19">
        <f t="shared" si="34"/>
        <v>0.64611450236364587</v>
      </c>
      <c r="Q141" s="6" t="s">
        <v>44</v>
      </c>
      <c r="R141" s="17">
        <v>12.5</v>
      </c>
      <c r="S141" s="6" t="s">
        <v>12</v>
      </c>
      <c r="T141" s="70">
        <v>-18.2286</v>
      </c>
      <c r="U141" s="29">
        <v>300</v>
      </c>
      <c r="V141" s="29">
        <v>500</v>
      </c>
      <c r="W141" s="28">
        <f t="shared" si="30"/>
        <v>460</v>
      </c>
      <c r="X141" s="28">
        <f t="shared" si="35"/>
        <v>112.60980762815521</v>
      </c>
      <c r="Y141" s="60">
        <v>20</v>
      </c>
      <c r="Z141" s="60">
        <v>2</v>
      </c>
      <c r="AA141" s="60">
        <v>14</v>
      </c>
      <c r="AB141" s="60">
        <v>2</v>
      </c>
      <c r="AC141" s="28">
        <f t="shared" si="36"/>
        <v>936.19461076975836</v>
      </c>
      <c r="AD141" s="34" t="str">
        <f t="shared" si="31"/>
        <v>OK</v>
      </c>
      <c r="AE141" s="28">
        <f t="shared" si="37"/>
        <v>-151.54556642374388</v>
      </c>
      <c r="AF141" s="32">
        <f t="shared" si="38"/>
        <v>0.12028461425938473</v>
      </c>
    </row>
    <row r="142" spans="1:32" x14ac:dyDescent="0.25">
      <c r="A142" s="6" t="s">
        <v>44</v>
      </c>
      <c r="B142" s="17">
        <v>13</v>
      </c>
      <c r="C142" s="6" t="s">
        <v>11</v>
      </c>
      <c r="D142" s="67">
        <v>56.898200000000003</v>
      </c>
      <c r="E142" s="29">
        <v>300</v>
      </c>
      <c r="F142" s="29">
        <v>500</v>
      </c>
      <c r="G142" s="28">
        <f t="shared" si="27"/>
        <v>460</v>
      </c>
      <c r="H142" s="28">
        <f t="shared" si="32"/>
        <v>351.49684322374185</v>
      </c>
      <c r="I142" s="61">
        <v>14</v>
      </c>
      <c r="J142" s="61">
        <v>2</v>
      </c>
      <c r="K142" s="61">
        <v>12</v>
      </c>
      <c r="L142" s="61">
        <v>2</v>
      </c>
      <c r="M142" s="28">
        <f t="shared" si="33"/>
        <v>534.07075111026484</v>
      </c>
      <c r="N142" s="34" t="str">
        <f t="shared" si="28"/>
        <v>OK</v>
      </c>
      <c r="O142" s="17">
        <f t="shared" si="29"/>
        <v>86.452168765223007</v>
      </c>
      <c r="P142" s="19">
        <f t="shared" si="34"/>
        <v>0.65814658917947655</v>
      </c>
      <c r="Q142" s="6" t="s">
        <v>44</v>
      </c>
      <c r="R142" s="17">
        <v>13</v>
      </c>
      <c r="S142" s="6" t="s">
        <v>12</v>
      </c>
      <c r="T142" s="70">
        <v>-58.962499999999999</v>
      </c>
      <c r="U142" s="29">
        <v>300</v>
      </c>
      <c r="V142" s="29">
        <v>500</v>
      </c>
      <c r="W142" s="28">
        <f t="shared" si="30"/>
        <v>460</v>
      </c>
      <c r="X142" s="28">
        <f t="shared" si="35"/>
        <v>364.24935443616636</v>
      </c>
      <c r="Y142" s="60">
        <v>20</v>
      </c>
      <c r="Z142" s="60">
        <v>2</v>
      </c>
      <c r="AA142" s="60">
        <v>14</v>
      </c>
      <c r="AB142" s="60">
        <v>2</v>
      </c>
      <c r="AC142" s="28">
        <f t="shared" si="36"/>
        <v>936.19461076975836</v>
      </c>
      <c r="AD142" s="34" t="str">
        <f t="shared" si="31"/>
        <v>OK</v>
      </c>
      <c r="AE142" s="28">
        <f t="shared" si="37"/>
        <v>-151.54556642374388</v>
      </c>
      <c r="AF142" s="32">
        <f t="shared" si="38"/>
        <v>0.38907439782917902</v>
      </c>
    </row>
    <row r="143" spans="1:32" x14ac:dyDescent="0.25">
      <c r="A143" s="6" t="s">
        <v>44</v>
      </c>
      <c r="B143" s="17">
        <v>13.5</v>
      </c>
      <c r="C143" s="6" t="s">
        <v>11</v>
      </c>
      <c r="D143" s="67">
        <v>48.335999999999999</v>
      </c>
      <c r="E143" s="29">
        <v>300</v>
      </c>
      <c r="F143" s="29">
        <v>500</v>
      </c>
      <c r="G143" s="28">
        <f t="shared" si="27"/>
        <v>460</v>
      </c>
      <c r="H143" s="28">
        <f t="shared" si="32"/>
        <v>298.60261685014262</v>
      </c>
      <c r="I143" s="61">
        <v>14</v>
      </c>
      <c r="J143" s="61">
        <v>2</v>
      </c>
      <c r="K143" s="61">
        <v>12</v>
      </c>
      <c r="L143" s="61">
        <v>2</v>
      </c>
      <c r="M143" s="28">
        <f>PI()*I143^2/4*J143+PI()*K143^2/4*L143</f>
        <v>534.07075111026484</v>
      </c>
      <c r="N143" s="34" t="str">
        <f t="shared" si="28"/>
        <v>OK</v>
      </c>
      <c r="O143" s="17">
        <f t="shared" si="29"/>
        <v>86.452168765223007</v>
      </c>
      <c r="P143" s="19">
        <f t="shared" si="34"/>
        <v>0.55910685284559403</v>
      </c>
      <c r="Q143" s="6" t="s">
        <v>44</v>
      </c>
      <c r="R143" s="17">
        <v>13.5</v>
      </c>
      <c r="S143" s="6" t="s">
        <v>12</v>
      </c>
      <c r="T143" s="70">
        <v>-109.29900000000001</v>
      </c>
      <c r="U143" s="29">
        <v>300</v>
      </c>
      <c r="V143" s="29">
        <v>500</v>
      </c>
      <c r="W143" s="28">
        <f t="shared" si="30"/>
        <v>460</v>
      </c>
      <c r="X143" s="28">
        <f t="shared" si="35"/>
        <v>675.21034878979935</v>
      </c>
      <c r="Y143" s="60">
        <v>20</v>
      </c>
      <c r="Z143" s="60">
        <v>2</v>
      </c>
      <c r="AA143" s="60">
        <v>14</v>
      </c>
      <c r="AB143" s="60">
        <v>2</v>
      </c>
      <c r="AC143" s="28">
        <f>PI()*Y143^2/4*Z143+PI()*AA143^2/4*AB143</f>
        <v>936.19461076975836</v>
      </c>
      <c r="AD143" s="34" t="str">
        <f t="shared" si="31"/>
        <v>OK</v>
      </c>
      <c r="AE143" s="28">
        <f t="shared" si="37"/>
        <v>-151.54556642374388</v>
      </c>
      <c r="AF143" s="32">
        <f>T143/AE143</f>
        <v>0.72122862172281432</v>
      </c>
    </row>
    <row r="144" spans="1:3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67" spans="1:32" x14ac:dyDescent="0.25">
      <c r="A167" s="2" t="s">
        <v>1</v>
      </c>
      <c r="B167" s="3" t="s">
        <v>2</v>
      </c>
      <c r="C167" s="2" t="s">
        <v>3</v>
      </c>
      <c r="D167" s="3" t="s">
        <v>5</v>
      </c>
      <c r="E167" s="5" t="s">
        <v>20</v>
      </c>
      <c r="F167" s="5" t="s">
        <v>21</v>
      </c>
      <c r="G167" s="5" t="s">
        <v>25</v>
      </c>
      <c r="H167" s="5" t="s">
        <v>23</v>
      </c>
      <c r="I167" s="5" t="s">
        <v>26</v>
      </c>
      <c r="J167" s="5" t="s">
        <v>27</v>
      </c>
      <c r="K167" s="5" t="s">
        <v>26</v>
      </c>
      <c r="L167" s="5" t="s">
        <v>27</v>
      </c>
      <c r="M167" s="5" t="s">
        <v>23</v>
      </c>
      <c r="N167" s="18"/>
      <c r="O167" s="5" t="s">
        <v>31</v>
      </c>
      <c r="P167" s="5" t="s">
        <v>33</v>
      </c>
      <c r="Q167" s="2" t="s">
        <v>1</v>
      </c>
      <c r="R167" s="3" t="s">
        <v>2</v>
      </c>
      <c r="S167" s="2" t="s">
        <v>3</v>
      </c>
      <c r="T167" s="3" t="s">
        <v>5</v>
      </c>
      <c r="U167" s="5" t="s">
        <v>20</v>
      </c>
      <c r="V167" s="5" t="s">
        <v>21</v>
      </c>
      <c r="W167" s="5" t="s">
        <v>25</v>
      </c>
      <c r="X167" s="5" t="s">
        <v>23</v>
      </c>
      <c r="Y167" s="5" t="s">
        <v>26</v>
      </c>
      <c r="Z167" s="5" t="s">
        <v>27</v>
      </c>
      <c r="AA167" s="5" t="s">
        <v>26</v>
      </c>
      <c r="AB167" s="5" t="s">
        <v>27</v>
      </c>
      <c r="AC167" s="5" t="s">
        <v>23</v>
      </c>
      <c r="AD167" s="18"/>
      <c r="AE167" s="5" t="s">
        <v>31</v>
      </c>
      <c r="AF167" s="5" t="s">
        <v>33</v>
      </c>
    </row>
    <row r="168" spans="1:32" x14ac:dyDescent="0.25">
      <c r="A168" s="4" t="s">
        <v>6</v>
      </c>
      <c r="B168" s="5" t="s">
        <v>7</v>
      </c>
      <c r="C168" s="4" t="s">
        <v>6</v>
      </c>
      <c r="D168" s="5" t="s">
        <v>9</v>
      </c>
      <c r="E168" s="9" t="s">
        <v>22</v>
      </c>
      <c r="F168" s="9" t="s">
        <v>22</v>
      </c>
      <c r="G168" s="9" t="s">
        <v>22</v>
      </c>
      <c r="H168" s="9" t="s">
        <v>24</v>
      </c>
      <c r="I168" s="9" t="s">
        <v>22</v>
      </c>
      <c r="J168" s="9" t="s">
        <v>28</v>
      </c>
      <c r="K168" s="9" t="s">
        <v>22</v>
      </c>
      <c r="L168" s="9" t="s">
        <v>28</v>
      </c>
      <c r="M168" s="9" t="s">
        <v>24</v>
      </c>
      <c r="N168" s="31"/>
      <c r="O168" s="9" t="s">
        <v>9</v>
      </c>
      <c r="P168" s="9" t="s">
        <v>28</v>
      </c>
      <c r="Q168" s="4" t="s">
        <v>6</v>
      </c>
      <c r="R168" s="5" t="s">
        <v>7</v>
      </c>
      <c r="S168" s="4" t="s">
        <v>6</v>
      </c>
      <c r="T168" s="5" t="s">
        <v>9</v>
      </c>
      <c r="U168" s="9" t="s">
        <v>22</v>
      </c>
      <c r="V168" s="5" t="s">
        <v>22</v>
      </c>
      <c r="W168" s="5" t="s">
        <v>22</v>
      </c>
      <c r="X168" s="5" t="s">
        <v>24</v>
      </c>
      <c r="Y168" s="5" t="s">
        <v>22</v>
      </c>
      <c r="Z168" s="5" t="s">
        <v>28</v>
      </c>
      <c r="AA168" s="5" t="s">
        <v>22</v>
      </c>
      <c r="AB168" s="5" t="s">
        <v>28</v>
      </c>
      <c r="AC168" s="5" t="s">
        <v>24</v>
      </c>
      <c r="AD168" s="18"/>
      <c r="AE168" s="5" t="s">
        <v>9</v>
      </c>
      <c r="AF168" s="5" t="s">
        <v>28</v>
      </c>
    </row>
    <row r="169" spans="1:32" x14ac:dyDescent="0.25">
      <c r="A169" s="6" t="s">
        <v>45</v>
      </c>
      <c r="B169" s="17">
        <v>0</v>
      </c>
      <c r="C169" s="6" t="s">
        <v>11</v>
      </c>
      <c r="D169" s="72">
        <v>56.247799999999998</v>
      </c>
      <c r="E169" s="29">
        <v>300</v>
      </c>
      <c r="F169" s="29">
        <v>500</v>
      </c>
      <c r="G169" s="28">
        <f t="shared" ref="G169:G198" si="39">F169-40</f>
        <v>460</v>
      </c>
      <c r="H169" s="28">
        <f>ABS(D169)*1000^2/(0.9*391*G169)</f>
        <v>347.47890334457657</v>
      </c>
      <c r="I169" s="11">
        <v>14</v>
      </c>
      <c r="J169" s="11">
        <v>2</v>
      </c>
      <c r="K169" s="11">
        <v>12</v>
      </c>
      <c r="L169" s="11">
        <v>2</v>
      </c>
      <c r="M169" s="28">
        <f>PI()*I169^2/4*J169+PI()*K169^2/4*L169</f>
        <v>534.07075111026484</v>
      </c>
      <c r="N169" s="34" t="str">
        <f t="shared" ref="N169:N198" si="40">IF(M169&gt;=H169,"OK","NO")</f>
        <v>OK</v>
      </c>
      <c r="O169" s="17">
        <f t="shared" ref="O169:O198" si="41">(M169*0.9*391*G169)/1000^2</f>
        <v>86.452168765223007</v>
      </c>
      <c r="P169" s="19">
        <f>D169/O169</f>
        <v>0.6506233539698858</v>
      </c>
      <c r="Q169" s="6" t="s">
        <v>45</v>
      </c>
      <c r="R169" s="17">
        <v>0</v>
      </c>
      <c r="S169" s="6" t="s">
        <v>12</v>
      </c>
      <c r="T169" s="71">
        <v>-117.54640000000001</v>
      </c>
      <c r="U169" s="29">
        <v>300</v>
      </c>
      <c r="V169" s="29">
        <v>500</v>
      </c>
      <c r="W169" s="28">
        <f t="shared" ref="W169:W198" si="42">V169-40</f>
        <v>460</v>
      </c>
      <c r="X169" s="28">
        <f>ABS(T169)*1000^2/(0.9*391*W169)</f>
        <v>726.1598527249588</v>
      </c>
      <c r="Y169" s="60">
        <v>20</v>
      </c>
      <c r="Z169" s="60">
        <v>2</v>
      </c>
      <c r="AA169" s="60">
        <v>14</v>
      </c>
      <c r="AB169" s="60">
        <v>2</v>
      </c>
      <c r="AC169" s="28">
        <f>PI()*Y169^2/4*Z169+PI()*AA169^2/4*AB169</f>
        <v>936.19461076975836</v>
      </c>
      <c r="AD169" s="34" t="str">
        <f t="shared" ref="AD169:AD198" si="43">IF(AC169&gt;=X169,"OK","NO")</f>
        <v>OK</v>
      </c>
      <c r="AE169" s="28">
        <f>-(AC169*0.9*391*W169)/1000^2</f>
        <v>-151.54556642374388</v>
      </c>
      <c r="AF169" s="32">
        <f>T169/AE169</f>
        <v>0.77565053715476462</v>
      </c>
    </row>
    <row r="170" spans="1:32" x14ac:dyDescent="0.25">
      <c r="A170" s="6" t="s">
        <v>45</v>
      </c>
      <c r="B170" s="17">
        <v>0.5</v>
      </c>
      <c r="C170" s="6" t="s">
        <v>11</v>
      </c>
      <c r="D170" s="72">
        <v>62.700200000000002</v>
      </c>
      <c r="E170" s="29">
        <v>300</v>
      </c>
      <c r="F170" s="29">
        <v>500</v>
      </c>
      <c r="G170" s="28">
        <f t="shared" si="39"/>
        <v>460</v>
      </c>
      <c r="H170" s="28">
        <f t="shared" ref="H170:H198" si="44">ABS(D170)*1000^2/(0.9*391*G170)</f>
        <v>387.33953568825126</v>
      </c>
      <c r="I170" s="11">
        <v>14</v>
      </c>
      <c r="J170" s="11">
        <v>2</v>
      </c>
      <c r="K170" s="11">
        <v>12</v>
      </c>
      <c r="L170" s="11">
        <v>2</v>
      </c>
      <c r="M170" s="28">
        <f t="shared" ref="M170:M197" si="45">PI()*I170^2/4*J170+PI()*K170^2/4*L170</f>
        <v>534.07075111026484</v>
      </c>
      <c r="N170" s="34" t="str">
        <f t="shared" si="40"/>
        <v>OK</v>
      </c>
      <c r="O170" s="17">
        <f t="shared" si="41"/>
        <v>86.452168765223007</v>
      </c>
      <c r="P170" s="19">
        <f t="shared" ref="P170:P198" si="46">D170/O170</f>
        <v>0.7252588442318213</v>
      </c>
      <c r="Q170" s="6" t="s">
        <v>45</v>
      </c>
      <c r="R170" s="17">
        <v>0.5</v>
      </c>
      <c r="S170" s="6" t="s">
        <v>12</v>
      </c>
      <c r="T170" s="71">
        <v>-65.036299999999997</v>
      </c>
      <c r="U170" s="29">
        <v>300</v>
      </c>
      <c r="V170" s="29">
        <v>500</v>
      </c>
      <c r="W170" s="28">
        <f t="shared" si="42"/>
        <v>460</v>
      </c>
      <c r="X170" s="28">
        <f t="shared" ref="X170:X198" si="47">ABS(T170)*1000^2/(0.9*391*W170)</f>
        <v>401.77113063246713</v>
      </c>
      <c r="Y170" s="60">
        <v>20</v>
      </c>
      <c r="Z170" s="60">
        <v>2</v>
      </c>
      <c r="AA170" s="60">
        <v>14</v>
      </c>
      <c r="AB170" s="60">
        <v>2</v>
      </c>
      <c r="AC170" s="28">
        <f t="shared" ref="AC170:AC197" si="48">PI()*Y170^2/4*Z170+PI()*AA170^2/4*AB170</f>
        <v>936.19461076975836</v>
      </c>
      <c r="AD170" s="34" t="str">
        <f t="shared" si="43"/>
        <v>OK</v>
      </c>
      <c r="AE170" s="28">
        <f t="shared" ref="AE170:AE198" si="49">-(AC170*0.9*391*W170)/1000^2</f>
        <v>-151.54556642374388</v>
      </c>
      <c r="AF170" s="32">
        <f t="shared" ref="AF170:AF197" si="50">T170/AE170</f>
        <v>0.42915343242803194</v>
      </c>
    </row>
    <row r="171" spans="1:32" x14ac:dyDescent="0.25">
      <c r="A171" s="6" t="s">
        <v>45</v>
      </c>
      <c r="B171" s="17">
        <v>1</v>
      </c>
      <c r="C171" s="6" t="s">
        <v>11</v>
      </c>
      <c r="D171" s="72">
        <v>59.5503</v>
      </c>
      <c r="E171" s="29">
        <v>300</v>
      </c>
      <c r="F171" s="29">
        <v>500</v>
      </c>
      <c r="G171" s="28">
        <f t="shared" si="39"/>
        <v>460</v>
      </c>
      <c r="H171" s="28">
        <f t="shared" si="44"/>
        <v>367.88057377960632</v>
      </c>
      <c r="I171" s="11">
        <v>14</v>
      </c>
      <c r="J171" s="11">
        <v>2</v>
      </c>
      <c r="K171" s="11">
        <v>12</v>
      </c>
      <c r="L171" s="11">
        <v>2</v>
      </c>
      <c r="M171" s="28">
        <f t="shared" si="45"/>
        <v>534.07075111026484</v>
      </c>
      <c r="N171" s="34" t="str">
        <f t="shared" si="40"/>
        <v>OK</v>
      </c>
      <c r="O171" s="17">
        <f t="shared" si="41"/>
        <v>86.452168765223007</v>
      </c>
      <c r="P171" s="19">
        <f t="shared" si="46"/>
        <v>0.6888236680530242</v>
      </c>
      <c r="Q171" s="6" t="s">
        <v>45</v>
      </c>
      <c r="R171" s="17">
        <v>1</v>
      </c>
      <c r="S171" s="6" t="s">
        <v>12</v>
      </c>
      <c r="T171" s="71">
        <v>-22.128599999999999</v>
      </c>
      <c r="U171" s="29">
        <v>300</v>
      </c>
      <c r="V171" s="29">
        <v>500</v>
      </c>
      <c r="W171" s="28">
        <f t="shared" si="42"/>
        <v>460</v>
      </c>
      <c r="X171" s="28">
        <f t="shared" si="47"/>
        <v>136.70262055672927</v>
      </c>
      <c r="Y171" s="60">
        <v>20</v>
      </c>
      <c r="Z171" s="60">
        <v>2</v>
      </c>
      <c r="AA171" s="60">
        <v>14</v>
      </c>
      <c r="AB171" s="60">
        <v>2</v>
      </c>
      <c r="AC171" s="28">
        <f t="shared" si="48"/>
        <v>936.19461076975836</v>
      </c>
      <c r="AD171" s="34" t="str">
        <f t="shared" si="43"/>
        <v>OK</v>
      </c>
      <c r="AE171" s="28">
        <f t="shared" si="49"/>
        <v>-151.54556642374388</v>
      </c>
      <c r="AF171" s="32">
        <f t="shared" si="50"/>
        <v>0.14601944829006183</v>
      </c>
    </row>
    <row r="172" spans="1:32" x14ac:dyDescent="0.25">
      <c r="A172" s="6" t="s">
        <v>45</v>
      </c>
      <c r="B172" s="17">
        <v>1.5</v>
      </c>
      <c r="C172" s="6" t="s">
        <v>11</v>
      </c>
      <c r="D172" s="72">
        <v>46.798499999999997</v>
      </c>
      <c r="E172" s="29">
        <v>300</v>
      </c>
      <c r="F172" s="29">
        <v>500</v>
      </c>
      <c r="G172" s="28">
        <f t="shared" si="39"/>
        <v>460</v>
      </c>
      <c r="H172" s="28">
        <f t="shared" si="44"/>
        <v>289.10448867637785</v>
      </c>
      <c r="I172" s="11">
        <v>14</v>
      </c>
      <c r="J172" s="11">
        <v>2</v>
      </c>
      <c r="K172" s="11">
        <v>12</v>
      </c>
      <c r="L172" s="11">
        <v>2</v>
      </c>
      <c r="M172" s="28">
        <f t="shared" si="45"/>
        <v>534.07075111026484</v>
      </c>
      <c r="N172" s="34" t="str">
        <f t="shared" si="40"/>
        <v>OK</v>
      </c>
      <c r="O172" s="17">
        <f t="shared" si="41"/>
        <v>86.452168765223007</v>
      </c>
      <c r="P172" s="19">
        <f t="shared" si="46"/>
        <v>0.54132245226941678</v>
      </c>
      <c r="Q172" s="6" t="s">
        <v>45</v>
      </c>
      <c r="R172" s="17">
        <v>1.5</v>
      </c>
      <c r="S172" s="6" t="s">
        <v>12</v>
      </c>
      <c r="T172" s="71">
        <v>11.1761</v>
      </c>
      <c r="U172" s="29">
        <v>300</v>
      </c>
      <c r="V172" s="29">
        <v>500</v>
      </c>
      <c r="W172" s="28">
        <f t="shared" si="42"/>
        <v>460</v>
      </c>
      <c r="X172" s="28">
        <f t="shared" si="47"/>
        <v>69.041970915650438</v>
      </c>
      <c r="Y172" s="60">
        <v>20</v>
      </c>
      <c r="Z172" s="60">
        <v>2</v>
      </c>
      <c r="AA172" s="60">
        <v>14</v>
      </c>
      <c r="AB172" s="60">
        <v>2</v>
      </c>
      <c r="AC172" s="28">
        <f t="shared" si="48"/>
        <v>936.19461076975836</v>
      </c>
      <c r="AD172" s="34" t="str">
        <f t="shared" si="43"/>
        <v>OK</v>
      </c>
      <c r="AE172" s="28">
        <f t="shared" si="49"/>
        <v>-151.54556642374388</v>
      </c>
      <c r="AF172" s="32">
        <f t="shared" si="50"/>
        <v>-7.3747456053910324E-2</v>
      </c>
    </row>
    <row r="173" spans="1:32" x14ac:dyDescent="0.25">
      <c r="A173" s="6" t="s">
        <v>45</v>
      </c>
      <c r="B173" s="17">
        <v>2</v>
      </c>
      <c r="C173" s="6" t="s">
        <v>11</v>
      </c>
      <c r="D173" s="72">
        <v>34.884099999999997</v>
      </c>
      <c r="E173" s="29">
        <v>300</v>
      </c>
      <c r="F173" s="29">
        <v>500</v>
      </c>
      <c r="G173" s="28">
        <f t="shared" si="39"/>
        <v>460</v>
      </c>
      <c r="H173" s="28">
        <f t="shared" si="44"/>
        <v>215.50156294401816</v>
      </c>
      <c r="I173" s="11">
        <v>14</v>
      </c>
      <c r="J173" s="11">
        <v>2</v>
      </c>
      <c r="K173" s="11">
        <v>12</v>
      </c>
      <c r="L173" s="11">
        <v>2</v>
      </c>
      <c r="M173" s="28">
        <f t="shared" si="45"/>
        <v>534.07075111026484</v>
      </c>
      <c r="N173" s="34" t="str">
        <f t="shared" si="40"/>
        <v>OK</v>
      </c>
      <c r="O173" s="17">
        <f t="shared" si="41"/>
        <v>86.452168765223007</v>
      </c>
      <c r="P173" s="19">
        <f t="shared" si="46"/>
        <v>0.40350751748905545</v>
      </c>
      <c r="Q173" s="6" t="s">
        <v>45</v>
      </c>
      <c r="R173" s="17">
        <v>2</v>
      </c>
      <c r="S173" s="6" t="s">
        <v>12</v>
      </c>
      <c r="T173" s="71">
        <v>24.438700000000001</v>
      </c>
      <c r="U173" s="29">
        <v>300</v>
      </c>
      <c r="V173" s="29">
        <v>500</v>
      </c>
      <c r="W173" s="28">
        <f t="shared" si="42"/>
        <v>460</v>
      </c>
      <c r="X173" s="28">
        <f t="shared" si="47"/>
        <v>150.973596748088</v>
      </c>
      <c r="Y173" s="60">
        <v>20</v>
      </c>
      <c r="Z173" s="60">
        <v>2</v>
      </c>
      <c r="AA173" s="60">
        <v>14</v>
      </c>
      <c r="AB173" s="60">
        <v>2</v>
      </c>
      <c r="AC173" s="28">
        <f t="shared" si="48"/>
        <v>936.19461076975836</v>
      </c>
      <c r="AD173" s="34" t="str">
        <f t="shared" si="43"/>
        <v>OK</v>
      </c>
      <c r="AE173" s="28">
        <f t="shared" si="49"/>
        <v>-151.54556642374388</v>
      </c>
      <c r="AF173" s="32">
        <f t="shared" si="50"/>
        <v>-0.16126304831423291</v>
      </c>
    </row>
    <row r="174" spans="1:32" x14ac:dyDescent="0.25">
      <c r="A174" s="6" t="s">
        <v>45</v>
      </c>
      <c r="B174" s="17">
        <v>2.5</v>
      </c>
      <c r="C174" s="6" t="s">
        <v>11</v>
      </c>
      <c r="D174" s="72">
        <v>48.981499999999997</v>
      </c>
      <c r="E174" s="29">
        <v>300</v>
      </c>
      <c r="F174" s="29">
        <v>500</v>
      </c>
      <c r="G174" s="28">
        <f t="shared" si="39"/>
        <v>460</v>
      </c>
      <c r="H174" s="28">
        <f t="shared" si="44"/>
        <v>302.59028627203867</v>
      </c>
      <c r="I174" s="11">
        <v>14</v>
      </c>
      <c r="J174" s="11">
        <v>2</v>
      </c>
      <c r="K174" s="11">
        <v>12</v>
      </c>
      <c r="L174" s="11">
        <v>2</v>
      </c>
      <c r="M174" s="28">
        <f t="shared" si="45"/>
        <v>534.07075111026484</v>
      </c>
      <c r="N174" s="34" t="str">
        <f t="shared" si="40"/>
        <v>OK</v>
      </c>
      <c r="O174" s="17">
        <f t="shared" si="41"/>
        <v>86.452168765223007</v>
      </c>
      <c r="P174" s="19">
        <f t="shared" si="46"/>
        <v>0.566573409315137</v>
      </c>
      <c r="Q174" s="6" t="s">
        <v>45</v>
      </c>
      <c r="R174" s="17">
        <v>2.5</v>
      </c>
      <c r="S174" s="6" t="s">
        <v>12</v>
      </c>
      <c r="T174" s="71">
        <v>-7.5155000000000003</v>
      </c>
      <c r="U174" s="29">
        <v>300</v>
      </c>
      <c r="V174" s="29">
        <v>500</v>
      </c>
      <c r="W174" s="28">
        <f t="shared" si="42"/>
        <v>460</v>
      </c>
      <c r="X174" s="28">
        <f t="shared" si="47"/>
        <v>46.428086042230369</v>
      </c>
      <c r="Y174" s="60">
        <v>20</v>
      </c>
      <c r="Z174" s="60">
        <v>2</v>
      </c>
      <c r="AA174" s="60">
        <v>20</v>
      </c>
      <c r="AB174" s="60">
        <v>2</v>
      </c>
      <c r="AC174" s="28">
        <f t="shared" si="48"/>
        <v>1256.6370614359173</v>
      </c>
      <c r="AD174" s="34" t="str">
        <f t="shared" si="43"/>
        <v>OK</v>
      </c>
      <c r="AE174" s="28">
        <f t="shared" si="49"/>
        <v>-203.41686768287767</v>
      </c>
      <c r="AF174" s="32">
        <f t="shared" si="50"/>
        <v>3.6946296959583985E-2</v>
      </c>
    </row>
    <row r="175" spans="1:32" x14ac:dyDescent="0.25">
      <c r="A175" s="6" t="s">
        <v>45</v>
      </c>
      <c r="B175" s="17">
        <v>3</v>
      </c>
      <c r="C175" s="6" t="s">
        <v>11</v>
      </c>
      <c r="D175" s="72">
        <v>53.479300000000002</v>
      </c>
      <c r="E175" s="29">
        <v>300</v>
      </c>
      <c r="F175" s="29">
        <v>500</v>
      </c>
      <c r="G175" s="28">
        <f t="shared" si="39"/>
        <v>460</v>
      </c>
      <c r="H175" s="28">
        <f t="shared" si="44"/>
        <v>330.37609498745934</v>
      </c>
      <c r="I175" s="11">
        <v>14</v>
      </c>
      <c r="J175" s="11">
        <v>2</v>
      </c>
      <c r="K175" s="11">
        <v>12</v>
      </c>
      <c r="L175" s="11">
        <v>2</v>
      </c>
      <c r="M175" s="28">
        <f t="shared" si="45"/>
        <v>534.07075111026484</v>
      </c>
      <c r="N175" s="34" t="str">
        <f t="shared" si="40"/>
        <v>OK</v>
      </c>
      <c r="O175" s="17">
        <f t="shared" si="41"/>
        <v>86.452168765223007</v>
      </c>
      <c r="P175" s="19">
        <f t="shared" si="46"/>
        <v>0.61859986584296134</v>
      </c>
      <c r="Q175" s="6" t="s">
        <v>45</v>
      </c>
      <c r="R175" s="17">
        <v>3</v>
      </c>
      <c r="S175" s="6" t="s">
        <v>12</v>
      </c>
      <c r="T175" s="71">
        <v>-49.074800000000003</v>
      </c>
      <c r="U175" s="29">
        <v>300</v>
      </c>
      <c r="V175" s="29">
        <v>500</v>
      </c>
      <c r="W175" s="28">
        <f t="shared" si="42"/>
        <v>460</v>
      </c>
      <c r="X175" s="28">
        <f t="shared" si="47"/>
        <v>303.16666048902226</v>
      </c>
      <c r="Y175" s="60">
        <v>20</v>
      </c>
      <c r="Z175" s="60">
        <v>2</v>
      </c>
      <c r="AA175" s="60">
        <v>20</v>
      </c>
      <c r="AB175" s="60">
        <v>2</v>
      </c>
      <c r="AC175" s="28">
        <f t="shared" si="48"/>
        <v>1256.6370614359173</v>
      </c>
      <c r="AD175" s="34" t="str">
        <f t="shared" si="43"/>
        <v>OK</v>
      </c>
      <c r="AE175" s="28">
        <f t="shared" si="49"/>
        <v>-203.41686768287767</v>
      </c>
      <c r="AF175" s="32">
        <f t="shared" si="50"/>
        <v>0.24125236298745154</v>
      </c>
    </row>
    <row r="176" spans="1:32" x14ac:dyDescent="0.25">
      <c r="A176" s="6" t="s">
        <v>45</v>
      </c>
      <c r="B176" s="17">
        <v>3.5</v>
      </c>
      <c r="C176" s="6" t="s">
        <v>11</v>
      </c>
      <c r="D176" s="72">
        <v>48.375</v>
      </c>
      <c r="E176" s="29">
        <v>300</v>
      </c>
      <c r="F176" s="29">
        <v>500</v>
      </c>
      <c r="G176" s="28">
        <f t="shared" si="39"/>
        <v>460</v>
      </c>
      <c r="H176" s="28">
        <f t="shared" si="44"/>
        <v>298.84354497942837</v>
      </c>
      <c r="I176" s="11">
        <v>14</v>
      </c>
      <c r="J176" s="11">
        <v>2</v>
      </c>
      <c r="K176" s="11">
        <v>12</v>
      </c>
      <c r="L176" s="11">
        <v>2</v>
      </c>
      <c r="M176" s="28">
        <f t="shared" si="45"/>
        <v>534.07075111026484</v>
      </c>
      <c r="N176" s="34" t="str">
        <f t="shared" si="40"/>
        <v>OK</v>
      </c>
      <c r="O176" s="17">
        <f t="shared" si="41"/>
        <v>86.452168765223007</v>
      </c>
      <c r="P176" s="19">
        <f t="shared" si="46"/>
        <v>0.55955796934801416</v>
      </c>
      <c r="Q176" s="6" t="s">
        <v>45</v>
      </c>
      <c r="R176" s="17">
        <v>3.5</v>
      </c>
      <c r="S176" s="6" t="s">
        <v>12</v>
      </c>
      <c r="T176" s="71">
        <v>-100.2368</v>
      </c>
      <c r="U176" s="29">
        <v>300</v>
      </c>
      <c r="V176" s="29">
        <v>500</v>
      </c>
      <c r="W176" s="28">
        <f t="shared" si="42"/>
        <v>460</v>
      </c>
      <c r="X176" s="28">
        <f t="shared" si="47"/>
        <v>619.22730024587008</v>
      </c>
      <c r="Y176" s="60">
        <v>20</v>
      </c>
      <c r="Z176" s="60">
        <v>2</v>
      </c>
      <c r="AA176" s="60">
        <v>20</v>
      </c>
      <c r="AB176" s="60">
        <v>2</v>
      </c>
      <c r="AC176" s="28">
        <f t="shared" si="48"/>
        <v>1256.6370614359173</v>
      </c>
      <c r="AD176" s="34" t="str">
        <f t="shared" si="43"/>
        <v>OK</v>
      </c>
      <c r="AE176" s="28">
        <f t="shared" si="49"/>
        <v>-203.41686768287767</v>
      </c>
      <c r="AF176" s="32">
        <f t="shared" si="50"/>
        <v>0.49276542865789735</v>
      </c>
    </row>
    <row r="177" spans="1:32" x14ac:dyDescent="0.25">
      <c r="A177" s="6" t="s">
        <v>45</v>
      </c>
      <c r="B177" s="17">
        <v>4</v>
      </c>
      <c r="C177" s="6" t="s">
        <v>11</v>
      </c>
      <c r="D177" s="72">
        <v>33.668199999999999</v>
      </c>
      <c r="E177" s="29">
        <v>300</v>
      </c>
      <c r="F177" s="29">
        <v>500</v>
      </c>
      <c r="G177" s="28">
        <f t="shared" si="39"/>
        <v>460</v>
      </c>
      <c r="H177" s="28">
        <f t="shared" si="44"/>
        <v>207.99016519020964</v>
      </c>
      <c r="I177" s="11">
        <v>14</v>
      </c>
      <c r="J177" s="11">
        <v>2</v>
      </c>
      <c r="K177" s="11">
        <v>12</v>
      </c>
      <c r="L177" s="11">
        <v>2</v>
      </c>
      <c r="M177" s="28">
        <f t="shared" si="45"/>
        <v>534.07075111026484</v>
      </c>
      <c r="N177" s="34" t="str">
        <f t="shared" si="40"/>
        <v>OK</v>
      </c>
      <c r="O177" s="17">
        <f t="shared" si="41"/>
        <v>86.452168765223007</v>
      </c>
      <c r="P177" s="19">
        <f t="shared" si="46"/>
        <v>0.3894430929943733</v>
      </c>
      <c r="Q177" s="6" t="s">
        <v>45</v>
      </c>
      <c r="R177" s="17">
        <v>4</v>
      </c>
      <c r="S177" s="6" t="s">
        <v>12</v>
      </c>
      <c r="T177" s="71">
        <v>-161.00120000000001</v>
      </c>
      <c r="U177" s="29">
        <v>300</v>
      </c>
      <c r="V177" s="29">
        <v>500</v>
      </c>
      <c r="W177" s="28">
        <f t="shared" si="42"/>
        <v>460</v>
      </c>
      <c r="X177" s="28">
        <f t="shared" si="47"/>
        <v>994.60815201947173</v>
      </c>
      <c r="Y177" s="60">
        <v>20</v>
      </c>
      <c r="Z177" s="60">
        <v>2</v>
      </c>
      <c r="AA177" s="60">
        <v>20</v>
      </c>
      <c r="AB177" s="60">
        <v>2</v>
      </c>
      <c r="AC177" s="28">
        <f t="shared" si="48"/>
        <v>1256.6370614359173</v>
      </c>
      <c r="AD177" s="34" t="str">
        <f t="shared" si="43"/>
        <v>OK</v>
      </c>
      <c r="AE177" s="28">
        <f t="shared" si="49"/>
        <v>-203.41686768287767</v>
      </c>
      <c r="AF177" s="32">
        <f t="shared" si="50"/>
        <v>0.79148401916697131</v>
      </c>
    </row>
    <row r="178" spans="1:32" x14ac:dyDescent="0.25">
      <c r="A178" s="6" t="s">
        <v>46</v>
      </c>
      <c r="B178" s="17">
        <v>4</v>
      </c>
      <c r="C178" s="6" t="s">
        <v>11</v>
      </c>
      <c r="D178" s="72">
        <v>-10.9366</v>
      </c>
      <c r="E178" s="29">
        <v>300</v>
      </c>
      <c r="F178" s="29">
        <v>500</v>
      </c>
      <c r="G178" s="28">
        <f t="shared" si="39"/>
        <v>460</v>
      </c>
      <c r="H178" s="28">
        <f t="shared" si="44"/>
        <v>67.562425096062356</v>
      </c>
      <c r="I178" s="11">
        <v>14</v>
      </c>
      <c r="J178" s="11">
        <v>2</v>
      </c>
      <c r="K178" s="11">
        <v>12</v>
      </c>
      <c r="L178" s="11">
        <v>2</v>
      </c>
      <c r="M178" s="28">
        <f t="shared" si="45"/>
        <v>534.07075111026484</v>
      </c>
      <c r="N178" s="34" t="str">
        <f t="shared" si="40"/>
        <v>OK</v>
      </c>
      <c r="O178" s="17">
        <f t="shared" si="41"/>
        <v>86.452168765223007</v>
      </c>
      <c r="P178" s="19">
        <f t="shared" si="46"/>
        <v>-0.12650463436840292</v>
      </c>
      <c r="Q178" s="6" t="s">
        <v>46</v>
      </c>
      <c r="R178" s="17">
        <v>4</v>
      </c>
      <c r="S178" s="6" t="s">
        <v>12</v>
      </c>
      <c r="T178" s="71">
        <v>-176.71549999999999</v>
      </c>
      <c r="U178" s="29">
        <v>300</v>
      </c>
      <c r="V178" s="29">
        <v>500</v>
      </c>
      <c r="W178" s="28">
        <f t="shared" si="42"/>
        <v>460</v>
      </c>
      <c r="X178" s="28">
        <f t="shared" si="47"/>
        <v>1091.6855084819056</v>
      </c>
      <c r="Y178" s="60">
        <v>20</v>
      </c>
      <c r="Z178" s="60">
        <v>2</v>
      </c>
      <c r="AA178" s="60">
        <v>20</v>
      </c>
      <c r="AB178" s="60">
        <v>2</v>
      </c>
      <c r="AC178" s="28">
        <f t="shared" si="48"/>
        <v>1256.6370614359173</v>
      </c>
      <c r="AD178" s="34" t="str">
        <f t="shared" si="43"/>
        <v>OK</v>
      </c>
      <c r="AE178" s="28">
        <f t="shared" si="49"/>
        <v>-203.41686768287767</v>
      </c>
      <c r="AF178" s="32">
        <f t="shared" si="50"/>
        <v>0.86873572488342266</v>
      </c>
    </row>
    <row r="179" spans="1:32" x14ac:dyDescent="0.25">
      <c r="A179" s="6" t="s">
        <v>46</v>
      </c>
      <c r="B179" s="17">
        <v>4.5</v>
      </c>
      <c r="C179" s="6" t="s">
        <v>11</v>
      </c>
      <c r="D179" s="72">
        <v>22.007899999999999</v>
      </c>
      <c r="E179" s="29">
        <v>300</v>
      </c>
      <c r="F179" s="29">
        <v>500</v>
      </c>
      <c r="G179" s="28">
        <f t="shared" si="39"/>
        <v>460</v>
      </c>
      <c r="H179" s="28">
        <f t="shared" si="44"/>
        <v>135.95697888481163</v>
      </c>
      <c r="I179" s="11">
        <v>14</v>
      </c>
      <c r="J179" s="11">
        <v>4</v>
      </c>
      <c r="K179" s="11">
        <v>14</v>
      </c>
      <c r="L179" s="11">
        <v>0</v>
      </c>
      <c r="M179" s="28">
        <f t="shared" si="45"/>
        <v>615.75216010359941</v>
      </c>
      <c r="N179" s="34" t="str">
        <f t="shared" si="40"/>
        <v>OK</v>
      </c>
      <c r="O179" s="17">
        <f t="shared" si="41"/>
        <v>99.674265164610063</v>
      </c>
      <c r="P179" s="19">
        <f t="shared" si="46"/>
        <v>0.22079821670773686</v>
      </c>
      <c r="Q179" s="6" t="s">
        <v>46</v>
      </c>
      <c r="R179" s="17">
        <v>4.5</v>
      </c>
      <c r="S179" s="6" t="s">
        <v>12</v>
      </c>
      <c r="T179" s="71">
        <v>-113.63590000000001</v>
      </c>
      <c r="U179" s="29">
        <v>300</v>
      </c>
      <c r="V179" s="29">
        <v>500</v>
      </c>
      <c r="W179" s="28">
        <f t="shared" si="42"/>
        <v>460</v>
      </c>
      <c r="X179" s="28">
        <f t="shared" si="47"/>
        <v>702.00217453080779</v>
      </c>
      <c r="Y179" s="60">
        <v>20</v>
      </c>
      <c r="Z179" s="60">
        <v>2</v>
      </c>
      <c r="AA179" s="60">
        <v>20</v>
      </c>
      <c r="AB179" s="60">
        <v>2</v>
      </c>
      <c r="AC179" s="28">
        <f t="shared" si="48"/>
        <v>1256.6370614359173</v>
      </c>
      <c r="AD179" s="34" t="str">
        <f t="shared" si="43"/>
        <v>OK</v>
      </c>
      <c r="AE179" s="28">
        <f t="shared" si="49"/>
        <v>-203.41686768287767</v>
      </c>
      <c r="AF179" s="32">
        <f t="shared" si="50"/>
        <v>0.55863558068918762</v>
      </c>
    </row>
    <row r="180" spans="1:32" x14ac:dyDescent="0.25">
      <c r="A180" s="6" t="s">
        <v>46</v>
      </c>
      <c r="B180" s="17">
        <v>5</v>
      </c>
      <c r="C180" s="6" t="s">
        <v>11</v>
      </c>
      <c r="D180" s="72">
        <v>45.35</v>
      </c>
      <c r="E180" s="29">
        <v>300</v>
      </c>
      <c r="F180" s="29">
        <v>500</v>
      </c>
      <c r="G180" s="28">
        <f t="shared" si="39"/>
        <v>460</v>
      </c>
      <c r="H180" s="28">
        <f t="shared" si="44"/>
        <v>280.15617084893182</v>
      </c>
      <c r="I180" s="11">
        <v>14</v>
      </c>
      <c r="J180" s="11">
        <v>4</v>
      </c>
      <c r="K180" s="11">
        <v>14</v>
      </c>
      <c r="L180" s="11">
        <v>0</v>
      </c>
      <c r="M180" s="28">
        <f t="shared" si="45"/>
        <v>615.75216010359941</v>
      </c>
      <c r="N180" s="34" t="str">
        <f t="shared" si="40"/>
        <v>OK</v>
      </c>
      <c r="O180" s="17">
        <f t="shared" si="41"/>
        <v>99.674265164610063</v>
      </c>
      <c r="P180" s="19">
        <f t="shared" si="46"/>
        <v>0.45498203498270473</v>
      </c>
      <c r="Q180" s="6" t="s">
        <v>46</v>
      </c>
      <c r="R180" s="17">
        <v>5</v>
      </c>
      <c r="S180" s="6" t="s">
        <v>12</v>
      </c>
      <c r="T180" s="71">
        <v>-60.158700000000003</v>
      </c>
      <c r="U180" s="29">
        <v>300</v>
      </c>
      <c r="V180" s="29">
        <v>500</v>
      </c>
      <c r="W180" s="28">
        <f t="shared" si="42"/>
        <v>460</v>
      </c>
      <c r="X180" s="28">
        <f t="shared" si="47"/>
        <v>371.63905259646384</v>
      </c>
      <c r="Y180" s="60">
        <v>20</v>
      </c>
      <c r="Z180" s="60">
        <v>2</v>
      </c>
      <c r="AA180" s="60">
        <v>20</v>
      </c>
      <c r="AB180" s="60">
        <v>2</v>
      </c>
      <c r="AC180" s="28">
        <f t="shared" si="48"/>
        <v>1256.6370614359173</v>
      </c>
      <c r="AD180" s="34" t="str">
        <f t="shared" si="43"/>
        <v>OK</v>
      </c>
      <c r="AE180" s="28">
        <f t="shared" si="49"/>
        <v>-203.41686768287767</v>
      </c>
      <c r="AF180" s="32">
        <f t="shared" si="50"/>
        <v>0.29574096133358058</v>
      </c>
    </row>
    <row r="181" spans="1:32" x14ac:dyDescent="0.25">
      <c r="A181" s="6" t="s">
        <v>46</v>
      </c>
      <c r="B181" s="17">
        <v>5.5</v>
      </c>
      <c r="C181" s="6" t="s">
        <v>11</v>
      </c>
      <c r="D181" s="72">
        <v>59.089700000000001</v>
      </c>
      <c r="E181" s="29">
        <v>300</v>
      </c>
      <c r="F181" s="29">
        <v>500</v>
      </c>
      <c r="G181" s="28">
        <f t="shared" si="39"/>
        <v>460</v>
      </c>
      <c r="H181" s="28">
        <f t="shared" si="44"/>
        <v>365.0351507962983</v>
      </c>
      <c r="I181" s="11">
        <v>14</v>
      </c>
      <c r="J181" s="11">
        <v>4</v>
      </c>
      <c r="K181" s="11">
        <v>14</v>
      </c>
      <c r="L181" s="11">
        <v>0</v>
      </c>
      <c r="M181" s="28">
        <f t="shared" si="45"/>
        <v>615.75216010359941</v>
      </c>
      <c r="N181" s="34" t="str">
        <f t="shared" si="40"/>
        <v>OK</v>
      </c>
      <c r="O181" s="17">
        <f t="shared" si="41"/>
        <v>99.674265164610063</v>
      </c>
      <c r="P181" s="19">
        <f t="shared" si="46"/>
        <v>0.59282804746455409</v>
      </c>
      <c r="Q181" s="6" t="s">
        <v>46</v>
      </c>
      <c r="R181" s="17">
        <v>5.5</v>
      </c>
      <c r="S181" s="6" t="s">
        <v>12</v>
      </c>
      <c r="T181" s="71">
        <v>-16.283999999999999</v>
      </c>
      <c r="U181" s="29">
        <v>300</v>
      </c>
      <c r="V181" s="29">
        <v>500</v>
      </c>
      <c r="W181" s="28">
        <f t="shared" si="42"/>
        <v>460</v>
      </c>
      <c r="X181" s="28">
        <f t="shared" si="47"/>
        <v>100.59676044330773</v>
      </c>
      <c r="Y181" s="60">
        <v>20</v>
      </c>
      <c r="Z181" s="60">
        <v>2</v>
      </c>
      <c r="AA181" s="60">
        <v>0</v>
      </c>
      <c r="AB181" s="60">
        <v>2</v>
      </c>
      <c r="AC181" s="28">
        <f t="shared" si="48"/>
        <v>628.31853071795865</v>
      </c>
      <c r="AD181" s="34" t="str">
        <f t="shared" si="43"/>
        <v>OK</v>
      </c>
      <c r="AE181" s="28">
        <f t="shared" si="49"/>
        <v>-101.70843384143883</v>
      </c>
      <c r="AF181" s="32">
        <f t="shared" si="50"/>
        <v>0.16010471683583674</v>
      </c>
    </row>
    <row r="182" spans="1:32" x14ac:dyDescent="0.25">
      <c r="A182" s="6" t="s">
        <v>46</v>
      </c>
      <c r="B182" s="17">
        <v>6</v>
      </c>
      <c r="C182" s="6" t="s">
        <v>11</v>
      </c>
      <c r="D182" s="72">
        <v>63.226999999999997</v>
      </c>
      <c r="E182" s="29">
        <v>300</v>
      </c>
      <c r="F182" s="29">
        <v>500</v>
      </c>
      <c r="G182" s="28">
        <f t="shared" si="39"/>
        <v>460</v>
      </c>
      <c r="H182" s="28">
        <f t="shared" si="44"/>
        <v>390.593918726911</v>
      </c>
      <c r="I182" s="11">
        <v>14</v>
      </c>
      <c r="J182" s="11">
        <v>4</v>
      </c>
      <c r="K182" s="11">
        <v>14</v>
      </c>
      <c r="L182" s="11">
        <v>0</v>
      </c>
      <c r="M182" s="28">
        <f t="shared" si="45"/>
        <v>615.75216010359941</v>
      </c>
      <c r="N182" s="34" t="str">
        <f t="shared" si="40"/>
        <v>OK</v>
      </c>
      <c r="O182" s="17">
        <f t="shared" si="41"/>
        <v>99.674265164610063</v>
      </c>
      <c r="P182" s="19">
        <f t="shared" si="46"/>
        <v>0.63433625415328487</v>
      </c>
      <c r="Q182" s="6" t="s">
        <v>46</v>
      </c>
      <c r="R182" s="17">
        <v>6</v>
      </c>
      <c r="S182" s="6" t="s">
        <v>12</v>
      </c>
      <c r="T182" s="71">
        <v>17.988399999999999</v>
      </c>
      <c r="U182" s="29">
        <v>300</v>
      </c>
      <c r="V182" s="29">
        <v>500</v>
      </c>
      <c r="W182" s="28">
        <f t="shared" si="42"/>
        <v>460</v>
      </c>
      <c r="X182" s="28">
        <f t="shared" si="47"/>
        <v>111.12593745752868</v>
      </c>
      <c r="Y182" s="60">
        <v>20</v>
      </c>
      <c r="Z182" s="60">
        <v>2</v>
      </c>
      <c r="AA182" s="60">
        <v>0</v>
      </c>
      <c r="AB182" s="60">
        <v>2</v>
      </c>
      <c r="AC182" s="28">
        <f t="shared" si="48"/>
        <v>628.31853071795865</v>
      </c>
      <c r="AD182" s="34" t="str">
        <f t="shared" si="43"/>
        <v>OK</v>
      </c>
      <c r="AE182" s="28">
        <f t="shared" si="49"/>
        <v>-101.70843384143883</v>
      </c>
      <c r="AF182" s="32">
        <f t="shared" si="50"/>
        <v>-0.17686242252086498</v>
      </c>
    </row>
    <row r="183" spans="1:32" x14ac:dyDescent="0.25">
      <c r="A183" s="6" t="s">
        <v>46</v>
      </c>
      <c r="B183" s="17">
        <v>6.5</v>
      </c>
      <c r="C183" s="6" t="s">
        <v>11</v>
      </c>
      <c r="D183" s="72">
        <v>57.761899999999997</v>
      </c>
      <c r="E183" s="29">
        <v>300</v>
      </c>
      <c r="F183" s="29">
        <v>500</v>
      </c>
      <c r="G183" s="28">
        <f t="shared" si="39"/>
        <v>460</v>
      </c>
      <c r="H183" s="28">
        <f t="shared" si="44"/>
        <v>356.83247464076993</v>
      </c>
      <c r="I183" s="11">
        <v>14</v>
      </c>
      <c r="J183" s="11">
        <v>4</v>
      </c>
      <c r="K183" s="11">
        <v>14</v>
      </c>
      <c r="L183" s="11">
        <v>0</v>
      </c>
      <c r="M183" s="28">
        <f t="shared" si="45"/>
        <v>615.75216010359941</v>
      </c>
      <c r="N183" s="34" t="str">
        <f t="shared" si="40"/>
        <v>OK</v>
      </c>
      <c r="O183" s="17">
        <f t="shared" si="41"/>
        <v>99.674265164610063</v>
      </c>
      <c r="P183" s="19">
        <f t="shared" si="46"/>
        <v>0.5795066550488972</v>
      </c>
      <c r="Q183" s="6" t="s">
        <v>46</v>
      </c>
      <c r="R183" s="17">
        <v>6.5</v>
      </c>
      <c r="S183" s="6" t="s">
        <v>12</v>
      </c>
      <c r="T183" s="71">
        <v>42.658299999999997</v>
      </c>
      <c r="U183" s="29">
        <v>300</v>
      </c>
      <c r="V183" s="29">
        <v>500</v>
      </c>
      <c r="W183" s="28">
        <f t="shared" si="42"/>
        <v>460</v>
      </c>
      <c r="X183" s="28">
        <f t="shared" si="47"/>
        <v>263.52780557717728</v>
      </c>
      <c r="Y183" s="60">
        <v>20</v>
      </c>
      <c r="Z183" s="60">
        <v>2</v>
      </c>
      <c r="AA183" s="60">
        <v>0</v>
      </c>
      <c r="AB183" s="60">
        <v>2</v>
      </c>
      <c r="AC183" s="28">
        <f t="shared" si="48"/>
        <v>628.31853071795865</v>
      </c>
      <c r="AD183" s="34" t="str">
        <f t="shared" si="43"/>
        <v>OK</v>
      </c>
      <c r="AE183" s="28">
        <f t="shared" si="49"/>
        <v>-101.70843384143883</v>
      </c>
      <c r="AF183" s="32">
        <f t="shared" si="50"/>
        <v>-0.41941752899767715</v>
      </c>
    </row>
    <row r="184" spans="1:32" x14ac:dyDescent="0.25">
      <c r="A184" s="6" t="s">
        <v>46</v>
      </c>
      <c r="B184" s="17">
        <v>7</v>
      </c>
      <c r="C184" s="6" t="s">
        <v>11</v>
      </c>
      <c r="D184" s="72">
        <v>57.761899999999997</v>
      </c>
      <c r="E184" s="29">
        <v>300</v>
      </c>
      <c r="F184" s="29">
        <v>500</v>
      </c>
      <c r="G184" s="28">
        <f t="shared" si="39"/>
        <v>460</v>
      </c>
      <c r="H184" s="28">
        <f t="shared" si="44"/>
        <v>356.83247464076993</v>
      </c>
      <c r="I184" s="11">
        <v>14</v>
      </c>
      <c r="J184" s="11">
        <v>4</v>
      </c>
      <c r="K184" s="11">
        <v>14</v>
      </c>
      <c r="L184" s="11">
        <v>0</v>
      </c>
      <c r="M184" s="28">
        <f t="shared" si="45"/>
        <v>615.75216010359941</v>
      </c>
      <c r="N184" s="34" t="str">
        <f t="shared" si="40"/>
        <v>OK</v>
      </c>
      <c r="O184" s="17">
        <f t="shared" si="41"/>
        <v>99.674265164610063</v>
      </c>
      <c r="P184" s="19">
        <f t="shared" si="46"/>
        <v>0.5795066550488972</v>
      </c>
      <c r="Q184" s="6" t="s">
        <v>46</v>
      </c>
      <c r="R184" s="17">
        <v>7</v>
      </c>
      <c r="S184" s="6" t="s">
        <v>12</v>
      </c>
      <c r="T184" s="71">
        <v>42.658299999999997</v>
      </c>
      <c r="U184" s="29">
        <v>300</v>
      </c>
      <c r="V184" s="29">
        <v>500</v>
      </c>
      <c r="W184" s="28">
        <f t="shared" si="42"/>
        <v>460</v>
      </c>
      <c r="X184" s="28">
        <f t="shared" si="47"/>
        <v>263.52780557717728</v>
      </c>
      <c r="Y184" s="60">
        <v>20</v>
      </c>
      <c r="Z184" s="60">
        <v>2</v>
      </c>
      <c r="AA184" s="60">
        <v>0</v>
      </c>
      <c r="AB184" s="60">
        <v>2</v>
      </c>
      <c r="AC184" s="28">
        <f t="shared" si="48"/>
        <v>628.31853071795865</v>
      </c>
      <c r="AD184" s="34" t="str">
        <f t="shared" si="43"/>
        <v>OK</v>
      </c>
      <c r="AE184" s="28">
        <f t="shared" si="49"/>
        <v>-101.70843384143883</v>
      </c>
      <c r="AF184" s="32">
        <f t="shared" si="50"/>
        <v>-0.41941752899767715</v>
      </c>
    </row>
    <row r="185" spans="1:32" x14ac:dyDescent="0.25">
      <c r="A185" s="6" t="s">
        <v>46</v>
      </c>
      <c r="B185" s="17">
        <v>7.5</v>
      </c>
      <c r="C185" s="6" t="s">
        <v>11</v>
      </c>
      <c r="D185" s="72">
        <v>63.226999999999997</v>
      </c>
      <c r="E185" s="29">
        <v>300</v>
      </c>
      <c r="F185" s="29">
        <v>500</v>
      </c>
      <c r="G185" s="28">
        <f t="shared" si="39"/>
        <v>460</v>
      </c>
      <c r="H185" s="28">
        <f t="shared" si="44"/>
        <v>390.593918726911</v>
      </c>
      <c r="I185" s="11">
        <v>14</v>
      </c>
      <c r="J185" s="11">
        <v>4</v>
      </c>
      <c r="K185" s="11">
        <v>14</v>
      </c>
      <c r="L185" s="11">
        <v>0</v>
      </c>
      <c r="M185" s="28">
        <f t="shared" si="45"/>
        <v>615.75216010359941</v>
      </c>
      <c r="N185" s="34" t="str">
        <f t="shared" si="40"/>
        <v>OK</v>
      </c>
      <c r="O185" s="17">
        <f t="shared" si="41"/>
        <v>99.674265164610063</v>
      </c>
      <c r="P185" s="19">
        <f t="shared" si="46"/>
        <v>0.63433625415328487</v>
      </c>
      <c r="Q185" s="6" t="s">
        <v>46</v>
      </c>
      <c r="R185" s="17">
        <v>7.5</v>
      </c>
      <c r="S185" s="6" t="s">
        <v>12</v>
      </c>
      <c r="T185" s="71">
        <v>17.988399999999999</v>
      </c>
      <c r="U185" s="29">
        <v>300</v>
      </c>
      <c r="V185" s="29">
        <v>500</v>
      </c>
      <c r="W185" s="28">
        <f t="shared" si="42"/>
        <v>460</v>
      </c>
      <c r="X185" s="28">
        <f t="shared" si="47"/>
        <v>111.12593745752868</v>
      </c>
      <c r="Y185" s="60">
        <v>20</v>
      </c>
      <c r="Z185" s="60">
        <v>2</v>
      </c>
      <c r="AA185" s="60">
        <v>0</v>
      </c>
      <c r="AB185" s="60">
        <v>2</v>
      </c>
      <c r="AC185" s="28">
        <f t="shared" si="48"/>
        <v>628.31853071795865</v>
      </c>
      <c r="AD185" s="34" t="str">
        <f t="shared" si="43"/>
        <v>OK</v>
      </c>
      <c r="AE185" s="28">
        <f t="shared" si="49"/>
        <v>-101.70843384143883</v>
      </c>
      <c r="AF185" s="32">
        <f t="shared" si="50"/>
        <v>-0.17686242252086498</v>
      </c>
    </row>
    <row r="186" spans="1:32" x14ac:dyDescent="0.25">
      <c r="A186" s="6" t="s">
        <v>46</v>
      </c>
      <c r="B186" s="17">
        <v>8</v>
      </c>
      <c r="C186" s="6" t="s">
        <v>11</v>
      </c>
      <c r="D186" s="72">
        <v>59.089700000000001</v>
      </c>
      <c r="E186" s="29">
        <v>300</v>
      </c>
      <c r="F186" s="29">
        <v>500</v>
      </c>
      <c r="G186" s="28">
        <f t="shared" si="39"/>
        <v>460</v>
      </c>
      <c r="H186" s="28">
        <f t="shared" si="44"/>
        <v>365.0351507962983</v>
      </c>
      <c r="I186" s="11">
        <v>14</v>
      </c>
      <c r="J186" s="11">
        <v>4</v>
      </c>
      <c r="K186" s="11">
        <v>14</v>
      </c>
      <c r="L186" s="11">
        <v>0</v>
      </c>
      <c r="M186" s="28">
        <f t="shared" si="45"/>
        <v>615.75216010359941</v>
      </c>
      <c r="N186" s="34" t="str">
        <f t="shared" si="40"/>
        <v>OK</v>
      </c>
      <c r="O186" s="17">
        <f t="shared" si="41"/>
        <v>99.674265164610063</v>
      </c>
      <c r="P186" s="19">
        <f t="shared" si="46"/>
        <v>0.59282804746455409</v>
      </c>
      <c r="Q186" s="6" t="s">
        <v>46</v>
      </c>
      <c r="R186" s="17">
        <v>8</v>
      </c>
      <c r="S186" s="6" t="s">
        <v>12</v>
      </c>
      <c r="T186" s="71">
        <v>-16.283999999999999</v>
      </c>
      <c r="U186" s="29">
        <v>300</v>
      </c>
      <c r="V186" s="29">
        <v>500</v>
      </c>
      <c r="W186" s="28">
        <f t="shared" si="42"/>
        <v>460</v>
      </c>
      <c r="X186" s="28">
        <f t="shared" si="47"/>
        <v>100.59676044330773</v>
      </c>
      <c r="Y186" s="60">
        <v>20</v>
      </c>
      <c r="Z186" s="60">
        <v>2</v>
      </c>
      <c r="AA186" s="60">
        <v>0</v>
      </c>
      <c r="AB186" s="60">
        <v>2</v>
      </c>
      <c r="AC186" s="28">
        <f t="shared" si="48"/>
        <v>628.31853071795865</v>
      </c>
      <c r="AD186" s="34" t="str">
        <f t="shared" si="43"/>
        <v>OK</v>
      </c>
      <c r="AE186" s="28">
        <f t="shared" si="49"/>
        <v>-101.70843384143883</v>
      </c>
      <c r="AF186" s="32">
        <f t="shared" si="50"/>
        <v>0.16010471683583674</v>
      </c>
    </row>
    <row r="187" spans="1:32" x14ac:dyDescent="0.25">
      <c r="A187" s="6" t="s">
        <v>46</v>
      </c>
      <c r="B187" s="17">
        <v>8.5</v>
      </c>
      <c r="C187" s="6" t="s">
        <v>11</v>
      </c>
      <c r="D187" s="72">
        <v>45.35</v>
      </c>
      <c r="E187" s="29">
        <v>300</v>
      </c>
      <c r="F187" s="29">
        <v>500</v>
      </c>
      <c r="G187" s="28">
        <f t="shared" si="39"/>
        <v>460</v>
      </c>
      <c r="H187" s="28">
        <f t="shared" si="44"/>
        <v>280.15617084893182</v>
      </c>
      <c r="I187" s="11">
        <v>14</v>
      </c>
      <c r="J187" s="11">
        <v>4</v>
      </c>
      <c r="K187" s="11">
        <v>14</v>
      </c>
      <c r="L187" s="11">
        <v>0</v>
      </c>
      <c r="M187" s="28">
        <f t="shared" si="45"/>
        <v>615.75216010359941</v>
      </c>
      <c r="N187" s="34" t="str">
        <f t="shared" si="40"/>
        <v>OK</v>
      </c>
      <c r="O187" s="17">
        <f t="shared" si="41"/>
        <v>99.674265164610063</v>
      </c>
      <c r="P187" s="19">
        <f t="shared" si="46"/>
        <v>0.45498203498270473</v>
      </c>
      <c r="Q187" s="6" t="s">
        <v>46</v>
      </c>
      <c r="R187" s="17">
        <v>8.5</v>
      </c>
      <c r="S187" s="6" t="s">
        <v>12</v>
      </c>
      <c r="T187" s="71">
        <v>-60.158700000000003</v>
      </c>
      <c r="U187" s="29">
        <v>300</v>
      </c>
      <c r="V187" s="29">
        <v>500</v>
      </c>
      <c r="W187" s="28">
        <f t="shared" si="42"/>
        <v>460</v>
      </c>
      <c r="X187" s="28">
        <f t="shared" si="47"/>
        <v>371.63905259646384</v>
      </c>
      <c r="Y187" s="60">
        <v>20</v>
      </c>
      <c r="Z187" s="60">
        <v>2</v>
      </c>
      <c r="AA187" s="60">
        <v>20</v>
      </c>
      <c r="AB187" s="60">
        <v>2</v>
      </c>
      <c r="AC187" s="28">
        <f t="shared" si="48"/>
        <v>1256.6370614359173</v>
      </c>
      <c r="AD187" s="34" t="str">
        <f t="shared" si="43"/>
        <v>OK</v>
      </c>
      <c r="AE187" s="28">
        <f t="shared" si="49"/>
        <v>-203.41686768287767</v>
      </c>
      <c r="AF187" s="32">
        <f t="shared" si="50"/>
        <v>0.29574096133358058</v>
      </c>
    </row>
    <row r="188" spans="1:32" x14ac:dyDescent="0.25">
      <c r="A188" s="6" t="s">
        <v>46</v>
      </c>
      <c r="B188" s="17">
        <v>9</v>
      </c>
      <c r="C188" s="6" t="s">
        <v>11</v>
      </c>
      <c r="D188" s="72">
        <v>22.007899999999999</v>
      </c>
      <c r="E188" s="29">
        <v>300</v>
      </c>
      <c r="F188" s="29">
        <v>500</v>
      </c>
      <c r="G188" s="28">
        <f t="shared" si="39"/>
        <v>460</v>
      </c>
      <c r="H188" s="28">
        <f t="shared" si="44"/>
        <v>135.95697888481163</v>
      </c>
      <c r="I188" s="11">
        <v>14</v>
      </c>
      <c r="J188" s="11">
        <v>4</v>
      </c>
      <c r="K188" s="11">
        <v>14</v>
      </c>
      <c r="L188" s="11">
        <v>0</v>
      </c>
      <c r="M188" s="28">
        <f t="shared" si="45"/>
        <v>615.75216010359941</v>
      </c>
      <c r="N188" s="34" t="str">
        <f t="shared" si="40"/>
        <v>OK</v>
      </c>
      <c r="O188" s="17">
        <f t="shared" si="41"/>
        <v>99.674265164610063</v>
      </c>
      <c r="P188" s="19">
        <f t="shared" si="46"/>
        <v>0.22079821670773686</v>
      </c>
      <c r="Q188" s="6" t="s">
        <v>46</v>
      </c>
      <c r="R188" s="17">
        <v>9</v>
      </c>
      <c r="S188" s="6" t="s">
        <v>12</v>
      </c>
      <c r="T188" s="71">
        <v>-113.63590000000001</v>
      </c>
      <c r="U188" s="29">
        <v>300</v>
      </c>
      <c r="V188" s="29">
        <v>500</v>
      </c>
      <c r="W188" s="28">
        <f t="shared" si="42"/>
        <v>460</v>
      </c>
      <c r="X188" s="28">
        <f t="shared" si="47"/>
        <v>702.00217453080779</v>
      </c>
      <c r="Y188" s="60">
        <v>20</v>
      </c>
      <c r="Z188" s="60">
        <v>2</v>
      </c>
      <c r="AA188" s="60">
        <v>20</v>
      </c>
      <c r="AB188" s="60">
        <v>2</v>
      </c>
      <c r="AC188" s="28">
        <f t="shared" si="48"/>
        <v>1256.6370614359173</v>
      </c>
      <c r="AD188" s="34" t="str">
        <f t="shared" si="43"/>
        <v>OK</v>
      </c>
      <c r="AE188" s="28">
        <f t="shared" si="49"/>
        <v>-203.41686768287767</v>
      </c>
      <c r="AF188" s="32">
        <f t="shared" si="50"/>
        <v>0.55863558068918762</v>
      </c>
    </row>
    <row r="189" spans="1:32" x14ac:dyDescent="0.25">
      <c r="A189" s="6" t="s">
        <v>46</v>
      </c>
      <c r="B189" s="17">
        <v>9.5</v>
      </c>
      <c r="C189" s="6" t="s">
        <v>11</v>
      </c>
      <c r="D189" s="72">
        <v>-10.9366</v>
      </c>
      <c r="E189" s="29">
        <v>300</v>
      </c>
      <c r="F189" s="29">
        <v>500</v>
      </c>
      <c r="G189" s="28">
        <f t="shared" si="39"/>
        <v>460</v>
      </c>
      <c r="H189" s="28">
        <f t="shared" si="44"/>
        <v>67.562425096062356</v>
      </c>
      <c r="I189" s="11">
        <v>14</v>
      </c>
      <c r="J189" s="11">
        <v>2</v>
      </c>
      <c r="K189" s="11">
        <v>12</v>
      </c>
      <c r="L189" s="11">
        <v>2</v>
      </c>
      <c r="M189" s="28">
        <f t="shared" si="45"/>
        <v>534.07075111026484</v>
      </c>
      <c r="N189" s="34" t="str">
        <f t="shared" si="40"/>
        <v>OK</v>
      </c>
      <c r="O189" s="17">
        <f t="shared" si="41"/>
        <v>86.452168765223007</v>
      </c>
      <c r="P189" s="19">
        <f t="shared" si="46"/>
        <v>-0.12650463436840292</v>
      </c>
      <c r="Q189" s="6" t="s">
        <v>46</v>
      </c>
      <c r="R189" s="17">
        <v>9.5</v>
      </c>
      <c r="S189" s="6" t="s">
        <v>12</v>
      </c>
      <c r="T189" s="71">
        <v>-176.71549999999999</v>
      </c>
      <c r="U189" s="29">
        <v>300</v>
      </c>
      <c r="V189" s="29">
        <v>500</v>
      </c>
      <c r="W189" s="28">
        <f t="shared" si="42"/>
        <v>460</v>
      </c>
      <c r="X189" s="28">
        <f t="shared" si="47"/>
        <v>1091.6855084819056</v>
      </c>
      <c r="Y189" s="60">
        <v>20</v>
      </c>
      <c r="Z189" s="60">
        <v>2</v>
      </c>
      <c r="AA189" s="60">
        <v>20</v>
      </c>
      <c r="AB189" s="60">
        <v>2</v>
      </c>
      <c r="AC189" s="28">
        <f t="shared" si="48"/>
        <v>1256.6370614359173</v>
      </c>
      <c r="AD189" s="34" t="str">
        <f t="shared" si="43"/>
        <v>OK</v>
      </c>
      <c r="AE189" s="28">
        <f t="shared" si="49"/>
        <v>-203.41686768287767</v>
      </c>
      <c r="AF189" s="32">
        <f t="shared" si="50"/>
        <v>0.86873572488342266</v>
      </c>
    </row>
    <row r="190" spans="1:32" x14ac:dyDescent="0.25">
      <c r="A190" s="6" t="s">
        <v>47</v>
      </c>
      <c r="B190" s="17">
        <v>9.5</v>
      </c>
      <c r="C190" s="6" t="s">
        <v>11</v>
      </c>
      <c r="D190" s="72">
        <v>33.668199999999999</v>
      </c>
      <c r="E190" s="29">
        <v>300</v>
      </c>
      <c r="F190" s="29">
        <v>500</v>
      </c>
      <c r="G190" s="28">
        <f t="shared" si="39"/>
        <v>460</v>
      </c>
      <c r="H190" s="28">
        <f t="shared" si="44"/>
        <v>207.99016519020964</v>
      </c>
      <c r="I190" s="11">
        <v>14</v>
      </c>
      <c r="J190" s="11">
        <v>2</v>
      </c>
      <c r="K190" s="11">
        <v>12</v>
      </c>
      <c r="L190" s="11">
        <v>2</v>
      </c>
      <c r="M190" s="28">
        <f t="shared" si="45"/>
        <v>534.07075111026484</v>
      </c>
      <c r="N190" s="34" t="str">
        <f t="shared" si="40"/>
        <v>OK</v>
      </c>
      <c r="O190" s="17">
        <f t="shared" si="41"/>
        <v>86.452168765223007</v>
      </c>
      <c r="P190" s="19">
        <f t="shared" si="46"/>
        <v>0.3894430929943733</v>
      </c>
      <c r="Q190" s="6" t="s">
        <v>47</v>
      </c>
      <c r="R190" s="17">
        <v>9.5</v>
      </c>
      <c r="S190" s="6" t="s">
        <v>12</v>
      </c>
      <c r="T190" s="71">
        <v>-161.00120000000001</v>
      </c>
      <c r="U190" s="29">
        <v>300</v>
      </c>
      <c r="V190" s="29">
        <v>500</v>
      </c>
      <c r="W190" s="28">
        <f t="shared" si="42"/>
        <v>460</v>
      </c>
      <c r="X190" s="28">
        <f t="shared" si="47"/>
        <v>994.60815201947173</v>
      </c>
      <c r="Y190" s="60">
        <v>20</v>
      </c>
      <c r="Z190" s="60">
        <v>2</v>
      </c>
      <c r="AA190" s="60">
        <v>20</v>
      </c>
      <c r="AB190" s="60">
        <v>2</v>
      </c>
      <c r="AC190" s="28">
        <f t="shared" si="48"/>
        <v>1256.6370614359173</v>
      </c>
      <c r="AD190" s="34" t="str">
        <f t="shared" si="43"/>
        <v>OK</v>
      </c>
      <c r="AE190" s="28">
        <f t="shared" si="49"/>
        <v>-203.41686768287767</v>
      </c>
      <c r="AF190" s="32">
        <f t="shared" si="50"/>
        <v>0.79148401916697131</v>
      </c>
    </row>
    <row r="191" spans="1:32" x14ac:dyDescent="0.25">
      <c r="A191" s="6" t="s">
        <v>47</v>
      </c>
      <c r="B191" s="17">
        <v>10</v>
      </c>
      <c r="C191" s="6" t="s">
        <v>11</v>
      </c>
      <c r="D191" s="72">
        <v>48.375</v>
      </c>
      <c r="E191" s="29">
        <v>300</v>
      </c>
      <c r="F191" s="29">
        <v>500</v>
      </c>
      <c r="G191" s="28">
        <f t="shared" si="39"/>
        <v>460</v>
      </c>
      <c r="H191" s="28">
        <f t="shared" si="44"/>
        <v>298.84354497942837</v>
      </c>
      <c r="I191" s="11">
        <v>14</v>
      </c>
      <c r="J191" s="11">
        <v>2</v>
      </c>
      <c r="K191" s="11">
        <v>12</v>
      </c>
      <c r="L191" s="11">
        <v>2</v>
      </c>
      <c r="M191" s="28">
        <f t="shared" si="45"/>
        <v>534.07075111026484</v>
      </c>
      <c r="N191" s="34" t="str">
        <f t="shared" si="40"/>
        <v>OK</v>
      </c>
      <c r="O191" s="17">
        <f t="shared" si="41"/>
        <v>86.452168765223007</v>
      </c>
      <c r="P191" s="19">
        <f t="shared" si="46"/>
        <v>0.55955796934801416</v>
      </c>
      <c r="Q191" s="6" t="s">
        <v>47</v>
      </c>
      <c r="R191" s="17">
        <v>10</v>
      </c>
      <c r="S191" s="6" t="s">
        <v>12</v>
      </c>
      <c r="T191" s="71">
        <v>-100.2368</v>
      </c>
      <c r="U191" s="29">
        <v>300</v>
      </c>
      <c r="V191" s="29">
        <v>500</v>
      </c>
      <c r="W191" s="28">
        <f t="shared" si="42"/>
        <v>460</v>
      </c>
      <c r="X191" s="28">
        <f t="shared" si="47"/>
        <v>619.22730024587008</v>
      </c>
      <c r="Y191" s="60">
        <v>20</v>
      </c>
      <c r="Z191" s="60">
        <v>2</v>
      </c>
      <c r="AA191" s="60">
        <v>20</v>
      </c>
      <c r="AB191" s="60">
        <v>2</v>
      </c>
      <c r="AC191" s="28">
        <f t="shared" si="48"/>
        <v>1256.6370614359173</v>
      </c>
      <c r="AD191" s="34" t="str">
        <f t="shared" si="43"/>
        <v>OK</v>
      </c>
      <c r="AE191" s="28">
        <f t="shared" si="49"/>
        <v>-203.41686768287767</v>
      </c>
      <c r="AF191" s="32">
        <f t="shared" si="50"/>
        <v>0.49276542865789735</v>
      </c>
    </row>
    <row r="192" spans="1:32" x14ac:dyDescent="0.25">
      <c r="A192" s="6" t="s">
        <v>47</v>
      </c>
      <c r="B192" s="17">
        <v>10.5</v>
      </c>
      <c r="C192" s="6" t="s">
        <v>11</v>
      </c>
      <c r="D192" s="72">
        <v>53.479300000000002</v>
      </c>
      <c r="E192" s="29">
        <v>300</v>
      </c>
      <c r="F192" s="29">
        <v>500</v>
      </c>
      <c r="G192" s="28">
        <f t="shared" si="39"/>
        <v>460</v>
      </c>
      <c r="H192" s="28">
        <f t="shared" si="44"/>
        <v>330.37609498745934</v>
      </c>
      <c r="I192" s="11">
        <v>14</v>
      </c>
      <c r="J192" s="11">
        <v>2</v>
      </c>
      <c r="K192" s="11">
        <v>12</v>
      </c>
      <c r="L192" s="11">
        <v>2</v>
      </c>
      <c r="M192" s="28">
        <f t="shared" si="45"/>
        <v>534.07075111026484</v>
      </c>
      <c r="N192" s="34" t="str">
        <f t="shared" si="40"/>
        <v>OK</v>
      </c>
      <c r="O192" s="17">
        <f t="shared" si="41"/>
        <v>86.452168765223007</v>
      </c>
      <c r="P192" s="19">
        <f t="shared" si="46"/>
        <v>0.61859986584296134</v>
      </c>
      <c r="Q192" s="6" t="s">
        <v>47</v>
      </c>
      <c r="R192" s="17">
        <v>10.5</v>
      </c>
      <c r="S192" s="6" t="s">
        <v>12</v>
      </c>
      <c r="T192" s="71">
        <v>-49.074800000000003</v>
      </c>
      <c r="U192" s="29">
        <v>300</v>
      </c>
      <c r="V192" s="29">
        <v>500</v>
      </c>
      <c r="W192" s="28">
        <f t="shared" si="42"/>
        <v>460</v>
      </c>
      <c r="X192" s="28">
        <f t="shared" si="47"/>
        <v>303.16666048902226</v>
      </c>
      <c r="Y192" s="60">
        <v>20</v>
      </c>
      <c r="Z192" s="60">
        <v>2</v>
      </c>
      <c r="AA192" s="60">
        <v>20</v>
      </c>
      <c r="AB192" s="60">
        <v>2</v>
      </c>
      <c r="AC192" s="28">
        <f t="shared" si="48"/>
        <v>1256.6370614359173</v>
      </c>
      <c r="AD192" s="34" t="str">
        <f t="shared" si="43"/>
        <v>OK</v>
      </c>
      <c r="AE192" s="28">
        <f t="shared" si="49"/>
        <v>-203.41686768287767</v>
      </c>
      <c r="AF192" s="32">
        <f t="shared" si="50"/>
        <v>0.24125236298745154</v>
      </c>
    </row>
    <row r="193" spans="1:32" x14ac:dyDescent="0.25">
      <c r="A193" s="6" t="s">
        <v>47</v>
      </c>
      <c r="B193" s="17">
        <v>11</v>
      </c>
      <c r="C193" s="6" t="s">
        <v>11</v>
      </c>
      <c r="D193" s="72">
        <v>48.981499999999997</v>
      </c>
      <c r="E193" s="29">
        <v>300</v>
      </c>
      <c r="F193" s="29">
        <v>500</v>
      </c>
      <c r="G193" s="28">
        <f t="shared" si="39"/>
        <v>460</v>
      </c>
      <c r="H193" s="28">
        <f t="shared" si="44"/>
        <v>302.59028627203867</v>
      </c>
      <c r="I193" s="11">
        <v>14</v>
      </c>
      <c r="J193" s="11">
        <v>2</v>
      </c>
      <c r="K193" s="11">
        <v>12</v>
      </c>
      <c r="L193" s="11">
        <v>2</v>
      </c>
      <c r="M193" s="28">
        <f t="shared" si="45"/>
        <v>534.07075111026484</v>
      </c>
      <c r="N193" s="34" t="str">
        <f t="shared" si="40"/>
        <v>OK</v>
      </c>
      <c r="O193" s="17">
        <f t="shared" si="41"/>
        <v>86.452168765223007</v>
      </c>
      <c r="P193" s="19">
        <f t="shared" si="46"/>
        <v>0.566573409315137</v>
      </c>
      <c r="Q193" s="6" t="s">
        <v>47</v>
      </c>
      <c r="R193" s="17">
        <v>11</v>
      </c>
      <c r="S193" s="6" t="s">
        <v>12</v>
      </c>
      <c r="T193" s="71">
        <v>-7.5155000000000003</v>
      </c>
      <c r="U193" s="29">
        <v>300</v>
      </c>
      <c r="V193" s="29">
        <v>500</v>
      </c>
      <c r="W193" s="28">
        <f t="shared" si="42"/>
        <v>460</v>
      </c>
      <c r="X193" s="28">
        <f t="shared" si="47"/>
        <v>46.428086042230369</v>
      </c>
      <c r="Y193" s="60">
        <v>20</v>
      </c>
      <c r="Z193" s="60">
        <v>2</v>
      </c>
      <c r="AA193" s="60">
        <v>20</v>
      </c>
      <c r="AB193" s="60">
        <v>2</v>
      </c>
      <c r="AC193" s="28">
        <f t="shared" si="48"/>
        <v>1256.6370614359173</v>
      </c>
      <c r="AD193" s="34" t="str">
        <f t="shared" si="43"/>
        <v>OK</v>
      </c>
      <c r="AE193" s="28">
        <f t="shared" si="49"/>
        <v>-203.41686768287767</v>
      </c>
      <c r="AF193" s="32">
        <f t="shared" si="50"/>
        <v>3.6946296959583985E-2</v>
      </c>
    </row>
    <row r="194" spans="1:32" x14ac:dyDescent="0.25">
      <c r="A194" s="6" t="s">
        <v>47</v>
      </c>
      <c r="B194" s="17">
        <v>11.5</v>
      </c>
      <c r="C194" s="6" t="s">
        <v>11</v>
      </c>
      <c r="D194" s="72">
        <v>34.884099999999997</v>
      </c>
      <c r="E194" s="29">
        <v>300</v>
      </c>
      <c r="F194" s="29">
        <v>500</v>
      </c>
      <c r="G194" s="28">
        <f t="shared" si="39"/>
        <v>460</v>
      </c>
      <c r="H194" s="28">
        <f t="shared" si="44"/>
        <v>215.50156294401816</v>
      </c>
      <c r="I194" s="11">
        <v>14</v>
      </c>
      <c r="J194" s="11">
        <v>2</v>
      </c>
      <c r="K194" s="11">
        <v>12</v>
      </c>
      <c r="L194" s="11">
        <v>2</v>
      </c>
      <c r="M194" s="28">
        <f t="shared" si="45"/>
        <v>534.07075111026484</v>
      </c>
      <c r="N194" s="34" t="str">
        <f t="shared" si="40"/>
        <v>OK</v>
      </c>
      <c r="O194" s="17">
        <f t="shared" si="41"/>
        <v>86.452168765223007</v>
      </c>
      <c r="P194" s="19">
        <f t="shared" si="46"/>
        <v>0.40350751748905545</v>
      </c>
      <c r="Q194" s="6" t="s">
        <v>47</v>
      </c>
      <c r="R194" s="17">
        <v>11.5</v>
      </c>
      <c r="S194" s="6" t="s">
        <v>12</v>
      </c>
      <c r="T194" s="71">
        <v>24.438700000000001</v>
      </c>
      <c r="U194" s="29">
        <v>300</v>
      </c>
      <c r="V194" s="29">
        <v>500</v>
      </c>
      <c r="W194" s="28">
        <f t="shared" si="42"/>
        <v>460</v>
      </c>
      <c r="X194" s="28">
        <f t="shared" si="47"/>
        <v>150.973596748088</v>
      </c>
      <c r="Y194" s="60">
        <v>20</v>
      </c>
      <c r="Z194" s="60">
        <v>2</v>
      </c>
      <c r="AA194" s="60">
        <v>18</v>
      </c>
      <c r="AB194" s="60">
        <v>1</v>
      </c>
      <c r="AC194" s="28">
        <f t="shared" si="48"/>
        <v>882.78753565873194</v>
      </c>
      <c r="AD194" s="34" t="str">
        <f t="shared" si="43"/>
        <v>OK</v>
      </c>
      <c r="AE194" s="28">
        <f t="shared" si="49"/>
        <v>-142.90034954722157</v>
      </c>
      <c r="AF194" s="32">
        <f t="shared" si="50"/>
        <v>-0.17101917579231818</v>
      </c>
    </row>
    <row r="195" spans="1:32" x14ac:dyDescent="0.25">
      <c r="A195" s="6" t="s">
        <v>47</v>
      </c>
      <c r="B195" s="17">
        <v>12</v>
      </c>
      <c r="C195" s="6" t="s">
        <v>11</v>
      </c>
      <c r="D195" s="72">
        <v>46.798499999999997</v>
      </c>
      <c r="E195" s="29">
        <v>300</v>
      </c>
      <c r="F195" s="29">
        <v>500</v>
      </c>
      <c r="G195" s="28">
        <f t="shared" si="39"/>
        <v>460</v>
      </c>
      <c r="H195" s="28">
        <f t="shared" si="44"/>
        <v>289.10448867637785</v>
      </c>
      <c r="I195" s="11">
        <v>14</v>
      </c>
      <c r="J195" s="11">
        <v>2</v>
      </c>
      <c r="K195" s="11">
        <v>12</v>
      </c>
      <c r="L195" s="11">
        <v>2</v>
      </c>
      <c r="M195" s="28">
        <f t="shared" si="45"/>
        <v>534.07075111026484</v>
      </c>
      <c r="N195" s="34" t="str">
        <f t="shared" si="40"/>
        <v>OK</v>
      </c>
      <c r="O195" s="17">
        <f t="shared" si="41"/>
        <v>86.452168765223007</v>
      </c>
      <c r="P195" s="19">
        <f t="shared" si="46"/>
        <v>0.54132245226941678</v>
      </c>
      <c r="Q195" s="6" t="s">
        <v>47</v>
      </c>
      <c r="R195" s="17">
        <v>12</v>
      </c>
      <c r="S195" s="6" t="s">
        <v>12</v>
      </c>
      <c r="T195" s="71">
        <v>11.1761</v>
      </c>
      <c r="U195" s="29">
        <v>300</v>
      </c>
      <c r="V195" s="29">
        <v>500</v>
      </c>
      <c r="W195" s="28">
        <f t="shared" si="42"/>
        <v>460</v>
      </c>
      <c r="X195" s="28">
        <f t="shared" si="47"/>
        <v>69.041970915650438</v>
      </c>
      <c r="Y195" s="60">
        <v>20</v>
      </c>
      <c r="Z195" s="60">
        <v>2</v>
      </c>
      <c r="AA195" s="60">
        <v>18</v>
      </c>
      <c r="AB195" s="60">
        <v>1</v>
      </c>
      <c r="AC195" s="28">
        <f t="shared" si="48"/>
        <v>882.78753565873194</v>
      </c>
      <c r="AD195" s="34" t="str">
        <f t="shared" si="43"/>
        <v>OK</v>
      </c>
      <c r="AE195" s="28">
        <f t="shared" si="49"/>
        <v>-142.90034954722157</v>
      </c>
      <c r="AF195" s="32">
        <f t="shared" si="50"/>
        <v>-7.8209045921940487E-2</v>
      </c>
    </row>
    <row r="196" spans="1:32" x14ac:dyDescent="0.25">
      <c r="A196" s="6" t="s">
        <v>47</v>
      </c>
      <c r="B196" s="17">
        <v>12.5</v>
      </c>
      <c r="C196" s="6" t="s">
        <v>11</v>
      </c>
      <c r="D196" s="72">
        <v>59.5503</v>
      </c>
      <c r="E196" s="29">
        <v>300</v>
      </c>
      <c r="F196" s="29">
        <v>500</v>
      </c>
      <c r="G196" s="28">
        <f t="shared" si="39"/>
        <v>460</v>
      </c>
      <c r="H196" s="28">
        <f t="shared" si="44"/>
        <v>367.88057377960632</v>
      </c>
      <c r="I196" s="11">
        <v>14</v>
      </c>
      <c r="J196" s="11">
        <v>2</v>
      </c>
      <c r="K196" s="11">
        <v>12</v>
      </c>
      <c r="L196" s="11">
        <v>2</v>
      </c>
      <c r="M196" s="28">
        <f t="shared" si="45"/>
        <v>534.07075111026484</v>
      </c>
      <c r="N196" s="34" t="str">
        <f t="shared" si="40"/>
        <v>OK</v>
      </c>
      <c r="O196" s="17">
        <f t="shared" si="41"/>
        <v>86.452168765223007</v>
      </c>
      <c r="P196" s="19">
        <f t="shared" si="46"/>
        <v>0.6888236680530242</v>
      </c>
      <c r="Q196" s="6" t="s">
        <v>47</v>
      </c>
      <c r="R196" s="17">
        <v>12.5</v>
      </c>
      <c r="S196" s="6" t="s">
        <v>12</v>
      </c>
      <c r="T196" s="71">
        <v>-22.128599999999999</v>
      </c>
      <c r="U196" s="29">
        <v>300</v>
      </c>
      <c r="V196" s="29">
        <v>500</v>
      </c>
      <c r="W196" s="28">
        <f t="shared" si="42"/>
        <v>460</v>
      </c>
      <c r="X196" s="28">
        <f t="shared" si="47"/>
        <v>136.70262055672927</v>
      </c>
      <c r="Y196" s="60">
        <v>20</v>
      </c>
      <c r="Z196" s="60">
        <v>2</v>
      </c>
      <c r="AA196" s="60">
        <v>18</v>
      </c>
      <c r="AB196" s="60">
        <v>1</v>
      </c>
      <c r="AC196" s="28">
        <f t="shared" si="48"/>
        <v>882.78753565873194</v>
      </c>
      <c r="AD196" s="34" t="str">
        <f t="shared" si="43"/>
        <v>OK</v>
      </c>
      <c r="AE196" s="28">
        <f t="shared" si="49"/>
        <v>-142.90034954722157</v>
      </c>
      <c r="AF196" s="32">
        <f t="shared" si="50"/>
        <v>0.15485336509052822</v>
      </c>
    </row>
    <row r="197" spans="1:32" x14ac:dyDescent="0.25">
      <c r="A197" s="6" t="s">
        <v>47</v>
      </c>
      <c r="B197" s="17">
        <v>13</v>
      </c>
      <c r="C197" s="6" t="s">
        <v>11</v>
      </c>
      <c r="D197" s="72">
        <v>62.700200000000002</v>
      </c>
      <c r="E197" s="29">
        <v>300</v>
      </c>
      <c r="F197" s="29">
        <v>500</v>
      </c>
      <c r="G197" s="28">
        <f t="shared" si="39"/>
        <v>460</v>
      </c>
      <c r="H197" s="28">
        <f t="shared" si="44"/>
        <v>387.33953568825126</v>
      </c>
      <c r="I197" s="11">
        <v>14</v>
      </c>
      <c r="J197" s="11">
        <v>2</v>
      </c>
      <c r="K197" s="11">
        <v>12</v>
      </c>
      <c r="L197" s="11">
        <v>2</v>
      </c>
      <c r="M197" s="28">
        <f t="shared" si="45"/>
        <v>534.07075111026484</v>
      </c>
      <c r="N197" s="34" t="str">
        <f t="shared" si="40"/>
        <v>OK</v>
      </c>
      <c r="O197" s="17">
        <f t="shared" si="41"/>
        <v>86.452168765223007</v>
      </c>
      <c r="P197" s="19">
        <f t="shared" si="46"/>
        <v>0.7252588442318213</v>
      </c>
      <c r="Q197" s="6" t="s">
        <v>47</v>
      </c>
      <c r="R197" s="17">
        <v>13</v>
      </c>
      <c r="S197" s="6" t="s">
        <v>12</v>
      </c>
      <c r="T197" s="71">
        <v>-65.036299999999997</v>
      </c>
      <c r="U197" s="29">
        <v>300</v>
      </c>
      <c r="V197" s="29">
        <v>500</v>
      </c>
      <c r="W197" s="28">
        <f t="shared" si="42"/>
        <v>460</v>
      </c>
      <c r="X197" s="28">
        <f t="shared" si="47"/>
        <v>401.77113063246713</v>
      </c>
      <c r="Y197" s="60">
        <v>20</v>
      </c>
      <c r="Z197" s="60">
        <v>2</v>
      </c>
      <c r="AA197" s="60">
        <v>18</v>
      </c>
      <c r="AB197" s="60">
        <v>1</v>
      </c>
      <c r="AC197" s="28">
        <f t="shared" si="48"/>
        <v>882.78753565873194</v>
      </c>
      <c r="AD197" s="34" t="str">
        <f t="shared" si="43"/>
        <v>OK</v>
      </c>
      <c r="AE197" s="28">
        <f t="shared" si="49"/>
        <v>-142.90034954722157</v>
      </c>
      <c r="AF197" s="32">
        <f t="shared" si="50"/>
        <v>0.45511645147172075</v>
      </c>
    </row>
    <row r="198" spans="1:32" x14ac:dyDescent="0.25">
      <c r="A198" s="6" t="s">
        <v>47</v>
      </c>
      <c r="B198" s="17">
        <v>13.5</v>
      </c>
      <c r="C198" s="6" t="s">
        <v>11</v>
      </c>
      <c r="D198" s="72">
        <v>56.247799999999998</v>
      </c>
      <c r="E198" s="29">
        <v>300</v>
      </c>
      <c r="F198" s="29">
        <v>500</v>
      </c>
      <c r="G198" s="28">
        <f t="shared" si="39"/>
        <v>460</v>
      </c>
      <c r="H198" s="28">
        <f t="shared" si="44"/>
        <v>347.47890334457657</v>
      </c>
      <c r="I198" s="11">
        <v>14</v>
      </c>
      <c r="J198" s="11">
        <v>2</v>
      </c>
      <c r="K198" s="11">
        <v>12</v>
      </c>
      <c r="L198" s="11">
        <v>2</v>
      </c>
      <c r="M198" s="28">
        <f>PI()*I198^2/4*J198+PI()*K198^2/4*L198</f>
        <v>534.07075111026484</v>
      </c>
      <c r="N198" s="34" t="str">
        <f t="shared" si="40"/>
        <v>OK</v>
      </c>
      <c r="O198" s="17">
        <f t="shared" si="41"/>
        <v>86.452168765223007</v>
      </c>
      <c r="P198" s="19">
        <f t="shared" si="46"/>
        <v>0.6506233539698858</v>
      </c>
      <c r="Q198" s="6" t="s">
        <v>47</v>
      </c>
      <c r="R198" s="17">
        <v>13.5</v>
      </c>
      <c r="S198" s="6" t="s">
        <v>12</v>
      </c>
      <c r="T198" s="71">
        <v>-117.54640000000001</v>
      </c>
      <c r="U198" s="29">
        <v>300</v>
      </c>
      <c r="V198" s="29">
        <v>500</v>
      </c>
      <c r="W198" s="28">
        <f t="shared" si="42"/>
        <v>460</v>
      </c>
      <c r="X198" s="28">
        <f t="shared" si="47"/>
        <v>726.1598527249588</v>
      </c>
      <c r="Y198" s="60">
        <v>20</v>
      </c>
      <c r="Z198" s="60">
        <v>2</v>
      </c>
      <c r="AA198" s="60">
        <v>18</v>
      </c>
      <c r="AB198" s="60">
        <v>1</v>
      </c>
      <c r="AC198" s="28">
        <f>PI()*Y198^2/4*Z198+PI()*AA198^2/4*AB198</f>
        <v>882.78753565873194</v>
      </c>
      <c r="AD198" s="34" t="str">
        <f t="shared" si="43"/>
        <v>OK</v>
      </c>
      <c r="AE198" s="28">
        <f t="shared" si="49"/>
        <v>-142.90034954722157</v>
      </c>
      <c r="AF198" s="32">
        <f>T198/AE198</f>
        <v>0.82257601449152984</v>
      </c>
    </row>
    <row r="199" spans="1:3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3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22" spans="1:38" x14ac:dyDescent="0.25">
      <c r="A222" s="2" t="s">
        <v>1</v>
      </c>
      <c r="B222" s="3" t="s">
        <v>2</v>
      </c>
      <c r="C222" s="2" t="s">
        <v>3</v>
      </c>
      <c r="D222" s="3" t="s">
        <v>5</v>
      </c>
      <c r="E222" s="5" t="s">
        <v>20</v>
      </c>
      <c r="F222" s="5" t="s">
        <v>21</v>
      </c>
      <c r="G222" s="5" t="s">
        <v>25</v>
      </c>
      <c r="H222" s="5" t="s">
        <v>23</v>
      </c>
      <c r="I222" s="5" t="s">
        <v>26</v>
      </c>
      <c r="J222" s="5" t="s">
        <v>27</v>
      </c>
      <c r="K222" s="5" t="s">
        <v>26</v>
      </c>
      <c r="L222" s="5" t="s">
        <v>27</v>
      </c>
      <c r="M222" s="5" t="s">
        <v>23</v>
      </c>
      <c r="N222" s="18"/>
      <c r="O222" s="5" t="s">
        <v>31</v>
      </c>
      <c r="P222" s="5" t="s">
        <v>33</v>
      </c>
      <c r="Q222" s="2" t="s">
        <v>1</v>
      </c>
      <c r="R222" s="3" t="s">
        <v>2</v>
      </c>
      <c r="S222" s="2" t="s">
        <v>3</v>
      </c>
      <c r="T222" s="3" t="s">
        <v>5</v>
      </c>
      <c r="U222" s="5" t="s">
        <v>20</v>
      </c>
      <c r="V222" s="5" t="s">
        <v>21</v>
      </c>
      <c r="W222" s="5" t="s">
        <v>25</v>
      </c>
      <c r="X222" s="5" t="s">
        <v>23</v>
      </c>
      <c r="Y222" s="5" t="s">
        <v>26</v>
      </c>
      <c r="Z222" s="5" t="s">
        <v>27</v>
      </c>
      <c r="AA222" s="5" t="s">
        <v>26</v>
      </c>
      <c r="AB222" s="5" t="s">
        <v>27</v>
      </c>
      <c r="AC222" s="5" t="s">
        <v>23</v>
      </c>
      <c r="AD222" s="18"/>
      <c r="AE222" s="5" t="s">
        <v>31</v>
      </c>
      <c r="AF222" s="5" t="s">
        <v>33</v>
      </c>
    </row>
    <row r="223" spans="1:38" x14ac:dyDescent="0.25">
      <c r="A223" s="4" t="s">
        <v>6</v>
      </c>
      <c r="B223" s="5" t="s">
        <v>7</v>
      </c>
      <c r="C223" s="4" t="s">
        <v>6</v>
      </c>
      <c r="D223" s="5" t="s">
        <v>9</v>
      </c>
      <c r="E223" s="9" t="s">
        <v>22</v>
      </c>
      <c r="F223" s="9" t="s">
        <v>22</v>
      </c>
      <c r="G223" s="9" t="s">
        <v>22</v>
      </c>
      <c r="H223" s="9" t="s">
        <v>24</v>
      </c>
      <c r="I223" s="9" t="s">
        <v>22</v>
      </c>
      <c r="J223" s="9" t="s">
        <v>28</v>
      </c>
      <c r="K223" s="9" t="s">
        <v>22</v>
      </c>
      <c r="L223" s="9" t="s">
        <v>28</v>
      </c>
      <c r="M223" s="9" t="s">
        <v>24</v>
      </c>
      <c r="N223" s="31"/>
      <c r="O223" s="9" t="s">
        <v>9</v>
      </c>
      <c r="P223" s="9" t="s">
        <v>28</v>
      </c>
      <c r="Q223" s="4" t="s">
        <v>6</v>
      </c>
      <c r="R223" s="5" t="s">
        <v>7</v>
      </c>
      <c r="S223" s="4" t="s">
        <v>6</v>
      </c>
      <c r="T223" s="5" t="s">
        <v>9</v>
      </c>
      <c r="U223" s="9" t="s">
        <v>22</v>
      </c>
      <c r="V223" s="9" t="s">
        <v>22</v>
      </c>
      <c r="W223" s="9" t="s">
        <v>22</v>
      </c>
      <c r="X223" s="9" t="s">
        <v>24</v>
      </c>
      <c r="Y223" s="9" t="s">
        <v>22</v>
      </c>
      <c r="Z223" s="9" t="s">
        <v>28</v>
      </c>
      <c r="AA223" s="9" t="s">
        <v>22</v>
      </c>
      <c r="AB223" s="9" t="s">
        <v>28</v>
      </c>
      <c r="AC223" s="9" t="s">
        <v>24</v>
      </c>
      <c r="AD223" s="31"/>
      <c r="AE223" s="9" t="s">
        <v>9</v>
      </c>
      <c r="AF223" s="9" t="s">
        <v>28</v>
      </c>
      <c r="AG223" s="8" t="s">
        <v>101</v>
      </c>
      <c r="AH223" s="8" t="s">
        <v>102</v>
      </c>
      <c r="AJ223" s="93" t="s">
        <v>103</v>
      </c>
      <c r="AK223" s="93" t="s">
        <v>104</v>
      </c>
    </row>
    <row r="224" spans="1:38" x14ac:dyDescent="0.25">
      <c r="A224" s="6" t="s">
        <v>48</v>
      </c>
      <c r="B224" s="17">
        <v>0</v>
      </c>
      <c r="C224" s="6" t="s">
        <v>11</v>
      </c>
      <c r="D224" s="68">
        <v>74.127399999999994</v>
      </c>
      <c r="E224" s="29">
        <v>300</v>
      </c>
      <c r="F224" s="29">
        <v>500</v>
      </c>
      <c r="G224" s="28">
        <f t="shared" ref="G224:G253" si="51">F224-40</f>
        <v>460</v>
      </c>
      <c r="H224" s="28">
        <f>ABS(D224)*1000^2/(0.9*391*G224)</f>
        <v>457.93271309784143</v>
      </c>
      <c r="I224" s="11">
        <v>14</v>
      </c>
      <c r="J224" s="11">
        <v>4</v>
      </c>
      <c r="K224" s="11">
        <v>14</v>
      </c>
      <c r="L224" s="11">
        <v>0</v>
      </c>
      <c r="M224" s="28">
        <f>PI()*I224^2/4*J224+PI()*K224^2/4*L224</f>
        <v>615.75216010359941</v>
      </c>
      <c r="N224" s="34" t="str">
        <f t="shared" ref="N224:N253" si="52">IF(M224&gt;=H224,"OK","NO")</f>
        <v>OK</v>
      </c>
      <c r="O224" s="17">
        <f t="shared" ref="O224:O253" si="53">(M224*0.9*391*G224)/1000^2</f>
        <v>99.674265164610063</v>
      </c>
      <c r="P224" s="19">
        <f>D224/O224</f>
        <v>0.74369647850004283</v>
      </c>
      <c r="Q224" s="6" t="s">
        <v>48</v>
      </c>
      <c r="R224" s="17">
        <v>0</v>
      </c>
      <c r="S224" s="6" t="s">
        <v>12</v>
      </c>
      <c r="T224" s="54">
        <v>-114.5951</v>
      </c>
      <c r="U224" s="29">
        <v>300</v>
      </c>
      <c r="V224" s="29">
        <v>500</v>
      </c>
      <c r="W224" s="28">
        <f t="shared" ref="W224:W253" si="54">V224-40</f>
        <v>460</v>
      </c>
      <c r="X224" s="28">
        <f>ABS(T224)*1000^2/(0.9*391*W224)</f>
        <v>707.92777098236888</v>
      </c>
      <c r="Y224" s="60">
        <v>18</v>
      </c>
      <c r="Z224" s="60">
        <v>2</v>
      </c>
      <c r="AA224" s="60">
        <v>12</v>
      </c>
      <c r="AB224" s="60">
        <v>2</v>
      </c>
      <c r="AC224" s="28">
        <f>PI()*Y224^2/4*Z224+PI()*AA224^2/4*AB224</f>
        <v>735.1326809400116</v>
      </c>
      <c r="AD224" s="34" t="str">
        <f t="shared" ref="AD224:AD253" si="55">IF(AC224&gt;=X224,"OK","NO")</f>
        <v>OK</v>
      </c>
      <c r="AE224" s="28">
        <f>-(AC224*0.9*391*W224)/1000^2</f>
        <v>-118.99886759448346</v>
      </c>
      <c r="AF224" s="32">
        <f>T224/AE224</f>
        <v>0.96299319746898493</v>
      </c>
      <c r="AG224" s="92">
        <f>AJ224*$AL$224+B224</f>
        <v>0.5</v>
      </c>
      <c r="AH224" s="92">
        <f>AK224*$AL$224+B224</f>
        <v>0.5</v>
      </c>
      <c r="AI224" s="17">
        <v>0</v>
      </c>
      <c r="AJ224">
        <v>0.2</v>
      </c>
      <c r="AK224">
        <v>0.2</v>
      </c>
      <c r="AL224">
        <f>0.5/0.2</f>
        <v>2.5</v>
      </c>
    </row>
    <row r="225" spans="1:37" x14ac:dyDescent="0.25">
      <c r="A225" s="6" t="s">
        <v>48</v>
      </c>
      <c r="B225" s="17">
        <v>0.5</v>
      </c>
      <c r="C225" s="6" t="s">
        <v>11</v>
      </c>
      <c r="D225" s="68">
        <v>68.874300000000005</v>
      </c>
      <c r="E225" s="29">
        <v>300</v>
      </c>
      <c r="F225" s="29">
        <v>500</v>
      </c>
      <c r="G225" s="28">
        <f t="shared" si="51"/>
        <v>460</v>
      </c>
      <c r="H225" s="28">
        <f t="shared" ref="H225:H253" si="56">ABS(D225)*1000^2/(0.9*391*G225)</f>
        <v>425.48092961192032</v>
      </c>
      <c r="I225" s="61">
        <v>14</v>
      </c>
      <c r="J225" s="61">
        <v>4</v>
      </c>
      <c r="K225" s="11">
        <v>14</v>
      </c>
      <c r="L225" s="11">
        <v>0</v>
      </c>
      <c r="M225" s="28">
        <f t="shared" ref="M225:M252" si="57">PI()*I225^2/4*J225+PI()*K225^2/4*L225</f>
        <v>615.75216010359941</v>
      </c>
      <c r="N225" s="34" t="str">
        <f t="shared" si="52"/>
        <v>OK</v>
      </c>
      <c r="O225" s="17">
        <f t="shared" si="53"/>
        <v>99.674265164610063</v>
      </c>
      <c r="P225" s="19">
        <f t="shared" ref="P225:P253" si="58">D225/O225</f>
        <v>0.69099380754155015</v>
      </c>
      <c r="Q225" s="6" t="s">
        <v>48</v>
      </c>
      <c r="R225" s="17">
        <v>0.5</v>
      </c>
      <c r="S225" s="6" t="s">
        <v>12</v>
      </c>
      <c r="T225" s="54">
        <v>-69.799400000000006</v>
      </c>
      <c r="U225" s="29">
        <v>300</v>
      </c>
      <c r="V225" s="29">
        <v>500</v>
      </c>
      <c r="W225" s="28">
        <f t="shared" si="54"/>
        <v>460</v>
      </c>
      <c r="X225" s="28">
        <f t="shared" ref="X225:X253" si="59">ABS(T225)*1000^2/(0.9*391*W225)</f>
        <v>431.1958683914649</v>
      </c>
      <c r="Y225" s="60">
        <v>18</v>
      </c>
      <c r="Z225" s="60">
        <v>2</v>
      </c>
      <c r="AA225" s="60">
        <v>12</v>
      </c>
      <c r="AB225" s="60">
        <v>2</v>
      </c>
      <c r="AC225" s="28">
        <f t="shared" ref="AC225:AC252" si="60">PI()*Y225^2/4*Z225+PI()*AA225^2/4*AB225</f>
        <v>735.1326809400116</v>
      </c>
      <c r="AD225" s="34" t="str">
        <f t="shared" si="55"/>
        <v>OK</v>
      </c>
      <c r="AE225" s="28">
        <f t="shared" ref="AE225:AE253" si="61">-(AC225*0.9*391*W225)/1000^2</f>
        <v>-118.99886759448346</v>
      </c>
      <c r="AF225" s="32">
        <f t="shared" ref="AF225:AF252" si="62">T225/AE225</f>
        <v>0.58655516149832476</v>
      </c>
      <c r="AG225" s="92">
        <f t="shared" ref="AG225:AG253" si="63">AJ225*$AL$224+B225</f>
        <v>1</v>
      </c>
      <c r="AH225" s="92">
        <f t="shared" ref="AH225:AH253" si="64">AK225*$AL$224+B225</f>
        <v>1</v>
      </c>
      <c r="AI225" s="17">
        <v>0.5</v>
      </c>
      <c r="AJ225" s="89">
        <v>0.2</v>
      </c>
      <c r="AK225" s="89">
        <v>0.2</v>
      </c>
    </row>
    <row r="226" spans="1:37" x14ac:dyDescent="0.25">
      <c r="A226" s="6" t="s">
        <v>48</v>
      </c>
      <c r="B226" s="17">
        <v>1</v>
      </c>
      <c r="C226" s="6" t="s">
        <v>11</v>
      </c>
      <c r="D226" s="68">
        <v>57.162999999999997</v>
      </c>
      <c r="E226" s="29">
        <v>300</v>
      </c>
      <c r="F226" s="29">
        <v>500</v>
      </c>
      <c r="G226" s="28">
        <f t="shared" si="51"/>
        <v>460</v>
      </c>
      <c r="H226" s="28">
        <f t="shared" si="56"/>
        <v>353.13268344514864</v>
      </c>
      <c r="I226" s="61">
        <v>14</v>
      </c>
      <c r="J226" s="61">
        <v>4</v>
      </c>
      <c r="K226" s="11">
        <v>14</v>
      </c>
      <c r="L226" s="11">
        <v>0</v>
      </c>
      <c r="M226" s="28">
        <f t="shared" si="57"/>
        <v>615.75216010359941</v>
      </c>
      <c r="N226" s="34" t="str">
        <f t="shared" si="52"/>
        <v>OK</v>
      </c>
      <c r="O226" s="17">
        <f t="shared" si="53"/>
        <v>99.674265164610063</v>
      </c>
      <c r="P226" s="19">
        <f t="shared" si="58"/>
        <v>0.5734980830367441</v>
      </c>
      <c r="Q226" s="6" t="s">
        <v>48</v>
      </c>
      <c r="R226" s="17">
        <v>1</v>
      </c>
      <c r="S226" s="6" t="s">
        <v>12</v>
      </c>
      <c r="T226" s="54">
        <v>-31.4619</v>
      </c>
      <c r="U226" s="29">
        <v>300</v>
      </c>
      <c r="V226" s="29">
        <v>500</v>
      </c>
      <c r="W226" s="28">
        <f t="shared" si="54"/>
        <v>460</v>
      </c>
      <c r="X226" s="28">
        <f t="shared" si="59"/>
        <v>194.36042848141145</v>
      </c>
      <c r="Y226" s="60">
        <v>18</v>
      </c>
      <c r="Z226" s="60">
        <v>2</v>
      </c>
      <c r="AA226" s="60">
        <v>12</v>
      </c>
      <c r="AB226" s="60">
        <v>2</v>
      </c>
      <c r="AC226" s="28">
        <f t="shared" si="60"/>
        <v>735.1326809400116</v>
      </c>
      <c r="AD226" s="34" t="str">
        <f t="shared" si="55"/>
        <v>OK</v>
      </c>
      <c r="AE226" s="28">
        <f t="shared" si="61"/>
        <v>-118.99886759448346</v>
      </c>
      <c r="AF226" s="32">
        <f t="shared" si="62"/>
        <v>0.26438823020748231</v>
      </c>
      <c r="AG226" s="92">
        <f t="shared" si="63"/>
        <v>1.5</v>
      </c>
      <c r="AH226" s="92">
        <f t="shared" si="64"/>
        <v>1.5</v>
      </c>
      <c r="AI226" s="17">
        <v>1</v>
      </c>
      <c r="AJ226" s="89">
        <v>0.2</v>
      </c>
      <c r="AK226" s="89">
        <v>0.2</v>
      </c>
    </row>
    <row r="227" spans="1:37" x14ac:dyDescent="0.25">
      <c r="A227" s="6" t="s">
        <v>48</v>
      </c>
      <c r="B227" s="17">
        <v>1.5</v>
      </c>
      <c r="C227" s="6" t="s">
        <v>11</v>
      </c>
      <c r="D227" s="68">
        <v>38.994</v>
      </c>
      <c r="E227" s="29">
        <v>300</v>
      </c>
      <c r="F227" s="29">
        <v>500</v>
      </c>
      <c r="G227" s="28">
        <f t="shared" si="51"/>
        <v>460</v>
      </c>
      <c r="H227" s="28">
        <f t="shared" si="56"/>
        <v>240.89106341969676</v>
      </c>
      <c r="I227" s="61">
        <v>14</v>
      </c>
      <c r="J227" s="61">
        <v>4</v>
      </c>
      <c r="K227" s="11">
        <v>14</v>
      </c>
      <c r="L227" s="11">
        <v>0</v>
      </c>
      <c r="M227" s="28">
        <f t="shared" si="57"/>
        <v>615.75216010359941</v>
      </c>
      <c r="N227" s="34" t="str">
        <f t="shared" si="52"/>
        <v>OK</v>
      </c>
      <c r="O227" s="17">
        <f t="shared" si="53"/>
        <v>99.674265164610063</v>
      </c>
      <c r="P227" s="19">
        <f t="shared" si="58"/>
        <v>0.39121432132559175</v>
      </c>
      <c r="Q227" s="6" t="s">
        <v>48</v>
      </c>
      <c r="R227" s="17">
        <v>1.5</v>
      </c>
      <c r="S227" s="6" t="s">
        <v>12</v>
      </c>
      <c r="T227" s="54">
        <v>0.4168</v>
      </c>
      <c r="U227" s="29">
        <v>300</v>
      </c>
      <c r="V227" s="29">
        <v>500</v>
      </c>
      <c r="W227" s="28">
        <f t="shared" si="54"/>
        <v>460</v>
      </c>
      <c r="X227" s="28">
        <f t="shared" si="59"/>
        <v>2.5748421611870955</v>
      </c>
      <c r="Y227" s="60">
        <v>18</v>
      </c>
      <c r="Z227" s="60">
        <v>2</v>
      </c>
      <c r="AA227" s="60">
        <v>12</v>
      </c>
      <c r="AB227" s="60">
        <v>2</v>
      </c>
      <c r="AC227" s="28">
        <f t="shared" si="60"/>
        <v>735.1326809400116</v>
      </c>
      <c r="AD227" s="34" t="str">
        <f t="shared" si="55"/>
        <v>OK</v>
      </c>
      <c r="AE227" s="28">
        <f t="shared" si="61"/>
        <v>-118.99886759448346</v>
      </c>
      <c r="AF227" s="32">
        <f t="shared" si="62"/>
        <v>-3.5025543387550858E-3</v>
      </c>
      <c r="AG227" s="92">
        <f t="shared" si="63"/>
        <v>2</v>
      </c>
      <c r="AH227" s="92">
        <f t="shared" si="64"/>
        <v>2</v>
      </c>
      <c r="AI227" s="17">
        <v>1.5</v>
      </c>
      <c r="AJ227" s="89">
        <v>0.2</v>
      </c>
      <c r="AK227" s="89">
        <v>0.2</v>
      </c>
    </row>
    <row r="228" spans="1:37" x14ac:dyDescent="0.25">
      <c r="A228" s="6" t="s">
        <v>48</v>
      </c>
      <c r="B228" s="17">
        <v>2</v>
      </c>
      <c r="C228" s="6" t="s">
        <v>11</v>
      </c>
      <c r="D228" s="68">
        <v>25.843</v>
      </c>
      <c r="E228" s="29">
        <v>300</v>
      </c>
      <c r="F228" s="29">
        <v>500</v>
      </c>
      <c r="G228" s="28">
        <f t="shared" si="51"/>
        <v>460</v>
      </c>
      <c r="H228" s="28">
        <f t="shared" si="56"/>
        <v>159.64886269567685</v>
      </c>
      <c r="I228" s="61">
        <v>14</v>
      </c>
      <c r="J228" s="61">
        <v>4</v>
      </c>
      <c r="K228" s="11">
        <v>14</v>
      </c>
      <c r="L228" s="11">
        <v>0</v>
      </c>
      <c r="M228" s="28">
        <f t="shared" si="57"/>
        <v>615.75216010359941</v>
      </c>
      <c r="N228" s="34" t="str">
        <f t="shared" si="52"/>
        <v>OK</v>
      </c>
      <c r="O228" s="17">
        <f t="shared" si="53"/>
        <v>99.674265164610063</v>
      </c>
      <c r="P228" s="19">
        <f t="shared" si="58"/>
        <v>0.25927454752057416</v>
      </c>
      <c r="Q228" s="6" t="s">
        <v>48</v>
      </c>
      <c r="R228" s="17">
        <v>2</v>
      </c>
      <c r="S228" s="6" t="s">
        <v>12</v>
      </c>
      <c r="T228" s="54">
        <v>14.3611</v>
      </c>
      <c r="U228" s="29">
        <v>300</v>
      </c>
      <c r="V228" s="29">
        <v>500</v>
      </c>
      <c r="W228" s="28">
        <f t="shared" si="54"/>
        <v>460</v>
      </c>
      <c r="X228" s="28">
        <f t="shared" si="59"/>
        <v>88.717768140652595</v>
      </c>
      <c r="Y228" s="60">
        <v>18</v>
      </c>
      <c r="Z228" s="60">
        <v>2</v>
      </c>
      <c r="AA228" s="60">
        <v>12</v>
      </c>
      <c r="AB228" s="60">
        <v>2</v>
      </c>
      <c r="AC228" s="28">
        <f t="shared" si="60"/>
        <v>735.1326809400116</v>
      </c>
      <c r="AD228" s="34" t="str">
        <f t="shared" si="55"/>
        <v>OK</v>
      </c>
      <c r="AE228" s="28">
        <f t="shared" si="61"/>
        <v>-118.99886759448346</v>
      </c>
      <c r="AF228" s="32">
        <f t="shared" si="62"/>
        <v>-0.1206826610227823</v>
      </c>
      <c r="AG228" s="92">
        <f t="shared" si="63"/>
        <v>1.5</v>
      </c>
      <c r="AH228" s="92">
        <f t="shared" si="64"/>
        <v>1.5</v>
      </c>
      <c r="AI228" s="17">
        <v>2</v>
      </c>
      <c r="AJ228" s="89">
        <v>-0.2</v>
      </c>
      <c r="AK228" s="89">
        <v>-0.2</v>
      </c>
    </row>
    <row r="229" spans="1:37" x14ac:dyDescent="0.25">
      <c r="A229" s="6" t="s">
        <v>48</v>
      </c>
      <c r="B229" s="17">
        <v>2.5</v>
      </c>
      <c r="C229" s="6" t="s">
        <v>11</v>
      </c>
      <c r="D229" s="68">
        <v>44.802799999999998</v>
      </c>
      <c r="E229" s="29">
        <v>300</v>
      </c>
      <c r="F229" s="29">
        <v>500</v>
      </c>
      <c r="G229" s="28">
        <f t="shared" si="51"/>
        <v>460</v>
      </c>
      <c r="H229" s="28">
        <f t="shared" si="56"/>
        <v>276.77576386572269</v>
      </c>
      <c r="I229" s="61">
        <v>14</v>
      </c>
      <c r="J229" s="61">
        <v>4</v>
      </c>
      <c r="K229" s="11">
        <v>14</v>
      </c>
      <c r="L229" s="11">
        <v>0</v>
      </c>
      <c r="M229" s="28">
        <f t="shared" si="57"/>
        <v>615.75216010359941</v>
      </c>
      <c r="N229" s="34" t="str">
        <f t="shared" si="52"/>
        <v>OK</v>
      </c>
      <c r="O229" s="17">
        <f t="shared" si="53"/>
        <v>99.674265164610063</v>
      </c>
      <c r="P229" s="19">
        <f t="shared" si="58"/>
        <v>0.44949215252311181</v>
      </c>
      <c r="Q229" s="6" t="s">
        <v>48</v>
      </c>
      <c r="R229" s="17">
        <v>2.5</v>
      </c>
      <c r="S229" s="6" t="s">
        <v>12</v>
      </c>
      <c r="T229" s="54">
        <v>-16.721800000000002</v>
      </c>
      <c r="U229" s="29">
        <v>300</v>
      </c>
      <c r="V229" s="29">
        <v>500</v>
      </c>
      <c r="W229" s="28">
        <f t="shared" si="54"/>
        <v>460</v>
      </c>
      <c r="X229" s="28">
        <f t="shared" si="59"/>
        <v>103.3013331356487</v>
      </c>
      <c r="Y229" s="60">
        <v>18</v>
      </c>
      <c r="Z229" s="60">
        <v>2</v>
      </c>
      <c r="AA229" s="60">
        <v>18</v>
      </c>
      <c r="AB229" s="60">
        <v>2</v>
      </c>
      <c r="AC229" s="28">
        <f t="shared" si="60"/>
        <v>1017.8760197630929</v>
      </c>
      <c r="AD229" s="34" t="str">
        <f t="shared" si="55"/>
        <v>OK</v>
      </c>
      <c r="AE229" s="28">
        <f t="shared" si="61"/>
        <v>-164.76766282313093</v>
      </c>
      <c r="AF229" s="32">
        <f t="shared" si="62"/>
        <v>0.10148714689210551</v>
      </c>
      <c r="AG229" s="92">
        <f t="shared" si="63"/>
        <v>2</v>
      </c>
      <c r="AH229" s="92">
        <f t="shared" si="64"/>
        <v>2</v>
      </c>
      <c r="AI229" s="17">
        <v>2.5</v>
      </c>
      <c r="AJ229" s="89">
        <v>-0.2</v>
      </c>
      <c r="AK229" s="89">
        <v>-0.2</v>
      </c>
    </row>
    <row r="230" spans="1:37" x14ac:dyDescent="0.25">
      <c r="A230" s="6" t="s">
        <v>48</v>
      </c>
      <c r="B230" s="17">
        <v>3</v>
      </c>
      <c r="C230" s="6" t="s">
        <v>11</v>
      </c>
      <c r="D230" s="68">
        <v>57.307200000000002</v>
      </c>
      <c r="E230" s="29">
        <v>300</v>
      </c>
      <c r="F230" s="29">
        <v>500</v>
      </c>
      <c r="G230" s="28">
        <f t="shared" si="51"/>
        <v>460</v>
      </c>
      <c r="H230" s="28">
        <f t="shared" si="56"/>
        <v>354.0234997590718</v>
      </c>
      <c r="I230" s="61">
        <v>14</v>
      </c>
      <c r="J230" s="61">
        <v>4</v>
      </c>
      <c r="K230" s="11">
        <v>14</v>
      </c>
      <c r="L230" s="11">
        <v>0</v>
      </c>
      <c r="M230" s="28">
        <f t="shared" si="57"/>
        <v>615.75216010359941</v>
      </c>
      <c r="N230" s="34" t="str">
        <f t="shared" si="52"/>
        <v>OK</v>
      </c>
      <c r="O230" s="17">
        <f t="shared" si="53"/>
        <v>99.674265164610063</v>
      </c>
      <c r="P230" s="19">
        <f t="shared" si="58"/>
        <v>0.57494479548315003</v>
      </c>
      <c r="Q230" s="6" t="s">
        <v>48</v>
      </c>
      <c r="R230" s="17">
        <v>3</v>
      </c>
      <c r="S230" s="6" t="s">
        <v>12</v>
      </c>
      <c r="T230" s="54">
        <v>-54.265799999999999</v>
      </c>
      <c r="U230" s="29">
        <v>300</v>
      </c>
      <c r="V230" s="29">
        <v>500</v>
      </c>
      <c r="W230" s="28">
        <f t="shared" si="54"/>
        <v>460</v>
      </c>
      <c r="X230" s="28">
        <f t="shared" si="59"/>
        <v>335.23481226138841</v>
      </c>
      <c r="Y230" s="60">
        <v>18</v>
      </c>
      <c r="Z230" s="60">
        <v>2</v>
      </c>
      <c r="AA230" s="60">
        <v>18</v>
      </c>
      <c r="AB230" s="60">
        <v>2</v>
      </c>
      <c r="AC230" s="28">
        <f t="shared" si="60"/>
        <v>1017.8760197630929</v>
      </c>
      <c r="AD230" s="34" t="str">
        <f t="shared" si="55"/>
        <v>OK</v>
      </c>
      <c r="AE230" s="28">
        <f t="shared" si="61"/>
        <v>-164.76766282313093</v>
      </c>
      <c r="AF230" s="32">
        <f t="shared" si="62"/>
        <v>0.32934739177705863</v>
      </c>
      <c r="AG230" s="92">
        <f t="shared" si="63"/>
        <v>2.5</v>
      </c>
      <c r="AH230" s="92">
        <f t="shared" si="64"/>
        <v>2.5</v>
      </c>
      <c r="AI230" s="17">
        <v>3</v>
      </c>
      <c r="AJ230" s="89">
        <v>-0.2</v>
      </c>
      <c r="AK230" s="89">
        <v>-0.2</v>
      </c>
    </row>
    <row r="231" spans="1:37" x14ac:dyDescent="0.25">
      <c r="A231" s="6" t="s">
        <v>48</v>
      </c>
      <c r="B231" s="17">
        <v>3.5</v>
      </c>
      <c r="C231" s="6" t="s">
        <v>11</v>
      </c>
      <c r="D231" s="68">
        <v>63.353499999999997</v>
      </c>
      <c r="E231" s="29">
        <v>300</v>
      </c>
      <c r="F231" s="29">
        <v>500</v>
      </c>
      <c r="G231" s="28">
        <f t="shared" si="51"/>
        <v>460</v>
      </c>
      <c r="H231" s="28">
        <f t="shared" si="56"/>
        <v>391.37539073600448</v>
      </c>
      <c r="I231" s="61">
        <v>14</v>
      </c>
      <c r="J231" s="61">
        <v>4</v>
      </c>
      <c r="K231" s="11">
        <v>14</v>
      </c>
      <c r="L231" s="11">
        <v>0</v>
      </c>
      <c r="M231" s="28">
        <f t="shared" si="57"/>
        <v>615.75216010359941</v>
      </c>
      <c r="N231" s="34" t="str">
        <f t="shared" si="52"/>
        <v>OK</v>
      </c>
      <c r="O231" s="17">
        <f t="shared" si="53"/>
        <v>99.674265164610063</v>
      </c>
      <c r="P231" s="19">
        <f t="shared" si="58"/>
        <v>0.63560538816486833</v>
      </c>
      <c r="Q231" s="6" t="s">
        <v>48</v>
      </c>
      <c r="R231" s="17">
        <v>3.5</v>
      </c>
      <c r="S231" s="6" t="s">
        <v>12</v>
      </c>
      <c r="T231" s="54">
        <v>-98.268199999999993</v>
      </c>
      <c r="U231" s="29">
        <v>300</v>
      </c>
      <c r="V231" s="29">
        <v>500</v>
      </c>
      <c r="W231" s="28">
        <f t="shared" si="54"/>
        <v>460</v>
      </c>
      <c r="X231" s="28">
        <f t="shared" si="59"/>
        <v>607.06598959684686</v>
      </c>
      <c r="Y231" s="60">
        <v>18</v>
      </c>
      <c r="Z231" s="60">
        <v>2</v>
      </c>
      <c r="AA231" s="60">
        <v>18</v>
      </c>
      <c r="AB231" s="60">
        <v>2</v>
      </c>
      <c r="AC231" s="28">
        <f t="shared" si="60"/>
        <v>1017.8760197630929</v>
      </c>
      <c r="AD231" s="34" t="str">
        <f t="shared" si="55"/>
        <v>OK</v>
      </c>
      <c r="AE231" s="28">
        <f t="shared" si="61"/>
        <v>-164.76766282313093</v>
      </c>
      <c r="AF231" s="32">
        <f t="shared" si="62"/>
        <v>0.59640464831673634</v>
      </c>
      <c r="AG231" s="92">
        <f t="shared" si="63"/>
        <v>4</v>
      </c>
      <c r="AH231" s="92">
        <f t="shared" si="64"/>
        <v>3</v>
      </c>
      <c r="AI231" s="17">
        <v>3.5</v>
      </c>
      <c r="AJ231" s="89">
        <v>0.2</v>
      </c>
      <c r="AK231" s="89">
        <v>-0.2</v>
      </c>
    </row>
    <row r="232" spans="1:37" x14ac:dyDescent="0.25">
      <c r="A232" s="6" t="s">
        <v>48</v>
      </c>
      <c r="B232" s="17">
        <v>4</v>
      </c>
      <c r="C232" s="6" t="s">
        <v>11</v>
      </c>
      <c r="D232" s="68">
        <v>62.941800000000001</v>
      </c>
      <c r="E232" s="29">
        <v>300</v>
      </c>
      <c r="F232" s="29">
        <v>500</v>
      </c>
      <c r="G232" s="28">
        <f t="shared" si="51"/>
        <v>460</v>
      </c>
      <c r="H232" s="28">
        <f t="shared" si="56"/>
        <v>388.83205456095476</v>
      </c>
      <c r="I232" s="61">
        <v>14</v>
      </c>
      <c r="J232" s="61">
        <v>4</v>
      </c>
      <c r="K232" s="11">
        <v>14</v>
      </c>
      <c r="L232" s="11">
        <v>0</v>
      </c>
      <c r="M232" s="28">
        <f t="shared" si="57"/>
        <v>615.75216010359941</v>
      </c>
      <c r="N232" s="34" t="str">
        <f t="shared" si="52"/>
        <v>OK</v>
      </c>
      <c r="O232" s="17">
        <f t="shared" si="53"/>
        <v>99.674265164610063</v>
      </c>
      <c r="P232" s="19">
        <f t="shared" si="58"/>
        <v>0.6314749338362603</v>
      </c>
      <c r="Q232" s="6" t="s">
        <v>48</v>
      </c>
      <c r="R232" s="17">
        <v>4</v>
      </c>
      <c r="S232" s="6" t="s">
        <v>12</v>
      </c>
      <c r="T232" s="54">
        <v>-148.72890000000001</v>
      </c>
      <c r="U232" s="29">
        <v>300</v>
      </c>
      <c r="V232" s="29">
        <v>500</v>
      </c>
      <c r="W232" s="28">
        <f t="shared" si="54"/>
        <v>460</v>
      </c>
      <c r="X232" s="28">
        <f t="shared" si="59"/>
        <v>918.79424737758984</v>
      </c>
      <c r="Y232" s="60">
        <v>18</v>
      </c>
      <c r="Z232" s="60">
        <v>2</v>
      </c>
      <c r="AA232" s="60">
        <v>18</v>
      </c>
      <c r="AB232" s="60">
        <v>2</v>
      </c>
      <c r="AC232" s="28">
        <f t="shared" si="60"/>
        <v>1017.8760197630929</v>
      </c>
      <c r="AD232" s="34" t="str">
        <f t="shared" si="55"/>
        <v>OK</v>
      </c>
      <c r="AE232" s="28">
        <f t="shared" si="61"/>
        <v>-164.76766282313093</v>
      </c>
      <c r="AF232" s="32">
        <f t="shared" si="62"/>
        <v>0.90265830959593296</v>
      </c>
      <c r="AG232" s="92">
        <f t="shared" si="63"/>
        <v>4.5</v>
      </c>
      <c r="AH232" s="92">
        <f t="shared" si="64"/>
        <v>3.5</v>
      </c>
      <c r="AI232" s="17">
        <v>4</v>
      </c>
      <c r="AJ232" s="89">
        <v>0.2</v>
      </c>
      <c r="AK232" s="89">
        <v>-0.2</v>
      </c>
    </row>
    <row r="233" spans="1:37" x14ac:dyDescent="0.25">
      <c r="A233" s="6" t="s">
        <v>49</v>
      </c>
      <c r="B233" s="17">
        <v>4</v>
      </c>
      <c r="C233" s="6" t="s">
        <v>11</v>
      </c>
      <c r="D233" s="68">
        <v>26.569400000000002</v>
      </c>
      <c r="E233" s="29">
        <v>300</v>
      </c>
      <c r="F233" s="29">
        <v>500</v>
      </c>
      <c r="G233" s="28">
        <f t="shared" si="51"/>
        <v>460</v>
      </c>
      <c r="H233" s="28">
        <f t="shared" si="56"/>
        <v>164.1363035447323</v>
      </c>
      <c r="I233" s="61">
        <v>14</v>
      </c>
      <c r="J233" s="61">
        <v>4</v>
      </c>
      <c r="K233" s="11">
        <v>12</v>
      </c>
      <c r="L233" s="11">
        <v>0</v>
      </c>
      <c r="M233" s="28">
        <f t="shared" si="57"/>
        <v>615.75216010359941</v>
      </c>
      <c r="N233" s="34" t="str">
        <f t="shared" si="52"/>
        <v>OK</v>
      </c>
      <c r="O233" s="17">
        <f t="shared" si="53"/>
        <v>99.674265164610063</v>
      </c>
      <c r="P233" s="19">
        <f t="shared" si="58"/>
        <v>0.26656228622424422</v>
      </c>
      <c r="Q233" s="6" t="s">
        <v>49</v>
      </c>
      <c r="R233" s="17">
        <v>4</v>
      </c>
      <c r="S233" s="6" t="s">
        <v>12</v>
      </c>
      <c r="T233" s="54">
        <v>-152.75530000000001</v>
      </c>
      <c r="U233" s="29">
        <v>300</v>
      </c>
      <c r="V233" s="29">
        <v>500</v>
      </c>
      <c r="W233" s="28">
        <f t="shared" si="54"/>
        <v>460</v>
      </c>
      <c r="X233" s="28">
        <f t="shared" si="59"/>
        <v>943.6679145508233</v>
      </c>
      <c r="Y233" s="60">
        <v>18</v>
      </c>
      <c r="Z233" s="60">
        <v>2</v>
      </c>
      <c r="AA233" s="60">
        <v>18</v>
      </c>
      <c r="AB233" s="60">
        <v>2</v>
      </c>
      <c r="AC233" s="28">
        <f t="shared" si="60"/>
        <v>1017.8760197630929</v>
      </c>
      <c r="AD233" s="34" t="str">
        <f t="shared" si="55"/>
        <v>OK</v>
      </c>
      <c r="AE233" s="28">
        <f t="shared" si="61"/>
        <v>-164.76766282313093</v>
      </c>
      <c r="AF233" s="32">
        <f t="shared" si="62"/>
        <v>0.92709514344434474</v>
      </c>
      <c r="AG233" s="92">
        <f t="shared" si="63"/>
        <v>4.5</v>
      </c>
      <c r="AH233" s="92">
        <f t="shared" si="64"/>
        <v>4.5</v>
      </c>
      <c r="AI233" s="17">
        <v>4</v>
      </c>
      <c r="AJ233" s="89">
        <v>0.2</v>
      </c>
      <c r="AK233" s="89">
        <v>0.2</v>
      </c>
    </row>
    <row r="234" spans="1:37" x14ac:dyDescent="0.25">
      <c r="A234" s="6" t="s">
        <v>49</v>
      </c>
      <c r="B234" s="17">
        <v>4.5</v>
      </c>
      <c r="C234" s="6" t="s">
        <v>11</v>
      </c>
      <c r="D234" s="68">
        <v>42.565300000000001</v>
      </c>
      <c r="E234" s="29">
        <v>300</v>
      </c>
      <c r="F234" s="29">
        <v>500</v>
      </c>
      <c r="G234" s="28">
        <f t="shared" si="51"/>
        <v>460</v>
      </c>
      <c r="H234" s="28">
        <f t="shared" si="56"/>
        <v>262.95328465349587</v>
      </c>
      <c r="I234" s="61">
        <v>14</v>
      </c>
      <c r="J234" s="61">
        <v>4</v>
      </c>
      <c r="K234" s="11">
        <v>12</v>
      </c>
      <c r="L234" s="11">
        <v>0</v>
      </c>
      <c r="M234" s="28">
        <f t="shared" si="57"/>
        <v>615.75216010359941</v>
      </c>
      <c r="N234" s="34" t="str">
        <f t="shared" si="52"/>
        <v>OK</v>
      </c>
      <c r="O234" s="17">
        <f t="shared" si="53"/>
        <v>99.674265164610063</v>
      </c>
      <c r="P234" s="19">
        <f t="shared" si="58"/>
        <v>0.42704403117198059</v>
      </c>
      <c r="Q234" s="6" t="s">
        <v>49</v>
      </c>
      <c r="R234" s="17">
        <v>4.5</v>
      </c>
      <c r="S234" s="6" t="s">
        <v>12</v>
      </c>
      <c r="T234" s="54">
        <v>-104.169</v>
      </c>
      <c r="U234" s="29">
        <v>300</v>
      </c>
      <c r="V234" s="29">
        <v>500</v>
      </c>
      <c r="W234" s="28">
        <f t="shared" si="54"/>
        <v>460</v>
      </c>
      <c r="X234" s="28">
        <f t="shared" si="59"/>
        <v>643.51903332221343</v>
      </c>
      <c r="Y234" s="60">
        <v>18</v>
      </c>
      <c r="Z234" s="60">
        <v>2</v>
      </c>
      <c r="AA234" s="60">
        <v>18</v>
      </c>
      <c r="AB234" s="60">
        <v>2</v>
      </c>
      <c r="AC234" s="28">
        <f t="shared" si="60"/>
        <v>1017.8760197630929</v>
      </c>
      <c r="AD234" s="34" t="str">
        <f t="shared" si="55"/>
        <v>OK</v>
      </c>
      <c r="AE234" s="28">
        <f t="shared" si="61"/>
        <v>-164.76766282313093</v>
      </c>
      <c r="AF234" s="32">
        <f t="shared" si="62"/>
        <v>0.63221750078363204</v>
      </c>
      <c r="AG234" s="92">
        <f t="shared" si="63"/>
        <v>4</v>
      </c>
      <c r="AH234" s="92">
        <f t="shared" si="64"/>
        <v>5</v>
      </c>
      <c r="AI234" s="17">
        <v>4.5</v>
      </c>
      <c r="AJ234" s="89">
        <v>-0.2</v>
      </c>
      <c r="AK234" s="89">
        <v>0.2</v>
      </c>
    </row>
    <row r="235" spans="1:37" x14ac:dyDescent="0.25">
      <c r="A235" s="6" t="s">
        <v>49</v>
      </c>
      <c r="B235" s="17">
        <v>5</v>
      </c>
      <c r="C235" s="6" t="s">
        <v>11</v>
      </c>
      <c r="D235" s="68">
        <v>52.103000000000002</v>
      </c>
      <c r="E235" s="29">
        <v>300</v>
      </c>
      <c r="F235" s="29">
        <v>500</v>
      </c>
      <c r="G235" s="28">
        <f t="shared" si="51"/>
        <v>460</v>
      </c>
      <c r="H235" s="28">
        <f t="shared" si="56"/>
        <v>321.87380308140894</v>
      </c>
      <c r="I235" s="61">
        <v>14</v>
      </c>
      <c r="J235" s="61">
        <v>4</v>
      </c>
      <c r="K235" s="11">
        <v>12</v>
      </c>
      <c r="L235" s="11">
        <v>0</v>
      </c>
      <c r="M235" s="28">
        <f t="shared" si="57"/>
        <v>615.75216010359941</v>
      </c>
      <c r="N235" s="34" t="str">
        <f t="shared" si="52"/>
        <v>OK</v>
      </c>
      <c r="O235" s="17">
        <f t="shared" si="53"/>
        <v>99.674265164610063</v>
      </c>
      <c r="P235" s="19">
        <f t="shared" si="58"/>
        <v>0.52273272257340386</v>
      </c>
      <c r="Q235" s="6" t="s">
        <v>49</v>
      </c>
      <c r="R235" s="17">
        <v>5</v>
      </c>
      <c r="S235" s="6" t="s">
        <v>12</v>
      </c>
      <c r="T235" s="54">
        <v>-62.040900000000001</v>
      </c>
      <c r="U235" s="29">
        <v>300</v>
      </c>
      <c r="V235" s="29">
        <v>500</v>
      </c>
      <c r="W235" s="28">
        <f t="shared" si="54"/>
        <v>460</v>
      </c>
      <c r="X235" s="28">
        <f t="shared" si="59"/>
        <v>383.26661477445413</v>
      </c>
      <c r="Y235" s="60">
        <v>18</v>
      </c>
      <c r="Z235" s="60">
        <v>2</v>
      </c>
      <c r="AA235" s="60">
        <v>18</v>
      </c>
      <c r="AB235" s="60">
        <v>2</v>
      </c>
      <c r="AC235" s="28">
        <f t="shared" si="60"/>
        <v>1017.8760197630929</v>
      </c>
      <c r="AD235" s="34" t="str">
        <f t="shared" si="55"/>
        <v>OK</v>
      </c>
      <c r="AE235" s="28">
        <f t="shared" si="61"/>
        <v>-164.76766282313093</v>
      </c>
      <c r="AF235" s="32">
        <f t="shared" si="62"/>
        <v>0.37653565594723226</v>
      </c>
      <c r="AG235" s="92">
        <f t="shared" si="63"/>
        <v>4.5</v>
      </c>
      <c r="AH235" s="92">
        <f t="shared" si="64"/>
        <v>5.5</v>
      </c>
      <c r="AI235" s="17">
        <v>5</v>
      </c>
      <c r="AJ235" s="89">
        <v>-0.2</v>
      </c>
      <c r="AK235" s="89">
        <v>0.2</v>
      </c>
    </row>
    <row r="236" spans="1:37" x14ac:dyDescent="0.25">
      <c r="A236" s="6" t="s">
        <v>49</v>
      </c>
      <c r="B236" s="17">
        <v>5.5</v>
      </c>
      <c r="C236" s="6" t="s">
        <v>11</v>
      </c>
      <c r="D236" s="68">
        <v>55.182499999999997</v>
      </c>
      <c r="E236" s="29">
        <v>300</v>
      </c>
      <c r="F236" s="29">
        <v>500</v>
      </c>
      <c r="G236" s="28">
        <f t="shared" si="51"/>
        <v>460</v>
      </c>
      <c r="H236" s="28">
        <f t="shared" si="56"/>
        <v>340.89785882847144</v>
      </c>
      <c r="I236" s="61">
        <v>14</v>
      </c>
      <c r="J236" s="61">
        <v>4</v>
      </c>
      <c r="K236" s="11">
        <v>12</v>
      </c>
      <c r="L236" s="11">
        <v>0</v>
      </c>
      <c r="M236" s="28">
        <f t="shared" si="57"/>
        <v>615.75216010359941</v>
      </c>
      <c r="N236" s="34" t="str">
        <f t="shared" si="52"/>
        <v>OK</v>
      </c>
      <c r="O236" s="17">
        <f t="shared" si="53"/>
        <v>99.674265164610063</v>
      </c>
      <c r="P236" s="19">
        <f t="shared" si="58"/>
        <v>0.55362836042851382</v>
      </c>
      <c r="Q236" s="6" t="s">
        <v>49</v>
      </c>
      <c r="R236" s="17">
        <v>5.5</v>
      </c>
      <c r="S236" s="6" t="s">
        <v>12</v>
      </c>
      <c r="T236" s="54">
        <v>-26.371099999999998</v>
      </c>
      <c r="U236" s="29">
        <v>300</v>
      </c>
      <c r="V236" s="29">
        <v>500</v>
      </c>
      <c r="W236" s="28">
        <f t="shared" si="54"/>
        <v>460</v>
      </c>
      <c r="X236" s="28">
        <f t="shared" si="59"/>
        <v>162.91127667197941</v>
      </c>
      <c r="Y236" s="60">
        <v>14</v>
      </c>
      <c r="Z236" s="60">
        <v>2</v>
      </c>
      <c r="AA236" s="60">
        <v>12</v>
      </c>
      <c r="AB236" s="60">
        <v>2</v>
      </c>
      <c r="AC236" s="28">
        <f t="shared" si="60"/>
        <v>534.07075111026484</v>
      </c>
      <c r="AD236" s="34" t="str">
        <f t="shared" si="55"/>
        <v>OK</v>
      </c>
      <c r="AE236" s="28">
        <f t="shared" si="61"/>
        <v>-86.452168765223007</v>
      </c>
      <c r="AF236" s="32">
        <f t="shared" si="62"/>
        <v>0.30503688197361062</v>
      </c>
      <c r="AG236" s="92">
        <f t="shared" si="63"/>
        <v>5</v>
      </c>
      <c r="AH236" s="92">
        <f t="shared" si="64"/>
        <v>6</v>
      </c>
      <c r="AI236" s="17">
        <v>5.5</v>
      </c>
      <c r="AJ236" s="89">
        <v>-0.2</v>
      </c>
      <c r="AK236" s="89">
        <v>0.2</v>
      </c>
    </row>
    <row r="237" spans="1:37" x14ac:dyDescent="0.25">
      <c r="A237" s="6" t="s">
        <v>49</v>
      </c>
      <c r="B237" s="17">
        <v>6</v>
      </c>
      <c r="C237" s="6" t="s">
        <v>11</v>
      </c>
      <c r="D237" s="68">
        <v>51.803800000000003</v>
      </c>
      <c r="E237" s="29">
        <v>300</v>
      </c>
      <c r="F237" s="29">
        <v>500</v>
      </c>
      <c r="G237" s="28">
        <f t="shared" si="51"/>
        <v>460</v>
      </c>
      <c r="H237" s="28">
        <f t="shared" si="56"/>
        <v>320.02545189468344</v>
      </c>
      <c r="I237" s="61">
        <v>14</v>
      </c>
      <c r="J237" s="61">
        <v>4</v>
      </c>
      <c r="K237" s="11">
        <v>12</v>
      </c>
      <c r="L237" s="11">
        <v>0</v>
      </c>
      <c r="M237" s="28">
        <f t="shared" si="57"/>
        <v>615.75216010359941</v>
      </c>
      <c r="N237" s="34" t="str">
        <f t="shared" si="52"/>
        <v>OK</v>
      </c>
      <c r="O237" s="17">
        <f t="shared" si="53"/>
        <v>99.674265164610063</v>
      </c>
      <c r="P237" s="19">
        <f t="shared" si="58"/>
        <v>0.51973094473731063</v>
      </c>
      <c r="Q237" s="6" t="s">
        <v>49</v>
      </c>
      <c r="R237" s="17">
        <v>6</v>
      </c>
      <c r="S237" s="6" t="s">
        <v>12</v>
      </c>
      <c r="T237" s="54">
        <v>2.8405999999999998</v>
      </c>
      <c r="U237" s="29">
        <v>300</v>
      </c>
      <c r="V237" s="29">
        <v>500</v>
      </c>
      <c r="W237" s="28">
        <f t="shared" si="54"/>
        <v>460</v>
      </c>
      <c r="X237" s="28">
        <f t="shared" si="59"/>
        <v>17.548216514078849</v>
      </c>
      <c r="Y237" s="60">
        <v>14</v>
      </c>
      <c r="Z237" s="60">
        <v>2</v>
      </c>
      <c r="AA237" s="60">
        <v>12</v>
      </c>
      <c r="AB237" s="60">
        <v>2</v>
      </c>
      <c r="AC237" s="28">
        <f t="shared" si="60"/>
        <v>534.07075111026484</v>
      </c>
      <c r="AD237" s="34" t="str">
        <f t="shared" si="55"/>
        <v>OK</v>
      </c>
      <c r="AE237" s="28">
        <f t="shared" si="61"/>
        <v>-86.452168765223007</v>
      </c>
      <c r="AF237" s="32">
        <f t="shared" si="62"/>
        <v>-3.28574753019115E-2</v>
      </c>
      <c r="AG237" s="92">
        <f t="shared" si="63"/>
        <v>6.5</v>
      </c>
      <c r="AH237" s="92">
        <f t="shared" si="64"/>
        <v>6.5</v>
      </c>
      <c r="AI237" s="17">
        <v>6</v>
      </c>
      <c r="AJ237" s="89">
        <v>0.2</v>
      </c>
      <c r="AK237" s="89">
        <v>0.2</v>
      </c>
    </row>
    <row r="238" spans="1:37" x14ac:dyDescent="0.25">
      <c r="A238" s="6" t="s">
        <v>49</v>
      </c>
      <c r="B238" s="17">
        <v>6.5</v>
      </c>
      <c r="C238" s="6" t="s">
        <v>11</v>
      </c>
      <c r="D238" s="68">
        <v>41.966799999999999</v>
      </c>
      <c r="E238" s="29">
        <v>300</v>
      </c>
      <c r="F238" s="29">
        <v>500</v>
      </c>
      <c r="G238" s="28">
        <f t="shared" si="51"/>
        <v>460</v>
      </c>
      <c r="H238" s="28">
        <f t="shared" si="56"/>
        <v>259.25596451561086</v>
      </c>
      <c r="I238" s="61">
        <v>14</v>
      </c>
      <c r="J238" s="61">
        <v>4</v>
      </c>
      <c r="K238" s="11">
        <v>12</v>
      </c>
      <c r="L238" s="11">
        <v>0</v>
      </c>
      <c r="M238" s="28">
        <f t="shared" si="57"/>
        <v>615.75216010359941</v>
      </c>
      <c r="N238" s="34" t="str">
        <f t="shared" si="52"/>
        <v>OK</v>
      </c>
      <c r="O238" s="17">
        <f t="shared" si="53"/>
        <v>99.674265164610063</v>
      </c>
      <c r="P238" s="19">
        <f t="shared" si="58"/>
        <v>0.42103947223180094</v>
      </c>
      <c r="Q238" s="6" t="s">
        <v>49</v>
      </c>
      <c r="R238" s="17">
        <v>6.5</v>
      </c>
      <c r="S238" s="6" t="s">
        <v>12</v>
      </c>
      <c r="T238" s="54">
        <v>25.594000000000001</v>
      </c>
      <c r="U238" s="29">
        <v>300</v>
      </c>
      <c r="V238" s="29">
        <v>500</v>
      </c>
      <c r="W238" s="28">
        <f t="shared" si="54"/>
        <v>460</v>
      </c>
      <c r="X238" s="28">
        <f t="shared" si="59"/>
        <v>158.11062925485251</v>
      </c>
      <c r="Y238" s="60">
        <v>14</v>
      </c>
      <c r="Z238" s="60">
        <v>2</v>
      </c>
      <c r="AA238" s="60">
        <v>12</v>
      </c>
      <c r="AB238" s="60">
        <v>2</v>
      </c>
      <c r="AC238" s="28">
        <f t="shared" si="60"/>
        <v>534.07075111026484</v>
      </c>
      <c r="AD238" s="34" t="str">
        <f t="shared" si="55"/>
        <v>OK</v>
      </c>
      <c r="AE238" s="28">
        <f t="shared" si="61"/>
        <v>-86.452168765223007</v>
      </c>
      <c r="AF238" s="32">
        <f t="shared" si="62"/>
        <v>-0.29604809648564495</v>
      </c>
      <c r="AG238" s="92">
        <f t="shared" si="63"/>
        <v>7</v>
      </c>
      <c r="AH238" s="92">
        <f t="shared" si="64"/>
        <v>7</v>
      </c>
      <c r="AI238" s="17">
        <v>6.5</v>
      </c>
      <c r="AJ238" s="89">
        <v>0.2</v>
      </c>
      <c r="AK238" s="89">
        <v>0.2</v>
      </c>
    </row>
    <row r="239" spans="1:37" x14ac:dyDescent="0.25">
      <c r="A239" s="6" t="s">
        <v>49</v>
      </c>
      <c r="B239" s="17">
        <v>7</v>
      </c>
      <c r="C239" s="6" t="s">
        <v>11</v>
      </c>
      <c r="D239" s="68">
        <v>41.966799999999999</v>
      </c>
      <c r="E239" s="29">
        <v>300</v>
      </c>
      <c r="F239" s="29">
        <v>500</v>
      </c>
      <c r="G239" s="28">
        <f t="shared" si="51"/>
        <v>460</v>
      </c>
      <c r="H239" s="28">
        <f t="shared" si="56"/>
        <v>259.25596451561086</v>
      </c>
      <c r="I239" s="61">
        <v>14</v>
      </c>
      <c r="J239" s="61">
        <v>4</v>
      </c>
      <c r="K239" s="11">
        <v>12</v>
      </c>
      <c r="L239" s="11">
        <v>0</v>
      </c>
      <c r="M239" s="28">
        <f t="shared" si="57"/>
        <v>615.75216010359941</v>
      </c>
      <c r="N239" s="34" t="str">
        <f t="shared" si="52"/>
        <v>OK</v>
      </c>
      <c r="O239" s="17">
        <f t="shared" si="53"/>
        <v>99.674265164610063</v>
      </c>
      <c r="P239" s="19">
        <f t="shared" si="58"/>
        <v>0.42103947223180094</v>
      </c>
      <c r="Q239" s="6" t="s">
        <v>49</v>
      </c>
      <c r="R239" s="17">
        <v>7</v>
      </c>
      <c r="S239" s="6" t="s">
        <v>12</v>
      </c>
      <c r="T239" s="54">
        <v>25.594000000000001</v>
      </c>
      <c r="U239" s="29">
        <v>300</v>
      </c>
      <c r="V239" s="29">
        <v>500</v>
      </c>
      <c r="W239" s="28">
        <f t="shared" si="54"/>
        <v>460</v>
      </c>
      <c r="X239" s="28">
        <f t="shared" si="59"/>
        <v>158.11062925485251</v>
      </c>
      <c r="Y239" s="60">
        <v>14</v>
      </c>
      <c r="Z239" s="60">
        <v>2</v>
      </c>
      <c r="AA239" s="60">
        <v>12</v>
      </c>
      <c r="AB239" s="60">
        <v>2</v>
      </c>
      <c r="AC239" s="28">
        <f t="shared" si="60"/>
        <v>534.07075111026484</v>
      </c>
      <c r="AD239" s="34" t="str">
        <f t="shared" si="55"/>
        <v>OK</v>
      </c>
      <c r="AE239" s="28">
        <f t="shared" si="61"/>
        <v>-86.452168765223007</v>
      </c>
      <c r="AF239" s="32">
        <f t="shared" si="62"/>
        <v>-0.29604809648564495</v>
      </c>
      <c r="AG239" s="92">
        <f t="shared" si="63"/>
        <v>6.5</v>
      </c>
      <c r="AH239" s="92">
        <f t="shared" si="64"/>
        <v>6.5</v>
      </c>
      <c r="AI239" s="17">
        <v>7</v>
      </c>
      <c r="AJ239" s="89">
        <v>-0.2</v>
      </c>
      <c r="AK239" s="89">
        <v>-0.2</v>
      </c>
    </row>
    <row r="240" spans="1:37" x14ac:dyDescent="0.25">
      <c r="A240" s="6" t="s">
        <v>49</v>
      </c>
      <c r="B240" s="17">
        <v>7.5</v>
      </c>
      <c r="C240" s="6" t="s">
        <v>11</v>
      </c>
      <c r="D240" s="68">
        <v>51.803800000000003</v>
      </c>
      <c r="E240" s="29">
        <v>300</v>
      </c>
      <c r="F240" s="29">
        <v>500</v>
      </c>
      <c r="G240" s="28">
        <f t="shared" si="51"/>
        <v>460</v>
      </c>
      <c r="H240" s="28">
        <f t="shared" si="56"/>
        <v>320.02545189468344</v>
      </c>
      <c r="I240" s="61">
        <v>14</v>
      </c>
      <c r="J240" s="61">
        <v>4</v>
      </c>
      <c r="K240" s="11">
        <v>12</v>
      </c>
      <c r="L240" s="11">
        <v>0</v>
      </c>
      <c r="M240" s="28">
        <f t="shared" si="57"/>
        <v>615.75216010359941</v>
      </c>
      <c r="N240" s="34" t="str">
        <f t="shared" si="52"/>
        <v>OK</v>
      </c>
      <c r="O240" s="17">
        <f t="shared" si="53"/>
        <v>99.674265164610063</v>
      </c>
      <c r="P240" s="19">
        <f t="shared" si="58"/>
        <v>0.51973094473731063</v>
      </c>
      <c r="Q240" s="6" t="s">
        <v>49</v>
      </c>
      <c r="R240" s="17">
        <v>7.5</v>
      </c>
      <c r="S240" s="6" t="s">
        <v>12</v>
      </c>
      <c r="T240" s="54">
        <v>2.8405999999999998</v>
      </c>
      <c r="U240" s="29">
        <v>300</v>
      </c>
      <c r="V240" s="29">
        <v>500</v>
      </c>
      <c r="W240" s="28">
        <f t="shared" si="54"/>
        <v>460</v>
      </c>
      <c r="X240" s="28">
        <f t="shared" si="59"/>
        <v>17.548216514078849</v>
      </c>
      <c r="Y240" s="60">
        <v>14</v>
      </c>
      <c r="Z240" s="60">
        <v>2</v>
      </c>
      <c r="AA240" s="60">
        <v>12</v>
      </c>
      <c r="AB240" s="60">
        <v>2</v>
      </c>
      <c r="AC240" s="28">
        <f t="shared" si="60"/>
        <v>534.07075111026484</v>
      </c>
      <c r="AD240" s="34" t="str">
        <f t="shared" si="55"/>
        <v>OK</v>
      </c>
      <c r="AE240" s="28">
        <f t="shared" si="61"/>
        <v>-86.452168765223007</v>
      </c>
      <c r="AF240" s="32">
        <f t="shared" si="62"/>
        <v>-3.28574753019115E-2</v>
      </c>
      <c r="AG240" s="92">
        <f t="shared" si="63"/>
        <v>7</v>
      </c>
      <c r="AH240" s="92">
        <f t="shared" si="64"/>
        <v>7</v>
      </c>
      <c r="AI240" s="17">
        <v>7.5</v>
      </c>
      <c r="AJ240" s="89">
        <v>-0.2</v>
      </c>
      <c r="AK240" s="89">
        <v>-0.2</v>
      </c>
    </row>
    <row r="241" spans="1:37" x14ac:dyDescent="0.25">
      <c r="A241" s="6" t="s">
        <v>49</v>
      </c>
      <c r="B241" s="17">
        <v>8</v>
      </c>
      <c r="C241" s="6" t="s">
        <v>11</v>
      </c>
      <c r="D241" s="68">
        <v>55.182499999999997</v>
      </c>
      <c r="E241" s="29">
        <v>300</v>
      </c>
      <c r="F241" s="29">
        <v>500</v>
      </c>
      <c r="G241" s="28">
        <f t="shared" si="51"/>
        <v>460</v>
      </c>
      <c r="H241" s="28">
        <f t="shared" si="56"/>
        <v>340.89785882847144</v>
      </c>
      <c r="I241" s="61">
        <v>14</v>
      </c>
      <c r="J241" s="61">
        <v>4</v>
      </c>
      <c r="K241" s="11">
        <v>12</v>
      </c>
      <c r="L241" s="11">
        <v>0</v>
      </c>
      <c r="M241" s="28">
        <f t="shared" si="57"/>
        <v>615.75216010359941</v>
      </c>
      <c r="N241" s="34" t="str">
        <f t="shared" si="52"/>
        <v>OK</v>
      </c>
      <c r="O241" s="17">
        <f t="shared" si="53"/>
        <v>99.674265164610063</v>
      </c>
      <c r="P241" s="19">
        <f t="shared" si="58"/>
        <v>0.55362836042851382</v>
      </c>
      <c r="Q241" s="6" t="s">
        <v>49</v>
      </c>
      <c r="R241" s="17">
        <v>8</v>
      </c>
      <c r="S241" s="6" t="s">
        <v>12</v>
      </c>
      <c r="T241" s="54">
        <v>-26.371099999999998</v>
      </c>
      <c r="U241" s="29">
        <v>300</v>
      </c>
      <c r="V241" s="29">
        <v>500</v>
      </c>
      <c r="W241" s="28">
        <f t="shared" si="54"/>
        <v>460</v>
      </c>
      <c r="X241" s="28">
        <f t="shared" si="59"/>
        <v>162.91127667197941</v>
      </c>
      <c r="Y241" s="60">
        <v>14</v>
      </c>
      <c r="Z241" s="60">
        <v>2</v>
      </c>
      <c r="AA241" s="60">
        <v>12</v>
      </c>
      <c r="AB241" s="60">
        <v>2</v>
      </c>
      <c r="AC241" s="28">
        <f t="shared" si="60"/>
        <v>534.07075111026484</v>
      </c>
      <c r="AD241" s="34" t="str">
        <f t="shared" si="55"/>
        <v>OK</v>
      </c>
      <c r="AE241" s="28">
        <f t="shared" si="61"/>
        <v>-86.452168765223007</v>
      </c>
      <c r="AF241" s="32">
        <f t="shared" si="62"/>
        <v>0.30503688197361062</v>
      </c>
      <c r="AG241" s="92">
        <f t="shared" si="63"/>
        <v>8.5</v>
      </c>
      <c r="AH241" s="92">
        <f t="shared" si="64"/>
        <v>7.5</v>
      </c>
      <c r="AI241" s="17">
        <v>8</v>
      </c>
      <c r="AJ241" s="89">
        <v>0.2</v>
      </c>
      <c r="AK241" s="89">
        <v>-0.2</v>
      </c>
    </row>
    <row r="242" spans="1:37" x14ac:dyDescent="0.25">
      <c r="A242" s="6" t="s">
        <v>49</v>
      </c>
      <c r="B242" s="17">
        <v>8.5</v>
      </c>
      <c r="C242" s="6" t="s">
        <v>11</v>
      </c>
      <c r="D242" s="68">
        <v>52.103000000000002</v>
      </c>
      <c r="E242" s="29">
        <v>300</v>
      </c>
      <c r="F242" s="29">
        <v>500</v>
      </c>
      <c r="G242" s="28">
        <f t="shared" si="51"/>
        <v>460</v>
      </c>
      <c r="H242" s="28">
        <f t="shared" si="56"/>
        <v>321.87380308140894</v>
      </c>
      <c r="I242" s="61">
        <v>14</v>
      </c>
      <c r="J242" s="61">
        <v>4</v>
      </c>
      <c r="K242" s="11">
        <v>12</v>
      </c>
      <c r="L242" s="11">
        <v>0</v>
      </c>
      <c r="M242" s="28">
        <f t="shared" si="57"/>
        <v>615.75216010359941</v>
      </c>
      <c r="N242" s="34" t="str">
        <f t="shared" si="52"/>
        <v>OK</v>
      </c>
      <c r="O242" s="17">
        <f t="shared" si="53"/>
        <v>99.674265164610063</v>
      </c>
      <c r="P242" s="19">
        <f t="shared" si="58"/>
        <v>0.52273272257340386</v>
      </c>
      <c r="Q242" s="6" t="s">
        <v>49</v>
      </c>
      <c r="R242" s="17">
        <v>8.5</v>
      </c>
      <c r="S242" s="6" t="s">
        <v>12</v>
      </c>
      <c r="T242" s="54">
        <v>-62.040900000000001</v>
      </c>
      <c r="U242" s="29">
        <v>300</v>
      </c>
      <c r="V242" s="29">
        <v>500</v>
      </c>
      <c r="W242" s="28">
        <f t="shared" si="54"/>
        <v>460</v>
      </c>
      <c r="X242" s="28">
        <f t="shared" si="59"/>
        <v>383.26661477445413</v>
      </c>
      <c r="Y242" s="60">
        <v>18</v>
      </c>
      <c r="Z242" s="60">
        <v>2</v>
      </c>
      <c r="AA242" s="60">
        <v>18</v>
      </c>
      <c r="AB242" s="60">
        <v>2</v>
      </c>
      <c r="AC242" s="28">
        <f t="shared" si="60"/>
        <v>1017.8760197630929</v>
      </c>
      <c r="AD242" s="34" t="str">
        <f t="shared" si="55"/>
        <v>OK</v>
      </c>
      <c r="AE242" s="28">
        <f t="shared" si="61"/>
        <v>-164.76766282313093</v>
      </c>
      <c r="AF242" s="32">
        <f t="shared" si="62"/>
        <v>0.37653565594723226</v>
      </c>
      <c r="AG242" s="92">
        <f t="shared" si="63"/>
        <v>9</v>
      </c>
      <c r="AH242" s="92">
        <f t="shared" si="64"/>
        <v>8</v>
      </c>
      <c r="AI242" s="17">
        <v>8.5</v>
      </c>
      <c r="AJ242" s="89">
        <v>0.2</v>
      </c>
      <c r="AK242" s="89">
        <v>-0.2</v>
      </c>
    </row>
    <row r="243" spans="1:37" x14ac:dyDescent="0.25">
      <c r="A243" s="6" t="s">
        <v>49</v>
      </c>
      <c r="B243" s="17">
        <v>9</v>
      </c>
      <c r="C243" s="6" t="s">
        <v>11</v>
      </c>
      <c r="D243" s="68">
        <v>42.565300000000001</v>
      </c>
      <c r="E243" s="29">
        <v>300</v>
      </c>
      <c r="F243" s="29">
        <v>500</v>
      </c>
      <c r="G243" s="28">
        <f t="shared" si="51"/>
        <v>460</v>
      </c>
      <c r="H243" s="28">
        <f t="shared" si="56"/>
        <v>262.95328465349587</v>
      </c>
      <c r="I243" s="61">
        <v>14</v>
      </c>
      <c r="J243" s="61">
        <v>4</v>
      </c>
      <c r="K243" s="11">
        <v>12</v>
      </c>
      <c r="L243" s="11">
        <v>0</v>
      </c>
      <c r="M243" s="28">
        <f t="shared" si="57"/>
        <v>615.75216010359941</v>
      </c>
      <c r="N243" s="34" t="str">
        <f t="shared" si="52"/>
        <v>OK</v>
      </c>
      <c r="O243" s="17">
        <f t="shared" si="53"/>
        <v>99.674265164610063</v>
      </c>
      <c r="P243" s="19">
        <f t="shared" si="58"/>
        <v>0.42704403117198059</v>
      </c>
      <c r="Q243" s="6" t="s">
        <v>49</v>
      </c>
      <c r="R243" s="17">
        <v>9</v>
      </c>
      <c r="S243" s="6" t="s">
        <v>12</v>
      </c>
      <c r="T243" s="54">
        <v>-104.169</v>
      </c>
      <c r="U243" s="29">
        <v>300</v>
      </c>
      <c r="V243" s="29">
        <v>500</v>
      </c>
      <c r="W243" s="28">
        <f t="shared" si="54"/>
        <v>460</v>
      </c>
      <c r="X243" s="28">
        <f t="shared" si="59"/>
        <v>643.51903332221343</v>
      </c>
      <c r="Y243" s="60">
        <v>18</v>
      </c>
      <c r="Z243" s="60">
        <v>2</v>
      </c>
      <c r="AA243" s="60">
        <v>18</v>
      </c>
      <c r="AB243" s="60">
        <v>2</v>
      </c>
      <c r="AC243" s="28">
        <f t="shared" si="60"/>
        <v>1017.8760197630929</v>
      </c>
      <c r="AD243" s="34" t="str">
        <f t="shared" si="55"/>
        <v>OK</v>
      </c>
      <c r="AE243" s="28">
        <f t="shared" si="61"/>
        <v>-164.76766282313093</v>
      </c>
      <c r="AF243" s="32">
        <f t="shared" si="62"/>
        <v>0.63221750078363204</v>
      </c>
      <c r="AG243" s="92">
        <f t="shared" si="63"/>
        <v>9.5</v>
      </c>
      <c r="AH243" s="92">
        <f t="shared" si="64"/>
        <v>8.5</v>
      </c>
      <c r="AI243" s="17">
        <v>9</v>
      </c>
      <c r="AJ243" s="89">
        <v>0.2</v>
      </c>
      <c r="AK243" s="89">
        <v>-0.2</v>
      </c>
    </row>
    <row r="244" spans="1:37" x14ac:dyDescent="0.25">
      <c r="A244" s="6" t="s">
        <v>49</v>
      </c>
      <c r="B244" s="17">
        <v>9.5</v>
      </c>
      <c r="C244" s="6" t="s">
        <v>11</v>
      </c>
      <c r="D244" s="68">
        <v>26.569400000000002</v>
      </c>
      <c r="E244" s="29">
        <v>300</v>
      </c>
      <c r="F244" s="29">
        <v>500</v>
      </c>
      <c r="G244" s="28">
        <f t="shared" si="51"/>
        <v>460</v>
      </c>
      <c r="H244" s="28">
        <f t="shared" si="56"/>
        <v>164.1363035447323</v>
      </c>
      <c r="I244" s="61">
        <v>14</v>
      </c>
      <c r="J244" s="61">
        <v>4</v>
      </c>
      <c r="K244" s="11">
        <v>12</v>
      </c>
      <c r="L244" s="11">
        <v>0</v>
      </c>
      <c r="M244" s="28">
        <f t="shared" si="57"/>
        <v>615.75216010359941</v>
      </c>
      <c r="N244" s="34" t="str">
        <f t="shared" si="52"/>
        <v>OK</v>
      </c>
      <c r="O244" s="17">
        <f t="shared" si="53"/>
        <v>99.674265164610063</v>
      </c>
      <c r="P244" s="19">
        <f t="shared" si="58"/>
        <v>0.26656228622424422</v>
      </c>
      <c r="Q244" s="6" t="s">
        <v>49</v>
      </c>
      <c r="R244" s="17">
        <v>9.5</v>
      </c>
      <c r="S244" s="6" t="s">
        <v>12</v>
      </c>
      <c r="T244" s="54">
        <v>-152.75530000000001</v>
      </c>
      <c r="U244" s="29">
        <v>300</v>
      </c>
      <c r="V244" s="29">
        <v>500</v>
      </c>
      <c r="W244" s="28">
        <f t="shared" si="54"/>
        <v>460</v>
      </c>
      <c r="X244" s="28">
        <f t="shared" si="59"/>
        <v>943.6679145508233</v>
      </c>
      <c r="Y244" s="60">
        <v>18</v>
      </c>
      <c r="Z244" s="60">
        <v>2</v>
      </c>
      <c r="AA244" s="60">
        <v>18</v>
      </c>
      <c r="AB244" s="60">
        <v>2</v>
      </c>
      <c r="AC244" s="28">
        <f t="shared" si="60"/>
        <v>1017.8760197630929</v>
      </c>
      <c r="AD244" s="34" t="str">
        <f t="shared" si="55"/>
        <v>OK</v>
      </c>
      <c r="AE244" s="28">
        <f t="shared" si="61"/>
        <v>-164.76766282313093</v>
      </c>
      <c r="AF244" s="32">
        <f t="shared" si="62"/>
        <v>0.92709514344434474</v>
      </c>
      <c r="AG244" s="92">
        <f t="shared" si="63"/>
        <v>9</v>
      </c>
      <c r="AH244" s="92">
        <f t="shared" si="64"/>
        <v>9</v>
      </c>
      <c r="AI244" s="17">
        <v>9.5</v>
      </c>
      <c r="AJ244" s="89">
        <v>-0.2</v>
      </c>
      <c r="AK244" s="89">
        <v>-0.2</v>
      </c>
    </row>
    <row r="245" spans="1:37" x14ac:dyDescent="0.25">
      <c r="A245" s="6" t="s">
        <v>50</v>
      </c>
      <c r="B245" s="17">
        <v>9.5</v>
      </c>
      <c r="C245" s="6" t="s">
        <v>11</v>
      </c>
      <c r="D245" s="68">
        <v>62.941800000000001</v>
      </c>
      <c r="E245" s="29">
        <v>300</v>
      </c>
      <c r="F245" s="29">
        <v>500</v>
      </c>
      <c r="G245" s="28">
        <f t="shared" si="51"/>
        <v>460</v>
      </c>
      <c r="H245" s="28">
        <f t="shared" si="56"/>
        <v>388.83205456095476</v>
      </c>
      <c r="I245" s="61">
        <v>14</v>
      </c>
      <c r="J245" s="61">
        <v>4</v>
      </c>
      <c r="K245" s="11">
        <v>14</v>
      </c>
      <c r="L245" s="11">
        <v>0</v>
      </c>
      <c r="M245" s="28">
        <f t="shared" si="57"/>
        <v>615.75216010359941</v>
      </c>
      <c r="N245" s="34" t="str">
        <f t="shared" si="52"/>
        <v>OK</v>
      </c>
      <c r="O245" s="17">
        <f t="shared" si="53"/>
        <v>99.674265164610063</v>
      </c>
      <c r="P245" s="19">
        <f t="shared" si="58"/>
        <v>0.6314749338362603</v>
      </c>
      <c r="Q245" s="6" t="s">
        <v>50</v>
      </c>
      <c r="R245" s="17">
        <v>9.5</v>
      </c>
      <c r="S245" s="6" t="s">
        <v>12</v>
      </c>
      <c r="T245" s="54">
        <v>-148.72890000000001</v>
      </c>
      <c r="U245" s="29">
        <v>300</v>
      </c>
      <c r="V245" s="29">
        <v>500</v>
      </c>
      <c r="W245" s="28">
        <f t="shared" si="54"/>
        <v>460</v>
      </c>
      <c r="X245" s="28">
        <f t="shared" si="59"/>
        <v>918.79424737758984</v>
      </c>
      <c r="Y245" s="60">
        <v>18</v>
      </c>
      <c r="Z245" s="60">
        <v>2</v>
      </c>
      <c r="AA245" s="60">
        <v>18</v>
      </c>
      <c r="AB245" s="60">
        <v>2</v>
      </c>
      <c r="AC245" s="28">
        <f t="shared" si="60"/>
        <v>1017.8760197630929</v>
      </c>
      <c r="AD245" s="34" t="str">
        <f t="shared" si="55"/>
        <v>OK</v>
      </c>
      <c r="AE245" s="28">
        <f t="shared" si="61"/>
        <v>-164.76766282313093</v>
      </c>
      <c r="AF245" s="32">
        <f t="shared" si="62"/>
        <v>0.90265830959593296</v>
      </c>
      <c r="AG245" s="92">
        <f t="shared" si="63"/>
        <v>9</v>
      </c>
      <c r="AH245" s="92">
        <f t="shared" si="64"/>
        <v>10</v>
      </c>
      <c r="AI245" s="17">
        <v>9.5</v>
      </c>
      <c r="AJ245" s="89">
        <v>-0.2</v>
      </c>
      <c r="AK245" s="89">
        <v>0.2</v>
      </c>
    </row>
    <row r="246" spans="1:37" x14ac:dyDescent="0.25">
      <c r="A246" s="6" t="s">
        <v>50</v>
      </c>
      <c r="B246" s="17">
        <v>10</v>
      </c>
      <c r="C246" s="6" t="s">
        <v>11</v>
      </c>
      <c r="D246" s="68">
        <v>63.353499999999997</v>
      </c>
      <c r="E246" s="29">
        <v>300</v>
      </c>
      <c r="F246" s="29">
        <v>500</v>
      </c>
      <c r="G246" s="28">
        <f t="shared" si="51"/>
        <v>460</v>
      </c>
      <c r="H246" s="28">
        <f t="shared" si="56"/>
        <v>391.37539073600448</v>
      </c>
      <c r="I246" s="61">
        <v>14</v>
      </c>
      <c r="J246" s="61">
        <v>4</v>
      </c>
      <c r="K246" s="11">
        <v>14</v>
      </c>
      <c r="L246" s="11">
        <v>0</v>
      </c>
      <c r="M246" s="28">
        <f t="shared" si="57"/>
        <v>615.75216010359941</v>
      </c>
      <c r="N246" s="34" t="str">
        <f t="shared" si="52"/>
        <v>OK</v>
      </c>
      <c r="O246" s="17">
        <f t="shared" si="53"/>
        <v>99.674265164610063</v>
      </c>
      <c r="P246" s="19">
        <f t="shared" si="58"/>
        <v>0.63560538816486833</v>
      </c>
      <c r="Q246" s="6" t="s">
        <v>50</v>
      </c>
      <c r="R246" s="17">
        <v>10</v>
      </c>
      <c r="S246" s="6" t="s">
        <v>12</v>
      </c>
      <c r="T246" s="54">
        <v>-98.268199999999993</v>
      </c>
      <c r="U246" s="29">
        <v>300</v>
      </c>
      <c r="V246" s="29">
        <v>500</v>
      </c>
      <c r="W246" s="28">
        <f t="shared" si="54"/>
        <v>460</v>
      </c>
      <c r="X246" s="28">
        <f t="shared" si="59"/>
        <v>607.06598959684686</v>
      </c>
      <c r="Y246" s="60">
        <v>18</v>
      </c>
      <c r="Z246" s="60">
        <v>2</v>
      </c>
      <c r="AA246" s="60">
        <v>18</v>
      </c>
      <c r="AB246" s="60">
        <v>2</v>
      </c>
      <c r="AC246" s="28">
        <f t="shared" si="60"/>
        <v>1017.8760197630929</v>
      </c>
      <c r="AD246" s="34" t="str">
        <f t="shared" si="55"/>
        <v>OK</v>
      </c>
      <c r="AE246" s="28">
        <f t="shared" si="61"/>
        <v>-164.76766282313093</v>
      </c>
      <c r="AF246" s="32">
        <f t="shared" si="62"/>
        <v>0.59640464831673634</v>
      </c>
      <c r="AG246" s="92">
        <f t="shared" si="63"/>
        <v>10.5</v>
      </c>
      <c r="AH246" s="92">
        <f t="shared" si="64"/>
        <v>10.5</v>
      </c>
      <c r="AI246" s="17">
        <v>10</v>
      </c>
      <c r="AJ246" s="89">
        <v>0.2</v>
      </c>
      <c r="AK246" s="89">
        <v>0.2</v>
      </c>
    </row>
    <row r="247" spans="1:37" x14ac:dyDescent="0.25">
      <c r="A247" s="6" t="s">
        <v>50</v>
      </c>
      <c r="B247" s="17">
        <v>10.5</v>
      </c>
      <c r="C247" s="6" t="s">
        <v>11</v>
      </c>
      <c r="D247" s="68">
        <v>57.307200000000002</v>
      </c>
      <c r="E247" s="29">
        <v>300</v>
      </c>
      <c r="F247" s="29">
        <v>500</v>
      </c>
      <c r="G247" s="28">
        <f t="shared" si="51"/>
        <v>460</v>
      </c>
      <c r="H247" s="28">
        <f t="shared" si="56"/>
        <v>354.0234997590718</v>
      </c>
      <c r="I247" s="61">
        <v>14</v>
      </c>
      <c r="J247" s="61">
        <v>4</v>
      </c>
      <c r="K247" s="11">
        <v>14</v>
      </c>
      <c r="L247" s="11">
        <v>0</v>
      </c>
      <c r="M247" s="28">
        <f t="shared" si="57"/>
        <v>615.75216010359941</v>
      </c>
      <c r="N247" s="34" t="str">
        <f t="shared" si="52"/>
        <v>OK</v>
      </c>
      <c r="O247" s="17">
        <f t="shared" si="53"/>
        <v>99.674265164610063</v>
      </c>
      <c r="P247" s="19">
        <f t="shared" si="58"/>
        <v>0.57494479548315003</v>
      </c>
      <c r="Q247" s="6" t="s">
        <v>50</v>
      </c>
      <c r="R247" s="17">
        <v>10.5</v>
      </c>
      <c r="S247" s="6" t="s">
        <v>12</v>
      </c>
      <c r="T247" s="54">
        <v>-54.265799999999999</v>
      </c>
      <c r="U247" s="29">
        <v>300</v>
      </c>
      <c r="V247" s="29">
        <v>500</v>
      </c>
      <c r="W247" s="28">
        <f t="shared" si="54"/>
        <v>460</v>
      </c>
      <c r="X247" s="28">
        <f t="shared" si="59"/>
        <v>335.23481226138841</v>
      </c>
      <c r="Y247" s="60">
        <v>18</v>
      </c>
      <c r="Z247" s="60">
        <v>2</v>
      </c>
      <c r="AA247" s="60">
        <v>18</v>
      </c>
      <c r="AB247" s="60">
        <v>2</v>
      </c>
      <c r="AC247" s="28">
        <f t="shared" si="60"/>
        <v>1017.8760197630929</v>
      </c>
      <c r="AD247" s="34" t="str">
        <f t="shared" si="55"/>
        <v>OK</v>
      </c>
      <c r="AE247" s="28">
        <f t="shared" si="61"/>
        <v>-164.76766282313093</v>
      </c>
      <c r="AF247" s="32">
        <f t="shared" si="62"/>
        <v>0.32934739177705863</v>
      </c>
      <c r="AG247" s="92">
        <f t="shared" si="63"/>
        <v>11</v>
      </c>
      <c r="AH247" s="92">
        <f t="shared" si="64"/>
        <v>11</v>
      </c>
      <c r="AI247" s="17">
        <v>10.5</v>
      </c>
      <c r="AJ247" s="89">
        <v>0.2</v>
      </c>
      <c r="AK247" s="89">
        <v>0.2</v>
      </c>
    </row>
    <row r="248" spans="1:37" x14ac:dyDescent="0.25">
      <c r="A248" s="6" t="s">
        <v>50</v>
      </c>
      <c r="B248" s="17">
        <v>11</v>
      </c>
      <c r="C248" s="6" t="s">
        <v>11</v>
      </c>
      <c r="D248" s="68">
        <v>44.802799999999998</v>
      </c>
      <c r="E248" s="29">
        <v>300</v>
      </c>
      <c r="F248" s="29">
        <v>500</v>
      </c>
      <c r="G248" s="28">
        <f t="shared" si="51"/>
        <v>460</v>
      </c>
      <c r="H248" s="28">
        <f t="shared" si="56"/>
        <v>276.77576386572269</v>
      </c>
      <c r="I248" s="61">
        <v>14</v>
      </c>
      <c r="J248" s="61">
        <v>4</v>
      </c>
      <c r="K248" s="11">
        <v>14</v>
      </c>
      <c r="L248" s="11">
        <v>0</v>
      </c>
      <c r="M248" s="28">
        <f t="shared" si="57"/>
        <v>615.75216010359941</v>
      </c>
      <c r="N248" s="34" t="str">
        <f t="shared" si="52"/>
        <v>OK</v>
      </c>
      <c r="O248" s="17">
        <f t="shared" si="53"/>
        <v>99.674265164610063</v>
      </c>
      <c r="P248" s="19">
        <f t="shared" si="58"/>
        <v>0.44949215252311181</v>
      </c>
      <c r="Q248" s="6" t="s">
        <v>50</v>
      </c>
      <c r="R248" s="17">
        <v>11</v>
      </c>
      <c r="S248" s="6" t="s">
        <v>12</v>
      </c>
      <c r="T248" s="54">
        <v>-16.721800000000002</v>
      </c>
      <c r="U248" s="29">
        <v>300</v>
      </c>
      <c r="V248" s="29">
        <v>500</v>
      </c>
      <c r="W248" s="28">
        <f t="shared" si="54"/>
        <v>460</v>
      </c>
      <c r="X248" s="28">
        <f t="shared" si="59"/>
        <v>103.3013331356487</v>
      </c>
      <c r="Y248" s="60">
        <v>18</v>
      </c>
      <c r="Z248" s="60">
        <v>2</v>
      </c>
      <c r="AA248" s="60">
        <v>18</v>
      </c>
      <c r="AB248" s="60">
        <v>2</v>
      </c>
      <c r="AC248" s="28">
        <f t="shared" si="60"/>
        <v>1017.8760197630929</v>
      </c>
      <c r="AD248" s="34" t="str">
        <f t="shared" si="55"/>
        <v>OK</v>
      </c>
      <c r="AE248" s="28">
        <f t="shared" si="61"/>
        <v>-164.76766282313093</v>
      </c>
      <c r="AF248" s="32">
        <f t="shared" si="62"/>
        <v>0.10148714689210551</v>
      </c>
      <c r="AG248" s="92">
        <f t="shared" si="63"/>
        <v>11.5</v>
      </c>
      <c r="AH248" s="92">
        <f t="shared" si="64"/>
        <v>11.5</v>
      </c>
      <c r="AI248" s="17">
        <v>11</v>
      </c>
      <c r="AJ248" s="89">
        <v>0.2</v>
      </c>
      <c r="AK248" s="89">
        <v>0.2</v>
      </c>
    </row>
    <row r="249" spans="1:37" x14ac:dyDescent="0.25">
      <c r="A249" s="6" t="s">
        <v>50</v>
      </c>
      <c r="B249" s="17">
        <v>11.5</v>
      </c>
      <c r="C249" s="6" t="s">
        <v>11</v>
      </c>
      <c r="D249" s="68">
        <v>25.843</v>
      </c>
      <c r="E249" s="29">
        <v>300</v>
      </c>
      <c r="F249" s="29">
        <v>500</v>
      </c>
      <c r="G249" s="28">
        <f t="shared" si="51"/>
        <v>460</v>
      </c>
      <c r="H249" s="28">
        <f t="shared" si="56"/>
        <v>159.64886269567685</v>
      </c>
      <c r="I249" s="61">
        <v>14</v>
      </c>
      <c r="J249" s="61">
        <v>4</v>
      </c>
      <c r="K249" s="11">
        <v>14</v>
      </c>
      <c r="L249" s="11">
        <v>0</v>
      </c>
      <c r="M249" s="28">
        <f t="shared" si="57"/>
        <v>615.75216010359941</v>
      </c>
      <c r="N249" s="34" t="str">
        <f t="shared" si="52"/>
        <v>OK</v>
      </c>
      <c r="O249" s="17">
        <f t="shared" si="53"/>
        <v>99.674265164610063</v>
      </c>
      <c r="P249" s="19">
        <f t="shared" si="58"/>
        <v>0.25927454752057416</v>
      </c>
      <c r="Q249" s="6" t="s">
        <v>50</v>
      </c>
      <c r="R249" s="17">
        <v>11.5</v>
      </c>
      <c r="S249" s="6" t="s">
        <v>12</v>
      </c>
      <c r="T249" s="54">
        <v>14.3611</v>
      </c>
      <c r="U249" s="29">
        <v>300</v>
      </c>
      <c r="V249" s="29">
        <v>500</v>
      </c>
      <c r="W249" s="28">
        <f t="shared" si="54"/>
        <v>460</v>
      </c>
      <c r="X249" s="28">
        <f t="shared" si="59"/>
        <v>88.717768140652595</v>
      </c>
      <c r="Y249" s="60">
        <v>18</v>
      </c>
      <c r="Z249" s="60">
        <v>2</v>
      </c>
      <c r="AA249" s="60">
        <v>12</v>
      </c>
      <c r="AB249" s="60">
        <v>2</v>
      </c>
      <c r="AC249" s="28">
        <f t="shared" si="60"/>
        <v>735.1326809400116</v>
      </c>
      <c r="AD249" s="34" t="str">
        <f t="shared" si="55"/>
        <v>OK</v>
      </c>
      <c r="AE249" s="28">
        <f t="shared" si="61"/>
        <v>-118.99886759448346</v>
      </c>
      <c r="AF249" s="32">
        <f t="shared" si="62"/>
        <v>-0.1206826610227823</v>
      </c>
      <c r="AG249" s="92">
        <f t="shared" si="63"/>
        <v>12</v>
      </c>
      <c r="AH249" s="92">
        <f t="shared" si="64"/>
        <v>12</v>
      </c>
      <c r="AI249" s="17">
        <v>11.5</v>
      </c>
      <c r="AJ249" s="89">
        <v>0.2</v>
      </c>
      <c r="AK249" s="89">
        <v>0.2</v>
      </c>
    </row>
    <row r="250" spans="1:37" x14ac:dyDescent="0.25">
      <c r="A250" s="6" t="s">
        <v>50</v>
      </c>
      <c r="B250" s="17">
        <v>12</v>
      </c>
      <c r="C250" s="6" t="s">
        <v>11</v>
      </c>
      <c r="D250" s="68">
        <v>38.994</v>
      </c>
      <c r="E250" s="29">
        <v>300</v>
      </c>
      <c r="F250" s="29">
        <v>500</v>
      </c>
      <c r="G250" s="28">
        <f t="shared" si="51"/>
        <v>460</v>
      </c>
      <c r="H250" s="28">
        <f t="shared" si="56"/>
        <v>240.89106341969676</v>
      </c>
      <c r="I250" s="61">
        <v>14</v>
      </c>
      <c r="J250" s="61">
        <v>4</v>
      </c>
      <c r="K250" s="11">
        <v>14</v>
      </c>
      <c r="L250" s="11">
        <v>0</v>
      </c>
      <c r="M250" s="28">
        <f t="shared" si="57"/>
        <v>615.75216010359941</v>
      </c>
      <c r="N250" s="34" t="str">
        <f t="shared" si="52"/>
        <v>OK</v>
      </c>
      <c r="O250" s="17">
        <f t="shared" si="53"/>
        <v>99.674265164610063</v>
      </c>
      <c r="P250" s="19">
        <f t="shared" si="58"/>
        <v>0.39121432132559175</v>
      </c>
      <c r="Q250" s="6" t="s">
        <v>50</v>
      </c>
      <c r="R250" s="17">
        <v>12</v>
      </c>
      <c r="S250" s="6" t="s">
        <v>12</v>
      </c>
      <c r="T250" s="54">
        <v>0.4168</v>
      </c>
      <c r="U250" s="29">
        <v>300</v>
      </c>
      <c r="V250" s="29">
        <v>500</v>
      </c>
      <c r="W250" s="28">
        <f t="shared" si="54"/>
        <v>460</v>
      </c>
      <c r="X250" s="28">
        <f t="shared" si="59"/>
        <v>2.5748421611870955</v>
      </c>
      <c r="Y250" s="60">
        <v>18</v>
      </c>
      <c r="Z250" s="60">
        <v>2</v>
      </c>
      <c r="AA250" s="60">
        <v>12</v>
      </c>
      <c r="AB250" s="60">
        <v>2</v>
      </c>
      <c r="AC250" s="28">
        <f t="shared" si="60"/>
        <v>735.1326809400116</v>
      </c>
      <c r="AD250" s="34" t="str">
        <f t="shared" si="55"/>
        <v>OK</v>
      </c>
      <c r="AE250" s="28">
        <f t="shared" si="61"/>
        <v>-118.99886759448346</v>
      </c>
      <c r="AF250" s="32">
        <f t="shared" si="62"/>
        <v>-3.5025543387550858E-3</v>
      </c>
      <c r="AG250" s="92">
        <f t="shared" si="63"/>
        <v>11.5</v>
      </c>
      <c r="AH250" s="92">
        <f t="shared" si="64"/>
        <v>11.5</v>
      </c>
      <c r="AI250" s="17">
        <v>12</v>
      </c>
      <c r="AJ250" s="89">
        <v>-0.2</v>
      </c>
      <c r="AK250" s="89">
        <v>-0.2</v>
      </c>
    </row>
    <row r="251" spans="1:37" x14ac:dyDescent="0.25">
      <c r="A251" s="6" t="s">
        <v>50</v>
      </c>
      <c r="B251" s="17">
        <v>12.5</v>
      </c>
      <c r="C251" s="6" t="s">
        <v>11</v>
      </c>
      <c r="D251" s="68">
        <v>57.162999999999997</v>
      </c>
      <c r="E251" s="29">
        <v>300</v>
      </c>
      <c r="F251" s="29">
        <v>500</v>
      </c>
      <c r="G251" s="28">
        <f t="shared" si="51"/>
        <v>460</v>
      </c>
      <c r="H251" s="28">
        <f t="shared" si="56"/>
        <v>353.13268344514864</v>
      </c>
      <c r="I251" s="61">
        <v>14</v>
      </c>
      <c r="J251" s="61">
        <v>4</v>
      </c>
      <c r="K251" s="11">
        <v>14</v>
      </c>
      <c r="L251" s="11">
        <v>0</v>
      </c>
      <c r="M251" s="28">
        <f t="shared" si="57"/>
        <v>615.75216010359941</v>
      </c>
      <c r="N251" s="34" t="str">
        <f t="shared" si="52"/>
        <v>OK</v>
      </c>
      <c r="O251" s="17">
        <f t="shared" si="53"/>
        <v>99.674265164610063</v>
      </c>
      <c r="P251" s="19">
        <f t="shared" si="58"/>
        <v>0.5734980830367441</v>
      </c>
      <c r="Q251" s="6" t="s">
        <v>50</v>
      </c>
      <c r="R251" s="17">
        <v>12.5</v>
      </c>
      <c r="S251" s="6" t="s">
        <v>12</v>
      </c>
      <c r="T251" s="54">
        <v>-31.4619</v>
      </c>
      <c r="U251" s="29">
        <v>300</v>
      </c>
      <c r="V251" s="29">
        <v>500</v>
      </c>
      <c r="W251" s="28">
        <f t="shared" si="54"/>
        <v>460</v>
      </c>
      <c r="X251" s="28">
        <f t="shared" si="59"/>
        <v>194.36042848141145</v>
      </c>
      <c r="Y251" s="60">
        <v>18</v>
      </c>
      <c r="Z251" s="60">
        <v>2</v>
      </c>
      <c r="AA251" s="60">
        <v>12</v>
      </c>
      <c r="AB251" s="60">
        <v>2</v>
      </c>
      <c r="AC251" s="28">
        <f t="shared" si="60"/>
        <v>735.1326809400116</v>
      </c>
      <c r="AD251" s="34" t="str">
        <f t="shared" si="55"/>
        <v>OK</v>
      </c>
      <c r="AE251" s="28">
        <f t="shared" si="61"/>
        <v>-118.99886759448346</v>
      </c>
      <c r="AF251" s="32">
        <f t="shared" si="62"/>
        <v>0.26438823020748231</v>
      </c>
      <c r="AG251" s="92">
        <f t="shared" si="63"/>
        <v>12</v>
      </c>
      <c r="AH251" s="92">
        <f t="shared" si="64"/>
        <v>12</v>
      </c>
      <c r="AI251" s="17">
        <v>12.5</v>
      </c>
      <c r="AJ251" s="89">
        <v>-0.2</v>
      </c>
      <c r="AK251" s="89">
        <v>-0.2</v>
      </c>
    </row>
    <row r="252" spans="1:37" x14ac:dyDescent="0.25">
      <c r="A252" s="6" t="s">
        <v>50</v>
      </c>
      <c r="B252" s="17">
        <v>13</v>
      </c>
      <c r="C252" s="6" t="s">
        <v>11</v>
      </c>
      <c r="D252" s="68">
        <v>68.874300000000005</v>
      </c>
      <c r="E252" s="29">
        <v>300</v>
      </c>
      <c r="F252" s="29">
        <v>500</v>
      </c>
      <c r="G252" s="28">
        <f t="shared" si="51"/>
        <v>460</v>
      </c>
      <c r="H252" s="28">
        <f t="shared" si="56"/>
        <v>425.48092961192032</v>
      </c>
      <c r="I252" s="61">
        <v>14</v>
      </c>
      <c r="J252" s="61">
        <v>4</v>
      </c>
      <c r="K252" s="11">
        <v>14</v>
      </c>
      <c r="L252" s="11">
        <v>0</v>
      </c>
      <c r="M252" s="28">
        <f t="shared" si="57"/>
        <v>615.75216010359941</v>
      </c>
      <c r="N252" s="34" t="str">
        <f t="shared" si="52"/>
        <v>OK</v>
      </c>
      <c r="O252" s="17">
        <f t="shared" si="53"/>
        <v>99.674265164610063</v>
      </c>
      <c r="P252" s="19">
        <f t="shared" si="58"/>
        <v>0.69099380754155015</v>
      </c>
      <c r="Q252" s="6" t="s">
        <v>50</v>
      </c>
      <c r="R252" s="17">
        <v>13</v>
      </c>
      <c r="S252" s="6" t="s">
        <v>12</v>
      </c>
      <c r="T252" s="54">
        <v>-69.799400000000006</v>
      </c>
      <c r="U252" s="29">
        <v>300</v>
      </c>
      <c r="V252" s="29">
        <v>500</v>
      </c>
      <c r="W252" s="28">
        <f t="shared" si="54"/>
        <v>460</v>
      </c>
      <c r="X252" s="28">
        <f t="shared" si="59"/>
        <v>431.1958683914649</v>
      </c>
      <c r="Y252" s="60">
        <v>18</v>
      </c>
      <c r="Z252" s="60">
        <v>2</v>
      </c>
      <c r="AA252" s="60">
        <v>12</v>
      </c>
      <c r="AB252" s="60">
        <v>2</v>
      </c>
      <c r="AC252" s="28">
        <f t="shared" si="60"/>
        <v>735.1326809400116</v>
      </c>
      <c r="AD252" s="34" t="str">
        <f t="shared" si="55"/>
        <v>OK</v>
      </c>
      <c r="AE252" s="28">
        <f t="shared" si="61"/>
        <v>-118.99886759448346</v>
      </c>
      <c r="AF252" s="32">
        <f t="shared" si="62"/>
        <v>0.58655516149832476</v>
      </c>
      <c r="AG252" s="92">
        <f t="shared" si="63"/>
        <v>12.5</v>
      </c>
      <c r="AH252" s="92">
        <f t="shared" si="64"/>
        <v>12.5</v>
      </c>
      <c r="AI252" s="17">
        <v>13</v>
      </c>
      <c r="AJ252" s="89">
        <v>-0.2</v>
      </c>
      <c r="AK252" s="89">
        <v>-0.2</v>
      </c>
    </row>
    <row r="253" spans="1:37" x14ac:dyDescent="0.25">
      <c r="A253" s="6" t="s">
        <v>50</v>
      </c>
      <c r="B253" s="17">
        <v>13.5</v>
      </c>
      <c r="C253" s="6" t="s">
        <v>11</v>
      </c>
      <c r="D253" s="68">
        <v>74.127399999999994</v>
      </c>
      <c r="E253" s="29">
        <v>300</v>
      </c>
      <c r="F253" s="29">
        <v>500</v>
      </c>
      <c r="G253" s="28">
        <f t="shared" si="51"/>
        <v>460</v>
      </c>
      <c r="H253" s="28">
        <f t="shared" si="56"/>
        <v>457.93271309784143</v>
      </c>
      <c r="I253" s="61">
        <v>14</v>
      </c>
      <c r="J253" s="61">
        <v>4</v>
      </c>
      <c r="K253" s="11">
        <v>14</v>
      </c>
      <c r="L253" s="11">
        <v>0</v>
      </c>
      <c r="M253" s="28">
        <f>PI()*I253^2/4*J253+PI()*K253^2/4*L253</f>
        <v>615.75216010359941</v>
      </c>
      <c r="N253" s="34" t="str">
        <f t="shared" si="52"/>
        <v>OK</v>
      </c>
      <c r="O253" s="17">
        <f t="shared" si="53"/>
        <v>99.674265164610063</v>
      </c>
      <c r="P253" s="19">
        <f t="shared" si="58"/>
        <v>0.74369647850004283</v>
      </c>
      <c r="Q253" s="6" t="s">
        <v>50</v>
      </c>
      <c r="R253" s="17">
        <v>13.5</v>
      </c>
      <c r="S253" s="6" t="s">
        <v>12</v>
      </c>
      <c r="T253" s="54">
        <v>-114.5951</v>
      </c>
      <c r="U253" s="29">
        <v>300</v>
      </c>
      <c r="V253" s="29">
        <v>500</v>
      </c>
      <c r="W253" s="28">
        <f t="shared" si="54"/>
        <v>460</v>
      </c>
      <c r="X253" s="28">
        <f t="shared" si="59"/>
        <v>707.92777098236888</v>
      </c>
      <c r="Y253" s="60">
        <v>18</v>
      </c>
      <c r="Z253" s="60">
        <v>2</v>
      </c>
      <c r="AA253" s="60">
        <v>12</v>
      </c>
      <c r="AB253" s="60">
        <v>2</v>
      </c>
      <c r="AC253" s="28">
        <f>PI()*Y253^2/4*Z253+PI()*AA253^2/4*AB253</f>
        <v>735.1326809400116</v>
      </c>
      <c r="AD253" s="34" t="str">
        <f t="shared" si="55"/>
        <v>OK</v>
      </c>
      <c r="AE253" s="28">
        <f t="shared" si="61"/>
        <v>-118.99886759448346</v>
      </c>
      <c r="AF253" s="32">
        <f>T253/AE253</f>
        <v>0.96299319746898493</v>
      </c>
      <c r="AG253" s="92">
        <f t="shared" si="63"/>
        <v>13</v>
      </c>
      <c r="AH253" s="92">
        <f t="shared" si="64"/>
        <v>13</v>
      </c>
      <c r="AI253" s="17">
        <v>13.5</v>
      </c>
      <c r="AJ253">
        <v>-0.2</v>
      </c>
      <c r="AK253">
        <v>-0.2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552E-F34F-495F-B741-3AE0FB123ADD}">
  <sheetPr codeName="Foglio10">
    <pageSetUpPr fitToPage="1"/>
  </sheetPr>
  <dimension ref="A1:AJ253"/>
  <sheetViews>
    <sheetView topLeftCell="U187" zoomScale="70" zoomScaleNormal="70" workbookViewId="0">
      <selection activeCell="AB213" sqref="AB213"/>
    </sheetView>
  </sheetViews>
  <sheetFormatPr defaultRowHeight="15" x14ac:dyDescent="0.25"/>
  <cols>
    <col min="1" max="1" width="9.140625" style="20"/>
    <col min="2" max="2" width="9.7109375" style="20" bestFit="1" customWidth="1"/>
    <col min="3" max="3" width="13.85546875" style="20" customWidth="1"/>
    <col min="4" max="4" width="9.140625" style="20"/>
    <col min="5" max="5" width="10.7109375" style="20" bestFit="1" customWidth="1"/>
    <col min="6" max="6" width="9.7109375" style="20" bestFit="1" customWidth="1"/>
    <col min="7" max="8" width="10.7109375" style="20" bestFit="1" customWidth="1"/>
    <col min="9" max="9" width="8.140625" style="20" customWidth="1"/>
    <col min="10" max="10" width="14" style="20" customWidth="1"/>
    <col min="11" max="16" width="9.140625" style="20"/>
    <col min="17" max="17" width="15.42578125" style="20" customWidth="1"/>
    <col min="18" max="18" width="16.85546875" style="1" customWidth="1"/>
    <col min="19" max="27" width="9.140625" style="20"/>
    <col min="28" max="28" width="10.7109375" style="20" bestFit="1" customWidth="1"/>
    <col min="29" max="32" width="9.28515625" style="20" bestFit="1" customWidth="1"/>
    <col min="33" max="33" width="10.7109375" style="20" bestFit="1" customWidth="1"/>
    <col min="34" max="34" width="9.140625" style="20"/>
    <col min="35" max="35" width="10.42578125" style="20" bestFit="1" customWidth="1"/>
    <col min="36" max="36" width="9.28515625" style="20" bestFit="1" customWidth="1"/>
    <col min="37" max="16384" width="9.140625" style="20"/>
  </cols>
  <sheetData>
    <row r="1" spans="1:36" x14ac:dyDescent="0.25">
      <c r="A1" s="22" t="s">
        <v>0</v>
      </c>
      <c r="B1" s="21"/>
      <c r="C1" s="23"/>
      <c r="D1" s="23"/>
      <c r="E1" s="21"/>
      <c r="F1" s="21"/>
    </row>
    <row r="2" spans="1:36" x14ac:dyDescent="0.25">
      <c r="A2" s="2" t="s">
        <v>1</v>
      </c>
      <c r="B2" s="3" t="s">
        <v>2</v>
      </c>
      <c r="C2" s="2" t="s">
        <v>34</v>
      </c>
      <c r="D2" s="2" t="s">
        <v>3</v>
      </c>
      <c r="E2" s="3" t="s">
        <v>4</v>
      </c>
      <c r="F2" s="3" t="s">
        <v>5</v>
      </c>
      <c r="G2" s="5" t="s">
        <v>20</v>
      </c>
      <c r="H2" s="5" t="s">
        <v>21</v>
      </c>
      <c r="I2" s="5" t="s">
        <v>25</v>
      </c>
      <c r="J2" s="5" t="s">
        <v>23</v>
      </c>
      <c r="K2" s="5" t="s">
        <v>26</v>
      </c>
      <c r="L2" s="5" t="s">
        <v>27</v>
      </c>
      <c r="M2" s="5" t="s">
        <v>26</v>
      </c>
      <c r="N2" s="5" t="s">
        <v>27</v>
      </c>
      <c r="O2" s="5" t="s">
        <v>23</v>
      </c>
      <c r="Q2" s="5" t="s">
        <v>31</v>
      </c>
      <c r="R2" s="5" t="s">
        <v>33</v>
      </c>
      <c r="S2" s="24" t="s">
        <v>1</v>
      </c>
      <c r="T2" s="25" t="s">
        <v>2</v>
      </c>
      <c r="U2" s="24" t="s">
        <v>34</v>
      </c>
      <c r="V2" s="24" t="s">
        <v>3</v>
      </c>
      <c r="W2" s="25" t="s">
        <v>4</v>
      </c>
      <c r="X2" s="25" t="s">
        <v>5</v>
      </c>
      <c r="Y2" s="5" t="s">
        <v>20</v>
      </c>
      <c r="Z2" s="5" t="s">
        <v>21</v>
      </c>
      <c r="AA2" s="5" t="s">
        <v>25</v>
      </c>
      <c r="AB2" s="5" t="s">
        <v>23</v>
      </c>
      <c r="AC2" s="5" t="s">
        <v>26</v>
      </c>
      <c r="AD2" s="5" t="s">
        <v>27</v>
      </c>
      <c r="AE2" s="5" t="s">
        <v>26</v>
      </c>
      <c r="AF2" s="5" t="s">
        <v>27</v>
      </c>
      <c r="AG2" s="5" t="s">
        <v>23</v>
      </c>
      <c r="AI2" s="5" t="s">
        <v>31</v>
      </c>
      <c r="AJ2" s="5" t="s">
        <v>33</v>
      </c>
    </row>
    <row r="3" spans="1:36" x14ac:dyDescent="0.25">
      <c r="A3" s="4" t="s">
        <v>6</v>
      </c>
      <c r="B3" s="5" t="s">
        <v>7</v>
      </c>
      <c r="C3" s="4" t="s">
        <v>6</v>
      </c>
      <c r="D3" s="4" t="s">
        <v>6</v>
      </c>
      <c r="E3" s="5" t="s">
        <v>8</v>
      </c>
      <c r="F3" s="5" t="s">
        <v>9</v>
      </c>
      <c r="G3" s="9" t="s">
        <v>22</v>
      </c>
      <c r="H3" s="9" t="s">
        <v>22</v>
      </c>
      <c r="I3" s="9" t="s">
        <v>22</v>
      </c>
      <c r="J3" s="9" t="s">
        <v>24</v>
      </c>
      <c r="K3" s="9" t="s">
        <v>22</v>
      </c>
      <c r="L3" s="9" t="s">
        <v>28</v>
      </c>
      <c r="M3" s="9" t="s">
        <v>22</v>
      </c>
      <c r="N3" s="9" t="s">
        <v>28</v>
      </c>
      <c r="O3" s="9" t="s">
        <v>24</v>
      </c>
      <c r="Q3" s="9" t="s">
        <v>9</v>
      </c>
      <c r="R3" s="8" t="s">
        <v>28</v>
      </c>
      <c r="S3" s="26" t="s">
        <v>6</v>
      </c>
      <c r="T3" s="27" t="s">
        <v>7</v>
      </c>
      <c r="U3" s="26" t="s">
        <v>6</v>
      </c>
      <c r="V3" s="26" t="s">
        <v>6</v>
      </c>
      <c r="W3" s="27" t="s">
        <v>8</v>
      </c>
      <c r="X3" s="27" t="s">
        <v>9</v>
      </c>
      <c r="Y3" s="9" t="s">
        <v>22</v>
      </c>
      <c r="Z3" s="9" t="s">
        <v>22</v>
      </c>
      <c r="AA3" s="9" t="s">
        <v>22</v>
      </c>
      <c r="AB3" s="9" t="s">
        <v>24</v>
      </c>
      <c r="AC3" s="9" t="s">
        <v>22</v>
      </c>
      <c r="AD3" s="9" t="s">
        <v>28</v>
      </c>
      <c r="AE3" s="9" t="s">
        <v>22</v>
      </c>
      <c r="AF3" s="9" t="s">
        <v>28</v>
      </c>
      <c r="AG3" s="9" t="s">
        <v>24</v>
      </c>
      <c r="AI3" s="9" t="s">
        <v>9</v>
      </c>
      <c r="AJ3" s="8" t="s">
        <v>28</v>
      </c>
    </row>
    <row r="4" spans="1:36" x14ac:dyDescent="0.25">
      <c r="A4" s="28" t="s">
        <v>35</v>
      </c>
      <c r="B4" s="17">
        <v>0</v>
      </c>
      <c r="C4" s="28" t="s">
        <v>36</v>
      </c>
      <c r="D4" s="28" t="s">
        <v>11</v>
      </c>
      <c r="E4" s="1">
        <v>5.95</v>
      </c>
      <c r="F4" s="1">
        <v>79.844800000000006</v>
      </c>
      <c r="G4" s="29">
        <v>300</v>
      </c>
      <c r="H4" s="29">
        <v>500</v>
      </c>
      <c r="I4" s="28">
        <f t="shared" ref="I4:I33" si="0">H4-40</f>
        <v>460</v>
      </c>
      <c r="J4" s="28">
        <f t="shared" ref="J4:J33" si="1">ABS(F4)*1000^2/(0.9*391*I4)</f>
        <v>493.25277685113105</v>
      </c>
      <c r="K4" s="59">
        <v>18</v>
      </c>
      <c r="L4" s="59">
        <v>2</v>
      </c>
      <c r="M4" s="59">
        <v>12</v>
      </c>
      <c r="N4" s="59">
        <v>0</v>
      </c>
      <c r="O4" s="28">
        <f>PI()*K4^2/4*L4+PI()*M4^2/4*N4</f>
        <v>508.93800988154646</v>
      </c>
      <c r="P4" s="34" t="str">
        <f t="shared" ref="P4:P33" si="2">IF(O4&gt;=J4,"OK","NO")</f>
        <v>OK</v>
      </c>
      <c r="Q4" s="17">
        <f t="shared" ref="Q4:Q33" si="3">(O4*0.9*391*I4)/1000^2</f>
        <v>82.383831411565467</v>
      </c>
      <c r="R4" s="19">
        <f>F4/Q4</f>
        <v>0.96918046456371754</v>
      </c>
      <c r="S4" s="6" t="s">
        <v>35</v>
      </c>
      <c r="T4" s="17">
        <v>0</v>
      </c>
      <c r="U4" s="6" t="s">
        <v>36</v>
      </c>
      <c r="V4" s="6" t="s">
        <v>12</v>
      </c>
      <c r="W4" s="1">
        <v>-100.742</v>
      </c>
      <c r="X4" s="1">
        <v>-126.2971</v>
      </c>
      <c r="Y4" s="10">
        <v>300</v>
      </c>
      <c r="Z4" s="10">
        <v>500</v>
      </c>
      <c r="AA4" s="7">
        <f t="shared" ref="AA4:AA33" si="4">Z4-40</f>
        <v>460</v>
      </c>
      <c r="AB4" s="28">
        <f t="shared" ref="AB4:AB33" si="5">ABS(X4)*1000^2/(0.9*391*AA4)</f>
        <v>780.21856505677238</v>
      </c>
      <c r="AC4" s="60">
        <v>18</v>
      </c>
      <c r="AD4" s="60">
        <v>2</v>
      </c>
      <c r="AE4" s="60">
        <v>14</v>
      </c>
      <c r="AF4" s="60">
        <v>2</v>
      </c>
      <c r="AG4" s="28">
        <f>PI()*AC4^2/4*AD4+PI()*AE4^2/4*AF4</f>
        <v>816.81408993334617</v>
      </c>
      <c r="AH4" s="35" t="str">
        <f t="shared" ref="AH4:AH33" si="6">IF(AG4&gt;=AB4,"OK","NO")</f>
        <v>OK</v>
      </c>
      <c r="AI4" s="28">
        <f>-(AG4*0.9*391*AA4)/1000^2</f>
        <v>-132.22096399387047</v>
      </c>
      <c r="AJ4" s="32">
        <f t="shared" ref="AJ4:AJ33" si="7">X4/AI4</f>
        <v>0.95519724092962222</v>
      </c>
    </row>
    <row r="5" spans="1:36" x14ac:dyDescent="0.25">
      <c r="A5" s="28" t="s">
        <v>35</v>
      </c>
      <c r="B5" s="17">
        <v>0.5</v>
      </c>
      <c r="C5" s="28" t="s">
        <v>36</v>
      </c>
      <c r="D5" s="28" t="s">
        <v>11</v>
      </c>
      <c r="E5" s="1">
        <v>18.866</v>
      </c>
      <c r="F5" s="1">
        <v>73.640900000000002</v>
      </c>
      <c r="G5" s="29">
        <v>300</v>
      </c>
      <c r="H5" s="29">
        <v>500</v>
      </c>
      <c r="I5" s="28">
        <f t="shared" si="0"/>
        <v>460</v>
      </c>
      <c r="J5" s="28">
        <f t="shared" si="1"/>
        <v>454.92728912611034</v>
      </c>
      <c r="K5" s="59">
        <v>18</v>
      </c>
      <c r="L5" s="59">
        <v>2</v>
      </c>
      <c r="M5" s="59">
        <v>12</v>
      </c>
      <c r="N5" s="59">
        <v>0</v>
      </c>
      <c r="O5" s="28">
        <f t="shared" ref="O5:O32" si="8">PI()*K5^2/4*L5+PI()*M5^2/4*N5</f>
        <v>508.93800988154646</v>
      </c>
      <c r="P5" s="34" t="str">
        <f t="shared" si="2"/>
        <v>OK</v>
      </c>
      <c r="Q5" s="17">
        <f t="shared" si="3"/>
        <v>82.383831411565467</v>
      </c>
      <c r="R5" s="19">
        <f t="shared" ref="R5:R33" si="9">F5/Q5</f>
        <v>0.8938756396520533</v>
      </c>
      <c r="S5" s="6" t="s">
        <v>35</v>
      </c>
      <c r="T5" s="17">
        <v>0.5</v>
      </c>
      <c r="U5" s="6" t="s">
        <v>36</v>
      </c>
      <c r="V5" s="6" t="s">
        <v>12</v>
      </c>
      <c r="W5" s="1">
        <v>-87.825999999999993</v>
      </c>
      <c r="X5" s="1">
        <v>-79.155199999999994</v>
      </c>
      <c r="Y5" s="10">
        <v>300</v>
      </c>
      <c r="Z5" s="10">
        <v>500</v>
      </c>
      <c r="AA5" s="7">
        <f t="shared" si="4"/>
        <v>460</v>
      </c>
      <c r="AB5" s="28">
        <f t="shared" si="5"/>
        <v>488.99267331381191</v>
      </c>
      <c r="AC5" s="60">
        <v>18</v>
      </c>
      <c r="AD5" s="60">
        <v>2</v>
      </c>
      <c r="AE5" s="60">
        <v>14</v>
      </c>
      <c r="AF5" s="60">
        <v>2</v>
      </c>
      <c r="AG5" s="28">
        <f t="shared" ref="AG5:AG33" si="10">PI()*AC5^2/4*AD5+PI()*AE5^2/4*AF5</f>
        <v>816.81408993334617</v>
      </c>
      <c r="AH5" s="35" t="str">
        <f t="shared" si="6"/>
        <v>OK</v>
      </c>
      <c r="AI5" s="28">
        <f t="shared" ref="AI5:AI33" si="11">-(AG5*0.9*391*AA5)/1000^2</f>
        <v>-132.22096399387047</v>
      </c>
      <c r="AJ5" s="32">
        <f t="shared" si="7"/>
        <v>0.59865846995087324</v>
      </c>
    </row>
    <row r="6" spans="1:36" x14ac:dyDescent="0.25">
      <c r="A6" s="28" t="s">
        <v>35</v>
      </c>
      <c r="B6" s="17">
        <v>1</v>
      </c>
      <c r="C6" s="28" t="s">
        <v>36</v>
      </c>
      <c r="D6" s="28" t="s">
        <v>11</v>
      </c>
      <c r="E6" s="1">
        <v>31.783000000000001</v>
      </c>
      <c r="F6" s="1">
        <v>60.978700000000003</v>
      </c>
      <c r="G6" s="29">
        <v>300</v>
      </c>
      <c r="H6" s="29">
        <v>500</v>
      </c>
      <c r="I6" s="28">
        <f t="shared" si="0"/>
        <v>460</v>
      </c>
      <c r="J6" s="28">
        <f t="shared" si="1"/>
        <v>376.70472095580504</v>
      </c>
      <c r="K6" s="59">
        <v>18</v>
      </c>
      <c r="L6" s="59">
        <v>2</v>
      </c>
      <c r="M6" s="59">
        <v>12</v>
      </c>
      <c r="N6" s="59">
        <v>0</v>
      </c>
      <c r="O6" s="28">
        <f t="shared" si="8"/>
        <v>508.93800988154646</v>
      </c>
      <c r="P6" s="34" t="str">
        <f t="shared" si="2"/>
        <v>OK</v>
      </c>
      <c r="Q6" s="17">
        <f t="shared" si="3"/>
        <v>82.383831411565467</v>
      </c>
      <c r="R6" s="19">
        <f t="shared" si="9"/>
        <v>0.74017800526135158</v>
      </c>
      <c r="S6" s="6" t="s">
        <v>35</v>
      </c>
      <c r="T6" s="17">
        <v>1</v>
      </c>
      <c r="U6" s="6" t="s">
        <v>36</v>
      </c>
      <c r="V6" s="6" t="s">
        <v>12</v>
      </c>
      <c r="W6" s="1">
        <v>-74.909000000000006</v>
      </c>
      <c r="X6" s="1">
        <v>-38.471600000000002</v>
      </c>
      <c r="Y6" s="10">
        <v>300</v>
      </c>
      <c r="Z6" s="10">
        <v>500</v>
      </c>
      <c r="AA6" s="7">
        <f t="shared" si="4"/>
        <v>460</v>
      </c>
      <c r="AB6" s="28">
        <f t="shared" si="5"/>
        <v>237.66386201613597</v>
      </c>
      <c r="AC6" s="60">
        <v>18</v>
      </c>
      <c r="AD6" s="60">
        <v>2</v>
      </c>
      <c r="AE6" s="60">
        <v>14</v>
      </c>
      <c r="AF6" s="60">
        <v>2</v>
      </c>
      <c r="AG6" s="28">
        <f t="shared" si="10"/>
        <v>816.81408993334617</v>
      </c>
      <c r="AH6" s="35" t="str">
        <f t="shared" si="6"/>
        <v>OK</v>
      </c>
      <c r="AI6" s="28">
        <f t="shared" si="11"/>
        <v>-132.22096399387047</v>
      </c>
      <c r="AJ6" s="32">
        <f t="shared" si="7"/>
        <v>0.29096444949367845</v>
      </c>
    </row>
    <row r="7" spans="1:36" x14ac:dyDescent="0.25">
      <c r="A7" s="28" t="s">
        <v>35</v>
      </c>
      <c r="B7" s="17">
        <v>1.5</v>
      </c>
      <c r="C7" s="28" t="s">
        <v>36</v>
      </c>
      <c r="D7" s="28" t="s">
        <v>11</v>
      </c>
      <c r="E7" s="1">
        <v>44.698999999999998</v>
      </c>
      <c r="F7" s="1">
        <v>41.858499999999999</v>
      </c>
      <c r="G7" s="29">
        <v>300</v>
      </c>
      <c r="H7" s="29">
        <v>500</v>
      </c>
      <c r="I7" s="28">
        <f t="shared" si="0"/>
        <v>460</v>
      </c>
      <c r="J7" s="28">
        <f t="shared" si="1"/>
        <v>258.58692563351735</v>
      </c>
      <c r="K7" s="59">
        <v>18</v>
      </c>
      <c r="L7" s="59">
        <v>2</v>
      </c>
      <c r="M7" s="59">
        <v>12</v>
      </c>
      <c r="N7" s="59">
        <v>0</v>
      </c>
      <c r="O7" s="28">
        <f t="shared" si="8"/>
        <v>508.93800988154646</v>
      </c>
      <c r="P7" s="34" t="str">
        <f t="shared" si="2"/>
        <v>OK</v>
      </c>
      <c r="Q7" s="17">
        <f t="shared" si="3"/>
        <v>82.383831411565467</v>
      </c>
      <c r="R7" s="19">
        <f t="shared" si="9"/>
        <v>0.50809120288284737</v>
      </c>
      <c r="S7" s="6" t="s">
        <v>35</v>
      </c>
      <c r="T7" s="17">
        <v>1.5</v>
      </c>
      <c r="U7" s="6" t="s">
        <v>36</v>
      </c>
      <c r="V7" s="6" t="s">
        <v>12</v>
      </c>
      <c r="W7" s="1">
        <v>-61.993000000000002</v>
      </c>
      <c r="X7" s="1">
        <v>-4.2465000000000002</v>
      </c>
      <c r="Y7" s="10">
        <v>300</v>
      </c>
      <c r="Z7" s="10">
        <v>500</v>
      </c>
      <c r="AA7" s="7">
        <f t="shared" si="4"/>
        <v>460</v>
      </c>
      <c r="AB7" s="28">
        <f t="shared" si="5"/>
        <v>26.233366692612769</v>
      </c>
      <c r="AC7" s="60">
        <v>18</v>
      </c>
      <c r="AD7" s="60">
        <v>2</v>
      </c>
      <c r="AE7" s="60">
        <v>14</v>
      </c>
      <c r="AF7" s="60">
        <v>2</v>
      </c>
      <c r="AG7" s="28">
        <f t="shared" si="10"/>
        <v>816.81408993334617</v>
      </c>
      <c r="AH7" s="35" t="str">
        <f t="shared" si="6"/>
        <v>OK</v>
      </c>
      <c r="AI7" s="28">
        <f t="shared" si="11"/>
        <v>-132.22096399387047</v>
      </c>
      <c r="AJ7" s="32">
        <f t="shared" si="7"/>
        <v>3.211669217747392E-2</v>
      </c>
    </row>
    <row r="8" spans="1:36" x14ac:dyDescent="0.25">
      <c r="A8" s="28" t="s">
        <v>35</v>
      </c>
      <c r="B8" s="17">
        <v>2</v>
      </c>
      <c r="C8" s="28" t="s">
        <v>36</v>
      </c>
      <c r="D8" s="28" t="s">
        <v>11</v>
      </c>
      <c r="E8" s="1">
        <v>57.616</v>
      </c>
      <c r="F8" s="1">
        <v>33.448999999999998</v>
      </c>
      <c r="G8" s="29">
        <v>300</v>
      </c>
      <c r="H8" s="29">
        <v>500</v>
      </c>
      <c r="I8" s="28">
        <f t="shared" si="0"/>
        <v>460</v>
      </c>
      <c r="J8" s="28">
        <f t="shared" si="1"/>
        <v>206.63602555073695</v>
      </c>
      <c r="K8" s="59">
        <v>18</v>
      </c>
      <c r="L8" s="59">
        <v>2</v>
      </c>
      <c r="M8" s="59">
        <v>12</v>
      </c>
      <c r="N8" s="59">
        <v>0</v>
      </c>
      <c r="O8" s="28">
        <f t="shared" si="8"/>
        <v>508.93800988154646</v>
      </c>
      <c r="P8" s="34" t="str">
        <f t="shared" si="2"/>
        <v>OK</v>
      </c>
      <c r="Q8" s="17">
        <f t="shared" si="3"/>
        <v>82.383831411565467</v>
      </c>
      <c r="R8" s="19">
        <f t="shared" si="9"/>
        <v>0.40601413441065398</v>
      </c>
      <c r="S8" s="6" t="s">
        <v>35</v>
      </c>
      <c r="T8" s="17">
        <v>2</v>
      </c>
      <c r="U8" s="6" t="s">
        <v>36</v>
      </c>
      <c r="V8" s="6" t="s">
        <v>12</v>
      </c>
      <c r="W8" s="1">
        <v>-49.076000000000001</v>
      </c>
      <c r="X8" s="1">
        <v>16.275400000000001</v>
      </c>
      <c r="Y8" s="10">
        <v>300</v>
      </c>
      <c r="Z8" s="10">
        <v>500</v>
      </c>
      <c r="AA8" s="7">
        <f t="shared" si="4"/>
        <v>460</v>
      </c>
      <c r="AB8" s="28">
        <f t="shared" si="5"/>
        <v>100.54363270197807</v>
      </c>
      <c r="AC8" s="60">
        <v>18</v>
      </c>
      <c r="AD8" s="60">
        <v>2</v>
      </c>
      <c r="AE8" s="60">
        <v>14</v>
      </c>
      <c r="AF8" s="60">
        <v>2</v>
      </c>
      <c r="AG8" s="28">
        <f t="shared" si="10"/>
        <v>816.81408993334617</v>
      </c>
      <c r="AH8" s="35" t="str">
        <f t="shared" si="6"/>
        <v>OK</v>
      </c>
      <c r="AI8" s="28">
        <f t="shared" si="11"/>
        <v>-132.22096399387047</v>
      </c>
      <c r="AJ8" s="32">
        <f t="shared" si="7"/>
        <v>-0.12309243185335193</v>
      </c>
    </row>
    <row r="9" spans="1:36" x14ac:dyDescent="0.25">
      <c r="A9" s="28" t="s">
        <v>35</v>
      </c>
      <c r="B9" s="17">
        <v>2.5</v>
      </c>
      <c r="C9" s="28" t="s">
        <v>36</v>
      </c>
      <c r="D9" s="28" t="s">
        <v>11</v>
      </c>
      <c r="E9" s="1">
        <v>70.531999999999996</v>
      </c>
      <c r="F9" s="1">
        <v>44.830800000000004</v>
      </c>
      <c r="G9" s="29">
        <v>300</v>
      </c>
      <c r="H9" s="29">
        <v>500</v>
      </c>
      <c r="I9" s="28">
        <f t="shared" si="0"/>
        <v>460</v>
      </c>
      <c r="J9" s="28">
        <f t="shared" si="1"/>
        <v>276.94873790726115</v>
      </c>
      <c r="K9" s="59">
        <v>18</v>
      </c>
      <c r="L9" s="59">
        <v>2</v>
      </c>
      <c r="M9" s="59">
        <v>12</v>
      </c>
      <c r="N9" s="59">
        <v>0</v>
      </c>
      <c r="O9" s="28">
        <f t="shared" si="8"/>
        <v>508.93800988154646</v>
      </c>
      <c r="P9" s="34" t="str">
        <f t="shared" si="2"/>
        <v>OK</v>
      </c>
      <c r="Q9" s="17">
        <f t="shared" si="3"/>
        <v>82.383831411565467</v>
      </c>
      <c r="R9" s="19">
        <f t="shared" si="9"/>
        <v>0.54416988420990609</v>
      </c>
      <c r="S9" s="6" t="s">
        <v>35</v>
      </c>
      <c r="T9" s="17">
        <v>2.5</v>
      </c>
      <c r="U9" s="6" t="s">
        <v>36</v>
      </c>
      <c r="V9" s="6" t="s">
        <v>12</v>
      </c>
      <c r="W9" s="1">
        <v>-36.159999999999997</v>
      </c>
      <c r="X9" s="1">
        <v>-15.7582</v>
      </c>
      <c r="Y9" s="10">
        <v>300</v>
      </c>
      <c r="Z9" s="10">
        <v>500</v>
      </c>
      <c r="AA9" s="7">
        <f t="shared" si="4"/>
        <v>460</v>
      </c>
      <c r="AB9" s="28">
        <f t="shared" si="5"/>
        <v>97.3485550489887</v>
      </c>
      <c r="AC9" s="60">
        <v>18</v>
      </c>
      <c r="AD9" s="60">
        <v>2</v>
      </c>
      <c r="AE9" s="60">
        <v>18</v>
      </c>
      <c r="AF9" s="60">
        <v>2</v>
      </c>
      <c r="AG9" s="28">
        <f t="shared" si="10"/>
        <v>1017.8760197630929</v>
      </c>
      <c r="AH9" s="35" t="str">
        <f t="shared" si="6"/>
        <v>OK</v>
      </c>
      <c r="AI9" s="28">
        <f t="shared" si="11"/>
        <v>-164.76766282313093</v>
      </c>
      <c r="AJ9" s="32">
        <f t="shared" si="7"/>
        <v>9.5638911968518758E-2</v>
      </c>
    </row>
    <row r="10" spans="1:36" x14ac:dyDescent="0.25">
      <c r="A10" s="28" t="s">
        <v>35</v>
      </c>
      <c r="B10" s="17">
        <v>3</v>
      </c>
      <c r="C10" s="28" t="s">
        <v>36</v>
      </c>
      <c r="D10" s="28" t="s">
        <v>11</v>
      </c>
      <c r="E10" s="1">
        <v>83.448999999999998</v>
      </c>
      <c r="F10" s="1">
        <v>59.681399999999996</v>
      </c>
      <c r="G10" s="29">
        <v>300</v>
      </c>
      <c r="H10" s="29">
        <v>500</v>
      </c>
      <c r="I10" s="28">
        <f t="shared" si="0"/>
        <v>460</v>
      </c>
      <c r="J10" s="28">
        <f t="shared" si="1"/>
        <v>368.69046295266685</v>
      </c>
      <c r="K10" s="59">
        <v>18</v>
      </c>
      <c r="L10" s="59">
        <v>2</v>
      </c>
      <c r="M10" s="59">
        <v>12</v>
      </c>
      <c r="N10" s="59">
        <v>0</v>
      </c>
      <c r="O10" s="28">
        <f t="shared" si="8"/>
        <v>508.93800988154646</v>
      </c>
      <c r="P10" s="34" t="str">
        <f t="shared" si="2"/>
        <v>OK</v>
      </c>
      <c r="Q10" s="17">
        <f t="shared" si="3"/>
        <v>82.383831411565467</v>
      </c>
      <c r="R10" s="19">
        <f t="shared" si="9"/>
        <v>0.72443098333032385</v>
      </c>
      <c r="S10" s="6" t="s">
        <v>35</v>
      </c>
      <c r="T10" s="17">
        <v>3</v>
      </c>
      <c r="U10" s="6" t="s">
        <v>36</v>
      </c>
      <c r="V10" s="6" t="s">
        <v>12</v>
      </c>
      <c r="W10" s="1">
        <v>-23.242999999999999</v>
      </c>
      <c r="X10" s="1">
        <v>-54.253100000000003</v>
      </c>
      <c r="Y10" s="10">
        <v>300</v>
      </c>
      <c r="Z10" s="10">
        <v>500</v>
      </c>
      <c r="AA10" s="7">
        <f t="shared" si="4"/>
        <v>460</v>
      </c>
      <c r="AB10" s="28">
        <f t="shared" si="5"/>
        <v>335.15635617826206</v>
      </c>
      <c r="AC10" s="60">
        <v>18</v>
      </c>
      <c r="AD10" s="60">
        <v>2</v>
      </c>
      <c r="AE10" s="60">
        <v>18</v>
      </c>
      <c r="AF10" s="60">
        <v>2</v>
      </c>
      <c r="AG10" s="28">
        <f t="shared" si="10"/>
        <v>1017.8760197630929</v>
      </c>
      <c r="AH10" s="35" t="str">
        <f t="shared" si="6"/>
        <v>OK</v>
      </c>
      <c r="AI10" s="28">
        <f t="shared" si="11"/>
        <v>-164.76766282313093</v>
      </c>
      <c r="AJ10" s="32">
        <f t="shared" si="7"/>
        <v>0.32927031354591546</v>
      </c>
    </row>
    <row r="11" spans="1:36" x14ac:dyDescent="0.25">
      <c r="A11" s="28" t="s">
        <v>35</v>
      </c>
      <c r="B11" s="17">
        <v>3.5</v>
      </c>
      <c r="C11" s="28" t="s">
        <v>36</v>
      </c>
      <c r="D11" s="28" t="s">
        <v>11</v>
      </c>
      <c r="E11" s="1">
        <v>96.364999999999995</v>
      </c>
      <c r="F11" s="1">
        <v>68.073899999999995</v>
      </c>
      <c r="G11" s="29">
        <v>300</v>
      </c>
      <c r="H11" s="29">
        <v>500</v>
      </c>
      <c r="I11" s="28">
        <f t="shared" si="0"/>
        <v>460</v>
      </c>
      <c r="J11" s="28">
        <f t="shared" si="1"/>
        <v>420.53634308165601</v>
      </c>
      <c r="K11" s="59">
        <v>18</v>
      </c>
      <c r="L11" s="59">
        <v>2</v>
      </c>
      <c r="M11" s="59">
        <v>12</v>
      </c>
      <c r="N11" s="59">
        <v>0</v>
      </c>
      <c r="O11" s="28">
        <f t="shared" si="8"/>
        <v>508.93800988154646</v>
      </c>
      <c r="P11" s="34" t="str">
        <f t="shared" si="2"/>
        <v>OK</v>
      </c>
      <c r="Q11" s="17">
        <f t="shared" si="3"/>
        <v>82.383831411565467</v>
      </c>
      <c r="R11" s="19">
        <f t="shared" si="9"/>
        <v>0.82630170063252761</v>
      </c>
      <c r="S11" s="6" t="s">
        <v>35</v>
      </c>
      <c r="T11" s="17">
        <v>3.5</v>
      </c>
      <c r="U11" s="6" t="s">
        <v>36</v>
      </c>
      <c r="V11" s="6" t="s">
        <v>12</v>
      </c>
      <c r="W11" s="1">
        <v>-10.327</v>
      </c>
      <c r="X11" s="1">
        <v>-99.206400000000002</v>
      </c>
      <c r="Y11" s="10">
        <v>300</v>
      </c>
      <c r="Z11" s="10">
        <v>500</v>
      </c>
      <c r="AA11" s="7">
        <f t="shared" si="4"/>
        <v>460</v>
      </c>
      <c r="AB11" s="28">
        <f t="shared" si="5"/>
        <v>612.86185551725407</v>
      </c>
      <c r="AC11" s="60">
        <v>18</v>
      </c>
      <c r="AD11" s="60">
        <v>2</v>
      </c>
      <c r="AE11" s="60">
        <v>18</v>
      </c>
      <c r="AF11" s="60">
        <v>2</v>
      </c>
      <c r="AG11" s="28">
        <f t="shared" si="10"/>
        <v>1017.8760197630929</v>
      </c>
      <c r="AH11" s="35" t="str">
        <f t="shared" si="6"/>
        <v>OK</v>
      </c>
      <c r="AI11" s="28">
        <f t="shared" si="11"/>
        <v>-164.76766282313093</v>
      </c>
      <c r="AJ11" s="32">
        <f t="shared" si="7"/>
        <v>0.60209872677803677</v>
      </c>
    </row>
    <row r="12" spans="1:36" x14ac:dyDescent="0.25">
      <c r="A12" s="28" t="s">
        <v>35</v>
      </c>
      <c r="B12" s="17">
        <v>4</v>
      </c>
      <c r="C12" s="28" t="s">
        <v>36</v>
      </c>
      <c r="D12" s="28" t="s">
        <v>11</v>
      </c>
      <c r="E12" s="1">
        <v>109.28100000000001</v>
      </c>
      <c r="F12" s="1">
        <v>70.008200000000002</v>
      </c>
      <c r="G12" s="29">
        <v>300</v>
      </c>
      <c r="H12" s="29">
        <v>500</v>
      </c>
      <c r="I12" s="28">
        <f t="shared" si="0"/>
        <v>460</v>
      </c>
      <c r="J12" s="28">
        <f t="shared" si="1"/>
        <v>432.48576052979467</v>
      </c>
      <c r="K12" s="59">
        <v>18</v>
      </c>
      <c r="L12" s="59">
        <v>2</v>
      </c>
      <c r="M12" s="59">
        <v>12</v>
      </c>
      <c r="N12" s="59">
        <v>0</v>
      </c>
      <c r="O12" s="28">
        <f t="shared" si="8"/>
        <v>508.93800988154646</v>
      </c>
      <c r="P12" s="34" t="str">
        <f t="shared" si="2"/>
        <v>OK</v>
      </c>
      <c r="Q12" s="17">
        <f t="shared" si="3"/>
        <v>82.383831411565467</v>
      </c>
      <c r="R12" s="19">
        <f t="shared" si="9"/>
        <v>0.84978082228610563</v>
      </c>
      <c r="S12" s="6" t="s">
        <v>35</v>
      </c>
      <c r="T12" s="17">
        <v>4</v>
      </c>
      <c r="U12" s="6" t="s">
        <v>36</v>
      </c>
      <c r="V12" s="6" t="s">
        <v>12</v>
      </c>
      <c r="W12" s="1">
        <v>2.59</v>
      </c>
      <c r="X12" s="1">
        <v>-150.61789999999999</v>
      </c>
      <c r="Y12" s="10">
        <v>300</v>
      </c>
      <c r="Z12" s="10">
        <v>500</v>
      </c>
      <c r="AA12" s="7">
        <f t="shared" si="4"/>
        <v>460</v>
      </c>
      <c r="AB12" s="28">
        <f t="shared" si="5"/>
        <v>930.46381753709659</v>
      </c>
      <c r="AC12" s="60">
        <v>18</v>
      </c>
      <c r="AD12" s="60">
        <v>2</v>
      </c>
      <c r="AE12" s="60">
        <v>18</v>
      </c>
      <c r="AF12" s="60">
        <v>2</v>
      </c>
      <c r="AG12" s="28">
        <f t="shared" si="10"/>
        <v>1017.8760197630929</v>
      </c>
      <c r="AH12" s="35" t="str">
        <f t="shared" si="6"/>
        <v>OK</v>
      </c>
      <c r="AI12" s="28">
        <f t="shared" si="11"/>
        <v>-164.76766282313093</v>
      </c>
      <c r="AJ12" s="32">
        <f t="shared" si="7"/>
        <v>0.91412293783447096</v>
      </c>
    </row>
    <row r="13" spans="1:36" x14ac:dyDescent="0.25">
      <c r="A13" s="28" t="s">
        <v>37</v>
      </c>
      <c r="B13" s="17">
        <v>4</v>
      </c>
      <c r="C13" s="28" t="s">
        <v>36</v>
      </c>
      <c r="D13" s="28" t="s">
        <v>11</v>
      </c>
      <c r="E13" s="1">
        <v>-36.863</v>
      </c>
      <c r="F13" s="1">
        <v>31.4131</v>
      </c>
      <c r="G13" s="29">
        <v>300</v>
      </c>
      <c r="H13" s="29">
        <v>500</v>
      </c>
      <c r="I13" s="28">
        <f t="shared" si="0"/>
        <v>460</v>
      </c>
      <c r="J13" s="28">
        <f t="shared" si="1"/>
        <v>194.05895943758722</v>
      </c>
      <c r="K13" s="59">
        <v>18</v>
      </c>
      <c r="L13" s="59">
        <v>2</v>
      </c>
      <c r="M13" s="59">
        <v>12</v>
      </c>
      <c r="N13" s="59">
        <v>0</v>
      </c>
      <c r="O13" s="28">
        <f t="shared" si="8"/>
        <v>508.93800988154646</v>
      </c>
      <c r="P13" s="34" t="str">
        <f t="shared" si="2"/>
        <v>OK</v>
      </c>
      <c r="Q13" s="17">
        <f t="shared" si="3"/>
        <v>82.383831411565467</v>
      </c>
      <c r="R13" s="19">
        <f t="shared" si="9"/>
        <v>0.38130176105878544</v>
      </c>
      <c r="S13" s="6" t="s">
        <v>37</v>
      </c>
      <c r="T13" s="17">
        <v>4</v>
      </c>
      <c r="U13" s="6" t="s">
        <v>36</v>
      </c>
      <c r="V13" s="6" t="s">
        <v>12</v>
      </c>
      <c r="W13" s="1">
        <v>-119.08199999999999</v>
      </c>
      <c r="X13" s="1">
        <v>-156.631</v>
      </c>
      <c r="Y13" s="10">
        <v>300</v>
      </c>
      <c r="Z13" s="10">
        <v>500</v>
      </c>
      <c r="AA13" s="7">
        <f t="shared" si="4"/>
        <v>460</v>
      </c>
      <c r="AB13" s="28">
        <f t="shared" si="5"/>
        <v>967.61061072191933</v>
      </c>
      <c r="AC13" s="60">
        <v>18</v>
      </c>
      <c r="AD13" s="60">
        <v>2</v>
      </c>
      <c r="AE13" s="60">
        <v>18</v>
      </c>
      <c r="AF13" s="60">
        <v>2</v>
      </c>
      <c r="AG13" s="28">
        <f t="shared" si="10"/>
        <v>1017.8760197630929</v>
      </c>
      <c r="AH13" s="35" t="str">
        <f t="shared" si="6"/>
        <v>OK</v>
      </c>
      <c r="AI13" s="28">
        <f t="shared" si="11"/>
        <v>-164.76766282313093</v>
      </c>
      <c r="AJ13" s="32">
        <f t="shared" si="7"/>
        <v>0.95061735607753817</v>
      </c>
    </row>
    <row r="14" spans="1:36" x14ac:dyDescent="0.25">
      <c r="A14" s="28" t="s">
        <v>37</v>
      </c>
      <c r="B14" s="17">
        <v>4.5</v>
      </c>
      <c r="C14" s="28" t="s">
        <v>36</v>
      </c>
      <c r="D14" s="28" t="s">
        <v>11</v>
      </c>
      <c r="E14" s="1">
        <v>-23.946000000000002</v>
      </c>
      <c r="F14" s="1">
        <v>46.615400000000001</v>
      </c>
      <c r="G14" s="29">
        <v>300</v>
      </c>
      <c r="H14" s="29">
        <v>500</v>
      </c>
      <c r="I14" s="28">
        <f t="shared" si="0"/>
        <v>460</v>
      </c>
      <c r="J14" s="28">
        <f t="shared" si="1"/>
        <v>287.97336199760304</v>
      </c>
      <c r="K14" s="59">
        <v>18</v>
      </c>
      <c r="L14" s="59">
        <v>2</v>
      </c>
      <c r="M14" s="59">
        <v>12</v>
      </c>
      <c r="N14" s="59">
        <v>0</v>
      </c>
      <c r="O14" s="28">
        <f t="shared" si="8"/>
        <v>508.93800988154646</v>
      </c>
      <c r="P14" s="34" t="str">
        <f t="shared" si="2"/>
        <v>OK</v>
      </c>
      <c r="Q14" s="17">
        <f t="shared" si="3"/>
        <v>82.383831411565467</v>
      </c>
      <c r="R14" s="19">
        <f t="shared" si="9"/>
        <v>0.56583190173716402</v>
      </c>
      <c r="S14" s="6" t="s">
        <v>37</v>
      </c>
      <c r="T14" s="17">
        <v>4.5</v>
      </c>
      <c r="U14" s="6" t="s">
        <v>36</v>
      </c>
      <c r="V14" s="6" t="s">
        <v>12</v>
      </c>
      <c r="W14" s="1">
        <v>-97.430999999999997</v>
      </c>
      <c r="X14" s="1">
        <v>-107.251</v>
      </c>
      <c r="Y14" s="10">
        <v>300</v>
      </c>
      <c r="Z14" s="10">
        <v>500</v>
      </c>
      <c r="AA14" s="7">
        <f t="shared" si="4"/>
        <v>460</v>
      </c>
      <c r="AB14" s="28">
        <f t="shared" si="5"/>
        <v>662.5585331801276</v>
      </c>
      <c r="AC14" s="60">
        <v>18</v>
      </c>
      <c r="AD14" s="60">
        <v>2</v>
      </c>
      <c r="AE14" s="60">
        <v>18</v>
      </c>
      <c r="AF14" s="60">
        <v>2</v>
      </c>
      <c r="AG14" s="28">
        <f t="shared" si="10"/>
        <v>1017.8760197630929</v>
      </c>
      <c r="AH14" s="35" t="str">
        <f t="shared" si="6"/>
        <v>OK</v>
      </c>
      <c r="AI14" s="28">
        <f t="shared" si="11"/>
        <v>-164.76766282313093</v>
      </c>
      <c r="AJ14" s="32">
        <f t="shared" si="7"/>
        <v>0.65092262742798068</v>
      </c>
    </row>
    <row r="15" spans="1:36" x14ac:dyDescent="0.25">
      <c r="A15" s="28" t="s">
        <v>37</v>
      </c>
      <c r="B15" s="17">
        <v>5</v>
      </c>
      <c r="C15" s="28" t="s">
        <v>36</v>
      </c>
      <c r="D15" s="28" t="s">
        <v>11</v>
      </c>
      <c r="E15" s="1">
        <v>-11.03</v>
      </c>
      <c r="F15" s="1">
        <v>55.359499999999997</v>
      </c>
      <c r="G15" s="29">
        <v>300</v>
      </c>
      <c r="H15" s="29">
        <v>500</v>
      </c>
      <c r="I15" s="28">
        <f t="shared" si="0"/>
        <v>460</v>
      </c>
      <c r="J15" s="28">
        <f t="shared" si="1"/>
        <v>341.99130187676826</v>
      </c>
      <c r="K15" s="59">
        <v>18</v>
      </c>
      <c r="L15" s="59">
        <v>2</v>
      </c>
      <c r="M15" s="59">
        <v>12</v>
      </c>
      <c r="N15" s="59">
        <v>0</v>
      </c>
      <c r="O15" s="28">
        <f t="shared" si="8"/>
        <v>508.93800988154646</v>
      </c>
      <c r="P15" s="34" t="str">
        <f t="shared" si="2"/>
        <v>OK</v>
      </c>
      <c r="Q15" s="17">
        <f t="shared" si="3"/>
        <v>82.383831411565467</v>
      </c>
      <c r="R15" s="19">
        <f t="shared" si="9"/>
        <v>0.67197044676691675</v>
      </c>
      <c r="S15" s="6" t="s">
        <v>37</v>
      </c>
      <c r="T15" s="17">
        <v>5</v>
      </c>
      <c r="U15" s="6" t="s">
        <v>36</v>
      </c>
      <c r="V15" s="6" t="s">
        <v>12</v>
      </c>
      <c r="W15" s="1">
        <v>-79.385000000000005</v>
      </c>
      <c r="X15" s="1">
        <v>-64.329300000000003</v>
      </c>
      <c r="Y15" s="10">
        <v>300</v>
      </c>
      <c r="Z15" s="10">
        <v>500</v>
      </c>
      <c r="AA15" s="7">
        <f t="shared" si="4"/>
        <v>460</v>
      </c>
      <c r="AB15" s="28">
        <f t="shared" si="5"/>
        <v>397.40353608362051</v>
      </c>
      <c r="AC15" s="60">
        <v>18</v>
      </c>
      <c r="AD15" s="60">
        <v>2</v>
      </c>
      <c r="AE15" s="60">
        <v>18</v>
      </c>
      <c r="AF15" s="60">
        <v>2</v>
      </c>
      <c r="AG15" s="28">
        <f t="shared" si="10"/>
        <v>1017.8760197630929</v>
      </c>
      <c r="AH15" s="35" t="str">
        <f t="shared" si="6"/>
        <v>OK</v>
      </c>
      <c r="AI15" s="28">
        <f t="shared" si="11"/>
        <v>-164.76766282313093</v>
      </c>
      <c r="AJ15" s="32">
        <f t="shared" si="7"/>
        <v>0.390424303517942</v>
      </c>
    </row>
    <row r="16" spans="1:36" x14ac:dyDescent="0.25">
      <c r="A16" s="28" t="s">
        <v>37</v>
      </c>
      <c r="B16" s="17">
        <v>5.5</v>
      </c>
      <c r="C16" s="28" t="s">
        <v>36</v>
      </c>
      <c r="D16" s="28" t="s">
        <v>11</v>
      </c>
      <c r="E16" s="1">
        <v>1.8859999999999999</v>
      </c>
      <c r="F16" s="1">
        <v>57.645299999999999</v>
      </c>
      <c r="G16" s="29">
        <v>300</v>
      </c>
      <c r="H16" s="29">
        <v>500</v>
      </c>
      <c r="I16" s="28">
        <f t="shared" si="0"/>
        <v>460</v>
      </c>
      <c r="J16" s="28">
        <f t="shared" si="1"/>
        <v>356.11216131064896</v>
      </c>
      <c r="K16" s="59">
        <v>18</v>
      </c>
      <c r="L16" s="59">
        <v>2</v>
      </c>
      <c r="M16" s="59">
        <v>12</v>
      </c>
      <c r="N16" s="59">
        <v>1</v>
      </c>
      <c r="O16" s="28">
        <f t="shared" si="8"/>
        <v>622.03534541077897</v>
      </c>
      <c r="P16" s="34" t="str">
        <f t="shared" si="2"/>
        <v>OK</v>
      </c>
      <c r="Q16" s="17">
        <f t="shared" si="3"/>
        <v>100.69134950302445</v>
      </c>
      <c r="R16" s="19">
        <f t="shared" si="9"/>
        <v>0.57249505825988078</v>
      </c>
      <c r="S16" s="6" t="s">
        <v>37</v>
      </c>
      <c r="T16" s="17">
        <v>5.5</v>
      </c>
      <c r="U16" s="6" t="s">
        <v>36</v>
      </c>
      <c r="V16" s="6" t="s">
        <v>12</v>
      </c>
      <c r="W16" s="1">
        <v>-66.468999999999994</v>
      </c>
      <c r="X16" s="1">
        <v>-27.8659</v>
      </c>
      <c r="Y16" s="10">
        <v>300</v>
      </c>
      <c r="Z16" s="10">
        <v>500</v>
      </c>
      <c r="AA16" s="7">
        <f t="shared" si="4"/>
        <v>460</v>
      </c>
      <c r="AB16" s="28">
        <f t="shared" si="5"/>
        <v>172.14561943239801</v>
      </c>
      <c r="AC16" s="60">
        <v>18</v>
      </c>
      <c r="AD16" s="60">
        <v>2</v>
      </c>
      <c r="AE16" s="60">
        <v>0</v>
      </c>
      <c r="AF16" s="60">
        <v>2</v>
      </c>
      <c r="AG16" s="28">
        <f t="shared" si="10"/>
        <v>508.93800988154646</v>
      </c>
      <c r="AH16" s="35" t="str">
        <f t="shared" si="6"/>
        <v>OK</v>
      </c>
      <c r="AI16" s="28">
        <f t="shared" si="11"/>
        <v>-82.383831411565467</v>
      </c>
      <c r="AJ16" s="32">
        <f t="shared" si="7"/>
        <v>0.33824476869484416</v>
      </c>
    </row>
    <row r="17" spans="1:36" x14ac:dyDescent="0.25">
      <c r="A17" s="28" t="s">
        <v>37</v>
      </c>
      <c r="B17" s="17">
        <v>6</v>
      </c>
      <c r="C17" s="28" t="s">
        <v>36</v>
      </c>
      <c r="D17" s="28" t="s">
        <v>11</v>
      </c>
      <c r="E17" s="1">
        <v>14.803000000000001</v>
      </c>
      <c r="F17" s="1">
        <v>53.472999999999999</v>
      </c>
      <c r="G17" s="29">
        <v>300</v>
      </c>
      <c r="H17" s="29">
        <v>500</v>
      </c>
      <c r="I17" s="28">
        <f t="shared" si="0"/>
        <v>460</v>
      </c>
      <c r="J17" s="28">
        <f t="shared" si="1"/>
        <v>330.33717582811317</v>
      </c>
      <c r="K17" s="59">
        <v>18</v>
      </c>
      <c r="L17" s="59">
        <v>2</v>
      </c>
      <c r="M17" s="59">
        <v>12</v>
      </c>
      <c r="N17" s="59">
        <v>1</v>
      </c>
      <c r="O17" s="28">
        <f t="shared" si="8"/>
        <v>622.03534541077897</v>
      </c>
      <c r="P17" s="34" t="str">
        <f t="shared" si="2"/>
        <v>OK</v>
      </c>
      <c r="Q17" s="17">
        <f t="shared" si="3"/>
        <v>100.69134950302445</v>
      </c>
      <c r="R17" s="19">
        <f t="shared" si="9"/>
        <v>0.53105852949556343</v>
      </c>
      <c r="S17" s="6" t="s">
        <v>37</v>
      </c>
      <c r="T17" s="17">
        <v>6</v>
      </c>
      <c r="U17" s="6" t="s">
        <v>36</v>
      </c>
      <c r="V17" s="6" t="s">
        <v>12</v>
      </c>
      <c r="W17" s="1">
        <v>-53.552</v>
      </c>
      <c r="X17" s="1">
        <v>2.1394000000000002</v>
      </c>
      <c r="Y17" s="10">
        <v>300</v>
      </c>
      <c r="Z17" s="10">
        <v>500</v>
      </c>
      <c r="AA17" s="7">
        <f t="shared" si="4"/>
        <v>460</v>
      </c>
      <c r="AB17" s="28">
        <f t="shared" si="5"/>
        <v>13.216452302408044</v>
      </c>
      <c r="AC17" s="60">
        <v>18</v>
      </c>
      <c r="AD17" s="60">
        <v>2</v>
      </c>
      <c r="AE17" s="60">
        <v>0</v>
      </c>
      <c r="AF17" s="60">
        <v>2</v>
      </c>
      <c r="AG17" s="28">
        <f t="shared" si="10"/>
        <v>508.93800988154646</v>
      </c>
      <c r="AH17" s="35" t="str">
        <f t="shared" si="6"/>
        <v>OK</v>
      </c>
      <c r="AI17" s="28">
        <f t="shared" si="11"/>
        <v>-82.383831411565467</v>
      </c>
      <c r="AJ17" s="32">
        <f t="shared" si="7"/>
        <v>-2.59686878279815E-2</v>
      </c>
    </row>
    <row r="18" spans="1:36" x14ac:dyDescent="0.25">
      <c r="A18" s="28" t="s">
        <v>37</v>
      </c>
      <c r="B18" s="17">
        <v>6.5</v>
      </c>
      <c r="C18" s="28" t="s">
        <v>36</v>
      </c>
      <c r="D18" s="28" t="s">
        <v>11</v>
      </c>
      <c r="E18" s="1">
        <v>27.719000000000001</v>
      </c>
      <c r="F18" s="1">
        <v>57.5015</v>
      </c>
      <c r="G18" s="29">
        <v>300</v>
      </c>
      <c r="H18" s="29">
        <v>500</v>
      </c>
      <c r="I18" s="28">
        <f t="shared" si="0"/>
        <v>460</v>
      </c>
      <c r="J18" s="28">
        <f t="shared" si="1"/>
        <v>355.22381605446208</v>
      </c>
      <c r="K18" s="59">
        <v>18</v>
      </c>
      <c r="L18" s="59">
        <v>2</v>
      </c>
      <c r="M18" s="59">
        <v>12</v>
      </c>
      <c r="N18" s="59">
        <v>1</v>
      </c>
      <c r="O18" s="28">
        <f t="shared" si="8"/>
        <v>622.03534541077897</v>
      </c>
      <c r="P18" s="34" t="str">
        <f t="shared" si="2"/>
        <v>OK</v>
      </c>
      <c r="Q18" s="17">
        <f t="shared" si="3"/>
        <v>100.69134950302445</v>
      </c>
      <c r="R18" s="19">
        <f t="shared" si="9"/>
        <v>0.5710669316064021</v>
      </c>
      <c r="S18" s="6" t="s">
        <v>37</v>
      </c>
      <c r="T18" s="17">
        <v>6.5</v>
      </c>
      <c r="U18" s="6" t="s">
        <v>36</v>
      </c>
      <c r="V18" s="6" t="s">
        <v>12</v>
      </c>
      <c r="W18" s="1">
        <v>-40.636000000000003</v>
      </c>
      <c r="X18" s="1">
        <v>25.686399999999999</v>
      </c>
      <c r="Y18" s="10">
        <v>300</v>
      </c>
      <c r="Z18" s="10">
        <v>500</v>
      </c>
      <c r="AA18" s="7">
        <f t="shared" si="4"/>
        <v>460</v>
      </c>
      <c r="AB18" s="28">
        <f t="shared" si="5"/>
        <v>158.68144359192951</v>
      </c>
      <c r="AC18" s="60">
        <v>18</v>
      </c>
      <c r="AD18" s="60">
        <v>2</v>
      </c>
      <c r="AE18" s="60">
        <v>0</v>
      </c>
      <c r="AF18" s="60">
        <v>2</v>
      </c>
      <c r="AG18" s="28">
        <f t="shared" si="10"/>
        <v>508.93800988154646</v>
      </c>
      <c r="AH18" s="35" t="str">
        <f t="shared" si="6"/>
        <v>OK</v>
      </c>
      <c r="AI18" s="28">
        <f t="shared" si="11"/>
        <v>-82.383831411565467</v>
      </c>
      <c r="AJ18" s="32">
        <f t="shared" si="7"/>
        <v>-0.31178933487176963</v>
      </c>
    </row>
    <row r="19" spans="1:36" x14ac:dyDescent="0.25">
      <c r="A19" s="28" t="s">
        <v>37</v>
      </c>
      <c r="B19" s="17">
        <v>7</v>
      </c>
      <c r="C19" s="28" t="s">
        <v>36</v>
      </c>
      <c r="D19" s="28" t="s">
        <v>11</v>
      </c>
      <c r="E19" s="1">
        <v>40.636000000000003</v>
      </c>
      <c r="F19" s="1">
        <v>57.5015</v>
      </c>
      <c r="G19" s="29">
        <v>300</v>
      </c>
      <c r="H19" s="29">
        <v>500</v>
      </c>
      <c r="I19" s="28">
        <f t="shared" si="0"/>
        <v>460</v>
      </c>
      <c r="J19" s="28">
        <f t="shared" si="1"/>
        <v>355.22381605446208</v>
      </c>
      <c r="K19" s="59">
        <v>18</v>
      </c>
      <c r="L19" s="59">
        <v>2</v>
      </c>
      <c r="M19" s="59">
        <v>12</v>
      </c>
      <c r="N19" s="59">
        <v>1</v>
      </c>
      <c r="O19" s="28">
        <f t="shared" si="8"/>
        <v>622.03534541077897</v>
      </c>
      <c r="P19" s="34" t="str">
        <f t="shared" si="2"/>
        <v>OK</v>
      </c>
      <c r="Q19" s="17">
        <f t="shared" si="3"/>
        <v>100.69134950302445</v>
      </c>
      <c r="R19" s="19">
        <f t="shared" si="9"/>
        <v>0.5710669316064021</v>
      </c>
      <c r="S19" s="6" t="s">
        <v>37</v>
      </c>
      <c r="T19" s="17">
        <v>7</v>
      </c>
      <c r="U19" s="6" t="s">
        <v>36</v>
      </c>
      <c r="V19" s="6" t="s">
        <v>12</v>
      </c>
      <c r="W19" s="1">
        <v>-27.719000000000001</v>
      </c>
      <c r="X19" s="1">
        <v>25.686399999999999</v>
      </c>
      <c r="Y19" s="10">
        <v>300</v>
      </c>
      <c r="Z19" s="10">
        <v>500</v>
      </c>
      <c r="AA19" s="7">
        <f t="shared" si="4"/>
        <v>460</v>
      </c>
      <c r="AB19" s="28">
        <f t="shared" si="5"/>
        <v>158.68144359192951</v>
      </c>
      <c r="AC19" s="60">
        <v>18</v>
      </c>
      <c r="AD19" s="60">
        <v>2</v>
      </c>
      <c r="AE19" s="60">
        <v>0</v>
      </c>
      <c r="AF19" s="60">
        <v>2</v>
      </c>
      <c r="AG19" s="28">
        <f t="shared" si="10"/>
        <v>508.93800988154646</v>
      </c>
      <c r="AH19" s="35" t="str">
        <f t="shared" si="6"/>
        <v>OK</v>
      </c>
      <c r="AI19" s="28">
        <f t="shared" si="11"/>
        <v>-82.383831411565467</v>
      </c>
      <c r="AJ19" s="32">
        <f t="shared" si="7"/>
        <v>-0.31178933487176963</v>
      </c>
    </row>
    <row r="20" spans="1:36" x14ac:dyDescent="0.25">
      <c r="A20" s="28" t="s">
        <v>37</v>
      </c>
      <c r="B20" s="17">
        <v>7.5</v>
      </c>
      <c r="C20" s="28" t="s">
        <v>36</v>
      </c>
      <c r="D20" s="28" t="s">
        <v>11</v>
      </c>
      <c r="E20" s="1">
        <v>53.552</v>
      </c>
      <c r="F20" s="1">
        <v>53.472999999999999</v>
      </c>
      <c r="G20" s="29">
        <v>300</v>
      </c>
      <c r="H20" s="29">
        <v>500</v>
      </c>
      <c r="I20" s="28">
        <f t="shared" si="0"/>
        <v>460</v>
      </c>
      <c r="J20" s="28">
        <f t="shared" si="1"/>
        <v>330.33717582811317</v>
      </c>
      <c r="K20" s="59">
        <v>18</v>
      </c>
      <c r="L20" s="59">
        <v>2</v>
      </c>
      <c r="M20" s="59">
        <v>12</v>
      </c>
      <c r="N20" s="59">
        <v>1</v>
      </c>
      <c r="O20" s="28">
        <f t="shared" si="8"/>
        <v>622.03534541077897</v>
      </c>
      <c r="P20" s="34" t="str">
        <f t="shared" si="2"/>
        <v>OK</v>
      </c>
      <c r="Q20" s="17">
        <f t="shared" si="3"/>
        <v>100.69134950302445</v>
      </c>
      <c r="R20" s="19">
        <f t="shared" si="9"/>
        <v>0.53105852949556343</v>
      </c>
      <c r="S20" s="6" t="s">
        <v>37</v>
      </c>
      <c r="T20" s="17">
        <v>7.5</v>
      </c>
      <c r="U20" s="6" t="s">
        <v>36</v>
      </c>
      <c r="V20" s="6" t="s">
        <v>12</v>
      </c>
      <c r="W20" s="1">
        <v>-14.803000000000001</v>
      </c>
      <c r="X20" s="1">
        <v>2.1394000000000002</v>
      </c>
      <c r="Y20" s="10">
        <v>300</v>
      </c>
      <c r="Z20" s="10">
        <v>500</v>
      </c>
      <c r="AA20" s="7">
        <f t="shared" si="4"/>
        <v>460</v>
      </c>
      <c r="AB20" s="28">
        <f t="shared" si="5"/>
        <v>13.216452302408044</v>
      </c>
      <c r="AC20" s="60">
        <v>18</v>
      </c>
      <c r="AD20" s="60">
        <v>2</v>
      </c>
      <c r="AE20" s="60">
        <v>0</v>
      </c>
      <c r="AF20" s="60">
        <v>2</v>
      </c>
      <c r="AG20" s="28">
        <f t="shared" si="10"/>
        <v>508.93800988154646</v>
      </c>
      <c r="AH20" s="35" t="str">
        <f t="shared" si="6"/>
        <v>OK</v>
      </c>
      <c r="AI20" s="28">
        <f t="shared" si="11"/>
        <v>-82.383831411565467</v>
      </c>
      <c r="AJ20" s="32">
        <f t="shared" si="7"/>
        <v>-2.59686878279815E-2</v>
      </c>
    </row>
    <row r="21" spans="1:36" x14ac:dyDescent="0.25">
      <c r="A21" s="28" t="s">
        <v>37</v>
      </c>
      <c r="B21" s="17">
        <v>8</v>
      </c>
      <c r="C21" s="28" t="s">
        <v>36</v>
      </c>
      <c r="D21" s="28" t="s">
        <v>11</v>
      </c>
      <c r="E21" s="1">
        <v>66.468999999999994</v>
      </c>
      <c r="F21" s="1">
        <v>57.645299999999999</v>
      </c>
      <c r="G21" s="29">
        <v>300</v>
      </c>
      <c r="H21" s="29">
        <v>500</v>
      </c>
      <c r="I21" s="28">
        <f t="shared" si="0"/>
        <v>460</v>
      </c>
      <c r="J21" s="28">
        <f t="shared" si="1"/>
        <v>356.11216131064896</v>
      </c>
      <c r="K21" s="59">
        <v>18</v>
      </c>
      <c r="L21" s="59">
        <v>2</v>
      </c>
      <c r="M21" s="59">
        <v>12</v>
      </c>
      <c r="N21" s="59">
        <v>1</v>
      </c>
      <c r="O21" s="28">
        <f t="shared" si="8"/>
        <v>622.03534541077897</v>
      </c>
      <c r="P21" s="34" t="str">
        <f t="shared" si="2"/>
        <v>OK</v>
      </c>
      <c r="Q21" s="17">
        <f t="shared" si="3"/>
        <v>100.69134950302445</v>
      </c>
      <c r="R21" s="19">
        <f t="shared" si="9"/>
        <v>0.57249505825988078</v>
      </c>
      <c r="S21" s="6" t="s">
        <v>37</v>
      </c>
      <c r="T21" s="17">
        <v>8</v>
      </c>
      <c r="U21" s="6" t="s">
        <v>36</v>
      </c>
      <c r="V21" s="6" t="s">
        <v>12</v>
      </c>
      <c r="W21" s="1">
        <v>-1.8859999999999999</v>
      </c>
      <c r="X21" s="1">
        <v>-27.8659</v>
      </c>
      <c r="Y21" s="10">
        <v>300</v>
      </c>
      <c r="Z21" s="10">
        <v>500</v>
      </c>
      <c r="AA21" s="7">
        <f t="shared" si="4"/>
        <v>460</v>
      </c>
      <c r="AB21" s="28">
        <f t="shared" si="5"/>
        <v>172.14561943239801</v>
      </c>
      <c r="AC21" s="60">
        <v>18</v>
      </c>
      <c r="AD21" s="60">
        <v>2</v>
      </c>
      <c r="AE21" s="60">
        <v>0</v>
      </c>
      <c r="AF21" s="60">
        <v>2</v>
      </c>
      <c r="AG21" s="28">
        <f t="shared" si="10"/>
        <v>508.93800988154646</v>
      </c>
      <c r="AH21" s="35" t="str">
        <f t="shared" si="6"/>
        <v>OK</v>
      </c>
      <c r="AI21" s="28">
        <f t="shared" si="11"/>
        <v>-82.383831411565467</v>
      </c>
      <c r="AJ21" s="32">
        <f t="shared" si="7"/>
        <v>0.33824476869484416</v>
      </c>
    </row>
    <row r="22" spans="1:36" x14ac:dyDescent="0.25">
      <c r="A22" s="28" t="s">
        <v>37</v>
      </c>
      <c r="B22" s="17">
        <v>8.5</v>
      </c>
      <c r="C22" s="28" t="s">
        <v>36</v>
      </c>
      <c r="D22" s="28" t="s">
        <v>11</v>
      </c>
      <c r="E22" s="1">
        <v>79.385000000000005</v>
      </c>
      <c r="F22" s="1">
        <v>55.359499999999997</v>
      </c>
      <c r="G22" s="29">
        <v>300</v>
      </c>
      <c r="H22" s="29">
        <v>500</v>
      </c>
      <c r="I22" s="28">
        <f t="shared" si="0"/>
        <v>460</v>
      </c>
      <c r="J22" s="28">
        <f t="shared" si="1"/>
        <v>341.99130187676826</v>
      </c>
      <c r="K22" s="59">
        <v>18</v>
      </c>
      <c r="L22" s="59">
        <v>2</v>
      </c>
      <c r="M22" s="59">
        <v>12</v>
      </c>
      <c r="N22" s="59">
        <v>0</v>
      </c>
      <c r="O22" s="28">
        <f t="shared" si="8"/>
        <v>508.93800988154646</v>
      </c>
      <c r="P22" s="34" t="str">
        <f t="shared" si="2"/>
        <v>OK</v>
      </c>
      <c r="Q22" s="17">
        <f t="shared" si="3"/>
        <v>82.383831411565467</v>
      </c>
      <c r="R22" s="19">
        <f t="shared" si="9"/>
        <v>0.67197044676691675</v>
      </c>
      <c r="S22" s="6" t="s">
        <v>37</v>
      </c>
      <c r="T22" s="17">
        <v>8.5</v>
      </c>
      <c r="U22" s="6" t="s">
        <v>36</v>
      </c>
      <c r="V22" s="6" t="s">
        <v>12</v>
      </c>
      <c r="W22" s="1">
        <v>11.03</v>
      </c>
      <c r="X22" s="1">
        <v>-64.329300000000003</v>
      </c>
      <c r="Y22" s="10">
        <v>300</v>
      </c>
      <c r="Z22" s="10">
        <v>500</v>
      </c>
      <c r="AA22" s="7">
        <f t="shared" si="4"/>
        <v>460</v>
      </c>
      <c r="AB22" s="28">
        <f t="shared" si="5"/>
        <v>397.40353608362051</v>
      </c>
      <c r="AC22" s="60">
        <v>18</v>
      </c>
      <c r="AD22" s="60">
        <v>2</v>
      </c>
      <c r="AE22" s="60">
        <v>18</v>
      </c>
      <c r="AF22" s="60">
        <v>2</v>
      </c>
      <c r="AG22" s="28">
        <f t="shared" si="10"/>
        <v>1017.8760197630929</v>
      </c>
      <c r="AH22" s="35" t="str">
        <f t="shared" si="6"/>
        <v>OK</v>
      </c>
      <c r="AI22" s="28">
        <f t="shared" si="11"/>
        <v>-164.76766282313093</v>
      </c>
      <c r="AJ22" s="32">
        <f t="shared" si="7"/>
        <v>0.390424303517942</v>
      </c>
    </row>
    <row r="23" spans="1:36" x14ac:dyDescent="0.25">
      <c r="A23" s="28" t="s">
        <v>37</v>
      </c>
      <c r="B23" s="17">
        <v>9</v>
      </c>
      <c r="C23" s="28" t="s">
        <v>36</v>
      </c>
      <c r="D23" s="28" t="s">
        <v>11</v>
      </c>
      <c r="E23" s="1">
        <v>97.430999999999997</v>
      </c>
      <c r="F23" s="1">
        <v>46.615400000000001</v>
      </c>
      <c r="G23" s="29">
        <v>300</v>
      </c>
      <c r="H23" s="29">
        <v>500</v>
      </c>
      <c r="I23" s="28">
        <f t="shared" si="0"/>
        <v>460</v>
      </c>
      <c r="J23" s="28">
        <f t="shared" si="1"/>
        <v>287.97336199760304</v>
      </c>
      <c r="K23" s="59">
        <v>18</v>
      </c>
      <c r="L23" s="59">
        <v>2</v>
      </c>
      <c r="M23" s="59">
        <v>12</v>
      </c>
      <c r="N23" s="59">
        <v>0</v>
      </c>
      <c r="O23" s="28">
        <f t="shared" si="8"/>
        <v>508.93800988154646</v>
      </c>
      <c r="P23" s="34" t="str">
        <f t="shared" si="2"/>
        <v>OK</v>
      </c>
      <c r="Q23" s="17">
        <f t="shared" si="3"/>
        <v>82.383831411565467</v>
      </c>
      <c r="R23" s="19">
        <f t="shared" si="9"/>
        <v>0.56583190173716402</v>
      </c>
      <c r="S23" s="6" t="s">
        <v>37</v>
      </c>
      <c r="T23" s="17">
        <v>9</v>
      </c>
      <c r="U23" s="6" t="s">
        <v>36</v>
      </c>
      <c r="V23" s="6" t="s">
        <v>12</v>
      </c>
      <c r="W23" s="1">
        <v>23.946000000000002</v>
      </c>
      <c r="X23" s="1">
        <v>-107.251</v>
      </c>
      <c r="Y23" s="10">
        <v>300</v>
      </c>
      <c r="Z23" s="10">
        <v>500</v>
      </c>
      <c r="AA23" s="7">
        <f t="shared" si="4"/>
        <v>460</v>
      </c>
      <c r="AB23" s="28">
        <f t="shared" si="5"/>
        <v>662.5585331801276</v>
      </c>
      <c r="AC23" s="60">
        <v>18</v>
      </c>
      <c r="AD23" s="60">
        <v>2</v>
      </c>
      <c r="AE23" s="60">
        <v>18</v>
      </c>
      <c r="AF23" s="60">
        <v>2</v>
      </c>
      <c r="AG23" s="28">
        <f t="shared" si="10"/>
        <v>1017.8760197630929</v>
      </c>
      <c r="AH23" s="35" t="str">
        <f t="shared" si="6"/>
        <v>OK</v>
      </c>
      <c r="AI23" s="28">
        <f t="shared" si="11"/>
        <v>-164.76766282313093</v>
      </c>
      <c r="AJ23" s="32">
        <f t="shared" si="7"/>
        <v>0.65092262742798068</v>
      </c>
    </row>
    <row r="24" spans="1:36" x14ac:dyDescent="0.25">
      <c r="A24" s="28" t="s">
        <v>37</v>
      </c>
      <c r="B24" s="17">
        <v>9.5</v>
      </c>
      <c r="C24" s="28" t="s">
        <v>36</v>
      </c>
      <c r="D24" s="28" t="s">
        <v>11</v>
      </c>
      <c r="E24" s="1">
        <v>119.08199999999999</v>
      </c>
      <c r="F24" s="1">
        <v>31.4131</v>
      </c>
      <c r="G24" s="29">
        <v>300</v>
      </c>
      <c r="H24" s="29">
        <v>500</v>
      </c>
      <c r="I24" s="28">
        <f t="shared" si="0"/>
        <v>460</v>
      </c>
      <c r="J24" s="28">
        <f t="shared" si="1"/>
        <v>194.05895943758722</v>
      </c>
      <c r="K24" s="59">
        <v>18</v>
      </c>
      <c r="L24" s="59">
        <v>2</v>
      </c>
      <c r="M24" s="59">
        <v>12</v>
      </c>
      <c r="N24" s="59">
        <v>0</v>
      </c>
      <c r="O24" s="28">
        <f t="shared" si="8"/>
        <v>508.93800988154646</v>
      </c>
      <c r="P24" s="34" t="str">
        <f t="shared" si="2"/>
        <v>OK</v>
      </c>
      <c r="Q24" s="17">
        <f t="shared" si="3"/>
        <v>82.383831411565467</v>
      </c>
      <c r="R24" s="19">
        <f t="shared" si="9"/>
        <v>0.38130176105878544</v>
      </c>
      <c r="S24" s="6" t="s">
        <v>37</v>
      </c>
      <c r="T24" s="17">
        <v>9.5</v>
      </c>
      <c r="U24" s="6" t="s">
        <v>36</v>
      </c>
      <c r="V24" s="6" t="s">
        <v>12</v>
      </c>
      <c r="W24" s="1">
        <v>36.863</v>
      </c>
      <c r="X24" s="1">
        <v>-156.631</v>
      </c>
      <c r="Y24" s="10">
        <v>300</v>
      </c>
      <c r="Z24" s="10">
        <v>500</v>
      </c>
      <c r="AA24" s="7">
        <f t="shared" si="4"/>
        <v>460</v>
      </c>
      <c r="AB24" s="28">
        <f t="shared" si="5"/>
        <v>967.61061072191933</v>
      </c>
      <c r="AC24" s="60">
        <v>18</v>
      </c>
      <c r="AD24" s="60">
        <v>2</v>
      </c>
      <c r="AE24" s="60">
        <v>18</v>
      </c>
      <c r="AF24" s="60">
        <v>2</v>
      </c>
      <c r="AG24" s="28">
        <f t="shared" si="10"/>
        <v>1017.8760197630929</v>
      </c>
      <c r="AH24" s="35" t="str">
        <f t="shared" si="6"/>
        <v>OK</v>
      </c>
      <c r="AI24" s="28">
        <f t="shared" si="11"/>
        <v>-164.76766282313093</v>
      </c>
      <c r="AJ24" s="32">
        <f t="shared" si="7"/>
        <v>0.95061735607753817</v>
      </c>
    </row>
    <row r="25" spans="1:36" x14ac:dyDescent="0.25">
      <c r="A25" s="28" t="s">
        <v>38</v>
      </c>
      <c r="B25" s="17">
        <v>9.5</v>
      </c>
      <c r="C25" s="28" t="s">
        <v>36</v>
      </c>
      <c r="D25" s="28" t="s">
        <v>11</v>
      </c>
      <c r="E25" s="1">
        <v>-2.59</v>
      </c>
      <c r="F25" s="1">
        <v>70.008200000000002</v>
      </c>
      <c r="G25" s="29">
        <v>300</v>
      </c>
      <c r="H25" s="29">
        <v>500</v>
      </c>
      <c r="I25" s="28">
        <f t="shared" si="0"/>
        <v>460</v>
      </c>
      <c r="J25" s="28">
        <f t="shared" si="1"/>
        <v>432.48576052979467</v>
      </c>
      <c r="K25" s="59">
        <v>18</v>
      </c>
      <c r="L25" s="59">
        <v>2</v>
      </c>
      <c r="M25" s="59">
        <v>12</v>
      </c>
      <c r="N25" s="59">
        <v>0</v>
      </c>
      <c r="O25" s="28">
        <f t="shared" si="8"/>
        <v>508.93800988154646</v>
      </c>
      <c r="P25" s="34" t="str">
        <f t="shared" si="2"/>
        <v>OK</v>
      </c>
      <c r="Q25" s="17">
        <f t="shared" si="3"/>
        <v>82.383831411565467</v>
      </c>
      <c r="R25" s="19">
        <f t="shared" si="9"/>
        <v>0.84978082228610563</v>
      </c>
      <c r="S25" s="6" t="s">
        <v>38</v>
      </c>
      <c r="T25" s="17">
        <v>9.5</v>
      </c>
      <c r="U25" s="6" t="s">
        <v>36</v>
      </c>
      <c r="V25" s="6" t="s">
        <v>12</v>
      </c>
      <c r="W25" s="1">
        <v>-109.28100000000001</v>
      </c>
      <c r="X25" s="1">
        <v>-150.61789999999999</v>
      </c>
      <c r="Y25" s="10">
        <v>300</v>
      </c>
      <c r="Z25" s="10">
        <v>500</v>
      </c>
      <c r="AA25" s="7">
        <f t="shared" si="4"/>
        <v>460</v>
      </c>
      <c r="AB25" s="28">
        <f t="shared" si="5"/>
        <v>930.46381753709659</v>
      </c>
      <c r="AC25" s="60">
        <v>18</v>
      </c>
      <c r="AD25" s="60">
        <v>2</v>
      </c>
      <c r="AE25" s="60">
        <v>18</v>
      </c>
      <c r="AF25" s="60">
        <v>2</v>
      </c>
      <c r="AG25" s="28">
        <f t="shared" si="10"/>
        <v>1017.8760197630929</v>
      </c>
      <c r="AH25" s="35" t="str">
        <f t="shared" si="6"/>
        <v>OK</v>
      </c>
      <c r="AI25" s="28">
        <f t="shared" si="11"/>
        <v>-164.76766282313093</v>
      </c>
      <c r="AJ25" s="32">
        <f t="shared" si="7"/>
        <v>0.91412293783447096</v>
      </c>
    </row>
    <row r="26" spans="1:36" x14ac:dyDescent="0.25">
      <c r="A26" s="28" t="s">
        <v>38</v>
      </c>
      <c r="B26" s="17">
        <v>10</v>
      </c>
      <c r="C26" s="28" t="s">
        <v>36</v>
      </c>
      <c r="D26" s="28" t="s">
        <v>11</v>
      </c>
      <c r="E26" s="1">
        <v>10.327</v>
      </c>
      <c r="F26" s="1">
        <v>68.073899999999995</v>
      </c>
      <c r="G26" s="29">
        <v>300</v>
      </c>
      <c r="H26" s="29">
        <v>500</v>
      </c>
      <c r="I26" s="28">
        <f t="shared" si="0"/>
        <v>460</v>
      </c>
      <c r="J26" s="28">
        <f t="shared" si="1"/>
        <v>420.53634308165601</v>
      </c>
      <c r="K26" s="59">
        <v>18</v>
      </c>
      <c r="L26" s="59">
        <v>2</v>
      </c>
      <c r="M26" s="59">
        <v>12</v>
      </c>
      <c r="N26" s="59">
        <v>0</v>
      </c>
      <c r="O26" s="28">
        <f t="shared" si="8"/>
        <v>508.93800988154646</v>
      </c>
      <c r="P26" s="34" t="str">
        <f t="shared" si="2"/>
        <v>OK</v>
      </c>
      <c r="Q26" s="17">
        <f t="shared" si="3"/>
        <v>82.383831411565467</v>
      </c>
      <c r="R26" s="19">
        <f t="shared" si="9"/>
        <v>0.82630170063252761</v>
      </c>
      <c r="S26" s="6" t="s">
        <v>38</v>
      </c>
      <c r="T26" s="17">
        <v>10</v>
      </c>
      <c r="U26" s="6" t="s">
        <v>36</v>
      </c>
      <c r="V26" s="6" t="s">
        <v>12</v>
      </c>
      <c r="W26" s="1">
        <v>-96.364999999999995</v>
      </c>
      <c r="X26" s="1">
        <v>-99.206400000000002</v>
      </c>
      <c r="Y26" s="10">
        <v>300</v>
      </c>
      <c r="Z26" s="10">
        <v>500</v>
      </c>
      <c r="AA26" s="7">
        <f t="shared" si="4"/>
        <v>460</v>
      </c>
      <c r="AB26" s="28">
        <f t="shared" si="5"/>
        <v>612.86185551725407</v>
      </c>
      <c r="AC26" s="60">
        <v>18</v>
      </c>
      <c r="AD26" s="60">
        <v>2</v>
      </c>
      <c r="AE26" s="60">
        <v>18</v>
      </c>
      <c r="AF26" s="60">
        <v>2</v>
      </c>
      <c r="AG26" s="28">
        <f t="shared" si="10"/>
        <v>1017.8760197630929</v>
      </c>
      <c r="AH26" s="35" t="str">
        <f t="shared" si="6"/>
        <v>OK</v>
      </c>
      <c r="AI26" s="28">
        <f t="shared" si="11"/>
        <v>-164.76766282313093</v>
      </c>
      <c r="AJ26" s="32">
        <f t="shared" si="7"/>
        <v>0.60209872677803677</v>
      </c>
    </row>
    <row r="27" spans="1:36" x14ac:dyDescent="0.25">
      <c r="A27" s="28" t="s">
        <v>38</v>
      </c>
      <c r="B27" s="17">
        <v>10.5</v>
      </c>
      <c r="C27" s="28" t="s">
        <v>36</v>
      </c>
      <c r="D27" s="28" t="s">
        <v>11</v>
      </c>
      <c r="E27" s="1">
        <v>23.242999999999999</v>
      </c>
      <c r="F27" s="1">
        <v>59.681399999999996</v>
      </c>
      <c r="G27" s="29">
        <v>300</v>
      </c>
      <c r="H27" s="29">
        <v>500</v>
      </c>
      <c r="I27" s="28">
        <f t="shared" si="0"/>
        <v>460</v>
      </c>
      <c r="J27" s="28">
        <f t="shared" si="1"/>
        <v>368.69046295266685</v>
      </c>
      <c r="K27" s="59">
        <v>18</v>
      </c>
      <c r="L27" s="59">
        <v>2</v>
      </c>
      <c r="M27" s="59">
        <v>12</v>
      </c>
      <c r="N27" s="59">
        <v>0</v>
      </c>
      <c r="O27" s="28">
        <f t="shared" si="8"/>
        <v>508.93800988154646</v>
      </c>
      <c r="P27" s="34" t="str">
        <f t="shared" si="2"/>
        <v>OK</v>
      </c>
      <c r="Q27" s="17">
        <f t="shared" si="3"/>
        <v>82.383831411565467</v>
      </c>
      <c r="R27" s="19">
        <f t="shared" si="9"/>
        <v>0.72443098333032385</v>
      </c>
      <c r="S27" s="6" t="s">
        <v>38</v>
      </c>
      <c r="T27" s="17">
        <v>10.5</v>
      </c>
      <c r="U27" s="6" t="s">
        <v>36</v>
      </c>
      <c r="V27" s="6" t="s">
        <v>12</v>
      </c>
      <c r="W27" s="1">
        <v>-83.448999999999998</v>
      </c>
      <c r="X27" s="1">
        <v>-54.253100000000003</v>
      </c>
      <c r="Y27" s="10">
        <v>300</v>
      </c>
      <c r="Z27" s="10">
        <v>500</v>
      </c>
      <c r="AA27" s="7">
        <f t="shared" si="4"/>
        <v>460</v>
      </c>
      <c r="AB27" s="28">
        <f t="shared" si="5"/>
        <v>335.15635617826206</v>
      </c>
      <c r="AC27" s="60">
        <v>18</v>
      </c>
      <c r="AD27" s="60">
        <v>2</v>
      </c>
      <c r="AE27" s="60">
        <v>18</v>
      </c>
      <c r="AF27" s="60">
        <v>2</v>
      </c>
      <c r="AG27" s="28">
        <f t="shared" si="10"/>
        <v>1017.8760197630929</v>
      </c>
      <c r="AH27" s="35" t="str">
        <f t="shared" si="6"/>
        <v>OK</v>
      </c>
      <c r="AI27" s="28">
        <f t="shared" si="11"/>
        <v>-164.76766282313093</v>
      </c>
      <c r="AJ27" s="32">
        <f t="shared" si="7"/>
        <v>0.32927031354591546</v>
      </c>
    </row>
    <row r="28" spans="1:36" x14ac:dyDescent="0.25">
      <c r="A28" s="28" t="s">
        <v>38</v>
      </c>
      <c r="B28" s="17">
        <v>11</v>
      </c>
      <c r="C28" s="28" t="s">
        <v>36</v>
      </c>
      <c r="D28" s="28" t="s">
        <v>11</v>
      </c>
      <c r="E28" s="1">
        <v>36.159999999999997</v>
      </c>
      <c r="F28" s="1">
        <v>44.830800000000004</v>
      </c>
      <c r="G28" s="29">
        <v>300</v>
      </c>
      <c r="H28" s="29">
        <v>500</v>
      </c>
      <c r="I28" s="28">
        <f t="shared" si="0"/>
        <v>460</v>
      </c>
      <c r="J28" s="28">
        <f t="shared" si="1"/>
        <v>276.94873790726115</v>
      </c>
      <c r="K28" s="59">
        <v>18</v>
      </c>
      <c r="L28" s="59">
        <v>2</v>
      </c>
      <c r="M28" s="59">
        <v>12</v>
      </c>
      <c r="N28" s="59">
        <v>0</v>
      </c>
      <c r="O28" s="28">
        <f t="shared" si="8"/>
        <v>508.93800988154646</v>
      </c>
      <c r="P28" s="34" t="str">
        <f t="shared" si="2"/>
        <v>OK</v>
      </c>
      <c r="Q28" s="17">
        <f t="shared" si="3"/>
        <v>82.383831411565467</v>
      </c>
      <c r="R28" s="19">
        <f t="shared" si="9"/>
        <v>0.54416988420990609</v>
      </c>
      <c r="S28" s="6" t="s">
        <v>38</v>
      </c>
      <c r="T28" s="17">
        <v>11</v>
      </c>
      <c r="U28" s="6" t="s">
        <v>36</v>
      </c>
      <c r="V28" s="6" t="s">
        <v>12</v>
      </c>
      <c r="W28" s="1">
        <v>-70.531999999999996</v>
      </c>
      <c r="X28" s="1">
        <v>-15.7582</v>
      </c>
      <c r="Y28" s="10">
        <v>300</v>
      </c>
      <c r="Z28" s="10">
        <v>500</v>
      </c>
      <c r="AA28" s="7">
        <f t="shared" si="4"/>
        <v>460</v>
      </c>
      <c r="AB28" s="28">
        <f t="shared" si="5"/>
        <v>97.3485550489887</v>
      </c>
      <c r="AC28" s="60">
        <v>18</v>
      </c>
      <c r="AD28" s="60">
        <v>2</v>
      </c>
      <c r="AE28" s="60">
        <v>18</v>
      </c>
      <c r="AF28" s="60">
        <v>2</v>
      </c>
      <c r="AG28" s="28">
        <f t="shared" si="10"/>
        <v>1017.8760197630929</v>
      </c>
      <c r="AH28" s="35" t="str">
        <f t="shared" si="6"/>
        <v>OK</v>
      </c>
      <c r="AI28" s="28">
        <f t="shared" si="11"/>
        <v>-164.76766282313093</v>
      </c>
      <c r="AJ28" s="32">
        <f t="shared" si="7"/>
        <v>9.5638911968518758E-2</v>
      </c>
    </row>
    <row r="29" spans="1:36" x14ac:dyDescent="0.25">
      <c r="A29" s="28" t="s">
        <v>38</v>
      </c>
      <c r="B29" s="17">
        <v>11.5</v>
      </c>
      <c r="C29" s="28" t="s">
        <v>36</v>
      </c>
      <c r="D29" s="28" t="s">
        <v>11</v>
      </c>
      <c r="E29" s="1">
        <v>49.076000000000001</v>
      </c>
      <c r="F29" s="1">
        <v>33.448999999999998</v>
      </c>
      <c r="G29" s="29">
        <v>300</v>
      </c>
      <c r="H29" s="29">
        <v>500</v>
      </c>
      <c r="I29" s="28">
        <f t="shared" si="0"/>
        <v>460</v>
      </c>
      <c r="J29" s="28">
        <f t="shared" si="1"/>
        <v>206.63602555073695</v>
      </c>
      <c r="K29" s="59">
        <v>18</v>
      </c>
      <c r="L29" s="59">
        <v>2</v>
      </c>
      <c r="M29" s="59">
        <v>12</v>
      </c>
      <c r="N29" s="59">
        <v>0</v>
      </c>
      <c r="O29" s="28">
        <f t="shared" si="8"/>
        <v>508.93800988154646</v>
      </c>
      <c r="P29" s="34" t="str">
        <f t="shared" si="2"/>
        <v>OK</v>
      </c>
      <c r="Q29" s="17">
        <f t="shared" si="3"/>
        <v>82.383831411565467</v>
      </c>
      <c r="R29" s="19">
        <f t="shared" si="9"/>
        <v>0.40601413441065398</v>
      </c>
      <c r="S29" s="6" t="s">
        <v>38</v>
      </c>
      <c r="T29" s="17">
        <v>11.5</v>
      </c>
      <c r="U29" s="6" t="s">
        <v>36</v>
      </c>
      <c r="V29" s="6" t="s">
        <v>12</v>
      </c>
      <c r="W29" s="1">
        <v>-57.616</v>
      </c>
      <c r="X29" s="1">
        <v>16.275400000000001</v>
      </c>
      <c r="Y29" s="10">
        <v>300</v>
      </c>
      <c r="Z29" s="10">
        <v>500</v>
      </c>
      <c r="AA29" s="7">
        <f t="shared" si="4"/>
        <v>460</v>
      </c>
      <c r="AB29" s="28">
        <f t="shared" si="5"/>
        <v>100.54363270197807</v>
      </c>
      <c r="AC29" s="60">
        <v>18</v>
      </c>
      <c r="AD29" s="60">
        <v>2</v>
      </c>
      <c r="AE29" s="60">
        <v>14</v>
      </c>
      <c r="AF29" s="60">
        <v>2</v>
      </c>
      <c r="AG29" s="28">
        <f t="shared" si="10"/>
        <v>816.81408993334617</v>
      </c>
      <c r="AH29" s="35" t="str">
        <f t="shared" si="6"/>
        <v>OK</v>
      </c>
      <c r="AI29" s="28">
        <f t="shared" si="11"/>
        <v>-132.22096399387047</v>
      </c>
      <c r="AJ29" s="32">
        <f t="shared" si="7"/>
        <v>-0.12309243185335193</v>
      </c>
    </row>
    <row r="30" spans="1:36" x14ac:dyDescent="0.25">
      <c r="A30" s="28" t="s">
        <v>38</v>
      </c>
      <c r="B30" s="17">
        <v>12</v>
      </c>
      <c r="C30" s="28" t="s">
        <v>36</v>
      </c>
      <c r="D30" s="28" t="s">
        <v>11</v>
      </c>
      <c r="E30" s="1">
        <v>61.993000000000002</v>
      </c>
      <c r="F30" s="1">
        <v>41.858499999999999</v>
      </c>
      <c r="G30" s="29">
        <v>300</v>
      </c>
      <c r="H30" s="29">
        <v>500</v>
      </c>
      <c r="I30" s="28">
        <f t="shared" si="0"/>
        <v>460</v>
      </c>
      <c r="J30" s="28">
        <f t="shared" si="1"/>
        <v>258.58692563351735</v>
      </c>
      <c r="K30" s="59">
        <v>18</v>
      </c>
      <c r="L30" s="59">
        <v>2</v>
      </c>
      <c r="M30" s="59">
        <v>12</v>
      </c>
      <c r="N30" s="59">
        <v>0</v>
      </c>
      <c r="O30" s="28">
        <f t="shared" si="8"/>
        <v>508.93800988154646</v>
      </c>
      <c r="P30" s="34" t="str">
        <f t="shared" si="2"/>
        <v>OK</v>
      </c>
      <c r="Q30" s="17">
        <f t="shared" si="3"/>
        <v>82.383831411565467</v>
      </c>
      <c r="R30" s="19">
        <f t="shared" si="9"/>
        <v>0.50809120288284737</v>
      </c>
      <c r="S30" s="6" t="s">
        <v>38</v>
      </c>
      <c r="T30" s="17">
        <v>12</v>
      </c>
      <c r="U30" s="6" t="s">
        <v>36</v>
      </c>
      <c r="V30" s="6" t="s">
        <v>12</v>
      </c>
      <c r="W30" s="1">
        <v>-44.698999999999998</v>
      </c>
      <c r="X30" s="1">
        <v>-4.2465000000000002</v>
      </c>
      <c r="Y30" s="10">
        <v>300</v>
      </c>
      <c r="Z30" s="10">
        <v>500</v>
      </c>
      <c r="AA30" s="7">
        <f t="shared" si="4"/>
        <v>460</v>
      </c>
      <c r="AB30" s="28">
        <f t="shared" si="5"/>
        <v>26.233366692612769</v>
      </c>
      <c r="AC30" s="60">
        <v>18</v>
      </c>
      <c r="AD30" s="60">
        <v>2</v>
      </c>
      <c r="AE30" s="60">
        <v>14</v>
      </c>
      <c r="AF30" s="60">
        <v>2</v>
      </c>
      <c r="AG30" s="28">
        <f t="shared" si="10"/>
        <v>816.81408993334617</v>
      </c>
      <c r="AH30" s="35" t="str">
        <f t="shared" si="6"/>
        <v>OK</v>
      </c>
      <c r="AI30" s="28">
        <f t="shared" si="11"/>
        <v>-132.22096399387047</v>
      </c>
      <c r="AJ30" s="32">
        <f t="shared" si="7"/>
        <v>3.211669217747392E-2</v>
      </c>
    </row>
    <row r="31" spans="1:36" x14ac:dyDescent="0.25">
      <c r="A31" s="28" t="s">
        <v>38</v>
      </c>
      <c r="B31" s="17">
        <v>12.5</v>
      </c>
      <c r="C31" s="28" t="s">
        <v>36</v>
      </c>
      <c r="D31" s="28" t="s">
        <v>11</v>
      </c>
      <c r="E31" s="1">
        <v>74.909000000000006</v>
      </c>
      <c r="F31" s="1">
        <v>60.978700000000003</v>
      </c>
      <c r="G31" s="29">
        <v>300</v>
      </c>
      <c r="H31" s="29">
        <v>500</v>
      </c>
      <c r="I31" s="28">
        <f t="shared" si="0"/>
        <v>460</v>
      </c>
      <c r="J31" s="28">
        <f t="shared" si="1"/>
        <v>376.70472095580504</v>
      </c>
      <c r="K31" s="59">
        <v>18</v>
      </c>
      <c r="L31" s="59">
        <v>2</v>
      </c>
      <c r="M31" s="59">
        <v>12</v>
      </c>
      <c r="N31" s="59">
        <v>0</v>
      </c>
      <c r="O31" s="28">
        <f t="shared" si="8"/>
        <v>508.93800988154646</v>
      </c>
      <c r="P31" s="34" t="str">
        <f t="shared" si="2"/>
        <v>OK</v>
      </c>
      <c r="Q31" s="17">
        <f t="shared" si="3"/>
        <v>82.383831411565467</v>
      </c>
      <c r="R31" s="19">
        <f t="shared" si="9"/>
        <v>0.74017800526135158</v>
      </c>
      <c r="S31" s="6" t="s">
        <v>38</v>
      </c>
      <c r="T31" s="17">
        <v>12.5</v>
      </c>
      <c r="U31" s="6" t="s">
        <v>36</v>
      </c>
      <c r="V31" s="6" t="s">
        <v>12</v>
      </c>
      <c r="W31" s="1">
        <v>-31.783000000000001</v>
      </c>
      <c r="X31" s="1">
        <v>-38.471600000000002</v>
      </c>
      <c r="Y31" s="10">
        <v>300</v>
      </c>
      <c r="Z31" s="10">
        <v>500</v>
      </c>
      <c r="AA31" s="7">
        <f t="shared" si="4"/>
        <v>460</v>
      </c>
      <c r="AB31" s="28">
        <f t="shared" si="5"/>
        <v>237.66386201613597</v>
      </c>
      <c r="AC31" s="60">
        <v>18</v>
      </c>
      <c r="AD31" s="60">
        <v>2</v>
      </c>
      <c r="AE31" s="60">
        <v>14</v>
      </c>
      <c r="AF31" s="60">
        <v>2</v>
      </c>
      <c r="AG31" s="28">
        <f t="shared" si="10"/>
        <v>816.81408993334617</v>
      </c>
      <c r="AH31" s="35" t="str">
        <f t="shared" si="6"/>
        <v>OK</v>
      </c>
      <c r="AI31" s="28">
        <f t="shared" si="11"/>
        <v>-132.22096399387047</v>
      </c>
      <c r="AJ31" s="32">
        <f t="shared" si="7"/>
        <v>0.29096444949367845</v>
      </c>
    </row>
    <row r="32" spans="1:36" x14ac:dyDescent="0.25">
      <c r="A32" s="28" t="s">
        <v>38</v>
      </c>
      <c r="B32" s="17">
        <v>13</v>
      </c>
      <c r="C32" s="28" t="s">
        <v>36</v>
      </c>
      <c r="D32" s="28" t="s">
        <v>11</v>
      </c>
      <c r="E32" s="1">
        <v>87.825999999999993</v>
      </c>
      <c r="F32" s="1">
        <v>73.640900000000002</v>
      </c>
      <c r="G32" s="29">
        <v>300</v>
      </c>
      <c r="H32" s="29">
        <v>500</v>
      </c>
      <c r="I32" s="28">
        <f t="shared" si="0"/>
        <v>460</v>
      </c>
      <c r="J32" s="28">
        <f t="shared" si="1"/>
        <v>454.92728912611034</v>
      </c>
      <c r="K32" s="59">
        <v>18</v>
      </c>
      <c r="L32" s="59">
        <v>2</v>
      </c>
      <c r="M32" s="59">
        <v>12</v>
      </c>
      <c r="N32" s="59">
        <v>0</v>
      </c>
      <c r="O32" s="28">
        <f t="shared" si="8"/>
        <v>508.93800988154646</v>
      </c>
      <c r="P32" s="34" t="str">
        <f t="shared" si="2"/>
        <v>OK</v>
      </c>
      <c r="Q32" s="17">
        <f t="shared" si="3"/>
        <v>82.383831411565467</v>
      </c>
      <c r="R32" s="19">
        <f t="shared" si="9"/>
        <v>0.8938756396520533</v>
      </c>
      <c r="S32" s="6" t="s">
        <v>38</v>
      </c>
      <c r="T32" s="17">
        <v>13</v>
      </c>
      <c r="U32" s="6" t="s">
        <v>36</v>
      </c>
      <c r="V32" s="6" t="s">
        <v>12</v>
      </c>
      <c r="W32" s="1">
        <v>-18.866</v>
      </c>
      <c r="X32" s="1">
        <v>-79.155199999999994</v>
      </c>
      <c r="Y32" s="10">
        <v>300</v>
      </c>
      <c r="Z32" s="10">
        <v>500</v>
      </c>
      <c r="AA32" s="7">
        <f t="shared" si="4"/>
        <v>460</v>
      </c>
      <c r="AB32" s="28">
        <f t="shared" si="5"/>
        <v>488.99267331381191</v>
      </c>
      <c r="AC32" s="60">
        <v>18</v>
      </c>
      <c r="AD32" s="60">
        <v>2</v>
      </c>
      <c r="AE32" s="60">
        <v>14</v>
      </c>
      <c r="AF32" s="60">
        <v>2</v>
      </c>
      <c r="AG32" s="28">
        <f t="shared" si="10"/>
        <v>816.81408993334617</v>
      </c>
      <c r="AH32" s="35" t="str">
        <f t="shared" si="6"/>
        <v>OK</v>
      </c>
      <c r="AI32" s="28">
        <f t="shared" si="11"/>
        <v>-132.22096399387047</v>
      </c>
      <c r="AJ32" s="32">
        <f t="shared" si="7"/>
        <v>0.59865846995087324</v>
      </c>
    </row>
    <row r="33" spans="1:36" x14ac:dyDescent="0.25">
      <c r="A33" s="28" t="s">
        <v>38</v>
      </c>
      <c r="B33" s="17">
        <v>13.5</v>
      </c>
      <c r="C33" s="28" t="s">
        <v>36</v>
      </c>
      <c r="D33" s="28" t="s">
        <v>11</v>
      </c>
      <c r="E33" s="1">
        <v>100.742</v>
      </c>
      <c r="F33" s="1">
        <v>79.844800000000006</v>
      </c>
      <c r="G33" s="29">
        <v>300</v>
      </c>
      <c r="H33" s="29">
        <v>500</v>
      </c>
      <c r="I33" s="28">
        <f t="shared" si="0"/>
        <v>460</v>
      </c>
      <c r="J33" s="28">
        <f t="shared" si="1"/>
        <v>493.25277685113105</v>
      </c>
      <c r="K33" s="59">
        <v>18</v>
      </c>
      <c r="L33" s="59">
        <v>2</v>
      </c>
      <c r="M33" s="59">
        <v>12</v>
      </c>
      <c r="N33" s="59">
        <v>0</v>
      </c>
      <c r="O33" s="28">
        <f>PI()*K33^2/4*L33+PI()*M33^2/4*N33</f>
        <v>508.93800988154646</v>
      </c>
      <c r="P33" s="34" t="str">
        <f t="shared" si="2"/>
        <v>OK</v>
      </c>
      <c r="Q33" s="17">
        <f t="shared" si="3"/>
        <v>82.383831411565467</v>
      </c>
      <c r="R33" s="19">
        <f t="shared" si="9"/>
        <v>0.96918046456371754</v>
      </c>
      <c r="S33" s="6" t="s">
        <v>38</v>
      </c>
      <c r="T33" s="17">
        <v>13.5</v>
      </c>
      <c r="U33" s="6" t="s">
        <v>36</v>
      </c>
      <c r="V33" s="6" t="s">
        <v>12</v>
      </c>
      <c r="W33" s="1">
        <v>-5.95</v>
      </c>
      <c r="X33" s="1">
        <v>-126.2971</v>
      </c>
      <c r="Y33" s="10">
        <v>300</v>
      </c>
      <c r="Z33" s="10">
        <v>500</v>
      </c>
      <c r="AA33" s="7">
        <f t="shared" si="4"/>
        <v>460</v>
      </c>
      <c r="AB33" s="28">
        <f t="shared" si="5"/>
        <v>780.21856505677238</v>
      </c>
      <c r="AC33" s="60">
        <v>18</v>
      </c>
      <c r="AD33" s="60">
        <v>2</v>
      </c>
      <c r="AE33" s="60">
        <v>14</v>
      </c>
      <c r="AF33" s="60">
        <v>2</v>
      </c>
      <c r="AG33" s="28">
        <f t="shared" si="10"/>
        <v>816.81408993334617</v>
      </c>
      <c r="AH33" s="35" t="str">
        <f t="shared" si="6"/>
        <v>OK</v>
      </c>
      <c r="AI33" s="28">
        <f t="shared" si="11"/>
        <v>-132.22096399387047</v>
      </c>
      <c r="AJ33" s="32">
        <f t="shared" si="7"/>
        <v>0.95519724092962222</v>
      </c>
    </row>
    <row r="34" spans="1:3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AJ34" s="33"/>
    </row>
    <row r="35" spans="1:36" x14ac:dyDescent="0.25">
      <c r="A35" s="1"/>
      <c r="B35" s="1"/>
      <c r="C35" s="1"/>
      <c r="D35" s="1"/>
      <c r="E35" s="1"/>
      <c r="F35" s="58"/>
      <c r="G35" s="1"/>
      <c r="H35" s="1"/>
      <c r="I35" s="1"/>
      <c r="J35" s="1"/>
      <c r="K35" s="1"/>
      <c r="L35" s="1"/>
      <c r="M35" s="1"/>
      <c r="N35" s="1"/>
    </row>
    <row r="36" spans="1:36" x14ac:dyDescent="0.25">
      <c r="A36" s="1"/>
      <c r="B36" s="1"/>
      <c r="C36" s="1"/>
      <c r="D36" s="1"/>
      <c r="E36" s="1"/>
      <c r="F36" s="58"/>
      <c r="G36" s="1"/>
      <c r="H36" s="1"/>
      <c r="I36" s="1"/>
      <c r="J36" s="1"/>
      <c r="K36" s="1"/>
      <c r="L36" s="1"/>
      <c r="M36" s="1"/>
      <c r="N36" s="1"/>
    </row>
    <row r="37" spans="1:36" x14ac:dyDescent="0.25">
      <c r="A37" s="1"/>
      <c r="B37" s="1"/>
      <c r="C37" s="1"/>
      <c r="D37" s="1"/>
      <c r="E37" s="1"/>
      <c r="F37" s="58"/>
      <c r="G37" s="1"/>
      <c r="H37" s="1"/>
      <c r="I37" s="1"/>
      <c r="J37" s="1"/>
      <c r="K37" s="1"/>
      <c r="L37" s="1"/>
      <c r="M37" s="1"/>
      <c r="N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6" spans="1:36" x14ac:dyDescent="0.25">
      <c r="A56" s="2" t="s">
        <v>1</v>
      </c>
      <c r="B56" s="3" t="s">
        <v>2</v>
      </c>
      <c r="C56" s="2" t="s">
        <v>34</v>
      </c>
      <c r="D56" s="2" t="s">
        <v>3</v>
      </c>
      <c r="E56" s="3" t="s">
        <v>4</v>
      </c>
      <c r="F56" s="3" t="s">
        <v>5</v>
      </c>
      <c r="G56" s="5" t="s">
        <v>20</v>
      </c>
      <c r="H56" s="5" t="s">
        <v>21</v>
      </c>
      <c r="I56" s="5" t="s">
        <v>25</v>
      </c>
      <c r="J56" s="5" t="s">
        <v>23</v>
      </c>
      <c r="K56" s="5" t="s">
        <v>26</v>
      </c>
      <c r="L56" s="5" t="s">
        <v>27</v>
      </c>
      <c r="M56" s="5" t="s">
        <v>26</v>
      </c>
      <c r="N56" s="5" t="s">
        <v>27</v>
      </c>
      <c r="O56" s="5" t="s">
        <v>23</v>
      </c>
      <c r="P56" s="18"/>
      <c r="Q56" s="5" t="s">
        <v>31</v>
      </c>
      <c r="R56" s="5" t="s">
        <v>33</v>
      </c>
      <c r="S56" s="2" t="s">
        <v>1</v>
      </c>
      <c r="T56" s="3" t="s">
        <v>2</v>
      </c>
      <c r="U56" s="2" t="s">
        <v>34</v>
      </c>
      <c r="V56" s="2" t="s">
        <v>3</v>
      </c>
      <c r="W56" s="3" t="s">
        <v>4</v>
      </c>
      <c r="X56" s="3" t="s">
        <v>5</v>
      </c>
      <c r="Y56" s="5" t="s">
        <v>20</v>
      </c>
      <c r="Z56" s="5" t="s">
        <v>21</v>
      </c>
      <c r="AA56" s="5" t="s">
        <v>25</v>
      </c>
      <c r="AB56" s="5" t="s">
        <v>23</v>
      </c>
      <c r="AC56" s="5" t="s">
        <v>26</v>
      </c>
      <c r="AD56" s="5" t="s">
        <v>27</v>
      </c>
      <c r="AE56" s="5" t="s">
        <v>26</v>
      </c>
      <c r="AF56" s="5" t="s">
        <v>27</v>
      </c>
      <c r="AG56" s="5" t="s">
        <v>23</v>
      </c>
      <c r="AI56" s="5" t="s">
        <v>31</v>
      </c>
      <c r="AJ56" s="5" t="s">
        <v>33</v>
      </c>
    </row>
    <row r="57" spans="1:36" x14ac:dyDescent="0.25">
      <c r="A57" s="4" t="s">
        <v>6</v>
      </c>
      <c r="B57" s="5" t="s">
        <v>7</v>
      </c>
      <c r="C57" s="4" t="s">
        <v>6</v>
      </c>
      <c r="D57" s="4" t="s">
        <v>6</v>
      </c>
      <c r="E57" s="5" t="s">
        <v>8</v>
      </c>
      <c r="F57" s="5" t="s">
        <v>9</v>
      </c>
      <c r="G57" s="5" t="s">
        <v>22</v>
      </c>
      <c r="H57" s="5" t="s">
        <v>22</v>
      </c>
      <c r="I57" s="5" t="s">
        <v>22</v>
      </c>
      <c r="J57" s="5" t="s">
        <v>24</v>
      </c>
      <c r="K57" s="5" t="s">
        <v>22</v>
      </c>
      <c r="L57" s="5" t="s">
        <v>28</v>
      </c>
      <c r="M57" s="5" t="s">
        <v>22</v>
      </c>
      <c r="N57" s="5" t="s">
        <v>28</v>
      </c>
      <c r="O57" s="5" t="s">
        <v>24</v>
      </c>
      <c r="P57" s="18"/>
      <c r="Q57" s="5" t="s">
        <v>9</v>
      </c>
      <c r="R57" s="5" t="s">
        <v>28</v>
      </c>
      <c r="S57" s="4" t="s">
        <v>6</v>
      </c>
      <c r="T57" s="5" t="s">
        <v>7</v>
      </c>
      <c r="U57" s="4" t="s">
        <v>6</v>
      </c>
      <c r="V57" s="4" t="s">
        <v>6</v>
      </c>
      <c r="W57" s="5" t="s">
        <v>8</v>
      </c>
      <c r="X57" s="5" t="s">
        <v>9</v>
      </c>
      <c r="Y57" s="9" t="s">
        <v>22</v>
      </c>
      <c r="Z57" s="9" t="s">
        <v>22</v>
      </c>
      <c r="AA57" s="9" t="s">
        <v>22</v>
      </c>
      <c r="AB57" s="9" t="s">
        <v>24</v>
      </c>
      <c r="AC57" s="9" t="s">
        <v>22</v>
      </c>
      <c r="AD57" s="9" t="s">
        <v>28</v>
      </c>
      <c r="AE57" s="9" t="s">
        <v>22</v>
      </c>
      <c r="AF57" s="9" t="s">
        <v>28</v>
      </c>
      <c r="AG57" s="9" t="s">
        <v>24</v>
      </c>
      <c r="AI57" s="9" t="s">
        <v>9</v>
      </c>
      <c r="AJ57" s="8" t="s">
        <v>28</v>
      </c>
    </row>
    <row r="58" spans="1:36" x14ac:dyDescent="0.25">
      <c r="A58" s="6" t="s">
        <v>39</v>
      </c>
      <c r="B58" s="17">
        <v>0</v>
      </c>
      <c r="C58" s="6" t="s">
        <v>36</v>
      </c>
      <c r="D58" s="6" t="s">
        <v>11</v>
      </c>
      <c r="E58" s="1">
        <v>-9.6</v>
      </c>
      <c r="F58" s="1">
        <v>68.569599999999994</v>
      </c>
      <c r="G58" s="29">
        <v>300</v>
      </c>
      <c r="H58" s="29">
        <v>500</v>
      </c>
      <c r="I58" s="28">
        <f t="shared" ref="I58:I87" si="12">H58-40</f>
        <v>460</v>
      </c>
      <c r="J58" s="28">
        <f>ABS(F58)*1000^2/(0.9*391*I58)</f>
        <v>423.5986013813212</v>
      </c>
      <c r="K58" s="59">
        <v>18</v>
      </c>
      <c r="L58" s="59">
        <v>2</v>
      </c>
      <c r="M58" s="59">
        <v>12</v>
      </c>
      <c r="N58" s="59">
        <v>0</v>
      </c>
      <c r="O58" s="28">
        <f>PI()*K58^2/4*L58+PI()*M58^2/4*N58</f>
        <v>508.93800988154646</v>
      </c>
      <c r="P58" s="34" t="str">
        <f t="shared" ref="P58:P87" si="13">IF(O58&gt;=J58,"OK","NO")</f>
        <v>OK</v>
      </c>
      <c r="Q58" s="17">
        <f t="shared" ref="Q58:Q87" si="14">(O58*0.9*391*I58)/1000^2</f>
        <v>82.383831411565467</v>
      </c>
      <c r="R58" s="19">
        <f>F58/Q58</f>
        <v>0.83231865798334115</v>
      </c>
      <c r="S58" s="6" t="s">
        <v>39</v>
      </c>
      <c r="T58" s="17">
        <v>0</v>
      </c>
      <c r="U58" s="6" t="s">
        <v>36</v>
      </c>
      <c r="V58" s="6" t="s">
        <v>12</v>
      </c>
      <c r="W58" s="1">
        <v>-114.732</v>
      </c>
      <c r="X58" s="1">
        <v>-127.9943</v>
      </c>
      <c r="Y58" s="10">
        <v>300</v>
      </c>
      <c r="Z58" s="10">
        <v>500</v>
      </c>
      <c r="AA58" s="7">
        <f t="shared" ref="AA58:AA87" si="15">Z58-40</f>
        <v>460</v>
      </c>
      <c r="AB58" s="28">
        <f t="shared" ref="AB58:AB87" si="16">ABS(X58)*1000^2/(0.9*391*AA58)</f>
        <v>790.70326303174056</v>
      </c>
      <c r="AC58" s="60">
        <v>18</v>
      </c>
      <c r="AD58" s="60">
        <v>2</v>
      </c>
      <c r="AE58" s="60">
        <v>14</v>
      </c>
      <c r="AF58" s="60">
        <v>2</v>
      </c>
      <c r="AG58" s="28">
        <f>PI()*AC58^2/4*AD58+PI()*AE58^2/4*AF58</f>
        <v>816.81408993334617</v>
      </c>
      <c r="AH58" s="35" t="str">
        <f t="shared" ref="AH58:AH87" si="17">IF(AG58&gt;=AB58,"OK","NO")</f>
        <v>OK</v>
      </c>
      <c r="AI58" s="28">
        <f>-(AG58*0.9*391*AA58)/1000^2</f>
        <v>-132.22096399387047</v>
      </c>
      <c r="AJ58" s="32">
        <f>X58/AI58</f>
        <v>0.96803332946455889</v>
      </c>
    </row>
    <row r="59" spans="1:36" x14ac:dyDescent="0.25">
      <c r="A59" s="6" t="s">
        <v>39</v>
      </c>
      <c r="B59" s="17">
        <v>0.5</v>
      </c>
      <c r="C59" s="6" t="s">
        <v>36</v>
      </c>
      <c r="D59" s="6" t="s">
        <v>11</v>
      </c>
      <c r="E59" s="1">
        <v>6.8680000000000003</v>
      </c>
      <c r="F59" s="1">
        <v>69.252600000000001</v>
      </c>
      <c r="G59" s="29">
        <v>300</v>
      </c>
      <c r="H59" s="29">
        <v>500</v>
      </c>
      <c r="I59" s="28">
        <f t="shared" si="12"/>
        <v>460</v>
      </c>
      <c r="J59" s="28">
        <f t="shared" ref="J59:J87" si="18">ABS(F59)*1000^2/(0.9*391*I59)</f>
        <v>427.81793246599199</v>
      </c>
      <c r="K59" s="59">
        <v>18</v>
      </c>
      <c r="L59" s="59">
        <v>2</v>
      </c>
      <c r="M59" s="59">
        <v>12</v>
      </c>
      <c r="N59" s="59">
        <v>0</v>
      </c>
      <c r="O59" s="28">
        <f t="shared" ref="O59:O86" si="19">PI()*K59^2/4*L59+PI()*M59^2/4*N59</f>
        <v>508.93800988154646</v>
      </c>
      <c r="P59" s="34" t="str">
        <f t="shared" si="13"/>
        <v>OK</v>
      </c>
      <c r="Q59" s="17">
        <f t="shared" si="14"/>
        <v>82.383831411565467</v>
      </c>
      <c r="R59" s="19">
        <f t="shared" ref="R59:R87" si="20">F59/Q59</f>
        <v>0.84060911969527508</v>
      </c>
      <c r="S59" s="6" t="s">
        <v>39</v>
      </c>
      <c r="T59" s="17">
        <v>0.5</v>
      </c>
      <c r="U59" s="6" t="s">
        <v>36</v>
      </c>
      <c r="V59" s="6" t="s">
        <v>12</v>
      </c>
      <c r="W59" s="1">
        <v>-94.83</v>
      </c>
      <c r="X59" s="1">
        <v>-76.462199999999996</v>
      </c>
      <c r="Y59" s="10">
        <v>300</v>
      </c>
      <c r="Z59" s="10">
        <v>500</v>
      </c>
      <c r="AA59" s="7">
        <f t="shared" si="15"/>
        <v>460</v>
      </c>
      <c r="AB59" s="28">
        <f t="shared" si="16"/>
        <v>472.35627710441446</v>
      </c>
      <c r="AC59" s="60">
        <v>18</v>
      </c>
      <c r="AD59" s="60">
        <v>2</v>
      </c>
      <c r="AE59" s="60">
        <v>14</v>
      </c>
      <c r="AF59" s="60">
        <v>2</v>
      </c>
      <c r="AG59" s="28">
        <f t="shared" ref="AG59:AG87" si="21">PI()*AC59^2/4*AD59+PI()*AE59^2/4*AF59</f>
        <v>816.81408993334617</v>
      </c>
      <c r="AH59" s="35" t="str">
        <f t="shared" si="17"/>
        <v>OK</v>
      </c>
      <c r="AI59" s="28">
        <f t="shared" ref="AI59:AI87" si="22">-(AG59*0.9*391*AA59)/1000^2</f>
        <v>-132.22096399387047</v>
      </c>
      <c r="AJ59" s="32">
        <f t="shared" ref="AJ59:AJ86" si="23">X59/AI59</f>
        <v>0.57829104924348196</v>
      </c>
    </row>
    <row r="60" spans="1:36" x14ac:dyDescent="0.25">
      <c r="A60" s="6" t="s">
        <v>39</v>
      </c>
      <c r="B60" s="17">
        <v>1</v>
      </c>
      <c r="C60" s="6" t="s">
        <v>36</v>
      </c>
      <c r="D60" s="6" t="s">
        <v>11</v>
      </c>
      <c r="E60" s="1">
        <v>23.337</v>
      </c>
      <c r="F60" s="1">
        <v>61.701599999999999</v>
      </c>
      <c r="G60" s="29">
        <v>300</v>
      </c>
      <c r="H60" s="29">
        <v>500</v>
      </c>
      <c r="I60" s="28">
        <f t="shared" si="12"/>
        <v>460</v>
      </c>
      <c r="J60" s="28">
        <f t="shared" si="18"/>
        <v>381.1705400496682</v>
      </c>
      <c r="K60" s="59">
        <v>18</v>
      </c>
      <c r="L60" s="59">
        <v>2</v>
      </c>
      <c r="M60" s="59">
        <v>12</v>
      </c>
      <c r="N60" s="59">
        <v>0</v>
      </c>
      <c r="O60" s="28">
        <f t="shared" si="19"/>
        <v>508.93800988154646</v>
      </c>
      <c r="P60" s="34" t="str">
        <f t="shared" si="13"/>
        <v>OK</v>
      </c>
      <c r="Q60" s="17">
        <f t="shared" si="14"/>
        <v>82.383831411565467</v>
      </c>
      <c r="R60" s="19">
        <f t="shared" si="20"/>
        <v>0.74895278530755505</v>
      </c>
      <c r="S60" s="6" t="s">
        <v>39</v>
      </c>
      <c r="T60" s="17">
        <v>1</v>
      </c>
      <c r="U60" s="6" t="s">
        <v>36</v>
      </c>
      <c r="V60" s="6" t="s">
        <v>12</v>
      </c>
      <c r="W60" s="1">
        <v>-78.361999999999995</v>
      </c>
      <c r="X60" s="1">
        <v>-33.164400000000001</v>
      </c>
      <c r="Y60" s="10">
        <v>300</v>
      </c>
      <c r="Z60" s="10">
        <v>500</v>
      </c>
      <c r="AA60" s="7">
        <f t="shared" si="15"/>
        <v>460</v>
      </c>
      <c r="AB60" s="28">
        <f t="shared" si="16"/>
        <v>204.87786797138511</v>
      </c>
      <c r="AC60" s="60">
        <v>18</v>
      </c>
      <c r="AD60" s="60">
        <v>2</v>
      </c>
      <c r="AE60" s="60">
        <v>14</v>
      </c>
      <c r="AF60" s="60">
        <v>2</v>
      </c>
      <c r="AG60" s="28">
        <f t="shared" si="21"/>
        <v>816.81408993334617</v>
      </c>
      <c r="AH60" s="35" t="str">
        <f t="shared" si="17"/>
        <v>OK</v>
      </c>
      <c r="AI60" s="28">
        <f t="shared" si="22"/>
        <v>-132.22096399387047</v>
      </c>
      <c r="AJ60" s="32">
        <f t="shared" si="23"/>
        <v>0.25082558013672812</v>
      </c>
    </row>
    <row r="61" spans="1:36" x14ac:dyDescent="0.25">
      <c r="A61" s="6" t="s">
        <v>39</v>
      </c>
      <c r="B61" s="17">
        <v>1.5</v>
      </c>
      <c r="C61" s="6" t="s">
        <v>36</v>
      </c>
      <c r="D61" s="6" t="s">
        <v>11</v>
      </c>
      <c r="E61" s="1">
        <v>39.805</v>
      </c>
      <c r="F61" s="1">
        <v>45.916499999999999</v>
      </c>
      <c r="G61" s="29">
        <v>300</v>
      </c>
      <c r="H61" s="29">
        <v>500</v>
      </c>
      <c r="I61" s="28">
        <f t="shared" si="12"/>
        <v>460</v>
      </c>
      <c r="J61" s="28">
        <f t="shared" si="18"/>
        <v>283.65580636791572</v>
      </c>
      <c r="K61" s="59">
        <v>18</v>
      </c>
      <c r="L61" s="59">
        <v>2</v>
      </c>
      <c r="M61" s="59">
        <v>12</v>
      </c>
      <c r="N61" s="59">
        <v>0</v>
      </c>
      <c r="O61" s="28">
        <f t="shared" si="19"/>
        <v>508.93800988154646</v>
      </c>
      <c r="P61" s="34" t="str">
        <f t="shared" si="13"/>
        <v>OK</v>
      </c>
      <c r="Q61" s="17">
        <f t="shared" si="14"/>
        <v>82.383831411565467</v>
      </c>
      <c r="R61" s="19">
        <f t="shared" si="20"/>
        <v>0.55734844098976932</v>
      </c>
      <c r="S61" s="6" t="s">
        <v>39</v>
      </c>
      <c r="T61" s="17">
        <v>1.5</v>
      </c>
      <c r="U61" s="6" t="s">
        <v>36</v>
      </c>
      <c r="V61" s="6" t="s">
        <v>12</v>
      </c>
      <c r="W61" s="1">
        <v>-61.893000000000001</v>
      </c>
      <c r="X61" s="1">
        <v>1.899</v>
      </c>
      <c r="Y61" s="10">
        <v>300</v>
      </c>
      <c r="Z61" s="10">
        <v>500</v>
      </c>
      <c r="AA61" s="7">
        <f t="shared" si="15"/>
        <v>460</v>
      </c>
      <c r="AB61" s="28">
        <f t="shared" si="16"/>
        <v>11.731346602913375</v>
      </c>
      <c r="AC61" s="60">
        <v>18</v>
      </c>
      <c r="AD61" s="60">
        <v>2</v>
      </c>
      <c r="AE61" s="60">
        <v>14</v>
      </c>
      <c r="AF61" s="60">
        <v>0</v>
      </c>
      <c r="AG61" s="28">
        <f t="shared" si="21"/>
        <v>508.93800988154646</v>
      </c>
      <c r="AH61" s="35" t="str">
        <f t="shared" si="17"/>
        <v>OK</v>
      </c>
      <c r="AI61" s="28">
        <f t="shared" si="22"/>
        <v>-82.383831411565467</v>
      </c>
      <c r="AJ61" s="32">
        <f t="shared" si="23"/>
        <v>-2.3050639518246641E-2</v>
      </c>
    </row>
    <row r="62" spans="1:36" x14ac:dyDescent="0.25">
      <c r="A62" s="6" t="s">
        <v>39</v>
      </c>
      <c r="B62" s="17">
        <v>2</v>
      </c>
      <c r="C62" s="6" t="s">
        <v>36</v>
      </c>
      <c r="D62" s="6" t="s">
        <v>11</v>
      </c>
      <c r="E62" s="1">
        <v>56.274000000000001</v>
      </c>
      <c r="F62" s="1">
        <v>47.896599999999999</v>
      </c>
      <c r="G62" s="29">
        <v>300</v>
      </c>
      <c r="H62" s="29">
        <v>500</v>
      </c>
      <c r="I62" s="28">
        <f t="shared" si="12"/>
        <v>460</v>
      </c>
      <c r="J62" s="28">
        <f t="shared" si="18"/>
        <v>295.88815992685664</v>
      </c>
      <c r="K62" s="59">
        <v>18</v>
      </c>
      <c r="L62" s="59">
        <v>2</v>
      </c>
      <c r="M62" s="59">
        <v>12</v>
      </c>
      <c r="N62" s="59">
        <v>0</v>
      </c>
      <c r="O62" s="28">
        <f t="shared" si="19"/>
        <v>508.93800988154646</v>
      </c>
      <c r="P62" s="34" t="str">
        <f t="shared" si="13"/>
        <v>OK</v>
      </c>
      <c r="Q62" s="17">
        <f t="shared" si="14"/>
        <v>82.383831411565467</v>
      </c>
      <c r="R62" s="19">
        <f t="shared" si="20"/>
        <v>0.58138349697190739</v>
      </c>
      <c r="S62" s="6" t="s">
        <v>39</v>
      </c>
      <c r="T62" s="17">
        <v>2</v>
      </c>
      <c r="U62" s="6" t="s">
        <v>36</v>
      </c>
      <c r="V62" s="6" t="s">
        <v>12</v>
      </c>
      <c r="W62" s="1">
        <v>-45.424999999999997</v>
      </c>
      <c r="X62" s="1">
        <v>21.892299999999999</v>
      </c>
      <c r="Y62" s="10">
        <v>300</v>
      </c>
      <c r="Z62" s="10">
        <v>500</v>
      </c>
      <c r="AA62" s="7">
        <f t="shared" si="15"/>
        <v>460</v>
      </c>
      <c r="AB62" s="28">
        <f t="shared" si="16"/>
        <v>135.24284319903131</v>
      </c>
      <c r="AC62" s="60">
        <v>18</v>
      </c>
      <c r="AD62" s="60">
        <v>2</v>
      </c>
      <c r="AE62" s="60">
        <v>14</v>
      </c>
      <c r="AF62" s="60">
        <v>0</v>
      </c>
      <c r="AG62" s="28">
        <f t="shared" si="21"/>
        <v>508.93800988154646</v>
      </c>
      <c r="AH62" s="35" t="str">
        <f t="shared" si="17"/>
        <v>OK</v>
      </c>
      <c r="AI62" s="28">
        <f t="shared" si="22"/>
        <v>-82.383831411565467</v>
      </c>
      <c r="AJ62" s="32">
        <f t="shared" si="23"/>
        <v>-0.26573539522133277</v>
      </c>
    </row>
    <row r="63" spans="1:36" x14ac:dyDescent="0.25">
      <c r="A63" s="6" t="s">
        <v>39</v>
      </c>
      <c r="B63" s="17">
        <v>2.5</v>
      </c>
      <c r="C63" s="6" t="s">
        <v>36</v>
      </c>
      <c r="D63" s="6" t="s">
        <v>11</v>
      </c>
      <c r="E63" s="1">
        <v>72.742000000000004</v>
      </c>
      <c r="F63" s="1">
        <v>47.3247</v>
      </c>
      <c r="G63" s="29">
        <v>300</v>
      </c>
      <c r="H63" s="29">
        <v>500</v>
      </c>
      <c r="I63" s="28">
        <f t="shared" si="12"/>
        <v>460</v>
      </c>
      <c r="J63" s="28">
        <f t="shared" si="18"/>
        <v>292.35516512843316</v>
      </c>
      <c r="K63" s="59">
        <v>18</v>
      </c>
      <c r="L63" s="59">
        <v>2</v>
      </c>
      <c r="M63" s="59">
        <v>12</v>
      </c>
      <c r="N63" s="59">
        <v>0</v>
      </c>
      <c r="O63" s="28">
        <f t="shared" si="19"/>
        <v>508.93800988154646</v>
      </c>
      <c r="P63" s="34" t="str">
        <f t="shared" si="13"/>
        <v>OK</v>
      </c>
      <c r="Q63" s="17">
        <f t="shared" si="14"/>
        <v>82.383831411565467</v>
      </c>
      <c r="R63" s="19">
        <f t="shared" si="20"/>
        <v>0.57444160084737594</v>
      </c>
      <c r="S63" s="6" t="s">
        <v>39</v>
      </c>
      <c r="T63" s="17">
        <v>2.5</v>
      </c>
      <c r="U63" s="6" t="s">
        <v>36</v>
      </c>
      <c r="V63" s="6" t="s">
        <v>12</v>
      </c>
      <c r="W63" s="1">
        <v>-28.956</v>
      </c>
      <c r="X63" s="1">
        <v>-10.3581</v>
      </c>
      <c r="Y63" s="10">
        <v>300</v>
      </c>
      <c r="Z63" s="10">
        <v>500</v>
      </c>
      <c r="AA63" s="7">
        <f t="shared" si="15"/>
        <v>460</v>
      </c>
      <c r="AB63" s="28">
        <f t="shared" si="16"/>
        <v>63.988657844990534</v>
      </c>
      <c r="AC63" s="60">
        <v>18</v>
      </c>
      <c r="AD63" s="60">
        <v>2</v>
      </c>
      <c r="AE63" s="60">
        <v>18</v>
      </c>
      <c r="AF63" s="60">
        <v>0</v>
      </c>
      <c r="AG63" s="28">
        <f t="shared" si="21"/>
        <v>508.93800988154646</v>
      </c>
      <c r="AH63" s="35" t="str">
        <f t="shared" si="17"/>
        <v>OK</v>
      </c>
      <c r="AI63" s="28">
        <f t="shared" si="22"/>
        <v>-82.383831411565467</v>
      </c>
      <c r="AJ63" s="32">
        <f t="shared" si="23"/>
        <v>0.12572976787464485</v>
      </c>
    </row>
    <row r="64" spans="1:36" x14ac:dyDescent="0.25">
      <c r="A64" s="6" t="s">
        <v>39</v>
      </c>
      <c r="B64" s="17">
        <v>3</v>
      </c>
      <c r="C64" s="6" t="s">
        <v>36</v>
      </c>
      <c r="D64" s="6" t="s">
        <v>11</v>
      </c>
      <c r="E64" s="1">
        <v>89.21</v>
      </c>
      <c r="F64" s="1">
        <v>57.685499999999998</v>
      </c>
      <c r="G64" s="29">
        <v>300</v>
      </c>
      <c r="H64" s="29">
        <v>500</v>
      </c>
      <c r="I64" s="28">
        <f t="shared" si="12"/>
        <v>460</v>
      </c>
      <c r="J64" s="28">
        <f t="shared" si="18"/>
        <v>356.36050261314347</v>
      </c>
      <c r="K64" s="59">
        <v>18</v>
      </c>
      <c r="L64" s="59">
        <v>2</v>
      </c>
      <c r="M64" s="59">
        <v>12</v>
      </c>
      <c r="N64" s="59">
        <v>0</v>
      </c>
      <c r="O64" s="28">
        <f t="shared" si="19"/>
        <v>508.93800988154646</v>
      </c>
      <c r="P64" s="34" t="str">
        <f t="shared" si="13"/>
        <v>OK</v>
      </c>
      <c r="Q64" s="17">
        <f t="shared" si="14"/>
        <v>82.383831411565467</v>
      </c>
      <c r="R64" s="19">
        <f t="shared" si="20"/>
        <v>0.70020414214313675</v>
      </c>
      <c r="S64" s="6" t="s">
        <v>39</v>
      </c>
      <c r="T64" s="17">
        <v>3</v>
      </c>
      <c r="U64" s="6" t="s">
        <v>36</v>
      </c>
      <c r="V64" s="6" t="s">
        <v>12</v>
      </c>
      <c r="W64" s="1">
        <v>-12.488</v>
      </c>
      <c r="X64" s="1">
        <v>-50.845999999999997</v>
      </c>
      <c r="Y64" s="10">
        <v>300</v>
      </c>
      <c r="Z64" s="10">
        <v>500</v>
      </c>
      <c r="AA64" s="7">
        <f t="shared" si="15"/>
        <v>460</v>
      </c>
      <c r="AB64" s="28">
        <f t="shared" si="16"/>
        <v>314.10850414519928</v>
      </c>
      <c r="AC64" s="60">
        <v>18</v>
      </c>
      <c r="AD64" s="60">
        <v>2</v>
      </c>
      <c r="AE64" s="60">
        <v>18</v>
      </c>
      <c r="AF64" s="60">
        <v>0</v>
      </c>
      <c r="AG64" s="28">
        <f t="shared" si="21"/>
        <v>508.93800988154646</v>
      </c>
      <c r="AH64" s="35" t="str">
        <f t="shared" si="17"/>
        <v>OK</v>
      </c>
      <c r="AI64" s="28">
        <f t="shared" si="22"/>
        <v>-82.383831411565467</v>
      </c>
      <c r="AJ64" s="32">
        <f t="shared" si="23"/>
        <v>0.61718421113468602</v>
      </c>
    </row>
    <row r="65" spans="1:36" x14ac:dyDescent="0.25">
      <c r="A65" s="6" t="s">
        <v>39</v>
      </c>
      <c r="B65" s="17">
        <v>3.5</v>
      </c>
      <c r="C65" s="6" t="s">
        <v>36</v>
      </c>
      <c r="D65" s="6" t="s">
        <v>11</v>
      </c>
      <c r="E65" s="1">
        <v>105.679</v>
      </c>
      <c r="F65" s="1">
        <v>59.812199999999997</v>
      </c>
      <c r="G65" s="29">
        <v>300</v>
      </c>
      <c r="H65" s="29">
        <v>500</v>
      </c>
      <c r="I65" s="28">
        <f t="shared" si="12"/>
        <v>460</v>
      </c>
      <c r="J65" s="28">
        <f t="shared" si="18"/>
        <v>369.49849883242513</v>
      </c>
      <c r="K65" s="59">
        <v>18</v>
      </c>
      <c r="L65" s="59">
        <v>2</v>
      </c>
      <c r="M65" s="59">
        <v>12</v>
      </c>
      <c r="N65" s="59">
        <v>0</v>
      </c>
      <c r="O65" s="28">
        <f t="shared" si="19"/>
        <v>508.93800988154646</v>
      </c>
      <c r="P65" s="34" t="str">
        <f t="shared" si="13"/>
        <v>OK</v>
      </c>
      <c r="Q65" s="17">
        <f t="shared" si="14"/>
        <v>82.383831411565467</v>
      </c>
      <c r="R65" s="19">
        <f t="shared" si="20"/>
        <v>0.72601867350883187</v>
      </c>
      <c r="S65" s="6" t="s">
        <v>39</v>
      </c>
      <c r="T65" s="17">
        <v>3.5</v>
      </c>
      <c r="U65" s="6" t="s">
        <v>36</v>
      </c>
      <c r="V65" s="6" t="s">
        <v>12</v>
      </c>
      <c r="W65" s="1">
        <v>3.9809999999999999</v>
      </c>
      <c r="X65" s="1">
        <v>-99.568200000000004</v>
      </c>
      <c r="Y65" s="10">
        <v>300</v>
      </c>
      <c r="Z65" s="10">
        <v>500</v>
      </c>
      <c r="AA65" s="7">
        <f t="shared" si="15"/>
        <v>460</v>
      </c>
      <c r="AB65" s="28">
        <f t="shared" si="16"/>
        <v>615.09692723970488</v>
      </c>
      <c r="AC65" s="60">
        <v>20</v>
      </c>
      <c r="AD65" s="60">
        <v>2</v>
      </c>
      <c r="AE65" s="60">
        <v>18</v>
      </c>
      <c r="AF65" s="60">
        <v>2</v>
      </c>
      <c r="AG65" s="28">
        <f t="shared" si="21"/>
        <v>1137.2565405995051</v>
      </c>
      <c r="AH65" s="35" t="str">
        <f t="shared" si="17"/>
        <v>OK</v>
      </c>
      <c r="AI65" s="28">
        <f t="shared" si="22"/>
        <v>-184.09226525300429</v>
      </c>
      <c r="AJ65" s="32">
        <f t="shared" si="23"/>
        <v>0.54086031188306594</v>
      </c>
    </row>
    <row r="66" spans="1:36" x14ac:dyDescent="0.25">
      <c r="A66" s="6" t="s">
        <v>39</v>
      </c>
      <c r="B66" s="17">
        <v>4</v>
      </c>
      <c r="C66" s="6" t="s">
        <v>36</v>
      </c>
      <c r="D66" s="6" t="s">
        <v>11</v>
      </c>
      <c r="E66" s="1">
        <v>134.29900000000001</v>
      </c>
      <c r="F66" s="1">
        <v>53.704700000000003</v>
      </c>
      <c r="G66" s="29">
        <v>300</v>
      </c>
      <c r="H66" s="29">
        <v>500</v>
      </c>
      <c r="I66" s="28">
        <f t="shared" si="12"/>
        <v>460</v>
      </c>
      <c r="J66" s="28">
        <f t="shared" si="18"/>
        <v>331.76853602184411</v>
      </c>
      <c r="K66" s="59">
        <v>18</v>
      </c>
      <c r="L66" s="59">
        <v>2</v>
      </c>
      <c r="M66" s="59">
        <v>12</v>
      </c>
      <c r="N66" s="59">
        <v>0</v>
      </c>
      <c r="O66" s="28">
        <f t="shared" si="19"/>
        <v>508.93800988154646</v>
      </c>
      <c r="P66" s="34" t="str">
        <f t="shared" si="13"/>
        <v>OK</v>
      </c>
      <c r="Q66" s="17">
        <f t="shared" si="14"/>
        <v>82.383831411565467</v>
      </c>
      <c r="R66" s="19">
        <f t="shared" si="20"/>
        <v>0.65188398111404977</v>
      </c>
      <c r="S66" s="6" t="s">
        <v>39</v>
      </c>
      <c r="T66" s="17">
        <v>4</v>
      </c>
      <c r="U66" s="6" t="s">
        <v>36</v>
      </c>
      <c r="V66" s="6" t="s">
        <v>12</v>
      </c>
      <c r="W66" s="1">
        <v>20.449000000000002</v>
      </c>
      <c r="X66" s="1">
        <v>-156.5247</v>
      </c>
      <c r="Y66" s="10">
        <v>300</v>
      </c>
      <c r="Z66" s="10">
        <v>500</v>
      </c>
      <c r="AA66" s="7">
        <f t="shared" si="15"/>
        <v>460</v>
      </c>
      <c r="AB66" s="28">
        <f t="shared" si="16"/>
        <v>966.95392712850719</v>
      </c>
      <c r="AC66" s="60">
        <v>20</v>
      </c>
      <c r="AD66" s="60">
        <v>2</v>
      </c>
      <c r="AE66" s="60">
        <v>18</v>
      </c>
      <c r="AF66" s="60">
        <v>2</v>
      </c>
      <c r="AG66" s="28">
        <f t="shared" si="21"/>
        <v>1137.2565405995051</v>
      </c>
      <c r="AH66" s="35" t="str">
        <f t="shared" si="17"/>
        <v>OK</v>
      </c>
      <c r="AI66" s="28">
        <f t="shared" si="22"/>
        <v>-184.09226525300429</v>
      </c>
      <c r="AJ66" s="32">
        <f t="shared" si="23"/>
        <v>0.85025136599238837</v>
      </c>
    </row>
    <row r="67" spans="1:36" x14ac:dyDescent="0.25">
      <c r="A67" s="6" t="s">
        <v>40</v>
      </c>
      <c r="B67" s="17">
        <v>4</v>
      </c>
      <c r="C67" s="6" t="s">
        <v>36</v>
      </c>
      <c r="D67" s="6" t="s">
        <v>11</v>
      </c>
      <c r="E67" s="1">
        <v>-57.89</v>
      </c>
      <c r="F67" s="1">
        <v>10.0556</v>
      </c>
      <c r="G67" s="29">
        <v>300</v>
      </c>
      <c r="H67" s="29">
        <v>500</v>
      </c>
      <c r="I67" s="28">
        <f t="shared" si="12"/>
        <v>460</v>
      </c>
      <c r="J67" s="28">
        <f t="shared" si="18"/>
        <v>62.119920431940884</v>
      </c>
      <c r="K67" s="59">
        <v>18</v>
      </c>
      <c r="L67" s="59">
        <v>2</v>
      </c>
      <c r="M67" s="59">
        <v>12</v>
      </c>
      <c r="N67" s="59">
        <v>0</v>
      </c>
      <c r="O67" s="28">
        <f t="shared" si="19"/>
        <v>508.93800988154646</v>
      </c>
      <c r="P67" s="34" t="str">
        <f t="shared" si="13"/>
        <v>OK</v>
      </c>
      <c r="Q67" s="17">
        <f t="shared" si="14"/>
        <v>82.383831411565467</v>
      </c>
      <c r="R67" s="19">
        <f t="shared" si="20"/>
        <v>0.1220579308792422</v>
      </c>
      <c r="S67" s="6" t="s">
        <v>40</v>
      </c>
      <c r="T67" s="17">
        <v>4</v>
      </c>
      <c r="U67" s="6" t="s">
        <v>36</v>
      </c>
      <c r="V67" s="6" t="s">
        <v>12</v>
      </c>
      <c r="W67" s="1">
        <v>-171.208</v>
      </c>
      <c r="X67" s="1">
        <v>-169.72829999999999</v>
      </c>
      <c r="Y67" s="10">
        <v>300</v>
      </c>
      <c r="Z67" s="10">
        <v>500</v>
      </c>
      <c r="AA67" s="7">
        <f t="shared" si="15"/>
        <v>460</v>
      </c>
      <c r="AB67" s="28">
        <f t="shared" si="16"/>
        <v>1048.5210719448457</v>
      </c>
      <c r="AC67" s="60">
        <v>20</v>
      </c>
      <c r="AD67" s="60">
        <v>2</v>
      </c>
      <c r="AE67" s="60">
        <v>18</v>
      </c>
      <c r="AF67" s="60">
        <v>2</v>
      </c>
      <c r="AG67" s="28">
        <f t="shared" si="21"/>
        <v>1137.2565405995051</v>
      </c>
      <c r="AH67" s="35" t="str">
        <f t="shared" si="17"/>
        <v>OK</v>
      </c>
      <c r="AI67" s="28">
        <f t="shared" si="22"/>
        <v>-184.09226525300429</v>
      </c>
      <c r="AJ67" s="32">
        <f t="shared" si="23"/>
        <v>0.92197409688417165</v>
      </c>
    </row>
    <row r="68" spans="1:36" x14ac:dyDescent="0.25">
      <c r="A68" s="6" t="s">
        <v>40</v>
      </c>
      <c r="B68" s="17">
        <v>4.5</v>
      </c>
      <c r="C68" s="6" t="s">
        <v>36</v>
      </c>
      <c r="D68" s="6" t="s">
        <v>11</v>
      </c>
      <c r="E68" s="1">
        <v>-41.420999999999999</v>
      </c>
      <c r="F68" s="1">
        <v>34.883299999999998</v>
      </c>
      <c r="G68" s="29">
        <v>300</v>
      </c>
      <c r="H68" s="29">
        <v>500</v>
      </c>
      <c r="I68" s="28">
        <f t="shared" si="12"/>
        <v>460</v>
      </c>
      <c r="J68" s="28">
        <f t="shared" si="18"/>
        <v>215.49662082854562</v>
      </c>
      <c r="K68" s="59">
        <v>18</v>
      </c>
      <c r="L68" s="59">
        <v>2</v>
      </c>
      <c r="M68" s="59">
        <v>12</v>
      </c>
      <c r="N68" s="59">
        <v>0</v>
      </c>
      <c r="O68" s="28">
        <f t="shared" si="19"/>
        <v>508.93800988154646</v>
      </c>
      <c r="P68" s="34" t="str">
        <f t="shared" si="13"/>
        <v>OK</v>
      </c>
      <c r="Q68" s="17">
        <f t="shared" si="14"/>
        <v>82.383831411565467</v>
      </c>
      <c r="R68" s="19">
        <f t="shared" si="20"/>
        <v>0.42342410400571512</v>
      </c>
      <c r="S68" s="6" t="s">
        <v>40</v>
      </c>
      <c r="T68" s="17">
        <v>4.5</v>
      </c>
      <c r="U68" s="6" t="s">
        <v>36</v>
      </c>
      <c r="V68" s="6" t="s">
        <v>12</v>
      </c>
      <c r="W68" s="1">
        <v>-140.08000000000001</v>
      </c>
      <c r="X68" s="1">
        <v>-112.2137</v>
      </c>
      <c r="Y68" s="10">
        <v>300</v>
      </c>
      <c r="Z68" s="10">
        <v>500</v>
      </c>
      <c r="AA68" s="7">
        <f t="shared" si="15"/>
        <v>460</v>
      </c>
      <c r="AB68" s="28">
        <f t="shared" si="16"/>
        <v>693.21632874952115</v>
      </c>
      <c r="AC68" s="60">
        <v>20</v>
      </c>
      <c r="AD68" s="60">
        <v>2</v>
      </c>
      <c r="AE68" s="60">
        <v>18</v>
      </c>
      <c r="AF68" s="60">
        <v>2</v>
      </c>
      <c r="AG68" s="28">
        <f t="shared" si="21"/>
        <v>1137.2565405995051</v>
      </c>
      <c r="AH68" s="35" t="str">
        <f t="shared" si="17"/>
        <v>OK</v>
      </c>
      <c r="AI68" s="28">
        <f t="shared" si="22"/>
        <v>-184.09226525300429</v>
      </c>
      <c r="AJ68" s="32">
        <f t="shared" si="23"/>
        <v>0.60955141078730757</v>
      </c>
    </row>
    <row r="69" spans="1:36" x14ac:dyDescent="0.25">
      <c r="A69" s="6" t="s">
        <v>40</v>
      </c>
      <c r="B69" s="17">
        <v>5</v>
      </c>
      <c r="C69" s="6" t="s">
        <v>36</v>
      </c>
      <c r="D69" s="6" t="s">
        <v>11</v>
      </c>
      <c r="E69" s="1">
        <v>-24.952999999999999</v>
      </c>
      <c r="F69" s="1">
        <v>51.476700000000001</v>
      </c>
      <c r="G69" s="29">
        <v>300</v>
      </c>
      <c r="H69" s="29">
        <v>500</v>
      </c>
      <c r="I69" s="28">
        <f t="shared" si="12"/>
        <v>460</v>
      </c>
      <c r="J69" s="28">
        <f t="shared" si="18"/>
        <v>318.00474443085358</v>
      </c>
      <c r="K69" s="59">
        <v>18</v>
      </c>
      <c r="L69" s="59">
        <v>2</v>
      </c>
      <c r="M69" s="59">
        <v>12</v>
      </c>
      <c r="N69" s="59">
        <v>0</v>
      </c>
      <c r="O69" s="28">
        <f t="shared" si="19"/>
        <v>508.93800988154646</v>
      </c>
      <c r="P69" s="34" t="str">
        <f t="shared" si="13"/>
        <v>OK</v>
      </c>
      <c r="Q69" s="17">
        <f t="shared" si="14"/>
        <v>82.383831411565467</v>
      </c>
      <c r="R69" s="19">
        <f t="shared" si="20"/>
        <v>0.62483983954129907</v>
      </c>
      <c r="S69" s="6" t="s">
        <v>40</v>
      </c>
      <c r="T69" s="17">
        <v>5</v>
      </c>
      <c r="U69" s="6" t="s">
        <v>36</v>
      </c>
      <c r="V69" s="6" t="s">
        <v>12</v>
      </c>
      <c r="W69" s="1">
        <v>-108.95099999999999</v>
      </c>
      <c r="X69" s="1">
        <v>-62.933300000000003</v>
      </c>
      <c r="Y69" s="10">
        <v>300</v>
      </c>
      <c r="Z69" s="10">
        <v>500</v>
      </c>
      <c r="AA69" s="7">
        <f t="shared" si="15"/>
        <v>460</v>
      </c>
      <c r="AB69" s="28">
        <f t="shared" si="16"/>
        <v>388.77954458405912</v>
      </c>
      <c r="AC69" s="60">
        <v>20</v>
      </c>
      <c r="AD69" s="60">
        <v>2</v>
      </c>
      <c r="AE69" s="60">
        <v>18</v>
      </c>
      <c r="AF69" s="60">
        <v>2</v>
      </c>
      <c r="AG69" s="28">
        <f t="shared" si="21"/>
        <v>1137.2565405995051</v>
      </c>
      <c r="AH69" s="35" t="str">
        <f t="shared" si="17"/>
        <v>OK</v>
      </c>
      <c r="AI69" s="28">
        <f t="shared" si="22"/>
        <v>-184.09226525300429</v>
      </c>
      <c r="AJ69" s="32">
        <f t="shared" si="23"/>
        <v>0.34185738283739742</v>
      </c>
    </row>
    <row r="70" spans="1:36" x14ac:dyDescent="0.25">
      <c r="A70" s="6" t="s">
        <v>40</v>
      </c>
      <c r="B70" s="17">
        <v>5.5</v>
      </c>
      <c r="C70" s="6" t="s">
        <v>36</v>
      </c>
      <c r="D70" s="6" t="s">
        <v>11</v>
      </c>
      <c r="E70" s="1">
        <v>-8.484</v>
      </c>
      <c r="F70" s="1">
        <v>59.835900000000002</v>
      </c>
      <c r="G70" s="29">
        <v>300</v>
      </c>
      <c r="H70" s="29">
        <v>500</v>
      </c>
      <c r="I70" s="28">
        <f t="shared" si="12"/>
        <v>460</v>
      </c>
      <c r="J70" s="28">
        <f t="shared" si="18"/>
        <v>369.64490900329878</v>
      </c>
      <c r="K70" s="59">
        <v>18</v>
      </c>
      <c r="L70" s="59">
        <v>2</v>
      </c>
      <c r="M70" s="59">
        <v>12</v>
      </c>
      <c r="N70" s="59">
        <v>1</v>
      </c>
      <c r="O70" s="28">
        <f t="shared" si="19"/>
        <v>622.03534541077897</v>
      </c>
      <c r="P70" s="34" t="str">
        <f t="shared" si="13"/>
        <v>OK</v>
      </c>
      <c r="Q70" s="17">
        <f t="shared" si="14"/>
        <v>100.69134950302445</v>
      </c>
      <c r="R70" s="19">
        <f t="shared" si="20"/>
        <v>0.59425065107705921</v>
      </c>
      <c r="S70" s="6" t="s">
        <v>40</v>
      </c>
      <c r="T70" s="17">
        <v>5.5</v>
      </c>
      <c r="U70" s="6" t="s">
        <v>36</v>
      </c>
      <c r="V70" s="6" t="s">
        <v>12</v>
      </c>
      <c r="W70" s="1">
        <v>-77.822000000000003</v>
      </c>
      <c r="X70" s="1">
        <v>-21.8872</v>
      </c>
      <c r="Y70" s="10">
        <v>300</v>
      </c>
      <c r="Z70" s="10">
        <v>500</v>
      </c>
      <c r="AA70" s="7">
        <f t="shared" si="15"/>
        <v>460</v>
      </c>
      <c r="AB70" s="28">
        <f t="shared" si="16"/>
        <v>135.21133721289397</v>
      </c>
      <c r="AC70" s="60">
        <v>20</v>
      </c>
      <c r="AD70" s="60">
        <v>2</v>
      </c>
      <c r="AE70" s="60">
        <v>0</v>
      </c>
      <c r="AF70" s="60">
        <v>2</v>
      </c>
      <c r="AG70" s="28">
        <f t="shared" si="21"/>
        <v>628.31853071795865</v>
      </c>
      <c r="AH70" s="35" t="str">
        <f t="shared" si="17"/>
        <v>OK</v>
      </c>
      <c r="AI70" s="28">
        <f t="shared" si="22"/>
        <v>-101.70843384143883</v>
      </c>
      <c r="AJ70" s="32">
        <f t="shared" si="23"/>
        <v>0.21519552679497211</v>
      </c>
    </row>
    <row r="71" spans="1:36" x14ac:dyDescent="0.25">
      <c r="A71" s="6" t="s">
        <v>40</v>
      </c>
      <c r="B71" s="17">
        <v>6</v>
      </c>
      <c r="C71" s="6" t="s">
        <v>36</v>
      </c>
      <c r="D71" s="6" t="s">
        <v>11</v>
      </c>
      <c r="E71" s="1">
        <v>7.984</v>
      </c>
      <c r="F71" s="1">
        <v>67.080200000000005</v>
      </c>
      <c r="G71" s="29">
        <v>300</v>
      </c>
      <c r="H71" s="29">
        <v>500</v>
      </c>
      <c r="I71" s="28">
        <f t="shared" si="12"/>
        <v>460</v>
      </c>
      <c r="J71" s="28">
        <f t="shared" si="18"/>
        <v>414.3976179003422</v>
      </c>
      <c r="K71" s="59">
        <v>18</v>
      </c>
      <c r="L71" s="59">
        <v>2</v>
      </c>
      <c r="M71" s="59">
        <v>12</v>
      </c>
      <c r="N71" s="59">
        <v>1</v>
      </c>
      <c r="O71" s="28">
        <f t="shared" si="19"/>
        <v>622.03534541077897</v>
      </c>
      <c r="P71" s="34" t="str">
        <f t="shared" si="13"/>
        <v>OK</v>
      </c>
      <c r="Q71" s="17">
        <f t="shared" si="14"/>
        <v>100.69134950302445</v>
      </c>
      <c r="R71" s="19">
        <f t="shared" si="20"/>
        <v>0.66619625549844408</v>
      </c>
      <c r="S71" s="6" t="s">
        <v>40</v>
      </c>
      <c r="T71" s="17">
        <v>6</v>
      </c>
      <c r="U71" s="6" t="s">
        <v>36</v>
      </c>
      <c r="V71" s="6" t="s">
        <v>12</v>
      </c>
      <c r="W71" s="1">
        <v>-57.39</v>
      </c>
      <c r="X71" s="1">
        <v>10.9247</v>
      </c>
      <c r="Y71" s="10">
        <v>300</v>
      </c>
      <c r="Z71" s="10">
        <v>500</v>
      </c>
      <c r="AA71" s="7">
        <f t="shared" si="15"/>
        <v>460</v>
      </c>
      <c r="AB71" s="28">
        <f t="shared" si="16"/>
        <v>67.488911128408503</v>
      </c>
      <c r="AC71" s="60">
        <v>20</v>
      </c>
      <c r="AD71" s="60">
        <v>2</v>
      </c>
      <c r="AE71" s="60">
        <v>0</v>
      </c>
      <c r="AF71" s="60">
        <v>2</v>
      </c>
      <c r="AG71" s="28">
        <f t="shared" si="21"/>
        <v>628.31853071795865</v>
      </c>
      <c r="AH71" s="35" t="str">
        <f t="shared" si="17"/>
        <v>OK</v>
      </c>
      <c r="AI71" s="28">
        <f t="shared" si="22"/>
        <v>-101.70843384143883</v>
      </c>
      <c r="AJ71" s="32">
        <f t="shared" si="23"/>
        <v>-0.10741193809975839</v>
      </c>
    </row>
    <row r="72" spans="1:36" x14ac:dyDescent="0.25">
      <c r="A72" s="6" t="s">
        <v>40</v>
      </c>
      <c r="B72" s="17">
        <v>6.5</v>
      </c>
      <c r="C72" s="6" t="s">
        <v>36</v>
      </c>
      <c r="D72" s="6" t="s">
        <v>11</v>
      </c>
      <c r="E72" s="1">
        <v>24.452999999999999</v>
      </c>
      <c r="F72" s="1">
        <v>82.644599999999997</v>
      </c>
      <c r="G72" s="29">
        <v>300</v>
      </c>
      <c r="H72" s="29">
        <v>500</v>
      </c>
      <c r="I72" s="28">
        <f t="shared" si="12"/>
        <v>460</v>
      </c>
      <c r="J72" s="28">
        <f t="shared" si="18"/>
        <v>510.54894547611093</v>
      </c>
      <c r="K72" s="59">
        <v>18</v>
      </c>
      <c r="L72" s="59">
        <v>2</v>
      </c>
      <c r="M72" s="59">
        <v>12</v>
      </c>
      <c r="N72" s="59">
        <v>1</v>
      </c>
      <c r="O72" s="28">
        <f t="shared" si="19"/>
        <v>622.03534541077897</v>
      </c>
      <c r="P72" s="34" t="str">
        <f t="shared" si="13"/>
        <v>OK</v>
      </c>
      <c r="Q72" s="17">
        <f t="shared" si="14"/>
        <v>100.69134950302445</v>
      </c>
      <c r="R72" s="19">
        <f t="shared" si="20"/>
        <v>0.82077159962502644</v>
      </c>
      <c r="S72" s="6" t="s">
        <v>40</v>
      </c>
      <c r="T72" s="17">
        <v>6.5</v>
      </c>
      <c r="U72" s="6" t="s">
        <v>36</v>
      </c>
      <c r="V72" s="6" t="s">
        <v>12</v>
      </c>
      <c r="W72" s="1">
        <v>-40.920999999999999</v>
      </c>
      <c r="X72" s="1">
        <v>35.502400000000002</v>
      </c>
      <c r="Y72" s="10">
        <v>300</v>
      </c>
      <c r="Z72" s="10">
        <v>500</v>
      </c>
      <c r="AA72" s="7">
        <f t="shared" si="15"/>
        <v>460</v>
      </c>
      <c r="AB72" s="28">
        <f t="shared" si="16"/>
        <v>219.32120043984824</v>
      </c>
      <c r="AC72" s="60">
        <v>20</v>
      </c>
      <c r="AD72" s="60">
        <v>2</v>
      </c>
      <c r="AE72" s="60">
        <v>0</v>
      </c>
      <c r="AF72" s="60">
        <v>2</v>
      </c>
      <c r="AG72" s="28">
        <f t="shared" si="21"/>
        <v>628.31853071795865</v>
      </c>
      <c r="AH72" s="35" t="str">
        <f t="shared" si="17"/>
        <v>OK</v>
      </c>
      <c r="AI72" s="28">
        <f t="shared" si="22"/>
        <v>-101.70843384143883</v>
      </c>
      <c r="AJ72" s="32">
        <f t="shared" si="23"/>
        <v>-0.34906053174850227</v>
      </c>
    </row>
    <row r="73" spans="1:36" x14ac:dyDescent="0.25">
      <c r="A73" s="6" t="s">
        <v>40</v>
      </c>
      <c r="B73" s="17">
        <v>7</v>
      </c>
      <c r="C73" s="6" t="s">
        <v>36</v>
      </c>
      <c r="D73" s="6" t="s">
        <v>11</v>
      </c>
      <c r="E73" s="1">
        <v>40.920999999999999</v>
      </c>
      <c r="F73" s="1">
        <v>82.644599999999997</v>
      </c>
      <c r="G73" s="29">
        <v>300</v>
      </c>
      <c r="H73" s="29">
        <v>500</v>
      </c>
      <c r="I73" s="28">
        <f t="shared" si="12"/>
        <v>460</v>
      </c>
      <c r="J73" s="28">
        <f t="shared" si="18"/>
        <v>510.54894547611093</v>
      </c>
      <c r="K73" s="59">
        <v>18</v>
      </c>
      <c r="L73" s="59">
        <v>2</v>
      </c>
      <c r="M73" s="59">
        <v>12</v>
      </c>
      <c r="N73" s="59">
        <v>1</v>
      </c>
      <c r="O73" s="28">
        <f t="shared" si="19"/>
        <v>622.03534541077897</v>
      </c>
      <c r="P73" s="34" t="str">
        <f t="shared" si="13"/>
        <v>OK</v>
      </c>
      <c r="Q73" s="17">
        <f t="shared" si="14"/>
        <v>100.69134950302445</v>
      </c>
      <c r="R73" s="19">
        <f t="shared" si="20"/>
        <v>0.82077159962502644</v>
      </c>
      <c r="S73" s="6" t="s">
        <v>40</v>
      </c>
      <c r="T73" s="17">
        <v>7</v>
      </c>
      <c r="U73" s="6" t="s">
        <v>36</v>
      </c>
      <c r="V73" s="6" t="s">
        <v>12</v>
      </c>
      <c r="W73" s="1">
        <v>-24.452999999999999</v>
      </c>
      <c r="X73" s="1">
        <v>35.502400000000002</v>
      </c>
      <c r="Y73" s="10">
        <v>300</v>
      </c>
      <c r="Z73" s="10">
        <v>500</v>
      </c>
      <c r="AA73" s="7">
        <f t="shared" si="15"/>
        <v>460</v>
      </c>
      <c r="AB73" s="28">
        <f t="shared" si="16"/>
        <v>219.32120043984824</v>
      </c>
      <c r="AC73" s="60">
        <v>20</v>
      </c>
      <c r="AD73" s="60">
        <v>2</v>
      </c>
      <c r="AE73" s="60">
        <v>0</v>
      </c>
      <c r="AF73" s="60">
        <v>2</v>
      </c>
      <c r="AG73" s="28">
        <f t="shared" si="21"/>
        <v>628.31853071795865</v>
      </c>
      <c r="AH73" s="35" t="str">
        <f t="shared" si="17"/>
        <v>OK</v>
      </c>
      <c r="AI73" s="28">
        <f t="shared" si="22"/>
        <v>-101.70843384143883</v>
      </c>
      <c r="AJ73" s="32">
        <f t="shared" si="23"/>
        <v>-0.34906053174850227</v>
      </c>
    </row>
    <row r="74" spans="1:36" x14ac:dyDescent="0.25">
      <c r="A74" s="6" t="s">
        <v>40</v>
      </c>
      <c r="B74" s="17">
        <v>7.5</v>
      </c>
      <c r="C74" s="6" t="s">
        <v>36</v>
      </c>
      <c r="D74" s="6" t="s">
        <v>11</v>
      </c>
      <c r="E74" s="1">
        <v>57.39</v>
      </c>
      <c r="F74" s="1">
        <v>67.080200000000005</v>
      </c>
      <c r="G74" s="29">
        <v>300</v>
      </c>
      <c r="H74" s="29">
        <v>500</v>
      </c>
      <c r="I74" s="28">
        <f t="shared" si="12"/>
        <v>460</v>
      </c>
      <c r="J74" s="28">
        <f t="shared" si="18"/>
        <v>414.3976179003422</v>
      </c>
      <c r="K74" s="59">
        <v>18</v>
      </c>
      <c r="L74" s="59">
        <v>2</v>
      </c>
      <c r="M74" s="59">
        <v>12</v>
      </c>
      <c r="N74" s="59">
        <v>1</v>
      </c>
      <c r="O74" s="28">
        <f t="shared" si="19"/>
        <v>622.03534541077897</v>
      </c>
      <c r="P74" s="34" t="str">
        <f t="shared" si="13"/>
        <v>OK</v>
      </c>
      <c r="Q74" s="17">
        <f t="shared" si="14"/>
        <v>100.69134950302445</v>
      </c>
      <c r="R74" s="19">
        <f t="shared" si="20"/>
        <v>0.66619625549844408</v>
      </c>
      <c r="S74" s="6" t="s">
        <v>40</v>
      </c>
      <c r="T74" s="17">
        <v>7.5</v>
      </c>
      <c r="U74" s="6" t="s">
        <v>36</v>
      </c>
      <c r="V74" s="6" t="s">
        <v>12</v>
      </c>
      <c r="W74" s="1">
        <v>-7.984</v>
      </c>
      <c r="X74" s="1">
        <v>10.9247</v>
      </c>
      <c r="Y74" s="10">
        <v>300</v>
      </c>
      <c r="Z74" s="10">
        <v>500</v>
      </c>
      <c r="AA74" s="7">
        <f t="shared" si="15"/>
        <v>460</v>
      </c>
      <c r="AB74" s="28">
        <f t="shared" si="16"/>
        <v>67.488911128408503</v>
      </c>
      <c r="AC74" s="60">
        <v>20</v>
      </c>
      <c r="AD74" s="60">
        <v>2</v>
      </c>
      <c r="AE74" s="60">
        <v>0</v>
      </c>
      <c r="AF74" s="60">
        <v>2</v>
      </c>
      <c r="AG74" s="28">
        <f t="shared" si="21"/>
        <v>628.31853071795865</v>
      </c>
      <c r="AH74" s="35" t="str">
        <f t="shared" si="17"/>
        <v>OK</v>
      </c>
      <c r="AI74" s="28">
        <f t="shared" si="22"/>
        <v>-101.70843384143883</v>
      </c>
      <c r="AJ74" s="32">
        <f t="shared" si="23"/>
        <v>-0.10741193809975839</v>
      </c>
    </row>
    <row r="75" spans="1:36" x14ac:dyDescent="0.25">
      <c r="A75" s="6" t="s">
        <v>40</v>
      </c>
      <c r="B75" s="17">
        <v>8</v>
      </c>
      <c r="C75" s="6" t="s">
        <v>36</v>
      </c>
      <c r="D75" s="6" t="s">
        <v>11</v>
      </c>
      <c r="E75" s="1">
        <v>77.822000000000003</v>
      </c>
      <c r="F75" s="1">
        <v>59.835900000000002</v>
      </c>
      <c r="G75" s="29">
        <v>300</v>
      </c>
      <c r="H75" s="29">
        <v>500</v>
      </c>
      <c r="I75" s="28">
        <f t="shared" si="12"/>
        <v>460</v>
      </c>
      <c r="J75" s="28">
        <f t="shared" si="18"/>
        <v>369.64490900329878</v>
      </c>
      <c r="K75" s="59">
        <v>18</v>
      </c>
      <c r="L75" s="59">
        <v>2</v>
      </c>
      <c r="M75" s="59">
        <v>12</v>
      </c>
      <c r="N75" s="59">
        <v>1</v>
      </c>
      <c r="O75" s="28">
        <f t="shared" si="19"/>
        <v>622.03534541077897</v>
      </c>
      <c r="P75" s="34" t="str">
        <f t="shared" si="13"/>
        <v>OK</v>
      </c>
      <c r="Q75" s="17">
        <f t="shared" si="14"/>
        <v>100.69134950302445</v>
      </c>
      <c r="R75" s="19">
        <f t="shared" si="20"/>
        <v>0.59425065107705921</v>
      </c>
      <c r="S75" s="6" t="s">
        <v>40</v>
      </c>
      <c r="T75" s="17">
        <v>8</v>
      </c>
      <c r="U75" s="6" t="s">
        <v>36</v>
      </c>
      <c r="V75" s="6" t="s">
        <v>12</v>
      </c>
      <c r="W75" s="1">
        <v>8.484</v>
      </c>
      <c r="X75" s="1">
        <v>-21.8872</v>
      </c>
      <c r="Y75" s="10">
        <v>300</v>
      </c>
      <c r="Z75" s="10">
        <v>500</v>
      </c>
      <c r="AA75" s="7">
        <f t="shared" si="15"/>
        <v>460</v>
      </c>
      <c r="AB75" s="28">
        <f t="shared" si="16"/>
        <v>135.21133721289397</v>
      </c>
      <c r="AC75" s="60">
        <v>20</v>
      </c>
      <c r="AD75" s="60">
        <v>2</v>
      </c>
      <c r="AE75" s="60">
        <v>0</v>
      </c>
      <c r="AF75" s="60">
        <v>2</v>
      </c>
      <c r="AG75" s="28">
        <f t="shared" si="21"/>
        <v>628.31853071795865</v>
      </c>
      <c r="AH75" s="35" t="str">
        <f t="shared" si="17"/>
        <v>OK</v>
      </c>
      <c r="AI75" s="28">
        <f t="shared" si="22"/>
        <v>-101.70843384143883</v>
      </c>
      <c r="AJ75" s="32">
        <f t="shared" si="23"/>
        <v>0.21519552679497211</v>
      </c>
    </row>
    <row r="76" spans="1:36" x14ac:dyDescent="0.25">
      <c r="A76" s="6" t="s">
        <v>40</v>
      </c>
      <c r="B76" s="17">
        <v>8.5</v>
      </c>
      <c r="C76" s="6" t="s">
        <v>36</v>
      </c>
      <c r="D76" s="6" t="s">
        <v>11</v>
      </c>
      <c r="E76" s="1">
        <v>108.95099999999999</v>
      </c>
      <c r="F76" s="1">
        <v>51.476700000000001</v>
      </c>
      <c r="G76" s="29">
        <v>300</v>
      </c>
      <c r="H76" s="29">
        <v>500</v>
      </c>
      <c r="I76" s="28">
        <f t="shared" si="12"/>
        <v>460</v>
      </c>
      <c r="J76" s="28">
        <f t="shared" si="18"/>
        <v>318.00474443085358</v>
      </c>
      <c r="K76" s="59">
        <v>18</v>
      </c>
      <c r="L76" s="59">
        <v>2</v>
      </c>
      <c r="M76" s="59">
        <v>12</v>
      </c>
      <c r="N76" s="59">
        <v>0</v>
      </c>
      <c r="O76" s="28">
        <f t="shared" si="19"/>
        <v>508.93800988154646</v>
      </c>
      <c r="P76" s="34" t="str">
        <f t="shared" si="13"/>
        <v>OK</v>
      </c>
      <c r="Q76" s="17">
        <f t="shared" si="14"/>
        <v>82.383831411565467</v>
      </c>
      <c r="R76" s="19">
        <f t="shared" si="20"/>
        <v>0.62483983954129907</v>
      </c>
      <c r="S76" s="6" t="s">
        <v>40</v>
      </c>
      <c r="T76" s="17">
        <v>8.5</v>
      </c>
      <c r="U76" s="6" t="s">
        <v>36</v>
      </c>
      <c r="V76" s="6" t="s">
        <v>12</v>
      </c>
      <c r="W76" s="1">
        <v>24.952999999999999</v>
      </c>
      <c r="X76" s="1">
        <v>-62.933300000000003</v>
      </c>
      <c r="Y76" s="10">
        <v>300</v>
      </c>
      <c r="Z76" s="10">
        <v>500</v>
      </c>
      <c r="AA76" s="7">
        <f t="shared" si="15"/>
        <v>460</v>
      </c>
      <c r="AB76" s="28">
        <f t="shared" si="16"/>
        <v>388.77954458405912</v>
      </c>
      <c r="AC76" s="60">
        <v>20</v>
      </c>
      <c r="AD76" s="60">
        <v>2</v>
      </c>
      <c r="AE76" s="60">
        <v>18</v>
      </c>
      <c r="AF76" s="60">
        <v>2</v>
      </c>
      <c r="AG76" s="28">
        <f t="shared" si="21"/>
        <v>1137.2565405995051</v>
      </c>
      <c r="AH76" s="35" t="str">
        <f t="shared" si="17"/>
        <v>OK</v>
      </c>
      <c r="AI76" s="28">
        <f t="shared" si="22"/>
        <v>-184.09226525300429</v>
      </c>
      <c r="AJ76" s="32">
        <f t="shared" si="23"/>
        <v>0.34185738283739742</v>
      </c>
    </row>
    <row r="77" spans="1:36" x14ac:dyDescent="0.25">
      <c r="A77" s="6" t="s">
        <v>40</v>
      </c>
      <c r="B77" s="17">
        <v>9</v>
      </c>
      <c r="C77" s="6" t="s">
        <v>36</v>
      </c>
      <c r="D77" s="6" t="s">
        <v>11</v>
      </c>
      <c r="E77" s="1">
        <v>140.08000000000001</v>
      </c>
      <c r="F77" s="1">
        <v>34.883299999999998</v>
      </c>
      <c r="G77" s="29">
        <v>300</v>
      </c>
      <c r="H77" s="29">
        <v>500</v>
      </c>
      <c r="I77" s="28">
        <f t="shared" si="12"/>
        <v>460</v>
      </c>
      <c r="J77" s="28">
        <f t="shared" si="18"/>
        <v>215.49662082854562</v>
      </c>
      <c r="K77" s="59">
        <v>18</v>
      </c>
      <c r="L77" s="59">
        <v>2</v>
      </c>
      <c r="M77" s="59">
        <v>12</v>
      </c>
      <c r="N77" s="59">
        <v>0</v>
      </c>
      <c r="O77" s="28">
        <f t="shared" si="19"/>
        <v>508.93800988154646</v>
      </c>
      <c r="P77" s="34" t="str">
        <f t="shared" si="13"/>
        <v>OK</v>
      </c>
      <c r="Q77" s="17">
        <f t="shared" si="14"/>
        <v>82.383831411565467</v>
      </c>
      <c r="R77" s="19">
        <f t="shared" si="20"/>
        <v>0.42342410400571512</v>
      </c>
      <c r="S77" s="6" t="s">
        <v>40</v>
      </c>
      <c r="T77" s="17">
        <v>9</v>
      </c>
      <c r="U77" s="6" t="s">
        <v>36</v>
      </c>
      <c r="V77" s="6" t="s">
        <v>12</v>
      </c>
      <c r="W77" s="1">
        <v>41.420999999999999</v>
      </c>
      <c r="X77" s="1">
        <v>-112.2137</v>
      </c>
      <c r="Y77" s="10">
        <v>300</v>
      </c>
      <c r="Z77" s="10">
        <v>500</v>
      </c>
      <c r="AA77" s="7">
        <f t="shared" si="15"/>
        <v>460</v>
      </c>
      <c r="AB77" s="28">
        <f t="shared" si="16"/>
        <v>693.21632874952115</v>
      </c>
      <c r="AC77" s="60">
        <v>20</v>
      </c>
      <c r="AD77" s="60">
        <v>2</v>
      </c>
      <c r="AE77" s="60">
        <v>18</v>
      </c>
      <c r="AF77" s="60">
        <v>2</v>
      </c>
      <c r="AG77" s="28">
        <f t="shared" si="21"/>
        <v>1137.2565405995051</v>
      </c>
      <c r="AH77" s="35" t="str">
        <f t="shared" si="17"/>
        <v>OK</v>
      </c>
      <c r="AI77" s="28">
        <f t="shared" si="22"/>
        <v>-184.09226525300429</v>
      </c>
      <c r="AJ77" s="32">
        <f t="shared" si="23"/>
        <v>0.60955141078730757</v>
      </c>
    </row>
    <row r="78" spans="1:36" x14ac:dyDescent="0.25">
      <c r="A78" s="6" t="s">
        <v>40</v>
      </c>
      <c r="B78" s="17">
        <v>9.5</v>
      </c>
      <c r="C78" s="6" t="s">
        <v>36</v>
      </c>
      <c r="D78" s="6" t="s">
        <v>11</v>
      </c>
      <c r="E78" s="1">
        <v>171.208</v>
      </c>
      <c r="F78" s="1">
        <v>10.0556</v>
      </c>
      <c r="G78" s="29">
        <v>300</v>
      </c>
      <c r="H78" s="29">
        <v>500</v>
      </c>
      <c r="I78" s="28">
        <f t="shared" si="12"/>
        <v>460</v>
      </c>
      <c r="J78" s="28">
        <f t="shared" si="18"/>
        <v>62.119920431940884</v>
      </c>
      <c r="K78" s="59">
        <v>18</v>
      </c>
      <c r="L78" s="59">
        <v>2</v>
      </c>
      <c r="M78" s="59">
        <v>12</v>
      </c>
      <c r="N78" s="59">
        <v>0</v>
      </c>
      <c r="O78" s="28">
        <f t="shared" si="19"/>
        <v>508.93800988154646</v>
      </c>
      <c r="P78" s="34" t="str">
        <f t="shared" si="13"/>
        <v>OK</v>
      </c>
      <c r="Q78" s="17">
        <f t="shared" si="14"/>
        <v>82.383831411565467</v>
      </c>
      <c r="R78" s="19">
        <f t="shared" si="20"/>
        <v>0.1220579308792422</v>
      </c>
      <c r="S78" s="6" t="s">
        <v>40</v>
      </c>
      <c r="T78" s="17">
        <v>9.5</v>
      </c>
      <c r="U78" s="6" t="s">
        <v>36</v>
      </c>
      <c r="V78" s="6" t="s">
        <v>12</v>
      </c>
      <c r="W78" s="1">
        <v>57.89</v>
      </c>
      <c r="X78" s="1">
        <v>-169.72829999999999</v>
      </c>
      <c r="Y78" s="10">
        <v>300</v>
      </c>
      <c r="Z78" s="10">
        <v>500</v>
      </c>
      <c r="AA78" s="7">
        <f t="shared" si="15"/>
        <v>460</v>
      </c>
      <c r="AB78" s="28">
        <f t="shared" si="16"/>
        <v>1048.5210719448457</v>
      </c>
      <c r="AC78" s="60">
        <v>20</v>
      </c>
      <c r="AD78" s="60">
        <v>2</v>
      </c>
      <c r="AE78" s="60">
        <v>18</v>
      </c>
      <c r="AF78" s="60">
        <v>2</v>
      </c>
      <c r="AG78" s="28">
        <f t="shared" si="21"/>
        <v>1137.2565405995051</v>
      </c>
      <c r="AH78" s="35" t="str">
        <f t="shared" si="17"/>
        <v>OK</v>
      </c>
      <c r="AI78" s="28">
        <f t="shared" si="22"/>
        <v>-184.09226525300429</v>
      </c>
      <c r="AJ78" s="32">
        <f t="shared" si="23"/>
        <v>0.92197409688417165</v>
      </c>
    </row>
    <row r="79" spans="1:36" x14ac:dyDescent="0.25">
      <c r="A79" s="6" t="s">
        <v>41</v>
      </c>
      <c r="B79" s="17">
        <v>9.5</v>
      </c>
      <c r="C79" s="6" t="s">
        <v>36</v>
      </c>
      <c r="D79" s="6" t="s">
        <v>11</v>
      </c>
      <c r="E79" s="1">
        <v>-20.449000000000002</v>
      </c>
      <c r="F79" s="1">
        <v>53.704700000000003</v>
      </c>
      <c r="G79" s="29">
        <v>300</v>
      </c>
      <c r="H79" s="29">
        <v>500</v>
      </c>
      <c r="I79" s="28">
        <f t="shared" si="12"/>
        <v>460</v>
      </c>
      <c r="J79" s="28">
        <f t="shared" si="18"/>
        <v>331.76853602184411</v>
      </c>
      <c r="K79" s="59">
        <v>18</v>
      </c>
      <c r="L79" s="59">
        <v>2</v>
      </c>
      <c r="M79" s="59">
        <v>12</v>
      </c>
      <c r="N79" s="59">
        <v>0</v>
      </c>
      <c r="O79" s="28">
        <f t="shared" si="19"/>
        <v>508.93800988154646</v>
      </c>
      <c r="P79" s="34" t="str">
        <f t="shared" si="13"/>
        <v>OK</v>
      </c>
      <c r="Q79" s="17">
        <f t="shared" si="14"/>
        <v>82.383831411565467</v>
      </c>
      <c r="R79" s="19">
        <f t="shared" si="20"/>
        <v>0.65188398111404977</v>
      </c>
      <c r="S79" s="6" t="s">
        <v>41</v>
      </c>
      <c r="T79" s="17">
        <v>9.5</v>
      </c>
      <c r="U79" s="6" t="s">
        <v>36</v>
      </c>
      <c r="V79" s="6" t="s">
        <v>12</v>
      </c>
      <c r="W79" s="1">
        <v>-134.29900000000001</v>
      </c>
      <c r="X79" s="1">
        <v>-156.5247</v>
      </c>
      <c r="Y79" s="10">
        <v>300</v>
      </c>
      <c r="Z79" s="10">
        <v>500</v>
      </c>
      <c r="AA79" s="7">
        <f t="shared" si="15"/>
        <v>460</v>
      </c>
      <c r="AB79" s="28">
        <f t="shared" si="16"/>
        <v>966.95392712850719</v>
      </c>
      <c r="AC79" s="60">
        <v>20</v>
      </c>
      <c r="AD79" s="60">
        <v>2</v>
      </c>
      <c r="AE79" s="60">
        <v>18</v>
      </c>
      <c r="AF79" s="60">
        <v>2</v>
      </c>
      <c r="AG79" s="28">
        <f t="shared" si="21"/>
        <v>1137.2565405995051</v>
      </c>
      <c r="AH79" s="35" t="str">
        <f t="shared" si="17"/>
        <v>OK</v>
      </c>
      <c r="AI79" s="28">
        <f t="shared" si="22"/>
        <v>-184.09226525300429</v>
      </c>
      <c r="AJ79" s="32">
        <f t="shared" si="23"/>
        <v>0.85025136599238837</v>
      </c>
    </row>
    <row r="80" spans="1:36" x14ac:dyDescent="0.25">
      <c r="A80" s="6" t="s">
        <v>41</v>
      </c>
      <c r="B80" s="17">
        <v>10</v>
      </c>
      <c r="C80" s="6" t="s">
        <v>36</v>
      </c>
      <c r="D80" s="6" t="s">
        <v>11</v>
      </c>
      <c r="E80" s="1">
        <v>-3.9809999999999999</v>
      </c>
      <c r="F80" s="1">
        <v>59.812199999999997</v>
      </c>
      <c r="G80" s="29">
        <v>300</v>
      </c>
      <c r="H80" s="29">
        <v>500</v>
      </c>
      <c r="I80" s="28">
        <f t="shared" si="12"/>
        <v>460</v>
      </c>
      <c r="J80" s="28">
        <f t="shared" si="18"/>
        <v>369.49849883242513</v>
      </c>
      <c r="K80" s="59">
        <v>18</v>
      </c>
      <c r="L80" s="59">
        <v>2</v>
      </c>
      <c r="M80" s="59">
        <v>12</v>
      </c>
      <c r="N80" s="59">
        <v>0</v>
      </c>
      <c r="O80" s="28">
        <f t="shared" si="19"/>
        <v>508.93800988154646</v>
      </c>
      <c r="P80" s="34" t="str">
        <f t="shared" si="13"/>
        <v>OK</v>
      </c>
      <c r="Q80" s="17">
        <f t="shared" si="14"/>
        <v>82.383831411565467</v>
      </c>
      <c r="R80" s="19">
        <f t="shared" si="20"/>
        <v>0.72601867350883187</v>
      </c>
      <c r="S80" s="6" t="s">
        <v>41</v>
      </c>
      <c r="T80" s="17">
        <v>10</v>
      </c>
      <c r="U80" s="6" t="s">
        <v>36</v>
      </c>
      <c r="V80" s="6" t="s">
        <v>12</v>
      </c>
      <c r="W80" s="1">
        <v>-105.679</v>
      </c>
      <c r="X80" s="1">
        <v>-99.568200000000004</v>
      </c>
      <c r="Y80" s="10">
        <v>300</v>
      </c>
      <c r="Z80" s="10">
        <v>500</v>
      </c>
      <c r="AA80" s="7">
        <f t="shared" si="15"/>
        <v>460</v>
      </c>
      <c r="AB80" s="28">
        <f t="shared" si="16"/>
        <v>615.09692723970488</v>
      </c>
      <c r="AC80" s="60">
        <v>20</v>
      </c>
      <c r="AD80" s="60">
        <v>2</v>
      </c>
      <c r="AE80" s="60">
        <v>18</v>
      </c>
      <c r="AF80" s="60">
        <v>2</v>
      </c>
      <c r="AG80" s="28">
        <f t="shared" si="21"/>
        <v>1137.2565405995051</v>
      </c>
      <c r="AH80" s="35" t="str">
        <f t="shared" si="17"/>
        <v>OK</v>
      </c>
      <c r="AI80" s="28">
        <f t="shared" si="22"/>
        <v>-184.09226525300429</v>
      </c>
      <c r="AJ80" s="32">
        <f t="shared" si="23"/>
        <v>0.54086031188306594</v>
      </c>
    </row>
    <row r="81" spans="1:36" x14ac:dyDescent="0.25">
      <c r="A81" s="6" t="s">
        <v>41</v>
      </c>
      <c r="B81" s="17">
        <v>10.5</v>
      </c>
      <c r="C81" s="6" t="s">
        <v>36</v>
      </c>
      <c r="D81" s="6" t="s">
        <v>11</v>
      </c>
      <c r="E81" s="1">
        <v>12.488</v>
      </c>
      <c r="F81" s="1">
        <v>57.685499999999998</v>
      </c>
      <c r="G81" s="29">
        <v>300</v>
      </c>
      <c r="H81" s="29">
        <v>500</v>
      </c>
      <c r="I81" s="28">
        <f t="shared" si="12"/>
        <v>460</v>
      </c>
      <c r="J81" s="28">
        <f t="shared" si="18"/>
        <v>356.36050261314347</v>
      </c>
      <c r="K81" s="59">
        <v>18</v>
      </c>
      <c r="L81" s="59">
        <v>2</v>
      </c>
      <c r="M81" s="59">
        <v>12</v>
      </c>
      <c r="N81" s="59">
        <v>0</v>
      </c>
      <c r="O81" s="28">
        <f t="shared" si="19"/>
        <v>508.93800988154646</v>
      </c>
      <c r="P81" s="34" t="str">
        <f t="shared" si="13"/>
        <v>OK</v>
      </c>
      <c r="Q81" s="17">
        <f t="shared" si="14"/>
        <v>82.383831411565467</v>
      </c>
      <c r="R81" s="19">
        <f t="shared" si="20"/>
        <v>0.70020414214313675</v>
      </c>
      <c r="S81" s="6" t="s">
        <v>41</v>
      </c>
      <c r="T81" s="17">
        <v>10.5</v>
      </c>
      <c r="U81" s="6" t="s">
        <v>36</v>
      </c>
      <c r="V81" s="6" t="s">
        <v>12</v>
      </c>
      <c r="W81" s="1">
        <v>-89.21</v>
      </c>
      <c r="X81" s="1">
        <v>-50.845999999999997</v>
      </c>
      <c r="Y81" s="10">
        <v>300</v>
      </c>
      <c r="Z81" s="10">
        <v>500</v>
      </c>
      <c r="AA81" s="7">
        <f t="shared" si="15"/>
        <v>460</v>
      </c>
      <c r="AB81" s="28">
        <f t="shared" si="16"/>
        <v>314.10850414519928</v>
      </c>
      <c r="AC81" s="60">
        <v>18</v>
      </c>
      <c r="AD81" s="60">
        <v>2</v>
      </c>
      <c r="AE81" s="60">
        <v>18</v>
      </c>
      <c r="AF81" s="60">
        <v>0</v>
      </c>
      <c r="AG81" s="28">
        <f t="shared" si="21"/>
        <v>508.93800988154646</v>
      </c>
      <c r="AH81" s="35" t="str">
        <f t="shared" si="17"/>
        <v>OK</v>
      </c>
      <c r="AI81" s="28">
        <f t="shared" si="22"/>
        <v>-82.383831411565467</v>
      </c>
      <c r="AJ81" s="32">
        <f t="shared" si="23"/>
        <v>0.61718421113468602</v>
      </c>
    </row>
    <row r="82" spans="1:36" x14ac:dyDescent="0.25">
      <c r="A82" s="6" t="s">
        <v>41</v>
      </c>
      <c r="B82" s="17">
        <v>11</v>
      </c>
      <c r="C82" s="6" t="s">
        <v>36</v>
      </c>
      <c r="D82" s="6" t="s">
        <v>11</v>
      </c>
      <c r="E82" s="1">
        <v>28.956</v>
      </c>
      <c r="F82" s="1">
        <v>47.3247</v>
      </c>
      <c r="G82" s="29">
        <v>300</v>
      </c>
      <c r="H82" s="29">
        <v>500</v>
      </c>
      <c r="I82" s="28">
        <f t="shared" si="12"/>
        <v>460</v>
      </c>
      <c r="J82" s="28">
        <f t="shared" si="18"/>
        <v>292.35516512843316</v>
      </c>
      <c r="K82" s="59">
        <v>18</v>
      </c>
      <c r="L82" s="59">
        <v>2</v>
      </c>
      <c r="M82" s="59">
        <v>12</v>
      </c>
      <c r="N82" s="59">
        <v>0</v>
      </c>
      <c r="O82" s="28">
        <f t="shared" si="19"/>
        <v>508.93800988154646</v>
      </c>
      <c r="P82" s="34" t="str">
        <f t="shared" si="13"/>
        <v>OK</v>
      </c>
      <c r="Q82" s="17">
        <f t="shared" si="14"/>
        <v>82.383831411565467</v>
      </c>
      <c r="R82" s="19">
        <f t="shared" si="20"/>
        <v>0.57444160084737594</v>
      </c>
      <c r="S82" s="6" t="s">
        <v>41</v>
      </c>
      <c r="T82" s="17">
        <v>11</v>
      </c>
      <c r="U82" s="6" t="s">
        <v>36</v>
      </c>
      <c r="V82" s="6" t="s">
        <v>12</v>
      </c>
      <c r="W82" s="1">
        <v>-72.742000000000004</v>
      </c>
      <c r="X82" s="1">
        <v>-10.3581</v>
      </c>
      <c r="Y82" s="10">
        <v>300</v>
      </c>
      <c r="Z82" s="10">
        <v>500</v>
      </c>
      <c r="AA82" s="7">
        <f t="shared" si="15"/>
        <v>460</v>
      </c>
      <c r="AB82" s="28">
        <f t="shared" si="16"/>
        <v>63.988657844990534</v>
      </c>
      <c r="AC82" s="60">
        <v>18</v>
      </c>
      <c r="AD82" s="60">
        <v>2</v>
      </c>
      <c r="AE82" s="60">
        <v>18</v>
      </c>
      <c r="AF82" s="60">
        <v>0</v>
      </c>
      <c r="AG82" s="28">
        <f t="shared" si="21"/>
        <v>508.93800988154646</v>
      </c>
      <c r="AH82" s="35" t="str">
        <f t="shared" si="17"/>
        <v>OK</v>
      </c>
      <c r="AI82" s="28">
        <f t="shared" si="22"/>
        <v>-82.383831411565467</v>
      </c>
      <c r="AJ82" s="32">
        <f t="shared" si="23"/>
        <v>0.12572976787464485</v>
      </c>
    </row>
    <row r="83" spans="1:36" x14ac:dyDescent="0.25">
      <c r="A83" s="6" t="s">
        <v>41</v>
      </c>
      <c r="B83" s="17">
        <v>11.5</v>
      </c>
      <c r="C83" s="6" t="s">
        <v>36</v>
      </c>
      <c r="D83" s="6" t="s">
        <v>11</v>
      </c>
      <c r="E83" s="1">
        <v>45.424999999999997</v>
      </c>
      <c r="F83" s="1">
        <v>47.896599999999999</v>
      </c>
      <c r="G83" s="29">
        <v>300</v>
      </c>
      <c r="H83" s="29">
        <v>500</v>
      </c>
      <c r="I83" s="28">
        <f t="shared" si="12"/>
        <v>460</v>
      </c>
      <c r="J83" s="28">
        <f t="shared" si="18"/>
        <v>295.88815992685664</v>
      </c>
      <c r="K83" s="59">
        <v>18</v>
      </c>
      <c r="L83" s="59">
        <v>2</v>
      </c>
      <c r="M83" s="59">
        <v>12</v>
      </c>
      <c r="N83" s="59">
        <v>0</v>
      </c>
      <c r="O83" s="28">
        <f t="shared" si="19"/>
        <v>508.93800988154646</v>
      </c>
      <c r="P83" s="34" t="str">
        <f t="shared" si="13"/>
        <v>OK</v>
      </c>
      <c r="Q83" s="17">
        <f t="shared" si="14"/>
        <v>82.383831411565467</v>
      </c>
      <c r="R83" s="19">
        <f t="shared" si="20"/>
        <v>0.58138349697190739</v>
      </c>
      <c r="S83" s="6" t="s">
        <v>41</v>
      </c>
      <c r="T83" s="17">
        <v>11.5</v>
      </c>
      <c r="U83" s="6" t="s">
        <v>36</v>
      </c>
      <c r="V83" s="6" t="s">
        <v>12</v>
      </c>
      <c r="W83" s="1">
        <v>-56.274000000000001</v>
      </c>
      <c r="X83" s="1">
        <v>21.892299999999999</v>
      </c>
      <c r="Y83" s="10">
        <v>300</v>
      </c>
      <c r="Z83" s="10">
        <v>500</v>
      </c>
      <c r="AA83" s="7">
        <f t="shared" si="15"/>
        <v>460</v>
      </c>
      <c r="AB83" s="28">
        <f t="shared" si="16"/>
        <v>135.24284319903131</v>
      </c>
      <c r="AC83" s="60">
        <v>18</v>
      </c>
      <c r="AD83" s="60">
        <v>2</v>
      </c>
      <c r="AE83" s="60">
        <v>14</v>
      </c>
      <c r="AF83" s="60">
        <v>0</v>
      </c>
      <c r="AG83" s="28">
        <f t="shared" si="21"/>
        <v>508.93800988154646</v>
      </c>
      <c r="AH83" s="35" t="str">
        <f t="shared" si="17"/>
        <v>OK</v>
      </c>
      <c r="AI83" s="28">
        <f t="shared" si="22"/>
        <v>-82.383831411565467</v>
      </c>
      <c r="AJ83" s="32">
        <f t="shared" si="23"/>
        <v>-0.26573539522133277</v>
      </c>
    </row>
    <row r="84" spans="1:36" x14ac:dyDescent="0.25">
      <c r="A84" s="6" t="s">
        <v>41</v>
      </c>
      <c r="B84" s="17">
        <v>12</v>
      </c>
      <c r="C84" s="6" t="s">
        <v>36</v>
      </c>
      <c r="D84" s="6" t="s">
        <v>11</v>
      </c>
      <c r="E84" s="1">
        <v>61.893000000000001</v>
      </c>
      <c r="F84" s="1">
        <v>45.916499999999999</v>
      </c>
      <c r="G84" s="29">
        <v>300</v>
      </c>
      <c r="H84" s="29">
        <v>500</v>
      </c>
      <c r="I84" s="28">
        <f t="shared" si="12"/>
        <v>460</v>
      </c>
      <c r="J84" s="28">
        <f t="shared" si="18"/>
        <v>283.65580636791572</v>
      </c>
      <c r="K84" s="59">
        <v>18</v>
      </c>
      <c r="L84" s="59">
        <v>2</v>
      </c>
      <c r="M84" s="59">
        <v>12</v>
      </c>
      <c r="N84" s="59">
        <v>0</v>
      </c>
      <c r="O84" s="28">
        <f t="shared" si="19"/>
        <v>508.93800988154646</v>
      </c>
      <c r="P84" s="34" t="str">
        <f t="shared" si="13"/>
        <v>OK</v>
      </c>
      <c r="Q84" s="17">
        <f t="shared" si="14"/>
        <v>82.383831411565467</v>
      </c>
      <c r="R84" s="19">
        <f t="shared" si="20"/>
        <v>0.55734844098976932</v>
      </c>
      <c r="S84" s="6" t="s">
        <v>41</v>
      </c>
      <c r="T84" s="17">
        <v>12</v>
      </c>
      <c r="U84" s="6" t="s">
        <v>36</v>
      </c>
      <c r="V84" s="6" t="s">
        <v>12</v>
      </c>
      <c r="W84" s="1">
        <v>-39.805</v>
      </c>
      <c r="X84" s="1">
        <v>1.899</v>
      </c>
      <c r="Y84" s="10">
        <v>300</v>
      </c>
      <c r="Z84" s="10">
        <v>500</v>
      </c>
      <c r="AA84" s="7">
        <f t="shared" si="15"/>
        <v>460</v>
      </c>
      <c r="AB84" s="28">
        <f t="shared" si="16"/>
        <v>11.731346602913375</v>
      </c>
      <c r="AC84" s="60">
        <v>18</v>
      </c>
      <c r="AD84" s="60">
        <v>2</v>
      </c>
      <c r="AE84" s="60">
        <v>14</v>
      </c>
      <c r="AF84" s="60">
        <v>2</v>
      </c>
      <c r="AG84" s="28">
        <f t="shared" si="21"/>
        <v>816.81408993334617</v>
      </c>
      <c r="AH84" s="35" t="str">
        <f t="shared" si="17"/>
        <v>OK</v>
      </c>
      <c r="AI84" s="28">
        <f t="shared" si="22"/>
        <v>-132.22096399387047</v>
      </c>
      <c r="AJ84" s="32">
        <f t="shared" si="23"/>
        <v>-1.4362321545984449E-2</v>
      </c>
    </row>
    <row r="85" spans="1:36" x14ac:dyDescent="0.25">
      <c r="A85" s="6" t="s">
        <v>41</v>
      </c>
      <c r="B85" s="17">
        <v>12.5</v>
      </c>
      <c r="C85" s="6" t="s">
        <v>36</v>
      </c>
      <c r="D85" s="6" t="s">
        <v>11</v>
      </c>
      <c r="E85" s="1">
        <v>78.361999999999995</v>
      </c>
      <c r="F85" s="1">
        <v>61.701599999999999</v>
      </c>
      <c r="G85" s="29">
        <v>300</v>
      </c>
      <c r="H85" s="29">
        <v>500</v>
      </c>
      <c r="I85" s="28">
        <f t="shared" si="12"/>
        <v>460</v>
      </c>
      <c r="J85" s="28">
        <f t="shared" si="18"/>
        <v>381.1705400496682</v>
      </c>
      <c r="K85" s="59">
        <v>18</v>
      </c>
      <c r="L85" s="59">
        <v>2</v>
      </c>
      <c r="M85" s="59">
        <v>12</v>
      </c>
      <c r="N85" s="59">
        <v>0</v>
      </c>
      <c r="O85" s="28">
        <f t="shared" si="19"/>
        <v>508.93800988154646</v>
      </c>
      <c r="P85" s="34" t="str">
        <f t="shared" si="13"/>
        <v>OK</v>
      </c>
      <c r="Q85" s="17">
        <f t="shared" si="14"/>
        <v>82.383831411565467</v>
      </c>
      <c r="R85" s="19">
        <f t="shared" si="20"/>
        <v>0.74895278530755505</v>
      </c>
      <c r="S85" s="6" t="s">
        <v>41</v>
      </c>
      <c r="T85" s="17">
        <v>12.5</v>
      </c>
      <c r="U85" s="6" t="s">
        <v>36</v>
      </c>
      <c r="V85" s="6" t="s">
        <v>12</v>
      </c>
      <c r="W85" s="1">
        <v>-23.337</v>
      </c>
      <c r="X85" s="1">
        <v>-33.164400000000001</v>
      </c>
      <c r="Y85" s="10">
        <v>300</v>
      </c>
      <c r="Z85" s="10">
        <v>500</v>
      </c>
      <c r="AA85" s="7">
        <f t="shared" si="15"/>
        <v>460</v>
      </c>
      <c r="AB85" s="28">
        <f t="shared" si="16"/>
        <v>204.87786797138511</v>
      </c>
      <c r="AC85" s="60">
        <v>18</v>
      </c>
      <c r="AD85" s="60">
        <v>2</v>
      </c>
      <c r="AE85" s="60">
        <v>14</v>
      </c>
      <c r="AF85" s="60">
        <v>2</v>
      </c>
      <c r="AG85" s="28">
        <f t="shared" si="21"/>
        <v>816.81408993334617</v>
      </c>
      <c r="AH85" s="35" t="str">
        <f t="shared" si="17"/>
        <v>OK</v>
      </c>
      <c r="AI85" s="28">
        <f t="shared" si="22"/>
        <v>-132.22096399387047</v>
      </c>
      <c r="AJ85" s="32">
        <f t="shared" si="23"/>
        <v>0.25082558013672812</v>
      </c>
    </row>
    <row r="86" spans="1:36" x14ac:dyDescent="0.25">
      <c r="A86" s="6" t="s">
        <v>41</v>
      </c>
      <c r="B86" s="17">
        <v>13</v>
      </c>
      <c r="C86" s="6" t="s">
        <v>36</v>
      </c>
      <c r="D86" s="6" t="s">
        <v>11</v>
      </c>
      <c r="E86" s="1">
        <v>94.83</v>
      </c>
      <c r="F86" s="1">
        <v>69.252600000000001</v>
      </c>
      <c r="G86" s="29">
        <v>300</v>
      </c>
      <c r="H86" s="29">
        <v>500</v>
      </c>
      <c r="I86" s="28">
        <f t="shared" si="12"/>
        <v>460</v>
      </c>
      <c r="J86" s="28">
        <f t="shared" si="18"/>
        <v>427.81793246599199</v>
      </c>
      <c r="K86" s="59">
        <v>18</v>
      </c>
      <c r="L86" s="59">
        <v>2</v>
      </c>
      <c r="M86" s="59">
        <v>12</v>
      </c>
      <c r="N86" s="59">
        <v>0</v>
      </c>
      <c r="O86" s="28">
        <f t="shared" si="19"/>
        <v>508.93800988154646</v>
      </c>
      <c r="P86" s="34" t="str">
        <f t="shared" si="13"/>
        <v>OK</v>
      </c>
      <c r="Q86" s="17">
        <f t="shared" si="14"/>
        <v>82.383831411565467</v>
      </c>
      <c r="R86" s="19">
        <f t="shared" si="20"/>
        <v>0.84060911969527508</v>
      </c>
      <c r="S86" s="6" t="s">
        <v>41</v>
      </c>
      <c r="T86" s="17">
        <v>13</v>
      </c>
      <c r="U86" s="6" t="s">
        <v>36</v>
      </c>
      <c r="V86" s="6" t="s">
        <v>12</v>
      </c>
      <c r="W86" s="1">
        <v>-6.8680000000000003</v>
      </c>
      <c r="X86" s="1">
        <v>-76.462199999999996</v>
      </c>
      <c r="Y86" s="10">
        <v>300</v>
      </c>
      <c r="Z86" s="10">
        <v>500</v>
      </c>
      <c r="AA86" s="7">
        <f t="shared" si="15"/>
        <v>460</v>
      </c>
      <c r="AB86" s="28">
        <f t="shared" si="16"/>
        <v>472.35627710441446</v>
      </c>
      <c r="AC86" s="60">
        <v>18</v>
      </c>
      <c r="AD86" s="60">
        <v>2</v>
      </c>
      <c r="AE86" s="60">
        <v>14</v>
      </c>
      <c r="AF86" s="60">
        <v>2</v>
      </c>
      <c r="AG86" s="28">
        <f t="shared" si="21"/>
        <v>816.81408993334617</v>
      </c>
      <c r="AH86" s="35" t="str">
        <f t="shared" si="17"/>
        <v>OK</v>
      </c>
      <c r="AI86" s="28">
        <f t="shared" si="22"/>
        <v>-132.22096399387047</v>
      </c>
      <c r="AJ86" s="32">
        <f t="shared" si="23"/>
        <v>0.57829104924348196</v>
      </c>
    </row>
    <row r="87" spans="1:36" x14ac:dyDescent="0.25">
      <c r="A87" s="6" t="s">
        <v>41</v>
      </c>
      <c r="B87" s="17">
        <v>13.5</v>
      </c>
      <c r="C87" s="6" t="s">
        <v>36</v>
      </c>
      <c r="D87" s="6" t="s">
        <v>11</v>
      </c>
      <c r="E87" s="1">
        <v>114.732</v>
      </c>
      <c r="F87" s="1">
        <v>68.569599999999994</v>
      </c>
      <c r="G87" s="29">
        <v>300</v>
      </c>
      <c r="H87" s="29">
        <v>500</v>
      </c>
      <c r="I87" s="28">
        <f t="shared" si="12"/>
        <v>460</v>
      </c>
      <c r="J87" s="28">
        <f t="shared" si="18"/>
        <v>423.5986013813212</v>
      </c>
      <c r="K87" s="59">
        <v>18</v>
      </c>
      <c r="L87" s="59">
        <v>2</v>
      </c>
      <c r="M87" s="59">
        <v>12</v>
      </c>
      <c r="N87" s="59">
        <v>0</v>
      </c>
      <c r="O87" s="28">
        <f>PI()*K87^2/4*L87+PI()*M87^2/4*N87</f>
        <v>508.93800988154646</v>
      </c>
      <c r="P87" s="34" t="str">
        <f t="shared" si="13"/>
        <v>OK</v>
      </c>
      <c r="Q87" s="17">
        <f t="shared" si="14"/>
        <v>82.383831411565467</v>
      </c>
      <c r="R87" s="19">
        <f t="shared" si="20"/>
        <v>0.83231865798334115</v>
      </c>
      <c r="S87" s="6" t="s">
        <v>41</v>
      </c>
      <c r="T87" s="17">
        <v>13.5</v>
      </c>
      <c r="U87" s="6" t="s">
        <v>36</v>
      </c>
      <c r="V87" s="6" t="s">
        <v>12</v>
      </c>
      <c r="W87" s="1">
        <v>9.6</v>
      </c>
      <c r="X87" s="1">
        <v>-127.9943</v>
      </c>
      <c r="Y87" s="10">
        <v>300</v>
      </c>
      <c r="Z87" s="10">
        <v>500</v>
      </c>
      <c r="AA87" s="7">
        <f t="shared" si="15"/>
        <v>460</v>
      </c>
      <c r="AB87" s="28">
        <f t="shared" si="16"/>
        <v>790.70326303174056</v>
      </c>
      <c r="AC87" s="60">
        <v>18</v>
      </c>
      <c r="AD87" s="60">
        <v>2</v>
      </c>
      <c r="AE87" s="60">
        <v>14</v>
      </c>
      <c r="AF87" s="60">
        <v>2</v>
      </c>
      <c r="AG87" s="28">
        <f t="shared" si="21"/>
        <v>816.81408993334617</v>
      </c>
      <c r="AH87" s="35" t="str">
        <f t="shared" si="17"/>
        <v>OK</v>
      </c>
      <c r="AI87" s="28">
        <f t="shared" si="22"/>
        <v>-132.22096399387047</v>
      </c>
      <c r="AJ87" s="32">
        <f>X87/AI87</f>
        <v>0.96803332946455889</v>
      </c>
    </row>
    <row r="88" spans="1:3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3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112" spans="1:36" x14ac:dyDescent="0.25">
      <c r="A112" s="2" t="s">
        <v>1</v>
      </c>
      <c r="B112" s="3" t="s">
        <v>2</v>
      </c>
      <c r="C112" s="2" t="s">
        <v>34</v>
      </c>
      <c r="D112" s="2" t="s">
        <v>3</v>
      </c>
      <c r="E112" s="3" t="s">
        <v>4</v>
      </c>
      <c r="F112" s="3" t="s">
        <v>5</v>
      </c>
      <c r="G112" s="5" t="s">
        <v>20</v>
      </c>
      <c r="H112" s="5" t="s">
        <v>21</v>
      </c>
      <c r="I112" s="5" t="s">
        <v>25</v>
      </c>
      <c r="J112" s="5" t="s">
        <v>23</v>
      </c>
      <c r="K112" s="5" t="s">
        <v>26</v>
      </c>
      <c r="L112" s="5" t="s">
        <v>27</v>
      </c>
      <c r="M112" s="5" t="s">
        <v>26</v>
      </c>
      <c r="N112" s="5" t="s">
        <v>27</v>
      </c>
      <c r="O112" s="5" t="s">
        <v>23</v>
      </c>
      <c r="P112" s="18"/>
      <c r="Q112" s="5" t="s">
        <v>31</v>
      </c>
      <c r="R112" s="5" t="s">
        <v>33</v>
      </c>
      <c r="S112" s="2" t="s">
        <v>1</v>
      </c>
      <c r="T112" s="3" t="s">
        <v>2</v>
      </c>
      <c r="U112" s="2" t="s">
        <v>34</v>
      </c>
      <c r="V112" s="2" t="s">
        <v>3</v>
      </c>
      <c r="W112" s="3" t="s">
        <v>4</v>
      </c>
      <c r="X112" s="3" t="s">
        <v>5</v>
      </c>
      <c r="Y112" s="5" t="s">
        <v>20</v>
      </c>
      <c r="Z112" s="5" t="s">
        <v>21</v>
      </c>
      <c r="AA112" s="5" t="s">
        <v>25</v>
      </c>
      <c r="AB112" s="5" t="s">
        <v>23</v>
      </c>
      <c r="AC112" s="5" t="s">
        <v>26</v>
      </c>
      <c r="AD112" s="5" t="s">
        <v>27</v>
      </c>
      <c r="AE112" s="5" t="s">
        <v>26</v>
      </c>
      <c r="AF112" s="5" t="s">
        <v>27</v>
      </c>
      <c r="AG112" s="5" t="s">
        <v>23</v>
      </c>
      <c r="AH112" s="18"/>
      <c r="AI112" s="5" t="s">
        <v>31</v>
      </c>
      <c r="AJ112" s="5" t="s">
        <v>33</v>
      </c>
    </row>
    <row r="113" spans="1:36" x14ac:dyDescent="0.25">
      <c r="A113" s="4" t="s">
        <v>6</v>
      </c>
      <c r="B113" s="5" t="s">
        <v>7</v>
      </c>
      <c r="C113" s="4" t="s">
        <v>6</v>
      </c>
      <c r="D113" s="4" t="s">
        <v>6</v>
      </c>
      <c r="E113" s="5" t="s">
        <v>8</v>
      </c>
      <c r="F113" s="5" t="s">
        <v>9</v>
      </c>
      <c r="G113" s="5" t="s">
        <v>22</v>
      </c>
      <c r="H113" s="5" t="s">
        <v>22</v>
      </c>
      <c r="I113" s="5" t="s">
        <v>22</v>
      </c>
      <c r="J113" s="5" t="s">
        <v>24</v>
      </c>
      <c r="K113" s="5" t="s">
        <v>22</v>
      </c>
      <c r="L113" s="5" t="s">
        <v>28</v>
      </c>
      <c r="M113" s="5" t="s">
        <v>22</v>
      </c>
      <c r="N113" s="5" t="s">
        <v>28</v>
      </c>
      <c r="O113" s="5" t="s">
        <v>24</v>
      </c>
      <c r="P113" s="18"/>
      <c r="Q113" s="5" t="s">
        <v>9</v>
      </c>
      <c r="R113" s="5" t="s">
        <v>28</v>
      </c>
      <c r="S113" s="4" t="s">
        <v>6</v>
      </c>
      <c r="T113" s="5" t="s">
        <v>7</v>
      </c>
      <c r="U113" s="4" t="s">
        <v>6</v>
      </c>
      <c r="V113" s="4" t="s">
        <v>6</v>
      </c>
      <c r="W113" s="5" t="s">
        <v>8</v>
      </c>
      <c r="X113" s="5" t="s">
        <v>9</v>
      </c>
      <c r="Y113" s="5" t="s">
        <v>22</v>
      </c>
      <c r="Z113" s="5" t="s">
        <v>22</v>
      </c>
      <c r="AA113" s="5" t="s">
        <v>22</v>
      </c>
      <c r="AB113" s="5" t="s">
        <v>24</v>
      </c>
      <c r="AC113" s="5" t="s">
        <v>22</v>
      </c>
      <c r="AD113" s="5" t="s">
        <v>28</v>
      </c>
      <c r="AE113" s="5" t="s">
        <v>22</v>
      </c>
      <c r="AF113" s="5" t="s">
        <v>28</v>
      </c>
      <c r="AG113" s="5" t="s">
        <v>24</v>
      </c>
      <c r="AH113" s="18"/>
      <c r="AI113" s="5" t="s">
        <v>9</v>
      </c>
      <c r="AJ113" s="5" t="s">
        <v>28</v>
      </c>
    </row>
    <row r="114" spans="1:36" x14ac:dyDescent="0.25">
      <c r="A114" s="6" t="s">
        <v>42</v>
      </c>
      <c r="B114" s="17">
        <v>0</v>
      </c>
      <c r="C114" s="6" t="s">
        <v>36</v>
      </c>
      <c r="D114" s="6" t="s">
        <v>11</v>
      </c>
      <c r="E114" s="1">
        <v>-21.916</v>
      </c>
      <c r="F114" s="1">
        <v>59.215600000000002</v>
      </c>
      <c r="G114" s="29">
        <v>300</v>
      </c>
      <c r="H114" s="29">
        <v>500</v>
      </c>
      <c r="I114" s="28">
        <f t="shared" ref="I114:I143" si="24">H114-40</f>
        <v>460</v>
      </c>
      <c r="J114" s="28">
        <f>ABS(F114)*1000^2/(0.9*391*I114)</f>
        <v>365.81291621878739</v>
      </c>
      <c r="K114" s="59">
        <v>18</v>
      </c>
      <c r="L114" s="59">
        <v>2</v>
      </c>
      <c r="M114" s="59">
        <v>12</v>
      </c>
      <c r="N114" s="59">
        <v>0</v>
      </c>
      <c r="O114" s="28">
        <f>PI()*K114^2/4*L114+PI()*M114^2/4*N114</f>
        <v>508.93800988154646</v>
      </c>
      <c r="P114" s="34" t="str">
        <f t="shared" ref="P114:P143" si="25">IF(O114&gt;=J114,"OK","NO")</f>
        <v>OK</v>
      </c>
      <c r="Q114" s="17">
        <f t="shared" ref="Q114:Q143" si="26">(O114*0.9*391*I114)/1000^2</f>
        <v>82.383831411565467</v>
      </c>
      <c r="R114" s="19">
        <f>F114/Q114</f>
        <v>0.7187769612726097</v>
      </c>
      <c r="S114" s="6" t="s">
        <v>42</v>
      </c>
      <c r="T114" s="17">
        <v>0</v>
      </c>
      <c r="U114" s="6" t="s">
        <v>36</v>
      </c>
      <c r="V114" s="6" t="s">
        <v>12</v>
      </c>
      <c r="W114" s="1">
        <v>-134.6</v>
      </c>
      <c r="X114" s="1">
        <v>-128.6232</v>
      </c>
      <c r="Y114" s="29">
        <v>300</v>
      </c>
      <c r="Z114" s="29">
        <v>500</v>
      </c>
      <c r="AA114" s="28">
        <f t="shared" ref="AA114:AA143" si="27">Z114-40</f>
        <v>460</v>
      </c>
      <c r="AB114" s="28">
        <f>ABS(X114)*1000^2/(0.9*391*AA114)</f>
        <v>794.58838355758166</v>
      </c>
      <c r="AC114" s="60">
        <v>18</v>
      </c>
      <c r="AD114" s="60">
        <v>2</v>
      </c>
      <c r="AE114" s="60">
        <v>14</v>
      </c>
      <c r="AF114" s="60">
        <v>2</v>
      </c>
      <c r="AG114" s="28">
        <f>PI()*AC114^2/4*AD114+PI()*AE114^2/4*AF114</f>
        <v>816.81408993334617</v>
      </c>
      <c r="AH114" s="34" t="str">
        <f t="shared" ref="AH114:AH143" si="28">IF(AG114&gt;=AB114,"OK","NO")</f>
        <v>OK</v>
      </c>
      <c r="AI114" s="28">
        <f>-(AG114*0.9*391*AA114)/1000^2</f>
        <v>-132.22096399387047</v>
      </c>
      <c r="AJ114" s="32">
        <f>X114/AI114</f>
        <v>0.97278976128144656</v>
      </c>
    </row>
    <row r="115" spans="1:36" x14ac:dyDescent="0.25">
      <c r="A115" s="6" t="s">
        <v>42</v>
      </c>
      <c r="B115" s="17">
        <v>0.5</v>
      </c>
      <c r="C115" s="6" t="s">
        <v>36</v>
      </c>
      <c r="D115" s="6" t="s">
        <v>11</v>
      </c>
      <c r="E115" s="1">
        <v>-2.7109999999999999</v>
      </c>
      <c r="F115" s="1">
        <v>65.372299999999996</v>
      </c>
      <c r="G115" s="29">
        <v>300</v>
      </c>
      <c r="H115" s="29">
        <v>500</v>
      </c>
      <c r="I115" s="28">
        <f t="shared" si="24"/>
        <v>460</v>
      </c>
      <c r="J115" s="28">
        <f t="shared" ref="J115:J143" si="29">ABS(F115)*1000^2/(0.9*391*I115)</f>
        <v>403.84681913092885</v>
      </c>
      <c r="K115" s="59">
        <v>18</v>
      </c>
      <c r="L115" s="59">
        <v>2</v>
      </c>
      <c r="M115" s="59">
        <v>12</v>
      </c>
      <c r="N115" s="59">
        <v>0</v>
      </c>
      <c r="O115" s="28">
        <f t="shared" ref="O115:O142" si="30">PI()*K115^2/4*L115+PI()*M115^2/4*N115</f>
        <v>508.93800988154646</v>
      </c>
      <c r="P115" s="34" t="str">
        <f t="shared" si="25"/>
        <v>OK</v>
      </c>
      <c r="Q115" s="17">
        <f t="shared" si="26"/>
        <v>82.383831411565467</v>
      </c>
      <c r="R115" s="19">
        <f t="shared" ref="R115:R143" si="31">F115/Q115</f>
        <v>0.79350885822994988</v>
      </c>
      <c r="S115" s="6" t="s">
        <v>42</v>
      </c>
      <c r="T115" s="17">
        <v>0.5</v>
      </c>
      <c r="U115" s="6" t="s">
        <v>36</v>
      </c>
      <c r="V115" s="6" t="s">
        <v>12</v>
      </c>
      <c r="W115" s="1">
        <v>-99.896000000000001</v>
      </c>
      <c r="X115" s="1">
        <v>-73.874300000000005</v>
      </c>
      <c r="Y115" s="29">
        <v>300</v>
      </c>
      <c r="Z115" s="29">
        <v>500</v>
      </c>
      <c r="AA115" s="28">
        <f t="shared" si="27"/>
        <v>460</v>
      </c>
      <c r="AB115" s="28">
        <f t="shared" ref="AB115:AB143" si="32">ABS(X115)*1000^2/(0.9*391*AA115)</f>
        <v>456.36915131522039</v>
      </c>
      <c r="AC115" s="60">
        <v>18</v>
      </c>
      <c r="AD115" s="60">
        <v>2</v>
      </c>
      <c r="AE115" s="60">
        <v>14</v>
      </c>
      <c r="AF115" s="60">
        <v>2</v>
      </c>
      <c r="AG115" s="28">
        <f t="shared" ref="AG115:AG142" si="33">PI()*AC115^2/4*AD115+PI()*AE115^2/4*AF115</f>
        <v>816.81408993334617</v>
      </c>
      <c r="AH115" s="34" t="str">
        <f t="shared" si="28"/>
        <v>OK</v>
      </c>
      <c r="AI115" s="28">
        <f t="shared" ref="AI115:AI143" si="34">-(AG115*0.9*391*AA115)/1000^2</f>
        <v>-132.22096399387047</v>
      </c>
      <c r="AJ115" s="32">
        <f t="shared" ref="AJ115:AJ142" si="35">X115/AI115</f>
        <v>0.55871851004977313</v>
      </c>
    </row>
    <row r="116" spans="1:36" x14ac:dyDescent="0.25">
      <c r="A116" s="6" t="s">
        <v>42</v>
      </c>
      <c r="B116" s="17">
        <v>1</v>
      </c>
      <c r="C116" s="6" t="s">
        <v>36</v>
      </c>
      <c r="D116" s="6" t="s">
        <v>11</v>
      </c>
      <c r="E116" s="1">
        <v>16.494</v>
      </c>
      <c r="F116" s="1">
        <v>61.9268</v>
      </c>
      <c r="G116" s="29">
        <v>300</v>
      </c>
      <c r="H116" s="29">
        <v>500</v>
      </c>
      <c r="I116" s="28">
        <f t="shared" si="24"/>
        <v>460</v>
      </c>
      <c r="J116" s="28">
        <f t="shared" si="29"/>
        <v>382.56174555518481</v>
      </c>
      <c r="K116" s="59">
        <v>18</v>
      </c>
      <c r="L116" s="59">
        <v>2</v>
      </c>
      <c r="M116" s="59">
        <v>12</v>
      </c>
      <c r="N116" s="59">
        <v>0</v>
      </c>
      <c r="O116" s="28">
        <f t="shared" si="30"/>
        <v>508.93800988154646</v>
      </c>
      <c r="P116" s="34" t="str">
        <f t="shared" si="25"/>
        <v>OK</v>
      </c>
      <c r="Q116" s="17">
        <f t="shared" si="26"/>
        <v>82.383831411565467</v>
      </c>
      <c r="R116" s="19">
        <f t="shared" si="31"/>
        <v>0.75168633139471097</v>
      </c>
      <c r="S116" s="6" t="s">
        <v>42</v>
      </c>
      <c r="T116" s="17">
        <v>1</v>
      </c>
      <c r="U116" s="6" t="s">
        <v>36</v>
      </c>
      <c r="V116" s="6" t="s">
        <v>12</v>
      </c>
      <c r="W116" s="1">
        <v>-80.691000000000003</v>
      </c>
      <c r="X116" s="1">
        <v>-28.727799999999998</v>
      </c>
      <c r="Y116" s="29">
        <v>300</v>
      </c>
      <c r="Z116" s="29">
        <v>500</v>
      </c>
      <c r="AA116" s="28">
        <f t="shared" si="27"/>
        <v>460</v>
      </c>
      <c r="AB116" s="28">
        <f t="shared" si="32"/>
        <v>177.47013108961286</v>
      </c>
      <c r="AC116" s="60">
        <v>18</v>
      </c>
      <c r="AD116" s="60">
        <v>2</v>
      </c>
      <c r="AE116" s="60">
        <v>14</v>
      </c>
      <c r="AF116" s="60">
        <v>2</v>
      </c>
      <c r="AG116" s="28">
        <f t="shared" si="33"/>
        <v>816.81408993334617</v>
      </c>
      <c r="AH116" s="34" t="str">
        <f t="shared" si="28"/>
        <v>OK</v>
      </c>
      <c r="AI116" s="28">
        <f t="shared" si="34"/>
        <v>-132.22096399387047</v>
      </c>
      <c r="AJ116" s="32">
        <f t="shared" si="35"/>
        <v>0.21727114318521962</v>
      </c>
    </row>
    <row r="117" spans="1:36" x14ac:dyDescent="0.25">
      <c r="A117" s="6" t="s">
        <v>42</v>
      </c>
      <c r="B117" s="17">
        <v>1.5</v>
      </c>
      <c r="C117" s="6" t="s">
        <v>36</v>
      </c>
      <c r="D117" s="6" t="s">
        <v>11</v>
      </c>
      <c r="E117" s="1">
        <v>35.698999999999998</v>
      </c>
      <c r="F117" s="1">
        <v>52.751800000000003</v>
      </c>
      <c r="G117" s="29">
        <v>300</v>
      </c>
      <c r="H117" s="29">
        <v>500</v>
      </c>
      <c r="I117" s="28">
        <f t="shared" si="24"/>
        <v>460</v>
      </c>
      <c r="J117" s="28">
        <f t="shared" si="29"/>
        <v>325.88185872962919</v>
      </c>
      <c r="K117" s="59">
        <v>18</v>
      </c>
      <c r="L117" s="59">
        <v>2</v>
      </c>
      <c r="M117" s="59">
        <v>12</v>
      </c>
      <c r="N117" s="59">
        <v>0</v>
      </c>
      <c r="O117" s="28">
        <f t="shared" si="30"/>
        <v>508.93800988154646</v>
      </c>
      <c r="P117" s="34" t="str">
        <f t="shared" si="25"/>
        <v>OK</v>
      </c>
      <c r="Q117" s="17">
        <f t="shared" si="26"/>
        <v>82.383831411565467</v>
      </c>
      <c r="R117" s="19">
        <f t="shared" si="31"/>
        <v>0.64031739112092856</v>
      </c>
      <c r="S117" s="6" t="s">
        <v>42</v>
      </c>
      <c r="T117" s="17">
        <v>1.5</v>
      </c>
      <c r="U117" s="6" t="s">
        <v>36</v>
      </c>
      <c r="V117" s="6" t="s">
        <v>12</v>
      </c>
      <c r="W117" s="1">
        <v>-61.485999999999997</v>
      </c>
      <c r="X117" s="1">
        <v>6.8159999999999998</v>
      </c>
      <c r="Y117" s="29">
        <v>300</v>
      </c>
      <c r="Z117" s="29">
        <v>500</v>
      </c>
      <c r="AA117" s="28">
        <f t="shared" si="27"/>
        <v>460</v>
      </c>
      <c r="AB117" s="28">
        <f t="shared" si="32"/>
        <v>42.106823825938683</v>
      </c>
      <c r="AC117" s="60">
        <v>18</v>
      </c>
      <c r="AD117" s="60">
        <v>2</v>
      </c>
      <c r="AE117" s="60">
        <v>14</v>
      </c>
      <c r="AF117" s="60">
        <v>2</v>
      </c>
      <c r="AG117" s="28">
        <f t="shared" si="33"/>
        <v>816.81408993334617</v>
      </c>
      <c r="AH117" s="34" t="str">
        <f t="shared" si="28"/>
        <v>OK</v>
      </c>
      <c r="AI117" s="28">
        <f t="shared" si="34"/>
        <v>-132.22096399387047</v>
      </c>
      <c r="AJ117" s="32">
        <f t="shared" si="35"/>
        <v>-5.1550070383059511E-2</v>
      </c>
    </row>
    <row r="118" spans="1:36" x14ac:dyDescent="0.25">
      <c r="A118" s="6" t="s">
        <v>42</v>
      </c>
      <c r="B118" s="17">
        <v>2</v>
      </c>
      <c r="C118" s="6" t="s">
        <v>36</v>
      </c>
      <c r="D118" s="6" t="s">
        <v>11</v>
      </c>
      <c r="E118" s="1">
        <v>54.902999999999999</v>
      </c>
      <c r="F118" s="1">
        <v>56.162100000000002</v>
      </c>
      <c r="G118" s="29">
        <v>300</v>
      </c>
      <c r="H118" s="29">
        <v>500</v>
      </c>
      <c r="I118" s="28">
        <f t="shared" si="24"/>
        <v>460</v>
      </c>
      <c r="J118" s="28">
        <f t="shared" si="29"/>
        <v>346.94947922458203</v>
      </c>
      <c r="K118" s="59">
        <v>18</v>
      </c>
      <c r="L118" s="59">
        <v>2</v>
      </c>
      <c r="M118" s="59">
        <v>12</v>
      </c>
      <c r="N118" s="59">
        <v>0</v>
      </c>
      <c r="O118" s="28">
        <f t="shared" si="30"/>
        <v>508.93800988154646</v>
      </c>
      <c r="P118" s="34" t="str">
        <f t="shared" si="25"/>
        <v>OK</v>
      </c>
      <c r="Q118" s="17">
        <f t="shared" si="26"/>
        <v>82.383831411565467</v>
      </c>
      <c r="R118" s="19">
        <f t="shared" si="31"/>
        <v>0.68171264965124789</v>
      </c>
      <c r="S118" s="6" t="s">
        <v>42</v>
      </c>
      <c r="T118" s="17">
        <v>2</v>
      </c>
      <c r="U118" s="6" t="s">
        <v>36</v>
      </c>
      <c r="V118" s="6" t="s">
        <v>12</v>
      </c>
      <c r="W118" s="1">
        <v>-42.280999999999999</v>
      </c>
      <c r="X118" s="1">
        <v>26.2239</v>
      </c>
      <c r="Y118" s="29">
        <v>300</v>
      </c>
      <c r="Z118" s="29">
        <v>500</v>
      </c>
      <c r="AA118" s="28">
        <f t="shared" si="27"/>
        <v>460</v>
      </c>
      <c r="AB118" s="28">
        <f t="shared" si="32"/>
        <v>162.00192742503427</v>
      </c>
      <c r="AC118" s="60">
        <v>18</v>
      </c>
      <c r="AD118" s="60">
        <v>2</v>
      </c>
      <c r="AE118" s="60">
        <v>14</v>
      </c>
      <c r="AF118" s="60">
        <v>2</v>
      </c>
      <c r="AG118" s="28">
        <f t="shared" si="33"/>
        <v>816.81408993334617</v>
      </c>
      <c r="AH118" s="34" t="str">
        <f t="shared" si="28"/>
        <v>OK</v>
      </c>
      <c r="AI118" s="28">
        <f t="shared" si="34"/>
        <v>-132.22096399387047</v>
      </c>
      <c r="AJ118" s="32">
        <f t="shared" si="35"/>
        <v>-0.19833390415468227</v>
      </c>
    </row>
    <row r="119" spans="1:36" x14ac:dyDescent="0.25">
      <c r="A119" s="6" t="s">
        <v>42</v>
      </c>
      <c r="B119" s="17">
        <v>2.5</v>
      </c>
      <c r="C119" s="6" t="s">
        <v>36</v>
      </c>
      <c r="D119" s="6" t="s">
        <v>11</v>
      </c>
      <c r="E119" s="1">
        <v>74.108000000000004</v>
      </c>
      <c r="F119" s="1">
        <v>49.098100000000002</v>
      </c>
      <c r="G119" s="29">
        <v>300</v>
      </c>
      <c r="H119" s="29">
        <v>500</v>
      </c>
      <c r="I119" s="28">
        <f t="shared" si="24"/>
        <v>460</v>
      </c>
      <c r="J119" s="28">
        <f t="shared" si="29"/>
        <v>303.31059960215964</v>
      </c>
      <c r="K119" s="59">
        <v>18</v>
      </c>
      <c r="L119" s="59">
        <v>2</v>
      </c>
      <c r="M119" s="59">
        <v>12</v>
      </c>
      <c r="N119" s="59">
        <v>0</v>
      </c>
      <c r="O119" s="28">
        <f t="shared" si="30"/>
        <v>508.93800988154646</v>
      </c>
      <c r="P119" s="34" t="str">
        <f t="shared" si="25"/>
        <v>OK</v>
      </c>
      <c r="Q119" s="17">
        <f t="shared" si="26"/>
        <v>82.383831411565467</v>
      </c>
      <c r="R119" s="19">
        <f t="shared" si="31"/>
        <v>0.59596766936852319</v>
      </c>
      <c r="S119" s="6" t="s">
        <v>42</v>
      </c>
      <c r="T119" s="17">
        <v>2.5</v>
      </c>
      <c r="U119" s="6" t="s">
        <v>36</v>
      </c>
      <c r="V119" s="6" t="s">
        <v>12</v>
      </c>
      <c r="W119" s="1">
        <v>-23.076000000000001</v>
      </c>
      <c r="X119" s="1">
        <v>-6.0254000000000003</v>
      </c>
      <c r="Y119" s="29">
        <v>300</v>
      </c>
      <c r="Z119" s="29">
        <v>500</v>
      </c>
      <c r="AA119" s="28">
        <f t="shared" si="27"/>
        <v>460</v>
      </c>
      <c r="AB119" s="28">
        <f t="shared" si="32"/>
        <v>37.222778210212873</v>
      </c>
      <c r="AC119" s="60">
        <v>18</v>
      </c>
      <c r="AD119" s="60">
        <v>2</v>
      </c>
      <c r="AE119" s="60">
        <v>18</v>
      </c>
      <c r="AF119" s="60">
        <v>2</v>
      </c>
      <c r="AG119" s="28">
        <f t="shared" si="33"/>
        <v>1017.8760197630929</v>
      </c>
      <c r="AH119" s="34" t="str">
        <f t="shared" si="28"/>
        <v>OK</v>
      </c>
      <c r="AI119" s="28">
        <f t="shared" si="34"/>
        <v>-164.76766282313093</v>
      </c>
      <c r="AJ119" s="32">
        <f t="shared" si="35"/>
        <v>3.6569068813386868E-2</v>
      </c>
    </row>
    <row r="120" spans="1:36" x14ac:dyDescent="0.25">
      <c r="A120" s="6" t="s">
        <v>42</v>
      </c>
      <c r="B120" s="17">
        <v>3</v>
      </c>
      <c r="C120" s="6" t="s">
        <v>36</v>
      </c>
      <c r="D120" s="6" t="s">
        <v>11</v>
      </c>
      <c r="E120" s="1">
        <v>93.313000000000002</v>
      </c>
      <c r="F120" s="1">
        <v>55.834800000000001</v>
      </c>
      <c r="G120" s="29">
        <v>300</v>
      </c>
      <c r="H120" s="29">
        <v>500</v>
      </c>
      <c r="I120" s="28">
        <f t="shared" si="24"/>
        <v>460</v>
      </c>
      <c r="J120" s="28">
        <f t="shared" si="29"/>
        <v>344.92753623188401</v>
      </c>
      <c r="K120" s="59">
        <v>18</v>
      </c>
      <c r="L120" s="59">
        <v>2</v>
      </c>
      <c r="M120" s="59">
        <v>12</v>
      </c>
      <c r="N120" s="59">
        <v>0</v>
      </c>
      <c r="O120" s="28">
        <f t="shared" si="30"/>
        <v>508.93800988154646</v>
      </c>
      <c r="P120" s="34" t="str">
        <f t="shared" si="25"/>
        <v>OK</v>
      </c>
      <c r="Q120" s="17">
        <f t="shared" si="26"/>
        <v>82.383831411565467</v>
      </c>
      <c r="R120" s="19">
        <f t="shared" si="31"/>
        <v>0.6777397827137428</v>
      </c>
      <c r="S120" s="6" t="s">
        <v>42</v>
      </c>
      <c r="T120" s="17">
        <v>3</v>
      </c>
      <c r="U120" s="6" t="s">
        <v>36</v>
      </c>
      <c r="V120" s="6" t="s">
        <v>12</v>
      </c>
      <c r="W120" s="1">
        <v>-3.871</v>
      </c>
      <c r="X120" s="1">
        <v>-47.880499999999998</v>
      </c>
      <c r="Y120" s="29">
        <v>300</v>
      </c>
      <c r="Z120" s="29">
        <v>500</v>
      </c>
      <c r="AA120" s="28">
        <f t="shared" si="27"/>
        <v>460</v>
      </c>
      <c r="AB120" s="28">
        <f t="shared" si="32"/>
        <v>295.788699852972</v>
      </c>
      <c r="AC120" s="60">
        <v>18</v>
      </c>
      <c r="AD120" s="60">
        <v>2</v>
      </c>
      <c r="AE120" s="60">
        <v>18</v>
      </c>
      <c r="AF120" s="60">
        <v>2</v>
      </c>
      <c r="AG120" s="28">
        <f t="shared" si="33"/>
        <v>1017.8760197630929</v>
      </c>
      <c r="AH120" s="34" t="str">
        <f t="shared" si="28"/>
        <v>OK</v>
      </c>
      <c r="AI120" s="28">
        <f t="shared" si="34"/>
        <v>-164.76766282313093</v>
      </c>
      <c r="AJ120" s="32">
        <f t="shared" si="35"/>
        <v>0.29059403513781157</v>
      </c>
    </row>
    <row r="121" spans="1:36" x14ac:dyDescent="0.25">
      <c r="A121" s="6" t="s">
        <v>42</v>
      </c>
      <c r="B121" s="17">
        <v>3.5</v>
      </c>
      <c r="C121" s="6" t="s">
        <v>36</v>
      </c>
      <c r="D121" s="6" t="s">
        <v>11</v>
      </c>
      <c r="E121" s="1">
        <v>120.959</v>
      </c>
      <c r="F121" s="1">
        <v>52.969200000000001</v>
      </c>
      <c r="G121" s="29">
        <v>300</v>
      </c>
      <c r="H121" s="29">
        <v>500</v>
      </c>
      <c r="I121" s="28">
        <f t="shared" si="24"/>
        <v>460</v>
      </c>
      <c r="J121" s="28">
        <f t="shared" si="29"/>
        <v>327.22487860928862</v>
      </c>
      <c r="K121" s="59">
        <v>18</v>
      </c>
      <c r="L121" s="59">
        <v>2</v>
      </c>
      <c r="M121" s="59">
        <v>12</v>
      </c>
      <c r="N121" s="59">
        <v>0</v>
      </c>
      <c r="O121" s="28">
        <f t="shared" si="30"/>
        <v>508.93800988154646</v>
      </c>
      <c r="P121" s="34" t="str">
        <f t="shared" si="25"/>
        <v>OK</v>
      </c>
      <c r="Q121" s="17">
        <f t="shared" si="26"/>
        <v>82.383831411565467</v>
      </c>
      <c r="R121" s="19">
        <f t="shared" si="31"/>
        <v>0.64295625843597159</v>
      </c>
      <c r="S121" s="6" t="s">
        <v>42</v>
      </c>
      <c r="T121" s="17">
        <v>3.5</v>
      </c>
      <c r="U121" s="6" t="s">
        <v>36</v>
      </c>
      <c r="V121" s="6" t="s">
        <v>12</v>
      </c>
      <c r="W121" s="1">
        <v>15.333</v>
      </c>
      <c r="X121" s="1">
        <v>-99.338200000000001</v>
      </c>
      <c r="Y121" s="29">
        <v>300</v>
      </c>
      <c r="Z121" s="29">
        <v>500</v>
      </c>
      <c r="AA121" s="28">
        <f t="shared" si="27"/>
        <v>460</v>
      </c>
      <c r="AB121" s="28">
        <f t="shared" si="32"/>
        <v>613.676069041353</v>
      </c>
      <c r="AC121" s="60">
        <v>20</v>
      </c>
      <c r="AD121" s="60">
        <v>2</v>
      </c>
      <c r="AE121" s="60">
        <v>18</v>
      </c>
      <c r="AF121" s="60">
        <v>2</v>
      </c>
      <c r="AG121" s="28">
        <f t="shared" si="33"/>
        <v>1137.2565405995051</v>
      </c>
      <c r="AH121" s="34" t="str">
        <f t="shared" si="28"/>
        <v>OK</v>
      </c>
      <c r="AI121" s="28">
        <f t="shared" si="34"/>
        <v>-184.09226525300429</v>
      </c>
      <c r="AJ121" s="32">
        <f t="shared" si="35"/>
        <v>0.53961093837090934</v>
      </c>
    </row>
    <row r="122" spans="1:36" x14ac:dyDescent="0.25">
      <c r="A122" s="6" t="s">
        <v>42</v>
      </c>
      <c r="B122" s="17">
        <v>4</v>
      </c>
      <c r="C122" s="6" t="s">
        <v>36</v>
      </c>
      <c r="D122" s="6" t="s">
        <v>11</v>
      </c>
      <c r="E122" s="1">
        <v>157.46799999999999</v>
      </c>
      <c r="F122" s="1">
        <v>40.501199999999997</v>
      </c>
      <c r="G122" s="29">
        <v>300</v>
      </c>
      <c r="H122" s="29">
        <v>500</v>
      </c>
      <c r="I122" s="28">
        <f t="shared" si="24"/>
        <v>460</v>
      </c>
      <c r="J122" s="28">
        <f t="shared" si="29"/>
        <v>250.20200896993953</v>
      </c>
      <c r="K122" s="59">
        <v>18</v>
      </c>
      <c r="L122" s="59">
        <v>2</v>
      </c>
      <c r="M122" s="59">
        <v>12</v>
      </c>
      <c r="N122" s="59">
        <v>0</v>
      </c>
      <c r="O122" s="28">
        <f t="shared" si="30"/>
        <v>508.93800988154646</v>
      </c>
      <c r="P122" s="34" t="str">
        <f t="shared" si="25"/>
        <v>OK</v>
      </c>
      <c r="Q122" s="17">
        <f t="shared" si="26"/>
        <v>82.383831411565467</v>
      </c>
      <c r="R122" s="19">
        <f t="shared" si="31"/>
        <v>0.49161588270479772</v>
      </c>
      <c r="S122" s="6" t="s">
        <v>42</v>
      </c>
      <c r="T122" s="17">
        <v>4</v>
      </c>
      <c r="U122" s="6" t="s">
        <v>36</v>
      </c>
      <c r="V122" s="6" t="s">
        <v>12</v>
      </c>
      <c r="W122" s="1">
        <v>34.537999999999997</v>
      </c>
      <c r="X122" s="1">
        <v>-160.3982</v>
      </c>
      <c r="Y122" s="29">
        <v>300</v>
      </c>
      <c r="Z122" s="29">
        <v>500</v>
      </c>
      <c r="AA122" s="28">
        <f t="shared" si="27"/>
        <v>460</v>
      </c>
      <c r="AB122" s="28">
        <f t="shared" si="32"/>
        <v>990.88303248205375</v>
      </c>
      <c r="AC122" s="60">
        <v>20</v>
      </c>
      <c r="AD122" s="60">
        <v>2</v>
      </c>
      <c r="AE122" s="60">
        <v>18</v>
      </c>
      <c r="AF122" s="60">
        <v>2</v>
      </c>
      <c r="AG122" s="28">
        <f t="shared" si="33"/>
        <v>1137.2565405995051</v>
      </c>
      <c r="AH122" s="34" t="str">
        <f t="shared" si="28"/>
        <v>OK</v>
      </c>
      <c r="AI122" s="28">
        <f t="shared" si="34"/>
        <v>-184.09226525300429</v>
      </c>
      <c r="AJ122" s="32">
        <f t="shared" si="35"/>
        <v>0.87129244555472918</v>
      </c>
    </row>
    <row r="123" spans="1:36" x14ac:dyDescent="0.25">
      <c r="A123" s="6" t="s">
        <v>43</v>
      </c>
      <c r="B123" s="17">
        <v>4</v>
      </c>
      <c r="C123" s="6" t="s">
        <v>36</v>
      </c>
      <c r="D123" s="6" t="s">
        <v>11</v>
      </c>
      <c r="E123" s="1">
        <v>-74.409000000000006</v>
      </c>
      <c r="F123" s="1">
        <v>-7.2470999999999997</v>
      </c>
      <c r="G123" s="29">
        <v>300</v>
      </c>
      <c r="H123" s="29">
        <v>500</v>
      </c>
      <c r="I123" s="28">
        <f t="shared" si="24"/>
        <v>460</v>
      </c>
      <c r="J123" s="28">
        <f t="shared" si="29"/>
        <v>44.77000630119722</v>
      </c>
      <c r="K123" s="59">
        <v>18</v>
      </c>
      <c r="L123" s="59">
        <v>2</v>
      </c>
      <c r="M123" s="59">
        <v>12</v>
      </c>
      <c r="N123" s="59">
        <v>0</v>
      </c>
      <c r="O123" s="28">
        <f t="shared" si="30"/>
        <v>508.93800988154646</v>
      </c>
      <c r="P123" s="34" t="str">
        <f t="shared" si="25"/>
        <v>OK</v>
      </c>
      <c r="Q123" s="17">
        <f t="shared" si="26"/>
        <v>82.383831411565467</v>
      </c>
      <c r="R123" s="19">
        <f t="shared" si="31"/>
        <v>-8.7967503766553573E-2</v>
      </c>
      <c r="S123" s="6" t="s">
        <v>43</v>
      </c>
      <c r="T123" s="17">
        <v>4</v>
      </c>
      <c r="U123" s="6" t="s">
        <v>36</v>
      </c>
      <c r="V123" s="6" t="s">
        <v>12</v>
      </c>
      <c r="W123" s="1">
        <v>-200.797</v>
      </c>
      <c r="X123" s="1">
        <v>-178.97319999999999</v>
      </c>
      <c r="Y123" s="29">
        <v>300</v>
      </c>
      <c r="Z123" s="29">
        <v>500</v>
      </c>
      <c r="AA123" s="28">
        <f t="shared" si="27"/>
        <v>460</v>
      </c>
      <c r="AB123" s="28">
        <f t="shared" si="32"/>
        <v>1105.6327761098137</v>
      </c>
      <c r="AC123" s="60">
        <v>20</v>
      </c>
      <c r="AD123" s="60">
        <v>2</v>
      </c>
      <c r="AE123" s="60">
        <v>18</v>
      </c>
      <c r="AF123" s="60">
        <v>2</v>
      </c>
      <c r="AG123" s="28">
        <f t="shared" si="33"/>
        <v>1137.2565405995051</v>
      </c>
      <c r="AH123" s="34" t="str">
        <f t="shared" si="28"/>
        <v>OK</v>
      </c>
      <c r="AI123" s="28">
        <f t="shared" si="34"/>
        <v>-184.09226525300429</v>
      </c>
      <c r="AJ123" s="32">
        <f t="shared" si="35"/>
        <v>0.97219293680824126</v>
      </c>
    </row>
    <row r="124" spans="1:36" x14ac:dyDescent="0.25">
      <c r="A124" s="6" t="s">
        <v>43</v>
      </c>
      <c r="B124" s="17">
        <v>4.5</v>
      </c>
      <c r="C124" s="6" t="s">
        <v>36</v>
      </c>
      <c r="D124" s="6" t="s">
        <v>11</v>
      </c>
      <c r="E124" s="1">
        <v>-55.204000000000001</v>
      </c>
      <c r="F124" s="1">
        <v>25.156199999999998</v>
      </c>
      <c r="G124" s="29">
        <v>300</v>
      </c>
      <c r="H124" s="29">
        <v>500</v>
      </c>
      <c r="I124" s="28">
        <f t="shared" si="24"/>
        <v>460</v>
      </c>
      <c r="J124" s="28">
        <f t="shared" si="29"/>
        <v>155.40605656251157</v>
      </c>
      <c r="K124" s="59">
        <v>18</v>
      </c>
      <c r="L124" s="59">
        <v>2</v>
      </c>
      <c r="M124" s="59">
        <v>12</v>
      </c>
      <c r="N124" s="59">
        <v>0</v>
      </c>
      <c r="O124" s="28">
        <f t="shared" si="30"/>
        <v>508.93800988154646</v>
      </c>
      <c r="P124" s="34" t="str">
        <f t="shared" si="25"/>
        <v>OK</v>
      </c>
      <c r="Q124" s="17">
        <f t="shared" si="26"/>
        <v>82.383831411565467</v>
      </c>
      <c r="R124" s="19">
        <f t="shared" si="31"/>
        <v>0.30535360602891848</v>
      </c>
      <c r="S124" s="6" t="s">
        <v>43</v>
      </c>
      <c r="T124" s="17">
        <v>4.5</v>
      </c>
      <c r="U124" s="6" t="s">
        <v>36</v>
      </c>
      <c r="V124" s="6" t="s">
        <v>12</v>
      </c>
      <c r="W124" s="1">
        <v>-164.28800000000001</v>
      </c>
      <c r="X124" s="1">
        <v>-115.35250000000001</v>
      </c>
      <c r="Y124" s="29">
        <v>300</v>
      </c>
      <c r="Z124" s="29">
        <v>500</v>
      </c>
      <c r="AA124" s="28">
        <f t="shared" si="27"/>
        <v>460</v>
      </c>
      <c r="AB124" s="28">
        <f t="shared" si="32"/>
        <v>712.60671880598477</v>
      </c>
      <c r="AC124" s="60">
        <v>20</v>
      </c>
      <c r="AD124" s="60">
        <v>2</v>
      </c>
      <c r="AE124" s="60">
        <v>18</v>
      </c>
      <c r="AF124" s="60">
        <v>2</v>
      </c>
      <c r="AG124" s="28">
        <f t="shared" si="33"/>
        <v>1137.2565405995051</v>
      </c>
      <c r="AH124" s="34" t="str">
        <f t="shared" si="28"/>
        <v>OK</v>
      </c>
      <c r="AI124" s="28">
        <f t="shared" si="34"/>
        <v>-184.09226525300429</v>
      </c>
      <c r="AJ124" s="32">
        <f t="shared" si="35"/>
        <v>0.62660155678712048</v>
      </c>
    </row>
    <row r="125" spans="1:36" x14ac:dyDescent="0.25">
      <c r="A125" s="6" t="s">
        <v>43</v>
      </c>
      <c r="B125" s="17">
        <v>5</v>
      </c>
      <c r="C125" s="6" t="s">
        <v>36</v>
      </c>
      <c r="D125" s="6" t="s">
        <v>11</v>
      </c>
      <c r="E125" s="1">
        <v>-35.999000000000002</v>
      </c>
      <c r="F125" s="1">
        <v>47.9572</v>
      </c>
      <c r="G125" s="29">
        <v>300</v>
      </c>
      <c r="H125" s="29">
        <v>500</v>
      </c>
      <c r="I125" s="28">
        <f t="shared" si="24"/>
        <v>460</v>
      </c>
      <c r="J125" s="28">
        <f t="shared" si="29"/>
        <v>296.26252517390066</v>
      </c>
      <c r="K125" s="59">
        <v>18</v>
      </c>
      <c r="L125" s="59">
        <v>2</v>
      </c>
      <c r="M125" s="59">
        <v>12</v>
      </c>
      <c r="N125" s="59">
        <v>0</v>
      </c>
      <c r="O125" s="28">
        <f t="shared" si="30"/>
        <v>508.93800988154646</v>
      </c>
      <c r="P125" s="34" t="str">
        <f t="shared" si="25"/>
        <v>OK</v>
      </c>
      <c r="Q125" s="17">
        <f t="shared" si="26"/>
        <v>82.383831411565467</v>
      </c>
      <c r="R125" s="19">
        <f t="shared" si="31"/>
        <v>0.58211907820139963</v>
      </c>
      <c r="S125" s="6" t="s">
        <v>43</v>
      </c>
      <c r="T125" s="17">
        <v>5</v>
      </c>
      <c r="U125" s="6" t="s">
        <v>36</v>
      </c>
      <c r="V125" s="6" t="s">
        <v>12</v>
      </c>
      <c r="W125" s="1">
        <v>-127.78</v>
      </c>
      <c r="X125" s="1">
        <v>-61.334099999999999</v>
      </c>
      <c r="Y125" s="29">
        <v>300</v>
      </c>
      <c r="Z125" s="29">
        <v>500</v>
      </c>
      <c r="AA125" s="28">
        <f t="shared" si="27"/>
        <v>460</v>
      </c>
      <c r="AB125" s="28">
        <f t="shared" si="32"/>
        <v>378.90025575447561</v>
      </c>
      <c r="AC125" s="60">
        <v>20</v>
      </c>
      <c r="AD125" s="60">
        <v>2</v>
      </c>
      <c r="AE125" s="60">
        <v>18</v>
      </c>
      <c r="AF125" s="60">
        <v>2</v>
      </c>
      <c r="AG125" s="28">
        <f t="shared" si="33"/>
        <v>1137.2565405995051</v>
      </c>
      <c r="AH125" s="34" t="str">
        <f t="shared" si="28"/>
        <v>OK</v>
      </c>
      <c r="AI125" s="28">
        <f t="shared" si="34"/>
        <v>-184.09226525300429</v>
      </c>
      <c r="AJ125" s="32">
        <f t="shared" si="35"/>
        <v>0.33317043448678546</v>
      </c>
    </row>
    <row r="126" spans="1:36" x14ac:dyDescent="0.25">
      <c r="A126" s="6" t="s">
        <v>43</v>
      </c>
      <c r="B126" s="17">
        <v>5.5</v>
      </c>
      <c r="C126" s="6" t="s">
        <v>36</v>
      </c>
      <c r="D126" s="6" t="s">
        <v>11</v>
      </c>
      <c r="E126" s="1">
        <v>-16.795000000000002</v>
      </c>
      <c r="F126" s="1">
        <v>61.155700000000003</v>
      </c>
      <c r="G126" s="29">
        <v>300</v>
      </c>
      <c r="H126" s="29">
        <v>500</v>
      </c>
      <c r="I126" s="28">
        <f t="shared" si="24"/>
        <v>460</v>
      </c>
      <c r="J126" s="28">
        <f t="shared" si="29"/>
        <v>377.79816400410186</v>
      </c>
      <c r="K126" s="59">
        <v>18</v>
      </c>
      <c r="L126" s="59">
        <v>2</v>
      </c>
      <c r="M126" s="59">
        <v>12</v>
      </c>
      <c r="N126" s="59">
        <v>1</v>
      </c>
      <c r="O126" s="28">
        <f t="shared" si="30"/>
        <v>622.03534541077897</v>
      </c>
      <c r="P126" s="34" t="str">
        <f t="shared" si="25"/>
        <v>OK</v>
      </c>
      <c r="Q126" s="17">
        <f t="shared" si="26"/>
        <v>100.69134950302445</v>
      </c>
      <c r="R126" s="19">
        <f t="shared" si="31"/>
        <v>0.60735803325550897</v>
      </c>
      <c r="S126" s="6" t="s">
        <v>43</v>
      </c>
      <c r="T126" s="17">
        <v>5.5</v>
      </c>
      <c r="U126" s="6" t="s">
        <v>36</v>
      </c>
      <c r="V126" s="6" t="s">
        <v>12</v>
      </c>
      <c r="W126" s="1">
        <v>-91.271000000000001</v>
      </c>
      <c r="X126" s="1">
        <v>-16.918199999999999</v>
      </c>
      <c r="Y126" s="29">
        <v>300</v>
      </c>
      <c r="Z126" s="29">
        <v>500</v>
      </c>
      <c r="AA126" s="28">
        <f t="shared" si="27"/>
        <v>460</v>
      </c>
      <c r="AB126" s="28">
        <f t="shared" si="32"/>
        <v>104.51462248415433</v>
      </c>
      <c r="AC126" s="60">
        <v>20</v>
      </c>
      <c r="AD126" s="60">
        <v>2</v>
      </c>
      <c r="AE126" s="60">
        <v>0</v>
      </c>
      <c r="AF126" s="60">
        <v>2</v>
      </c>
      <c r="AG126" s="28">
        <f t="shared" si="33"/>
        <v>628.31853071795865</v>
      </c>
      <c r="AH126" s="34" t="str">
        <f t="shared" si="28"/>
        <v>OK</v>
      </c>
      <c r="AI126" s="28">
        <f t="shared" si="34"/>
        <v>-101.70843384143883</v>
      </c>
      <c r="AJ126" s="32">
        <f t="shared" si="35"/>
        <v>0.16634018793736507</v>
      </c>
    </row>
    <row r="127" spans="1:36" x14ac:dyDescent="0.25">
      <c r="A127" s="6" t="s">
        <v>43</v>
      </c>
      <c r="B127" s="17">
        <v>6</v>
      </c>
      <c r="C127" s="6" t="s">
        <v>36</v>
      </c>
      <c r="D127" s="6" t="s">
        <v>11</v>
      </c>
      <c r="E127" s="1">
        <v>2.41</v>
      </c>
      <c r="F127" s="1">
        <v>78.676199999999994</v>
      </c>
      <c r="G127" s="29">
        <v>300</v>
      </c>
      <c r="H127" s="29">
        <v>500</v>
      </c>
      <c r="I127" s="28">
        <f t="shared" si="24"/>
        <v>460</v>
      </c>
      <c r="J127" s="28">
        <f t="shared" si="29"/>
        <v>486.03358167463574</v>
      </c>
      <c r="K127" s="59">
        <v>18</v>
      </c>
      <c r="L127" s="59">
        <v>2</v>
      </c>
      <c r="M127" s="59">
        <v>12</v>
      </c>
      <c r="N127" s="59">
        <v>1</v>
      </c>
      <c r="O127" s="28">
        <f t="shared" si="30"/>
        <v>622.03534541077897</v>
      </c>
      <c r="P127" s="34" t="str">
        <f t="shared" si="25"/>
        <v>OK</v>
      </c>
      <c r="Q127" s="17">
        <f t="shared" si="26"/>
        <v>100.69134950302445</v>
      </c>
      <c r="R127" s="19">
        <f t="shared" si="31"/>
        <v>0.78136007103208804</v>
      </c>
      <c r="S127" s="6" t="s">
        <v>43</v>
      </c>
      <c r="T127" s="17">
        <v>6</v>
      </c>
      <c r="U127" s="6" t="s">
        <v>36</v>
      </c>
      <c r="V127" s="6" t="s">
        <v>12</v>
      </c>
      <c r="W127" s="1">
        <v>-60.024999999999999</v>
      </c>
      <c r="X127" s="1">
        <v>17.895399999999999</v>
      </c>
      <c r="Y127" s="29">
        <v>300</v>
      </c>
      <c r="Z127" s="29">
        <v>500</v>
      </c>
      <c r="AA127" s="28">
        <f t="shared" si="27"/>
        <v>460</v>
      </c>
      <c r="AB127" s="28">
        <f t="shared" si="32"/>
        <v>110.55141653384729</v>
      </c>
      <c r="AC127" s="60">
        <v>20</v>
      </c>
      <c r="AD127" s="60">
        <v>2</v>
      </c>
      <c r="AE127" s="60">
        <v>0</v>
      </c>
      <c r="AF127" s="60">
        <v>2</v>
      </c>
      <c r="AG127" s="28">
        <f t="shared" si="33"/>
        <v>628.31853071795865</v>
      </c>
      <c r="AH127" s="34" t="str">
        <f t="shared" si="28"/>
        <v>OK</v>
      </c>
      <c r="AI127" s="28">
        <f t="shared" si="34"/>
        <v>-101.70843384143883</v>
      </c>
      <c r="AJ127" s="32">
        <f t="shared" si="35"/>
        <v>-0.17594804407172887</v>
      </c>
    </row>
    <row r="128" spans="1:36" x14ac:dyDescent="0.25">
      <c r="A128" s="6" t="s">
        <v>43</v>
      </c>
      <c r="B128" s="17">
        <v>6.5</v>
      </c>
      <c r="C128" s="6" t="s">
        <v>36</v>
      </c>
      <c r="D128" s="6" t="s">
        <v>11</v>
      </c>
      <c r="E128" s="1">
        <v>21.614999999999998</v>
      </c>
      <c r="F128" s="1">
        <v>96.930400000000006</v>
      </c>
      <c r="G128" s="29">
        <v>300</v>
      </c>
      <c r="H128" s="29">
        <v>500</v>
      </c>
      <c r="I128" s="28">
        <f t="shared" si="24"/>
        <v>460</v>
      </c>
      <c r="J128" s="28">
        <f t="shared" si="29"/>
        <v>598.80153699791185</v>
      </c>
      <c r="K128" s="59">
        <v>18</v>
      </c>
      <c r="L128" s="59">
        <v>2</v>
      </c>
      <c r="M128" s="59">
        <v>12</v>
      </c>
      <c r="N128" s="59">
        <v>1</v>
      </c>
      <c r="O128" s="28">
        <f t="shared" si="30"/>
        <v>622.03534541077897</v>
      </c>
      <c r="P128" s="34" t="str">
        <f t="shared" si="25"/>
        <v>OK</v>
      </c>
      <c r="Q128" s="17">
        <f t="shared" si="26"/>
        <v>100.69134950302445</v>
      </c>
      <c r="R128" s="19">
        <f t="shared" si="31"/>
        <v>0.96264873277012264</v>
      </c>
      <c r="S128" s="6" t="s">
        <v>43</v>
      </c>
      <c r="T128" s="17">
        <v>6.5</v>
      </c>
      <c r="U128" s="6" t="s">
        <v>36</v>
      </c>
      <c r="V128" s="6" t="s">
        <v>12</v>
      </c>
      <c r="W128" s="1">
        <v>-40.82</v>
      </c>
      <c r="X128" s="1">
        <v>43.106499999999997</v>
      </c>
      <c r="Y128" s="29">
        <v>300</v>
      </c>
      <c r="Z128" s="29">
        <v>500</v>
      </c>
      <c r="AA128" s="28">
        <f t="shared" si="27"/>
        <v>460</v>
      </c>
      <c r="AB128" s="28">
        <f t="shared" si="32"/>
        <v>266.29662577066108</v>
      </c>
      <c r="AC128" s="60">
        <v>20</v>
      </c>
      <c r="AD128" s="60">
        <v>2</v>
      </c>
      <c r="AE128" s="60">
        <v>0</v>
      </c>
      <c r="AF128" s="60">
        <v>2</v>
      </c>
      <c r="AG128" s="28">
        <f t="shared" si="33"/>
        <v>628.31853071795865</v>
      </c>
      <c r="AH128" s="34" t="str">
        <f t="shared" si="28"/>
        <v>OK</v>
      </c>
      <c r="AI128" s="28">
        <f t="shared" si="34"/>
        <v>-101.70843384143883</v>
      </c>
      <c r="AJ128" s="32">
        <f t="shared" si="35"/>
        <v>-0.4238242432009332</v>
      </c>
    </row>
    <row r="129" spans="1:36" x14ac:dyDescent="0.25">
      <c r="A129" s="6" t="s">
        <v>43</v>
      </c>
      <c r="B129" s="17">
        <v>7</v>
      </c>
      <c r="C129" s="6" t="s">
        <v>36</v>
      </c>
      <c r="D129" s="6" t="s">
        <v>11</v>
      </c>
      <c r="E129" s="1">
        <v>40.82</v>
      </c>
      <c r="F129" s="1">
        <v>96.930400000000006</v>
      </c>
      <c r="G129" s="29">
        <v>300</v>
      </c>
      <c r="H129" s="29">
        <v>500</v>
      </c>
      <c r="I129" s="28">
        <f t="shared" si="24"/>
        <v>460</v>
      </c>
      <c r="J129" s="28">
        <f t="shared" si="29"/>
        <v>598.80153699791185</v>
      </c>
      <c r="K129" s="59">
        <v>18</v>
      </c>
      <c r="L129" s="59">
        <v>2</v>
      </c>
      <c r="M129" s="59">
        <v>12</v>
      </c>
      <c r="N129" s="59">
        <v>1</v>
      </c>
      <c r="O129" s="28">
        <f t="shared" si="30"/>
        <v>622.03534541077897</v>
      </c>
      <c r="P129" s="34" t="str">
        <f t="shared" si="25"/>
        <v>OK</v>
      </c>
      <c r="Q129" s="17">
        <f t="shared" si="26"/>
        <v>100.69134950302445</v>
      </c>
      <c r="R129" s="19">
        <f t="shared" si="31"/>
        <v>0.96264873277012264</v>
      </c>
      <c r="S129" s="6" t="s">
        <v>43</v>
      </c>
      <c r="T129" s="17">
        <v>7</v>
      </c>
      <c r="U129" s="6" t="s">
        <v>36</v>
      </c>
      <c r="V129" s="6" t="s">
        <v>12</v>
      </c>
      <c r="W129" s="1">
        <v>-21.614999999999998</v>
      </c>
      <c r="X129" s="1">
        <v>43.106499999999997</v>
      </c>
      <c r="Y129" s="29">
        <v>300</v>
      </c>
      <c r="Z129" s="29">
        <v>500</v>
      </c>
      <c r="AA129" s="28">
        <f t="shared" si="27"/>
        <v>460</v>
      </c>
      <c r="AB129" s="28">
        <f t="shared" si="32"/>
        <v>266.29662577066108</v>
      </c>
      <c r="AC129" s="60">
        <v>20</v>
      </c>
      <c r="AD129" s="60">
        <v>2</v>
      </c>
      <c r="AE129" s="60">
        <v>0</v>
      </c>
      <c r="AF129" s="60">
        <v>2</v>
      </c>
      <c r="AG129" s="28">
        <f t="shared" si="33"/>
        <v>628.31853071795865</v>
      </c>
      <c r="AH129" s="34" t="str">
        <f t="shared" si="28"/>
        <v>OK</v>
      </c>
      <c r="AI129" s="28">
        <f t="shared" si="34"/>
        <v>-101.70843384143883</v>
      </c>
      <c r="AJ129" s="32">
        <f t="shared" si="35"/>
        <v>-0.4238242432009332</v>
      </c>
    </row>
    <row r="130" spans="1:36" x14ac:dyDescent="0.25">
      <c r="A130" s="6" t="s">
        <v>43</v>
      </c>
      <c r="B130" s="17">
        <v>7.5</v>
      </c>
      <c r="C130" s="6" t="s">
        <v>36</v>
      </c>
      <c r="D130" s="6" t="s">
        <v>11</v>
      </c>
      <c r="E130" s="1">
        <v>60.024999999999999</v>
      </c>
      <c r="F130" s="1">
        <v>78.676199999999994</v>
      </c>
      <c r="G130" s="29">
        <v>300</v>
      </c>
      <c r="H130" s="29">
        <v>500</v>
      </c>
      <c r="I130" s="28">
        <f t="shared" si="24"/>
        <v>460</v>
      </c>
      <c r="J130" s="28">
        <f t="shared" si="29"/>
        <v>486.03358167463574</v>
      </c>
      <c r="K130" s="59">
        <v>18</v>
      </c>
      <c r="L130" s="59">
        <v>2</v>
      </c>
      <c r="M130" s="59">
        <v>12</v>
      </c>
      <c r="N130" s="59">
        <v>1</v>
      </c>
      <c r="O130" s="28">
        <f t="shared" si="30"/>
        <v>622.03534541077897</v>
      </c>
      <c r="P130" s="34" t="str">
        <f t="shared" si="25"/>
        <v>OK</v>
      </c>
      <c r="Q130" s="17">
        <f t="shared" si="26"/>
        <v>100.69134950302445</v>
      </c>
      <c r="R130" s="19">
        <f t="shared" si="31"/>
        <v>0.78136007103208804</v>
      </c>
      <c r="S130" s="6" t="s">
        <v>43</v>
      </c>
      <c r="T130" s="17">
        <v>7.5</v>
      </c>
      <c r="U130" s="6" t="s">
        <v>36</v>
      </c>
      <c r="V130" s="6" t="s">
        <v>12</v>
      </c>
      <c r="W130" s="1">
        <v>-2.41</v>
      </c>
      <c r="X130" s="1">
        <v>17.895399999999999</v>
      </c>
      <c r="Y130" s="29">
        <v>300</v>
      </c>
      <c r="Z130" s="29">
        <v>500</v>
      </c>
      <c r="AA130" s="28">
        <f t="shared" si="27"/>
        <v>460</v>
      </c>
      <c r="AB130" s="28">
        <f t="shared" si="32"/>
        <v>110.55141653384729</v>
      </c>
      <c r="AC130" s="60">
        <v>20</v>
      </c>
      <c r="AD130" s="60">
        <v>2</v>
      </c>
      <c r="AE130" s="60">
        <v>0</v>
      </c>
      <c r="AF130" s="60">
        <v>2</v>
      </c>
      <c r="AG130" s="28">
        <f t="shared" si="33"/>
        <v>628.31853071795865</v>
      </c>
      <c r="AH130" s="34" t="str">
        <f t="shared" si="28"/>
        <v>OK</v>
      </c>
      <c r="AI130" s="28">
        <f t="shared" si="34"/>
        <v>-101.70843384143883</v>
      </c>
      <c r="AJ130" s="32">
        <f t="shared" si="35"/>
        <v>-0.17594804407172887</v>
      </c>
    </row>
    <row r="131" spans="1:36" x14ac:dyDescent="0.25">
      <c r="A131" s="6" t="s">
        <v>43</v>
      </c>
      <c r="B131" s="17">
        <v>8</v>
      </c>
      <c r="C131" s="6" t="s">
        <v>36</v>
      </c>
      <c r="D131" s="6" t="s">
        <v>11</v>
      </c>
      <c r="E131" s="1">
        <v>91.271000000000001</v>
      </c>
      <c r="F131" s="1">
        <v>61.155700000000003</v>
      </c>
      <c r="G131" s="29">
        <v>300</v>
      </c>
      <c r="H131" s="29">
        <v>500</v>
      </c>
      <c r="I131" s="28">
        <f t="shared" si="24"/>
        <v>460</v>
      </c>
      <c r="J131" s="28">
        <f t="shared" si="29"/>
        <v>377.79816400410186</v>
      </c>
      <c r="K131" s="59">
        <v>18</v>
      </c>
      <c r="L131" s="59">
        <v>2</v>
      </c>
      <c r="M131" s="59">
        <v>12</v>
      </c>
      <c r="N131" s="59">
        <v>1</v>
      </c>
      <c r="O131" s="28">
        <f t="shared" si="30"/>
        <v>622.03534541077897</v>
      </c>
      <c r="P131" s="34" t="str">
        <f t="shared" si="25"/>
        <v>OK</v>
      </c>
      <c r="Q131" s="17">
        <f t="shared" si="26"/>
        <v>100.69134950302445</v>
      </c>
      <c r="R131" s="19">
        <f t="shared" si="31"/>
        <v>0.60735803325550897</v>
      </c>
      <c r="S131" s="6" t="s">
        <v>43</v>
      </c>
      <c r="T131" s="17">
        <v>8</v>
      </c>
      <c r="U131" s="6" t="s">
        <v>36</v>
      </c>
      <c r="V131" s="6" t="s">
        <v>12</v>
      </c>
      <c r="W131" s="1">
        <v>16.795000000000002</v>
      </c>
      <c r="X131" s="1">
        <v>-16.918199999999999</v>
      </c>
      <c r="Y131" s="29">
        <v>300</v>
      </c>
      <c r="Z131" s="29">
        <v>500</v>
      </c>
      <c r="AA131" s="28">
        <f t="shared" si="27"/>
        <v>460</v>
      </c>
      <c r="AB131" s="28">
        <f t="shared" si="32"/>
        <v>104.51462248415433</v>
      </c>
      <c r="AC131" s="60">
        <v>20</v>
      </c>
      <c r="AD131" s="60">
        <v>2</v>
      </c>
      <c r="AE131" s="60">
        <v>0</v>
      </c>
      <c r="AF131" s="60">
        <v>2</v>
      </c>
      <c r="AG131" s="28">
        <f t="shared" si="33"/>
        <v>628.31853071795865</v>
      </c>
      <c r="AH131" s="34" t="str">
        <f t="shared" si="28"/>
        <v>OK</v>
      </c>
      <c r="AI131" s="28">
        <f t="shared" si="34"/>
        <v>-101.70843384143883</v>
      </c>
      <c r="AJ131" s="32">
        <f t="shared" si="35"/>
        <v>0.16634018793736507</v>
      </c>
    </row>
    <row r="132" spans="1:36" x14ac:dyDescent="0.25">
      <c r="A132" s="6" t="s">
        <v>43</v>
      </c>
      <c r="B132" s="17">
        <v>8.5</v>
      </c>
      <c r="C132" s="6" t="s">
        <v>36</v>
      </c>
      <c r="D132" s="6" t="s">
        <v>11</v>
      </c>
      <c r="E132" s="1">
        <v>127.78</v>
      </c>
      <c r="F132" s="1">
        <v>47.9572</v>
      </c>
      <c r="G132" s="29">
        <v>300</v>
      </c>
      <c r="H132" s="29">
        <v>500</v>
      </c>
      <c r="I132" s="28">
        <f t="shared" si="24"/>
        <v>460</v>
      </c>
      <c r="J132" s="28">
        <f t="shared" si="29"/>
        <v>296.26252517390066</v>
      </c>
      <c r="K132" s="59">
        <v>18</v>
      </c>
      <c r="L132" s="59">
        <v>2</v>
      </c>
      <c r="M132" s="59">
        <v>12</v>
      </c>
      <c r="N132" s="59">
        <v>0</v>
      </c>
      <c r="O132" s="28">
        <f t="shared" si="30"/>
        <v>508.93800988154646</v>
      </c>
      <c r="P132" s="34" t="str">
        <f t="shared" si="25"/>
        <v>OK</v>
      </c>
      <c r="Q132" s="17">
        <f t="shared" si="26"/>
        <v>82.383831411565467</v>
      </c>
      <c r="R132" s="19">
        <f t="shared" si="31"/>
        <v>0.58211907820139963</v>
      </c>
      <c r="S132" s="6" t="s">
        <v>43</v>
      </c>
      <c r="T132" s="17">
        <v>8.5</v>
      </c>
      <c r="U132" s="6" t="s">
        <v>36</v>
      </c>
      <c r="V132" s="6" t="s">
        <v>12</v>
      </c>
      <c r="W132" s="1">
        <v>35.999000000000002</v>
      </c>
      <c r="X132" s="1">
        <v>-61.334099999999999</v>
      </c>
      <c r="Y132" s="29">
        <v>300</v>
      </c>
      <c r="Z132" s="29">
        <v>500</v>
      </c>
      <c r="AA132" s="28">
        <f t="shared" si="27"/>
        <v>460</v>
      </c>
      <c r="AB132" s="28">
        <f t="shared" si="32"/>
        <v>378.90025575447561</v>
      </c>
      <c r="AC132" s="60">
        <v>20</v>
      </c>
      <c r="AD132" s="60">
        <v>2</v>
      </c>
      <c r="AE132" s="60">
        <v>18</v>
      </c>
      <c r="AF132" s="60">
        <v>2</v>
      </c>
      <c r="AG132" s="28">
        <f t="shared" si="33"/>
        <v>1137.2565405995051</v>
      </c>
      <c r="AH132" s="34" t="str">
        <f t="shared" si="28"/>
        <v>OK</v>
      </c>
      <c r="AI132" s="28">
        <f t="shared" si="34"/>
        <v>-184.09226525300429</v>
      </c>
      <c r="AJ132" s="32">
        <f t="shared" si="35"/>
        <v>0.33317043448678546</v>
      </c>
    </row>
    <row r="133" spans="1:36" x14ac:dyDescent="0.25">
      <c r="A133" s="6" t="s">
        <v>43</v>
      </c>
      <c r="B133" s="17">
        <v>9</v>
      </c>
      <c r="C133" s="6" t="s">
        <v>36</v>
      </c>
      <c r="D133" s="6" t="s">
        <v>11</v>
      </c>
      <c r="E133" s="1">
        <v>164.28800000000001</v>
      </c>
      <c r="F133" s="1">
        <v>25.156199999999998</v>
      </c>
      <c r="G133" s="29">
        <v>300</v>
      </c>
      <c r="H133" s="29">
        <v>500</v>
      </c>
      <c r="I133" s="28">
        <f t="shared" si="24"/>
        <v>460</v>
      </c>
      <c r="J133" s="28">
        <f t="shared" si="29"/>
        <v>155.40605656251157</v>
      </c>
      <c r="K133" s="59">
        <v>18</v>
      </c>
      <c r="L133" s="59">
        <v>2</v>
      </c>
      <c r="M133" s="59">
        <v>12</v>
      </c>
      <c r="N133" s="59">
        <v>0</v>
      </c>
      <c r="O133" s="28">
        <f t="shared" si="30"/>
        <v>508.93800988154646</v>
      </c>
      <c r="P133" s="34" t="str">
        <f t="shared" si="25"/>
        <v>OK</v>
      </c>
      <c r="Q133" s="17">
        <f t="shared" si="26"/>
        <v>82.383831411565467</v>
      </c>
      <c r="R133" s="19">
        <f t="shared" si="31"/>
        <v>0.30535360602891848</v>
      </c>
      <c r="S133" s="6" t="s">
        <v>43</v>
      </c>
      <c r="T133" s="17">
        <v>9</v>
      </c>
      <c r="U133" s="6" t="s">
        <v>36</v>
      </c>
      <c r="V133" s="6" t="s">
        <v>12</v>
      </c>
      <c r="W133" s="1">
        <v>55.204000000000001</v>
      </c>
      <c r="X133" s="1">
        <v>-115.35250000000001</v>
      </c>
      <c r="Y133" s="29">
        <v>300</v>
      </c>
      <c r="Z133" s="29">
        <v>500</v>
      </c>
      <c r="AA133" s="28">
        <f t="shared" si="27"/>
        <v>460</v>
      </c>
      <c r="AB133" s="28">
        <f t="shared" si="32"/>
        <v>712.60671880598477</v>
      </c>
      <c r="AC133" s="60">
        <v>20</v>
      </c>
      <c r="AD133" s="60">
        <v>2</v>
      </c>
      <c r="AE133" s="60">
        <v>18</v>
      </c>
      <c r="AF133" s="60">
        <v>2</v>
      </c>
      <c r="AG133" s="28">
        <f t="shared" si="33"/>
        <v>1137.2565405995051</v>
      </c>
      <c r="AH133" s="34" t="str">
        <f t="shared" si="28"/>
        <v>OK</v>
      </c>
      <c r="AI133" s="28">
        <f t="shared" si="34"/>
        <v>-184.09226525300429</v>
      </c>
      <c r="AJ133" s="32">
        <f t="shared" si="35"/>
        <v>0.62660155678712048</v>
      </c>
    </row>
    <row r="134" spans="1:36" x14ac:dyDescent="0.25">
      <c r="A134" s="6" t="s">
        <v>43</v>
      </c>
      <c r="B134" s="17">
        <v>9.5</v>
      </c>
      <c r="C134" s="6" t="s">
        <v>36</v>
      </c>
      <c r="D134" s="6" t="s">
        <v>11</v>
      </c>
      <c r="E134" s="1">
        <v>200.797</v>
      </c>
      <c r="F134" s="1">
        <v>-7.2470999999999997</v>
      </c>
      <c r="G134" s="29">
        <v>300</v>
      </c>
      <c r="H134" s="29">
        <v>500</v>
      </c>
      <c r="I134" s="28">
        <f t="shared" si="24"/>
        <v>460</v>
      </c>
      <c r="J134" s="28">
        <f t="shared" si="29"/>
        <v>44.77000630119722</v>
      </c>
      <c r="K134" s="59">
        <v>18</v>
      </c>
      <c r="L134" s="59">
        <v>2</v>
      </c>
      <c r="M134" s="59">
        <v>12</v>
      </c>
      <c r="N134" s="59">
        <v>0</v>
      </c>
      <c r="O134" s="28">
        <f t="shared" si="30"/>
        <v>508.93800988154646</v>
      </c>
      <c r="P134" s="34" t="str">
        <f t="shared" si="25"/>
        <v>OK</v>
      </c>
      <c r="Q134" s="17">
        <f t="shared" si="26"/>
        <v>82.383831411565467</v>
      </c>
      <c r="R134" s="19">
        <f t="shared" si="31"/>
        <v>-8.7967503766553573E-2</v>
      </c>
      <c r="S134" s="6" t="s">
        <v>43</v>
      </c>
      <c r="T134" s="17">
        <v>9.5</v>
      </c>
      <c r="U134" s="6" t="s">
        <v>36</v>
      </c>
      <c r="V134" s="6" t="s">
        <v>12</v>
      </c>
      <c r="W134" s="1">
        <v>74.409000000000006</v>
      </c>
      <c r="X134" s="1">
        <v>-178.97319999999999</v>
      </c>
      <c r="Y134" s="29">
        <v>300</v>
      </c>
      <c r="Z134" s="29">
        <v>500</v>
      </c>
      <c r="AA134" s="28">
        <f t="shared" si="27"/>
        <v>460</v>
      </c>
      <c r="AB134" s="28">
        <f t="shared" si="32"/>
        <v>1105.6327761098137</v>
      </c>
      <c r="AC134" s="60">
        <v>20</v>
      </c>
      <c r="AD134" s="60">
        <v>2</v>
      </c>
      <c r="AE134" s="60">
        <v>18</v>
      </c>
      <c r="AF134" s="60">
        <v>2</v>
      </c>
      <c r="AG134" s="28">
        <f t="shared" si="33"/>
        <v>1137.2565405995051</v>
      </c>
      <c r="AH134" s="34" t="str">
        <f t="shared" si="28"/>
        <v>OK</v>
      </c>
      <c r="AI134" s="28">
        <f t="shared" si="34"/>
        <v>-184.09226525300429</v>
      </c>
      <c r="AJ134" s="32">
        <f t="shared" si="35"/>
        <v>0.97219293680824126</v>
      </c>
    </row>
    <row r="135" spans="1:36" x14ac:dyDescent="0.25">
      <c r="A135" s="6" t="s">
        <v>44</v>
      </c>
      <c r="B135" s="17">
        <v>9.5</v>
      </c>
      <c r="C135" s="6" t="s">
        <v>36</v>
      </c>
      <c r="D135" s="6" t="s">
        <v>11</v>
      </c>
      <c r="E135" s="1">
        <v>-34.537999999999997</v>
      </c>
      <c r="F135" s="1">
        <v>40.501199999999997</v>
      </c>
      <c r="G135" s="29">
        <v>300</v>
      </c>
      <c r="H135" s="29">
        <v>500</v>
      </c>
      <c r="I135" s="28">
        <f t="shared" si="24"/>
        <v>460</v>
      </c>
      <c r="J135" s="28">
        <f t="shared" si="29"/>
        <v>250.20200896993953</v>
      </c>
      <c r="K135" s="59">
        <v>18</v>
      </c>
      <c r="L135" s="59">
        <v>2</v>
      </c>
      <c r="M135" s="59">
        <v>12</v>
      </c>
      <c r="N135" s="59">
        <v>0</v>
      </c>
      <c r="O135" s="28">
        <f t="shared" si="30"/>
        <v>508.93800988154646</v>
      </c>
      <c r="P135" s="34" t="str">
        <f t="shared" si="25"/>
        <v>OK</v>
      </c>
      <c r="Q135" s="17">
        <f t="shared" si="26"/>
        <v>82.383831411565467</v>
      </c>
      <c r="R135" s="19">
        <f t="shared" si="31"/>
        <v>0.49161588270479772</v>
      </c>
      <c r="S135" s="6" t="s">
        <v>44</v>
      </c>
      <c r="T135" s="17">
        <v>9.5</v>
      </c>
      <c r="U135" s="6" t="s">
        <v>36</v>
      </c>
      <c r="V135" s="6" t="s">
        <v>12</v>
      </c>
      <c r="W135" s="1">
        <v>-157.46799999999999</v>
      </c>
      <c r="X135" s="1">
        <v>-160.3982</v>
      </c>
      <c r="Y135" s="29">
        <v>300</v>
      </c>
      <c r="Z135" s="29">
        <v>500</v>
      </c>
      <c r="AA135" s="28">
        <f t="shared" si="27"/>
        <v>460</v>
      </c>
      <c r="AB135" s="28">
        <f t="shared" si="32"/>
        <v>990.88303248205375</v>
      </c>
      <c r="AC135" s="60">
        <v>20</v>
      </c>
      <c r="AD135" s="60">
        <v>2</v>
      </c>
      <c r="AE135" s="60">
        <v>18</v>
      </c>
      <c r="AF135" s="60">
        <v>2</v>
      </c>
      <c r="AG135" s="28">
        <f t="shared" si="33"/>
        <v>1137.2565405995051</v>
      </c>
      <c r="AH135" s="34" t="str">
        <f t="shared" si="28"/>
        <v>OK</v>
      </c>
      <c r="AI135" s="28">
        <f t="shared" si="34"/>
        <v>-184.09226525300429</v>
      </c>
      <c r="AJ135" s="32">
        <f t="shared" si="35"/>
        <v>0.87129244555472918</v>
      </c>
    </row>
    <row r="136" spans="1:36" x14ac:dyDescent="0.25">
      <c r="A136" s="6" t="s">
        <v>44</v>
      </c>
      <c r="B136" s="17">
        <v>10</v>
      </c>
      <c r="C136" s="6" t="s">
        <v>36</v>
      </c>
      <c r="D136" s="6" t="s">
        <v>11</v>
      </c>
      <c r="E136" s="1">
        <v>-15.333</v>
      </c>
      <c r="F136" s="1">
        <v>52.969200000000001</v>
      </c>
      <c r="G136" s="29">
        <v>300</v>
      </c>
      <c r="H136" s="29">
        <v>500</v>
      </c>
      <c r="I136" s="28">
        <f t="shared" si="24"/>
        <v>460</v>
      </c>
      <c r="J136" s="28">
        <f t="shared" si="29"/>
        <v>327.22487860928862</v>
      </c>
      <c r="K136" s="59">
        <v>18</v>
      </c>
      <c r="L136" s="59">
        <v>2</v>
      </c>
      <c r="M136" s="59">
        <v>12</v>
      </c>
      <c r="N136" s="59">
        <v>0</v>
      </c>
      <c r="O136" s="28">
        <f t="shared" si="30"/>
        <v>508.93800988154646</v>
      </c>
      <c r="P136" s="34" t="str">
        <f t="shared" si="25"/>
        <v>OK</v>
      </c>
      <c r="Q136" s="17">
        <f t="shared" si="26"/>
        <v>82.383831411565467</v>
      </c>
      <c r="R136" s="19">
        <f t="shared" si="31"/>
        <v>0.64295625843597159</v>
      </c>
      <c r="S136" s="6" t="s">
        <v>44</v>
      </c>
      <c r="T136" s="17">
        <v>10</v>
      </c>
      <c r="U136" s="6" t="s">
        <v>36</v>
      </c>
      <c r="V136" s="6" t="s">
        <v>12</v>
      </c>
      <c r="W136" s="1">
        <v>-120.959</v>
      </c>
      <c r="X136" s="1">
        <v>-99.338200000000001</v>
      </c>
      <c r="Y136" s="29">
        <v>300</v>
      </c>
      <c r="Z136" s="29">
        <v>500</v>
      </c>
      <c r="AA136" s="28">
        <f t="shared" si="27"/>
        <v>460</v>
      </c>
      <c r="AB136" s="28">
        <f t="shared" si="32"/>
        <v>613.676069041353</v>
      </c>
      <c r="AC136" s="60">
        <v>18</v>
      </c>
      <c r="AD136" s="60">
        <v>2</v>
      </c>
      <c r="AE136" s="60">
        <v>18</v>
      </c>
      <c r="AF136" s="60">
        <v>2</v>
      </c>
      <c r="AG136" s="28">
        <f t="shared" si="33"/>
        <v>1017.8760197630929</v>
      </c>
      <c r="AH136" s="34" t="str">
        <f t="shared" si="28"/>
        <v>OK</v>
      </c>
      <c r="AI136" s="28">
        <f t="shared" si="34"/>
        <v>-164.76766282313093</v>
      </c>
      <c r="AJ136" s="32">
        <f t="shared" si="35"/>
        <v>0.60289864101934931</v>
      </c>
    </row>
    <row r="137" spans="1:36" x14ac:dyDescent="0.25">
      <c r="A137" s="6" t="s">
        <v>44</v>
      </c>
      <c r="B137" s="17">
        <v>10.5</v>
      </c>
      <c r="C137" s="6" t="s">
        <v>36</v>
      </c>
      <c r="D137" s="6" t="s">
        <v>11</v>
      </c>
      <c r="E137" s="1">
        <v>3.871</v>
      </c>
      <c r="F137" s="1">
        <v>55.834800000000001</v>
      </c>
      <c r="G137" s="29">
        <v>300</v>
      </c>
      <c r="H137" s="29">
        <v>500</v>
      </c>
      <c r="I137" s="28">
        <f t="shared" si="24"/>
        <v>460</v>
      </c>
      <c r="J137" s="28">
        <f t="shared" si="29"/>
        <v>344.92753623188401</v>
      </c>
      <c r="K137" s="59">
        <v>18</v>
      </c>
      <c r="L137" s="59">
        <v>2</v>
      </c>
      <c r="M137" s="59">
        <v>12</v>
      </c>
      <c r="N137" s="59">
        <v>0</v>
      </c>
      <c r="O137" s="28">
        <f t="shared" si="30"/>
        <v>508.93800988154646</v>
      </c>
      <c r="P137" s="34" t="str">
        <f t="shared" si="25"/>
        <v>OK</v>
      </c>
      <c r="Q137" s="17">
        <f t="shared" si="26"/>
        <v>82.383831411565467</v>
      </c>
      <c r="R137" s="19">
        <f t="shared" si="31"/>
        <v>0.6777397827137428</v>
      </c>
      <c r="S137" s="6" t="s">
        <v>44</v>
      </c>
      <c r="T137" s="17">
        <v>10.5</v>
      </c>
      <c r="U137" s="6" t="s">
        <v>36</v>
      </c>
      <c r="V137" s="6" t="s">
        <v>12</v>
      </c>
      <c r="W137" s="1">
        <v>-93.313000000000002</v>
      </c>
      <c r="X137" s="1">
        <v>-47.880499999999998</v>
      </c>
      <c r="Y137" s="29">
        <v>300</v>
      </c>
      <c r="Z137" s="29">
        <v>500</v>
      </c>
      <c r="AA137" s="28">
        <f t="shared" si="27"/>
        <v>460</v>
      </c>
      <c r="AB137" s="28">
        <f t="shared" si="32"/>
        <v>295.788699852972</v>
      </c>
      <c r="AC137" s="60">
        <v>18</v>
      </c>
      <c r="AD137" s="60">
        <v>2</v>
      </c>
      <c r="AE137" s="60">
        <v>18</v>
      </c>
      <c r="AF137" s="60">
        <v>2</v>
      </c>
      <c r="AG137" s="28">
        <f t="shared" si="33"/>
        <v>1017.8760197630929</v>
      </c>
      <c r="AH137" s="34" t="str">
        <f t="shared" si="28"/>
        <v>OK</v>
      </c>
      <c r="AI137" s="28">
        <f t="shared" si="34"/>
        <v>-164.76766282313093</v>
      </c>
      <c r="AJ137" s="32">
        <f t="shared" si="35"/>
        <v>0.29059403513781157</v>
      </c>
    </row>
    <row r="138" spans="1:36" x14ac:dyDescent="0.25">
      <c r="A138" s="6" t="s">
        <v>44</v>
      </c>
      <c r="B138" s="17">
        <v>11</v>
      </c>
      <c r="C138" s="6" t="s">
        <v>36</v>
      </c>
      <c r="D138" s="6" t="s">
        <v>11</v>
      </c>
      <c r="E138" s="1">
        <v>23.076000000000001</v>
      </c>
      <c r="F138" s="1">
        <v>49.098100000000002</v>
      </c>
      <c r="G138" s="29">
        <v>300</v>
      </c>
      <c r="H138" s="29">
        <v>500</v>
      </c>
      <c r="I138" s="28">
        <f t="shared" si="24"/>
        <v>460</v>
      </c>
      <c r="J138" s="28">
        <f t="shared" si="29"/>
        <v>303.31059960215964</v>
      </c>
      <c r="K138" s="59">
        <v>18</v>
      </c>
      <c r="L138" s="59">
        <v>2</v>
      </c>
      <c r="M138" s="59">
        <v>12</v>
      </c>
      <c r="N138" s="59">
        <v>0</v>
      </c>
      <c r="O138" s="28">
        <f t="shared" si="30"/>
        <v>508.93800988154646</v>
      </c>
      <c r="P138" s="34" t="str">
        <f t="shared" si="25"/>
        <v>OK</v>
      </c>
      <c r="Q138" s="17">
        <f t="shared" si="26"/>
        <v>82.383831411565467</v>
      </c>
      <c r="R138" s="19">
        <f t="shared" si="31"/>
        <v>0.59596766936852319</v>
      </c>
      <c r="S138" s="6" t="s">
        <v>44</v>
      </c>
      <c r="T138" s="17">
        <v>11</v>
      </c>
      <c r="U138" s="6" t="s">
        <v>36</v>
      </c>
      <c r="V138" s="6" t="s">
        <v>12</v>
      </c>
      <c r="W138" s="1">
        <v>-74.108000000000004</v>
      </c>
      <c r="X138" s="1">
        <v>-6.0254000000000003</v>
      </c>
      <c r="Y138" s="29">
        <v>300</v>
      </c>
      <c r="Z138" s="29">
        <v>500</v>
      </c>
      <c r="AA138" s="28">
        <f t="shared" si="27"/>
        <v>460</v>
      </c>
      <c r="AB138" s="28">
        <f t="shared" si="32"/>
        <v>37.222778210212873</v>
      </c>
      <c r="AC138" s="60">
        <v>18</v>
      </c>
      <c r="AD138" s="60">
        <v>2</v>
      </c>
      <c r="AE138" s="60">
        <v>18</v>
      </c>
      <c r="AF138" s="60">
        <v>2</v>
      </c>
      <c r="AG138" s="28">
        <f t="shared" si="33"/>
        <v>1017.8760197630929</v>
      </c>
      <c r="AH138" s="34" t="str">
        <f t="shared" si="28"/>
        <v>OK</v>
      </c>
      <c r="AI138" s="28">
        <f t="shared" si="34"/>
        <v>-164.76766282313093</v>
      </c>
      <c r="AJ138" s="32">
        <f t="shared" si="35"/>
        <v>3.6569068813386868E-2</v>
      </c>
    </row>
    <row r="139" spans="1:36" x14ac:dyDescent="0.25">
      <c r="A139" s="6" t="s">
        <v>44</v>
      </c>
      <c r="B139" s="17">
        <v>11.5</v>
      </c>
      <c r="C139" s="6" t="s">
        <v>36</v>
      </c>
      <c r="D139" s="6" t="s">
        <v>11</v>
      </c>
      <c r="E139" s="1">
        <v>42.280999999999999</v>
      </c>
      <c r="F139" s="1">
        <v>56.162100000000002</v>
      </c>
      <c r="G139" s="29">
        <v>300</v>
      </c>
      <c r="H139" s="29">
        <v>500</v>
      </c>
      <c r="I139" s="28">
        <f t="shared" si="24"/>
        <v>460</v>
      </c>
      <c r="J139" s="28">
        <f t="shared" si="29"/>
        <v>346.94947922458203</v>
      </c>
      <c r="K139" s="59">
        <v>18</v>
      </c>
      <c r="L139" s="59">
        <v>2</v>
      </c>
      <c r="M139" s="59">
        <v>12</v>
      </c>
      <c r="N139" s="59">
        <v>0</v>
      </c>
      <c r="O139" s="28">
        <f t="shared" si="30"/>
        <v>508.93800988154646</v>
      </c>
      <c r="P139" s="34" t="str">
        <f t="shared" si="25"/>
        <v>OK</v>
      </c>
      <c r="Q139" s="17">
        <f t="shared" si="26"/>
        <v>82.383831411565467</v>
      </c>
      <c r="R139" s="19">
        <f t="shared" si="31"/>
        <v>0.68171264965124789</v>
      </c>
      <c r="S139" s="6" t="s">
        <v>44</v>
      </c>
      <c r="T139" s="17">
        <v>11.5</v>
      </c>
      <c r="U139" s="6" t="s">
        <v>36</v>
      </c>
      <c r="V139" s="6" t="s">
        <v>12</v>
      </c>
      <c r="W139" s="1">
        <v>-54.902999999999999</v>
      </c>
      <c r="X139" s="1">
        <v>26.2239</v>
      </c>
      <c r="Y139" s="29">
        <v>300</v>
      </c>
      <c r="Z139" s="29">
        <v>500</v>
      </c>
      <c r="AA139" s="28">
        <f t="shared" si="27"/>
        <v>460</v>
      </c>
      <c r="AB139" s="28">
        <f t="shared" si="32"/>
        <v>162.00192742503427</v>
      </c>
      <c r="AC139" s="60">
        <v>18</v>
      </c>
      <c r="AD139" s="60">
        <v>2</v>
      </c>
      <c r="AE139" s="60">
        <v>14</v>
      </c>
      <c r="AF139" s="60">
        <v>2</v>
      </c>
      <c r="AG139" s="28">
        <f t="shared" si="33"/>
        <v>816.81408993334617</v>
      </c>
      <c r="AH139" s="34" t="str">
        <f t="shared" si="28"/>
        <v>OK</v>
      </c>
      <c r="AI139" s="28">
        <f t="shared" si="34"/>
        <v>-132.22096399387047</v>
      </c>
      <c r="AJ139" s="32">
        <f t="shared" si="35"/>
        <v>-0.19833390415468227</v>
      </c>
    </row>
    <row r="140" spans="1:36" x14ac:dyDescent="0.25">
      <c r="A140" s="6" t="s">
        <v>44</v>
      </c>
      <c r="B140" s="17">
        <v>12</v>
      </c>
      <c r="C140" s="6" t="s">
        <v>36</v>
      </c>
      <c r="D140" s="6" t="s">
        <v>11</v>
      </c>
      <c r="E140" s="1">
        <v>61.485999999999997</v>
      </c>
      <c r="F140" s="1">
        <v>52.751800000000003</v>
      </c>
      <c r="G140" s="29">
        <v>300</v>
      </c>
      <c r="H140" s="29">
        <v>500</v>
      </c>
      <c r="I140" s="28">
        <f t="shared" si="24"/>
        <v>460</v>
      </c>
      <c r="J140" s="28">
        <f t="shared" si="29"/>
        <v>325.88185872962919</v>
      </c>
      <c r="K140" s="59">
        <v>18</v>
      </c>
      <c r="L140" s="59">
        <v>2</v>
      </c>
      <c r="M140" s="59">
        <v>12</v>
      </c>
      <c r="N140" s="59">
        <v>0</v>
      </c>
      <c r="O140" s="28">
        <f t="shared" si="30"/>
        <v>508.93800988154646</v>
      </c>
      <c r="P140" s="34" t="str">
        <f t="shared" si="25"/>
        <v>OK</v>
      </c>
      <c r="Q140" s="17">
        <f t="shared" si="26"/>
        <v>82.383831411565467</v>
      </c>
      <c r="R140" s="19">
        <f t="shared" si="31"/>
        <v>0.64031739112092856</v>
      </c>
      <c r="S140" s="6" t="s">
        <v>44</v>
      </c>
      <c r="T140" s="17">
        <v>12</v>
      </c>
      <c r="U140" s="6" t="s">
        <v>36</v>
      </c>
      <c r="V140" s="6" t="s">
        <v>12</v>
      </c>
      <c r="W140" s="1">
        <v>-35.698999999999998</v>
      </c>
      <c r="X140" s="1">
        <v>6.8159999999999998</v>
      </c>
      <c r="Y140" s="29">
        <v>300</v>
      </c>
      <c r="Z140" s="29">
        <v>500</v>
      </c>
      <c r="AA140" s="28">
        <f t="shared" si="27"/>
        <v>460</v>
      </c>
      <c r="AB140" s="28">
        <f t="shared" si="32"/>
        <v>42.106823825938683</v>
      </c>
      <c r="AC140" s="60">
        <v>18</v>
      </c>
      <c r="AD140" s="60">
        <v>2</v>
      </c>
      <c r="AE140" s="60">
        <v>14</v>
      </c>
      <c r="AF140" s="60">
        <v>2</v>
      </c>
      <c r="AG140" s="28">
        <f t="shared" si="33"/>
        <v>816.81408993334617</v>
      </c>
      <c r="AH140" s="34" t="str">
        <f t="shared" si="28"/>
        <v>OK</v>
      </c>
      <c r="AI140" s="28">
        <f t="shared" si="34"/>
        <v>-132.22096399387047</v>
      </c>
      <c r="AJ140" s="32">
        <f t="shared" si="35"/>
        <v>-5.1550070383059511E-2</v>
      </c>
    </row>
    <row r="141" spans="1:36" x14ac:dyDescent="0.25">
      <c r="A141" s="6" t="s">
        <v>44</v>
      </c>
      <c r="B141" s="17">
        <v>12.5</v>
      </c>
      <c r="C141" s="6" t="s">
        <v>36</v>
      </c>
      <c r="D141" s="6" t="s">
        <v>11</v>
      </c>
      <c r="E141" s="1">
        <v>80.691000000000003</v>
      </c>
      <c r="F141" s="1">
        <v>61.9268</v>
      </c>
      <c r="G141" s="29">
        <v>300</v>
      </c>
      <c r="H141" s="29">
        <v>500</v>
      </c>
      <c r="I141" s="28">
        <f t="shared" si="24"/>
        <v>460</v>
      </c>
      <c r="J141" s="28">
        <f t="shared" si="29"/>
        <v>382.56174555518481</v>
      </c>
      <c r="K141" s="59">
        <v>18</v>
      </c>
      <c r="L141" s="59">
        <v>2</v>
      </c>
      <c r="M141" s="59">
        <v>12</v>
      </c>
      <c r="N141" s="59">
        <v>0</v>
      </c>
      <c r="O141" s="28">
        <f t="shared" si="30"/>
        <v>508.93800988154646</v>
      </c>
      <c r="P141" s="34" t="str">
        <f t="shared" si="25"/>
        <v>OK</v>
      </c>
      <c r="Q141" s="17">
        <f t="shared" si="26"/>
        <v>82.383831411565467</v>
      </c>
      <c r="R141" s="19">
        <f t="shared" si="31"/>
        <v>0.75168633139471097</v>
      </c>
      <c r="S141" s="6" t="s">
        <v>44</v>
      </c>
      <c r="T141" s="17">
        <v>12.5</v>
      </c>
      <c r="U141" s="6" t="s">
        <v>36</v>
      </c>
      <c r="V141" s="6" t="s">
        <v>12</v>
      </c>
      <c r="W141" s="1">
        <v>-16.494</v>
      </c>
      <c r="X141" s="1">
        <v>-28.727799999999998</v>
      </c>
      <c r="Y141" s="29">
        <v>300</v>
      </c>
      <c r="Z141" s="29">
        <v>500</v>
      </c>
      <c r="AA141" s="28">
        <f t="shared" si="27"/>
        <v>460</v>
      </c>
      <c r="AB141" s="28">
        <f t="shared" si="32"/>
        <v>177.47013108961286</v>
      </c>
      <c r="AC141" s="60">
        <v>18</v>
      </c>
      <c r="AD141" s="60">
        <v>2</v>
      </c>
      <c r="AE141" s="60">
        <v>14</v>
      </c>
      <c r="AF141" s="60">
        <v>2</v>
      </c>
      <c r="AG141" s="28">
        <f t="shared" si="33"/>
        <v>816.81408993334617</v>
      </c>
      <c r="AH141" s="34" t="str">
        <f t="shared" si="28"/>
        <v>OK</v>
      </c>
      <c r="AI141" s="28">
        <f t="shared" si="34"/>
        <v>-132.22096399387047</v>
      </c>
      <c r="AJ141" s="32">
        <f t="shared" si="35"/>
        <v>0.21727114318521962</v>
      </c>
    </row>
    <row r="142" spans="1:36" x14ac:dyDescent="0.25">
      <c r="A142" s="6" t="s">
        <v>44</v>
      </c>
      <c r="B142" s="17">
        <v>13</v>
      </c>
      <c r="C142" s="6" t="s">
        <v>36</v>
      </c>
      <c r="D142" s="6" t="s">
        <v>11</v>
      </c>
      <c r="E142" s="1">
        <v>99.896000000000001</v>
      </c>
      <c r="F142" s="1">
        <v>65.372299999999996</v>
      </c>
      <c r="G142" s="29">
        <v>300</v>
      </c>
      <c r="H142" s="29">
        <v>500</v>
      </c>
      <c r="I142" s="28">
        <f t="shared" si="24"/>
        <v>460</v>
      </c>
      <c r="J142" s="28">
        <f t="shared" si="29"/>
        <v>403.84681913092885</v>
      </c>
      <c r="K142" s="59">
        <v>18</v>
      </c>
      <c r="L142" s="59">
        <v>2</v>
      </c>
      <c r="M142" s="59">
        <v>12</v>
      </c>
      <c r="N142" s="59">
        <v>0</v>
      </c>
      <c r="O142" s="28">
        <f t="shared" si="30"/>
        <v>508.93800988154646</v>
      </c>
      <c r="P142" s="34" t="str">
        <f t="shared" si="25"/>
        <v>OK</v>
      </c>
      <c r="Q142" s="17">
        <f t="shared" si="26"/>
        <v>82.383831411565467</v>
      </c>
      <c r="R142" s="19">
        <f t="shared" si="31"/>
        <v>0.79350885822994988</v>
      </c>
      <c r="S142" s="6" t="s">
        <v>44</v>
      </c>
      <c r="T142" s="17">
        <v>13</v>
      </c>
      <c r="U142" s="6" t="s">
        <v>36</v>
      </c>
      <c r="V142" s="6" t="s">
        <v>12</v>
      </c>
      <c r="W142" s="1">
        <v>2.7109999999999999</v>
      </c>
      <c r="X142" s="1">
        <v>-73.874300000000005</v>
      </c>
      <c r="Y142" s="29">
        <v>300</v>
      </c>
      <c r="Z142" s="29">
        <v>500</v>
      </c>
      <c r="AA142" s="28">
        <f t="shared" si="27"/>
        <v>460</v>
      </c>
      <c r="AB142" s="28">
        <f t="shared" si="32"/>
        <v>456.36915131522039</v>
      </c>
      <c r="AC142" s="60">
        <v>18</v>
      </c>
      <c r="AD142" s="60">
        <v>2</v>
      </c>
      <c r="AE142" s="60">
        <v>14</v>
      </c>
      <c r="AF142" s="60">
        <v>2</v>
      </c>
      <c r="AG142" s="28">
        <f t="shared" si="33"/>
        <v>816.81408993334617</v>
      </c>
      <c r="AH142" s="34" t="str">
        <f t="shared" si="28"/>
        <v>OK</v>
      </c>
      <c r="AI142" s="28">
        <f t="shared" si="34"/>
        <v>-132.22096399387047</v>
      </c>
      <c r="AJ142" s="32">
        <f t="shared" si="35"/>
        <v>0.55871851004977313</v>
      </c>
    </row>
    <row r="143" spans="1:36" x14ac:dyDescent="0.25">
      <c r="A143" s="6" t="s">
        <v>44</v>
      </c>
      <c r="B143" s="17">
        <v>13.5</v>
      </c>
      <c r="C143" s="6" t="s">
        <v>36</v>
      </c>
      <c r="D143" s="6" t="s">
        <v>11</v>
      </c>
      <c r="E143" s="1">
        <v>134.6</v>
      </c>
      <c r="F143" s="1">
        <v>59.215600000000002</v>
      </c>
      <c r="G143" s="29">
        <v>300</v>
      </c>
      <c r="H143" s="29">
        <v>500</v>
      </c>
      <c r="I143" s="28">
        <f t="shared" si="24"/>
        <v>460</v>
      </c>
      <c r="J143" s="28">
        <f t="shared" si="29"/>
        <v>365.81291621878739</v>
      </c>
      <c r="K143" s="59">
        <v>18</v>
      </c>
      <c r="L143" s="59">
        <v>2</v>
      </c>
      <c r="M143" s="59">
        <v>12</v>
      </c>
      <c r="N143" s="59">
        <v>0</v>
      </c>
      <c r="O143" s="28">
        <f>PI()*K143^2/4*L143+PI()*M143^2/4*N143</f>
        <v>508.93800988154646</v>
      </c>
      <c r="P143" s="34" t="str">
        <f t="shared" si="25"/>
        <v>OK</v>
      </c>
      <c r="Q143" s="17">
        <f t="shared" si="26"/>
        <v>82.383831411565467</v>
      </c>
      <c r="R143" s="19">
        <f t="shared" si="31"/>
        <v>0.7187769612726097</v>
      </c>
      <c r="S143" s="6" t="s">
        <v>44</v>
      </c>
      <c r="T143" s="17">
        <v>13.5</v>
      </c>
      <c r="U143" s="6" t="s">
        <v>36</v>
      </c>
      <c r="V143" s="6" t="s">
        <v>12</v>
      </c>
      <c r="W143" s="1">
        <v>21.916</v>
      </c>
      <c r="X143" s="1">
        <v>-128.6232</v>
      </c>
      <c r="Y143" s="29">
        <v>300</v>
      </c>
      <c r="Z143" s="29">
        <v>500</v>
      </c>
      <c r="AA143" s="28">
        <f t="shared" si="27"/>
        <v>460</v>
      </c>
      <c r="AB143" s="28">
        <f t="shared" si="32"/>
        <v>794.58838355758166</v>
      </c>
      <c r="AC143" s="60">
        <v>18</v>
      </c>
      <c r="AD143" s="60">
        <v>2</v>
      </c>
      <c r="AE143" s="60">
        <v>14</v>
      </c>
      <c r="AF143" s="60">
        <v>2</v>
      </c>
      <c r="AG143" s="28">
        <f>PI()*AC143^2/4*AD143+PI()*AE143^2/4*AF143</f>
        <v>816.81408993334617</v>
      </c>
      <c r="AH143" s="34" t="str">
        <f t="shared" si="28"/>
        <v>OK</v>
      </c>
      <c r="AI143" s="28">
        <f t="shared" si="34"/>
        <v>-132.22096399387047</v>
      </c>
      <c r="AJ143" s="32">
        <f>X143/AI143</f>
        <v>0.97278976128144656</v>
      </c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67" spans="1:36" x14ac:dyDescent="0.25">
      <c r="A167" s="2" t="s">
        <v>1</v>
      </c>
      <c r="B167" s="3" t="s">
        <v>2</v>
      </c>
      <c r="C167" s="2" t="s">
        <v>34</v>
      </c>
      <c r="D167" s="2" t="s">
        <v>3</v>
      </c>
      <c r="E167" s="3" t="s">
        <v>4</v>
      </c>
      <c r="F167" s="3" t="s">
        <v>5</v>
      </c>
      <c r="G167" s="5" t="s">
        <v>20</v>
      </c>
      <c r="H167" s="5" t="s">
        <v>21</v>
      </c>
      <c r="I167" s="5" t="s">
        <v>25</v>
      </c>
      <c r="J167" s="5" t="s">
        <v>23</v>
      </c>
      <c r="K167" s="5" t="s">
        <v>26</v>
      </c>
      <c r="L167" s="5" t="s">
        <v>27</v>
      </c>
      <c r="M167" s="5" t="s">
        <v>26</v>
      </c>
      <c r="N167" s="5" t="s">
        <v>27</v>
      </c>
      <c r="O167" s="5" t="s">
        <v>23</v>
      </c>
      <c r="P167" s="18"/>
      <c r="Q167" s="5" t="s">
        <v>31</v>
      </c>
      <c r="R167" s="5" t="s">
        <v>33</v>
      </c>
      <c r="S167" s="2" t="s">
        <v>1</v>
      </c>
      <c r="T167" s="3" t="s">
        <v>2</v>
      </c>
      <c r="U167" s="2" t="s">
        <v>34</v>
      </c>
      <c r="V167" s="2" t="s">
        <v>3</v>
      </c>
      <c r="W167" s="3" t="s">
        <v>4</v>
      </c>
      <c r="X167" s="3" t="s">
        <v>5</v>
      </c>
      <c r="Y167" s="5" t="s">
        <v>20</v>
      </c>
      <c r="Z167" s="5" t="s">
        <v>21</v>
      </c>
      <c r="AA167" s="5" t="s">
        <v>25</v>
      </c>
      <c r="AB167" s="5" t="s">
        <v>23</v>
      </c>
      <c r="AC167" s="5" t="s">
        <v>26</v>
      </c>
      <c r="AD167" s="5" t="s">
        <v>27</v>
      </c>
      <c r="AE167" s="5" t="s">
        <v>26</v>
      </c>
      <c r="AF167" s="5" t="s">
        <v>27</v>
      </c>
      <c r="AG167" s="5" t="s">
        <v>23</v>
      </c>
      <c r="AH167" s="18"/>
      <c r="AI167" s="5" t="s">
        <v>31</v>
      </c>
      <c r="AJ167" s="5" t="s">
        <v>33</v>
      </c>
    </row>
    <row r="168" spans="1:36" x14ac:dyDescent="0.25">
      <c r="A168" s="4" t="s">
        <v>6</v>
      </c>
      <c r="B168" s="5" t="s">
        <v>7</v>
      </c>
      <c r="C168" s="4" t="s">
        <v>6</v>
      </c>
      <c r="D168" s="4" t="s">
        <v>6</v>
      </c>
      <c r="E168" s="5" t="s">
        <v>8</v>
      </c>
      <c r="F168" s="5" t="s">
        <v>9</v>
      </c>
      <c r="G168" s="9" t="s">
        <v>22</v>
      </c>
      <c r="H168" s="9" t="s">
        <v>22</v>
      </c>
      <c r="I168" s="9" t="s">
        <v>22</v>
      </c>
      <c r="J168" s="9" t="s">
        <v>24</v>
      </c>
      <c r="K168" s="9" t="s">
        <v>22</v>
      </c>
      <c r="L168" s="9" t="s">
        <v>28</v>
      </c>
      <c r="M168" s="9" t="s">
        <v>22</v>
      </c>
      <c r="N168" s="9" t="s">
        <v>28</v>
      </c>
      <c r="O168" s="9" t="s">
        <v>24</v>
      </c>
      <c r="P168" s="31"/>
      <c r="Q168" s="9" t="s">
        <v>9</v>
      </c>
      <c r="R168" s="9" t="s">
        <v>28</v>
      </c>
      <c r="S168" s="4" t="s">
        <v>6</v>
      </c>
      <c r="T168" s="5" t="s">
        <v>7</v>
      </c>
      <c r="U168" s="4" t="s">
        <v>6</v>
      </c>
      <c r="V168" s="4" t="s">
        <v>6</v>
      </c>
      <c r="W168" s="5" t="s">
        <v>8</v>
      </c>
      <c r="X168" s="5" t="s">
        <v>9</v>
      </c>
      <c r="Y168" s="9" t="s">
        <v>22</v>
      </c>
      <c r="Z168" s="5" t="s">
        <v>22</v>
      </c>
      <c r="AA168" s="5" t="s">
        <v>22</v>
      </c>
      <c r="AB168" s="5" t="s">
        <v>24</v>
      </c>
      <c r="AC168" s="5" t="s">
        <v>22</v>
      </c>
      <c r="AD168" s="5" t="s">
        <v>28</v>
      </c>
      <c r="AE168" s="5" t="s">
        <v>22</v>
      </c>
      <c r="AF168" s="5" t="s">
        <v>28</v>
      </c>
      <c r="AG168" s="5" t="s">
        <v>24</v>
      </c>
      <c r="AH168" s="18"/>
      <c r="AI168" s="5" t="s">
        <v>9</v>
      </c>
      <c r="AJ168" s="5" t="s">
        <v>28</v>
      </c>
    </row>
    <row r="169" spans="1:36" x14ac:dyDescent="0.25">
      <c r="A169" s="6" t="s">
        <v>45</v>
      </c>
      <c r="B169" s="17">
        <v>0</v>
      </c>
      <c r="C169" s="6" t="s">
        <v>36</v>
      </c>
      <c r="D169" s="6" t="s">
        <v>11</v>
      </c>
      <c r="E169" s="1">
        <v>-17.202000000000002</v>
      </c>
      <c r="F169" s="1">
        <v>68.280799999999999</v>
      </c>
      <c r="G169" s="29">
        <v>300</v>
      </c>
      <c r="H169" s="29">
        <v>500</v>
      </c>
      <c r="I169" s="28">
        <f t="shared" ref="I169:I198" si="36">H169-40</f>
        <v>460</v>
      </c>
      <c r="J169" s="28">
        <f>ABS(F169)*1000^2/(0.9*391*I169)</f>
        <v>421.81449769573857</v>
      </c>
      <c r="K169" s="59">
        <v>18</v>
      </c>
      <c r="L169" s="59">
        <v>2</v>
      </c>
      <c r="M169" s="59">
        <v>12</v>
      </c>
      <c r="N169" s="59">
        <v>0</v>
      </c>
      <c r="O169" s="28">
        <f>PI()*K169^2/4*L169+PI()*M169^2/4*N169</f>
        <v>508.93800988154646</v>
      </c>
      <c r="P169" s="34" t="str">
        <f t="shared" ref="P169:P198" si="37">IF(O169&gt;=J169,"OK","NO")</f>
        <v>OK</v>
      </c>
      <c r="Q169" s="17">
        <f t="shared" ref="Q169:Q198" si="38">(O169*0.9*391*I169)/1000^2</f>
        <v>82.383831411565467</v>
      </c>
      <c r="R169" s="19">
        <f>F169/Q169</f>
        <v>0.82881311575434191</v>
      </c>
      <c r="S169" s="6" t="s">
        <v>45</v>
      </c>
      <c r="T169" s="17">
        <v>0</v>
      </c>
      <c r="U169" s="6" t="s">
        <v>36</v>
      </c>
      <c r="V169" s="6" t="s">
        <v>12</v>
      </c>
      <c r="W169" s="1">
        <v>-134.63900000000001</v>
      </c>
      <c r="X169" s="1">
        <v>-137.82730000000001</v>
      </c>
      <c r="Y169" s="29">
        <v>300</v>
      </c>
      <c r="Z169" s="29">
        <v>500</v>
      </c>
      <c r="AA169" s="28">
        <f t="shared" ref="AA169:AA198" si="39">Z169-40</f>
        <v>460</v>
      </c>
      <c r="AB169" s="28">
        <f>ABS(X169)*1000^2/(0.9*391*AA169)</f>
        <v>851.44803983345059</v>
      </c>
      <c r="AC169" s="60">
        <v>20</v>
      </c>
      <c r="AD169" s="60">
        <v>2</v>
      </c>
      <c r="AE169" s="60">
        <v>14</v>
      </c>
      <c r="AF169" s="60">
        <v>2</v>
      </c>
      <c r="AG169" s="28">
        <f>PI()*AC169^2/4*AD169+PI()*AE169^2/4*AF169</f>
        <v>936.19461076975836</v>
      </c>
      <c r="AH169" s="34" t="str">
        <f t="shared" ref="AH169:AH198" si="40">IF(AG169&gt;=AB169,"OK","NO")</f>
        <v>OK</v>
      </c>
      <c r="AI169" s="28">
        <f>-(AG169*0.9*391*AA169)/1000^2</f>
        <v>-151.54556642374388</v>
      </c>
      <c r="AJ169" s="32">
        <f>X169/AI169</f>
        <v>0.9094776129221388</v>
      </c>
    </row>
    <row r="170" spans="1:36" x14ac:dyDescent="0.25">
      <c r="A170" s="6" t="s">
        <v>45</v>
      </c>
      <c r="B170" s="17">
        <v>0.5</v>
      </c>
      <c r="C170" s="6" t="s">
        <v>36</v>
      </c>
      <c r="D170" s="6" t="s">
        <v>11</v>
      </c>
      <c r="E170" s="1">
        <v>2.0030000000000001</v>
      </c>
      <c r="F170" s="1">
        <v>72.080399999999997</v>
      </c>
      <c r="G170" s="29">
        <v>300</v>
      </c>
      <c r="H170" s="29">
        <v>500</v>
      </c>
      <c r="I170" s="28">
        <f t="shared" si="36"/>
        <v>460</v>
      </c>
      <c r="J170" s="28">
        <f t="shared" ref="J170:J198" si="41">ABS(F170)*1000^2/(0.9*391*I170)</f>
        <v>445.28707513251038</v>
      </c>
      <c r="K170" s="59">
        <v>18</v>
      </c>
      <c r="L170" s="59">
        <v>2</v>
      </c>
      <c r="M170" s="59">
        <v>12</v>
      </c>
      <c r="N170" s="59">
        <v>0</v>
      </c>
      <c r="O170" s="28">
        <f t="shared" ref="O170:O197" si="42">PI()*K170^2/4*L170+PI()*M170^2/4*N170</f>
        <v>508.93800988154646</v>
      </c>
      <c r="P170" s="34" t="str">
        <f t="shared" si="37"/>
        <v>OK</v>
      </c>
      <c r="Q170" s="17">
        <f t="shared" si="38"/>
        <v>82.383831411565467</v>
      </c>
      <c r="R170" s="19">
        <f t="shared" ref="R170:R198" si="43">F170/Q170</f>
        <v>0.87493381607742249</v>
      </c>
      <c r="S170" s="6" t="s">
        <v>45</v>
      </c>
      <c r="T170" s="17">
        <v>0.5</v>
      </c>
      <c r="U170" s="6" t="s">
        <v>36</v>
      </c>
      <c r="V170" s="6" t="s">
        <v>12</v>
      </c>
      <c r="W170" s="1">
        <v>-104.634</v>
      </c>
      <c r="X170" s="1">
        <v>-80.709299999999999</v>
      </c>
      <c r="Y170" s="29">
        <v>300</v>
      </c>
      <c r="Z170" s="29">
        <v>500</v>
      </c>
      <c r="AA170" s="28">
        <f t="shared" si="39"/>
        <v>460</v>
      </c>
      <c r="AB170" s="28">
        <f t="shared" ref="AB170:AB198" si="44">ABS(X170)*1000^2/(0.9*391*AA170)</f>
        <v>498.59335038363162</v>
      </c>
      <c r="AC170" s="60">
        <v>20</v>
      </c>
      <c r="AD170" s="60">
        <v>2</v>
      </c>
      <c r="AE170" s="60">
        <v>14</v>
      </c>
      <c r="AF170" s="60">
        <v>2</v>
      </c>
      <c r="AG170" s="28">
        <f t="shared" ref="AG170:AG197" si="45">PI()*AC170^2/4*AD170+PI()*AE170^2/4*AF170</f>
        <v>936.19461076975836</v>
      </c>
      <c r="AH170" s="34" t="str">
        <f t="shared" si="40"/>
        <v>OK</v>
      </c>
      <c r="AI170" s="28">
        <f t="shared" ref="AI170:AI198" si="46">-(AG170*0.9*391*AA170)/1000^2</f>
        <v>-151.54556642374388</v>
      </c>
      <c r="AJ170" s="32">
        <f t="shared" ref="AJ170:AJ197" si="47">X170/AI170</f>
        <v>0.53257447185439144</v>
      </c>
    </row>
    <row r="171" spans="1:36" x14ac:dyDescent="0.25">
      <c r="A171" s="6" t="s">
        <v>45</v>
      </c>
      <c r="B171" s="17">
        <v>1</v>
      </c>
      <c r="C171" s="6" t="s">
        <v>36</v>
      </c>
      <c r="D171" s="6" t="s">
        <v>11</v>
      </c>
      <c r="E171" s="1">
        <v>21.207999999999998</v>
      </c>
      <c r="F171" s="1">
        <v>66.277699999999996</v>
      </c>
      <c r="G171" s="29">
        <v>300</v>
      </c>
      <c r="H171" s="29">
        <v>500</v>
      </c>
      <c r="I171" s="28">
        <f t="shared" si="36"/>
        <v>460</v>
      </c>
      <c r="J171" s="28">
        <f t="shared" si="41"/>
        <v>409.44005831696245</v>
      </c>
      <c r="K171" s="59">
        <v>18</v>
      </c>
      <c r="L171" s="59">
        <v>2</v>
      </c>
      <c r="M171" s="59">
        <v>12</v>
      </c>
      <c r="N171" s="59">
        <v>0</v>
      </c>
      <c r="O171" s="28">
        <f t="shared" si="42"/>
        <v>508.93800988154646</v>
      </c>
      <c r="P171" s="34" t="str">
        <f t="shared" si="37"/>
        <v>OK</v>
      </c>
      <c r="Q171" s="17">
        <f t="shared" si="38"/>
        <v>82.383831411565467</v>
      </c>
      <c r="R171" s="19">
        <f t="shared" si="43"/>
        <v>0.80449887877751203</v>
      </c>
      <c r="S171" s="6" t="s">
        <v>45</v>
      </c>
      <c r="T171" s="17">
        <v>1</v>
      </c>
      <c r="U171" s="6" t="s">
        <v>36</v>
      </c>
      <c r="V171" s="6" t="s">
        <v>12</v>
      </c>
      <c r="W171" s="1">
        <v>-85.429000000000002</v>
      </c>
      <c r="X171" s="1">
        <v>-33.1937</v>
      </c>
      <c r="Y171" s="29">
        <v>300</v>
      </c>
      <c r="Z171" s="29">
        <v>500</v>
      </c>
      <c r="AA171" s="28">
        <f t="shared" si="39"/>
        <v>460</v>
      </c>
      <c r="AB171" s="28">
        <f t="shared" si="44"/>
        <v>205.05887295056644</v>
      </c>
      <c r="AC171" s="60">
        <v>20</v>
      </c>
      <c r="AD171" s="60">
        <v>2</v>
      </c>
      <c r="AE171" s="60">
        <v>14</v>
      </c>
      <c r="AF171" s="60">
        <v>2</v>
      </c>
      <c r="AG171" s="28">
        <f t="shared" si="45"/>
        <v>936.19461076975836</v>
      </c>
      <c r="AH171" s="34" t="str">
        <f t="shared" si="40"/>
        <v>OK</v>
      </c>
      <c r="AI171" s="28">
        <f t="shared" si="46"/>
        <v>-151.54556642374388</v>
      </c>
      <c r="AJ171" s="32">
        <f t="shared" si="47"/>
        <v>0.21903445137540672</v>
      </c>
    </row>
    <row r="172" spans="1:36" x14ac:dyDescent="0.25">
      <c r="A172" s="6" t="s">
        <v>45</v>
      </c>
      <c r="B172" s="17">
        <v>1.5</v>
      </c>
      <c r="C172" s="6" t="s">
        <v>36</v>
      </c>
      <c r="D172" s="6" t="s">
        <v>11</v>
      </c>
      <c r="E172" s="1">
        <v>40.412999999999997</v>
      </c>
      <c r="F172" s="1">
        <v>52.613300000000002</v>
      </c>
      <c r="G172" s="29">
        <v>300</v>
      </c>
      <c r="H172" s="29">
        <v>500</v>
      </c>
      <c r="I172" s="28">
        <f t="shared" si="36"/>
        <v>460</v>
      </c>
      <c r="J172" s="28">
        <f t="shared" si="41"/>
        <v>325.02625498844776</v>
      </c>
      <c r="K172" s="59">
        <v>18</v>
      </c>
      <c r="L172" s="59">
        <v>2</v>
      </c>
      <c r="M172" s="59">
        <v>12</v>
      </c>
      <c r="N172" s="59">
        <v>0</v>
      </c>
      <c r="O172" s="28">
        <f t="shared" si="42"/>
        <v>508.93800988154646</v>
      </c>
      <c r="P172" s="34" t="str">
        <f t="shared" si="37"/>
        <v>OK</v>
      </c>
      <c r="Q172" s="17">
        <f t="shared" si="38"/>
        <v>82.383831411565467</v>
      </c>
      <c r="R172" s="19">
        <f t="shared" si="43"/>
        <v>0.63863623600071939</v>
      </c>
      <c r="S172" s="6" t="s">
        <v>45</v>
      </c>
      <c r="T172" s="17">
        <v>1.5</v>
      </c>
      <c r="U172" s="6" t="s">
        <v>36</v>
      </c>
      <c r="V172" s="6" t="s">
        <v>12</v>
      </c>
      <c r="W172" s="1">
        <v>-66.224000000000004</v>
      </c>
      <c r="X172" s="1">
        <v>4.7191999999999998</v>
      </c>
      <c r="Y172" s="29">
        <v>300</v>
      </c>
      <c r="Z172" s="29">
        <v>500</v>
      </c>
      <c r="AA172" s="28">
        <f t="shared" si="39"/>
        <v>460</v>
      </c>
      <c r="AB172" s="28">
        <f t="shared" si="44"/>
        <v>29.153539172442759</v>
      </c>
      <c r="AC172" s="60">
        <v>20</v>
      </c>
      <c r="AD172" s="60">
        <v>2</v>
      </c>
      <c r="AE172" s="60">
        <v>14</v>
      </c>
      <c r="AF172" s="60">
        <v>2</v>
      </c>
      <c r="AG172" s="28">
        <f t="shared" si="45"/>
        <v>936.19461076975836</v>
      </c>
      <c r="AH172" s="34" t="str">
        <f t="shared" si="40"/>
        <v>OK</v>
      </c>
      <c r="AI172" s="28">
        <f t="shared" si="46"/>
        <v>-151.54556642374388</v>
      </c>
      <c r="AJ172" s="32">
        <f t="shared" si="47"/>
        <v>-3.114046891219778E-2</v>
      </c>
    </row>
    <row r="173" spans="1:36" x14ac:dyDescent="0.25">
      <c r="A173" s="6" t="s">
        <v>45</v>
      </c>
      <c r="B173" s="17">
        <v>2</v>
      </c>
      <c r="C173" s="6" t="s">
        <v>36</v>
      </c>
      <c r="D173" s="6" t="s">
        <v>11</v>
      </c>
      <c r="E173" s="1">
        <v>59.618000000000002</v>
      </c>
      <c r="F173" s="1">
        <v>56.0428</v>
      </c>
      <c r="G173" s="29">
        <v>300</v>
      </c>
      <c r="H173" s="29">
        <v>500</v>
      </c>
      <c r="I173" s="28">
        <f t="shared" si="36"/>
        <v>460</v>
      </c>
      <c r="J173" s="28">
        <f t="shared" si="41"/>
        <v>346.21248625474129</v>
      </c>
      <c r="K173" s="59">
        <v>18</v>
      </c>
      <c r="L173" s="59">
        <v>2</v>
      </c>
      <c r="M173" s="59">
        <v>12</v>
      </c>
      <c r="N173" s="59">
        <v>0</v>
      </c>
      <c r="O173" s="28">
        <f t="shared" si="42"/>
        <v>508.93800988154646</v>
      </c>
      <c r="P173" s="34" t="str">
        <f t="shared" si="37"/>
        <v>OK</v>
      </c>
      <c r="Q173" s="17">
        <f t="shared" si="38"/>
        <v>82.383831411565467</v>
      </c>
      <c r="R173" s="19">
        <f t="shared" si="43"/>
        <v>0.68026454997008579</v>
      </c>
      <c r="S173" s="6" t="s">
        <v>45</v>
      </c>
      <c r="T173" s="17">
        <v>2</v>
      </c>
      <c r="U173" s="6" t="s">
        <v>36</v>
      </c>
      <c r="V173" s="6" t="s">
        <v>12</v>
      </c>
      <c r="W173" s="1">
        <v>-47.018999999999998</v>
      </c>
      <c r="X173" s="1">
        <v>25.860399999999998</v>
      </c>
      <c r="Y173" s="29">
        <v>300</v>
      </c>
      <c r="Z173" s="29">
        <v>500</v>
      </c>
      <c r="AA173" s="28">
        <f t="shared" si="39"/>
        <v>460</v>
      </c>
      <c r="AB173" s="28">
        <f t="shared" si="44"/>
        <v>159.75635370720434</v>
      </c>
      <c r="AC173" s="60">
        <v>20</v>
      </c>
      <c r="AD173" s="60">
        <v>2</v>
      </c>
      <c r="AE173" s="60">
        <v>14</v>
      </c>
      <c r="AF173" s="60">
        <v>2</v>
      </c>
      <c r="AG173" s="28">
        <f t="shared" si="45"/>
        <v>936.19461076975836</v>
      </c>
      <c r="AH173" s="34" t="str">
        <f t="shared" si="40"/>
        <v>OK</v>
      </c>
      <c r="AI173" s="28">
        <f t="shared" si="46"/>
        <v>-151.54556642374388</v>
      </c>
      <c r="AJ173" s="32">
        <f t="shared" si="47"/>
        <v>-0.17064438511972357</v>
      </c>
    </row>
    <row r="174" spans="1:36" x14ac:dyDescent="0.25">
      <c r="A174" s="6" t="s">
        <v>45</v>
      </c>
      <c r="B174" s="17">
        <v>2.5</v>
      </c>
      <c r="C174" s="6" t="s">
        <v>36</v>
      </c>
      <c r="D174" s="6" t="s">
        <v>11</v>
      </c>
      <c r="E174" s="1">
        <v>78.822999999999993</v>
      </c>
      <c r="F174" s="1">
        <v>51.739699999999999</v>
      </c>
      <c r="G174" s="29">
        <v>300</v>
      </c>
      <c r="H174" s="29">
        <v>500</v>
      </c>
      <c r="I174" s="28">
        <f t="shared" si="36"/>
        <v>460</v>
      </c>
      <c r="J174" s="28">
        <f t="shared" si="41"/>
        <v>319.62946489244717</v>
      </c>
      <c r="K174" s="59">
        <v>18</v>
      </c>
      <c r="L174" s="59">
        <v>2</v>
      </c>
      <c r="M174" s="59">
        <v>12</v>
      </c>
      <c r="N174" s="59">
        <v>0</v>
      </c>
      <c r="O174" s="28">
        <f t="shared" si="42"/>
        <v>508.93800988154646</v>
      </c>
      <c r="P174" s="34" t="str">
        <f t="shared" si="37"/>
        <v>OK</v>
      </c>
      <c r="Q174" s="17">
        <f t="shared" si="38"/>
        <v>82.383831411565467</v>
      </c>
      <c r="R174" s="19">
        <f t="shared" si="43"/>
        <v>0.6280322135240789</v>
      </c>
      <c r="S174" s="6" t="s">
        <v>45</v>
      </c>
      <c r="T174" s="17">
        <v>2.5</v>
      </c>
      <c r="U174" s="6" t="s">
        <v>36</v>
      </c>
      <c r="V174" s="6" t="s">
        <v>12</v>
      </c>
      <c r="W174" s="1">
        <v>-27.814</v>
      </c>
      <c r="X174" s="1">
        <v>-8.7461000000000002</v>
      </c>
      <c r="Y174" s="29">
        <v>300</v>
      </c>
      <c r="Z174" s="29">
        <v>500</v>
      </c>
      <c r="AA174" s="28">
        <f t="shared" si="39"/>
        <v>460</v>
      </c>
      <c r="AB174" s="28">
        <f t="shared" si="44"/>
        <v>54.030295167846589</v>
      </c>
      <c r="AC174" s="60">
        <v>20</v>
      </c>
      <c r="AD174" s="60">
        <v>2</v>
      </c>
      <c r="AE174" s="60">
        <v>20</v>
      </c>
      <c r="AF174" s="60">
        <v>2</v>
      </c>
      <c r="AG174" s="28">
        <f t="shared" si="45"/>
        <v>1256.6370614359173</v>
      </c>
      <c r="AH174" s="34" t="str">
        <f t="shared" si="40"/>
        <v>OK</v>
      </c>
      <c r="AI174" s="28">
        <f t="shared" si="46"/>
        <v>-203.41686768287767</v>
      </c>
      <c r="AJ174" s="32">
        <f t="shared" si="47"/>
        <v>4.2995942763384663E-2</v>
      </c>
    </row>
    <row r="175" spans="1:36" x14ac:dyDescent="0.25">
      <c r="A175" s="6" t="s">
        <v>45</v>
      </c>
      <c r="B175" s="17">
        <v>3</v>
      </c>
      <c r="C175" s="6" t="s">
        <v>36</v>
      </c>
      <c r="D175" s="6" t="s">
        <v>11</v>
      </c>
      <c r="E175" s="1">
        <v>98.027000000000001</v>
      </c>
      <c r="F175" s="1">
        <v>60.845500000000001</v>
      </c>
      <c r="G175" s="29">
        <v>300</v>
      </c>
      <c r="H175" s="29">
        <v>500</v>
      </c>
      <c r="I175" s="28">
        <f t="shared" si="36"/>
        <v>460</v>
      </c>
      <c r="J175" s="28">
        <f t="shared" si="41"/>
        <v>375.88185872962913</v>
      </c>
      <c r="K175" s="59">
        <v>18</v>
      </c>
      <c r="L175" s="59">
        <v>2</v>
      </c>
      <c r="M175" s="59">
        <v>12</v>
      </c>
      <c r="N175" s="59">
        <v>0</v>
      </c>
      <c r="O175" s="28">
        <f t="shared" si="42"/>
        <v>508.93800988154646</v>
      </c>
      <c r="P175" s="34" t="str">
        <f t="shared" si="37"/>
        <v>OK</v>
      </c>
      <c r="Q175" s="17">
        <f t="shared" si="38"/>
        <v>82.383831411565467</v>
      </c>
      <c r="R175" s="19">
        <f t="shared" si="43"/>
        <v>0.73856118315296271</v>
      </c>
      <c r="S175" s="6" t="s">
        <v>45</v>
      </c>
      <c r="T175" s="17">
        <v>3</v>
      </c>
      <c r="U175" s="6" t="s">
        <v>36</v>
      </c>
      <c r="V175" s="6" t="s">
        <v>12</v>
      </c>
      <c r="W175" s="1">
        <v>-8.61</v>
      </c>
      <c r="X175" s="1">
        <v>-52.958300000000001</v>
      </c>
      <c r="Y175" s="29">
        <v>300</v>
      </c>
      <c r="Z175" s="29">
        <v>500</v>
      </c>
      <c r="AA175" s="28">
        <f t="shared" si="39"/>
        <v>460</v>
      </c>
      <c r="AB175" s="28">
        <f t="shared" si="44"/>
        <v>327.15754228597547</v>
      </c>
      <c r="AC175" s="60">
        <v>20</v>
      </c>
      <c r="AD175" s="60">
        <v>2</v>
      </c>
      <c r="AE175" s="60">
        <v>20</v>
      </c>
      <c r="AF175" s="60">
        <v>2</v>
      </c>
      <c r="AG175" s="28">
        <f t="shared" si="45"/>
        <v>1256.6370614359173</v>
      </c>
      <c r="AH175" s="34" t="str">
        <f t="shared" si="40"/>
        <v>OK</v>
      </c>
      <c r="AI175" s="28">
        <f t="shared" si="46"/>
        <v>-203.41686768287767</v>
      </c>
      <c r="AJ175" s="32">
        <f t="shared" si="47"/>
        <v>0.26034370012304392</v>
      </c>
    </row>
    <row r="176" spans="1:36" x14ac:dyDescent="0.25">
      <c r="A176" s="6" t="s">
        <v>45</v>
      </c>
      <c r="B176" s="17">
        <v>3.5</v>
      </c>
      <c r="C176" s="6" t="s">
        <v>36</v>
      </c>
      <c r="D176" s="6" t="s">
        <v>11</v>
      </c>
      <c r="E176" s="1">
        <v>120.92100000000001</v>
      </c>
      <c r="F176" s="1">
        <v>60.348999999999997</v>
      </c>
      <c r="G176" s="29">
        <v>300</v>
      </c>
      <c r="H176" s="29">
        <v>500</v>
      </c>
      <c r="I176" s="28">
        <f t="shared" si="36"/>
        <v>460</v>
      </c>
      <c r="J176" s="28">
        <f t="shared" si="41"/>
        <v>372.81465831449145</v>
      </c>
      <c r="K176" s="59">
        <v>18</v>
      </c>
      <c r="L176" s="59">
        <v>2</v>
      </c>
      <c r="M176" s="59">
        <v>12</v>
      </c>
      <c r="N176" s="59">
        <v>0</v>
      </c>
      <c r="O176" s="28">
        <f t="shared" si="42"/>
        <v>508.93800988154646</v>
      </c>
      <c r="P176" s="34" t="str">
        <f t="shared" si="37"/>
        <v>OK</v>
      </c>
      <c r="Q176" s="17">
        <f t="shared" si="38"/>
        <v>82.383831411565467</v>
      </c>
      <c r="R176" s="19">
        <f t="shared" si="43"/>
        <v>0.73253451515885548</v>
      </c>
      <c r="S176" s="6" t="s">
        <v>45</v>
      </c>
      <c r="T176" s="17">
        <v>3.5</v>
      </c>
      <c r="U176" s="6" t="s">
        <v>36</v>
      </c>
      <c r="V176" s="6" t="s">
        <v>12</v>
      </c>
      <c r="W176" s="1">
        <v>10.595000000000001</v>
      </c>
      <c r="X176" s="1">
        <v>-106.7731</v>
      </c>
      <c r="Y176" s="29">
        <v>300</v>
      </c>
      <c r="Z176" s="29">
        <v>500</v>
      </c>
      <c r="AA176" s="28">
        <f t="shared" si="39"/>
        <v>460</v>
      </c>
      <c r="AB176" s="28">
        <f t="shared" si="44"/>
        <v>659.60623694972617</v>
      </c>
      <c r="AC176" s="60">
        <v>20</v>
      </c>
      <c r="AD176" s="60">
        <v>2</v>
      </c>
      <c r="AE176" s="60">
        <v>20</v>
      </c>
      <c r="AF176" s="60">
        <v>2</v>
      </c>
      <c r="AG176" s="28">
        <f t="shared" si="45"/>
        <v>1256.6370614359173</v>
      </c>
      <c r="AH176" s="34" t="str">
        <f t="shared" si="40"/>
        <v>OK</v>
      </c>
      <c r="AI176" s="28">
        <f t="shared" si="46"/>
        <v>-203.41686768287767</v>
      </c>
      <c r="AJ176" s="32">
        <f t="shared" si="47"/>
        <v>0.52489796552396462</v>
      </c>
    </row>
    <row r="177" spans="1:36" x14ac:dyDescent="0.25">
      <c r="A177" s="6" t="s">
        <v>45</v>
      </c>
      <c r="B177" s="17">
        <v>4</v>
      </c>
      <c r="C177" s="6" t="s">
        <v>36</v>
      </c>
      <c r="D177" s="6" t="s">
        <v>11</v>
      </c>
      <c r="E177" s="1">
        <v>157.429</v>
      </c>
      <c r="F177" s="1">
        <v>50.2502</v>
      </c>
      <c r="G177" s="29">
        <v>300</v>
      </c>
      <c r="H177" s="29">
        <v>500</v>
      </c>
      <c r="I177" s="28">
        <f t="shared" si="36"/>
        <v>460</v>
      </c>
      <c r="J177" s="28">
        <f t="shared" si="41"/>
        <v>310.42786364703403</v>
      </c>
      <c r="K177" s="59">
        <v>18</v>
      </c>
      <c r="L177" s="59">
        <v>2</v>
      </c>
      <c r="M177" s="59">
        <v>12</v>
      </c>
      <c r="N177" s="59">
        <v>0</v>
      </c>
      <c r="O177" s="28">
        <f t="shared" si="42"/>
        <v>508.93800988154646</v>
      </c>
      <c r="P177" s="34" t="str">
        <f t="shared" si="37"/>
        <v>OK</v>
      </c>
      <c r="Q177" s="17">
        <f t="shared" si="38"/>
        <v>82.383831411565467</v>
      </c>
      <c r="R177" s="19">
        <f t="shared" si="43"/>
        <v>0.60995220954175744</v>
      </c>
      <c r="S177" s="6" t="s">
        <v>45</v>
      </c>
      <c r="T177" s="17">
        <v>4</v>
      </c>
      <c r="U177" s="6" t="s">
        <v>36</v>
      </c>
      <c r="V177" s="6" t="s">
        <v>12</v>
      </c>
      <c r="W177" s="1">
        <v>29.8</v>
      </c>
      <c r="X177" s="1">
        <v>-170.19040000000001</v>
      </c>
      <c r="Y177" s="29">
        <v>300</v>
      </c>
      <c r="Z177" s="29">
        <v>500</v>
      </c>
      <c r="AA177" s="28">
        <f t="shared" si="39"/>
        <v>460</v>
      </c>
      <c r="AB177" s="28">
        <f t="shared" si="44"/>
        <v>1051.3757613946648</v>
      </c>
      <c r="AC177" s="60">
        <v>20</v>
      </c>
      <c r="AD177" s="60">
        <v>2</v>
      </c>
      <c r="AE177" s="60">
        <v>20</v>
      </c>
      <c r="AF177" s="60">
        <v>2</v>
      </c>
      <c r="AG177" s="28">
        <f t="shared" si="45"/>
        <v>1256.6370614359173</v>
      </c>
      <c r="AH177" s="34" t="str">
        <f t="shared" si="40"/>
        <v>OK</v>
      </c>
      <c r="AI177" s="28">
        <f t="shared" si="46"/>
        <v>-203.41686768287767</v>
      </c>
      <c r="AJ177" s="32">
        <f t="shared" si="47"/>
        <v>0.8366582473648303</v>
      </c>
    </row>
    <row r="178" spans="1:36" x14ac:dyDescent="0.25">
      <c r="A178" s="6" t="s">
        <v>46</v>
      </c>
      <c r="B178" s="17">
        <v>4</v>
      </c>
      <c r="C178" s="6" t="s">
        <v>36</v>
      </c>
      <c r="D178" s="6" t="s">
        <v>11</v>
      </c>
      <c r="E178" s="1">
        <v>-71.352999999999994</v>
      </c>
      <c r="F178" s="1">
        <v>1.1336999999999999</v>
      </c>
      <c r="G178" s="29">
        <v>300</v>
      </c>
      <c r="H178" s="29">
        <v>500</v>
      </c>
      <c r="I178" s="28">
        <f t="shared" si="36"/>
        <v>460</v>
      </c>
      <c r="J178" s="28">
        <f t="shared" si="41"/>
        <v>7.0035953890062626</v>
      </c>
      <c r="K178" s="59">
        <v>18</v>
      </c>
      <c r="L178" s="59">
        <v>2</v>
      </c>
      <c r="M178" s="59">
        <v>12</v>
      </c>
      <c r="N178" s="59">
        <v>0</v>
      </c>
      <c r="O178" s="28">
        <f t="shared" si="42"/>
        <v>508.93800988154646</v>
      </c>
      <c r="P178" s="34" t="str">
        <f t="shared" si="37"/>
        <v>OK</v>
      </c>
      <c r="Q178" s="17">
        <f t="shared" si="38"/>
        <v>82.383831411565467</v>
      </c>
      <c r="R178" s="19">
        <f t="shared" si="43"/>
        <v>1.3761195377480894E-2</v>
      </c>
      <c r="S178" s="6" t="s">
        <v>46</v>
      </c>
      <c r="T178" s="17">
        <v>4</v>
      </c>
      <c r="U178" s="6" t="s">
        <v>36</v>
      </c>
      <c r="V178" s="6" t="s">
        <v>12</v>
      </c>
      <c r="W178" s="1">
        <v>-200.797</v>
      </c>
      <c r="X178" s="1">
        <v>-187.39179999999999</v>
      </c>
      <c r="Y178" s="29">
        <v>300</v>
      </c>
      <c r="Z178" s="29">
        <v>500</v>
      </c>
      <c r="AA178" s="28">
        <f t="shared" si="39"/>
        <v>460</v>
      </c>
      <c r="AB178" s="28">
        <f t="shared" si="44"/>
        <v>1157.639892756094</v>
      </c>
      <c r="AC178" s="60">
        <v>20</v>
      </c>
      <c r="AD178" s="60">
        <v>2</v>
      </c>
      <c r="AE178" s="60">
        <v>20</v>
      </c>
      <c r="AF178" s="60">
        <v>2</v>
      </c>
      <c r="AG178" s="28">
        <f t="shared" si="45"/>
        <v>1256.6370614359173</v>
      </c>
      <c r="AH178" s="34" t="str">
        <f t="shared" si="40"/>
        <v>OK</v>
      </c>
      <c r="AI178" s="28">
        <f t="shared" si="46"/>
        <v>-203.41686768287767</v>
      </c>
      <c r="AJ178" s="32">
        <f t="shared" si="47"/>
        <v>0.92122055626251997</v>
      </c>
    </row>
    <row r="179" spans="1:36" x14ac:dyDescent="0.25">
      <c r="A179" s="6" t="s">
        <v>46</v>
      </c>
      <c r="B179" s="17">
        <v>4.5</v>
      </c>
      <c r="C179" s="6" t="s">
        <v>36</v>
      </c>
      <c r="D179" s="6" t="s">
        <v>11</v>
      </c>
      <c r="E179" s="1">
        <v>-52.148000000000003</v>
      </c>
      <c r="F179" s="1">
        <v>32.0092</v>
      </c>
      <c r="G179" s="29">
        <v>300</v>
      </c>
      <c r="H179" s="29">
        <v>500</v>
      </c>
      <c r="I179" s="28">
        <f t="shared" si="36"/>
        <v>460</v>
      </c>
      <c r="J179" s="28">
        <f t="shared" si="41"/>
        <v>197.74145322905466</v>
      </c>
      <c r="K179" s="59">
        <v>18</v>
      </c>
      <c r="L179" s="59">
        <v>2</v>
      </c>
      <c r="M179" s="59">
        <v>12</v>
      </c>
      <c r="N179" s="59">
        <v>0</v>
      </c>
      <c r="O179" s="28">
        <f t="shared" si="42"/>
        <v>508.93800988154646</v>
      </c>
      <c r="P179" s="34" t="str">
        <f t="shared" si="37"/>
        <v>OK</v>
      </c>
      <c r="Q179" s="17">
        <f t="shared" si="38"/>
        <v>82.383831411565467</v>
      </c>
      <c r="R179" s="19">
        <f t="shared" si="43"/>
        <v>0.38853740414294913</v>
      </c>
      <c r="S179" s="6" t="s">
        <v>46</v>
      </c>
      <c r="T179" s="17">
        <v>4.5</v>
      </c>
      <c r="U179" s="6" t="s">
        <v>36</v>
      </c>
      <c r="V179" s="6" t="s">
        <v>12</v>
      </c>
      <c r="W179" s="1">
        <v>-164.28800000000001</v>
      </c>
      <c r="X179" s="1">
        <v>-122.2431</v>
      </c>
      <c r="Y179" s="29">
        <v>300</v>
      </c>
      <c r="Z179" s="29">
        <v>500</v>
      </c>
      <c r="AA179" s="28">
        <f t="shared" si="39"/>
        <v>460</v>
      </c>
      <c r="AB179" s="28">
        <f t="shared" si="44"/>
        <v>755.17439489973674</v>
      </c>
      <c r="AC179" s="60">
        <v>20</v>
      </c>
      <c r="AD179" s="60">
        <v>2</v>
      </c>
      <c r="AE179" s="60">
        <v>20</v>
      </c>
      <c r="AF179" s="60">
        <v>2</v>
      </c>
      <c r="AG179" s="28">
        <f t="shared" si="45"/>
        <v>1256.6370614359173</v>
      </c>
      <c r="AH179" s="34" t="str">
        <f t="shared" si="40"/>
        <v>OK</v>
      </c>
      <c r="AI179" s="28">
        <f t="shared" si="46"/>
        <v>-203.41686768287767</v>
      </c>
      <c r="AJ179" s="32">
        <f t="shared" si="47"/>
        <v>0.60094868922362055</v>
      </c>
    </row>
    <row r="180" spans="1:36" x14ac:dyDescent="0.25">
      <c r="A180" s="6" t="s">
        <v>46</v>
      </c>
      <c r="B180" s="17">
        <v>5</v>
      </c>
      <c r="C180" s="6" t="s">
        <v>36</v>
      </c>
      <c r="D180" s="6" t="s">
        <v>11</v>
      </c>
      <c r="E180" s="1">
        <v>-32.944000000000003</v>
      </c>
      <c r="F180" s="1">
        <v>53.282200000000003</v>
      </c>
      <c r="G180" s="29">
        <v>300</v>
      </c>
      <c r="H180" s="29">
        <v>500</v>
      </c>
      <c r="I180" s="28">
        <f t="shared" si="36"/>
        <v>460</v>
      </c>
      <c r="J180" s="28">
        <f t="shared" si="41"/>
        <v>329.15848128791521</v>
      </c>
      <c r="K180" s="59">
        <v>18</v>
      </c>
      <c r="L180" s="59">
        <v>2</v>
      </c>
      <c r="M180" s="59">
        <v>12</v>
      </c>
      <c r="N180" s="59">
        <v>0</v>
      </c>
      <c r="O180" s="28">
        <f t="shared" si="42"/>
        <v>508.93800988154646</v>
      </c>
      <c r="P180" s="34" t="str">
        <f t="shared" si="37"/>
        <v>OK</v>
      </c>
      <c r="Q180" s="17">
        <f t="shared" si="38"/>
        <v>82.383831411565467</v>
      </c>
      <c r="R180" s="19">
        <f t="shared" si="43"/>
        <v>0.64675554762460308</v>
      </c>
      <c r="S180" s="6" t="s">
        <v>46</v>
      </c>
      <c r="T180" s="17">
        <v>5</v>
      </c>
      <c r="U180" s="6" t="s">
        <v>36</v>
      </c>
      <c r="V180" s="6" t="s">
        <v>12</v>
      </c>
      <c r="W180" s="1">
        <v>-127.78</v>
      </c>
      <c r="X180" s="1">
        <v>-66.696899999999999</v>
      </c>
      <c r="Y180" s="29">
        <v>300</v>
      </c>
      <c r="Z180" s="29">
        <v>500</v>
      </c>
      <c r="AA180" s="28">
        <f t="shared" si="39"/>
        <v>460</v>
      </c>
      <c r="AB180" s="28">
        <f t="shared" si="44"/>
        <v>412.02972682456721</v>
      </c>
      <c r="AC180" s="60">
        <v>20</v>
      </c>
      <c r="AD180" s="60">
        <v>2</v>
      </c>
      <c r="AE180" s="60">
        <v>20</v>
      </c>
      <c r="AF180" s="60">
        <v>2</v>
      </c>
      <c r="AG180" s="28">
        <f t="shared" si="45"/>
        <v>1256.6370614359173</v>
      </c>
      <c r="AH180" s="34" t="str">
        <f t="shared" si="40"/>
        <v>OK</v>
      </c>
      <c r="AI180" s="28">
        <f t="shared" si="46"/>
        <v>-203.41686768287767</v>
      </c>
      <c r="AJ180" s="32">
        <f t="shared" si="47"/>
        <v>0.32788283862466594</v>
      </c>
    </row>
    <row r="181" spans="1:36" x14ac:dyDescent="0.25">
      <c r="A181" s="6" t="s">
        <v>46</v>
      </c>
      <c r="B181" s="17">
        <v>5.5</v>
      </c>
      <c r="C181" s="6" t="s">
        <v>36</v>
      </c>
      <c r="D181" s="6" t="s">
        <v>11</v>
      </c>
      <c r="E181" s="1">
        <v>-13.739000000000001</v>
      </c>
      <c r="F181" s="1">
        <v>64.9529</v>
      </c>
      <c r="G181" s="29">
        <v>300</v>
      </c>
      <c r="H181" s="29">
        <v>500</v>
      </c>
      <c r="I181" s="28">
        <f t="shared" si="36"/>
        <v>460</v>
      </c>
      <c r="J181" s="28">
        <f t="shared" si="41"/>
        <v>401.2559150944561</v>
      </c>
      <c r="K181" s="59">
        <v>18</v>
      </c>
      <c r="L181" s="59">
        <v>2</v>
      </c>
      <c r="M181" s="59">
        <v>12</v>
      </c>
      <c r="N181" s="59">
        <v>1</v>
      </c>
      <c r="O181" s="28">
        <f t="shared" si="42"/>
        <v>622.03534541077897</v>
      </c>
      <c r="P181" s="34" t="str">
        <f t="shared" si="37"/>
        <v>OK</v>
      </c>
      <c r="Q181" s="17">
        <f t="shared" si="38"/>
        <v>100.69134950302445</v>
      </c>
      <c r="R181" s="19">
        <f t="shared" si="43"/>
        <v>0.64506931648630861</v>
      </c>
      <c r="S181" s="6" t="s">
        <v>46</v>
      </c>
      <c r="T181" s="17">
        <v>5.5</v>
      </c>
      <c r="U181" s="6" t="s">
        <v>36</v>
      </c>
      <c r="V181" s="6" t="s">
        <v>12</v>
      </c>
      <c r="W181" s="1">
        <v>-91.271000000000001</v>
      </c>
      <c r="X181" s="1">
        <v>-20.7531</v>
      </c>
      <c r="Y181" s="29">
        <v>300</v>
      </c>
      <c r="Z181" s="29">
        <v>500</v>
      </c>
      <c r="AA181" s="28">
        <f t="shared" si="39"/>
        <v>460</v>
      </c>
      <c r="AB181" s="28">
        <f t="shared" si="44"/>
        <v>128.20527076615141</v>
      </c>
      <c r="AC181" s="60">
        <v>20</v>
      </c>
      <c r="AD181" s="60">
        <v>2</v>
      </c>
      <c r="AE181" s="60">
        <v>0</v>
      </c>
      <c r="AF181" s="60">
        <v>2</v>
      </c>
      <c r="AG181" s="28">
        <f t="shared" si="45"/>
        <v>628.31853071795865</v>
      </c>
      <c r="AH181" s="34" t="str">
        <f t="shared" si="40"/>
        <v>OK</v>
      </c>
      <c r="AI181" s="28">
        <f t="shared" si="46"/>
        <v>-101.70843384143883</v>
      </c>
      <c r="AJ181" s="32">
        <f t="shared" si="47"/>
        <v>0.20404502572867869</v>
      </c>
    </row>
    <row r="182" spans="1:36" x14ac:dyDescent="0.25">
      <c r="A182" s="6" t="s">
        <v>46</v>
      </c>
      <c r="B182" s="17">
        <v>6</v>
      </c>
      <c r="C182" s="6" t="s">
        <v>36</v>
      </c>
      <c r="D182" s="6" t="s">
        <v>11</v>
      </c>
      <c r="E182" s="1">
        <v>5.4660000000000002</v>
      </c>
      <c r="F182" s="1">
        <v>78.626900000000006</v>
      </c>
      <c r="G182" s="29">
        <v>300</v>
      </c>
      <c r="H182" s="29">
        <v>500</v>
      </c>
      <c r="I182" s="28">
        <f t="shared" si="36"/>
        <v>460</v>
      </c>
      <c r="J182" s="28">
        <f t="shared" si="41"/>
        <v>485.72902380864122</v>
      </c>
      <c r="K182" s="59">
        <v>18</v>
      </c>
      <c r="L182" s="59">
        <v>2</v>
      </c>
      <c r="M182" s="59">
        <v>12</v>
      </c>
      <c r="N182" s="59">
        <v>1</v>
      </c>
      <c r="O182" s="28">
        <f t="shared" si="42"/>
        <v>622.03534541077897</v>
      </c>
      <c r="P182" s="34" t="str">
        <f t="shared" si="37"/>
        <v>OK</v>
      </c>
      <c r="Q182" s="17">
        <f t="shared" si="38"/>
        <v>100.69134950302445</v>
      </c>
      <c r="R182" s="19">
        <f t="shared" si="43"/>
        <v>0.78087045598329474</v>
      </c>
      <c r="S182" s="6" t="s">
        <v>46</v>
      </c>
      <c r="T182" s="17">
        <v>6</v>
      </c>
      <c r="U182" s="6" t="s">
        <v>36</v>
      </c>
      <c r="V182" s="6" t="s">
        <v>12</v>
      </c>
      <c r="W182" s="1">
        <v>-63.08</v>
      </c>
      <c r="X182" s="1">
        <v>15.5884</v>
      </c>
      <c r="Y182" s="29">
        <v>300</v>
      </c>
      <c r="Z182" s="29">
        <v>500</v>
      </c>
      <c r="AA182" s="28">
        <f t="shared" si="39"/>
        <v>460</v>
      </c>
      <c r="AB182" s="28">
        <f t="shared" si="44"/>
        <v>96.29959103994463</v>
      </c>
      <c r="AC182" s="60">
        <v>20</v>
      </c>
      <c r="AD182" s="60">
        <v>2</v>
      </c>
      <c r="AE182" s="60">
        <v>0</v>
      </c>
      <c r="AF182" s="60">
        <v>2</v>
      </c>
      <c r="AG182" s="28">
        <f t="shared" si="45"/>
        <v>628.31853071795865</v>
      </c>
      <c r="AH182" s="34" t="str">
        <f t="shared" si="40"/>
        <v>OK</v>
      </c>
      <c r="AI182" s="28">
        <f t="shared" si="46"/>
        <v>-101.70843384143883</v>
      </c>
      <c r="AJ182" s="32">
        <f t="shared" si="47"/>
        <v>-0.15326555931735186</v>
      </c>
    </row>
    <row r="183" spans="1:36" x14ac:dyDescent="0.25">
      <c r="A183" s="6" t="s">
        <v>46</v>
      </c>
      <c r="B183" s="17">
        <v>6.5</v>
      </c>
      <c r="C183" s="6" t="s">
        <v>36</v>
      </c>
      <c r="D183" s="6" t="s">
        <v>11</v>
      </c>
      <c r="E183" s="1">
        <v>24.670999999999999</v>
      </c>
      <c r="F183" s="1">
        <v>96.881100000000004</v>
      </c>
      <c r="G183" s="29">
        <v>300</v>
      </c>
      <c r="H183" s="29">
        <v>500</v>
      </c>
      <c r="I183" s="28">
        <f t="shared" si="36"/>
        <v>460</v>
      </c>
      <c r="J183" s="28">
        <f t="shared" si="41"/>
        <v>598.49697913191733</v>
      </c>
      <c r="K183" s="59">
        <v>18</v>
      </c>
      <c r="L183" s="59">
        <v>2</v>
      </c>
      <c r="M183" s="59">
        <v>12</v>
      </c>
      <c r="N183" s="59">
        <v>1</v>
      </c>
      <c r="O183" s="28">
        <f t="shared" si="42"/>
        <v>622.03534541077897</v>
      </c>
      <c r="P183" s="34" t="str">
        <f t="shared" si="37"/>
        <v>OK</v>
      </c>
      <c r="Q183" s="17">
        <f t="shared" si="38"/>
        <v>100.69134950302445</v>
      </c>
      <c r="R183" s="19">
        <f t="shared" si="43"/>
        <v>0.96215911772132912</v>
      </c>
      <c r="S183" s="6" t="s">
        <v>46</v>
      </c>
      <c r="T183" s="17">
        <v>6.5</v>
      </c>
      <c r="U183" s="6" t="s">
        <v>36</v>
      </c>
      <c r="V183" s="6" t="s">
        <v>12</v>
      </c>
      <c r="W183" s="1">
        <v>-43.875999999999998</v>
      </c>
      <c r="X183" s="1">
        <v>42.327399999999997</v>
      </c>
      <c r="Y183" s="29">
        <v>300</v>
      </c>
      <c r="Z183" s="29">
        <v>500</v>
      </c>
      <c r="AA183" s="28">
        <f t="shared" si="39"/>
        <v>460</v>
      </c>
      <c r="AB183" s="28">
        <f t="shared" si="44"/>
        <v>261.48362306485285</v>
      </c>
      <c r="AC183" s="60">
        <v>20</v>
      </c>
      <c r="AD183" s="60">
        <v>2</v>
      </c>
      <c r="AE183" s="60">
        <v>0</v>
      </c>
      <c r="AF183" s="60">
        <v>2</v>
      </c>
      <c r="AG183" s="28">
        <f t="shared" si="45"/>
        <v>628.31853071795865</v>
      </c>
      <c r="AH183" s="34" t="str">
        <f t="shared" si="40"/>
        <v>OK</v>
      </c>
      <c r="AI183" s="28">
        <f t="shared" si="46"/>
        <v>-101.70843384143883</v>
      </c>
      <c r="AJ183" s="32">
        <f t="shared" si="47"/>
        <v>-0.41616411148349275</v>
      </c>
    </row>
    <row r="184" spans="1:36" x14ac:dyDescent="0.25">
      <c r="A184" s="6" t="s">
        <v>46</v>
      </c>
      <c r="B184" s="17">
        <v>7</v>
      </c>
      <c r="C184" s="6" t="s">
        <v>36</v>
      </c>
      <c r="D184" s="6" t="s">
        <v>11</v>
      </c>
      <c r="E184" s="1">
        <v>43.875999999999998</v>
      </c>
      <c r="F184" s="1">
        <v>96.881100000000004</v>
      </c>
      <c r="G184" s="29">
        <v>300</v>
      </c>
      <c r="H184" s="29">
        <v>500</v>
      </c>
      <c r="I184" s="28">
        <f t="shared" si="36"/>
        <v>460</v>
      </c>
      <c r="J184" s="28">
        <f t="shared" si="41"/>
        <v>598.49697913191733</v>
      </c>
      <c r="K184" s="59">
        <v>18</v>
      </c>
      <c r="L184" s="59">
        <v>2</v>
      </c>
      <c r="M184" s="59">
        <v>12</v>
      </c>
      <c r="N184" s="59">
        <v>1</v>
      </c>
      <c r="O184" s="28">
        <f t="shared" si="42"/>
        <v>622.03534541077897</v>
      </c>
      <c r="P184" s="34" t="str">
        <f t="shared" si="37"/>
        <v>OK</v>
      </c>
      <c r="Q184" s="17">
        <f t="shared" si="38"/>
        <v>100.69134950302445</v>
      </c>
      <c r="R184" s="19">
        <f t="shared" si="43"/>
        <v>0.96215911772132912</v>
      </c>
      <c r="S184" s="6" t="s">
        <v>46</v>
      </c>
      <c r="T184" s="17">
        <v>7</v>
      </c>
      <c r="U184" s="6" t="s">
        <v>36</v>
      </c>
      <c r="V184" s="6" t="s">
        <v>12</v>
      </c>
      <c r="W184" s="1">
        <v>-24.670999999999999</v>
      </c>
      <c r="X184" s="1">
        <v>42.327399999999997</v>
      </c>
      <c r="Y184" s="29">
        <v>300</v>
      </c>
      <c r="Z184" s="29">
        <v>500</v>
      </c>
      <c r="AA184" s="28">
        <f t="shared" si="39"/>
        <v>460</v>
      </c>
      <c r="AB184" s="28">
        <f t="shared" si="44"/>
        <v>261.48362306485285</v>
      </c>
      <c r="AC184" s="60">
        <v>20</v>
      </c>
      <c r="AD184" s="60">
        <v>2</v>
      </c>
      <c r="AE184" s="60">
        <v>0</v>
      </c>
      <c r="AF184" s="60">
        <v>2</v>
      </c>
      <c r="AG184" s="28">
        <f t="shared" si="45"/>
        <v>628.31853071795865</v>
      </c>
      <c r="AH184" s="34" t="str">
        <f t="shared" si="40"/>
        <v>OK</v>
      </c>
      <c r="AI184" s="28">
        <f t="shared" si="46"/>
        <v>-101.70843384143883</v>
      </c>
      <c r="AJ184" s="32">
        <f t="shared" si="47"/>
        <v>-0.41616411148349275</v>
      </c>
    </row>
    <row r="185" spans="1:36" x14ac:dyDescent="0.25">
      <c r="A185" s="6" t="s">
        <v>46</v>
      </c>
      <c r="B185" s="17">
        <v>7.5</v>
      </c>
      <c r="C185" s="6" t="s">
        <v>36</v>
      </c>
      <c r="D185" s="6" t="s">
        <v>11</v>
      </c>
      <c r="E185" s="1">
        <v>63.08</v>
      </c>
      <c r="F185" s="1">
        <v>78.626900000000006</v>
      </c>
      <c r="G185" s="29">
        <v>300</v>
      </c>
      <c r="H185" s="29">
        <v>500</v>
      </c>
      <c r="I185" s="28">
        <f t="shared" si="36"/>
        <v>460</v>
      </c>
      <c r="J185" s="28">
        <f t="shared" si="41"/>
        <v>485.72902380864122</v>
      </c>
      <c r="K185" s="59">
        <v>18</v>
      </c>
      <c r="L185" s="59">
        <v>2</v>
      </c>
      <c r="M185" s="59">
        <v>12</v>
      </c>
      <c r="N185" s="59">
        <v>1</v>
      </c>
      <c r="O185" s="28">
        <f t="shared" si="42"/>
        <v>622.03534541077897</v>
      </c>
      <c r="P185" s="34" t="str">
        <f t="shared" si="37"/>
        <v>OK</v>
      </c>
      <c r="Q185" s="17">
        <f t="shared" si="38"/>
        <v>100.69134950302445</v>
      </c>
      <c r="R185" s="19">
        <f t="shared" si="43"/>
        <v>0.78087045598329474</v>
      </c>
      <c r="S185" s="6" t="s">
        <v>46</v>
      </c>
      <c r="T185" s="17">
        <v>7.5</v>
      </c>
      <c r="U185" s="6" t="s">
        <v>36</v>
      </c>
      <c r="V185" s="6" t="s">
        <v>12</v>
      </c>
      <c r="W185" s="1">
        <v>-5.4660000000000002</v>
      </c>
      <c r="X185" s="1">
        <v>15.5884</v>
      </c>
      <c r="Y185" s="29">
        <v>300</v>
      </c>
      <c r="Z185" s="29">
        <v>500</v>
      </c>
      <c r="AA185" s="28">
        <f t="shared" si="39"/>
        <v>460</v>
      </c>
      <c r="AB185" s="28">
        <f t="shared" si="44"/>
        <v>96.29959103994463</v>
      </c>
      <c r="AC185" s="60">
        <v>20</v>
      </c>
      <c r="AD185" s="60">
        <v>2</v>
      </c>
      <c r="AE185" s="60">
        <v>0</v>
      </c>
      <c r="AF185" s="60">
        <v>2</v>
      </c>
      <c r="AG185" s="28">
        <f t="shared" si="45"/>
        <v>628.31853071795865</v>
      </c>
      <c r="AH185" s="34" t="str">
        <f t="shared" si="40"/>
        <v>OK</v>
      </c>
      <c r="AI185" s="28">
        <f t="shared" si="46"/>
        <v>-101.70843384143883</v>
      </c>
      <c r="AJ185" s="32">
        <f t="shared" si="47"/>
        <v>-0.15326555931735186</v>
      </c>
    </row>
    <row r="186" spans="1:36" x14ac:dyDescent="0.25">
      <c r="A186" s="6" t="s">
        <v>46</v>
      </c>
      <c r="B186" s="17">
        <v>8</v>
      </c>
      <c r="C186" s="6" t="s">
        <v>36</v>
      </c>
      <c r="D186" s="6" t="s">
        <v>11</v>
      </c>
      <c r="E186" s="1">
        <v>91.271000000000001</v>
      </c>
      <c r="F186" s="1">
        <v>64.9529</v>
      </c>
      <c r="G186" s="29">
        <v>300</v>
      </c>
      <c r="H186" s="29">
        <v>500</v>
      </c>
      <c r="I186" s="28">
        <f t="shared" si="36"/>
        <v>460</v>
      </c>
      <c r="J186" s="28">
        <f t="shared" si="41"/>
        <v>401.2559150944561</v>
      </c>
      <c r="K186" s="59">
        <v>18</v>
      </c>
      <c r="L186" s="59">
        <v>2</v>
      </c>
      <c r="M186" s="59">
        <v>12</v>
      </c>
      <c r="N186" s="59">
        <v>1</v>
      </c>
      <c r="O186" s="28">
        <f t="shared" si="42"/>
        <v>622.03534541077897</v>
      </c>
      <c r="P186" s="34" t="str">
        <f t="shared" si="37"/>
        <v>OK</v>
      </c>
      <c r="Q186" s="17">
        <f t="shared" si="38"/>
        <v>100.69134950302445</v>
      </c>
      <c r="R186" s="19">
        <f t="shared" si="43"/>
        <v>0.64506931648630861</v>
      </c>
      <c r="S186" s="6" t="s">
        <v>46</v>
      </c>
      <c r="T186" s="17">
        <v>8</v>
      </c>
      <c r="U186" s="6" t="s">
        <v>36</v>
      </c>
      <c r="V186" s="6" t="s">
        <v>12</v>
      </c>
      <c r="W186" s="1">
        <v>13.739000000000001</v>
      </c>
      <c r="X186" s="1">
        <v>-20.7531</v>
      </c>
      <c r="Y186" s="29">
        <v>300</v>
      </c>
      <c r="Z186" s="29">
        <v>500</v>
      </c>
      <c r="AA186" s="28">
        <f t="shared" si="39"/>
        <v>460</v>
      </c>
      <c r="AB186" s="28">
        <f t="shared" si="44"/>
        <v>128.20527076615141</v>
      </c>
      <c r="AC186" s="60">
        <v>20</v>
      </c>
      <c r="AD186" s="60">
        <v>2</v>
      </c>
      <c r="AE186" s="60">
        <v>0</v>
      </c>
      <c r="AF186" s="60">
        <v>2</v>
      </c>
      <c r="AG186" s="28">
        <f t="shared" si="45"/>
        <v>628.31853071795865</v>
      </c>
      <c r="AH186" s="34" t="str">
        <f t="shared" si="40"/>
        <v>OK</v>
      </c>
      <c r="AI186" s="28">
        <f t="shared" si="46"/>
        <v>-101.70843384143883</v>
      </c>
      <c r="AJ186" s="32">
        <f t="shared" si="47"/>
        <v>0.20404502572867869</v>
      </c>
    </row>
    <row r="187" spans="1:36" x14ac:dyDescent="0.25">
      <c r="A187" s="6" t="s">
        <v>46</v>
      </c>
      <c r="B187" s="17">
        <v>8.5</v>
      </c>
      <c r="C187" s="6" t="s">
        <v>36</v>
      </c>
      <c r="D187" s="6" t="s">
        <v>11</v>
      </c>
      <c r="E187" s="1">
        <v>127.78</v>
      </c>
      <c r="F187" s="1">
        <v>53.282200000000003</v>
      </c>
      <c r="G187" s="29">
        <v>300</v>
      </c>
      <c r="H187" s="29">
        <v>500</v>
      </c>
      <c r="I187" s="28">
        <f t="shared" si="36"/>
        <v>460</v>
      </c>
      <c r="J187" s="28">
        <f t="shared" si="41"/>
        <v>329.15848128791521</v>
      </c>
      <c r="K187" s="59">
        <v>18</v>
      </c>
      <c r="L187" s="59">
        <v>2</v>
      </c>
      <c r="M187" s="59">
        <v>12</v>
      </c>
      <c r="N187" s="59">
        <v>0</v>
      </c>
      <c r="O187" s="28">
        <f t="shared" si="42"/>
        <v>508.93800988154646</v>
      </c>
      <c r="P187" s="34" t="str">
        <f t="shared" si="37"/>
        <v>OK</v>
      </c>
      <c r="Q187" s="17">
        <f t="shared" si="38"/>
        <v>82.383831411565467</v>
      </c>
      <c r="R187" s="19">
        <f t="shared" si="43"/>
        <v>0.64675554762460308</v>
      </c>
      <c r="S187" s="6" t="s">
        <v>46</v>
      </c>
      <c r="T187" s="17">
        <v>8.5</v>
      </c>
      <c r="U187" s="6" t="s">
        <v>36</v>
      </c>
      <c r="V187" s="6" t="s">
        <v>12</v>
      </c>
      <c r="W187" s="1">
        <v>32.944000000000003</v>
      </c>
      <c r="X187" s="1">
        <v>-66.696899999999999</v>
      </c>
      <c r="Y187" s="29">
        <v>300</v>
      </c>
      <c r="Z187" s="29">
        <v>500</v>
      </c>
      <c r="AA187" s="28">
        <f t="shared" si="39"/>
        <v>460</v>
      </c>
      <c r="AB187" s="28">
        <f t="shared" si="44"/>
        <v>412.02972682456721</v>
      </c>
      <c r="AC187" s="60">
        <v>20</v>
      </c>
      <c r="AD187" s="60">
        <v>2</v>
      </c>
      <c r="AE187" s="60">
        <v>20</v>
      </c>
      <c r="AF187" s="60">
        <v>2</v>
      </c>
      <c r="AG187" s="28">
        <f t="shared" si="45"/>
        <v>1256.6370614359173</v>
      </c>
      <c r="AH187" s="34" t="str">
        <f t="shared" si="40"/>
        <v>OK</v>
      </c>
      <c r="AI187" s="28">
        <f t="shared" si="46"/>
        <v>-203.41686768287767</v>
      </c>
      <c r="AJ187" s="32">
        <f t="shared" si="47"/>
        <v>0.32788283862466594</v>
      </c>
    </row>
    <row r="188" spans="1:36" x14ac:dyDescent="0.25">
      <c r="A188" s="6" t="s">
        <v>46</v>
      </c>
      <c r="B188" s="17">
        <v>9</v>
      </c>
      <c r="C188" s="6" t="s">
        <v>36</v>
      </c>
      <c r="D188" s="6" t="s">
        <v>11</v>
      </c>
      <c r="E188" s="1">
        <v>164.28800000000001</v>
      </c>
      <c r="F188" s="1">
        <v>32.0092</v>
      </c>
      <c r="G188" s="29">
        <v>300</v>
      </c>
      <c r="H188" s="29">
        <v>500</v>
      </c>
      <c r="I188" s="28">
        <f t="shared" si="36"/>
        <v>460</v>
      </c>
      <c r="J188" s="28">
        <f t="shared" si="41"/>
        <v>197.74145322905466</v>
      </c>
      <c r="K188" s="59">
        <v>18</v>
      </c>
      <c r="L188" s="59">
        <v>2</v>
      </c>
      <c r="M188" s="59">
        <v>12</v>
      </c>
      <c r="N188" s="59">
        <v>0</v>
      </c>
      <c r="O188" s="28">
        <f t="shared" si="42"/>
        <v>508.93800988154646</v>
      </c>
      <c r="P188" s="34" t="str">
        <f t="shared" si="37"/>
        <v>OK</v>
      </c>
      <c r="Q188" s="17">
        <f t="shared" si="38"/>
        <v>82.383831411565467</v>
      </c>
      <c r="R188" s="19">
        <f t="shared" si="43"/>
        <v>0.38853740414294913</v>
      </c>
      <c r="S188" s="6" t="s">
        <v>46</v>
      </c>
      <c r="T188" s="17">
        <v>9</v>
      </c>
      <c r="U188" s="6" t="s">
        <v>36</v>
      </c>
      <c r="V188" s="6" t="s">
        <v>12</v>
      </c>
      <c r="W188" s="1">
        <v>52.148000000000003</v>
      </c>
      <c r="X188" s="1">
        <v>-122.2431</v>
      </c>
      <c r="Y188" s="29">
        <v>300</v>
      </c>
      <c r="Z188" s="29">
        <v>500</v>
      </c>
      <c r="AA188" s="28">
        <f t="shared" si="39"/>
        <v>460</v>
      </c>
      <c r="AB188" s="28">
        <f t="shared" si="44"/>
        <v>755.17439489973674</v>
      </c>
      <c r="AC188" s="60">
        <v>20</v>
      </c>
      <c r="AD188" s="60">
        <v>2</v>
      </c>
      <c r="AE188" s="60">
        <v>20</v>
      </c>
      <c r="AF188" s="60">
        <v>2</v>
      </c>
      <c r="AG188" s="28">
        <f t="shared" si="45"/>
        <v>1256.6370614359173</v>
      </c>
      <c r="AH188" s="34" t="str">
        <f t="shared" si="40"/>
        <v>OK</v>
      </c>
      <c r="AI188" s="28">
        <f t="shared" si="46"/>
        <v>-203.41686768287767</v>
      </c>
      <c r="AJ188" s="32">
        <f t="shared" si="47"/>
        <v>0.60094868922362055</v>
      </c>
    </row>
    <row r="189" spans="1:36" x14ac:dyDescent="0.25">
      <c r="A189" s="6" t="s">
        <v>46</v>
      </c>
      <c r="B189" s="17">
        <v>9.5</v>
      </c>
      <c r="C189" s="6" t="s">
        <v>36</v>
      </c>
      <c r="D189" s="6" t="s">
        <v>11</v>
      </c>
      <c r="E189" s="1">
        <v>200.797</v>
      </c>
      <c r="F189" s="1">
        <v>1.1336999999999999</v>
      </c>
      <c r="G189" s="29">
        <v>300</v>
      </c>
      <c r="H189" s="29">
        <v>500</v>
      </c>
      <c r="I189" s="28">
        <f t="shared" si="36"/>
        <v>460</v>
      </c>
      <c r="J189" s="28">
        <f t="shared" si="41"/>
        <v>7.0035953890062626</v>
      </c>
      <c r="K189" s="59">
        <v>18</v>
      </c>
      <c r="L189" s="59">
        <v>2</v>
      </c>
      <c r="M189" s="59">
        <v>12</v>
      </c>
      <c r="N189" s="59">
        <v>0</v>
      </c>
      <c r="O189" s="28">
        <f t="shared" si="42"/>
        <v>508.93800988154646</v>
      </c>
      <c r="P189" s="34" t="str">
        <f t="shared" si="37"/>
        <v>OK</v>
      </c>
      <c r="Q189" s="17">
        <f t="shared" si="38"/>
        <v>82.383831411565467</v>
      </c>
      <c r="R189" s="19">
        <f t="shared" si="43"/>
        <v>1.3761195377480894E-2</v>
      </c>
      <c r="S189" s="6" t="s">
        <v>46</v>
      </c>
      <c r="T189" s="17">
        <v>9.5</v>
      </c>
      <c r="U189" s="6" t="s">
        <v>36</v>
      </c>
      <c r="V189" s="6" t="s">
        <v>12</v>
      </c>
      <c r="W189" s="1">
        <v>71.352999999999994</v>
      </c>
      <c r="X189" s="1">
        <v>-187.39179999999999</v>
      </c>
      <c r="Y189" s="29">
        <v>300</v>
      </c>
      <c r="Z189" s="29">
        <v>500</v>
      </c>
      <c r="AA189" s="28">
        <f t="shared" si="39"/>
        <v>460</v>
      </c>
      <c r="AB189" s="28">
        <f t="shared" si="44"/>
        <v>1157.639892756094</v>
      </c>
      <c r="AC189" s="60">
        <v>20</v>
      </c>
      <c r="AD189" s="60">
        <v>2</v>
      </c>
      <c r="AE189" s="60">
        <v>20</v>
      </c>
      <c r="AF189" s="60">
        <v>2</v>
      </c>
      <c r="AG189" s="28">
        <f t="shared" si="45"/>
        <v>1256.6370614359173</v>
      </c>
      <c r="AH189" s="34" t="str">
        <f t="shared" si="40"/>
        <v>OK</v>
      </c>
      <c r="AI189" s="28">
        <f t="shared" si="46"/>
        <v>-203.41686768287767</v>
      </c>
      <c r="AJ189" s="32">
        <f t="shared" si="47"/>
        <v>0.92122055626251997</v>
      </c>
    </row>
    <row r="190" spans="1:36" x14ac:dyDescent="0.25">
      <c r="A190" s="6" t="s">
        <v>47</v>
      </c>
      <c r="B190" s="17">
        <v>9.5</v>
      </c>
      <c r="C190" s="6" t="s">
        <v>36</v>
      </c>
      <c r="D190" s="6" t="s">
        <v>11</v>
      </c>
      <c r="E190" s="1">
        <v>-29.8</v>
      </c>
      <c r="F190" s="1">
        <v>50.2502</v>
      </c>
      <c r="G190" s="29">
        <v>300</v>
      </c>
      <c r="H190" s="29">
        <v>500</v>
      </c>
      <c r="I190" s="28">
        <f t="shared" si="36"/>
        <v>460</v>
      </c>
      <c r="J190" s="28">
        <f t="shared" si="41"/>
        <v>310.42786364703403</v>
      </c>
      <c r="K190" s="59">
        <v>18</v>
      </c>
      <c r="L190" s="59">
        <v>2</v>
      </c>
      <c r="M190" s="59">
        <v>12</v>
      </c>
      <c r="N190" s="59">
        <v>0</v>
      </c>
      <c r="O190" s="28">
        <f t="shared" si="42"/>
        <v>508.93800988154646</v>
      </c>
      <c r="P190" s="34" t="str">
        <f t="shared" si="37"/>
        <v>OK</v>
      </c>
      <c r="Q190" s="17">
        <f t="shared" si="38"/>
        <v>82.383831411565467</v>
      </c>
      <c r="R190" s="19">
        <f t="shared" si="43"/>
        <v>0.60995220954175744</v>
      </c>
      <c r="S190" s="6" t="s">
        <v>47</v>
      </c>
      <c r="T190" s="17">
        <v>9.5</v>
      </c>
      <c r="U190" s="6" t="s">
        <v>36</v>
      </c>
      <c r="V190" s="6" t="s">
        <v>12</v>
      </c>
      <c r="W190" s="1">
        <v>-157.429</v>
      </c>
      <c r="X190" s="1">
        <v>-170.19040000000001</v>
      </c>
      <c r="Y190" s="29">
        <v>300</v>
      </c>
      <c r="Z190" s="29">
        <v>500</v>
      </c>
      <c r="AA190" s="28">
        <f t="shared" si="39"/>
        <v>460</v>
      </c>
      <c r="AB190" s="28">
        <f t="shared" si="44"/>
        <v>1051.3757613946648</v>
      </c>
      <c r="AC190" s="60">
        <v>20</v>
      </c>
      <c r="AD190" s="60">
        <v>2</v>
      </c>
      <c r="AE190" s="60">
        <v>20</v>
      </c>
      <c r="AF190" s="60">
        <v>2</v>
      </c>
      <c r="AG190" s="28">
        <f t="shared" si="45"/>
        <v>1256.6370614359173</v>
      </c>
      <c r="AH190" s="34" t="str">
        <f t="shared" si="40"/>
        <v>OK</v>
      </c>
      <c r="AI190" s="28">
        <f t="shared" si="46"/>
        <v>-203.41686768287767</v>
      </c>
      <c r="AJ190" s="32">
        <f t="shared" si="47"/>
        <v>0.8366582473648303</v>
      </c>
    </row>
    <row r="191" spans="1:36" x14ac:dyDescent="0.25">
      <c r="A191" s="6" t="s">
        <v>47</v>
      </c>
      <c r="B191" s="17">
        <v>10</v>
      </c>
      <c r="C191" s="6" t="s">
        <v>36</v>
      </c>
      <c r="D191" s="6" t="s">
        <v>11</v>
      </c>
      <c r="E191" s="1">
        <v>-10.595000000000001</v>
      </c>
      <c r="F191" s="1">
        <v>60.348999999999997</v>
      </c>
      <c r="G191" s="29">
        <v>300</v>
      </c>
      <c r="H191" s="29">
        <v>500</v>
      </c>
      <c r="I191" s="28">
        <f t="shared" si="36"/>
        <v>460</v>
      </c>
      <c r="J191" s="28">
        <f t="shared" si="41"/>
        <v>372.81465831449145</v>
      </c>
      <c r="K191" s="59">
        <v>18</v>
      </c>
      <c r="L191" s="59">
        <v>2</v>
      </c>
      <c r="M191" s="59">
        <v>12</v>
      </c>
      <c r="N191" s="59">
        <v>0</v>
      </c>
      <c r="O191" s="28">
        <f t="shared" si="42"/>
        <v>508.93800988154646</v>
      </c>
      <c r="P191" s="34" t="str">
        <f t="shared" si="37"/>
        <v>OK</v>
      </c>
      <c r="Q191" s="17">
        <f t="shared" si="38"/>
        <v>82.383831411565467</v>
      </c>
      <c r="R191" s="19">
        <f t="shared" si="43"/>
        <v>0.73253451515885548</v>
      </c>
      <c r="S191" s="6" t="s">
        <v>47</v>
      </c>
      <c r="T191" s="17">
        <v>10</v>
      </c>
      <c r="U191" s="6" t="s">
        <v>36</v>
      </c>
      <c r="V191" s="6" t="s">
        <v>12</v>
      </c>
      <c r="W191" s="1">
        <v>-120.92100000000001</v>
      </c>
      <c r="X191" s="1">
        <v>-106.7731</v>
      </c>
      <c r="Y191" s="29">
        <v>300</v>
      </c>
      <c r="Z191" s="29">
        <v>500</v>
      </c>
      <c r="AA191" s="28">
        <f t="shared" si="39"/>
        <v>460</v>
      </c>
      <c r="AB191" s="28">
        <f t="shared" si="44"/>
        <v>659.60623694972617</v>
      </c>
      <c r="AC191" s="60">
        <v>20</v>
      </c>
      <c r="AD191" s="60">
        <v>2</v>
      </c>
      <c r="AE191" s="60">
        <v>20</v>
      </c>
      <c r="AF191" s="60">
        <v>2</v>
      </c>
      <c r="AG191" s="28">
        <f t="shared" si="45"/>
        <v>1256.6370614359173</v>
      </c>
      <c r="AH191" s="34" t="str">
        <f t="shared" si="40"/>
        <v>OK</v>
      </c>
      <c r="AI191" s="28">
        <f t="shared" si="46"/>
        <v>-203.41686768287767</v>
      </c>
      <c r="AJ191" s="32">
        <f t="shared" si="47"/>
        <v>0.52489796552396462</v>
      </c>
    </row>
    <row r="192" spans="1:36" x14ac:dyDescent="0.25">
      <c r="A192" s="6" t="s">
        <v>47</v>
      </c>
      <c r="B192" s="17">
        <v>10.5</v>
      </c>
      <c r="C192" s="6" t="s">
        <v>36</v>
      </c>
      <c r="D192" s="6" t="s">
        <v>11</v>
      </c>
      <c r="E192" s="1">
        <v>8.61</v>
      </c>
      <c r="F192" s="1">
        <v>60.845500000000001</v>
      </c>
      <c r="G192" s="29">
        <v>300</v>
      </c>
      <c r="H192" s="29">
        <v>500</v>
      </c>
      <c r="I192" s="28">
        <f t="shared" si="36"/>
        <v>460</v>
      </c>
      <c r="J192" s="28">
        <f t="shared" si="41"/>
        <v>375.88185872962913</v>
      </c>
      <c r="K192" s="59">
        <v>18</v>
      </c>
      <c r="L192" s="59">
        <v>2</v>
      </c>
      <c r="M192" s="59">
        <v>12</v>
      </c>
      <c r="N192" s="59">
        <v>0</v>
      </c>
      <c r="O192" s="28">
        <f t="shared" si="42"/>
        <v>508.93800988154646</v>
      </c>
      <c r="P192" s="34" t="str">
        <f t="shared" si="37"/>
        <v>OK</v>
      </c>
      <c r="Q192" s="17">
        <f t="shared" si="38"/>
        <v>82.383831411565467</v>
      </c>
      <c r="R192" s="19">
        <f t="shared" si="43"/>
        <v>0.73856118315296271</v>
      </c>
      <c r="S192" s="6" t="s">
        <v>47</v>
      </c>
      <c r="T192" s="17">
        <v>10.5</v>
      </c>
      <c r="U192" s="6" t="s">
        <v>36</v>
      </c>
      <c r="V192" s="6" t="s">
        <v>12</v>
      </c>
      <c r="W192" s="1">
        <v>-98.027000000000001</v>
      </c>
      <c r="X192" s="1">
        <v>-52.958300000000001</v>
      </c>
      <c r="Y192" s="29">
        <v>300</v>
      </c>
      <c r="Z192" s="29">
        <v>500</v>
      </c>
      <c r="AA192" s="28">
        <f t="shared" si="39"/>
        <v>460</v>
      </c>
      <c r="AB192" s="28">
        <f t="shared" si="44"/>
        <v>327.15754228597547</v>
      </c>
      <c r="AC192" s="60">
        <v>20</v>
      </c>
      <c r="AD192" s="60">
        <v>2</v>
      </c>
      <c r="AE192" s="60">
        <v>20</v>
      </c>
      <c r="AF192" s="60">
        <v>2</v>
      </c>
      <c r="AG192" s="28">
        <f t="shared" si="45"/>
        <v>1256.6370614359173</v>
      </c>
      <c r="AH192" s="34" t="str">
        <f t="shared" si="40"/>
        <v>OK</v>
      </c>
      <c r="AI192" s="28">
        <f t="shared" si="46"/>
        <v>-203.41686768287767</v>
      </c>
      <c r="AJ192" s="32">
        <f t="shared" si="47"/>
        <v>0.26034370012304392</v>
      </c>
    </row>
    <row r="193" spans="1:36" x14ac:dyDescent="0.25">
      <c r="A193" s="6" t="s">
        <v>47</v>
      </c>
      <c r="B193" s="17">
        <v>11</v>
      </c>
      <c r="C193" s="6" t="s">
        <v>36</v>
      </c>
      <c r="D193" s="6" t="s">
        <v>11</v>
      </c>
      <c r="E193" s="1">
        <v>27.814</v>
      </c>
      <c r="F193" s="1">
        <v>51.739699999999999</v>
      </c>
      <c r="G193" s="29">
        <v>300</v>
      </c>
      <c r="H193" s="29">
        <v>500</v>
      </c>
      <c r="I193" s="28">
        <f t="shared" si="36"/>
        <v>460</v>
      </c>
      <c r="J193" s="28">
        <f t="shared" si="41"/>
        <v>319.62946489244717</v>
      </c>
      <c r="K193" s="59">
        <v>18</v>
      </c>
      <c r="L193" s="59">
        <v>2</v>
      </c>
      <c r="M193" s="59">
        <v>12</v>
      </c>
      <c r="N193" s="59">
        <v>0</v>
      </c>
      <c r="O193" s="28">
        <f t="shared" si="42"/>
        <v>508.93800988154646</v>
      </c>
      <c r="P193" s="34" t="str">
        <f t="shared" si="37"/>
        <v>OK</v>
      </c>
      <c r="Q193" s="17">
        <f t="shared" si="38"/>
        <v>82.383831411565467</v>
      </c>
      <c r="R193" s="19">
        <f t="shared" si="43"/>
        <v>0.6280322135240789</v>
      </c>
      <c r="S193" s="6" t="s">
        <v>47</v>
      </c>
      <c r="T193" s="17">
        <v>11</v>
      </c>
      <c r="U193" s="6" t="s">
        <v>36</v>
      </c>
      <c r="V193" s="6" t="s">
        <v>12</v>
      </c>
      <c r="W193" s="1">
        <v>-78.822999999999993</v>
      </c>
      <c r="X193" s="1">
        <v>-8.7461000000000002</v>
      </c>
      <c r="Y193" s="29">
        <v>300</v>
      </c>
      <c r="Z193" s="29">
        <v>500</v>
      </c>
      <c r="AA193" s="28">
        <f t="shared" si="39"/>
        <v>460</v>
      </c>
      <c r="AB193" s="28">
        <f t="shared" si="44"/>
        <v>54.030295167846589</v>
      </c>
      <c r="AC193" s="60">
        <v>20</v>
      </c>
      <c r="AD193" s="60">
        <v>2</v>
      </c>
      <c r="AE193" s="60">
        <v>20</v>
      </c>
      <c r="AF193" s="60">
        <v>2</v>
      </c>
      <c r="AG193" s="28">
        <f t="shared" si="45"/>
        <v>1256.6370614359173</v>
      </c>
      <c r="AH193" s="34" t="str">
        <f t="shared" si="40"/>
        <v>OK</v>
      </c>
      <c r="AI193" s="28">
        <f t="shared" si="46"/>
        <v>-203.41686768287767</v>
      </c>
      <c r="AJ193" s="32">
        <f t="shared" si="47"/>
        <v>4.2995942763384663E-2</v>
      </c>
    </row>
    <row r="194" spans="1:36" x14ac:dyDescent="0.25">
      <c r="A194" s="6" t="s">
        <v>47</v>
      </c>
      <c r="B194" s="17">
        <v>11.5</v>
      </c>
      <c r="C194" s="6" t="s">
        <v>36</v>
      </c>
      <c r="D194" s="6" t="s">
        <v>11</v>
      </c>
      <c r="E194" s="1">
        <v>47.018999999999998</v>
      </c>
      <c r="F194" s="1">
        <v>56.0428</v>
      </c>
      <c r="G194" s="29">
        <v>300</v>
      </c>
      <c r="H194" s="29">
        <v>500</v>
      </c>
      <c r="I194" s="28">
        <f t="shared" si="36"/>
        <v>460</v>
      </c>
      <c r="J194" s="28">
        <f t="shared" si="41"/>
        <v>346.21248625474129</v>
      </c>
      <c r="K194" s="59">
        <v>18</v>
      </c>
      <c r="L194" s="59">
        <v>2</v>
      </c>
      <c r="M194" s="59">
        <v>12</v>
      </c>
      <c r="N194" s="59">
        <v>0</v>
      </c>
      <c r="O194" s="28">
        <f t="shared" si="42"/>
        <v>508.93800988154646</v>
      </c>
      <c r="P194" s="34" t="str">
        <f t="shared" si="37"/>
        <v>OK</v>
      </c>
      <c r="Q194" s="17">
        <f t="shared" si="38"/>
        <v>82.383831411565467</v>
      </c>
      <c r="R194" s="19">
        <f t="shared" si="43"/>
        <v>0.68026454997008579</v>
      </c>
      <c r="S194" s="6" t="s">
        <v>47</v>
      </c>
      <c r="T194" s="17">
        <v>11.5</v>
      </c>
      <c r="U194" s="6" t="s">
        <v>36</v>
      </c>
      <c r="V194" s="6" t="s">
        <v>12</v>
      </c>
      <c r="W194" s="1">
        <v>-59.618000000000002</v>
      </c>
      <c r="X194" s="1">
        <v>25.860399999999998</v>
      </c>
      <c r="Y194" s="29">
        <v>300</v>
      </c>
      <c r="Z194" s="29">
        <v>500</v>
      </c>
      <c r="AA194" s="28">
        <f t="shared" si="39"/>
        <v>460</v>
      </c>
      <c r="AB194" s="28">
        <f t="shared" si="44"/>
        <v>159.75635370720434</v>
      </c>
      <c r="AC194" s="60">
        <v>20</v>
      </c>
      <c r="AD194" s="60">
        <v>2</v>
      </c>
      <c r="AE194" s="60">
        <v>14</v>
      </c>
      <c r="AF194" s="60">
        <v>2</v>
      </c>
      <c r="AG194" s="28">
        <f t="shared" si="45"/>
        <v>936.19461076975836</v>
      </c>
      <c r="AH194" s="34" t="str">
        <f t="shared" si="40"/>
        <v>OK</v>
      </c>
      <c r="AI194" s="28">
        <f t="shared" si="46"/>
        <v>-151.54556642374388</v>
      </c>
      <c r="AJ194" s="32">
        <f t="shared" si="47"/>
        <v>-0.17064438511972357</v>
      </c>
    </row>
    <row r="195" spans="1:36" x14ac:dyDescent="0.25">
      <c r="A195" s="6" t="s">
        <v>47</v>
      </c>
      <c r="B195" s="17">
        <v>12</v>
      </c>
      <c r="C195" s="6" t="s">
        <v>36</v>
      </c>
      <c r="D195" s="6" t="s">
        <v>11</v>
      </c>
      <c r="E195" s="1">
        <v>66.224000000000004</v>
      </c>
      <c r="F195" s="1">
        <v>52.613300000000002</v>
      </c>
      <c r="G195" s="29">
        <v>300</v>
      </c>
      <c r="H195" s="29">
        <v>500</v>
      </c>
      <c r="I195" s="28">
        <f t="shared" si="36"/>
        <v>460</v>
      </c>
      <c r="J195" s="28">
        <f t="shared" si="41"/>
        <v>325.02625498844776</v>
      </c>
      <c r="K195" s="59">
        <v>18</v>
      </c>
      <c r="L195" s="59">
        <v>2</v>
      </c>
      <c r="M195" s="59">
        <v>12</v>
      </c>
      <c r="N195" s="59">
        <v>0</v>
      </c>
      <c r="O195" s="28">
        <f t="shared" si="42"/>
        <v>508.93800988154646</v>
      </c>
      <c r="P195" s="34" t="str">
        <f t="shared" si="37"/>
        <v>OK</v>
      </c>
      <c r="Q195" s="17">
        <f t="shared" si="38"/>
        <v>82.383831411565467</v>
      </c>
      <c r="R195" s="19">
        <f t="shared" si="43"/>
        <v>0.63863623600071939</v>
      </c>
      <c r="S195" s="6" t="s">
        <v>47</v>
      </c>
      <c r="T195" s="17">
        <v>12</v>
      </c>
      <c r="U195" s="6" t="s">
        <v>36</v>
      </c>
      <c r="V195" s="6" t="s">
        <v>12</v>
      </c>
      <c r="W195" s="1">
        <v>-40.412999999999997</v>
      </c>
      <c r="X195" s="1">
        <v>4.7191999999999998</v>
      </c>
      <c r="Y195" s="29">
        <v>300</v>
      </c>
      <c r="Z195" s="29">
        <v>500</v>
      </c>
      <c r="AA195" s="28">
        <f t="shared" si="39"/>
        <v>460</v>
      </c>
      <c r="AB195" s="28">
        <f t="shared" si="44"/>
        <v>29.153539172442759</v>
      </c>
      <c r="AC195" s="60">
        <v>20</v>
      </c>
      <c r="AD195" s="60">
        <v>2</v>
      </c>
      <c r="AE195" s="60">
        <v>14</v>
      </c>
      <c r="AF195" s="60">
        <v>2</v>
      </c>
      <c r="AG195" s="28">
        <f t="shared" si="45"/>
        <v>936.19461076975836</v>
      </c>
      <c r="AH195" s="34" t="str">
        <f t="shared" si="40"/>
        <v>OK</v>
      </c>
      <c r="AI195" s="28">
        <f t="shared" si="46"/>
        <v>-151.54556642374388</v>
      </c>
      <c r="AJ195" s="32">
        <f t="shared" si="47"/>
        <v>-3.114046891219778E-2</v>
      </c>
    </row>
    <row r="196" spans="1:36" x14ac:dyDescent="0.25">
      <c r="A196" s="6" t="s">
        <v>47</v>
      </c>
      <c r="B196" s="17">
        <v>12.5</v>
      </c>
      <c r="C196" s="6" t="s">
        <v>36</v>
      </c>
      <c r="D196" s="6" t="s">
        <v>11</v>
      </c>
      <c r="E196" s="1">
        <v>85.429000000000002</v>
      </c>
      <c r="F196" s="1">
        <v>66.277699999999996</v>
      </c>
      <c r="G196" s="29">
        <v>300</v>
      </c>
      <c r="H196" s="29">
        <v>500</v>
      </c>
      <c r="I196" s="28">
        <f t="shared" si="36"/>
        <v>460</v>
      </c>
      <c r="J196" s="28">
        <f t="shared" si="41"/>
        <v>409.44005831696245</v>
      </c>
      <c r="K196" s="59">
        <v>18</v>
      </c>
      <c r="L196" s="59">
        <v>2</v>
      </c>
      <c r="M196" s="59">
        <v>12</v>
      </c>
      <c r="N196" s="59">
        <v>0</v>
      </c>
      <c r="O196" s="28">
        <f t="shared" si="42"/>
        <v>508.93800988154646</v>
      </c>
      <c r="P196" s="34" t="str">
        <f t="shared" si="37"/>
        <v>OK</v>
      </c>
      <c r="Q196" s="17">
        <f t="shared" si="38"/>
        <v>82.383831411565467</v>
      </c>
      <c r="R196" s="19">
        <f t="shared" si="43"/>
        <v>0.80449887877751203</v>
      </c>
      <c r="S196" s="6" t="s">
        <v>47</v>
      </c>
      <c r="T196" s="17">
        <v>12.5</v>
      </c>
      <c r="U196" s="6" t="s">
        <v>36</v>
      </c>
      <c r="V196" s="6" t="s">
        <v>12</v>
      </c>
      <c r="W196" s="1">
        <v>-21.207999999999998</v>
      </c>
      <c r="X196" s="1">
        <v>-33.1937</v>
      </c>
      <c r="Y196" s="29">
        <v>300</v>
      </c>
      <c r="Z196" s="29">
        <v>500</v>
      </c>
      <c r="AA196" s="28">
        <f t="shared" si="39"/>
        <v>460</v>
      </c>
      <c r="AB196" s="28">
        <f t="shared" si="44"/>
        <v>205.05887295056644</v>
      </c>
      <c r="AC196" s="60">
        <v>20</v>
      </c>
      <c r="AD196" s="60">
        <v>2</v>
      </c>
      <c r="AE196" s="60">
        <v>14</v>
      </c>
      <c r="AF196" s="60">
        <v>2</v>
      </c>
      <c r="AG196" s="28">
        <f t="shared" si="45"/>
        <v>936.19461076975836</v>
      </c>
      <c r="AH196" s="34" t="str">
        <f t="shared" si="40"/>
        <v>OK</v>
      </c>
      <c r="AI196" s="28">
        <f t="shared" si="46"/>
        <v>-151.54556642374388</v>
      </c>
      <c r="AJ196" s="32">
        <f t="shared" si="47"/>
        <v>0.21903445137540672</v>
      </c>
    </row>
    <row r="197" spans="1:36" x14ac:dyDescent="0.25">
      <c r="A197" s="6" t="s">
        <v>47</v>
      </c>
      <c r="B197" s="17">
        <v>13</v>
      </c>
      <c r="C197" s="6" t="s">
        <v>36</v>
      </c>
      <c r="D197" s="6" t="s">
        <v>11</v>
      </c>
      <c r="E197" s="1">
        <v>104.634</v>
      </c>
      <c r="F197" s="1">
        <v>72.080399999999997</v>
      </c>
      <c r="G197" s="29">
        <v>300</v>
      </c>
      <c r="H197" s="29">
        <v>500</v>
      </c>
      <c r="I197" s="28">
        <f t="shared" si="36"/>
        <v>460</v>
      </c>
      <c r="J197" s="28">
        <f t="shared" si="41"/>
        <v>445.28707513251038</v>
      </c>
      <c r="K197" s="59">
        <v>18</v>
      </c>
      <c r="L197" s="59">
        <v>2</v>
      </c>
      <c r="M197" s="59">
        <v>12</v>
      </c>
      <c r="N197" s="59">
        <v>0</v>
      </c>
      <c r="O197" s="28">
        <f t="shared" si="42"/>
        <v>508.93800988154646</v>
      </c>
      <c r="P197" s="34" t="str">
        <f t="shared" si="37"/>
        <v>OK</v>
      </c>
      <c r="Q197" s="17">
        <f t="shared" si="38"/>
        <v>82.383831411565467</v>
      </c>
      <c r="R197" s="19">
        <f t="shared" si="43"/>
        <v>0.87493381607742249</v>
      </c>
      <c r="S197" s="6" t="s">
        <v>47</v>
      </c>
      <c r="T197" s="17">
        <v>13</v>
      </c>
      <c r="U197" s="6" t="s">
        <v>36</v>
      </c>
      <c r="V197" s="6" t="s">
        <v>12</v>
      </c>
      <c r="W197" s="1">
        <v>-2.0030000000000001</v>
      </c>
      <c r="X197" s="1">
        <v>-80.709299999999999</v>
      </c>
      <c r="Y197" s="29">
        <v>300</v>
      </c>
      <c r="Z197" s="29">
        <v>500</v>
      </c>
      <c r="AA197" s="28">
        <f t="shared" si="39"/>
        <v>460</v>
      </c>
      <c r="AB197" s="28">
        <f t="shared" si="44"/>
        <v>498.59335038363162</v>
      </c>
      <c r="AC197" s="60">
        <v>20</v>
      </c>
      <c r="AD197" s="60">
        <v>2</v>
      </c>
      <c r="AE197" s="60">
        <v>14</v>
      </c>
      <c r="AF197" s="60">
        <v>2</v>
      </c>
      <c r="AG197" s="28">
        <f t="shared" si="45"/>
        <v>936.19461076975836</v>
      </c>
      <c r="AH197" s="34" t="str">
        <f t="shared" si="40"/>
        <v>OK</v>
      </c>
      <c r="AI197" s="28">
        <f t="shared" si="46"/>
        <v>-151.54556642374388</v>
      </c>
      <c r="AJ197" s="32">
        <f t="shared" si="47"/>
        <v>0.53257447185439144</v>
      </c>
    </row>
    <row r="198" spans="1:36" x14ac:dyDescent="0.25">
      <c r="A198" s="6" t="s">
        <v>47</v>
      </c>
      <c r="B198" s="17">
        <v>13.5</v>
      </c>
      <c r="C198" s="6" t="s">
        <v>36</v>
      </c>
      <c r="D198" s="6" t="s">
        <v>11</v>
      </c>
      <c r="E198" s="1">
        <v>134.63900000000001</v>
      </c>
      <c r="F198" s="1">
        <v>68.280799999999999</v>
      </c>
      <c r="G198" s="29">
        <v>300</v>
      </c>
      <c r="H198" s="29">
        <v>500</v>
      </c>
      <c r="I198" s="28">
        <f t="shared" si="36"/>
        <v>460</v>
      </c>
      <c r="J198" s="28">
        <f t="shared" si="41"/>
        <v>421.81449769573857</v>
      </c>
      <c r="K198" s="59">
        <v>18</v>
      </c>
      <c r="L198" s="59">
        <v>2</v>
      </c>
      <c r="M198" s="59">
        <v>12</v>
      </c>
      <c r="N198" s="59">
        <v>0</v>
      </c>
      <c r="O198" s="28">
        <f>PI()*K198^2/4*L198+PI()*M198^2/4*N198</f>
        <v>508.93800988154646</v>
      </c>
      <c r="P198" s="34" t="str">
        <f t="shared" si="37"/>
        <v>OK</v>
      </c>
      <c r="Q198" s="17">
        <f t="shared" si="38"/>
        <v>82.383831411565467</v>
      </c>
      <c r="R198" s="19">
        <f t="shared" si="43"/>
        <v>0.82881311575434191</v>
      </c>
      <c r="S198" s="6" t="s">
        <v>47</v>
      </c>
      <c r="T198" s="17">
        <v>13.5</v>
      </c>
      <c r="U198" s="6" t="s">
        <v>36</v>
      </c>
      <c r="V198" s="6" t="s">
        <v>12</v>
      </c>
      <c r="W198" s="1">
        <v>17.202000000000002</v>
      </c>
      <c r="X198" s="1">
        <v>-137.82730000000001</v>
      </c>
      <c r="Y198" s="29">
        <v>300</v>
      </c>
      <c r="Z198" s="29">
        <v>500</v>
      </c>
      <c r="AA198" s="28">
        <f t="shared" si="39"/>
        <v>460</v>
      </c>
      <c r="AB198" s="28">
        <f t="shared" si="44"/>
        <v>851.44803983345059</v>
      </c>
      <c r="AC198" s="60">
        <v>20</v>
      </c>
      <c r="AD198" s="60">
        <v>2</v>
      </c>
      <c r="AE198" s="60">
        <v>14</v>
      </c>
      <c r="AF198" s="60">
        <v>2</v>
      </c>
      <c r="AG198" s="28">
        <f>PI()*AC198^2/4*AD198+PI()*AE198^2/4*AF198</f>
        <v>936.19461076975836</v>
      </c>
      <c r="AH198" s="34" t="str">
        <f t="shared" si="40"/>
        <v>OK</v>
      </c>
      <c r="AI198" s="28">
        <f t="shared" si="46"/>
        <v>-151.54556642374388</v>
      </c>
      <c r="AJ198" s="32">
        <f>X198/AI198</f>
        <v>0.9094776129221388</v>
      </c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22" spans="1:36" x14ac:dyDescent="0.25">
      <c r="A222" s="2" t="s">
        <v>1</v>
      </c>
      <c r="B222" s="3" t="s">
        <v>2</v>
      </c>
      <c r="C222" s="2" t="s">
        <v>34</v>
      </c>
      <c r="D222" s="2" t="s">
        <v>3</v>
      </c>
      <c r="E222" s="3" t="s">
        <v>4</v>
      </c>
      <c r="F222" s="3" t="s">
        <v>5</v>
      </c>
      <c r="G222" s="5" t="s">
        <v>20</v>
      </c>
      <c r="H222" s="5" t="s">
        <v>21</v>
      </c>
      <c r="I222" s="5" t="s">
        <v>25</v>
      </c>
      <c r="J222" s="5" t="s">
        <v>23</v>
      </c>
      <c r="K222" s="5" t="s">
        <v>26</v>
      </c>
      <c r="L222" s="5" t="s">
        <v>27</v>
      </c>
      <c r="M222" s="5" t="s">
        <v>26</v>
      </c>
      <c r="N222" s="5" t="s">
        <v>27</v>
      </c>
      <c r="O222" s="5" t="s">
        <v>23</v>
      </c>
      <c r="P222" s="18"/>
      <c r="Q222" s="5" t="s">
        <v>31</v>
      </c>
      <c r="R222" s="5" t="s">
        <v>33</v>
      </c>
      <c r="S222" s="2" t="s">
        <v>1</v>
      </c>
      <c r="T222" s="3" t="s">
        <v>2</v>
      </c>
      <c r="U222" s="2" t="s">
        <v>34</v>
      </c>
      <c r="V222" s="2" t="s">
        <v>3</v>
      </c>
      <c r="W222" s="3" t="s">
        <v>4</v>
      </c>
      <c r="X222" s="3" t="s">
        <v>5</v>
      </c>
      <c r="Y222" s="5" t="s">
        <v>20</v>
      </c>
      <c r="Z222" s="5" t="s">
        <v>21</v>
      </c>
      <c r="AA222" s="5" t="s">
        <v>25</v>
      </c>
      <c r="AB222" s="5" t="s">
        <v>23</v>
      </c>
      <c r="AC222" s="5" t="s">
        <v>26</v>
      </c>
      <c r="AD222" s="5" t="s">
        <v>27</v>
      </c>
      <c r="AE222" s="5" t="s">
        <v>26</v>
      </c>
      <c r="AF222" s="5" t="s">
        <v>27</v>
      </c>
      <c r="AG222" s="5" t="s">
        <v>23</v>
      </c>
      <c r="AH222" s="18"/>
      <c r="AI222" s="5" t="s">
        <v>31</v>
      </c>
      <c r="AJ222" s="5" t="s">
        <v>33</v>
      </c>
    </row>
    <row r="223" spans="1:36" x14ac:dyDescent="0.25">
      <c r="A223" s="4" t="s">
        <v>6</v>
      </c>
      <c r="B223" s="5" t="s">
        <v>7</v>
      </c>
      <c r="C223" s="4" t="s">
        <v>6</v>
      </c>
      <c r="D223" s="4" t="s">
        <v>6</v>
      </c>
      <c r="E223" s="5" t="s">
        <v>8</v>
      </c>
      <c r="F223" s="5" t="s">
        <v>9</v>
      </c>
      <c r="G223" s="9" t="s">
        <v>22</v>
      </c>
      <c r="H223" s="9" t="s">
        <v>22</v>
      </c>
      <c r="I223" s="9" t="s">
        <v>22</v>
      </c>
      <c r="J223" s="9" t="s">
        <v>24</v>
      </c>
      <c r="K223" s="9" t="s">
        <v>22</v>
      </c>
      <c r="L223" s="9" t="s">
        <v>28</v>
      </c>
      <c r="M223" s="9" t="s">
        <v>22</v>
      </c>
      <c r="N223" s="9" t="s">
        <v>28</v>
      </c>
      <c r="O223" s="9" t="s">
        <v>24</v>
      </c>
      <c r="P223" s="31"/>
      <c r="Q223" s="9" t="s">
        <v>9</v>
      </c>
      <c r="R223" s="9" t="s">
        <v>28</v>
      </c>
      <c r="S223" s="4" t="s">
        <v>6</v>
      </c>
      <c r="T223" s="5" t="s">
        <v>7</v>
      </c>
      <c r="U223" s="4" t="s">
        <v>6</v>
      </c>
      <c r="V223" s="4" t="s">
        <v>6</v>
      </c>
      <c r="W223" s="5" t="s">
        <v>8</v>
      </c>
      <c r="X223" s="5" t="s">
        <v>9</v>
      </c>
      <c r="Y223" s="9" t="s">
        <v>22</v>
      </c>
      <c r="Z223" s="9" t="s">
        <v>22</v>
      </c>
      <c r="AA223" s="9" t="s">
        <v>22</v>
      </c>
      <c r="AB223" s="9" t="s">
        <v>24</v>
      </c>
      <c r="AC223" s="9" t="s">
        <v>22</v>
      </c>
      <c r="AD223" s="9" t="s">
        <v>28</v>
      </c>
      <c r="AE223" s="9" t="s">
        <v>22</v>
      </c>
      <c r="AF223" s="9" t="s">
        <v>28</v>
      </c>
      <c r="AG223" s="9" t="s">
        <v>24</v>
      </c>
      <c r="AH223" s="31"/>
      <c r="AI223" s="9" t="s">
        <v>9</v>
      </c>
      <c r="AJ223" s="9" t="s">
        <v>28</v>
      </c>
    </row>
    <row r="224" spans="1:36" x14ac:dyDescent="0.25">
      <c r="A224" s="6" t="s">
        <v>48</v>
      </c>
      <c r="B224" s="17">
        <v>0</v>
      </c>
      <c r="C224" s="6" t="s">
        <v>36</v>
      </c>
      <c r="D224" s="6" t="s">
        <v>11</v>
      </c>
      <c r="E224" s="1">
        <v>10.384</v>
      </c>
      <c r="F224" s="1">
        <v>88.432199999999995</v>
      </c>
      <c r="G224" s="29">
        <v>300</v>
      </c>
      <c r="H224" s="29">
        <v>500</v>
      </c>
      <c r="I224" s="28">
        <f t="shared" ref="I224:I253" si="48">H224-40</f>
        <v>460</v>
      </c>
      <c r="J224" s="28">
        <f>ABS(F224)*1000^2/(0.9*391*I224)</f>
        <v>546.30267986211493</v>
      </c>
      <c r="K224" s="59">
        <v>18</v>
      </c>
      <c r="L224" s="59">
        <v>2</v>
      </c>
      <c r="M224" s="59">
        <v>12</v>
      </c>
      <c r="N224" s="59">
        <v>0</v>
      </c>
      <c r="O224" s="28">
        <f>PI()*K224^2/4*L224+PI()*M224^2/4*N224</f>
        <v>508.93800988154646</v>
      </c>
      <c r="P224" s="34" t="str">
        <f t="shared" ref="P224:P253" si="49">IF(O224&gt;=J224,"OK","NO")</f>
        <v>NO</v>
      </c>
      <c r="Q224" s="17">
        <f t="shared" ref="Q224:Q253" si="50">(O224*0.9*391*I224)/1000^2</f>
        <v>82.383831411565467</v>
      </c>
      <c r="R224" s="19">
        <f>F224/Q224</f>
        <v>1.0734169373383311</v>
      </c>
      <c r="S224" s="6" t="s">
        <v>48</v>
      </c>
      <c r="T224" s="17">
        <v>0</v>
      </c>
      <c r="U224" s="6" t="s">
        <v>36</v>
      </c>
      <c r="V224" s="6" t="s">
        <v>12</v>
      </c>
      <c r="W224" s="1">
        <v>-105.14100000000001</v>
      </c>
      <c r="X224" s="1">
        <v>-134.74459999999999</v>
      </c>
      <c r="Y224" s="29">
        <v>300</v>
      </c>
      <c r="Z224" s="29">
        <v>500</v>
      </c>
      <c r="AA224" s="28">
        <f t="shared" ref="AA224:AA253" si="51">Z224-40</f>
        <v>460</v>
      </c>
      <c r="AB224" s="28">
        <f>ABS(X224)*1000^2/(0.9*391*AA224)</f>
        <v>832.40421562449797</v>
      </c>
      <c r="AC224" s="60">
        <v>18</v>
      </c>
      <c r="AD224" s="60">
        <v>2</v>
      </c>
      <c r="AE224" s="60">
        <v>14</v>
      </c>
      <c r="AF224" s="60">
        <v>2</v>
      </c>
      <c r="AG224" s="28">
        <f>PI()*AC224^2/4*AD224+PI()*AE224^2/4*AF224</f>
        <v>816.81408993334617</v>
      </c>
      <c r="AH224" s="34" t="str">
        <f t="shared" ref="AH224:AH253" si="52">IF(AG224&gt;=AB224,"OK","NO")</f>
        <v>NO</v>
      </c>
      <c r="AI224" s="28">
        <f>-(AG224*0.9*391*AA224)/1000^2</f>
        <v>-132.22096399387047</v>
      </c>
      <c r="AJ224" s="32">
        <f>X224/AI224</f>
        <v>1.0190865043628521</v>
      </c>
    </row>
    <row r="225" spans="1:36" x14ac:dyDescent="0.25">
      <c r="A225" s="6" t="s">
        <v>48</v>
      </c>
      <c r="B225" s="17">
        <v>0.5</v>
      </c>
      <c r="C225" s="6" t="s">
        <v>36</v>
      </c>
      <c r="D225" s="6" t="s">
        <v>11</v>
      </c>
      <c r="E225" s="1">
        <v>23.3</v>
      </c>
      <c r="F225" s="1">
        <v>80.011099999999999</v>
      </c>
      <c r="G225" s="29">
        <v>300</v>
      </c>
      <c r="H225" s="29">
        <v>500</v>
      </c>
      <c r="I225" s="28">
        <f t="shared" si="48"/>
        <v>460</v>
      </c>
      <c r="J225" s="28">
        <f t="shared" ref="J225:J253" si="53">ABS(F225)*1000^2/(0.9*391*I225)</f>
        <v>494.28011910498282</v>
      </c>
      <c r="K225" s="59">
        <v>18</v>
      </c>
      <c r="L225" s="59">
        <v>2</v>
      </c>
      <c r="M225" s="59">
        <v>12</v>
      </c>
      <c r="N225" s="59">
        <v>0</v>
      </c>
      <c r="O225" s="28">
        <f t="shared" ref="O225:O252" si="54">PI()*K225^2/4*L225+PI()*M225^2/4*N225</f>
        <v>508.93800988154646</v>
      </c>
      <c r="P225" s="34" t="str">
        <f t="shared" si="49"/>
        <v>OK</v>
      </c>
      <c r="Q225" s="17">
        <f t="shared" si="50"/>
        <v>82.383831411565467</v>
      </c>
      <c r="R225" s="19">
        <f t="shared" ref="R225:R253" si="55">F225/Q225</f>
        <v>0.97119906453838012</v>
      </c>
      <c r="S225" s="6" t="s">
        <v>48</v>
      </c>
      <c r="T225" s="17">
        <v>0.5</v>
      </c>
      <c r="U225" s="6" t="s">
        <v>36</v>
      </c>
      <c r="V225" s="6" t="s">
        <v>12</v>
      </c>
      <c r="W225" s="1">
        <v>-92.224000000000004</v>
      </c>
      <c r="X225" s="1">
        <v>-85.403499999999994</v>
      </c>
      <c r="Y225" s="29">
        <v>300</v>
      </c>
      <c r="Z225" s="29">
        <v>500</v>
      </c>
      <c r="AA225" s="28">
        <f t="shared" si="51"/>
        <v>460</v>
      </c>
      <c r="AB225" s="28">
        <f t="shared" ref="AB225:AB253" si="56">ABS(X225)*1000^2/(0.9*391*AA225)</f>
        <v>527.5924484475579</v>
      </c>
      <c r="AC225" s="60">
        <v>18</v>
      </c>
      <c r="AD225" s="60">
        <v>2</v>
      </c>
      <c r="AE225" s="60">
        <v>14</v>
      </c>
      <c r="AF225" s="60">
        <v>2</v>
      </c>
      <c r="AG225" s="28">
        <f t="shared" ref="AG225:AG252" si="57">PI()*AC225^2/4*AD225+PI()*AE225^2/4*AF225</f>
        <v>816.81408993334617</v>
      </c>
      <c r="AH225" s="34" t="str">
        <f t="shared" si="52"/>
        <v>OK</v>
      </c>
      <c r="AI225" s="28">
        <f t="shared" ref="AI225:AI253" si="58">-(AG225*0.9*391*AA225)/1000^2</f>
        <v>-132.22096399387047</v>
      </c>
      <c r="AJ225" s="32">
        <f t="shared" ref="AJ225:AJ252" si="59">X225/AI225</f>
        <v>0.64591497006449861</v>
      </c>
    </row>
    <row r="226" spans="1:36" x14ac:dyDescent="0.25">
      <c r="A226" s="6" t="s">
        <v>48</v>
      </c>
      <c r="B226" s="17">
        <v>1</v>
      </c>
      <c r="C226" s="6" t="s">
        <v>36</v>
      </c>
      <c r="D226" s="6" t="s">
        <v>11</v>
      </c>
      <c r="E226" s="1">
        <v>36.216999999999999</v>
      </c>
      <c r="F226" s="1">
        <v>65.131799999999998</v>
      </c>
      <c r="G226" s="29">
        <v>300</v>
      </c>
      <c r="H226" s="29">
        <v>500</v>
      </c>
      <c r="I226" s="28">
        <f t="shared" si="48"/>
        <v>460</v>
      </c>
      <c r="J226" s="28">
        <f t="shared" si="53"/>
        <v>402.3610956670002</v>
      </c>
      <c r="K226" s="59">
        <v>18</v>
      </c>
      <c r="L226" s="59">
        <v>2</v>
      </c>
      <c r="M226" s="59">
        <v>12</v>
      </c>
      <c r="N226" s="59">
        <v>0</v>
      </c>
      <c r="O226" s="28">
        <f t="shared" si="54"/>
        <v>508.93800988154646</v>
      </c>
      <c r="P226" s="34" t="str">
        <f t="shared" si="49"/>
        <v>OK</v>
      </c>
      <c r="Q226" s="17">
        <f t="shared" si="50"/>
        <v>82.383831411565467</v>
      </c>
      <c r="R226" s="19">
        <f t="shared" si="55"/>
        <v>0.79058959608980339</v>
      </c>
      <c r="S226" s="6" t="s">
        <v>48</v>
      </c>
      <c r="T226" s="17">
        <v>1</v>
      </c>
      <c r="U226" s="6" t="s">
        <v>36</v>
      </c>
      <c r="V226" s="6" t="s">
        <v>12</v>
      </c>
      <c r="W226" s="1">
        <v>-79.308000000000007</v>
      </c>
      <c r="X226" s="1">
        <v>-42.520699999999998</v>
      </c>
      <c r="Y226" s="29">
        <v>300</v>
      </c>
      <c r="Z226" s="29">
        <v>500</v>
      </c>
      <c r="AA226" s="28">
        <f t="shared" si="51"/>
        <v>460</v>
      </c>
      <c r="AB226" s="28">
        <f t="shared" si="56"/>
        <v>262.67776171590242</v>
      </c>
      <c r="AC226" s="60">
        <v>18</v>
      </c>
      <c r="AD226" s="60">
        <v>2</v>
      </c>
      <c r="AE226" s="60">
        <v>14</v>
      </c>
      <c r="AF226" s="60">
        <v>2</v>
      </c>
      <c r="AG226" s="28">
        <f t="shared" si="57"/>
        <v>816.81408993334617</v>
      </c>
      <c r="AH226" s="34" t="str">
        <f t="shared" si="52"/>
        <v>OK</v>
      </c>
      <c r="AI226" s="28">
        <f t="shared" si="58"/>
        <v>-132.22096399387047</v>
      </c>
      <c r="AJ226" s="32">
        <f t="shared" si="59"/>
        <v>0.32158818628769931</v>
      </c>
    </row>
    <row r="227" spans="1:36" x14ac:dyDescent="0.25">
      <c r="A227" s="6" t="s">
        <v>48</v>
      </c>
      <c r="B227" s="17">
        <v>1.5</v>
      </c>
      <c r="C227" s="6" t="s">
        <v>36</v>
      </c>
      <c r="D227" s="6" t="s">
        <v>11</v>
      </c>
      <c r="E227" s="1">
        <v>49.133000000000003</v>
      </c>
      <c r="F227" s="1">
        <v>43.794600000000003</v>
      </c>
      <c r="G227" s="29">
        <v>300</v>
      </c>
      <c r="H227" s="29">
        <v>500</v>
      </c>
      <c r="I227" s="28">
        <f t="shared" si="48"/>
        <v>460</v>
      </c>
      <c r="J227" s="28">
        <f t="shared" si="53"/>
        <v>270.54746284146927</v>
      </c>
      <c r="K227" s="59">
        <v>18</v>
      </c>
      <c r="L227" s="59">
        <v>2</v>
      </c>
      <c r="M227" s="59">
        <v>12</v>
      </c>
      <c r="N227" s="59">
        <v>0</v>
      </c>
      <c r="O227" s="28">
        <f t="shared" si="54"/>
        <v>508.93800988154646</v>
      </c>
      <c r="P227" s="34" t="str">
        <f t="shared" si="49"/>
        <v>OK</v>
      </c>
      <c r="Q227" s="17">
        <f t="shared" si="50"/>
        <v>82.383831411565467</v>
      </c>
      <c r="R227" s="19">
        <f t="shared" si="55"/>
        <v>0.53159217348383592</v>
      </c>
      <c r="S227" s="6" t="s">
        <v>48</v>
      </c>
      <c r="T227" s="17">
        <v>1.5</v>
      </c>
      <c r="U227" s="6" t="s">
        <v>36</v>
      </c>
      <c r="V227" s="6" t="s">
        <v>12</v>
      </c>
      <c r="W227" s="1">
        <v>-66.391000000000005</v>
      </c>
      <c r="X227" s="1">
        <v>-6.0963000000000003</v>
      </c>
      <c r="Y227" s="29">
        <v>300</v>
      </c>
      <c r="Z227" s="29">
        <v>500</v>
      </c>
      <c r="AA227" s="28">
        <f t="shared" si="51"/>
        <v>460</v>
      </c>
      <c r="AB227" s="28">
        <f t="shared" si="56"/>
        <v>37.660773193965667</v>
      </c>
      <c r="AC227" s="60">
        <v>18</v>
      </c>
      <c r="AD227" s="60">
        <v>2</v>
      </c>
      <c r="AE227" s="60">
        <v>14</v>
      </c>
      <c r="AF227" s="60">
        <v>2</v>
      </c>
      <c r="AG227" s="28">
        <f t="shared" si="57"/>
        <v>816.81408993334617</v>
      </c>
      <c r="AH227" s="34" t="str">
        <f t="shared" si="52"/>
        <v>OK</v>
      </c>
      <c r="AI227" s="28">
        <f t="shared" si="58"/>
        <v>-132.22096399387047</v>
      </c>
      <c r="AJ227" s="32">
        <f t="shared" si="59"/>
        <v>4.6106909342172202E-2</v>
      </c>
    </row>
    <row r="228" spans="1:36" x14ac:dyDescent="0.25">
      <c r="A228" s="6" t="s">
        <v>48</v>
      </c>
      <c r="B228" s="17">
        <v>2</v>
      </c>
      <c r="C228" s="6" t="s">
        <v>36</v>
      </c>
      <c r="D228" s="6" t="s">
        <v>11</v>
      </c>
      <c r="E228" s="1">
        <v>62.05</v>
      </c>
      <c r="F228" s="1">
        <v>33.516599999999997</v>
      </c>
      <c r="G228" s="29">
        <v>300</v>
      </c>
      <c r="H228" s="29">
        <v>500</v>
      </c>
      <c r="I228" s="28">
        <f t="shared" si="48"/>
        <v>460</v>
      </c>
      <c r="J228" s="28">
        <f t="shared" si="53"/>
        <v>207.05363430816556</v>
      </c>
      <c r="K228" s="59">
        <v>18</v>
      </c>
      <c r="L228" s="59">
        <v>2</v>
      </c>
      <c r="M228" s="59">
        <v>12</v>
      </c>
      <c r="N228" s="59">
        <v>0</v>
      </c>
      <c r="O228" s="28">
        <f t="shared" si="54"/>
        <v>508.93800988154646</v>
      </c>
      <c r="P228" s="34" t="str">
        <f t="shared" si="49"/>
        <v>OK</v>
      </c>
      <c r="Q228" s="17">
        <f t="shared" si="50"/>
        <v>82.383831411565467</v>
      </c>
      <c r="R228" s="19">
        <f t="shared" si="55"/>
        <v>0.40683468376896542</v>
      </c>
      <c r="S228" s="6" t="s">
        <v>48</v>
      </c>
      <c r="T228" s="17">
        <v>2</v>
      </c>
      <c r="U228" s="6" t="s">
        <v>36</v>
      </c>
      <c r="V228" s="6" t="s">
        <v>12</v>
      </c>
      <c r="W228" s="1">
        <v>-53.475000000000001</v>
      </c>
      <c r="X228" s="1">
        <v>15.994</v>
      </c>
      <c r="Y228" s="29">
        <v>300</v>
      </c>
      <c r="Z228" s="29">
        <v>500</v>
      </c>
      <c r="AA228" s="28">
        <f t="shared" si="51"/>
        <v>460</v>
      </c>
      <c r="AB228" s="28">
        <f t="shared" si="56"/>
        <v>98.805243584516333</v>
      </c>
      <c r="AC228" s="60">
        <v>18</v>
      </c>
      <c r="AD228" s="60">
        <v>2</v>
      </c>
      <c r="AE228" s="60">
        <v>14</v>
      </c>
      <c r="AF228" s="60">
        <v>2</v>
      </c>
      <c r="AG228" s="28">
        <f t="shared" si="57"/>
        <v>816.81408993334617</v>
      </c>
      <c r="AH228" s="34" t="str">
        <f t="shared" si="52"/>
        <v>OK</v>
      </c>
      <c r="AI228" s="28">
        <f t="shared" si="58"/>
        <v>-132.22096399387047</v>
      </c>
      <c r="AJ228" s="32">
        <f t="shared" si="59"/>
        <v>-0.12096417630672737</v>
      </c>
    </row>
    <row r="229" spans="1:36" x14ac:dyDescent="0.25">
      <c r="A229" s="6" t="s">
        <v>48</v>
      </c>
      <c r="B229" s="17">
        <v>2.5</v>
      </c>
      <c r="C229" s="6" t="s">
        <v>36</v>
      </c>
      <c r="D229" s="6" t="s">
        <v>11</v>
      </c>
      <c r="E229" s="1">
        <v>74.965999999999994</v>
      </c>
      <c r="F229" s="1">
        <v>47.379600000000003</v>
      </c>
      <c r="G229" s="29">
        <v>300</v>
      </c>
      <c r="H229" s="29">
        <v>500</v>
      </c>
      <c r="I229" s="28">
        <f t="shared" si="48"/>
        <v>460</v>
      </c>
      <c r="J229" s="28">
        <f t="shared" si="53"/>
        <v>292.69431780273538</v>
      </c>
      <c r="K229" s="59">
        <v>18</v>
      </c>
      <c r="L229" s="59">
        <v>2</v>
      </c>
      <c r="M229" s="59">
        <v>12</v>
      </c>
      <c r="N229" s="59">
        <v>0</v>
      </c>
      <c r="O229" s="28">
        <f t="shared" si="54"/>
        <v>508.93800988154646</v>
      </c>
      <c r="P229" s="34" t="str">
        <f t="shared" si="49"/>
        <v>OK</v>
      </c>
      <c r="Q229" s="17">
        <f t="shared" si="50"/>
        <v>82.383831411565467</v>
      </c>
      <c r="R229" s="19">
        <f t="shared" si="55"/>
        <v>0.57510799374340105</v>
      </c>
      <c r="S229" s="6" t="s">
        <v>48</v>
      </c>
      <c r="T229" s="17">
        <v>2.5</v>
      </c>
      <c r="U229" s="6" t="s">
        <v>36</v>
      </c>
      <c r="V229" s="6" t="s">
        <v>12</v>
      </c>
      <c r="W229" s="1">
        <v>-40.558</v>
      </c>
      <c r="X229" s="1">
        <v>-18.256399999999999</v>
      </c>
      <c r="Y229" s="29">
        <v>300</v>
      </c>
      <c r="Z229" s="29">
        <v>500</v>
      </c>
      <c r="AA229" s="28">
        <f t="shared" si="51"/>
        <v>460</v>
      </c>
      <c r="AB229" s="28">
        <f t="shared" si="56"/>
        <v>112.78154614082555</v>
      </c>
      <c r="AC229" s="60">
        <v>18</v>
      </c>
      <c r="AD229" s="60">
        <v>2</v>
      </c>
      <c r="AE229" s="60">
        <v>18</v>
      </c>
      <c r="AF229" s="60">
        <v>2</v>
      </c>
      <c r="AG229" s="28">
        <f t="shared" si="57"/>
        <v>1017.8760197630929</v>
      </c>
      <c r="AH229" s="34" t="str">
        <f t="shared" si="52"/>
        <v>OK</v>
      </c>
      <c r="AI229" s="28">
        <f t="shared" si="58"/>
        <v>-164.76766282313093</v>
      </c>
      <c r="AJ229" s="32">
        <f t="shared" si="59"/>
        <v>0.11080086764110532</v>
      </c>
    </row>
    <row r="230" spans="1:36" x14ac:dyDescent="0.25">
      <c r="A230" s="6" t="s">
        <v>48</v>
      </c>
      <c r="B230" s="17">
        <v>3</v>
      </c>
      <c r="C230" s="6" t="s">
        <v>36</v>
      </c>
      <c r="D230" s="6" t="s">
        <v>11</v>
      </c>
      <c r="E230" s="1">
        <v>87.882999999999996</v>
      </c>
      <c r="F230" s="1">
        <v>64.429500000000004</v>
      </c>
      <c r="G230" s="29">
        <v>300</v>
      </c>
      <c r="H230" s="29">
        <v>500</v>
      </c>
      <c r="I230" s="28">
        <f t="shared" si="48"/>
        <v>460</v>
      </c>
      <c r="J230" s="28">
        <f t="shared" si="53"/>
        <v>398.02253604655471</v>
      </c>
      <c r="K230" s="59">
        <v>18</v>
      </c>
      <c r="L230" s="59">
        <v>2</v>
      </c>
      <c r="M230" s="59">
        <v>12</v>
      </c>
      <c r="N230" s="59">
        <v>0</v>
      </c>
      <c r="O230" s="28">
        <f t="shared" si="54"/>
        <v>508.93800988154646</v>
      </c>
      <c r="P230" s="34" t="str">
        <f t="shared" si="49"/>
        <v>OK</v>
      </c>
      <c r="Q230" s="17">
        <f t="shared" si="50"/>
        <v>82.383831411565467</v>
      </c>
      <c r="R230" s="19">
        <f t="shared" si="55"/>
        <v>0.78206486510841078</v>
      </c>
      <c r="S230" s="6" t="s">
        <v>48</v>
      </c>
      <c r="T230" s="17">
        <v>3</v>
      </c>
      <c r="U230" s="6" t="s">
        <v>36</v>
      </c>
      <c r="V230" s="6" t="s">
        <v>12</v>
      </c>
      <c r="W230" s="1">
        <v>-27.641999999999999</v>
      </c>
      <c r="X230" s="1">
        <v>-58.968400000000003</v>
      </c>
      <c r="Y230" s="29">
        <v>300</v>
      </c>
      <c r="Z230" s="29">
        <v>500</v>
      </c>
      <c r="AA230" s="28">
        <f t="shared" si="51"/>
        <v>460</v>
      </c>
      <c r="AB230" s="28">
        <f t="shared" si="56"/>
        <v>364.28580253777625</v>
      </c>
      <c r="AC230" s="60">
        <v>18</v>
      </c>
      <c r="AD230" s="60">
        <v>2</v>
      </c>
      <c r="AE230" s="60">
        <v>18</v>
      </c>
      <c r="AF230" s="60">
        <v>2</v>
      </c>
      <c r="AG230" s="28">
        <f t="shared" si="57"/>
        <v>1017.8760197630929</v>
      </c>
      <c r="AH230" s="34" t="str">
        <f t="shared" si="52"/>
        <v>OK</v>
      </c>
      <c r="AI230" s="28">
        <f t="shared" si="58"/>
        <v>-164.76766282313093</v>
      </c>
      <c r="AJ230" s="32">
        <f t="shared" si="59"/>
        <v>0.35788818624743951</v>
      </c>
    </row>
    <row r="231" spans="1:36" x14ac:dyDescent="0.25">
      <c r="A231" s="6" t="s">
        <v>48</v>
      </c>
      <c r="B231" s="17">
        <v>3.5</v>
      </c>
      <c r="C231" s="6" t="s">
        <v>36</v>
      </c>
      <c r="D231" s="6" t="s">
        <v>11</v>
      </c>
      <c r="E231" s="1">
        <v>100.79900000000001</v>
      </c>
      <c r="F231" s="1">
        <v>75.021199999999993</v>
      </c>
      <c r="G231" s="29">
        <v>300</v>
      </c>
      <c r="H231" s="29">
        <v>500</v>
      </c>
      <c r="I231" s="28">
        <f t="shared" si="48"/>
        <v>460</v>
      </c>
      <c r="J231" s="28">
        <f t="shared" si="53"/>
        <v>463.45429160952335</v>
      </c>
      <c r="K231" s="59">
        <v>18</v>
      </c>
      <c r="L231" s="59">
        <v>2</v>
      </c>
      <c r="M231" s="59">
        <v>12</v>
      </c>
      <c r="N231" s="59">
        <v>0</v>
      </c>
      <c r="O231" s="28">
        <f t="shared" si="54"/>
        <v>508.93800988154646</v>
      </c>
      <c r="P231" s="34" t="str">
        <f t="shared" si="49"/>
        <v>OK</v>
      </c>
      <c r="Q231" s="17">
        <f t="shared" si="50"/>
        <v>82.383831411565467</v>
      </c>
      <c r="R231" s="19">
        <f t="shared" si="55"/>
        <v>0.91063014082479454</v>
      </c>
      <c r="S231" s="6" t="s">
        <v>48</v>
      </c>
      <c r="T231" s="17">
        <v>3.5</v>
      </c>
      <c r="U231" s="6" t="s">
        <v>36</v>
      </c>
      <c r="V231" s="6" t="s">
        <v>12</v>
      </c>
      <c r="W231" s="1">
        <v>-14.725</v>
      </c>
      <c r="X231" s="1">
        <v>-106.1388</v>
      </c>
      <c r="Y231" s="29">
        <v>300</v>
      </c>
      <c r="Z231" s="29">
        <v>500</v>
      </c>
      <c r="AA231" s="28">
        <f t="shared" si="51"/>
        <v>460</v>
      </c>
      <c r="AB231" s="28">
        <f t="shared" si="56"/>
        <v>655.68775714444553</v>
      </c>
      <c r="AC231" s="60">
        <v>18</v>
      </c>
      <c r="AD231" s="60">
        <v>2</v>
      </c>
      <c r="AE231" s="60">
        <v>18</v>
      </c>
      <c r="AF231" s="60">
        <v>2</v>
      </c>
      <c r="AG231" s="28">
        <f t="shared" si="57"/>
        <v>1017.8760197630929</v>
      </c>
      <c r="AH231" s="34" t="str">
        <f t="shared" si="52"/>
        <v>OK</v>
      </c>
      <c r="AI231" s="28">
        <f t="shared" si="58"/>
        <v>-164.76766282313093</v>
      </c>
      <c r="AJ231" s="32">
        <f t="shared" si="59"/>
        <v>0.64417251650849838</v>
      </c>
    </row>
    <row r="232" spans="1:36" x14ac:dyDescent="0.25">
      <c r="A232" s="6" t="s">
        <v>48</v>
      </c>
      <c r="B232" s="17">
        <v>4</v>
      </c>
      <c r="C232" s="6" t="s">
        <v>36</v>
      </c>
      <c r="D232" s="6" t="s">
        <v>11</v>
      </c>
      <c r="E232" s="1">
        <v>113.71599999999999</v>
      </c>
      <c r="F232" s="1">
        <v>79.154799999999994</v>
      </c>
      <c r="G232" s="29">
        <v>300</v>
      </c>
      <c r="H232" s="29">
        <v>500</v>
      </c>
      <c r="I232" s="28">
        <f t="shared" si="48"/>
        <v>460</v>
      </c>
      <c r="J232" s="28">
        <f t="shared" si="53"/>
        <v>488.99020225607563</v>
      </c>
      <c r="K232" s="59">
        <v>18</v>
      </c>
      <c r="L232" s="59">
        <v>2</v>
      </c>
      <c r="M232" s="59">
        <v>12</v>
      </c>
      <c r="N232" s="59">
        <v>0</v>
      </c>
      <c r="O232" s="28">
        <f t="shared" si="54"/>
        <v>508.93800988154646</v>
      </c>
      <c r="P232" s="34" t="str">
        <f t="shared" si="49"/>
        <v>OK</v>
      </c>
      <c r="Q232" s="17">
        <f t="shared" si="50"/>
        <v>82.383831411565467</v>
      </c>
      <c r="R232" s="19">
        <f t="shared" si="55"/>
        <v>0.9608050347229643</v>
      </c>
      <c r="S232" s="6" t="s">
        <v>48</v>
      </c>
      <c r="T232" s="17">
        <v>4</v>
      </c>
      <c r="U232" s="6" t="s">
        <v>36</v>
      </c>
      <c r="V232" s="6" t="s">
        <v>12</v>
      </c>
      <c r="W232" s="1">
        <v>-1.8089999999999999</v>
      </c>
      <c r="X232" s="1">
        <v>-159.76750000000001</v>
      </c>
      <c r="Y232" s="29">
        <v>300</v>
      </c>
      <c r="Z232" s="29">
        <v>500</v>
      </c>
      <c r="AA232" s="28">
        <f t="shared" si="51"/>
        <v>460</v>
      </c>
      <c r="AB232" s="28">
        <f t="shared" si="56"/>
        <v>986.98679219639951</v>
      </c>
      <c r="AC232" s="60">
        <v>18</v>
      </c>
      <c r="AD232" s="60">
        <v>2</v>
      </c>
      <c r="AE232" s="60">
        <v>18</v>
      </c>
      <c r="AF232" s="60">
        <v>2</v>
      </c>
      <c r="AG232" s="28">
        <f t="shared" si="57"/>
        <v>1017.8760197630929</v>
      </c>
      <c r="AH232" s="34" t="str">
        <f t="shared" si="52"/>
        <v>OK</v>
      </c>
      <c r="AI232" s="28">
        <f t="shared" si="58"/>
        <v>-164.76766282313093</v>
      </c>
      <c r="AJ232" s="32">
        <f t="shared" si="59"/>
        <v>0.969653251509076</v>
      </c>
    </row>
    <row r="233" spans="1:36" x14ac:dyDescent="0.25">
      <c r="A233" s="6" t="s">
        <v>49</v>
      </c>
      <c r="B233" s="17">
        <v>4</v>
      </c>
      <c r="C233" s="6" t="s">
        <v>36</v>
      </c>
      <c r="D233" s="6" t="s">
        <v>11</v>
      </c>
      <c r="E233" s="1">
        <v>-34.039000000000001</v>
      </c>
      <c r="F233" s="1">
        <v>39.1907</v>
      </c>
      <c r="G233" s="29">
        <v>300</v>
      </c>
      <c r="H233" s="29">
        <v>500</v>
      </c>
      <c r="I233" s="28">
        <f t="shared" si="48"/>
        <v>460</v>
      </c>
      <c r="J233" s="28">
        <f t="shared" si="53"/>
        <v>242.10620606150459</v>
      </c>
      <c r="K233" s="59">
        <v>18</v>
      </c>
      <c r="L233" s="59">
        <v>2</v>
      </c>
      <c r="M233" s="59">
        <v>12</v>
      </c>
      <c r="N233" s="59">
        <v>0</v>
      </c>
      <c r="O233" s="28">
        <f t="shared" si="54"/>
        <v>508.93800988154646</v>
      </c>
      <c r="P233" s="34" t="str">
        <f t="shared" si="49"/>
        <v>OK</v>
      </c>
      <c r="Q233" s="17">
        <f t="shared" si="50"/>
        <v>82.383831411565467</v>
      </c>
      <c r="R233" s="19">
        <f t="shared" si="55"/>
        <v>0.4757086351594253</v>
      </c>
      <c r="S233" s="6" t="s">
        <v>49</v>
      </c>
      <c r="T233" s="17">
        <v>4</v>
      </c>
      <c r="U233" s="6" t="s">
        <v>36</v>
      </c>
      <c r="V233" s="6" t="s">
        <v>12</v>
      </c>
      <c r="W233" s="1">
        <v>-119.08199999999999</v>
      </c>
      <c r="X233" s="1">
        <v>-164.38310000000001</v>
      </c>
      <c r="Y233" s="29">
        <v>300</v>
      </c>
      <c r="Z233" s="29">
        <v>500</v>
      </c>
      <c r="AA233" s="28">
        <f t="shared" si="51"/>
        <v>460</v>
      </c>
      <c r="AB233" s="28">
        <f t="shared" si="56"/>
        <v>1015.5003274151499</v>
      </c>
      <c r="AC233" s="60">
        <v>18</v>
      </c>
      <c r="AD233" s="60">
        <v>2</v>
      </c>
      <c r="AE233" s="60">
        <v>18</v>
      </c>
      <c r="AF233" s="60">
        <v>2</v>
      </c>
      <c r="AG233" s="28">
        <f t="shared" si="57"/>
        <v>1017.8760197630929</v>
      </c>
      <c r="AH233" s="34" t="str">
        <f t="shared" si="52"/>
        <v>OK</v>
      </c>
      <c r="AI233" s="28">
        <f t="shared" si="58"/>
        <v>-164.76766282313093</v>
      </c>
      <c r="AJ233" s="32">
        <f t="shared" si="59"/>
        <v>0.997666029750366</v>
      </c>
    </row>
    <row r="234" spans="1:36" x14ac:dyDescent="0.25">
      <c r="A234" s="6" t="s">
        <v>49</v>
      </c>
      <c r="B234" s="17">
        <v>4.5</v>
      </c>
      <c r="C234" s="6" t="s">
        <v>36</v>
      </c>
      <c r="D234" s="6" t="s">
        <v>11</v>
      </c>
      <c r="E234" s="1">
        <v>-21.123000000000001</v>
      </c>
      <c r="F234" s="1">
        <v>52.981000000000002</v>
      </c>
      <c r="G234" s="29">
        <v>300</v>
      </c>
      <c r="H234" s="29">
        <v>500</v>
      </c>
      <c r="I234" s="28">
        <f t="shared" si="48"/>
        <v>460</v>
      </c>
      <c r="J234" s="28">
        <f t="shared" si="53"/>
        <v>327.29777481250841</v>
      </c>
      <c r="K234" s="59">
        <v>18</v>
      </c>
      <c r="L234" s="59">
        <v>2</v>
      </c>
      <c r="M234" s="59">
        <v>12</v>
      </c>
      <c r="N234" s="59">
        <v>0</v>
      </c>
      <c r="O234" s="28">
        <f t="shared" si="54"/>
        <v>508.93800988154646</v>
      </c>
      <c r="P234" s="34" t="str">
        <f t="shared" si="49"/>
        <v>OK</v>
      </c>
      <c r="Q234" s="17">
        <f t="shared" si="50"/>
        <v>82.383831411565467</v>
      </c>
      <c r="R234" s="19">
        <f t="shared" si="55"/>
        <v>0.64309949042455261</v>
      </c>
      <c r="S234" s="6" t="s">
        <v>49</v>
      </c>
      <c r="T234" s="17">
        <v>4.5</v>
      </c>
      <c r="U234" s="6" t="s">
        <v>36</v>
      </c>
      <c r="V234" s="6" t="s">
        <v>12</v>
      </c>
      <c r="W234" s="1">
        <v>-97.430999999999997</v>
      </c>
      <c r="X234" s="1">
        <v>-113.5913</v>
      </c>
      <c r="Y234" s="29">
        <v>300</v>
      </c>
      <c r="Z234" s="29">
        <v>500</v>
      </c>
      <c r="AA234" s="28">
        <f t="shared" si="51"/>
        <v>460</v>
      </c>
      <c r="AB234" s="28">
        <f t="shared" si="56"/>
        <v>701.72665159321434</v>
      </c>
      <c r="AC234" s="60">
        <v>18</v>
      </c>
      <c r="AD234" s="60">
        <v>2</v>
      </c>
      <c r="AE234" s="60">
        <v>18</v>
      </c>
      <c r="AF234" s="60">
        <v>2</v>
      </c>
      <c r="AG234" s="28">
        <f t="shared" si="57"/>
        <v>1017.8760197630929</v>
      </c>
      <c r="AH234" s="34" t="str">
        <f t="shared" si="52"/>
        <v>OK</v>
      </c>
      <c r="AI234" s="28">
        <f t="shared" si="58"/>
        <v>-164.76766282313093</v>
      </c>
      <c r="AJ234" s="32">
        <f t="shared" si="59"/>
        <v>0.68940287222459451</v>
      </c>
    </row>
    <row r="235" spans="1:36" x14ac:dyDescent="0.25">
      <c r="A235" s="6" t="s">
        <v>49</v>
      </c>
      <c r="B235" s="17">
        <v>5</v>
      </c>
      <c r="C235" s="6" t="s">
        <v>36</v>
      </c>
      <c r="D235" s="6" t="s">
        <v>11</v>
      </c>
      <c r="E235" s="1">
        <v>-8.2059999999999995</v>
      </c>
      <c r="F235" s="1">
        <v>60.313200000000002</v>
      </c>
      <c r="G235" s="29">
        <v>300</v>
      </c>
      <c r="H235" s="29">
        <v>500</v>
      </c>
      <c r="I235" s="28">
        <f t="shared" si="48"/>
        <v>460</v>
      </c>
      <c r="J235" s="28">
        <f t="shared" si="53"/>
        <v>372.59349864709583</v>
      </c>
      <c r="K235" s="59">
        <v>18</v>
      </c>
      <c r="L235" s="59">
        <v>2</v>
      </c>
      <c r="M235" s="59">
        <v>12</v>
      </c>
      <c r="N235" s="59">
        <v>0</v>
      </c>
      <c r="O235" s="28">
        <f t="shared" si="54"/>
        <v>508.93800988154646</v>
      </c>
      <c r="P235" s="34" t="str">
        <f t="shared" si="49"/>
        <v>OK</v>
      </c>
      <c r="Q235" s="17">
        <f t="shared" si="50"/>
        <v>82.383831411565467</v>
      </c>
      <c r="R235" s="19">
        <f t="shared" si="55"/>
        <v>0.7320999638714657</v>
      </c>
      <c r="S235" s="6" t="s">
        <v>49</v>
      </c>
      <c r="T235" s="17">
        <v>5</v>
      </c>
      <c r="U235" s="6" t="s">
        <v>36</v>
      </c>
      <c r="V235" s="6" t="s">
        <v>12</v>
      </c>
      <c r="W235" s="1">
        <v>-82.209000000000003</v>
      </c>
      <c r="X235" s="1">
        <v>-69.257599999999996</v>
      </c>
      <c r="Y235" s="29">
        <v>300</v>
      </c>
      <c r="Z235" s="29">
        <v>500</v>
      </c>
      <c r="AA235" s="28">
        <f t="shared" si="51"/>
        <v>460</v>
      </c>
      <c r="AB235" s="28">
        <f t="shared" si="56"/>
        <v>427.84882068769531</v>
      </c>
      <c r="AC235" s="60">
        <v>18</v>
      </c>
      <c r="AD235" s="60">
        <v>2</v>
      </c>
      <c r="AE235" s="60">
        <v>18</v>
      </c>
      <c r="AF235" s="60">
        <v>2</v>
      </c>
      <c r="AG235" s="28">
        <f t="shared" si="57"/>
        <v>1017.8760197630929</v>
      </c>
      <c r="AH235" s="34" t="str">
        <f t="shared" si="52"/>
        <v>OK</v>
      </c>
      <c r="AI235" s="28">
        <f t="shared" si="58"/>
        <v>-164.76766282313093</v>
      </c>
      <c r="AJ235" s="32">
        <f t="shared" si="59"/>
        <v>0.42033490560793013</v>
      </c>
    </row>
    <row r="236" spans="1:36" x14ac:dyDescent="0.25">
      <c r="A236" s="6" t="s">
        <v>49</v>
      </c>
      <c r="B236" s="17">
        <v>5.5</v>
      </c>
      <c r="C236" s="6" t="s">
        <v>36</v>
      </c>
      <c r="D236" s="6" t="s">
        <v>11</v>
      </c>
      <c r="E236" s="1">
        <v>4.71</v>
      </c>
      <c r="F236" s="1">
        <v>61.187100000000001</v>
      </c>
      <c r="G236" s="29">
        <v>300</v>
      </c>
      <c r="H236" s="29">
        <v>500</v>
      </c>
      <c r="I236" s="28">
        <f t="shared" si="48"/>
        <v>460</v>
      </c>
      <c r="J236" s="28">
        <f t="shared" si="53"/>
        <v>377.9921420363986</v>
      </c>
      <c r="K236" s="59">
        <v>18</v>
      </c>
      <c r="L236" s="59">
        <v>2</v>
      </c>
      <c r="M236" s="59">
        <v>12</v>
      </c>
      <c r="N236" s="59">
        <v>1</v>
      </c>
      <c r="O236" s="28">
        <f t="shared" si="54"/>
        <v>622.03534541077897</v>
      </c>
      <c r="P236" s="34" t="str">
        <f t="shared" si="49"/>
        <v>OK</v>
      </c>
      <c r="Q236" s="17">
        <f t="shared" si="50"/>
        <v>100.69134950302445</v>
      </c>
      <c r="R236" s="19">
        <f t="shared" si="55"/>
        <v>0.60766987732309741</v>
      </c>
      <c r="S236" s="6" t="s">
        <v>49</v>
      </c>
      <c r="T236" s="17">
        <v>5.5</v>
      </c>
      <c r="U236" s="6" t="s">
        <v>36</v>
      </c>
      <c r="V236" s="6" t="s">
        <v>12</v>
      </c>
      <c r="W236" s="1">
        <v>-69.293000000000006</v>
      </c>
      <c r="X236" s="1">
        <v>-31.382200000000001</v>
      </c>
      <c r="Y236" s="29">
        <v>300</v>
      </c>
      <c r="Z236" s="29">
        <v>500</v>
      </c>
      <c r="AA236" s="28">
        <f t="shared" si="51"/>
        <v>460</v>
      </c>
      <c r="AB236" s="28">
        <f t="shared" si="56"/>
        <v>193.86807022746083</v>
      </c>
      <c r="AC236" s="60">
        <v>18</v>
      </c>
      <c r="AD236" s="60">
        <v>2</v>
      </c>
      <c r="AE236" s="60">
        <v>0</v>
      </c>
      <c r="AF236" s="60">
        <v>2</v>
      </c>
      <c r="AG236" s="28">
        <f t="shared" si="57"/>
        <v>508.93800988154646</v>
      </c>
      <c r="AH236" s="34" t="str">
        <f t="shared" si="52"/>
        <v>OK</v>
      </c>
      <c r="AI236" s="28">
        <f t="shared" si="58"/>
        <v>-82.383831411565467</v>
      </c>
      <c r="AJ236" s="32">
        <f t="shared" si="59"/>
        <v>0.38092668746156916</v>
      </c>
    </row>
    <row r="237" spans="1:36" x14ac:dyDescent="0.25">
      <c r="A237" s="6" t="s">
        <v>49</v>
      </c>
      <c r="B237" s="17">
        <v>6</v>
      </c>
      <c r="C237" s="6" t="s">
        <v>36</v>
      </c>
      <c r="D237" s="6" t="s">
        <v>11</v>
      </c>
      <c r="E237" s="1">
        <v>17.626999999999999</v>
      </c>
      <c r="F237" s="1">
        <v>55.602800000000002</v>
      </c>
      <c r="G237" s="29">
        <v>300</v>
      </c>
      <c r="H237" s="29">
        <v>500</v>
      </c>
      <c r="I237" s="28">
        <f t="shared" si="48"/>
        <v>460</v>
      </c>
      <c r="J237" s="28">
        <f t="shared" si="53"/>
        <v>343.49432274485088</v>
      </c>
      <c r="K237" s="59">
        <v>18</v>
      </c>
      <c r="L237" s="59">
        <v>2</v>
      </c>
      <c r="M237" s="59">
        <v>12</v>
      </c>
      <c r="N237" s="59">
        <v>1</v>
      </c>
      <c r="O237" s="28">
        <f t="shared" si="54"/>
        <v>622.03534541077897</v>
      </c>
      <c r="P237" s="34" t="str">
        <f t="shared" si="49"/>
        <v>OK</v>
      </c>
      <c r="Q237" s="17">
        <f t="shared" si="50"/>
        <v>100.69134950302445</v>
      </c>
      <c r="R237" s="19">
        <f t="shared" si="55"/>
        <v>0.55221029685702905</v>
      </c>
      <c r="S237" s="6" t="s">
        <v>49</v>
      </c>
      <c r="T237" s="17">
        <v>6</v>
      </c>
      <c r="U237" s="6" t="s">
        <v>36</v>
      </c>
      <c r="V237" s="6" t="s">
        <v>12</v>
      </c>
      <c r="W237" s="1">
        <v>-56.375999999999998</v>
      </c>
      <c r="X237" s="1">
        <v>3.49E-2</v>
      </c>
      <c r="Y237" s="29">
        <v>300</v>
      </c>
      <c r="Z237" s="29">
        <v>500</v>
      </c>
      <c r="AA237" s="28">
        <f t="shared" si="51"/>
        <v>460</v>
      </c>
      <c r="AB237" s="28">
        <f t="shared" si="56"/>
        <v>0.21559978748903463</v>
      </c>
      <c r="AC237" s="60">
        <v>18</v>
      </c>
      <c r="AD237" s="60">
        <v>2</v>
      </c>
      <c r="AE237" s="60">
        <v>0</v>
      </c>
      <c r="AF237" s="60">
        <v>2</v>
      </c>
      <c r="AG237" s="28">
        <f t="shared" si="57"/>
        <v>508.93800988154646</v>
      </c>
      <c r="AH237" s="34" t="str">
        <f t="shared" si="52"/>
        <v>OK</v>
      </c>
      <c r="AI237" s="28">
        <f t="shared" si="58"/>
        <v>-82.383831411565467</v>
      </c>
      <c r="AJ237" s="32">
        <f t="shared" si="59"/>
        <v>-4.236268136844696E-4</v>
      </c>
    </row>
    <row r="238" spans="1:36" x14ac:dyDescent="0.25">
      <c r="A238" s="6" t="s">
        <v>49</v>
      </c>
      <c r="B238" s="17">
        <v>6.5</v>
      </c>
      <c r="C238" s="6" t="s">
        <v>36</v>
      </c>
      <c r="D238" s="6" t="s">
        <v>11</v>
      </c>
      <c r="E238" s="1">
        <v>30.542999999999999</v>
      </c>
      <c r="F238" s="1">
        <v>57.5261</v>
      </c>
      <c r="G238" s="29">
        <v>300</v>
      </c>
      <c r="H238" s="29">
        <v>500</v>
      </c>
      <c r="I238" s="28">
        <f t="shared" si="48"/>
        <v>460</v>
      </c>
      <c r="J238" s="28">
        <f t="shared" si="53"/>
        <v>355.3757861052423</v>
      </c>
      <c r="K238" s="59">
        <v>18</v>
      </c>
      <c r="L238" s="59">
        <v>2</v>
      </c>
      <c r="M238" s="59">
        <v>12</v>
      </c>
      <c r="N238" s="59">
        <v>1</v>
      </c>
      <c r="O238" s="28">
        <f t="shared" si="54"/>
        <v>622.03534541077897</v>
      </c>
      <c r="P238" s="34" t="str">
        <f t="shared" si="49"/>
        <v>OK</v>
      </c>
      <c r="Q238" s="17">
        <f t="shared" si="50"/>
        <v>100.69134950302445</v>
      </c>
      <c r="R238" s="19">
        <f t="shared" si="55"/>
        <v>0.57131124256381227</v>
      </c>
      <c r="S238" s="6" t="s">
        <v>49</v>
      </c>
      <c r="T238" s="17">
        <v>6.5</v>
      </c>
      <c r="U238" s="6" t="s">
        <v>36</v>
      </c>
      <c r="V238" s="6" t="s">
        <v>12</v>
      </c>
      <c r="W238" s="1">
        <v>-43.46</v>
      </c>
      <c r="X238" s="1">
        <v>24.9939</v>
      </c>
      <c r="Y238" s="29">
        <v>300</v>
      </c>
      <c r="Z238" s="29">
        <v>500</v>
      </c>
      <c r="AA238" s="28">
        <f t="shared" si="51"/>
        <v>460</v>
      </c>
      <c r="AB238" s="28">
        <f t="shared" si="56"/>
        <v>154.40342488602244</v>
      </c>
      <c r="AC238" s="60">
        <v>18</v>
      </c>
      <c r="AD238" s="60">
        <v>2</v>
      </c>
      <c r="AE238" s="60">
        <v>0</v>
      </c>
      <c r="AF238" s="60">
        <v>2</v>
      </c>
      <c r="AG238" s="28">
        <f t="shared" si="57"/>
        <v>508.93800988154646</v>
      </c>
      <c r="AH238" s="34" t="str">
        <f t="shared" si="52"/>
        <v>OK</v>
      </c>
      <c r="AI238" s="28">
        <f t="shared" si="58"/>
        <v>-82.383831411565467</v>
      </c>
      <c r="AJ238" s="32">
        <f t="shared" si="59"/>
        <v>-0.30338355927072391</v>
      </c>
    </row>
    <row r="239" spans="1:36" x14ac:dyDescent="0.25">
      <c r="A239" s="6" t="s">
        <v>49</v>
      </c>
      <c r="B239" s="17">
        <v>7</v>
      </c>
      <c r="C239" s="6" t="s">
        <v>36</v>
      </c>
      <c r="D239" s="6" t="s">
        <v>11</v>
      </c>
      <c r="E239" s="1">
        <v>43.46</v>
      </c>
      <c r="F239" s="1">
        <v>57.5261</v>
      </c>
      <c r="G239" s="29">
        <v>300</v>
      </c>
      <c r="H239" s="29">
        <v>500</v>
      </c>
      <c r="I239" s="28">
        <f t="shared" si="48"/>
        <v>460</v>
      </c>
      <c r="J239" s="28">
        <f t="shared" si="53"/>
        <v>355.3757861052423</v>
      </c>
      <c r="K239" s="59">
        <v>18</v>
      </c>
      <c r="L239" s="59">
        <v>2</v>
      </c>
      <c r="M239" s="59">
        <v>12</v>
      </c>
      <c r="N239" s="59">
        <v>1</v>
      </c>
      <c r="O239" s="28">
        <f t="shared" si="54"/>
        <v>622.03534541077897</v>
      </c>
      <c r="P239" s="34" t="str">
        <f t="shared" si="49"/>
        <v>OK</v>
      </c>
      <c r="Q239" s="17">
        <f t="shared" si="50"/>
        <v>100.69134950302445</v>
      </c>
      <c r="R239" s="19">
        <f t="shared" si="55"/>
        <v>0.57131124256381227</v>
      </c>
      <c r="S239" s="6" t="s">
        <v>49</v>
      </c>
      <c r="T239" s="17">
        <v>7</v>
      </c>
      <c r="U239" s="6" t="s">
        <v>36</v>
      </c>
      <c r="V239" s="6" t="s">
        <v>12</v>
      </c>
      <c r="W239" s="1">
        <v>-30.542999999999999</v>
      </c>
      <c r="X239" s="1">
        <v>24.9939</v>
      </c>
      <c r="Y239" s="29">
        <v>300</v>
      </c>
      <c r="Z239" s="29">
        <v>500</v>
      </c>
      <c r="AA239" s="28">
        <f t="shared" si="51"/>
        <v>460</v>
      </c>
      <c r="AB239" s="28">
        <f t="shared" si="56"/>
        <v>154.40342488602244</v>
      </c>
      <c r="AC239" s="60">
        <v>18</v>
      </c>
      <c r="AD239" s="60">
        <v>2</v>
      </c>
      <c r="AE239" s="60">
        <v>0</v>
      </c>
      <c r="AF239" s="60">
        <v>2</v>
      </c>
      <c r="AG239" s="28">
        <f t="shared" si="57"/>
        <v>508.93800988154646</v>
      </c>
      <c r="AH239" s="34" t="str">
        <f t="shared" si="52"/>
        <v>OK</v>
      </c>
      <c r="AI239" s="28">
        <f t="shared" si="58"/>
        <v>-82.383831411565467</v>
      </c>
      <c r="AJ239" s="32">
        <f t="shared" si="59"/>
        <v>-0.30338355927072391</v>
      </c>
    </row>
    <row r="240" spans="1:36" x14ac:dyDescent="0.25">
      <c r="A240" s="6" t="s">
        <v>49</v>
      </c>
      <c r="B240" s="17">
        <v>7.5</v>
      </c>
      <c r="C240" s="6" t="s">
        <v>36</v>
      </c>
      <c r="D240" s="6" t="s">
        <v>11</v>
      </c>
      <c r="E240" s="1">
        <v>56.375999999999998</v>
      </c>
      <c r="F240" s="1">
        <v>55.602800000000002</v>
      </c>
      <c r="G240" s="29">
        <v>300</v>
      </c>
      <c r="H240" s="29">
        <v>500</v>
      </c>
      <c r="I240" s="28">
        <f t="shared" si="48"/>
        <v>460</v>
      </c>
      <c r="J240" s="28">
        <f t="shared" si="53"/>
        <v>343.49432274485088</v>
      </c>
      <c r="K240" s="59">
        <v>18</v>
      </c>
      <c r="L240" s="59">
        <v>2</v>
      </c>
      <c r="M240" s="59">
        <v>12</v>
      </c>
      <c r="N240" s="59">
        <v>1</v>
      </c>
      <c r="O240" s="28">
        <f t="shared" si="54"/>
        <v>622.03534541077897</v>
      </c>
      <c r="P240" s="34" t="str">
        <f t="shared" si="49"/>
        <v>OK</v>
      </c>
      <c r="Q240" s="17">
        <f t="shared" si="50"/>
        <v>100.69134950302445</v>
      </c>
      <c r="R240" s="19">
        <f t="shared" si="55"/>
        <v>0.55221029685702905</v>
      </c>
      <c r="S240" s="6" t="s">
        <v>49</v>
      </c>
      <c r="T240" s="17">
        <v>7.5</v>
      </c>
      <c r="U240" s="6" t="s">
        <v>36</v>
      </c>
      <c r="V240" s="6" t="s">
        <v>12</v>
      </c>
      <c r="W240" s="1">
        <v>-17.626999999999999</v>
      </c>
      <c r="X240" s="1">
        <v>3.49E-2</v>
      </c>
      <c r="Y240" s="29">
        <v>300</v>
      </c>
      <c r="Z240" s="29">
        <v>500</v>
      </c>
      <c r="AA240" s="28">
        <f t="shared" si="51"/>
        <v>460</v>
      </c>
      <c r="AB240" s="28">
        <f t="shared" si="56"/>
        <v>0.21559978748903463</v>
      </c>
      <c r="AC240" s="60">
        <v>18</v>
      </c>
      <c r="AD240" s="60">
        <v>2</v>
      </c>
      <c r="AE240" s="60">
        <v>0</v>
      </c>
      <c r="AF240" s="60">
        <v>2</v>
      </c>
      <c r="AG240" s="28">
        <f t="shared" si="57"/>
        <v>508.93800988154646</v>
      </c>
      <c r="AH240" s="34" t="str">
        <f t="shared" si="52"/>
        <v>OK</v>
      </c>
      <c r="AI240" s="28">
        <f t="shared" si="58"/>
        <v>-82.383831411565467</v>
      </c>
      <c r="AJ240" s="32">
        <f t="shared" si="59"/>
        <v>-4.236268136844696E-4</v>
      </c>
    </row>
    <row r="241" spans="1:36" x14ac:dyDescent="0.25">
      <c r="A241" s="6" t="s">
        <v>49</v>
      </c>
      <c r="B241" s="17">
        <v>8</v>
      </c>
      <c r="C241" s="6" t="s">
        <v>36</v>
      </c>
      <c r="D241" s="6" t="s">
        <v>11</v>
      </c>
      <c r="E241" s="1">
        <v>69.293000000000006</v>
      </c>
      <c r="F241" s="1">
        <v>61.187100000000001</v>
      </c>
      <c r="G241" s="29">
        <v>300</v>
      </c>
      <c r="H241" s="29">
        <v>500</v>
      </c>
      <c r="I241" s="28">
        <f t="shared" si="48"/>
        <v>460</v>
      </c>
      <c r="J241" s="28">
        <f t="shared" si="53"/>
        <v>377.9921420363986</v>
      </c>
      <c r="K241" s="59">
        <v>18</v>
      </c>
      <c r="L241" s="59">
        <v>2</v>
      </c>
      <c r="M241" s="59">
        <v>12</v>
      </c>
      <c r="N241" s="59">
        <v>1</v>
      </c>
      <c r="O241" s="28">
        <f t="shared" si="54"/>
        <v>622.03534541077897</v>
      </c>
      <c r="P241" s="34" t="str">
        <f t="shared" si="49"/>
        <v>OK</v>
      </c>
      <c r="Q241" s="17">
        <f t="shared" si="50"/>
        <v>100.69134950302445</v>
      </c>
      <c r="R241" s="19">
        <f t="shared" si="55"/>
        <v>0.60766987732309741</v>
      </c>
      <c r="S241" s="6" t="s">
        <v>49</v>
      </c>
      <c r="T241" s="17">
        <v>8</v>
      </c>
      <c r="U241" s="6" t="s">
        <v>36</v>
      </c>
      <c r="V241" s="6" t="s">
        <v>12</v>
      </c>
      <c r="W241" s="1">
        <v>-4.71</v>
      </c>
      <c r="X241" s="1">
        <v>-31.382200000000001</v>
      </c>
      <c r="Y241" s="29">
        <v>300</v>
      </c>
      <c r="Z241" s="29">
        <v>500</v>
      </c>
      <c r="AA241" s="28">
        <f t="shared" si="51"/>
        <v>460</v>
      </c>
      <c r="AB241" s="28">
        <f t="shared" si="56"/>
        <v>193.86807022746083</v>
      </c>
      <c r="AC241" s="60">
        <v>18</v>
      </c>
      <c r="AD241" s="60">
        <v>2</v>
      </c>
      <c r="AE241" s="60">
        <v>0</v>
      </c>
      <c r="AF241" s="60">
        <v>2</v>
      </c>
      <c r="AG241" s="28">
        <f t="shared" si="57"/>
        <v>508.93800988154646</v>
      </c>
      <c r="AH241" s="34" t="str">
        <f t="shared" si="52"/>
        <v>OK</v>
      </c>
      <c r="AI241" s="28">
        <f t="shared" si="58"/>
        <v>-82.383831411565467</v>
      </c>
      <c r="AJ241" s="32">
        <f t="shared" si="59"/>
        <v>0.38092668746156916</v>
      </c>
    </row>
    <row r="242" spans="1:36" x14ac:dyDescent="0.25">
      <c r="A242" s="6" t="s">
        <v>49</v>
      </c>
      <c r="B242" s="17">
        <v>8.5</v>
      </c>
      <c r="C242" s="6" t="s">
        <v>36</v>
      </c>
      <c r="D242" s="6" t="s">
        <v>11</v>
      </c>
      <c r="E242" s="1">
        <v>82.209000000000003</v>
      </c>
      <c r="F242" s="1">
        <v>60.313200000000002</v>
      </c>
      <c r="G242" s="29">
        <v>300</v>
      </c>
      <c r="H242" s="29">
        <v>500</v>
      </c>
      <c r="I242" s="28">
        <f t="shared" si="48"/>
        <v>460</v>
      </c>
      <c r="J242" s="28">
        <f t="shared" si="53"/>
        <v>372.59349864709583</v>
      </c>
      <c r="K242" s="59">
        <v>18</v>
      </c>
      <c r="L242" s="59">
        <v>2</v>
      </c>
      <c r="M242" s="59">
        <v>12</v>
      </c>
      <c r="N242" s="59">
        <v>0</v>
      </c>
      <c r="O242" s="28">
        <f t="shared" si="54"/>
        <v>508.93800988154646</v>
      </c>
      <c r="P242" s="34" t="str">
        <f t="shared" si="49"/>
        <v>OK</v>
      </c>
      <c r="Q242" s="17">
        <f t="shared" si="50"/>
        <v>82.383831411565467</v>
      </c>
      <c r="R242" s="19">
        <f t="shared" si="55"/>
        <v>0.7320999638714657</v>
      </c>
      <c r="S242" s="6" t="s">
        <v>49</v>
      </c>
      <c r="T242" s="17">
        <v>8.5</v>
      </c>
      <c r="U242" s="6" t="s">
        <v>36</v>
      </c>
      <c r="V242" s="6" t="s">
        <v>12</v>
      </c>
      <c r="W242" s="1">
        <v>8.2059999999999995</v>
      </c>
      <c r="X242" s="1">
        <v>-69.257599999999996</v>
      </c>
      <c r="Y242" s="29">
        <v>300</v>
      </c>
      <c r="Z242" s="29">
        <v>500</v>
      </c>
      <c r="AA242" s="28">
        <f t="shared" si="51"/>
        <v>460</v>
      </c>
      <c r="AB242" s="28">
        <f t="shared" si="56"/>
        <v>427.84882068769531</v>
      </c>
      <c r="AC242" s="60">
        <v>18</v>
      </c>
      <c r="AD242" s="60">
        <v>2</v>
      </c>
      <c r="AE242" s="60">
        <v>18</v>
      </c>
      <c r="AF242" s="60">
        <v>2</v>
      </c>
      <c r="AG242" s="28">
        <f t="shared" si="57"/>
        <v>1017.8760197630929</v>
      </c>
      <c r="AH242" s="34" t="str">
        <f t="shared" si="52"/>
        <v>OK</v>
      </c>
      <c r="AI242" s="28">
        <f t="shared" si="58"/>
        <v>-164.76766282313093</v>
      </c>
      <c r="AJ242" s="32">
        <f t="shared" si="59"/>
        <v>0.42033490560793013</v>
      </c>
    </row>
    <row r="243" spans="1:36" x14ac:dyDescent="0.25">
      <c r="A243" s="6" t="s">
        <v>49</v>
      </c>
      <c r="B243" s="17">
        <v>9</v>
      </c>
      <c r="C243" s="6" t="s">
        <v>36</v>
      </c>
      <c r="D243" s="6" t="s">
        <v>11</v>
      </c>
      <c r="E243" s="1">
        <v>97.430999999999997</v>
      </c>
      <c r="F243" s="1">
        <v>52.981000000000002</v>
      </c>
      <c r="G243" s="29">
        <v>300</v>
      </c>
      <c r="H243" s="29">
        <v>500</v>
      </c>
      <c r="I243" s="28">
        <f t="shared" si="48"/>
        <v>460</v>
      </c>
      <c r="J243" s="28">
        <f t="shared" si="53"/>
        <v>327.29777481250841</v>
      </c>
      <c r="K243" s="59">
        <v>18</v>
      </c>
      <c r="L243" s="59">
        <v>2</v>
      </c>
      <c r="M243" s="59">
        <v>12</v>
      </c>
      <c r="N243" s="59">
        <v>0</v>
      </c>
      <c r="O243" s="28">
        <f t="shared" si="54"/>
        <v>508.93800988154646</v>
      </c>
      <c r="P243" s="34" t="str">
        <f t="shared" si="49"/>
        <v>OK</v>
      </c>
      <c r="Q243" s="17">
        <f t="shared" si="50"/>
        <v>82.383831411565467</v>
      </c>
      <c r="R243" s="19">
        <f t="shared" si="55"/>
        <v>0.64309949042455261</v>
      </c>
      <c r="S243" s="6" t="s">
        <v>49</v>
      </c>
      <c r="T243" s="17">
        <v>9</v>
      </c>
      <c r="U243" s="6" t="s">
        <v>36</v>
      </c>
      <c r="V243" s="6" t="s">
        <v>12</v>
      </c>
      <c r="W243" s="1">
        <v>21.123000000000001</v>
      </c>
      <c r="X243" s="1">
        <v>-113.5913</v>
      </c>
      <c r="Y243" s="29">
        <v>300</v>
      </c>
      <c r="Z243" s="29">
        <v>500</v>
      </c>
      <c r="AA243" s="28">
        <f t="shared" si="51"/>
        <v>460</v>
      </c>
      <c r="AB243" s="28">
        <f t="shared" si="56"/>
        <v>701.72665159321434</v>
      </c>
      <c r="AC243" s="60">
        <v>18</v>
      </c>
      <c r="AD243" s="60">
        <v>2</v>
      </c>
      <c r="AE243" s="60">
        <v>18</v>
      </c>
      <c r="AF243" s="60">
        <v>2</v>
      </c>
      <c r="AG243" s="28">
        <f t="shared" si="57"/>
        <v>1017.8760197630929</v>
      </c>
      <c r="AH243" s="34" t="str">
        <f t="shared" si="52"/>
        <v>OK</v>
      </c>
      <c r="AI243" s="28">
        <f t="shared" si="58"/>
        <v>-164.76766282313093</v>
      </c>
      <c r="AJ243" s="32">
        <f t="shared" si="59"/>
        <v>0.68940287222459451</v>
      </c>
    </row>
    <row r="244" spans="1:36" x14ac:dyDescent="0.25">
      <c r="A244" s="6" t="s">
        <v>49</v>
      </c>
      <c r="B244" s="17">
        <v>9.5</v>
      </c>
      <c r="C244" s="6" t="s">
        <v>36</v>
      </c>
      <c r="D244" s="6" t="s">
        <v>11</v>
      </c>
      <c r="E244" s="1">
        <v>119.08199999999999</v>
      </c>
      <c r="F244" s="1">
        <v>39.1907</v>
      </c>
      <c r="G244" s="29">
        <v>300</v>
      </c>
      <c r="H244" s="29">
        <v>500</v>
      </c>
      <c r="I244" s="28">
        <f t="shared" si="48"/>
        <v>460</v>
      </c>
      <c r="J244" s="28">
        <f t="shared" si="53"/>
        <v>242.10620606150459</v>
      </c>
      <c r="K244" s="59">
        <v>18</v>
      </c>
      <c r="L244" s="59">
        <v>2</v>
      </c>
      <c r="M244" s="59">
        <v>12</v>
      </c>
      <c r="N244" s="59">
        <v>0</v>
      </c>
      <c r="O244" s="28">
        <f t="shared" si="54"/>
        <v>508.93800988154646</v>
      </c>
      <c r="P244" s="34" t="str">
        <f t="shared" si="49"/>
        <v>OK</v>
      </c>
      <c r="Q244" s="17">
        <f t="shared" si="50"/>
        <v>82.383831411565467</v>
      </c>
      <c r="R244" s="19">
        <f t="shared" si="55"/>
        <v>0.4757086351594253</v>
      </c>
      <c r="S244" s="6" t="s">
        <v>49</v>
      </c>
      <c r="T244" s="17">
        <v>9.5</v>
      </c>
      <c r="U244" s="6" t="s">
        <v>36</v>
      </c>
      <c r="V244" s="6" t="s">
        <v>12</v>
      </c>
      <c r="W244" s="1">
        <v>34.039000000000001</v>
      </c>
      <c r="X244" s="1">
        <v>-164.38310000000001</v>
      </c>
      <c r="Y244" s="29">
        <v>300</v>
      </c>
      <c r="Z244" s="29">
        <v>500</v>
      </c>
      <c r="AA244" s="28">
        <f t="shared" si="51"/>
        <v>460</v>
      </c>
      <c r="AB244" s="28">
        <f t="shared" si="56"/>
        <v>1015.5003274151499</v>
      </c>
      <c r="AC244" s="60">
        <v>18</v>
      </c>
      <c r="AD244" s="60">
        <v>2</v>
      </c>
      <c r="AE244" s="60">
        <v>18</v>
      </c>
      <c r="AF244" s="60">
        <v>2</v>
      </c>
      <c r="AG244" s="28">
        <f t="shared" si="57"/>
        <v>1017.8760197630929</v>
      </c>
      <c r="AH244" s="34" t="str">
        <f t="shared" si="52"/>
        <v>OK</v>
      </c>
      <c r="AI244" s="28">
        <f t="shared" si="58"/>
        <v>-164.76766282313093</v>
      </c>
      <c r="AJ244" s="32">
        <f t="shared" si="59"/>
        <v>0.997666029750366</v>
      </c>
    </row>
    <row r="245" spans="1:36" x14ac:dyDescent="0.25">
      <c r="A245" s="6" t="s">
        <v>50</v>
      </c>
      <c r="B245" s="17">
        <v>9.5</v>
      </c>
      <c r="C245" s="6" t="s">
        <v>36</v>
      </c>
      <c r="D245" s="6" t="s">
        <v>11</v>
      </c>
      <c r="E245" s="1">
        <v>1.8089999999999999</v>
      </c>
      <c r="F245" s="1">
        <v>79.154799999999994</v>
      </c>
      <c r="G245" s="29">
        <v>300</v>
      </c>
      <c r="H245" s="29">
        <v>500</v>
      </c>
      <c r="I245" s="28">
        <f t="shared" si="48"/>
        <v>460</v>
      </c>
      <c r="J245" s="28">
        <f t="shared" si="53"/>
        <v>488.99020225607563</v>
      </c>
      <c r="K245" s="59">
        <v>18</v>
      </c>
      <c r="L245" s="59">
        <v>2</v>
      </c>
      <c r="M245" s="59">
        <v>12</v>
      </c>
      <c r="N245" s="59">
        <v>0</v>
      </c>
      <c r="O245" s="28">
        <f t="shared" si="54"/>
        <v>508.93800988154646</v>
      </c>
      <c r="P245" s="34" t="str">
        <f t="shared" si="49"/>
        <v>OK</v>
      </c>
      <c r="Q245" s="17">
        <f t="shared" si="50"/>
        <v>82.383831411565467</v>
      </c>
      <c r="R245" s="19">
        <f t="shared" si="55"/>
        <v>0.9608050347229643</v>
      </c>
      <c r="S245" s="6" t="s">
        <v>50</v>
      </c>
      <c r="T245" s="17">
        <v>9.5</v>
      </c>
      <c r="U245" s="6" t="s">
        <v>36</v>
      </c>
      <c r="V245" s="6" t="s">
        <v>12</v>
      </c>
      <c r="W245" s="1">
        <v>-113.71599999999999</v>
      </c>
      <c r="X245" s="1">
        <v>-159.76750000000001</v>
      </c>
      <c r="Y245" s="29">
        <v>300</v>
      </c>
      <c r="Z245" s="29">
        <v>500</v>
      </c>
      <c r="AA245" s="28">
        <f t="shared" si="51"/>
        <v>460</v>
      </c>
      <c r="AB245" s="28">
        <f t="shared" si="56"/>
        <v>986.98679219639951</v>
      </c>
      <c r="AC245" s="60">
        <v>18</v>
      </c>
      <c r="AD245" s="60">
        <v>2</v>
      </c>
      <c r="AE245" s="60">
        <v>18</v>
      </c>
      <c r="AF245" s="60">
        <v>2</v>
      </c>
      <c r="AG245" s="28">
        <f t="shared" si="57"/>
        <v>1017.8760197630929</v>
      </c>
      <c r="AH245" s="34" t="str">
        <f t="shared" si="52"/>
        <v>OK</v>
      </c>
      <c r="AI245" s="28">
        <f t="shared" si="58"/>
        <v>-164.76766282313093</v>
      </c>
      <c r="AJ245" s="32">
        <f t="shared" si="59"/>
        <v>0.969653251509076</v>
      </c>
    </row>
    <row r="246" spans="1:36" x14ac:dyDescent="0.25">
      <c r="A246" s="6" t="s">
        <v>50</v>
      </c>
      <c r="B246" s="17">
        <v>10</v>
      </c>
      <c r="C246" s="6" t="s">
        <v>36</v>
      </c>
      <c r="D246" s="6" t="s">
        <v>11</v>
      </c>
      <c r="E246" s="1">
        <v>14.725</v>
      </c>
      <c r="F246" s="1">
        <v>75.021199999999993</v>
      </c>
      <c r="G246" s="29">
        <v>300</v>
      </c>
      <c r="H246" s="29">
        <v>500</v>
      </c>
      <c r="I246" s="28">
        <f t="shared" si="48"/>
        <v>460</v>
      </c>
      <c r="J246" s="28">
        <f t="shared" si="53"/>
        <v>463.45429160952335</v>
      </c>
      <c r="K246" s="59">
        <v>18</v>
      </c>
      <c r="L246" s="59">
        <v>2</v>
      </c>
      <c r="M246" s="59">
        <v>12</v>
      </c>
      <c r="N246" s="59">
        <v>0</v>
      </c>
      <c r="O246" s="28">
        <f t="shared" si="54"/>
        <v>508.93800988154646</v>
      </c>
      <c r="P246" s="34" t="str">
        <f t="shared" si="49"/>
        <v>OK</v>
      </c>
      <c r="Q246" s="17">
        <f t="shared" si="50"/>
        <v>82.383831411565467</v>
      </c>
      <c r="R246" s="19">
        <f t="shared" si="55"/>
        <v>0.91063014082479454</v>
      </c>
      <c r="S246" s="6" t="s">
        <v>50</v>
      </c>
      <c r="T246" s="17">
        <v>10</v>
      </c>
      <c r="U246" s="6" t="s">
        <v>36</v>
      </c>
      <c r="V246" s="6" t="s">
        <v>12</v>
      </c>
      <c r="W246" s="1">
        <v>-100.79900000000001</v>
      </c>
      <c r="X246" s="1">
        <v>-106.1388</v>
      </c>
      <c r="Y246" s="29">
        <v>300</v>
      </c>
      <c r="Z246" s="29">
        <v>500</v>
      </c>
      <c r="AA246" s="28">
        <f t="shared" si="51"/>
        <v>460</v>
      </c>
      <c r="AB246" s="28">
        <f t="shared" si="56"/>
        <v>655.68775714444553</v>
      </c>
      <c r="AC246" s="60">
        <v>18</v>
      </c>
      <c r="AD246" s="60">
        <v>2</v>
      </c>
      <c r="AE246" s="60">
        <v>18</v>
      </c>
      <c r="AF246" s="60">
        <v>2</v>
      </c>
      <c r="AG246" s="28">
        <f t="shared" si="57"/>
        <v>1017.8760197630929</v>
      </c>
      <c r="AH246" s="34" t="str">
        <f t="shared" si="52"/>
        <v>OK</v>
      </c>
      <c r="AI246" s="28">
        <f t="shared" si="58"/>
        <v>-164.76766282313093</v>
      </c>
      <c r="AJ246" s="32">
        <f t="shared" si="59"/>
        <v>0.64417251650849838</v>
      </c>
    </row>
    <row r="247" spans="1:36" x14ac:dyDescent="0.25">
      <c r="A247" s="6" t="s">
        <v>50</v>
      </c>
      <c r="B247" s="17">
        <v>10.5</v>
      </c>
      <c r="C247" s="6" t="s">
        <v>36</v>
      </c>
      <c r="D247" s="6" t="s">
        <v>11</v>
      </c>
      <c r="E247" s="1">
        <v>27.641999999999999</v>
      </c>
      <c r="F247" s="1">
        <v>64.429500000000004</v>
      </c>
      <c r="G247" s="29">
        <v>300</v>
      </c>
      <c r="H247" s="29">
        <v>500</v>
      </c>
      <c r="I247" s="28">
        <f t="shared" si="48"/>
        <v>460</v>
      </c>
      <c r="J247" s="28">
        <f t="shared" si="53"/>
        <v>398.02253604655471</v>
      </c>
      <c r="K247" s="59">
        <v>18</v>
      </c>
      <c r="L247" s="59">
        <v>2</v>
      </c>
      <c r="M247" s="59">
        <v>12</v>
      </c>
      <c r="N247" s="59">
        <v>0</v>
      </c>
      <c r="O247" s="28">
        <f t="shared" si="54"/>
        <v>508.93800988154646</v>
      </c>
      <c r="P247" s="34" t="str">
        <f t="shared" si="49"/>
        <v>OK</v>
      </c>
      <c r="Q247" s="17">
        <f t="shared" si="50"/>
        <v>82.383831411565467</v>
      </c>
      <c r="R247" s="19">
        <f t="shared" si="55"/>
        <v>0.78206486510841078</v>
      </c>
      <c r="S247" s="6" t="s">
        <v>50</v>
      </c>
      <c r="T247" s="17">
        <v>10.5</v>
      </c>
      <c r="U247" s="6" t="s">
        <v>36</v>
      </c>
      <c r="V247" s="6" t="s">
        <v>12</v>
      </c>
      <c r="W247" s="1">
        <v>-87.882999999999996</v>
      </c>
      <c r="X247" s="1">
        <v>-58.968400000000003</v>
      </c>
      <c r="Y247" s="29">
        <v>300</v>
      </c>
      <c r="Z247" s="29">
        <v>500</v>
      </c>
      <c r="AA247" s="28">
        <f t="shared" si="51"/>
        <v>460</v>
      </c>
      <c r="AB247" s="28">
        <f t="shared" si="56"/>
        <v>364.28580253777625</v>
      </c>
      <c r="AC247" s="60">
        <v>18</v>
      </c>
      <c r="AD247" s="60">
        <v>2</v>
      </c>
      <c r="AE247" s="60">
        <v>18</v>
      </c>
      <c r="AF247" s="60">
        <v>2</v>
      </c>
      <c r="AG247" s="28">
        <f t="shared" si="57"/>
        <v>1017.8760197630929</v>
      </c>
      <c r="AH247" s="34" t="str">
        <f t="shared" si="52"/>
        <v>OK</v>
      </c>
      <c r="AI247" s="28">
        <f t="shared" si="58"/>
        <v>-164.76766282313093</v>
      </c>
      <c r="AJ247" s="32">
        <f t="shared" si="59"/>
        <v>0.35788818624743951</v>
      </c>
    </row>
    <row r="248" spans="1:36" x14ac:dyDescent="0.25">
      <c r="A248" s="6" t="s">
        <v>50</v>
      </c>
      <c r="B248" s="17">
        <v>11</v>
      </c>
      <c r="C248" s="6" t="s">
        <v>36</v>
      </c>
      <c r="D248" s="6" t="s">
        <v>11</v>
      </c>
      <c r="E248" s="1">
        <v>40.558</v>
      </c>
      <c r="F248" s="1">
        <v>47.379600000000003</v>
      </c>
      <c r="G248" s="29">
        <v>300</v>
      </c>
      <c r="H248" s="29">
        <v>500</v>
      </c>
      <c r="I248" s="28">
        <f t="shared" si="48"/>
        <v>460</v>
      </c>
      <c r="J248" s="28">
        <f t="shared" si="53"/>
        <v>292.69431780273538</v>
      </c>
      <c r="K248" s="59">
        <v>18</v>
      </c>
      <c r="L248" s="59">
        <v>2</v>
      </c>
      <c r="M248" s="59">
        <v>12</v>
      </c>
      <c r="N248" s="59">
        <v>0</v>
      </c>
      <c r="O248" s="28">
        <f t="shared" si="54"/>
        <v>508.93800988154646</v>
      </c>
      <c r="P248" s="34" t="str">
        <f t="shared" si="49"/>
        <v>OK</v>
      </c>
      <c r="Q248" s="17">
        <f t="shared" si="50"/>
        <v>82.383831411565467</v>
      </c>
      <c r="R248" s="19">
        <f t="shared" si="55"/>
        <v>0.57510799374340105</v>
      </c>
      <c r="S248" s="6" t="s">
        <v>50</v>
      </c>
      <c r="T248" s="17">
        <v>11</v>
      </c>
      <c r="U248" s="6" t="s">
        <v>36</v>
      </c>
      <c r="V248" s="6" t="s">
        <v>12</v>
      </c>
      <c r="W248" s="1">
        <v>-74.965999999999994</v>
      </c>
      <c r="X248" s="1">
        <v>-18.256399999999999</v>
      </c>
      <c r="Y248" s="29">
        <v>300</v>
      </c>
      <c r="Z248" s="29">
        <v>500</v>
      </c>
      <c r="AA248" s="28">
        <f t="shared" si="51"/>
        <v>460</v>
      </c>
      <c r="AB248" s="28">
        <f t="shared" si="56"/>
        <v>112.78154614082555</v>
      </c>
      <c r="AC248" s="60">
        <v>18</v>
      </c>
      <c r="AD248" s="60">
        <v>2</v>
      </c>
      <c r="AE248" s="60">
        <v>18</v>
      </c>
      <c r="AF248" s="60">
        <v>2</v>
      </c>
      <c r="AG248" s="28">
        <f t="shared" si="57"/>
        <v>1017.8760197630929</v>
      </c>
      <c r="AH248" s="34" t="str">
        <f t="shared" si="52"/>
        <v>OK</v>
      </c>
      <c r="AI248" s="28">
        <f t="shared" si="58"/>
        <v>-164.76766282313093</v>
      </c>
      <c r="AJ248" s="32">
        <f t="shared" si="59"/>
        <v>0.11080086764110532</v>
      </c>
    </row>
    <row r="249" spans="1:36" x14ac:dyDescent="0.25">
      <c r="A249" s="6" t="s">
        <v>50</v>
      </c>
      <c r="B249" s="17">
        <v>11.5</v>
      </c>
      <c r="C249" s="6" t="s">
        <v>36</v>
      </c>
      <c r="D249" s="6" t="s">
        <v>11</v>
      </c>
      <c r="E249" s="1">
        <v>53.475000000000001</v>
      </c>
      <c r="F249" s="1">
        <v>33.516599999999997</v>
      </c>
      <c r="G249" s="29">
        <v>300</v>
      </c>
      <c r="H249" s="29">
        <v>500</v>
      </c>
      <c r="I249" s="28">
        <f t="shared" si="48"/>
        <v>460</v>
      </c>
      <c r="J249" s="28">
        <f t="shared" si="53"/>
        <v>207.05363430816556</v>
      </c>
      <c r="K249" s="59">
        <v>18</v>
      </c>
      <c r="L249" s="59">
        <v>2</v>
      </c>
      <c r="M249" s="59">
        <v>12</v>
      </c>
      <c r="N249" s="59">
        <v>0</v>
      </c>
      <c r="O249" s="28">
        <f t="shared" si="54"/>
        <v>508.93800988154646</v>
      </c>
      <c r="P249" s="34" t="str">
        <f t="shared" si="49"/>
        <v>OK</v>
      </c>
      <c r="Q249" s="17">
        <f t="shared" si="50"/>
        <v>82.383831411565467</v>
      </c>
      <c r="R249" s="19">
        <f t="shared" si="55"/>
        <v>0.40683468376896542</v>
      </c>
      <c r="S249" s="6" t="s">
        <v>50</v>
      </c>
      <c r="T249" s="17">
        <v>11.5</v>
      </c>
      <c r="U249" s="6" t="s">
        <v>36</v>
      </c>
      <c r="V249" s="6" t="s">
        <v>12</v>
      </c>
      <c r="W249" s="1">
        <v>-62.05</v>
      </c>
      <c r="X249" s="1">
        <v>15.994</v>
      </c>
      <c r="Y249" s="29">
        <v>300</v>
      </c>
      <c r="Z249" s="29">
        <v>500</v>
      </c>
      <c r="AA249" s="28">
        <f t="shared" si="51"/>
        <v>460</v>
      </c>
      <c r="AB249" s="28">
        <f t="shared" si="56"/>
        <v>98.805243584516333</v>
      </c>
      <c r="AC249" s="60">
        <v>18</v>
      </c>
      <c r="AD249" s="60">
        <v>2</v>
      </c>
      <c r="AE249" s="60">
        <v>14</v>
      </c>
      <c r="AF249" s="60">
        <v>2</v>
      </c>
      <c r="AG249" s="28">
        <f t="shared" si="57"/>
        <v>816.81408993334617</v>
      </c>
      <c r="AH249" s="34" t="str">
        <f t="shared" si="52"/>
        <v>OK</v>
      </c>
      <c r="AI249" s="28">
        <f t="shared" si="58"/>
        <v>-132.22096399387047</v>
      </c>
      <c r="AJ249" s="32">
        <f t="shared" si="59"/>
        <v>-0.12096417630672737</v>
      </c>
    </row>
    <row r="250" spans="1:36" x14ac:dyDescent="0.25">
      <c r="A250" s="6" t="s">
        <v>50</v>
      </c>
      <c r="B250" s="17">
        <v>12</v>
      </c>
      <c r="C250" s="6" t="s">
        <v>36</v>
      </c>
      <c r="D250" s="6" t="s">
        <v>11</v>
      </c>
      <c r="E250" s="1">
        <v>66.391000000000005</v>
      </c>
      <c r="F250" s="1">
        <v>43.794600000000003</v>
      </c>
      <c r="G250" s="29">
        <v>300</v>
      </c>
      <c r="H250" s="29">
        <v>500</v>
      </c>
      <c r="I250" s="28">
        <f t="shared" si="48"/>
        <v>460</v>
      </c>
      <c r="J250" s="28">
        <f t="shared" si="53"/>
        <v>270.54746284146927</v>
      </c>
      <c r="K250" s="59">
        <v>18</v>
      </c>
      <c r="L250" s="59">
        <v>2</v>
      </c>
      <c r="M250" s="59">
        <v>12</v>
      </c>
      <c r="N250" s="59">
        <v>0</v>
      </c>
      <c r="O250" s="28">
        <f t="shared" si="54"/>
        <v>508.93800988154646</v>
      </c>
      <c r="P250" s="34" t="str">
        <f t="shared" si="49"/>
        <v>OK</v>
      </c>
      <c r="Q250" s="17">
        <f t="shared" si="50"/>
        <v>82.383831411565467</v>
      </c>
      <c r="R250" s="19">
        <f t="shared" si="55"/>
        <v>0.53159217348383592</v>
      </c>
      <c r="S250" s="6" t="s">
        <v>50</v>
      </c>
      <c r="T250" s="17">
        <v>12</v>
      </c>
      <c r="U250" s="6" t="s">
        <v>36</v>
      </c>
      <c r="V250" s="6" t="s">
        <v>12</v>
      </c>
      <c r="W250" s="1">
        <v>-49.133000000000003</v>
      </c>
      <c r="X250" s="1">
        <v>-6.0963000000000003</v>
      </c>
      <c r="Y250" s="29">
        <v>300</v>
      </c>
      <c r="Z250" s="29">
        <v>500</v>
      </c>
      <c r="AA250" s="28">
        <f t="shared" si="51"/>
        <v>460</v>
      </c>
      <c r="AB250" s="28">
        <f t="shared" si="56"/>
        <v>37.660773193965667</v>
      </c>
      <c r="AC250" s="60">
        <v>18</v>
      </c>
      <c r="AD250" s="60">
        <v>2</v>
      </c>
      <c r="AE250" s="60">
        <v>14</v>
      </c>
      <c r="AF250" s="60">
        <v>2</v>
      </c>
      <c r="AG250" s="28">
        <f t="shared" si="57"/>
        <v>816.81408993334617</v>
      </c>
      <c r="AH250" s="34" t="str">
        <f t="shared" si="52"/>
        <v>OK</v>
      </c>
      <c r="AI250" s="28">
        <f t="shared" si="58"/>
        <v>-132.22096399387047</v>
      </c>
      <c r="AJ250" s="32">
        <f t="shared" si="59"/>
        <v>4.6106909342172202E-2</v>
      </c>
    </row>
    <row r="251" spans="1:36" x14ac:dyDescent="0.25">
      <c r="A251" s="6" t="s">
        <v>50</v>
      </c>
      <c r="B251" s="17">
        <v>12.5</v>
      </c>
      <c r="C251" s="6" t="s">
        <v>36</v>
      </c>
      <c r="D251" s="6" t="s">
        <v>11</v>
      </c>
      <c r="E251" s="1">
        <v>79.308000000000007</v>
      </c>
      <c r="F251" s="1">
        <v>65.131799999999998</v>
      </c>
      <c r="G251" s="29">
        <v>300</v>
      </c>
      <c r="H251" s="29">
        <v>500</v>
      </c>
      <c r="I251" s="28">
        <f t="shared" si="48"/>
        <v>460</v>
      </c>
      <c r="J251" s="28">
        <f t="shared" si="53"/>
        <v>402.3610956670002</v>
      </c>
      <c r="K251" s="59">
        <v>18</v>
      </c>
      <c r="L251" s="59">
        <v>2</v>
      </c>
      <c r="M251" s="59">
        <v>12</v>
      </c>
      <c r="N251" s="59">
        <v>0</v>
      </c>
      <c r="O251" s="28">
        <f t="shared" si="54"/>
        <v>508.93800988154646</v>
      </c>
      <c r="P251" s="34" t="str">
        <f t="shared" si="49"/>
        <v>OK</v>
      </c>
      <c r="Q251" s="17">
        <f t="shared" si="50"/>
        <v>82.383831411565467</v>
      </c>
      <c r="R251" s="19">
        <f t="shared" si="55"/>
        <v>0.79058959608980339</v>
      </c>
      <c r="S251" s="6" t="s">
        <v>50</v>
      </c>
      <c r="T251" s="17">
        <v>12.5</v>
      </c>
      <c r="U251" s="6" t="s">
        <v>36</v>
      </c>
      <c r="V251" s="6" t="s">
        <v>12</v>
      </c>
      <c r="W251" s="1">
        <v>-36.216999999999999</v>
      </c>
      <c r="X251" s="1">
        <v>-42.520699999999998</v>
      </c>
      <c r="Y251" s="29">
        <v>300</v>
      </c>
      <c r="Z251" s="29">
        <v>500</v>
      </c>
      <c r="AA251" s="28">
        <f t="shared" si="51"/>
        <v>460</v>
      </c>
      <c r="AB251" s="28">
        <f t="shared" si="56"/>
        <v>262.67776171590242</v>
      </c>
      <c r="AC251" s="60">
        <v>18</v>
      </c>
      <c r="AD251" s="60">
        <v>2</v>
      </c>
      <c r="AE251" s="60">
        <v>14</v>
      </c>
      <c r="AF251" s="60">
        <v>2</v>
      </c>
      <c r="AG251" s="28">
        <f t="shared" si="57"/>
        <v>816.81408993334617</v>
      </c>
      <c r="AH251" s="34" t="str">
        <f t="shared" si="52"/>
        <v>OK</v>
      </c>
      <c r="AI251" s="28">
        <f t="shared" si="58"/>
        <v>-132.22096399387047</v>
      </c>
      <c r="AJ251" s="32">
        <f t="shared" si="59"/>
        <v>0.32158818628769931</v>
      </c>
    </row>
    <row r="252" spans="1:36" x14ac:dyDescent="0.25">
      <c r="A252" s="6" t="s">
        <v>50</v>
      </c>
      <c r="B252" s="17">
        <v>13</v>
      </c>
      <c r="C252" s="6" t="s">
        <v>36</v>
      </c>
      <c r="D252" s="6" t="s">
        <v>11</v>
      </c>
      <c r="E252" s="1">
        <v>92.224000000000004</v>
      </c>
      <c r="F252" s="1">
        <v>80.011099999999999</v>
      </c>
      <c r="G252" s="29">
        <v>300</v>
      </c>
      <c r="H252" s="29">
        <v>500</v>
      </c>
      <c r="I252" s="28">
        <f t="shared" si="48"/>
        <v>460</v>
      </c>
      <c r="J252" s="28">
        <f t="shared" si="53"/>
        <v>494.28011910498282</v>
      </c>
      <c r="K252" s="59">
        <v>18</v>
      </c>
      <c r="L252" s="59">
        <v>2</v>
      </c>
      <c r="M252" s="59">
        <v>12</v>
      </c>
      <c r="N252" s="59">
        <v>0</v>
      </c>
      <c r="O252" s="28">
        <f t="shared" si="54"/>
        <v>508.93800988154646</v>
      </c>
      <c r="P252" s="34" t="str">
        <f t="shared" si="49"/>
        <v>OK</v>
      </c>
      <c r="Q252" s="17">
        <f t="shared" si="50"/>
        <v>82.383831411565467</v>
      </c>
      <c r="R252" s="19">
        <f t="shared" si="55"/>
        <v>0.97119906453838012</v>
      </c>
      <c r="S252" s="6" t="s">
        <v>50</v>
      </c>
      <c r="T252" s="17">
        <v>13</v>
      </c>
      <c r="U252" s="6" t="s">
        <v>36</v>
      </c>
      <c r="V252" s="6" t="s">
        <v>12</v>
      </c>
      <c r="W252" s="1">
        <v>-23.3</v>
      </c>
      <c r="X252" s="1">
        <v>-85.403499999999994</v>
      </c>
      <c r="Y252" s="29">
        <v>300</v>
      </c>
      <c r="Z252" s="29">
        <v>500</v>
      </c>
      <c r="AA252" s="28">
        <f t="shared" si="51"/>
        <v>460</v>
      </c>
      <c r="AB252" s="28">
        <f t="shared" si="56"/>
        <v>527.5924484475579</v>
      </c>
      <c r="AC252" s="60">
        <v>18</v>
      </c>
      <c r="AD252" s="60">
        <v>2</v>
      </c>
      <c r="AE252" s="60">
        <v>14</v>
      </c>
      <c r="AF252" s="60">
        <v>2</v>
      </c>
      <c r="AG252" s="28">
        <f t="shared" si="57"/>
        <v>816.81408993334617</v>
      </c>
      <c r="AH252" s="34" t="str">
        <f t="shared" si="52"/>
        <v>OK</v>
      </c>
      <c r="AI252" s="28">
        <f t="shared" si="58"/>
        <v>-132.22096399387047</v>
      </c>
      <c r="AJ252" s="32">
        <f t="shared" si="59"/>
        <v>0.64591497006449861</v>
      </c>
    </row>
    <row r="253" spans="1:36" x14ac:dyDescent="0.25">
      <c r="A253" s="6" t="s">
        <v>50</v>
      </c>
      <c r="B253" s="17">
        <v>13.5</v>
      </c>
      <c r="C253" s="6" t="s">
        <v>36</v>
      </c>
      <c r="D253" s="6" t="s">
        <v>11</v>
      </c>
      <c r="E253" s="1">
        <v>105.14100000000001</v>
      </c>
      <c r="F253" s="1">
        <v>88.432199999999995</v>
      </c>
      <c r="G253" s="29">
        <v>300</v>
      </c>
      <c r="H253" s="29">
        <v>500</v>
      </c>
      <c r="I253" s="28">
        <f t="shared" si="48"/>
        <v>460</v>
      </c>
      <c r="J253" s="28">
        <f t="shared" si="53"/>
        <v>546.30267986211493</v>
      </c>
      <c r="K253" s="59">
        <v>18</v>
      </c>
      <c r="L253" s="59">
        <v>2</v>
      </c>
      <c r="M253" s="59">
        <v>12</v>
      </c>
      <c r="N253" s="59">
        <v>0</v>
      </c>
      <c r="O253" s="28">
        <f>PI()*K253^2/4*L253+PI()*M253^2/4*N253</f>
        <v>508.93800988154646</v>
      </c>
      <c r="P253" s="34" t="str">
        <f t="shared" si="49"/>
        <v>NO</v>
      </c>
      <c r="Q253" s="17">
        <f t="shared" si="50"/>
        <v>82.383831411565467</v>
      </c>
      <c r="R253" s="19">
        <f t="shared" si="55"/>
        <v>1.0734169373383311</v>
      </c>
      <c r="S253" s="6" t="s">
        <v>50</v>
      </c>
      <c r="T253" s="17">
        <v>13.5</v>
      </c>
      <c r="U253" s="6" t="s">
        <v>36</v>
      </c>
      <c r="V253" s="6" t="s">
        <v>12</v>
      </c>
      <c r="W253" s="1">
        <v>-10.384</v>
      </c>
      <c r="X253" s="1">
        <v>-134.74459999999999</v>
      </c>
      <c r="Y253" s="29">
        <v>300</v>
      </c>
      <c r="Z253" s="29">
        <v>500</v>
      </c>
      <c r="AA253" s="28">
        <f t="shared" si="51"/>
        <v>460</v>
      </c>
      <c r="AB253" s="28">
        <f t="shared" si="56"/>
        <v>832.40421562449797</v>
      </c>
      <c r="AC253" s="60">
        <v>18</v>
      </c>
      <c r="AD253" s="60">
        <v>2</v>
      </c>
      <c r="AE253" s="60">
        <v>14</v>
      </c>
      <c r="AF253" s="60">
        <v>2</v>
      </c>
      <c r="AG253" s="28">
        <f>PI()*AC253^2/4*AD253+PI()*AE253^2/4*AF253</f>
        <v>816.81408993334617</v>
      </c>
      <c r="AH253" s="34" t="str">
        <f t="shared" si="52"/>
        <v>NO</v>
      </c>
      <c r="AI253" s="28">
        <f t="shared" si="58"/>
        <v>-132.22096399387047</v>
      </c>
      <c r="AJ253" s="32">
        <f>X253/AI253</f>
        <v>1.0190865043628521</v>
      </c>
    </row>
  </sheetData>
  <pageMargins left="0.7" right="0.7" top="0.75" bottom="0.75" header="0.3" footer="0.3"/>
  <pageSetup paperSize="9" scale="1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C85E-3475-4B62-9A2F-701B38CC80D8}">
  <sheetPr codeName="Foglio11">
    <pageSetUpPr fitToPage="1"/>
  </sheetPr>
  <dimension ref="A1:AJ253"/>
  <sheetViews>
    <sheetView topLeftCell="V239" zoomScale="70" zoomScaleNormal="70" workbookViewId="0">
      <selection activeCell="AE206" sqref="AE206"/>
    </sheetView>
  </sheetViews>
  <sheetFormatPr defaultRowHeight="15" x14ac:dyDescent="0.25"/>
  <cols>
    <col min="1" max="1" width="9.140625" style="20"/>
    <col min="2" max="2" width="9.7109375" style="20" bestFit="1" customWidth="1"/>
    <col min="3" max="3" width="13.85546875" style="20" customWidth="1"/>
    <col min="4" max="4" width="9.140625" style="20"/>
    <col min="5" max="5" width="10.7109375" style="20" bestFit="1" customWidth="1"/>
    <col min="6" max="6" width="9.7109375" style="20" bestFit="1" customWidth="1"/>
    <col min="7" max="8" width="10.7109375" style="20" bestFit="1" customWidth="1"/>
    <col min="9" max="9" width="8.140625" style="20" customWidth="1"/>
    <col min="10" max="10" width="14" style="20" customWidth="1"/>
    <col min="11" max="16" width="9.140625" style="20"/>
    <col min="17" max="17" width="15.42578125" style="20" customWidth="1"/>
    <col min="18" max="18" width="16.85546875" style="1" customWidth="1"/>
    <col min="19" max="20" width="9.140625" style="20"/>
    <col min="21" max="21" width="13.140625" style="20" customWidth="1"/>
    <col min="22" max="22" width="12.28515625" style="20" customWidth="1"/>
    <col min="23" max="27" width="9.140625" style="20"/>
    <col min="28" max="28" width="10.7109375" style="20" bestFit="1" customWidth="1"/>
    <col min="29" max="32" width="9.28515625" style="20" bestFit="1" customWidth="1"/>
    <col min="33" max="33" width="10.7109375" style="20" bestFit="1" customWidth="1"/>
    <col min="34" max="34" width="9.140625" style="20"/>
    <col min="35" max="35" width="10.42578125" style="20" bestFit="1" customWidth="1"/>
    <col min="36" max="36" width="9.28515625" style="20" bestFit="1" customWidth="1"/>
    <col min="37" max="16384" width="9.140625" style="20"/>
  </cols>
  <sheetData>
    <row r="1" spans="1:36" x14ac:dyDescent="0.25">
      <c r="A1" s="22" t="s">
        <v>0</v>
      </c>
      <c r="B1" s="21"/>
      <c r="C1" s="23"/>
      <c r="D1" s="23"/>
      <c r="E1" s="21"/>
      <c r="F1" s="21"/>
    </row>
    <row r="2" spans="1:36" x14ac:dyDescent="0.25">
      <c r="A2" s="2" t="s">
        <v>1</v>
      </c>
      <c r="B2" s="3" t="s">
        <v>2</v>
      </c>
      <c r="C2" s="2" t="s">
        <v>34</v>
      </c>
      <c r="D2" s="2" t="s">
        <v>3</v>
      </c>
      <c r="E2" s="3" t="s">
        <v>4</v>
      </c>
      <c r="F2" s="3" t="s">
        <v>5</v>
      </c>
      <c r="G2" s="5" t="s">
        <v>20</v>
      </c>
      <c r="H2" s="5" t="s">
        <v>21</v>
      </c>
      <c r="I2" s="5" t="s">
        <v>25</v>
      </c>
      <c r="J2" s="5" t="s">
        <v>23</v>
      </c>
      <c r="K2" s="5" t="s">
        <v>26</v>
      </c>
      <c r="L2" s="5" t="s">
        <v>27</v>
      </c>
      <c r="M2" s="5" t="s">
        <v>26</v>
      </c>
      <c r="N2" s="5" t="s">
        <v>27</v>
      </c>
      <c r="O2" s="5" t="s">
        <v>23</v>
      </c>
      <c r="Q2" s="5" t="s">
        <v>31</v>
      </c>
      <c r="R2" s="5" t="s">
        <v>33</v>
      </c>
      <c r="S2" s="24" t="s">
        <v>1</v>
      </c>
      <c r="T2" s="25" t="s">
        <v>2</v>
      </c>
      <c r="U2" s="24" t="s">
        <v>34</v>
      </c>
      <c r="V2" s="24" t="s">
        <v>3</v>
      </c>
      <c r="W2" s="25" t="s">
        <v>4</v>
      </c>
      <c r="X2" s="25" t="s">
        <v>5</v>
      </c>
      <c r="Y2" s="5" t="s">
        <v>20</v>
      </c>
      <c r="Z2" s="5" t="s">
        <v>21</v>
      </c>
      <c r="AA2" s="5" t="s">
        <v>25</v>
      </c>
      <c r="AB2" s="5" t="s">
        <v>23</v>
      </c>
      <c r="AC2" s="5" t="s">
        <v>26</v>
      </c>
      <c r="AD2" s="5" t="s">
        <v>27</v>
      </c>
      <c r="AE2" s="5" t="s">
        <v>26</v>
      </c>
      <c r="AF2" s="5" t="s">
        <v>27</v>
      </c>
      <c r="AG2" s="5" t="s">
        <v>23</v>
      </c>
      <c r="AI2" s="5" t="s">
        <v>31</v>
      </c>
      <c r="AJ2" s="5" t="s">
        <v>33</v>
      </c>
    </row>
    <row r="3" spans="1:36" x14ac:dyDescent="0.25">
      <c r="A3" s="4" t="s">
        <v>6</v>
      </c>
      <c r="B3" s="5" t="s">
        <v>7</v>
      </c>
      <c r="C3" s="4" t="s">
        <v>6</v>
      </c>
      <c r="D3" s="4" t="s">
        <v>6</v>
      </c>
      <c r="E3" s="5" t="s">
        <v>8</v>
      </c>
      <c r="F3" s="5" t="s">
        <v>9</v>
      </c>
      <c r="G3" s="9" t="s">
        <v>22</v>
      </c>
      <c r="H3" s="9" t="s">
        <v>22</v>
      </c>
      <c r="I3" s="9" t="s">
        <v>22</v>
      </c>
      <c r="J3" s="9" t="s">
        <v>24</v>
      </c>
      <c r="K3" s="9" t="s">
        <v>22</v>
      </c>
      <c r="L3" s="9" t="s">
        <v>28</v>
      </c>
      <c r="M3" s="9" t="s">
        <v>22</v>
      </c>
      <c r="N3" s="9" t="s">
        <v>28</v>
      </c>
      <c r="O3" s="9" t="s">
        <v>24</v>
      </c>
      <c r="Q3" s="9" t="s">
        <v>9</v>
      </c>
      <c r="R3" s="8" t="s">
        <v>28</v>
      </c>
      <c r="S3" s="26" t="s">
        <v>6</v>
      </c>
      <c r="T3" s="27" t="s">
        <v>7</v>
      </c>
      <c r="U3" s="26" t="s">
        <v>6</v>
      </c>
      <c r="V3" s="26" t="s">
        <v>6</v>
      </c>
      <c r="W3" s="27" t="s">
        <v>8</v>
      </c>
      <c r="X3" s="27" t="s">
        <v>9</v>
      </c>
      <c r="Y3" s="9" t="s">
        <v>22</v>
      </c>
      <c r="Z3" s="9" t="s">
        <v>22</v>
      </c>
      <c r="AA3" s="9" t="s">
        <v>22</v>
      </c>
      <c r="AB3" s="9" t="s">
        <v>24</v>
      </c>
      <c r="AC3" s="9" t="s">
        <v>22</v>
      </c>
      <c r="AD3" s="9" t="s">
        <v>28</v>
      </c>
      <c r="AE3" s="9" t="s">
        <v>22</v>
      </c>
      <c r="AF3" s="9" t="s">
        <v>28</v>
      </c>
      <c r="AG3" s="9" t="s">
        <v>24</v>
      </c>
      <c r="AI3" s="9" t="s">
        <v>9</v>
      </c>
      <c r="AJ3" s="8" t="s">
        <v>28</v>
      </c>
    </row>
    <row r="4" spans="1:36" x14ac:dyDescent="0.25">
      <c r="A4" s="28" t="s">
        <v>35</v>
      </c>
      <c r="B4" s="17">
        <v>0</v>
      </c>
      <c r="C4" s="28" t="s">
        <v>36</v>
      </c>
      <c r="D4" s="28" t="s">
        <v>11</v>
      </c>
      <c r="E4" s="46">
        <v>-12.366</v>
      </c>
      <c r="F4" s="46">
        <v>46.071199999999997</v>
      </c>
      <c r="G4" s="29">
        <v>300</v>
      </c>
      <c r="H4" s="29">
        <v>500</v>
      </c>
      <c r="I4" s="28">
        <f t="shared" ref="I4:I33" si="0">H4-40</f>
        <v>460</v>
      </c>
      <c r="J4" s="28">
        <f t="shared" ref="J4:J33" si="1">ABS(F4)*1000^2/(0.9*391*I4)</f>
        <v>284.61148794741587</v>
      </c>
      <c r="K4" s="61">
        <v>18</v>
      </c>
      <c r="L4" s="61">
        <v>2</v>
      </c>
      <c r="M4" s="61">
        <v>12</v>
      </c>
      <c r="N4" s="61">
        <v>0</v>
      </c>
      <c r="O4" s="28">
        <f>PI()*K4^2/4*L4+PI()*M4^2/4*N4</f>
        <v>508.93800988154646</v>
      </c>
      <c r="P4" s="34" t="str">
        <f t="shared" ref="P4:P33" si="2">IF(O4&gt;=J4,"OK","NO")</f>
        <v>OK</v>
      </c>
      <c r="Q4" s="17">
        <f t="shared" ref="Q4:Q33" si="3">(O4*0.9*391*I4)/1000^2</f>
        <v>82.383831411565467</v>
      </c>
      <c r="R4" s="19">
        <f>F4/Q4</f>
        <v>0.55922623663667437</v>
      </c>
      <c r="S4" s="6" t="s">
        <v>35</v>
      </c>
      <c r="T4" s="17">
        <v>0</v>
      </c>
      <c r="U4" s="6" t="s">
        <v>36</v>
      </c>
      <c r="V4" s="6" t="s">
        <v>12</v>
      </c>
      <c r="W4" s="46">
        <v>-82.361000000000004</v>
      </c>
      <c r="X4" s="46">
        <v>-92.632300000000001</v>
      </c>
      <c r="Y4" s="10">
        <v>300</v>
      </c>
      <c r="Z4" s="10">
        <v>500</v>
      </c>
      <c r="AA4" s="7">
        <f t="shared" ref="AA4:AA33" si="4">Z4-40</f>
        <v>460</v>
      </c>
      <c r="AB4" s="28">
        <f t="shared" ref="AB4:AB33" si="5">ABS(X4)*1000^2/(0.9*391*AA4)</f>
        <v>572.249403857321</v>
      </c>
      <c r="AC4" s="30">
        <v>18</v>
      </c>
      <c r="AD4" s="30">
        <v>2</v>
      </c>
      <c r="AE4" s="30">
        <v>12</v>
      </c>
      <c r="AF4" s="30">
        <v>1</v>
      </c>
      <c r="AG4" s="28">
        <f>PI()*AC4^2/4*AD4+PI()*AE4^2/4*AF4</f>
        <v>622.03534541077897</v>
      </c>
      <c r="AH4" s="35" t="str">
        <f t="shared" ref="AH4:AH33" si="6">IF(AG4&gt;=AB4,"OK","NO")</f>
        <v>OK</v>
      </c>
      <c r="AI4" s="28">
        <f>-(AG4*0.9*391*AA4)/1000^2</f>
        <v>-100.69134950302445</v>
      </c>
      <c r="AJ4" s="32">
        <f>X4/AI4</f>
        <v>0.91996284146750473</v>
      </c>
    </row>
    <row r="5" spans="1:36" x14ac:dyDescent="0.25">
      <c r="A5" s="28" t="s">
        <v>35</v>
      </c>
      <c r="B5" s="17">
        <v>0.5</v>
      </c>
      <c r="C5" s="28" t="s">
        <v>36</v>
      </c>
      <c r="D5" s="28" t="s">
        <v>11</v>
      </c>
      <c r="E5" s="46">
        <v>0.55100000000000005</v>
      </c>
      <c r="F5" s="46">
        <v>49.025100000000002</v>
      </c>
      <c r="G5" s="29">
        <v>300</v>
      </c>
      <c r="H5" s="29">
        <v>500</v>
      </c>
      <c r="I5" s="28">
        <f t="shared" si="0"/>
        <v>460</v>
      </c>
      <c r="J5" s="28">
        <f t="shared" si="1"/>
        <v>302.85963156529147</v>
      </c>
      <c r="K5" s="61">
        <v>18</v>
      </c>
      <c r="L5" s="61">
        <v>2</v>
      </c>
      <c r="M5" s="61">
        <v>12</v>
      </c>
      <c r="N5" s="61">
        <v>0</v>
      </c>
      <c r="O5" s="28">
        <f t="shared" ref="O5:O32" si="7">PI()*K5^2/4*L5+PI()*M5^2/4*N5</f>
        <v>508.93800988154646</v>
      </c>
      <c r="P5" s="34" t="str">
        <f t="shared" si="2"/>
        <v>OK</v>
      </c>
      <c r="Q5" s="17">
        <f t="shared" si="3"/>
        <v>82.383831411565467</v>
      </c>
      <c r="R5" s="19">
        <f t="shared" ref="R5:R33" si="8">F5/Q5</f>
        <v>0.59508157316797972</v>
      </c>
      <c r="S5" s="6" t="s">
        <v>35</v>
      </c>
      <c r="T5" s="17">
        <v>0.5</v>
      </c>
      <c r="U5" s="6" t="s">
        <v>36</v>
      </c>
      <c r="V5" s="6" t="s">
        <v>12</v>
      </c>
      <c r="W5" s="46">
        <v>-69.444000000000003</v>
      </c>
      <c r="X5" s="46">
        <v>-54.681100000000001</v>
      </c>
      <c r="Y5" s="10">
        <v>300</v>
      </c>
      <c r="Z5" s="10">
        <v>500</v>
      </c>
      <c r="AA5" s="7">
        <f t="shared" si="4"/>
        <v>460</v>
      </c>
      <c r="AB5" s="28">
        <f t="shared" si="5"/>
        <v>337.80038795606453</v>
      </c>
      <c r="AC5" s="30">
        <v>18</v>
      </c>
      <c r="AD5" s="30">
        <v>2</v>
      </c>
      <c r="AE5" s="30">
        <v>12</v>
      </c>
      <c r="AF5" s="30">
        <v>1</v>
      </c>
      <c r="AG5" s="28">
        <f t="shared" ref="AG5:AG33" si="9">PI()*AC5^2/4*AD5+PI()*AE5^2/4*AF5</f>
        <v>622.03534541077897</v>
      </c>
      <c r="AH5" s="35" t="str">
        <f t="shared" si="6"/>
        <v>OK</v>
      </c>
      <c r="AI5" s="28">
        <f t="shared" ref="AI5:AI33" si="10">-(AG5*0.9*391*AA5)/1000^2</f>
        <v>-100.69134950302445</v>
      </c>
      <c r="AJ5" s="32">
        <f t="shared" ref="AJ5:AJ32" si="11">X5/AI5</f>
        <v>0.54305658102593557</v>
      </c>
    </row>
    <row r="6" spans="1:36" x14ac:dyDescent="0.25">
      <c r="A6" s="28" t="s">
        <v>35</v>
      </c>
      <c r="B6" s="17">
        <v>1</v>
      </c>
      <c r="C6" s="28" t="s">
        <v>36</v>
      </c>
      <c r="D6" s="28" t="s">
        <v>11</v>
      </c>
      <c r="E6" s="46">
        <v>13.467000000000001</v>
      </c>
      <c r="F6" s="46">
        <v>45.520800000000001</v>
      </c>
      <c r="G6" s="29">
        <v>300</v>
      </c>
      <c r="H6" s="29">
        <v>500</v>
      </c>
      <c r="I6" s="28">
        <f t="shared" si="0"/>
        <v>460</v>
      </c>
      <c r="J6" s="28">
        <f t="shared" si="1"/>
        <v>281.21131250231656</v>
      </c>
      <c r="K6" s="61">
        <v>18</v>
      </c>
      <c r="L6" s="61">
        <v>2</v>
      </c>
      <c r="M6" s="61">
        <v>12</v>
      </c>
      <c r="N6" s="61">
        <v>0</v>
      </c>
      <c r="O6" s="28">
        <f t="shared" si="7"/>
        <v>508.93800988154646</v>
      </c>
      <c r="P6" s="34" t="str">
        <f t="shared" si="2"/>
        <v>OK</v>
      </c>
      <c r="Q6" s="17">
        <f t="shared" si="3"/>
        <v>82.383831411565467</v>
      </c>
      <c r="R6" s="19">
        <f t="shared" si="8"/>
        <v>0.55254531405065921</v>
      </c>
      <c r="S6" s="6" t="s">
        <v>35</v>
      </c>
      <c r="T6" s="17">
        <v>1</v>
      </c>
      <c r="U6" s="6" t="s">
        <v>36</v>
      </c>
      <c r="V6" s="6" t="s">
        <v>12</v>
      </c>
      <c r="W6" s="46">
        <v>-56.527999999999999</v>
      </c>
      <c r="X6" s="46">
        <v>-23.188300000000002</v>
      </c>
      <c r="Y6" s="10">
        <v>300</v>
      </c>
      <c r="Z6" s="10">
        <v>500</v>
      </c>
      <c r="AA6" s="7">
        <f t="shared" si="4"/>
        <v>460</v>
      </c>
      <c r="AB6" s="28">
        <f t="shared" si="5"/>
        <v>143.24907026452669</v>
      </c>
      <c r="AC6" s="30">
        <v>18</v>
      </c>
      <c r="AD6" s="30">
        <v>2</v>
      </c>
      <c r="AE6" s="30">
        <v>12</v>
      </c>
      <c r="AF6" s="30">
        <v>1</v>
      </c>
      <c r="AG6" s="28">
        <f t="shared" si="9"/>
        <v>622.03534541077897</v>
      </c>
      <c r="AH6" s="35" t="str">
        <f t="shared" si="6"/>
        <v>OK</v>
      </c>
      <c r="AI6" s="28">
        <f t="shared" si="10"/>
        <v>-100.69134950302445</v>
      </c>
      <c r="AJ6" s="32">
        <f t="shared" si="11"/>
        <v>0.23029088511027948</v>
      </c>
    </row>
    <row r="7" spans="1:36" x14ac:dyDescent="0.25">
      <c r="A7" s="28" t="s">
        <v>35</v>
      </c>
      <c r="B7" s="17">
        <v>1.5</v>
      </c>
      <c r="C7" s="28" t="s">
        <v>36</v>
      </c>
      <c r="D7" s="28" t="s">
        <v>11</v>
      </c>
      <c r="E7" s="46">
        <v>26.382999999999999</v>
      </c>
      <c r="F7" s="46">
        <v>35.558599999999998</v>
      </c>
      <c r="G7" s="29">
        <v>300</v>
      </c>
      <c r="H7" s="29">
        <v>500</v>
      </c>
      <c r="I7" s="28">
        <f t="shared" si="0"/>
        <v>460</v>
      </c>
      <c r="J7" s="28">
        <f t="shared" si="1"/>
        <v>219.66838405179334</v>
      </c>
      <c r="K7" s="61">
        <v>18</v>
      </c>
      <c r="L7" s="61">
        <v>2</v>
      </c>
      <c r="M7" s="61">
        <v>12</v>
      </c>
      <c r="N7" s="61">
        <v>0</v>
      </c>
      <c r="O7" s="28">
        <f t="shared" si="7"/>
        <v>508.93800988154646</v>
      </c>
      <c r="P7" s="34" t="str">
        <f t="shared" si="2"/>
        <v>OK</v>
      </c>
      <c r="Q7" s="17">
        <f t="shared" si="3"/>
        <v>82.383831411565467</v>
      </c>
      <c r="R7" s="19">
        <f t="shared" si="8"/>
        <v>0.4316211007759479</v>
      </c>
      <c r="S7" s="6" t="s">
        <v>35</v>
      </c>
      <c r="T7" s="17">
        <v>1.5</v>
      </c>
      <c r="U7" s="6" t="s">
        <v>36</v>
      </c>
      <c r="V7" s="6" t="s">
        <v>12</v>
      </c>
      <c r="W7" s="46">
        <v>-43.610999999999997</v>
      </c>
      <c r="X7" s="46">
        <v>1.8461000000000001</v>
      </c>
      <c r="Y7" s="10">
        <v>300</v>
      </c>
      <c r="Z7" s="10">
        <v>500</v>
      </c>
      <c r="AA7" s="7">
        <f t="shared" si="4"/>
        <v>460</v>
      </c>
      <c r="AB7" s="28">
        <f t="shared" si="5"/>
        <v>11.404549217292461</v>
      </c>
      <c r="AC7" s="30">
        <v>18</v>
      </c>
      <c r="AD7" s="30">
        <v>2</v>
      </c>
      <c r="AE7" s="30">
        <v>14</v>
      </c>
      <c r="AF7" s="30">
        <v>0</v>
      </c>
      <c r="AG7" s="28">
        <f t="shared" si="9"/>
        <v>508.93800988154646</v>
      </c>
      <c r="AH7" s="35" t="str">
        <f t="shared" si="6"/>
        <v>OK</v>
      </c>
      <c r="AI7" s="28">
        <f t="shared" si="10"/>
        <v>-82.383831411565467</v>
      </c>
      <c r="AJ7" s="32">
        <f t="shared" si="11"/>
        <v>-2.2408523230455571E-2</v>
      </c>
    </row>
    <row r="8" spans="1:36" x14ac:dyDescent="0.25">
      <c r="A8" s="28" t="s">
        <v>35</v>
      </c>
      <c r="B8" s="17">
        <v>2</v>
      </c>
      <c r="C8" s="28" t="s">
        <v>36</v>
      </c>
      <c r="D8" s="28" t="s">
        <v>11</v>
      </c>
      <c r="E8" s="46">
        <v>39.299999999999997</v>
      </c>
      <c r="F8" s="46">
        <v>33.228299999999997</v>
      </c>
      <c r="G8" s="29">
        <v>300</v>
      </c>
      <c r="H8" s="29">
        <v>500</v>
      </c>
      <c r="I8" s="28">
        <f t="shared" si="0"/>
        <v>460</v>
      </c>
      <c r="J8" s="28">
        <f t="shared" si="1"/>
        <v>205.27261944475327</v>
      </c>
      <c r="K8" s="61">
        <v>18</v>
      </c>
      <c r="L8" s="61">
        <v>2</v>
      </c>
      <c r="M8" s="61">
        <v>12</v>
      </c>
      <c r="N8" s="61">
        <v>0</v>
      </c>
      <c r="O8" s="28">
        <f t="shared" si="7"/>
        <v>508.93800988154646</v>
      </c>
      <c r="P8" s="34" t="str">
        <f t="shared" si="2"/>
        <v>OK</v>
      </c>
      <c r="Q8" s="17">
        <f t="shared" si="3"/>
        <v>82.383831411565467</v>
      </c>
      <c r="R8" s="19">
        <f t="shared" si="8"/>
        <v>0.40333521069202466</v>
      </c>
      <c r="S8" s="6" t="s">
        <v>35</v>
      </c>
      <c r="T8" s="17">
        <v>2</v>
      </c>
      <c r="U8" s="6" t="s">
        <v>36</v>
      </c>
      <c r="V8" s="6" t="s">
        <v>12</v>
      </c>
      <c r="W8" s="46">
        <v>-30.695</v>
      </c>
      <c r="X8" s="46">
        <v>19.113800000000001</v>
      </c>
      <c r="Y8" s="10">
        <v>300</v>
      </c>
      <c r="Z8" s="10">
        <v>500</v>
      </c>
      <c r="AA8" s="7">
        <f t="shared" si="4"/>
        <v>460</v>
      </c>
      <c r="AB8" s="28">
        <f t="shared" si="5"/>
        <v>118.07825839850746</v>
      </c>
      <c r="AC8" s="30">
        <v>18</v>
      </c>
      <c r="AD8" s="30">
        <v>2</v>
      </c>
      <c r="AE8" s="30">
        <v>14</v>
      </c>
      <c r="AF8" s="30">
        <v>0</v>
      </c>
      <c r="AG8" s="28">
        <f t="shared" si="9"/>
        <v>508.93800988154646</v>
      </c>
      <c r="AH8" s="35" t="str">
        <f t="shared" si="6"/>
        <v>OK</v>
      </c>
      <c r="AI8" s="28">
        <f t="shared" si="10"/>
        <v>-82.383831411565467</v>
      </c>
      <c r="AJ8" s="32">
        <f t="shared" si="11"/>
        <v>-0.2320091172321552</v>
      </c>
    </row>
    <row r="9" spans="1:36" x14ac:dyDescent="0.25">
      <c r="A9" s="28" t="s">
        <v>35</v>
      </c>
      <c r="B9" s="17">
        <v>2.5</v>
      </c>
      <c r="C9" s="28" t="s">
        <v>36</v>
      </c>
      <c r="D9" s="28" t="s">
        <v>11</v>
      </c>
      <c r="E9" s="46">
        <v>52.216000000000001</v>
      </c>
      <c r="F9" s="46">
        <v>32.5426</v>
      </c>
      <c r="G9" s="29">
        <v>300</v>
      </c>
      <c r="H9" s="29">
        <v>500</v>
      </c>
      <c r="I9" s="28">
        <f t="shared" si="0"/>
        <v>460</v>
      </c>
      <c r="J9" s="28">
        <f t="shared" si="1"/>
        <v>201.03660872036272</v>
      </c>
      <c r="K9" s="61">
        <v>18</v>
      </c>
      <c r="L9" s="61">
        <v>2</v>
      </c>
      <c r="M9" s="61">
        <v>12</v>
      </c>
      <c r="N9" s="61">
        <v>0</v>
      </c>
      <c r="O9" s="28">
        <f t="shared" si="7"/>
        <v>508.93800988154646</v>
      </c>
      <c r="P9" s="34" t="str">
        <f t="shared" si="2"/>
        <v>OK</v>
      </c>
      <c r="Q9" s="17">
        <f t="shared" si="3"/>
        <v>82.383831411565467</v>
      </c>
      <c r="R9" s="19">
        <f t="shared" si="8"/>
        <v>0.39501197555897483</v>
      </c>
      <c r="S9" s="6" t="s">
        <v>35</v>
      </c>
      <c r="T9" s="17">
        <v>2.5</v>
      </c>
      <c r="U9" s="6" t="s">
        <v>36</v>
      </c>
      <c r="V9" s="6" t="s">
        <v>12</v>
      </c>
      <c r="W9" s="46">
        <v>-17.777999999999999</v>
      </c>
      <c r="X9" s="46">
        <v>-3.7429000000000001</v>
      </c>
      <c r="Y9" s="10">
        <v>300</v>
      </c>
      <c r="Z9" s="10">
        <v>500</v>
      </c>
      <c r="AA9" s="7">
        <f t="shared" si="4"/>
        <v>460</v>
      </c>
      <c r="AB9" s="28">
        <f t="shared" si="5"/>
        <v>23.122305002656383</v>
      </c>
      <c r="AC9" s="30">
        <v>18</v>
      </c>
      <c r="AD9" s="30">
        <v>2</v>
      </c>
      <c r="AE9" s="30">
        <v>14</v>
      </c>
      <c r="AF9" s="30">
        <v>0</v>
      </c>
      <c r="AG9" s="28">
        <f t="shared" si="9"/>
        <v>508.93800988154646</v>
      </c>
      <c r="AH9" s="35" t="str">
        <f t="shared" si="6"/>
        <v>OK</v>
      </c>
      <c r="AI9" s="28">
        <f t="shared" si="10"/>
        <v>-82.383831411565467</v>
      </c>
      <c r="AJ9" s="32">
        <f t="shared" si="11"/>
        <v>4.5432458479644743E-2</v>
      </c>
    </row>
    <row r="10" spans="1:36" x14ac:dyDescent="0.25">
      <c r="A10" s="28" t="s">
        <v>35</v>
      </c>
      <c r="B10" s="17">
        <v>3</v>
      </c>
      <c r="C10" s="28" t="s">
        <v>36</v>
      </c>
      <c r="D10" s="28" t="s">
        <v>11</v>
      </c>
      <c r="E10" s="46">
        <v>65.132999999999996</v>
      </c>
      <c r="F10" s="46">
        <v>38.202300000000001</v>
      </c>
      <c r="G10" s="29">
        <v>300</v>
      </c>
      <c r="H10" s="29">
        <v>500</v>
      </c>
      <c r="I10" s="28">
        <f t="shared" si="0"/>
        <v>460</v>
      </c>
      <c r="J10" s="28">
        <f t="shared" si="1"/>
        <v>236.00022239519623</v>
      </c>
      <c r="K10" s="61">
        <v>18</v>
      </c>
      <c r="L10" s="61">
        <v>2</v>
      </c>
      <c r="M10" s="61">
        <v>12</v>
      </c>
      <c r="N10" s="61">
        <v>0</v>
      </c>
      <c r="O10" s="28">
        <f t="shared" si="7"/>
        <v>508.93800988154646</v>
      </c>
      <c r="P10" s="34" t="str">
        <f t="shared" si="2"/>
        <v>OK</v>
      </c>
      <c r="Q10" s="17">
        <f t="shared" si="3"/>
        <v>82.383831411565467</v>
      </c>
      <c r="R10" s="19">
        <f t="shared" si="8"/>
        <v>0.46371113537014941</v>
      </c>
      <c r="S10" s="6" t="s">
        <v>35</v>
      </c>
      <c r="T10" s="17">
        <v>3</v>
      </c>
      <c r="U10" s="6" t="s">
        <v>36</v>
      </c>
      <c r="V10" s="6" t="s">
        <v>12</v>
      </c>
      <c r="W10" s="46">
        <v>-4.8620000000000001</v>
      </c>
      <c r="X10" s="46">
        <v>-33.079799999999999</v>
      </c>
      <c r="Y10" s="10">
        <v>300</v>
      </c>
      <c r="Z10" s="10">
        <v>500</v>
      </c>
      <c r="AA10" s="7">
        <f t="shared" si="4"/>
        <v>460</v>
      </c>
      <c r="AB10" s="28">
        <f t="shared" si="5"/>
        <v>204.35523926016529</v>
      </c>
      <c r="AC10" s="30">
        <v>18</v>
      </c>
      <c r="AD10" s="30">
        <v>2</v>
      </c>
      <c r="AE10" s="30">
        <v>14</v>
      </c>
      <c r="AF10" s="30">
        <v>2</v>
      </c>
      <c r="AG10" s="28">
        <f t="shared" si="9"/>
        <v>816.81408993334617</v>
      </c>
      <c r="AH10" s="35" t="str">
        <f t="shared" si="6"/>
        <v>OK</v>
      </c>
      <c r="AI10" s="28">
        <f t="shared" si="10"/>
        <v>-132.22096399387047</v>
      </c>
      <c r="AJ10" s="32">
        <f t="shared" si="11"/>
        <v>0.25018574211524824</v>
      </c>
    </row>
    <row r="11" spans="1:36" x14ac:dyDescent="0.25">
      <c r="A11" s="28" t="s">
        <v>35</v>
      </c>
      <c r="B11" s="17">
        <v>3.5</v>
      </c>
      <c r="C11" s="28" t="s">
        <v>36</v>
      </c>
      <c r="D11" s="28" t="s">
        <v>11</v>
      </c>
      <c r="E11" s="46">
        <v>78.049000000000007</v>
      </c>
      <c r="F11" s="46">
        <v>37.4041</v>
      </c>
      <c r="G11" s="29">
        <v>300</v>
      </c>
      <c r="H11" s="29">
        <v>500</v>
      </c>
      <c r="I11" s="28">
        <f t="shared" si="0"/>
        <v>460</v>
      </c>
      <c r="J11" s="28">
        <f t="shared" si="1"/>
        <v>231.0692266824814</v>
      </c>
      <c r="K11" s="61">
        <v>18</v>
      </c>
      <c r="L11" s="61">
        <v>2</v>
      </c>
      <c r="M11" s="61">
        <v>12</v>
      </c>
      <c r="N11" s="61">
        <v>0</v>
      </c>
      <c r="O11" s="28">
        <f t="shared" si="7"/>
        <v>508.93800988154646</v>
      </c>
      <c r="P11" s="34" t="str">
        <f t="shared" si="2"/>
        <v>OK</v>
      </c>
      <c r="Q11" s="17">
        <f t="shared" si="3"/>
        <v>82.383831411565467</v>
      </c>
      <c r="R11" s="19">
        <f t="shared" si="8"/>
        <v>0.45402234102393324</v>
      </c>
      <c r="S11" s="6" t="s">
        <v>35</v>
      </c>
      <c r="T11" s="17">
        <v>3.5</v>
      </c>
      <c r="U11" s="6" t="s">
        <v>36</v>
      </c>
      <c r="V11" s="6" t="s">
        <v>12</v>
      </c>
      <c r="W11" s="46">
        <v>8.0540000000000003</v>
      </c>
      <c r="X11" s="46">
        <v>-68.875200000000007</v>
      </c>
      <c r="Y11" s="10">
        <v>300</v>
      </c>
      <c r="Z11" s="10">
        <v>500</v>
      </c>
      <c r="AA11" s="7">
        <f t="shared" si="4"/>
        <v>460</v>
      </c>
      <c r="AB11" s="28">
        <f t="shared" si="5"/>
        <v>425.48648949182689</v>
      </c>
      <c r="AC11" s="30">
        <v>18</v>
      </c>
      <c r="AD11" s="30">
        <v>2</v>
      </c>
      <c r="AE11" s="30">
        <v>14</v>
      </c>
      <c r="AF11" s="30">
        <v>2</v>
      </c>
      <c r="AG11" s="28">
        <f t="shared" si="9"/>
        <v>816.81408993334617</v>
      </c>
      <c r="AH11" s="35" t="str">
        <f t="shared" si="6"/>
        <v>OK</v>
      </c>
      <c r="AI11" s="28">
        <f t="shared" si="10"/>
        <v>-132.22096399387047</v>
      </c>
      <c r="AJ11" s="32">
        <f t="shared" si="11"/>
        <v>0.52090983093416976</v>
      </c>
    </row>
    <row r="12" spans="1:36" x14ac:dyDescent="0.25">
      <c r="A12" s="28" t="s">
        <v>35</v>
      </c>
      <c r="B12" s="17">
        <v>4</v>
      </c>
      <c r="C12" s="28" t="s">
        <v>36</v>
      </c>
      <c r="D12" s="28" t="s">
        <v>11</v>
      </c>
      <c r="E12" s="46">
        <v>93.510999999999996</v>
      </c>
      <c r="F12" s="46">
        <v>30.1477</v>
      </c>
      <c r="G12" s="29">
        <v>300</v>
      </c>
      <c r="H12" s="29">
        <v>500</v>
      </c>
      <c r="I12" s="28">
        <f t="shared" si="0"/>
        <v>460</v>
      </c>
      <c r="J12" s="28">
        <f t="shared" si="1"/>
        <v>186.24176828891603</v>
      </c>
      <c r="K12" s="61">
        <v>18</v>
      </c>
      <c r="L12" s="61">
        <v>2</v>
      </c>
      <c r="M12" s="61">
        <v>12</v>
      </c>
      <c r="N12" s="61">
        <v>0</v>
      </c>
      <c r="O12" s="28">
        <f t="shared" si="7"/>
        <v>508.93800988154646</v>
      </c>
      <c r="P12" s="34" t="str">
        <f t="shared" si="2"/>
        <v>OK</v>
      </c>
      <c r="Q12" s="17">
        <f t="shared" si="3"/>
        <v>82.383831411565467</v>
      </c>
      <c r="R12" s="19">
        <f t="shared" si="8"/>
        <v>0.36594195102909127</v>
      </c>
      <c r="S12" s="6" t="s">
        <v>35</v>
      </c>
      <c r="T12" s="17">
        <v>4</v>
      </c>
      <c r="U12" s="6" t="s">
        <v>36</v>
      </c>
      <c r="V12" s="6" t="s">
        <v>12</v>
      </c>
      <c r="W12" s="46">
        <v>20.971</v>
      </c>
      <c r="X12" s="46">
        <v>-111.1289</v>
      </c>
      <c r="Y12" s="10">
        <v>300</v>
      </c>
      <c r="Z12" s="10">
        <v>500</v>
      </c>
      <c r="AA12" s="7">
        <f t="shared" si="4"/>
        <v>460</v>
      </c>
      <c r="AB12" s="28">
        <f t="shared" si="5"/>
        <v>686.5148201687731</v>
      </c>
      <c r="AC12" s="30">
        <v>18</v>
      </c>
      <c r="AD12" s="30">
        <v>2</v>
      </c>
      <c r="AE12" s="30">
        <v>14</v>
      </c>
      <c r="AF12" s="30">
        <v>2</v>
      </c>
      <c r="AG12" s="28">
        <f t="shared" si="9"/>
        <v>816.81408993334617</v>
      </c>
      <c r="AH12" s="35" t="str">
        <f t="shared" si="6"/>
        <v>OK</v>
      </c>
      <c r="AI12" s="28">
        <f t="shared" si="10"/>
        <v>-132.22096399387047</v>
      </c>
      <c r="AJ12" s="32">
        <f t="shared" si="11"/>
        <v>0.84047867027464529</v>
      </c>
    </row>
    <row r="13" spans="1:36" x14ac:dyDescent="0.25">
      <c r="A13" s="28" t="s">
        <v>37</v>
      </c>
      <c r="B13" s="17">
        <v>4</v>
      </c>
      <c r="C13" s="28" t="s">
        <v>36</v>
      </c>
      <c r="D13" s="28" t="s">
        <v>11</v>
      </c>
      <c r="E13" s="46">
        <v>-48.51</v>
      </c>
      <c r="F13" s="46">
        <v>0.22270000000000001</v>
      </c>
      <c r="G13" s="29">
        <v>300</v>
      </c>
      <c r="H13" s="29">
        <v>500</v>
      </c>
      <c r="I13" s="28">
        <f t="shared" si="0"/>
        <v>460</v>
      </c>
      <c r="J13" s="28">
        <f t="shared" si="1"/>
        <v>1.375761394664986</v>
      </c>
      <c r="K13" s="61">
        <v>18</v>
      </c>
      <c r="L13" s="61">
        <v>2</v>
      </c>
      <c r="M13" s="61">
        <v>12</v>
      </c>
      <c r="N13" s="61">
        <v>0</v>
      </c>
      <c r="O13" s="28">
        <f t="shared" si="7"/>
        <v>508.93800988154646</v>
      </c>
      <c r="P13" s="34" t="str">
        <f t="shared" si="2"/>
        <v>OK</v>
      </c>
      <c r="Q13" s="17">
        <f t="shared" si="3"/>
        <v>82.383831411565467</v>
      </c>
      <c r="R13" s="19">
        <f t="shared" si="8"/>
        <v>2.7032003268633634E-3</v>
      </c>
      <c r="S13" s="6" t="s">
        <v>37</v>
      </c>
      <c r="T13" s="17">
        <v>4</v>
      </c>
      <c r="U13" s="6" t="s">
        <v>36</v>
      </c>
      <c r="V13" s="6" t="s">
        <v>12</v>
      </c>
      <c r="W13" s="46">
        <v>-119.08199999999999</v>
      </c>
      <c r="X13" s="46">
        <v>-123.788</v>
      </c>
      <c r="Y13" s="10">
        <v>300</v>
      </c>
      <c r="Z13" s="10">
        <v>500</v>
      </c>
      <c r="AA13" s="7">
        <f t="shared" si="4"/>
        <v>460</v>
      </c>
      <c r="AB13" s="28">
        <f t="shared" si="5"/>
        <v>764.71823764162241</v>
      </c>
      <c r="AC13" s="30">
        <v>18</v>
      </c>
      <c r="AD13" s="30">
        <v>2</v>
      </c>
      <c r="AE13" s="30">
        <v>14</v>
      </c>
      <c r="AF13" s="30">
        <v>2</v>
      </c>
      <c r="AG13" s="28">
        <f t="shared" si="9"/>
        <v>816.81408993334617</v>
      </c>
      <c r="AH13" s="35" t="str">
        <f t="shared" si="6"/>
        <v>OK</v>
      </c>
      <c r="AI13" s="28">
        <f t="shared" si="10"/>
        <v>-132.22096399387047</v>
      </c>
      <c r="AJ13" s="32">
        <f t="shared" si="11"/>
        <v>0.93622067379374563</v>
      </c>
    </row>
    <row r="14" spans="1:36" x14ac:dyDescent="0.25">
      <c r="A14" s="28" t="s">
        <v>37</v>
      </c>
      <c r="B14" s="17">
        <v>4.5</v>
      </c>
      <c r="C14" s="28" t="s">
        <v>36</v>
      </c>
      <c r="D14" s="28" t="s">
        <v>11</v>
      </c>
      <c r="E14" s="46">
        <v>-35.594000000000001</v>
      </c>
      <c r="F14" s="46">
        <v>21.248799999999999</v>
      </c>
      <c r="G14" s="29">
        <v>300</v>
      </c>
      <c r="H14" s="29">
        <v>500</v>
      </c>
      <c r="I14" s="28">
        <f t="shared" si="0"/>
        <v>460</v>
      </c>
      <c r="J14" s="28">
        <f t="shared" si="1"/>
        <v>131.2675290658166</v>
      </c>
      <c r="K14" s="61">
        <v>18</v>
      </c>
      <c r="L14" s="61">
        <v>2</v>
      </c>
      <c r="M14" s="61">
        <v>12</v>
      </c>
      <c r="N14" s="61">
        <v>0</v>
      </c>
      <c r="O14" s="28">
        <f t="shared" si="7"/>
        <v>508.93800988154646</v>
      </c>
      <c r="P14" s="34" t="str">
        <f t="shared" si="2"/>
        <v>OK</v>
      </c>
      <c r="Q14" s="17">
        <f t="shared" si="3"/>
        <v>82.383831411565467</v>
      </c>
      <c r="R14" s="19">
        <f t="shared" si="8"/>
        <v>0.2579243965220217</v>
      </c>
      <c r="S14" s="6" t="s">
        <v>37</v>
      </c>
      <c r="T14" s="17">
        <v>4.5</v>
      </c>
      <c r="U14" s="6" t="s">
        <v>36</v>
      </c>
      <c r="V14" s="6" t="s">
        <v>12</v>
      </c>
      <c r="W14" s="46">
        <v>-97.430999999999997</v>
      </c>
      <c r="X14" s="46">
        <v>-80.231899999999996</v>
      </c>
      <c r="Y14" s="10">
        <v>300</v>
      </c>
      <c r="Z14" s="10">
        <v>500</v>
      </c>
      <c r="AA14" s="7">
        <f t="shared" si="4"/>
        <v>460</v>
      </c>
      <c r="AB14" s="28">
        <f t="shared" si="5"/>
        <v>495.64414297540054</v>
      </c>
      <c r="AC14" s="30">
        <v>18</v>
      </c>
      <c r="AD14" s="30">
        <v>2</v>
      </c>
      <c r="AE14" s="30">
        <v>14</v>
      </c>
      <c r="AF14" s="30">
        <v>2</v>
      </c>
      <c r="AG14" s="28">
        <f t="shared" si="9"/>
        <v>816.81408993334617</v>
      </c>
      <c r="AH14" s="35" t="str">
        <f t="shared" si="6"/>
        <v>OK</v>
      </c>
      <c r="AI14" s="28">
        <f t="shared" si="10"/>
        <v>-132.22096399387047</v>
      </c>
      <c r="AJ14" s="32">
        <f t="shared" si="11"/>
        <v>0.60680165668523944</v>
      </c>
    </row>
    <row r="15" spans="1:36" x14ac:dyDescent="0.25">
      <c r="A15" s="28" t="s">
        <v>37</v>
      </c>
      <c r="B15" s="17">
        <v>5</v>
      </c>
      <c r="C15" s="28" t="s">
        <v>36</v>
      </c>
      <c r="D15" s="28" t="s">
        <v>11</v>
      </c>
      <c r="E15" s="46">
        <v>-22.677</v>
      </c>
      <c r="F15" s="46">
        <v>35.816699999999997</v>
      </c>
      <c r="G15" s="29">
        <v>300</v>
      </c>
      <c r="H15" s="29">
        <v>500</v>
      </c>
      <c r="I15" s="28">
        <f t="shared" si="0"/>
        <v>460</v>
      </c>
      <c r="J15" s="28">
        <f t="shared" si="1"/>
        <v>221.26283405611767</v>
      </c>
      <c r="K15" s="61">
        <v>18</v>
      </c>
      <c r="L15" s="61">
        <v>2</v>
      </c>
      <c r="M15" s="61">
        <v>12</v>
      </c>
      <c r="N15" s="61">
        <v>0</v>
      </c>
      <c r="O15" s="28">
        <f t="shared" si="7"/>
        <v>508.93800988154646</v>
      </c>
      <c r="P15" s="34" t="str">
        <f t="shared" si="2"/>
        <v>OK</v>
      </c>
      <c r="Q15" s="17">
        <f t="shared" si="3"/>
        <v>82.383831411565467</v>
      </c>
      <c r="R15" s="19">
        <f t="shared" si="8"/>
        <v>0.43475399706855422</v>
      </c>
      <c r="S15" s="6" t="s">
        <v>37</v>
      </c>
      <c r="T15" s="17">
        <v>5</v>
      </c>
      <c r="U15" s="6" t="s">
        <v>36</v>
      </c>
      <c r="V15" s="6" t="s">
        <v>12</v>
      </c>
      <c r="W15" s="46">
        <v>-75.778999999999996</v>
      </c>
      <c r="X15" s="46">
        <v>-43.133899999999997</v>
      </c>
      <c r="Y15" s="10">
        <v>300</v>
      </c>
      <c r="Z15" s="10">
        <v>500</v>
      </c>
      <c r="AA15" s="7">
        <f t="shared" si="4"/>
        <v>460</v>
      </c>
      <c r="AB15" s="28">
        <f t="shared" si="5"/>
        <v>266.46589322559515</v>
      </c>
      <c r="AC15" s="30">
        <v>18</v>
      </c>
      <c r="AD15" s="30">
        <v>2</v>
      </c>
      <c r="AE15" s="30">
        <v>14</v>
      </c>
      <c r="AF15" s="30">
        <v>0</v>
      </c>
      <c r="AG15" s="28">
        <f t="shared" si="9"/>
        <v>508.93800988154646</v>
      </c>
      <c r="AH15" s="35" t="str">
        <f t="shared" si="6"/>
        <v>OK</v>
      </c>
      <c r="AI15" s="28">
        <f t="shared" si="10"/>
        <v>-82.383831411565467</v>
      </c>
      <c r="AJ15" s="32">
        <f t="shared" si="11"/>
        <v>0.52357239595371186</v>
      </c>
    </row>
    <row r="16" spans="1:36" x14ac:dyDescent="0.25">
      <c r="A16" s="28" t="s">
        <v>37</v>
      </c>
      <c r="B16" s="17">
        <v>5.5</v>
      </c>
      <c r="C16" s="28" t="s">
        <v>36</v>
      </c>
      <c r="D16" s="28" t="s">
        <v>11</v>
      </c>
      <c r="E16" s="46">
        <v>-9.7609999999999992</v>
      </c>
      <c r="F16" s="46">
        <v>43.926299999999998</v>
      </c>
      <c r="G16" s="29">
        <v>300</v>
      </c>
      <c r="H16" s="29">
        <v>500</v>
      </c>
      <c r="I16" s="28">
        <f t="shared" si="0"/>
        <v>460</v>
      </c>
      <c r="J16" s="28">
        <f t="shared" si="1"/>
        <v>271.36105860113418</v>
      </c>
      <c r="K16" s="61">
        <v>18</v>
      </c>
      <c r="L16" s="61">
        <v>2</v>
      </c>
      <c r="M16" s="61">
        <v>12</v>
      </c>
      <c r="N16" s="61">
        <v>1</v>
      </c>
      <c r="O16" s="28">
        <f t="shared" si="7"/>
        <v>622.03534541077897</v>
      </c>
      <c r="P16" s="34" t="str">
        <f t="shared" si="2"/>
        <v>OK</v>
      </c>
      <c r="Q16" s="17">
        <f t="shared" si="3"/>
        <v>100.69134950302445</v>
      </c>
      <c r="R16" s="19">
        <f t="shared" si="8"/>
        <v>0.43624700847494935</v>
      </c>
      <c r="S16" s="6" t="s">
        <v>37</v>
      </c>
      <c r="T16" s="17">
        <v>5.5</v>
      </c>
      <c r="U16" s="6" t="s">
        <v>36</v>
      </c>
      <c r="V16" s="6" t="s">
        <v>12</v>
      </c>
      <c r="W16" s="46">
        <v>-54.820999999999998</v>
      </c>
      <c r="X16" s="46">
        <v>-12.494199999999999</v>
      </c>
      <c r="Y16" s="10">
        <v>300</v>
      </c>
      <c r="Z16" s="10">
        <v>500</v>
      </c>
      <c r="AA16" s="7">
        <f t="shared" si="4"/>
        <v>460</v>
      </c>
      <c r="AB16" s="28">
        <f t="shared" si="5"/>
        <v>77.184723921074408</v>
      </c>
      <c r="AC16" s="30">
        <v>18</v>
      </c>
      <c r="AD16" s="30">
        <v>2</v>
      </c>
      <c r="AE16" s="30">
        <v>14</v>
      </c>
      <c r="AF16" s="30">
        <v>0</v>
      </c>
      <c r="AG16" s="28">
        <f t="shared" si="9"/>
        <v>508.93800988154646</v>
      </c>
      <c r="AH16" s="35" t="str">
        <f t="shared" si="6"/>
        <v>OK</v>
      </c>
      <c r="AI16" s="28">
        <f t="shared" si="10"/>
        <v>-82.383831411565467</v>
      </c>
      <c r="AJ16" s="32">
        <f t="shared" si="11"/>
        <v>0.15165839929904013</v>
      </c>
    </row>
    <row r="17" spans="1:36" x14ac:dyDescent="0.25">
      <c r="A17" s="28" t="s">
        <v>37</v>
      </c>
      <c r="B17" s="17">
        <v>6</v>
      </c>
      <c r="C17" s="28" t="s">
        <v>36</v>
      </c>
      <c r="D17" s="28" t="s">
        <v>11</v>
      </c>
      <c r="E17" s="46">
        <v>3.1549999999999998</v>
      </c>
      <c r="F17" s="46">
        <v>48.073999999999998</v>
      </c>
      <c r="G17" s="29">
        <v>300</v>
      </c>
      <c r="H17" s="29">
        <v>500</v>
      </c>
      <c r="I17" s="28">
        <f t="shared" si="0"/>
        <v>460</v>
      </c>
      <c r="J17" s="28">
        <f t="shared" si="1"/>
        <v>296.98407403288974</v>
      </c>
      <c r="K17" s="61">
        <v>18</v>
      </c>
      <c r="L17" s="61">
        <v>2</v>
      </c>
      <c r="M17" s="61">
        <v>12</v>
      </c>
      <c r="N17" s="61">
        <v>1</v>
      </c>
      <c r="O17" s="28">
        <f t="shared" si="7"/>
        <v>622.03534541077897</v>
      </c>
      <c r="P17" s="34" t="str">
        <f t="shared" si="2"/>
        <v>OK</v>
      </c>
      <c r="Q17" s="17">
        <f t="shared" si="3"/>
        <v>100.69134950302445</v>
      </c>
      <c r="R17" s="19">
        <f t="shared" si="8"/>
        <v>0.47743922628185659</v>
      </c>
      <c r="S17" s="6" t="s">
        <v>37</v>
      </c>
      <c r="T17" s="17">
        <v>6</v>
      </c>
      <c r="U17" s="6" t="s">
        <v>36</v>
      </c>
      <c r="V17" s="6" t="s">
        <v>12</v>
      </c>
      <c r="W17" s="46">
        <v>-41.905000000000001</v>
      </c>
      <c r="X17" s="46">
        <v>11.6873</v>
      </c>
      <c r="Y17" s="10">
        <v>300</v>
      </c>
      <c r="Z17" s="10">
        <v>500</v>
      </c>
      <c r="AA17" s="7">
        <f t="shared" si="4"/>
        <v>460</v>
      </c>
      <c r="AB17" s="28">
        <f t="shared" si="5"/>
        <v>72.199982702595833</v>
      </c>
      <c r="AC17" s="30">
        <v>18</v>
      </c>
      <c r="AD17" s="30">
        <v>2</v>
      </c>
      <c r="AE17" s="30">
        <v>14</v>
      </c>
      <c r="AF17" s="30">
        <v>0</v>
      </c>
      <c r="AG17" s="28">
        <f t="shared" si="9"/>
        <v>508.93800988154646</v>
      </c>
      <c r="AH17" s="35" t="str">
        <f t="shared" si="6"/>
        <v>OK</v>
      </c>
      <c r="AI17" s="28">
        <f t="shared" si="10"/>
        <v>-82.383831411565467</v>
      </c>
      <c r="AJ17" s="32">
        <f t="shared" si="11"/>
        <v>-0.14186400170700578</v>
      </c>
    </row>
    <row r="18" spans="1:36" x14ac:dyDescent="0.25">
      <c r="A18" s="28" t="s">
        <v>37</v>
      </c>
      <c r="B18" s="17">
        <v>6.5</v>
      </c>
      <c r="C18" s="28" t="s">
        <v>36</v>
      </c>
      <c r="D18" s="28" t="s">
        <v>11</v>
      </c>
      <c r="E18" s="46">
        <v>16.071999999999999</v>
      </c>
      <c r="F18" s="46">
        <v>58.8996</v>
      </c>
      <c r="G18" s="29">
        <v>300</v>
      </c>
      <c r="H18" s="29">
        <v>500</v>
      </c>
      <c r="I18" s="28">
        <f t="shared" si="0"/>
        <v>460</v>
      </c>
      <c r="J18" s="28">
        <f t="shared" si="1"/>
        <v>363.86078060713879</v>
      </c>
      <c r="K18" s="61">
        <v>18</v>
      </c>
      <c r="L18" s="61">
        <v>2</v>
      </c>
      <c r="M18" s="61">
        <v>12</v>
      </c>
      <c r="N18" s="61">
        <v>1</v>
      </c>
      <c r="O18" s="28">
        <f t="shared" si="7"/>
        <v>622.03534541077897</v>
      </c>
      <c r="P18" s="34" t="str">
        <f t="shared" si="2"/>
        <v>OK</v>
      </c>
      <c r="Q18" s="17">
        <f t="shared" si="3"/>
        <v>100.69134950302445</v>
      </c>
      <c r="R18" s="19">
        <f t="shared" si="8"/>
        <v>0.58495193768587672</v>
      </c>
      <c r="S18" s="6" t="s">
        <v>37</v>
      </c>
      <c r="T18" s="17">
        <v>6.5</v>
      </c>
      <c r="U18" s="6" t="s">
        <v>36</v>
      </c>
      <c r="V18" s="6" t="s">
        <v>12</v>
      </c>
      <c r="W18" s="46">
        <v>-28.988</v>
      </c>
      <c r="X18" s="46">
        <v>29.410499999999999</v>
      </c>
      <c r="Y18" s="10">
        <v>300</v>
      </c>
      <c r="Z18" s="10">
        <v>500</v>
      </c>
      <c r="AA18" s="7">
        <f t="shared" si="4"/>
        <v>460</v>
      </c>
      <c r="AB18" s="28">
        <f t="shared" si="5"/>
        <v>181.68760888098146</v>
      </c>
      <c r="AC18" s="30">
        <v>18</v>
      </c>
      <c r="AD18" s="30">
        <v>2</v>
      </c>
      <c r="AE18" s="30">
        <v>14</v>
      </c>
      <c r="AF18" s="30">
        <v>0</v>
      </c>
      <c r="AG18" s="28">
        <f t="shared" si="9"/>
        <v>508.93800988154646</v>
      </c>
      <c r="AH18" s="35" t="str">
        <f t="shared" si="6"/>
        <v>OK</v>
      </c>
      <c r="AI18" s="28">
        <f t="shared" si="10"/>
        <v>-82.383831411565467</v>
      </c>
      <c r="AJ18" s="32">
        <f t="shared" si="11"/>
        <v>-0.35699359323401414</v>
      </c>
    </row>
    <row r="19" spans="1:36" x14ac:dyDescent="0.25">
      <c r="A19" s="28" t="s">
        <v>37</v>
      </c>
      <c r="B19" s="17">
        <v>7</v>
      </c>
      <c r="C19" s="28" t="s">
        <v>36</v>
      </c>
      <c r="D19" s="28" t="s">
        <v>11</v>
      </c>
      <c r="E19" s="46">
        <v>28.988</v>
      </c>
      <c r="F19" s="46">
        <v>58.8996</v>
      </c>
      <c r="G19" s="29">
        <v>300</v>
      </c>
      <c r="H19" s="29">
        <v>500</v>
      </c>
      <c r="I19" s="28">
        <f t="shared" si="0"/>
        <v>460</v>
      </c>
      <c r="J19" s="28">
        <f t="shared" si="1"/>
        <v>363.86078060713879</v>
      </c>
      <c r="K19" s="61">
        <v>18</v>
      </c>
      <c r="L19" s="61">
        <v>2</v>
      </c>
      <c r="M19" s="61">
        <v>12</v>
      </c>
      <c r="N19" s="61">
        <v>1</v>
      </c>
      <c r="O19" s="28">
        <f t="shared" si="7"/>
        <v>622.03534541077897</v>
      </c>
      <c r="P19" s="34" t="str">
        <f t="shared" si="2"/>
        <v>OK</v>
      </c>
      <c r="Q19" s="17">
        <f t="shared" si="3"/>
        <v>100.69134950302445</v>
      </c>
      <c r="R19" s="19">
        <f t="shared" si="8"/>
        <v>0.58495193768587672</v>
      </c>
      <c r="S19" s="6" t="s">
        <v>37</v>
      </c>
      <c r="T19" s="17">
        <v>7</v>
      </c>
      <c r="U19" s="6" t="s">
        <v>36</v>
      </c>
      <c r="V19" s="6" t="s">
        <v>12</v>
      </c>
      <c r="W19" s="46">
        <v>-16.071999999999999</v>
      </c>
      <c r="X19" s="46">
        <v>29.410499999999999</v>
      </c>
      <c r="Y19" s="10">
        <v>300</v>
      </c>
      <c r="Z19" s="10">
        <v>500</v>
      </c>
      <c r="AA19" s="7">
        <f t="shared" si="4"/>
        <v>460</v>
      </c>
      <c r="AB19" s="28">
        <f t="shared" si="5"/>
        <v>181.68760888098146</v>
      </c>
      <c r="AC19" s="30">
        <v>18</v>
      </c>
      <c r="AD19" s="30">
        <v>2</v>
      </c>
      <c r="AE19" s="30">
        <v>14</v>
      </c>
      <c r="AF19" s="30">
        <v>0</v>
      </c>
      <c r="AG19" s="28">
        <f t="shared" si="9"/>
        <v>508.93800988154646</v>
      </c>
      <c r="AH19" s="35" t="str">
        <f t="shared" si="6"/>
        <v>OK</v>
      </c>
      <c r="AI19" s="28">
        <f t="shared" si="10"/>
        <v>-82.383831411565467</v>
      </c>
      <c r="AJ19" s="32">
        <f t="shared" si="11"/>
        <v>-0.35699359323401414</v>
      </c>
    </row>
    <row r="20" spans="1:36" x14ac:dyDescent="0.25">
      <c r="A20" s="28" t="s">
        <v>37</v>
      </c>
      <c r="B20" s="17">
        <v>7.5</v>
      </c>
      <c r="C20" s="28" t="s">
        <v>36</v>
      </c>
      <c r="D20" s="28" t="s">
        <v>11</v>
      </c>
      <c r="E20" s="46">
        <v>41.905000000000001</v>
      </c>
      <c r="F20" s="46">
        <v>48.073999999999998</v>
      </c>
      <c r="G20" s="29">
        <v>300</v>
      </c>
      <c r="H20" s="29">
        <v>500</v>
      </c>
      <c r="I20" s="28">
        <f t="shared" si="0"/>
        <v>460</v>
      </c>
      <c r="J20" s="28">
        <f t="shared" si="1"/>
        <v>296.98407403288974</v>
      </c>
      <c r="K20" s="61">
        <v>18</v>
      </c>
      <c r="L20" s="61">
        <v>2</v>
      </c>
      <c r="M20" s="61">
        <v>12</v>
      </c>
      <c r="N20" s="61">
        <v>1</v>
      </c>
      <c r="O20" s="28">
        <f t="shared" si="7"/>
        <v>622.03534541077897</v>
      </c>
      <c r="P20" s="34" t="str">
        <f t="shared" si="2"/>
        <v>OK</v>
      </c>
      <c r="Q20" s="17">
        <f t="shared" si="3"/>
        <v>100.69134950302445</v>
      </c>
      <c r="R20" s="19">
        <f t="shared" si="8"/>
        <v>0.47743922628185659</v>
      </c>
      <c r="S20" s="6" t="s">
        <v>37</v>
      </c>
      <c r="T20" s="17">
        <v>7.5</v>
      </c>
      <c r="U20" s="6" t="s">
        <v>36</v>
      </c>
      <c r="V20" s="6" t="s">
        <v>12</v>
      </c>
      <c r="W20" s="46">
        <v>-3.1549999999999998</v>
      </c>
      <c r="X20" s="46">
        <v>11.6873</v>
      </c>
      <c r="Y20" s="10">
        <v>300</v>
      </c>
      <c r="Z20" s="10">
        <v>500</v>
      </c>
      <c r="AA20" s="7">
        <f t="shared" si="4"/>
        <v>460</v>
      </c>
      <c r="AB20" s="28">
        <f t="shared" si="5"/>
        <v>72.199982702595833</v>
      </c>
      <c r="AC20" s="30">
        <v>18</v>
      </c>
      <c r="AD20" s="30">
        <v>2</v>
      </c>
      <c r="AE20" s="30">
        <v>14</v>
      </c>
      <c r="AF20" s="30">
        <v>0</v>
      </c>
      <c r="AG20" s="28">
        <f t="shared" si="9"/>
        <v>508.93800988154646</v>
      </c>
      <c r="AH20" s="35" t="str">
        <f t="shared" si="6"/>
        <v>OK</v>
      </c>
      <c r="AI20" s="28">
        <f t="shared" si="10"/>
        <v>-82.383831411565467</v>
      </c>
      <c r="AJ20" s="32">
        <f t="shared" si="11"/>
        <v>-0.14186400170700578</v>
      </c>
    </row>
    <row r="21" spans="1:36" x14ac:dyDescent="0.25">
      <c r="A21" s="28" t="s">
        <v>37</v>
      </c>
      <c r="B21" s="17">
        <v>8</v>
      </c>
      <c r="C21" s="28" t="s">
        <v>36</v>
      </c>
      <c r="D21" s="28" t="s">
        <v>11</v>
      </c>
      <c r="E21" s="46">
        <v>54.820999999999998</v>
      </c>
      <c r="F21" s="46">
        <v>43.926299999999998</v>
      </c>
      <c r="G21" s="29">
        <v>300</v>
      </c>
      <c r="H21" s="29">
        <v>500</v>
      </c>
      <c r="I21" s="28">
        <f t="shared" si="0"/>
        <v>460</v>
      </c>
      <c r="J21" s="28">
        <f t="shared" si="1"/>
        <v>271.36105860113418</v>
      </c>
      <c r="K21" s="61">
        <v>18</v>
      </c>
      <c r="L21" s="61">
        <v>2</v>
      </c>
      <c r="M21" s="61">
        <v>12</v>
      </c>
      <c r="N21" s="61">
        <v>1</v>
      </c>
      <c r="O21" s="28">
        <f t="shared" si="7"/>
        <v>622.03534541077897</v>
      </c>
      <c r="P21" s="34" t="str">
        <f t="shared" si="2"/>
        <v>OK</v>
      </c>
      <c r="Q21" s="17">
        <f t="shared" si="3"/>
        <v>100.69134950302445</v>
      </c>
      <c r="R21" s="19">
        <f t="shared" si="8"/>
        <v>0.43624700847494935</v>
      </c>
      <c r="S21" s="6" t="s">
        <v>37</v>
      </c>
      <c r="T21" s="17">
        <v>8</v>
      </c>
      <c r="U21" s="6" t="s">
        <v>36</v>
      </c>
      <c r="V21" s="6" t="s">
        <v>12</v>
      </c>
      <c r="W21" s="46">
        <v>9.7609999999999992</v>
      </c>
      <c r="X21" s="46">
        <v>-12.494199999999999</v>
      </c>
      <c r="Y21" s="10">
        <v>300</v>
      </c>
      <c r="Z21" s="10">
        <v>500</v>
      </c>
      <c r="AA21" s="7">
        <f t="shared" si="4"/>
        <v>460</v>
      </c>
      <c r="AB21" s="28">
        <f t="shared" si="5"/>
        <v>77.184723921074408</v>
      </c>
      <c r="AC21" s="30">
        <v>18</v>
      </c>
      <c r="AD21" s="30">
        <v>2</v>
      </c>
      <c r="AE21" s="30">
        <v>14</v>
      </c>
      <c r="AF21" s="30">
        <v>0</v>
      </c>
      <c r="AG21" s="28">
        <f t="shared" si="9"/>
        <v>508.93800988154646</v>
      </c>
      <c r="AH21" s="35" t="str">
        <f t="shared" si="6"/>
        <v>OK</v>
      </c>
      <c r="AI21" s="28">
        <f t="shared" si="10"/>
        <v>-82.383831411565467</v>
      </c>
      <c r="AJ21" s="32">
        <f t="shared" si="11"/>
        <v>0.15165839929904013</v>
      </c>
    </row>
    <row r="22" spans="1:36" x14ac:dyDescent="0.25">
      <c r="A22" s="28" t="s">
        <v>37</v>
      </c>
      <c r="B22" s="17">
        <v>8.5</v>
      </c>
      <c r="C22" s="28" t="s">
        <v>36</v>
      </c>
      <c r="D22" s="28" t="s">
        <v>11</v>
      </c>
      <c r="E22" s="46">
        <v>75.778999999999996</v>
      </c>
      <c r="F22" s="46">
        <v>35.816699999999997</v>
      </c>
      <c r="G22" s="29">
        <v>300</v>
      </c>
      <c r="H22" s="29">
        <v>500</v>
      </c>
      <c r="I22" s="28">
        <f t="shared" si="0"/>
        <v>460</v>
      </c>
      <c r="J22" s="28">
        <f t="shared" si="1"/>
        <v>221.26283405611767</v>
      </c>
      <c r="K22" s="61">
        <v>18</v>
      </c>
      <c r="L22" s="61">
        <v>2</v>
      </c>
      <c r="M22" s="61">
        <v>12</v>
      </c>
      <c r="N22" s="61">
        <v>0</v>
      </c>
      <c r="O22" s="28">
        <f t="shared" si="7"/>
        <v>508.93800988154646</v>
      </c>
      <c r="P22" s="34" t="str">
        <f t="shared" si="2"/>
        <v>OK</v>
      </c>
      <c r="Q22" s="17">
        <f t="shared" si="3"/>
        <v>82.383831411565467</v>
      </c>
      <c r="R22" s="19">
        <f t="shared" si="8"/>
        <v>0.43475399706855422</v>
      </c>
      <c r="S22" s="6" t="s">
        <v>37</v>
      </c>
      <c r="T22" s="17">
        <v>8.5</v>
      </c>
      <c r="U22" s="6" t="s">
        <v>36</v>
      </c>
      <c r="V22" s="6" t="s">
        <v>12</v>
      </c>
      <c r="W22" s="46">
        <v>22.677</v>
      </c>
      <c r="X22" s="46">
        <v>-43.133899999999997</v>
      </c>
      <c r="Y22" s="10">
        <v>300</v>
      </c>
      <c r="Z22" s="10">
        <v>500</v>
      </c>
      <c r="AA22" s="7">
        <f t="shared" si="4"/>
        <v>460</v>
      </c>
      <c r="AB22" s="28">
        <f t="shared" si="5"/>
        <v>266.46589322559515</v>
      </c>
      <c r="AC22" s="30">
        <v>18</v>
      </c>
      <c r="AD22" s="30">
        <v>2</v>
      </c>
      <c r="AE22" s="30">
        <v>14</v>
      </c>
      <c r="AF22" s="30">
        <v>2</v>
      </c>
      <c r="AG22" s="28">
        <f t="shared" si="9"/>
        <v>816.81408993334617</v>
      </c>
      <c r="AH22" s="35" t="str">
        <f t="shared" si="6"/>
        <v>OK</v>
      </c>
      <c r="AI22" s="28">
        <f t="shared" si="10"/>
        <v>-132.22096399387047</v>
      </c>
      <c r="AJ22" s="32">
        <f t="shared" si="11"/>
        <v>0.32622587747885129</v>
      </c>
    </row>
    <row r="23" spans="1:36" x14ac:dyDescent="0.25">
      <c r="A23" s="28" t="s">
        <v>37</v>
      </c>
      <c r="B23" s="17">
        <v>9</v>
      </c>
      <c r="C23" s="28" t="s">
        <v>36</v>
      </c>
      <c r="D23" s="28" t="s">
        <v>11</v>
      </c>
      <c r="E23" s="46">
        <v>97.430999999999997</v>
      </c>
      <c r="F23" s="46">
        <v>21.248799999999999</v>
      </c>
      <c r="G23" s="29">
        <v>300</v>
      </c>
      <c r="H23" s="29">
        <v>500</v>
      </c>
      <c r="I23" s="28">
        <f t="shared" si="0"/>
        <v>460</v>
      </c>
      <c r="J23" s="28">
        <f t="shared" si="1"/>
        <v>131.2675290658166</v>
      </c>
      <c r="K23" s="61">
        <v>18</v>
      </c>
      <c r="L23" s="61">
        <v>2</v>
      </c>
      <c r="M23" s="61">
        <v>12</v>
      </c>
      <c r="N23" s="61">
        <v>0</v>
      </c>
      <c r="O23" s="28">
        <f t="shared" si="7"/>
        <v>508.93800988154646</v>
      </c>
      <c r="P23" s="34" t="str">
        <f t="shared" si="2"/>
        <v>OK</v>
      </c>
      <c r="Q23" s="17">
        <f t="shared" si="3"/>
        <v>82.383831411565467</v>
      </c>
      <c r="R23" s="19">
        <f t="shared" si="8"/>
        <v>0.2579243965220217</v>
      </c>
      <c r="S23" s="6" t="s">
        <v>37</v>
      </c>
      <c r="T23" s="17">
        <v>9</v>
      </c>
      <c r="U23" s="6" t="s">
        <v>36</v>
      </c>
      <c r="V23" s="6" t="s">
        <v>12</v>
      </c>
      <c r="W23" s="46">
        <v>35.594000000000001</v>
      </c>
      <c r="X23" s="46">
        <v>-80.231899999999996</v>
      </c>
      <c r="Y23" s="10">
        <v>300</v>
      </c>
      <c r="Z23" s="10">
        <v>500</v>
      </c>
      <c r="AA23" s="7">
        <f t="shared" si="4"/>
        <v>460</v>
      </c>
      <c r="AB23" s="28">
        <f t="shared" si="5"/>
        <v>495.64414297540054</v>
      </c>
      <c r="AC23" s="30">
        <v>18</v>
      </c>
      <c r="AD23" s="30">
        <v>2</v>
      </c>
      <c r="AE23" s="30">
        <v>14</v>
      </c>
      <c r="AF23" s="30">
        <v>2</v>
      </c>
      <c r="AG23" s="28">
        <f t="shared" si="9"/>
        <v>816.81408993334617</v>
      </c>
      <c r="AH23" s="35" t="str">
        <f t="shared" si="6"/>
        <v>OK</v>
      </c>
      <c r="AI23" s="28">
        <f t="shared" si="10"/>
        <v>-132.22096399387047</v>
      </c>
      <c r="AJ23" s="32">
        <f t="shared" si="11"/>
        <v>0.60680165668523944</v>
      </c>
    </row>
    <row r="24" spans="1:36" x14ac:dyDescent="0.25">
      <c r="A24" s="28" t="s">
        <v>37</v>
      </c>
      <c r="B24" s="17">
        <v>9.5</v>
      </c>
      <c r="C24" s="28" t="s">
        <v>36</v>
      </c>
      <c r="D24" s="28" t="s">
        <v>11</v>
      </c>
      <c r="E24" s="46">
        <v>119.08199999999999</v>
      </c>
      <c r="F24" s="46">
        <v>0.22270000000000001</v>
      </c>
      <c r="G24" s="29">
        <v>300</v>
      </c>
      <c r="H24" s="29">
        <v>500</v>
      </c>
      <c r="I24" s="28">
        <f t="shared" si="0"/>
        <v>460</v>
      </c>
      <c r="J24" s="28">
        <f t="shared" si="1"/>
        <v>1.375761394664986</v>
      </c>
      <c r="K24" s="61">
        <v>18</v>
      </c>
      <c r="L24" s="61">
        <v>2</v>
      </c>
      <c r="M24" s="61">
        <v>12</v>
      </c>
      <c r="N24" s="61">
        <v>0</v>
      </c>
      <c r="O24" s="28">
        <f t="shared" si="7"/>
        <v>508.93800988154646</v>
      </c>
      <c r="P24" s="34" t="str">
        <f t="shared" si="2"/>
        <v>OK</v>
      </c>
      <c r="Q24" s="17">
        <f t="shared" si="3"/>
        <v>82.383831411565467</v>
      </c>
      <c r="R24" s="19">
        <f t="shared" si="8"/>
        <v>2.7032003268633634E-3</v>
      </c>
      <c r="S24" s="6" t="s">
        <v>37</v>
      </c>
      <c r="T24" s="17">
        <v>9.5</v>
      </c>
      <c r="U24" s="6" t="s">
        <v>36</v>
      </c>
      <c r="V24" s="6" t="s">
        <v>12</v>
      </c>
      <c r="W24" s="46">
        <v>48.51</v>
      </c>
      <c r="X24" s="46">
        <v>-123.788</v>
      </c>
      <c r="Y24" s="10">
        <v>300</v>
      </c>
      <c r="Z24" s="10">
        <v>500</v>
      </c>
      <c r="AA24" s="7">
        <f t="shared" si="4"/>
        <v>460</v>
      </c>
      <c r="AB24" s="28">
        <f t="shared" si="5"/>
        <v>764.71823764162241</v>
      </c>
      <c r="AC24" s="30">
        <v>18</v>
      </c>
      <c r="AD24" s="30">
        <v>2</v>
      </c>
      <c r="AE24" s="30">
        <v>14</v>
      </c>
      <c r="AF24" s="30">
        <v>2</v>
      </c>
      <c r="AG24" s="28">
        <f t="shared" si="9"/>
        <v>816.81408993334617</v>
      </c>
      <c r="AH24" s="35" t="str">
        <f t="shared" si="6"/>
        <v>OK</v>
      </c>
      <c r="AI24" s="28">
        <f t="shared" si="10"/>
        <v>-132.22096399387047</v>
      </c>
      <c r="AJ24" s="32">
        <f t="shared" si="11"/>
        <v>0.93622067379374563</v>
      </c>
    </row>
    <row r="25" spans="1:36" x14ac:dyDescent="0.25">
      <c r="A25" s="28" t="s">
        <v>38</v>
      </c>
      <c r="B25" s="17">
        <v>9.5</v>
      </c>
      <c r="C25" s="28" t="s">
        <v>36</v>
      </c>
      <c r="D25" s="28" t="s">
        <v>11</v>
      </c>
      <c r="E25" s="46">
        <v>-20.971</v>
      </c>
      <c r="F25" s="46">
        <v>30.1477</v>
      </c>
      <c r="G25" s="29">
        <v>300</v>
      </c>
      <c r="H25" s="29">
        <v>500</v>
      </c>
      <c r="I25" s="28">
        <f t="shared" si="0"/>
        <v>460</v>
      </c>
      <c r="J25" s="28">
        <f t="shared" si="1"/>
        <v>186.24176828891603</v>
      </c>
      <c r="K25" s="61">
        <v>18</v>
      </c>
      <c r="L25" s="61">
        <v>2</v>
      </c>
      <c r="M25" s="61">
        <v>12</v>
      </c>
      <c r="N25" s="61">
        <v>0</v>
      </c>
      <c r="O25" s="28">
        <f t="shared" si="7"/>
        <v>508.93800988154646</v>
      </c>
      <c r="P25" s="34" t="str">
        <f t="shared" si="2"/>
        <v>OK</v>
      </c>
      <c r="Q25" s="17">
        <f t="shared" si="3"/>
        <v>82.383831411565467</v>
      </c>
      <c r="R25" s="19">
        <f t="shared" si="8"/>
        <v>0.36594195102909127</v>
      </c>
      <c r="S25" s="6" t="s">
        <v>38</v>
      </c>
      <c r="T25" s="17">
        <v>9.5</v>
      </c>
      <c r="U25" s="6" t="s">
        <v>36</v>
      </c>
      <c r="V25" s="6" t="s">
        <v>12</v>
      </c>
      <c r="W25" s="46">
        <v>-93.510999999999996</v>
      </c>
      <c r="X25" s="46">
        <v>-111.1289</v>
      </c>
      <c r="Y25" s="10">
        <v>300</v>
      </c>
      <c r="Z25" s="10">
        <v>500</v>
      </c>
      <c r="AA25" s="7">
        <f t="shared" si="4"/>
        <v>460</v>
      </c>
      <c r="AB25" s="28">
        <f t="shared" si="5"/>
        <v>686.5148201687731</v>
      </c>
      <c r="AC25" s="30">
        <v>18</v>
      </c>
      <c r="AD25" s="30">
        <v>2</v>
      </c>
      <c r="AE25" s="30">
        <v>14</v>
      </c>
      <c r="AF25" s="30">
        <v>2</v>
      </c>
      <c r="AG25" s="28">
        <f t="shared" si="9"/>
        <v>816.81408993334617</v>
      </c>
      <c r="AH25" s="35" t="str">
        <f t="shared" si="6"/>
        <v>OK</v>
      </c>
      <c r="AI25" s="28">
        <f t="shared" si="10"/>
        <v>-132.22096399387047</v>
      </c>
      <c r="AJ25" s="32">
        <f t="shared" si="11"/>
        <v>0.84047867027464529</v>
      </c>
    </row>
    <row r="26" spans="1:36" x14ac:dyDescent="0.25">
      <c r="A26" s="28" t="s">
        <v>38</v>
      </c>
      <c r="B26" s="17">
        <v>10</v>
      </c>
      <c r="C26" s="28" t="s">
        <v>36</v>
      </c>
      <c r="D26" s="28" t="s">
        <v>11</v>
      </c>
      <c r="E26" s="46">
        <v>-8.0540000000000003</v>
      </c>
      <c r="F26" s="46">
        <v>37.4041</v>
      </c>
      <c r="G26" s="29">
        <v>300</v>
      </c>
      <c r="H26" s="29">
        <v>500</v>
      </c>
      <c r="I26" s="28">
        <f t="shared" si="0"/>
        <v>460</v>
      </c>
      <c r="J26" s="28">
        <f t="shared" si="1"/>
        <v>231.0692266824814</v>
      </c>
      <c r="K26" s="61">
        <v>18</v>
      </c>
      <c r="L26" s="61">
        <v>2</v>
      </c>
      <c r="M26" s="61">
        <v>12</v>
      </c>
      <c r="N26" s="61">
        <v>0</v>
      </c>
      <c r="O26" s="28">
        <f t="shared" si="7"/>
        <v>508.93800988154646</v>
      </c>
      <c r="P26" s="34" t="str">
        <f t="shared" si="2"/>
        <v>OK</v>
      </c>
      <c r="Q26" s="17">
        <f t="shared" si="3"/>
        <v>82.383831411565467</v>
      </c>
      <c r="R26" s="19">
        <f t="shared" si="8"/>
        <v>0.45402234102393324</v>
      </c>
      <c r="S26" s="6" t="s">
        <v>38</v>
      </c>
      <c r="T26" s="17">
        <v>10</v>
      </c>
      <c r="U26" s="6" t="s">
        <v>36</v>
      </c>
      <c r="V26" s="6" t="s">
        <v>12</v>
      </c>
      <c r="W26" s="46">
        <v>-78.049000000000007</v>
      </c>
      <c r="X26" s="46">
        <v>-68.875200000000007</v>
      </c>
      <c r="Y26" s="10">
        <v>300</v>
      </c>
      <c r="Z26" s="10">
        <v>500</v>
      </c>
      <c r="AA26" s="7">
        <f t="shared" si="4"/>
        <v>460</v>
      </c>
      <c r="AB26" s="28">
        <f t="shared" si="5"/>
        <v>425.48648949182689</v>
      </c>
      <c r="AC26" s="30">
        <v>18</v>
      </c>
      <c r="AD26" s="30">
        <v>2</v>
      </c>
      <c r="AE26" s="30">
        <v>14</v>
      </c>
      <c r="AF26" s="30">
        <v>2</v>
      </c>
      <c r="AG26" s="28">
        <f t="shared" si="9"/>
        <v>816.81408993334617</v>
      </c>
      <c r="AH26" s="35" t="str">
        <f t="shared" si="6"/>
        <v>OK</v>
      </c>
      <c r="AI26" s="28">
        <f t="shared" si="10"/>
        <v>-132.22096399387047</v>
      </c>
      <c r="AJ26" s="32">
        <f t="shared" si="11"/>
        <v>0.52090983093416976</v>
      </c>
    </row>
    <row r="27" spans="1:36" x14ac:dyDescent="0.25">
      <c r="A27" s="28" t="s">
        <v>38</v>
      </c>
      <c r="B27" s="17">
        <v>10.5</v>
      </c>
      <c r="C27" s="28" t="s">
        <v>36</v>
      </c>
      <c r="D27" s="28" t="s">
        <v>11</v>
      </c>
      <c r="E27" s="46">
        <v>4.8620000000000001</v>
      </c>
      <c r="F27" s="46">
        <v>38.202300000000001</v>
      </c>
      <c r="G27" s="29">
        <v>300</v>
      </c>
      <c r="H27" s="29">
        <v>500</v>
      </c>
      <c r="I27" s="28">
        <f t="shared" si="0"/>
        <v>460</v>
      </c>
      <c r="J27" s="28">
        <f t="shared" si="1"/>
        <v>236.00022239519623</v>
      </c>
      <c r="K27" s="61">
        <v>18</v>
      </c>
      <c r="L27" s="61">
        <v>2</v>
      </c>
      <c r="M27" s="61">
        <v>12</v>
      </c>
      <c r="N27" s="61">
        <v>0</v>
      </c>
      <c r="O27" s="28">
        <f t="shared" si="7"/>
        <v>508.93800988154646</v>
      </c>
      <c r="P27" s="34" t="str">
        <f t="shared" si="2"/>
        <v>OK</v>
      </c>
      <c r="Q27" s="17">
        <f t="shared" si="3"/>
        <v>82.383831411565467</v>
      </c>
      <c r="R27" s="19">
        <f t="shared" si="8"/>
        <v>0.46371113537014941</v>
      </c>
      <c r="S27" s="6" t="s">
        <v>38</v>
      </c>
      <c r="T27" s="17">
        <v>10.5</v>
      </c>
      <c r="U27" s="6" t="s">
        <v>36</v>
      </c>
      <c r="V27" s="6" t="s">
        <v>12</v>
      </c>
      <c r="W27" s="46">
        <v>-65.132999999999996</v>
      </c>
      <c r="X27" s="46">
        <v>-33.079799999999999</v>
      </c>
      <c r="Y27" s="10">
        <v>300</v>
      </c>
      <c r="Z27" s="10">
        <v>500</v>
      </c>
      <c r="AA27" s="7">
        <f t="shared" si="4"/>
        <v>460</v>
      </c>
      <c r="AB27" s="28">
        <f t="shared" si="5"/>
        <v>204.35523926016529</v>
      </c>
      <c r="AC27" s="30">
        <v>18</v>
      </c>
      <c r="AD27" s="30">
        <v>2</v>
      </c>
      <c r="AE27" s="30">
        <v>14</v>
      </c>
      <c r="AF27" s="30">
        <v>0</v>
      </c>
      <c r="AG27" s="28">
        <f t="shared" si="9"/>
        <v>508.93800988154646</v>
      </c>
      <c r="AH27" s="35" t="str">
        <f t="shared" si="6"/>
        <v>OK</v>
      </c>
      <c r="AI27" s="28">
        <f t="shared" si="10"/>
        <v>-82.383831411565467</v>
      </c>
      <c r="AJ27" s="32">
        <f t="shared" si="11"/>
        <v>0.40153267253064523</v>
      </c>
    </row>
    <row r="28" spans="1:36" x14ac:dyDescent="0.25">
      <c r="A28" s="28" t="s">
        <v>38</v>
      </c>
      <c r="B28" s="17">
        <v>11</v>
      </c>
      <c r="C28" s="28" t="s">
        <v>36</v>
      </c>
      <c r="D28" s="28" t="s">
        <v>11</v>
      </c>
      <c r="E28" s="46">
        <v>17.777999999999999</v>
      </c>
      <c r="F28" s="46">
        <v>32.5426</v>
      </c>
      <c r="G28" s="29">
        <v>300</v>
      </c>
      <c r="H28" s="29">
        <v>500</v>
      </c>
      <c r="I28" s="28">
        <f t="shared" si="0"/>
        <v>460</v>
      </c>
      <c r="J28" s="28">
        <f t="shared" si="1"/>
        <v>201.03660872036272</v>
      </c>
      <c r="K28" s="61">
        <v>18</v>
      </c>
      <c r="L28" s="61">
        <v>2</v>
      </c>
      <c r="M28" s="61">
        <v>12</v>
      </c>
      <c r="N28" s="61">
        <v>0</v>
      </c>
      <c r="O28" s="28">
        <f t="shared" si="7"/>
        <v>508.93800988154646</v>
      </c>
      <c r="P28" s="34" t="str">
        <f t="shared" si="2"/>
        <v>OK</v>
      </c>
      <c r="Q28" s="17">
        <f t="shared" si="3"/>
        <v>82.383831411565467</v>
      </c>
      <c r="R28" s="19">
        <f t="shared" si="8"/>
        <v>0.39501197555897483</v>
      </c>
      <c r="S28" s="6" t="s">
        <v>38</v>
      </c>
      <c r="T28" s="17">
        <v>11</v>
      </c>
      <c r="U28" s="6" t="s">
        <v>36</v>
      </c>
      <c r="V28" s="6" t="s">
        <v>12</v>
      </c>
      <c r="W28" s="46">
        <v>-52.216000000000001</v>
      </c>
      <c r="X28" s="46">
        <v>-3.7429000000000001</v>
      </c>
      <c r="Y28" s="10">
        <v>300</v>
      </c>
      <c r="Z28" s="10">
        <v>500</v>
      </c>
      <c r="AA28" s="7">
        <f t="shared" si="4"/>
        <v>460</v>
      </c>
      <c r="AB28" s="28">
        <f t="shared" si="5"/>
        <v>23.122305002656383</v>
      </c>
      <c r="AC28" s="30">
        <v>18</v>
      </c>
      <c r="AD28" s="30">
        <v>2</v>
      </c>
      <c r="AE28" s="30">
        <v>14</v>
      </c>
      <c r="AF28" s="30">
        <v>0</v>
      </c>
      <c r="AG28" s="28">
        <f t="shared" si="9"/>
        <v>508.93800988154646</v>
      </c>
      <c r="AH28" s="35" t="str">
        <f t="shared" si="6"/>
        <v>OK</v>
      </c>
      <c r="AI28" s="28">
        <f t="shared" si="10"/>
        <v>-82.383831411565467</v>
      </c>
      <c r="AJ28" s="32">
        <f t="shared" si="11"/>
        <v>4.5432458479644743E-2</v>
      </c>
    </row>
    <row r="29" spans="1:36" x14ac:dyDescent="0.25">
      <c r="A29" s="28" t="s">
        <v>38</v>
      </c>
      <c r="B29" s="17">
        <v>11.5</v>
      </c>
      <c r="C29" s="28" t="s">
        <v>36</v>
      </c>
      <c r="D29" s="28" t="s">
        <v>11</v>
      </c>
      <c r="E29" s="46">
        <v>30.695</v>
      </c>
      <c r="F29" s="46">
        <v>33.228299999999997</v>
      </c>
      <c r="G29" s="29">
        <v>300</v>
      </c>
      <c r="H29" s="29">
        <v>500</v>
      </c>
      <c r="I29" s="28">
        <f t="shared" si="0"/>
        <v>460</v>
      </c>
      <c r="J29" s="28">
        <f t="shared" si="1"/>
        <v>205.27261944475327</v>
      </c>
      <c r="K29" s="61">
        <v>18</v>
      </c>
      <c r="L29" s="61">
        <v>2</v>
      </c>
      <c r="M29" s="61">
        <v>12</v>
      </c>
      <c r="N29" s="61">
        <v>0</v>
      </c>
      <c r="O29" s="28">
        <f t="shared" si="7"/>
        <v>508.93800988154646</v>
      </c>
      <c r="P29" s="34" t="str">
        <f t="shared" si="2"/>
        <v>OK</v>
      </c>
      <c r="Q29" s="17">
        <f t="shared" si="3"/>
        <v>82.383831411565467</v>
      </c>
      <c r="R29" s="19">
        <f t="shared" si="8"/>
        <v>0.40333521069202466</v>
      </c>
      <c r="S29" s="6" t="s">
        <v>38</v>
      </c>
      <c r="T29" s="17">
        <v>11.5</v>
      </c>
      <c r="U29" s="6" t="s">
        <v>36</v>
      </c>
      <c r="V29" s="6" t="s">
        <v>12</v>
      </c>
      <c r="W29" s="46">
        <v>-39.299999999999997</v>
      </c>
      <c r="X29" s="46">
        <v>19.113800000000001</v>
      </c>
      <c r="Y29" s="10">
        <v>300</v>
      </c>
      <c r="Z29" s="10">
        <v>500</v>
      </c>
      <c r="AA29" s="7">
        <f t="shared" si="4"/>
        <v>460</v>
      </c>
      <c r="AB29" s="28">
        <f t="shared" si="5"/>
        <v>118.07825839850746</v>
      </c>
      <c r="AC29" s="30">
        <v>18</v>
      </c>
      <c r="AD29" s="30">
        <v>2</v>
      </c>
      <c r="AE29" s="30">
        <v>14</v>
      </c>
      <c r="AF29" s="30">
        <v>0</v>
      </c>
      <c r="AG29" s="28">
        <f t="shared" si="9"/>
        <v>508.93800988154646</v>
      </c>
      <c r="AH29" s="35" t="str">
        <f t="shared" si="6"/>
        <v>OK</v>
      </c>
      <c r="AI29" s="28">
        <f t="shared" si="10"/>
        <v>-82.383831411565467</v>
      </c>
      <c r="AJ29" s="32">
        <f t="shared" si="11"/>
        <v>-0.2320091172321552</v>
      </c>
    </row>
    <row r="30" spans="1:36" x14ac:dyDescent="0.25">
      <c r="A30" s="28" t="s">
        <v>38</v>
      </c>
      <c r="B30" s="17">
        <v>12</v>
      </c>
      <c r="C30" s="28" t="s">
        <v>36</v>
      </c>
      <c r="D30" s="28" t="s">
        <v>11</v>
      </c>
      <c r="E30" s="46">
        <v>43.610999999999997</v>
      </c>
      <c r="F30" s="46">
        <v>35.558599999999998</v>
      </c>
      <c r="G30" s="29">
        <v>300</v>
      </c>
      <c r="H30" s="29">
        <v>500</v>
      </c>
      <c r="I30" s="28">
        <f t="shared" si="0"/>
        <v>460</v>
      </c>
      <c r="J30" s="28">
        <f t="shared" si="1"/>
        <v>219.66838405179334</v>
      </c>
      <c r="K30" s="61">
        <v>18</v>
      </c>
      <c r="L30" s="61">
        <v>2</v>
      </c>
      <c r="M30" s="61">
        <v>12</v>
      </c>
      <c r="N30" s="61">
        <v>0</v>
      </c>
      <c r="O30" s="28">
        <f t="shared" si="7"/>
        <v>508.93800988154646</v>
      </c>
      <c r="P30" s="34" t="str">
        <f t="shared" si="2"/>
        <v>OK</v>
      </c>
      <c r="Q30" s="17">
        <f t="shared" si="3"/>
        <v>82.383831411565467</v>
      </c>
      <c r="R30" s="19">
        <f t="shared" si="8"/>
        <v>0.4316211007759479</v>
      </c>
      <c r="S30" s="6" t="s">
        <v>38</v>
      </c>
      <c r="T30" s="17">
        <v>12</v>
      </c>
      <c r="U30" s="6" t="s">
        <v>36</v>
      </c>
      <c r="V30" s="6" t="s">
        <v>12</v>
      </c>
      <c r="W30" s="46">
        <v>-26.382999999999999</v>
      </c>
      <c r="X30" s="46">
        <v>1.8461000000000001</v>
      </c>
      <c r="Y30" s="10">
        <v>300</v>
      </c>
      <c r="Z30" s="10">
        <v>500</v>
      </c>
      <c r="AA30" s="7">
        <f t="shared" si="4"/>
        <v>460</v>
      </c>
      <c r="AB30" s="28">
        <f t="shared" si="5"/>
        <v>11.404549217292461</v>
      </c>
      <c r="AC30" s="30">
        <v>18</v>
      </c>
      <c r="AD30" s="30">
        <v>2</v>
      </c>
      <c r="AE30" s="30">
        <v>12</v>
      </c>
      <c r="AF30" s="30">
        <v>1</v>
      </c>
      <c r="AG30" s="28">
        <f t="shared" si="9"/>
        <v>622.03534541077897</v>
      </c>
      <c r="AH30" s="35" t="str">
        <f t="shared" si="6"/>
        <v>OK</v>
      </c>
      <c r="AI30" s="28">
        <f t="shared" si="10"/>
        <v>-100.69134950302445</v>
      </c>
      <c r="AJ30" s="32">
        <f t="shared" si="11"/>
        <v>-1.8334246279463649E-2</v>
      </c>
    </row>
    <row r="31" spans="1:36" x14ac:dyDescent="0.25">
      <c r="A31" s="28" t="s">
        <v>38</v>
      </c>
      <c r="B31" s="17">
        <v>12.5</v>
      </c>
      <c r="C31" s="28" t="s">
        <v>36</v>
      </c>
      <c r="D31" s="28" t="s">
        <v>11</v>
      </c>
      <c r="E31" s="46">
        <v>56.527999999999999</v>
      </c>
      <c r="F31" s="46">
        <v>45.520800000000001</v>
      </c>
      <c r="G31" s="29">
        <v>300</v>
      </c>
      <c r="H31" s="29">
        <v>500</v>
      </c>
      <c r="I31" s="28">
        <f t="shared" si="0"/>
        <v>460</v>
      </c>
      <c r="J31" s="28">
        <f t="shared" si="1"/>
        <v>281.21131250231656</v>
      </c>
      <c r="K31" s="61">
        <v>18</v>
      </c>
      <c r="L31" s="61">
        <v>2</v>
      </c>
      <c r="M31" s="61">
        <v>12</v>
      </c>
      <c r="N31" s="61">
        <v>0</v>
      </c>
      <c r="O31" s="28">
        <f t="shared" si="7"/>
        <v>508.93800988154646</v>
      </c>
      <c r="P31" s="34" t="str">
        <f t="shared" si="2"/>
        <v>OK</v>
      </c>
      <c r="Q31" s="17">
        <f t="shared" si="3"/>
        <v>82.383831411565467</v>
      </c>
      <c r="R31" s="19">
        <f t="shared" si="8"/>
        <v>0.55254531405065921</v>
      </c>
      <c r="S31" s="6" t="s">
        <v>38</v>
      </c>
      <c r="T31" s="17">
        <v>12.5</v>
      </c>
      <c r="U31" s="6" t="s">
        <v>36</v>
      </c>
      <c r="V31" s="6" t="s">
        <v>12</v>
      </c>
      <c r="W31" s="46">
        <v>-13.467000000000001</v>
      </c>
      <c r="X31" s="46">
        <v>-23.188300000000002</v>
      </c>
      <c r="Y31" s="10">
        <v>300</v>
      </c>
      <c r="Z31" s="10">
        <v>500</v>
      </c>
      <c r="AA31" s="7">
        <f t="shared" si="4"/>
        <v>460</v>
      </c>
      <c r="AB31" s="28">
        <f t="shared" si="5"/>
        <v>143.24907026452669</v>
      </c>
      <c r="AC31" s="30">
        <v>18</v>
      </c>
      <c r="AD31" s="30">
        <v>2</v>
      </c>
      <c r="AE31" s="30">
        <v>12</v>
      </c>
      <c r="AF31" s="30">
        <v>1</v>
      </c>
      <c r="AG31" s="28">
        <f t="shared" si="9"/>
        <v>622.03534541077897</v>
      </c>
      <c r="AH31" s="35" t="str">
        <f t="shared" si="6"/>
        <v>OK</v>
      </c>
      <c r="AI31" s="28">
        <f t="shared" si="10"/>
        <v>-100.69134950302445</v>
      </c>
      <c r="AJ31" s="32">
        <f t="shared" si="11"/>
        <v>0.23029088511027948</v>
      </c>
    </row>
    <row r="32" spans="1:36" x14ac:dyDescent="0.25">
      <c r="A32" s="28" t="s">
        <v>38</v>
      </c>
      <c r="B32" s="17">
        <v>13</v>
      </c>
      <c r="C32" s="28" t="s">
        <v>36</v>
      </c>
      <c r="D32" s="28" t="s">
        <v>11</v>
      </c>
      <c r="E32" s="46">
        <v>69.444000000000003</v>
      </c>
      <c r="F32" s="46">
        <v>49.025100000000002</v>
      </c>
      <c r="G32" s="29">
        <v>300</v>
      </c>
      <c r="H32" s="29">
        <v>500</v>
      </c>
      <c r="I32" s="28">
        <f t="shared" si="0"/>
        <v>460</v>
      </c>
      <c r="J32" s="28">
        <f t="shared" si="1"/>
        <v>302.85963156529147</v>
      </c>
      <c r="K32" s="61">
        <v>18</v>
      </c>
      <c r="L32" s="61">
        <v>2</v>
      </c>
      <c r="M32" s="61">
        <v>12</v>
      </c>
      <c r="N32" s="61">
        <v>0</v>
      </c>
      <c r="O32" s="28">
        <f t="shared" si="7"/>
        <v>508.93800988154646</v>
      </c>
      <c r="P32" s="34" t="str">
        <f t="shared" si="2"/>
        <v>OK</v>
      </c>
      <c r="Q32" s="17">
        <f t="shared" si="3"/>
        <v>82.383831411565467</v>
      </c>
      <c r="R32" s="19">
        <f t="shared" si="8"/>
        <v>0.59508157316797972</v>
      </c>
      <c r="S32" s="6" t="s">
        <v>38</v>
      </c>
      <c r="T32" s="17">
        <v>13</v>
      </c>
      <c r="U32" s="6" t="s">
        <v>36</v>
      </c>
      <c r="V32" s="6" t="s">
        <v>12</v>
      </c>
      <c r="W32" s="46">
        <v>-0.55100000000000005</v>
      </c>
      <c r="X32" s="46">
        <v>-54.681100000000001</v>
      </c>
      <c r="Y32" s="10">
        <v>300</v>
      </c>
      <c r="Z32" s="10">
        <v>500</v>
      </c>
      <c r="AA32" s="7">
        <f t="shared" si="4"/>
        <v>460</v>
      </c>
      <c r="AB32" s="28">
        <f t="shared" si="5"/>
        <v>337.80038795606453</v>
      </c>
      <c r="AC32" s="30">
        <v>18</v>
      </c>
      <c r="AD32" s="30">
        <v>2</v>
      </c>
      <c r="AE32" s="30">
        <v>12</v>
      </c>
      <c r="AF32" s="30">
        <v>1</v>
      </c>
      <c r="AG32" s="28">
        <f t="shared" si="9"/>
        <v>622.03534541077897</v>
      </c>
      <c r="AH32" s="35" t="str">
        <f t="shared" si="6"/>
        <v>OK</v>
      </c>
      <c r="AI32" s="28">
        <f t="shared" si="10"/>
        <v>-100.69134950302445</v>
      </c>
      <c r="AJ32" s="32">
        <f t="shared" si="11"/>
        <v>0.54305658102593557</v>
      </c>
    </row>
    <row r="33" spans="1:36" x14ac:dyDescent="0.25">
      <c r="A33" s="28" t="s">
        <v>38</v>
      </c>
      <c r="B33" s="17">
        <v>13.5</v>
      </c>
      <c r="C33" s="28" t="s">
        <v>36</v>
      </c>
      <c r="D33" s="28" t="s">
        <v>11</v>
      </c>
      <c r="E33" s="46">
        <v>82.361000000000004</v>
      </c>
      <c r="F33" s="46">
        <v>46.071199999999997</v>
      </c>
      <c r="G33" s="29">
        <v>300</v>
      </c>
      <c r="H33" s="29">
        <v>500</v>
      </c>
      <c r="I33" s="28">
        <f t="shared" si="0"/>
        <v>460</v>
      </c>
      <c r="J33" s="28">
        <f t="shared" si="1"/>
        <v>284.61148794741587</v>
      </c>
      <c r="K33" s="61">
        <v>18</v>
      </c>
      <c r="L33" s="61">
        <v>2</v>
      </c>
      <c r="M33" s="61">
        <v>12</v>
      </c>
      <c r="N33" s="61">
        <v>0</v>
      </c>
      <c r="O33" s="28">
        <f>PI()*K33^2/4*L33+PI()*M33^2/4*N33</f>
        <v>508.93800988154646</v>
      </c>
      <c r="P33" s="34" t="str">
        <f t="shared" si="2"/>
        <v>OK</v>
      </c>
      <c r="Q33" s="17">
        <f t="shared" si="3"/>
        <v>82.383831411565467</v>
      </c>
      <c r="R33" s="19">
        <f t="shared" si="8"/>
        <v>0.55922623663667437</v>
      </c>
      <c r="S33" s="6" t="s">
        <v>38</v>
      </c>
      <c r="T33" s="17">
        <v>13.5</v>
      </c>
      <c r="U33" s="6" t="s">
        <v>36</v>
      </c>
      <c r="V33" s="6" t="s">
        <v>12</v>
      </c>
      <c r="W33" s="46">
        <v>12.366</v>
      </c>
      <c r="X33" s="46">
        <v>-92.632300000000001</v>
      </c>
      <c r="Y33" s="10">
        <v>300</v>
      </c>
      <c r="Z33" s="10">
        <v>500</v>
      </c>
      <c r="AA33" s="7">
        <f t="shared" si="4"/>
        <v>460</v>
      </c>
      <c r="AB33" s="28">
        <f t="shared" si="5"/>
        <v>572.249403857321</v>
      </c>
      <c r="AC33" s="30">
        <v>18</v>
      </c>
      <c r="AD33" s="30">
        <v>2</v>
      </c>
      <c r="AE33" s="30">
        <v>12</v>
      </c>
      <c r="AF33" s="30">
        <v>1</v>
      </c>
      <c r="AG33" s="28">
        <f t="shared" si="9"/>
        <v>622.03534541077897</v>
      </c>
      <c r="AH33" s="35" t="str">
        <f t="shared" si="6"/>
        <v>OK</v>
      </c>
      <c r="AI33" s="28">
        <f t="shared" si="10"/>
        <v>-100.69134950302445</v>
      </c>
      <c r="AJ33" s="32">
        <f>X33/AI33</f>
        <v>0.91996284146750473</v>
      </c>
    </row>
    <row r="34" spans="1:3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AJ34" s="33"/>
    </row>
    <row r="35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3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6" spans="1:36" x14ac:dyDescent="0.25">
      <c r="A56" s="2" t="s">
        <v>1</v>
      </c>
      <c r="B56" s="3" t="s">
        <v>2</v>
      </c>
      <c r="C56" s="2" t="s">
        <v>34</v>
      </c>
      <c r="D56" s="2" t="s">
        <v>3</v>
      </c>
      <c r="E56" s="3" t="s">
        <v>4</v>
      </c>
      <c r="F56" s="3" t="s">
        <v>5</v>
      </c>
      <c r="G56" s="5" t="s">
        <v>20</v>
      </c>
      <c r="H56" s="5" t="s">
        <v>21</v>
      </c>
      <c r="I56" s="5" t="s">
        <v>25</v>
      </c>
      <c r="J56" s="5" t="s">
        <v>23</v>
      </c>
      <c r="K56" s="5" t="s">
        <v>26</v>
      </c>
      <c r="L56" s="5" t="s">
        <v>27</v>
      </c>
      <c r="M56" s="5" t="s">
        <v>26</v>
      </c>
      <c r="N56" s="5" t="s">
        <v>27</v>
      </c>
      <c r="O56" s="5" t="s">
        <v>23</v>
      </c>
      <c r="P56" s="18"/>
      <c r="Q56" s="5" t="s">
        <v>31</v>
      </c>
      <c r="R56" s="5" t="s">
        <v>33</v>
      </c>
      <c r="S56" s="2" t="s">
        <v>1</v>
      </c>
      <c r="T56" s="3" t="s">
        <v>2</v>
      </c>
      <c r="U56" s="2" t="s">
        <v>34</v>
      </c>
      <c r="V56" s="2" t="s">
        <v>3</v>
      </c>
      <c r="W56" s="3" t="s">
        <v>4</v>
      </c>
      <c r="X56" s="3" t="s">
        <v>5</v>
      </c>
      <c r="Y56" s="5" t="s">
        <v>20</v>
      </c>
      <c r="Z56" s="5" t="s">
        <v>21</v>
      </c>
      <c r="AA56" s="5" t="s">
        <v>25</v>
      </c>
      <c r="AB56" s="5" t="s">
        <v>23</v>
      </c>
      <c r="AC56" s="5" t="s">
        <v>26</v>
      </c>
      <c r="AD56" s="5" t="s">
        <v>27</v>
      </c>
      <c r="AE56" s="5" t="s">
        <v>26</v>
      </c>
      <c r="AF56" s="5" t="s">
        <v>27</v>
      </c>
      <c r="AG56" s="5" t="s">
        <v>23</v>
      </c>
      <c r="AI56" s="5" t="s">
        <v>31</v>
      </c>
      <c r="AJ56" s="5" t="s">
        <v>33</v>
      </c>
    </row>
    <row r="57" spans="1:36" x14ac:dyDescent="0.25">
      <c r="A57" s="4" t="s">
        <v>6</v>
      </c>
      <c r="B57" s="5" t="s">
        <v>7</v>
      </c>
      <c r="C57" s="4" t="s">
        <v>6</v>
      </c>
      <c r="D57" s="4" t="s">
        <v>6</v>
      </c>
      <c r="E57" s="5" t="s">
        <v>8</v>
      </c>
      <c r="F57" s="5" t="s">
        <v>9</v>
      </c>
      <c r="G57" s="5" t="s">
        <v>22</v>
      </c>
      <c r="H57" s="5" t="s">
        <v>22</v>
      </c>
      <c r="I57" s="5" t="s">
        <v>22</v>
      </c>
      <c r="J57" s="5" t="s">
        <v>24</v>
      </c>
      <c r="K57" s="5" t="s">
        <v>22</v>
      </c>
      <c r="L57" s="5" t="s">
        <v>28</v>
      </c>
      <c r="M57" s="5" t="s">
        <v>22</v>
      </c>
      <c r="N57" s="5" t="s">
        <v>28</v>
      </c>
      <c r="O57" s="5" t="s">
        <v>24</v>
      </c>
      <c r="P57" s="18"/>
      <c r="Q57" s="5" t="s">
        <v>9</v>
      </c>
      <c r="R57" s="5" t="s">
        <v>28</v>
      </c>
      <c r="S57" s="4" t="s">
        <v>6</v>
      </c>
      <c r="T57" s="5" t="s">
        <v>7</v>
      </c>
      <c r="U57" s="4" t="s">
        <v>6</v>
      </c>
      <c r="V57" s="4" t="s">
        <v>6</v>
      </c>
      <c r="W57" s="5" t="s">
        <v>8</v>
      </c>
      <c r="X57" s="5" t="s">
        <v>9</v>
      </c>
      <c r="Y57" s="9" t="s">
        <v>22</v>
      </c>
      <c r="Z57" s="9" t="s">
        <v>22</v>
      </c>
      <c r="AA57" s="9" t="s">
        <v>22</v>
      </c>
      <c r="AB57" s="9" t="s">
        <v>24</v>
      </c>
      <c r="AC57" s="9" t="s">
        <v>22</v>
      </c>
      <c r="AD57" s="9" t="s">
        <v>28</v>
      </c>
      <c r="AE57" s="9" t="s">
        <v>22</v>
      </c>
      <c r="AF57" s="9" t="s">
        <v>28</v>
      </c>
      <c r="AG57" s="9" t="s">
        <v>24</v>
      </c>
      <c r="AI57" s="9" t="s">
        <v>9</v>
      </c>
      <c r="AJ57" s="8" t="s">
        <v>28</v>
      </c>
    </row>
    <row r="58" spans="1:36" x14ac:dyDescent="0.25">
      <c r="A58" s="6" t="s">
        <v>39</v>
      </c>
      <c r="B58" s="17">
        <v>0</v>
      </c>
      <c r="C58" s="6" t="s">
        <v>36</v>
      </c>
      <c r="D58" s="6" t="s">
        <v>11</v>
      </c>
      <c r="E58" s="46">
        <v>-27.65</v>
      </c>
      <c r="F58" s="46">
        <v>35.056199999999997</v>
      </c>
      <c r="G58" s="29">
        <v>300</v>
      </c>
      <c r="H58" s="29">
        <v>500</v>
      </c>
      <c r="I58" s="28">
        <f t="shared" ref="I58:I87" si="12">H58-40</f>
        <v>460</v>
      </c>
      <c r="J58" s="28">
        <f>ABS(F58)*1000^2/(0.9*391*I58)</f>
        <v>216.56473553504574</v>
      </c>
      <c r="K58" s="61">
        <v>18</v>
      </c>
      <c r="L58" s="61">
        <v>2</v>
      </c>
      <c r="M58" s="61">
        <v>12</v>
      </c>
      <c r="N58" s="61">
        <v>0</v>
      </c>
      <c r="O58" s="28">
        <f>PI()*K58^2/4*L58+PI()*M58^2/4*N58</f>
        <v>508.93800988154646</v>
      </c>
      <c r="P58" s="34" t="str">
        <f t="shared" ref="P58:P87" si="13">IF(O58&gt;=J58,"OK","NO")</f>
        <v>OK</v>
      </c>
      <c r="Q58" s="17">
        <f t="shared" ref="Q58:Q87" si="14">(O58*0.9*391*I58)/1000^2</f>
        <v>82.383831411565467</v>
      </c>
      <c r="R58" s="19">
        <f>F58/Q58</f>
        <v>0.42552281678755022</v>
      </c>
      <c r="S58" s="6" t="s">
        <v>39</v>
      </c>
      <c r="T58" s="17">
        <v>0</v>
      </c>
      <c r="U58" s="6" t="s">
        <v>36</v>
      </c>
      <c r="V58" s="6" t="s">
        <v>12</v>
      </c>
      <c r="W58" s="46">
        <v>-115.69199999999999</v>
      </c>
      <c r="X58" s="46">
        <v>-97.167000000000002</v>
      </c>
      <c r="Y58" s="10">
        <v>300</v>
      </c>
      <c r="Z58" s="10">
        <v>500</v>
      </c>
      <c r="AA58" s="7">
        <f t="shared" ref="AA58:AA87" si="15">Z58-40</f>
        <v>460</v>
      </c>
      <c r="AB58" s="28">
        <f t="shared" ref="AB58:AB87" si="16">ABS(X58)*1000^2/(0.9*391*AA58)</f>
        <v>600.26316764891203</v>
      </c>
      <c r="AC58" s="30">
        <v>18</v>
      </c>
      <c r="AD58" s="30">
        <v>2</v>
      </c>
      <c r="AE58" s="30">
        <v>12</v>
      </c>
      <c r="AF58" s="30">
        <v>1</v>
      </c>
      <c r="AG58" s="28">
        <f>PI()*AC58^2/4*AD58+PI()*AE58^2/4*AF58</f>
        <v>622.03534541077897</v>
      </c>
      <c r="AH58" s="35" t="str">
        <f t="shared" ref="AH58:AH87" si="17">IF(AG58&gt;=AB58,"OK","NO")</f>
        <v>OK</v>
      </c>
      <c r="AI58" s="28">
        <f>-(AG58*0.9*391*AA58)/1000^2</f>
        <v>-100.69134950302445</v>
      </c>
      <c r="AJ58" s="32">
        <f>X58/AI58</f>
        <v>0.96499848775074171</v>
      </c>
    </row>
    <row r="59" spans="1:36" x14ac:dyDescent="0.25">
      <c r="A59" s="6" t="s">
        <v>39</v>
      </c>
      <c r="B59" s="17">
        <v>0.5</v>
      </c>
      <c r="C59" s="6" t="s">
        <v>36</v>
      </c>
      <c r="D59" s="6" t="s">
        <v>11</v>
      </c>
      <c r="E59" s="46">
        <v>-11.182</v>
      </c>
      <c r="F59" s="46">
        <v>44.764299999999999</v>
      </c>
      <c r="G59" s="29">
        <v>300</v>
      </c>
      <c r="H59" s="29">
        <v>500</v>
      </c>
      <c r="I59" s="28">
        <f t="shared" si="12"/>
        <v>460</v>
      </c>
      <c r="J59" s="28">
        <f t="shared" ref="J59:J87" si="18">ABS(F59)*1000^2/(0.9*391*I59)</f>
        <v>276.53792455860724</v>
      </c>
      <c r="K59" s="61">
        <v>18</v>
      </c>
      <c r="L59" s="61">
        <v>2</v>
      </c>
      <c r="M59" s="61">
        <v>12</v>
      </c>
      <c r="N59" s="61">
        <v>0</v>
      </c>
      <c r="O59" s="28">
        <f t="shared" ref="O59:O86" si="19">PI()*K59^2/4*L59+PI()*M59^2/4*N59</f>
        <v>508.93800988154646</v>
      </c>
      <c r="P59" s="34" t="str">
        <f t="shared" si="13"/>
        <v>OK</v>
      </c>
      <c r="Q59" s="17">
        <f t="shared" si="14"/>
        <v>82.383831411565467</v>
      </c>
      <c r="R59" s="19">
        <f t="shared" ref="R59:R87" si="20">F59/Q59</f>
        <v>0.54336268698612333</v>
      </c>
      <c r="S59" s="6" t="s">
        <v>39</v>
      </c>
      <c r="T59" s="17">
        <v>0.5</v>
      </c>
      <c r="U59" s="6" t="s">
        <v>36</v>
      </c>
      <c r="V59" s="6" t="s">
        <v>12</v>
      </c>
      <c r="W59" s="46">
        <v>-84.563999999999993</v>
      </c>
      <c r="X59" s="46">
        <v>-54.115400000000001</v>
      </c>
      <c r="Y59" s="10">
        <v>300</v>
      </c>
      <c r="Z59" s="10">
        <v>500</v>
      </c>
      <c r="AA59" s="7">
        <f t="shared" si="15"/>
        <v>460</v>
      </c>
      <c r="AB59" s="28">
        <f t="shared" si="16"/>
        <v>334.30569455255318</v>
      </c>
      <c r="AC59" s="30">
        <v>18</v>
      </c>
      <c r="AD59" s="30">
        <v>2</v>
      </c>
      <c r="AE59" s="30">
        <v>12</v>
      </c>
      <c r="AF59" s="30">
        <v>1</v>
      </c>
      <c r="AG59" s="28">
        <f t="shared" ref="AG59:AG87" si="21">PI()*AC59^2/4*AD59+PI()*AE59^2/4*AF59</f>
        <v>622.03534541077897</v>
      </c>
      <c r="AH59" s="35" t="str">
        <f t="shared" si="17"/>
        <v>OK</v>
      </c>
      <c r="AI59" s="28">
        <f t="shared" ref="AI59:AI87" si="22">-(AG59*0.9*391*AA59)/1000^2</f>
        <v>-100.69134950302445</v>
      </c>
      <c r="AJ59" s="32">
        <f t="shared" ref="AJ59:AJ86" si="23">X59/AI59</f>
        <v>0.53743842213947624</v>
      </c>
    </row>
    <row r="60" spans="1:36" x14ac:dyDescent="0.25">
      <c r="A60" s="6" t="s">
        <v>39</v>
      </c>
      <c r="B60" s="17">
        <v>1</v>
      </c>
      <c r="C60" s="6" t="s">
        <v>36</v>
      </c>
      <c r="D60" s="6" t="s">
        <v>11</v>
      </c>
      <c r="E60" s="46">
        <v>5.2869999999999999</v>
      </c>
      <c r="F60" s="46">
        <v>46.238100000000003</v>
      </c>
      <c r="G60" s="29">
        <v>300</v>
      </c>
      <c r="H60" s="29">
        <v>500</v>
      </c>
      <c r="I60" s="28">
        <f t="shared" si="12"/>
        <v>460</v>
      </c>
      <c r="J60" s="28">
        <f t="shared" si="18"/>
        <v>285.64253678787202</v>
      </c>
      <c r="K60" s="61">
        <v>18</v>
      </c>
      <c r="L60" s="61">
        <v>2</v>
      </c>
      <c r="M60" s="61">
        <v>12</v>
      </c>
      <c r="N60" s="61">
        <v>0</v>
      </c>
      <c r="O60" s="28">
        <f t="shared" si="19"/>
        <v>508.93800988154646</v>
      </c>
      <c r="P60" s="34" t="str">
        <f t="shared" si="13"/>
        <v>OK</v>
      </c>
      <c r="Q60" s="17">
        <f t="shared" si="14"/>
        <v>82.383831411565467</v>
      </c>
      <c r="R60" s="19">
        <f t="shared" si="20"/>
        <v>0.56125211959380739</v>
      </c>
      <c r="S60" s="6" t="s">
        <v>39</v>
      </c>
      <c r="T60" s="17">
        <v>1</v>
      </c>
      <c r="U60" s="6" t="s">
        <v>36</v>
      </c>
      <c r="V60" s="6" t="s">
        <v>12</v>
      </c>
      <c r="W60" s="46">
        <v>-61.401000000000003</v>
      </c>
      <c r="X60" s="46">
        <v>-19.298100000000002</v>
      </c>
      <c r="Y60" s="10">
        <v>300</v>
      </c>
      <c r="Z60" s="10">
        <v>500</v>
      </c>
      <c r="AA60" s="7">
        <f t="shared" si="15"/>
        <v>460</v>
      </c>
      <c r="AB60" s="28">
        <f t="shared" si="16"/>
        <v>119.2167982504911</v>
      </c>
      <c r="AC60" s="30">
        <v>18</v>
      </c>
      <c r="AD60" s="30">
        <v>2</v>
      </c>
      <c r="AE60" s="30">
        <v>12</v>
      </c>
      <c r="AF60" s="30">
        <v>1</v>
      </c>
      <c r="AG60" s="28">
        <f t="shared" si="21"/>
        <v>622.03534541077897</v>
      </c>
      <c r="AH60" s="35" t="str">
        <f t="shared" si="17"/>
        <v>OK</v>
      </c>
      <c r="AI60" s="28">
        <f t="shared" si="22"/>
        <v>-100.69134950302445</v>
      </c>
      <c r="AJ60" s="32">
        <f t="shared" si="23"/>
        <v>0.19165598728439276</v>
      </c>
    </row>
    <row r="61" spans="1:36" x14ac:dyDescent="0.25">
      <c r="A61" s="6" t="s">
        <v>39</v>
      </c>
      <c r="B61" s="17">
        <v>1.5</v>
      </c>
      <c r="C61" s="6" t="s">
        <v>36</v>
      </c>
      <c r="D61" s="6" t="s">
        <v>11</v>
      </c>
      <c r="E61" s="46">
        <v>21.754999999999999</v>
      </c>
      <c r="F61" s="46">
        <v>44.075200000000002</v>
      </c>
      <c r="G61" s="29">
        <v>300</v>
      </c>
      <c r="H61" s="29">
        <v>500</v>
      </c>
      <c r="I61" s="28">
        <f t="shared" si="12"/>
        <v>460</v>
      </c>
      <c r="J61" s="28">
        <f t="shared" si="18"/>
        <v>272.28090984345846</v>
      </c>
      <c r="K61" s="61">
        <v>18</v>
      </c>
      <c r="L61" s="61">
        <v>2</v>
      </c>
      <c r="M61" s="61">
        <v>12</v>
      </c>
      <c r="N61" s="61">
        <v>0</v>
      </c>
      <c r="O61" s="28">
        <f t="shared" si="19"/>
        <v>508.93800988154646</v>
      </c>
      <c r="P61" s="34" t="str">
        <f t="shared" si="13"/>
        <v>OK</v>
      </c>
      <c r="Q61" s="17">
        <f t="shared" si="14"/>
        <v>82.383831411565467</v>
      </c>
      <c r="R61" s="19">
        <f t="shared" si="20"/>
        <v>0.53499818161907553</v>
      </c>
      <c r="S61" s="6" t="s">
        <v>39</v>
      </c>
      <c r="T61" s="17">
        <v>1.5</v>
      </c>
      <c r="U61" s="6" t="s">
        <v>36</v>
      </c>
      <c r="V61" s="6" t="s">
        <v>12</v>
      </c>
      <c r="W61" s="46">
        <v>-44.932000000000002</v>
      </c>
      <c r="X61" s="46">
        <v>7.2846000000000002</v>
      </c>
      <c r="Y61" s="10">
        <v>300</v>
      </c>
      <c r="Z61" s="10">
        <v>500</v>
      </c>
      <c r="AA61" s="7">
        <f t="shared" si="15"/>
        <v>460</v>
      </c>
      <c r="AB61" s="28">
        <f t="shared" si="16"/>
        <v>45.001667963971968</v>
      </c>
      <c r="AC61" s="30">
        <v>18</v>
      </c>
      <c r="AD61" s="30">
        <v>2</v>
      </c>
      <c r="AE61" s="30">
        <v>14</v>
      </c>
      <c r="AF61" s="30">
        <v>0</v>
      </c>
      <c r="AG61" s="28">
        <f t="shared" si="21"/>
        <v>508.93800988154646</v>
      </c>
      <c r="AH61" s="35" t="str">
        <f t="shared" si="17"/>
        <v>OK</v>
      </c>
      <c r="AI61" s="28">
        <f t="shared" si="22"/>
        <v>-82.383831411565467</v>
      </c>
      <c r="AJ61" s="32">
        <f t="shared" si="23"/>
        <v>-8.8422690170942328E-2</v>
      </c>
    </row>
    <row r="62" spans="1:36" x14ac:dyDescent="0.25">
      <c r="A62" s="6" t="s">
        <v>39</v>
      </c>
      <c r="B62" s="17">
        <v>2</v>
      </c>
      <c r="C62" s="6" t="s">
        <v>36</v>
      </c>
      <c r="D62" s="6" t="s">
        <v>11</v>
      </c>
      <c r="E62" s="46">
        <v>38.223999999999997</v>
      </c>
      <c r="F62" s="46">
        <v>47.446100000000001</v>
      </c>
      <c r="G62" s="29">
        <v>300</v>
      </c>
      <c r="H62" s="29">
        <v>500</v>
      </c>
      <c r="I62" s="28">
        <f t="shared" si="12"/>
        <v>460</v>
      </c>
      <c r="J62" s="28">
        <f t="shared" si="18"/>
        <v>293.10513115138929</v>
      </c>
      <c r="K62" s="61">
        <v>18</v>
      </c>
      <c r="L62" s="61">
        <v>2</v>
      </c>
      <c r="M62" s="61">
        <v>12</v>
      </c>
      <c r="N62" s="61">
        <v>0</v>
      </c>
      <c r="O62" s="28">
        <f t="shared" si="19"/>
        <v>508.93800988154646</v>
      </c>
      <c r="P62" s="34" t="str">
        <f t="shared" si="13"/>
        <v>OK</v>
      </c>
      <c r="Q62" s="17">
        <f t="shared" si="14"/>
        <v>82.383831411565467</v>
      </c>
      <c r="R62" s="19">
        <f t="shared" si="20"/>
        <v>0.5759151909671838</v>
      </c>
      <c r="S62" s="6" t="s">
        <v>39</v>
      </c>
      <c r="T62" s="17">
        <v>2</v>
      </c>
      <c r="U62" s="6" t="s">
        <v>36</v>
      </c>
      <c r="V62" s="6" t="s">
        <v>12</v>
      </c>
      <c r="W62" s="46">
        <v>-28.463999999999999</v>
      </c>
      <c r="X62" s="46">
        <v>24.4589</v>
      </c>
      <c r="Y62" s="10">
        <v>300</v>
      </c>
      <c r="Z62" s="10">
        <v>500</v>
      </c>
      <c r="AA62" s="7">
        <f t="shared" si="15"/>
        <v>460</v>
      </c>
      <c r="AB62" s="28">
        <f t="shared" si="16"/>
        <v>151.09838516376934</v>
      </c>
      <c r="AC62" s="30">
        <v>18</v>
      </c>
      <c r="AD62" s="30">
        <v>2</v>
      </c>
      <c r="AE62" s="30">
        <v>14</v>
      </c>
      <c r="AF62" s="30">
        <v>0</v>
      </c>
      <c r="AG62" s="28">
        <f t="shared" si="21"/>
        <v>508.93800988154646</v>
      </c>
      <c r="AH62" s="35" t="str">
        <f t="shared" si="17"/>
        <v>OK</v>
      </c>
      <c r="AI62" s="28">
        <f t="shared" si="22"/>
        <v>-82.383831411565467</v>
      </c>
      <c r="AJ62" s="32">
        <f t="shared" si="23"/>
        <v>-0.296889566568111</v>
      </c>
    </row>
    <row r="63" spans="1:36" x14ac:dyDescent="0.25">
      <c r="A63" s="6" t="s">
        <v>39</v>
      </c>
      <c r="B63" s="17">
        <v>2.5</v>
      </c>
      <c r="C63" s="6" t="s">
        <v>36</v>
      </c>
      <c r="D63" s="6" t="s">
        <v>11</v>
      </c>
      <c r="E63" s="46">
        <v>54.692</v>
      </c>
      <c r="F63" s="46">
        <v>35.749899999999997</v>
      </c>
      <c r="G63" s="29">
        <v>300</v>
      </c>
      <c r="H63" s="29">
        <v>500</v>
      </c>
      <c r="I63" s="28">
        <f t="shared" si="12"/>
        <v>460</v>
      </c>
      <c r="J63" s="28">
        <f t="shared" si="18"/>
        <v>220.8501674141616</v>
      </c>
      <c r="K63" s="61">
        <v>18</v>
      </c>
      <c r="L63" s="61">
        <v>2</v>
      </c>
      <c r="M63" s="61">
        <v>12</v>
      </c>
      <c r="N63" s="61">
        <v>0</v>
      </c>
      <c r="O63" s="28">
        <f t="shared" si="19"/>
        <v>508.93800988154646</v>
      </c>
      <c r="P63" s="34" t="str">
        <f t="shared" si="13"/>
        <v>OK</v>
      </c>
      <c r="Q63" s="17">
        <f t="shared" si="14"/>
        <v>82.383831411565467</v>
      </c>
      <c r="R63" s="19">
        <f t="shared" si="20"/>
        <v>0.43394315835353636</v>
      </c>
      <c r="S63" s="6" t="s">
        <v>39</v>
      </c>
      <c r="T63" s="17">
        <v>2.5</v>
      </c>
      <c r="U63" s="6" t="s">
        <v>36</v>
      </c>
      <c r="V63" s="6" t="s">
        <v>12</v>
      </c>
      <c r="W63" s="46">
        <v>-11.994999999999999</v>
      </c>
      <c r="X63" s="46">
        <v>1.2527999999999999</v>
      </c>
      <c r="Y63" s="10">
        <v>300</v>
      </c>
      <c r="Z63" s="10">
        <v>500</v>
      </c>
      <c r="AA63" s="7">
        <f t="shared" si="15"/>
        <v>460</v>
      </c>
      <c r="AB63" s="28">
        <f t="shared" si="16"/>
        <v>7.7393528299788708</v>
      </c>
      <c r="AC63" s="30">
        <v>18</v>
      </c>
      <c r="AD63" s="30">
        <v>2</v>
      </c>
      <c r="AE63" s="30">
        <v>14</v>
      </c>
      <c r="AF63" s="30">
        <v>0</v>
      </c>
      <c r="AG63" s="28">
        <f t="shared" si="21"/>
        <v>508.93800988154646</v>
      </c>
      <c r="AH63" s="35" t="str">
        <f t="shared" si="17"/>
        <v>OK</v>
      </c>
      <c r="AI63" s="28">
        <f t="shared" si="22"/>
        <v>-82.383831411565467</v>
      </c>
      <c r="AJ63" s="32">
        <f t="shared" si="23"/>
        <v>-1.5206867397819585E-2</v>
      </c>
    </row>
    <row r="64" spans="1:36" x14ac:dyDescent="0.25">
      <c r="A64" s="6" t="s">
        <v>39</v>
      </c>
      <c r="B64" s="17">
        <v>3</v>
      </c>
      <c r="C64" s="6" t="s">
        <v>36</v>
      </c>
      <c r="D64" s="6" t="s">
        <v>11</v>
      </c>
      <c r="E64" s="46">
        <v>71.161000000000001</v>
      </c>
      <c r="F64" s="46">
        <v>37.630000000000003</v>
      </c>
      <c r="G64" s="29">
        <v>300</v>
      </c>
      <c r="H64" s="29">
        <v>500</v>
      </c>
      <c r="I64" s="28">
        <f t="shared" si="12"/>
        <v>460</v>
      </c>
      <c r="J64" s="28">
        <f t="shared" si="18"/>
        <v>232.4647565390365</v>
      </c>
      <c r="K64" s="61">
        <v>18</v>
      </c>
      <c r="L64" s="61">
        <v>2</v>
      </c>
      <c r="M64" s="61">
        <v>12</v>
      </c>
      <c r="N64" s="61">
        <v>0</v>
      </c>
      <c r="O64" s="28">
        <f t="shared" si="19"/>
        <v>508.93800988154646</v>
      </c>
      <c r="P64" s="34" t="str">
        <f t="shared" si="13"/>
        <v>OK</v>
      </c>
      <c r="Q64" s="17">
        <f t="shared" si="14"/>
        <v>82.383831411565467</v>
      </c>
      <c r="R64" s="19">
        <f t="shared" si="20"/>
        <v>0.45676438392397112</v>
      </c>
      <c r="S64" s="6" t="s">
        <v>39</v>
      </c>
      <c r="T64" s="17">
        <v>3</v>
      </c>
      <c r="U64" s="6" t="s">
        <v>36</v>
      </c>
      <c r="V64" s="6" t="s">
        <v>12</v>
      </c>
      <c r="W64" s="46">
        <v>4.4729999999999999</v>
      </c>
      <c r="X64" s="46">
        <v>-30.21</v>
      </c>
      <c r="Y64" s="10">
        <v>300</v>
      </c>
      <c r="Z64" s="10">
        <v>500</v>
      </c>
      <c r="AA64" s="7">
        <f t="shared" si="15"/>
        <v>460</v>
      </c>
      <c r="AB64" s="28">
        <f t="shared" si="16"/>
        <v>186.62663553133916</v>
      </c>
      <c r="AC64" s="30">
        <v>18</v>
      </c>
      <c r="AD64" s="30">
        <v>2</v>
      </c>
      <c r="AE64" s="30">
        <v>18</v>
      </c>
      <c r="AF64" s="30">
        <v>2</v>
      </c>
      <c r="AG64" s="28">
        <f t="shared" si="21"/>
        <v>1017.8760197630929</v>
      </c>
      <c r="AH64" s="35" t="str">
        <f t="shared" si="17"/>
        <v>OK</v>
      </c>
      <c r="AI64" s="28">
        <f t="shared" si="22"/>
        <v>-164.76766282313093</v>
      </c>
      <c r="AJ64" s="32">
        <f t="shared" si="23"/>
        <v>0.18334908368779124</v>
      </c>
    </row>
    <row r="65" spans="1:36" x14ac:dyDescent="0.25">
      <c r="A65" s="6" t="s">
        <v>39</v>
      </c>
      <c r="B65" s="17">
        <v>3.5</v>
      </c>
      <c r="C65" s="6" t="s">
        <v>36</v>
      </c>
      <c r="D65" s="6" t="s">
        <v>11</v>
      </c>
      <c r="E65" s="46">
        <v>102.209</v>
      </c>
      <c r="F65" s="46">
        <v>31.276199999999999</v>
      </c>
      <c r="G65" s="29">
        <v>300</v>
      </c>
      <c r="H65" s="29">
        <v>500</v>
      </c>
      <c r="I65" s="28">
        <f t="shared" si="12"/>
        <v>460</v>
      </c>
      <c r="J65" s="28">
        <f t="shared" si="18"/>
        <v>193.21323992735086</v>
      </c>
      <c r="K65" s="61">
        <v>18</v>
      </c>
      <c r="L65" s="61">
        <v>2</v>
      </c>
      <c r="M65" s="61">
        <v>12</v>
      </c>
      <c r="N65" s="61">
        <v>0</v>
      </c>
      <c r="O65" s="28">
        <f t="shared" si="19"/>
        <v>508.93800988154646</v>
      </c>
      <c r="P65" s="34" t="str">
        <f t="shared" si="13"/>
        <v>OK</v>
      </c>
      <c r="Q65" s="17">
        <f t="shared" si="14"/>
        <v>82.383831411565467</v>
      </c>
      <c r="R65" s="19">
        <f t="shared" si="20"/>
        <v>0.37964002722516355</v>
      </c>
      <c r="S65" s="6" t="s">
        <v>39</v>
      </c>
      <c r="T65" s="17">
        <v>3.5</v>
      </c>
      <c r="U65" s="6" t="s">
        <v>36</v>
      </c>
      <c r="V65" s="6" t="s">
        <v>12</v>
      </c>
      <c r="W65" s="46">
        <v>20.942</v>
      </c>
      <c r="X65" s="46">
        <v>-69.907200000000003</v>
      </c>
      <c r="Y65" s="10">
        <v>300</v>
      </c>
      <c r="Z65" s="10">
        <v>500</v>
      </c>
      <c r="AA65" s="7">
        <f t="shared" si="15"/>
        <v>460</v>
      </c>
      <c r="AB65" s="28">
        <f t="shared" si="16"/>
        <v>431.86181845138805</v>
      </c>
      <c r="AC65" s="30">
        <v>18</v>
      </c>
      <c r="AD65" s="30">
        <v>2</v>
      </c>
      <c r="AE65" s="30">
        <v>18</v>
      </c>
      <c r="AF65" s="30">
        <v>2</v>
      </c>
      <c r="AG65" s="28">
        <f t="shared" si="21"/>
        <v>1017.8760197630929</v>
      </c>
      <c r="AH65" s="35" t="str">
        <f t="shared" si="17"/>
        <v>OK</v>
      </c>
      <c r="AI65" s="28">
        <f t="shared" si="22"/>
        <v>-164.76766282313093</v>
      </c>
      <c r="AJ65" s="32">
        <f t="shared" si="23"/>
        <v>0.42427742678514263</v>
      </c>
    </row>
    <row r="66" spans="1:36" x14ac:dyDescent="0.25">
      <c r="A66" s="6" t="s">
        <v>39</v>
      </c>
      <c r="B66" s="17">
        <v>4</v>
      </c>
      <c r="C66" s="6" t="s">
        <v>36</v>
      </c>
      <c r="D66" s="6" t="s">
        <v>11</v>
      </c>
      <c r="E66" s="46">
        <v>133.33799999999999</v>
      </c>
      <c r="F66" s="46">
        <v>16.688199999999998</v>
      </c>
      <c r="G66" s="29">
        <v>300</v>
      </c>
      <c r="H66" s="29">
        <v>500</v>
      </c>
      <c r="I66" s="28">
        <f t="shared" si="12"/>
        <v>460</v>
      </c>
      <c r="J66" s="28">
        <f t="shared" si="18"/>
        <v>103.09376428580251</v>
      </c>
      <c r="K66" s="61">
        <v>18</v>
      </c>
      <c r="L66" s="61">
        <v>2</v>
      </c>
      <c r="M66" s="61">
        <v>12</v>
      </c>
      <c r="N66" s="61">
        <v>0</v>
      </c>
      <c r="O66" s="28">
        <f t="shared" si="19"/>
        <v>508.93800988154646</v>
      </c>
      <c r="P66" s="34" t="str">
        <f t="shared" si="13"/>
        <v>OK</v>
      </c>
      <c r="Q66" s="17">
        <f t="shared" si="14"/>
        <v>82.383831411565467</v>
      </c>
      <c r="R66" s="19">
        <f t="shared" si="20"/>
        <v>0.20256644676587865</v>
      </c>
      <c r="S66" s="6" t="s">
        <v>39</v>
      </c>
      <c r="T66" s="17">
        <v>4</v>
      </c>
      <c r="U66" s="6" t="s">
        <v>36</v>
      </c>
      <c r="V66" s="6" t="s">
        <v>12</v>
      </c>
      <c r="W66" s="46">
        <v>37.409999999999997</v>
      </c>
      <c r="X66" s="46">
        <v>-117.8387</v>
      </c>
      <c r="Y66" s="10">
        <v>300</v>
      </c>
      <c r="Z66" s="10">
        <v>500</v>
      </c>
      <c r="AA66" s="7">
        <f t="shared" si="15"/>
        <v>460</v>
      </c>
      <c r="AB66" s="28">
        <f t="shared" si="16"/>
        <v>727.96557816573375</v>
      </c>
      <c r="AC66" s="30">
        <v>18</v>
      </c>
      <c r="AD66" s="30">
        <v>2</v>
      </c>
      <c r="AE66" s="30">
        <v>18</v>
      </c>
      <c r="AF66" s="30">
        <v>2</v>
      </c>
      <c r="AG66" s="28">
        <f t="shared" si="21"/>
        <v>1017.8760197630929</v>
      </c>
      <c r="AH66" s="35" t="str">
        <f t="shared" si="17"/>
        <v>OK</v>
      </c>
      <c r="AI66" s="28">
        <f t="shared" si="22"/>
        <v>-164.76766282313093</v>
      </c>
      <c r="AJ66" s="32">
        <f t="shared" si="23"/>
        <v>0.71518098867793856</v>
      </c>
    </row>
    <row r="67" spans="1:36" x14ac:dyDescent="0.25">
      <c r="A67" s="6" t="s">
        <v>40</v>
      </c>
      <c r="B67" s="17">
        <v>4</v>
      </c>
      <c r="C67" s="6" t="s">
        <v>36</v>
      </c>
      <c r="D67" s="6" t="s">
        <v>11</v>
      </c>
      <c r="E67" s="46">
        <v>-68.983999999999995</v>
      </c>
      <c r="F67" s="46">
        <v>-19.540900000000001</v>
      </c>
      <c r="G67" s="29">
        <v>300</v>
      </c>
      <c r="H67" s="29">
        <v>500</v>
      </c>
      <c r="I67" s="28">
        <f t="shared" si="12"/>
        <v>460</v>
      </c>
      <c r="J67" s="28">
        <f t="shared" si="18"/>
        <v>120.71673029640336</v>
      </c>
      <c r="K67" s="61">
        <v>18</v>
      </c>
      <c r="L67" s="61">
        <v>2</v>
      </c>
      <c r="M67" s="61">
        <v>12</v>
      </c>
      <c r="N67" s="61">
        <v>0</v>
      </c>
      <c r="O67" s="28">
        <f t="shared" si="19"/>
        <v>508.93800988154646</v>
      </c>
      <c r="P67" s="34" t="str">
        <f t="shared" si="13"/>
        <v>OK</v>
      </c>
      <c r="Q67" s="17">
        <f t="shared" si="14"/>
        <v>82.383831411565467</v>
      </c>
      <c r="R67" s="19">
        <f t="shared" si="20"/>
        <v>-0.23719338692054018</v>
      </c>
      <c r="S67" s="6" t="s">
        <v>40</v>
      </c>
      <c r="T67" s="17">
        <v>4</v>
      </c>
      <c r="U67" s="6" t="s">
        <v>36</v>
      </c>
      <c r="V67" s="6" t="s">
        <v>12</v>
      </c>
      <c r="W67" s="46">
        <v>-171.208</v>
      </c>
      <c r="X67" s="46">
        <v>-149.02709999999999</v>
      </c>
      <c r="Y67" s="10">
        <v>300</v>
      </c>
      <c r="Z67" s="10">
        <v>500</v>
      </c>
      <c r="AA67" s="7">
        <f t="shared" si="15"/>
        <v>460</v>
      </c>
      <c r="AB67" s="28">
        <f t="shared" si="16"/>
        <v>920.63642091997463</v>
      </c>
      <c r="AC67" s="30">
        <v>18</v>
      </c>
      <c r="AD67" s="30">
        <v>2</v>
      </c>
      <c r="AE67" s="30">
        <v>18</v>
      </c>
      <c r="AF67" s="30">
        <v>2</v>
      </c>
      <c r="AG67" s="28">
        <f t="shared" si="21"/>
        <v>1017.8760197630929</v>
      </c>
      <c r="AH67" s="35" t="str">
        <f t="shared" si="17"/>
        <v>OK</v>
      </c>
      <c r="AI67" s="28">
        <f t="shared" si="22"/>
        <v>-164.76766282313093</v>
      </c>
      <c r="AJ67" s="32">
        <f t="shared" si="23"/>
        <v>0.90446813073978249</v>
      </c>
    </row>
    <row r="68" spans="1:36" x14ac:dyDescent="0.25">
      <c r="A68" s="6" t="s">
        <v>40</v>
      </c>
      <c r="B68" s="17">
        <v>4.5</v>
      </c>
      <c r="C68" s="6" t="s">
        <v>36</v>
      </c>
      <c r="D68" s="6" t="s">
        <v>11</v>
      </c>
      <c r="E68" s="46">
        <v>-52.515000000000001</v>
      </c>
      <c r="F68" s="46">
        <v>10.8339</v>
      </c>
      <c r="G68" s="29">
        <v>300</v>
      </c>
      <c r="H68" s="29">
        <v>500</v>
      </c>
      <c r="I68" s="28">
        <f t="shared" si="12"/>
        <v>460</v>
      </c>
      <c r="J68" s="28">
        <f t="shared" si="18"/>
        <v>66.927981022276569</v>
      </c>
      <c r="K68" s="61">
        <v>18</v>
      </c>
      <c r="L68" s="61">
        <v>2</v>
      </c>
      <c r="M68" s="61">
        <v>12</v>
      </c>
      <c r="N68" s="61">
        <v>0</v>
      </c>
      <c r="O68" s="28">
        <f t="shared" si="19"/>
        <v>508.93800988154646</v>
      </c>
      <c r="P68" s="34" t="str">
        <f t="shared" si="13"/>
        <v>OK</v>
      </c>
      <c r="Q68" s="17">
        <f t="shared" si="14"/>
        <v>82.383831411565467</v>
      </c>
      <c r="R68" s="19">
        <f t="shared" si="20"/>
        <v>0.13150517297352937</v>
      </c>
      <c r="S68" s="6" t="s">
        <v>40</v>
      </c>
      <c r="T68" s="17">
        <v>4.5</v>
      </c>
      <c r="U68" s="6" t="s">
        <v>36</v>
      </c>
      <c r="V68" s="6" t="s">
        <v>12</v>
      </c>
      <c r="W68" s="46">
        <v>-140.08000000000001</v>
      </c>
      <c r="X68" s="46">
        <v>-86.341399999999993</v>
      </c>
      <c r="Y68" s="10">
        <v>300</v>
      </c>
      <c r="Z68" s="10">
        <v>500</v>
      </c>
      <c r="AA68" s="7">
        <f t="shared" si="15"/>
        <v>460</v>
      </c>
      <c r="AB68" s="28">
        <f t="shared" si="16"/>
        <v>533.38646107466286</v>
      </c>
      <c r="AC68" s="30">
        <v>18</v>
      </c>
      <c r="AD68" s="30">
        <v>2</v>
      </c>
      <c r="AE68" s="30">
        <v>18</v>
      </c>
      <c r="AF68" s="30">
        <v>2</v>
      </c>
      <c r="AG68" s="28">
        <f t="shared" si="21"/>
        <v>1017.8760197630929</v>
      </c>
      <c r="AH68" s="35" t="str">
        <f t="shared" si="17"/>
        <v>OK</v>
      </c>
      <c r="AI68" s="28">
        <f t="shared" si="22"/>
        <v>-164.76766282313093</v>
      </c>
      <c r="AJ68" s="32">
        <f t="shared" si="23"/>
        <v>0.5240190855452187</v>
      </c>
    </row>
    <row r="69" spans="1:36" x14ac:dyDescent="0.25">
      <c r="A69" s="6" t="s">
        <v>40</v>
      </c>
      <c r="B69" s="17">
        <v>5</v>
      </c>
      <c r="C69" s="6" t="s">
        <v>36</v>
      </c>
      <c r="D69" s="6" t="s">
        <v>11</v>
      </c>
      <c r="E69" s="46">
        <v>-36.046999999999997</v>
      </c>
      <c r="F69" s="46">
        <v>32.974499999999999</v>
      </c>
      <c r="G69" s="29">
        <v>300</v>
      </c>
      <c r="H69" s="29">
        <v>500</v>
      </c>
      <c r="I69" s="28">
        <f t="shared" si="12"/>
        <v>460</v>
      </c>
      <c r="J69" s="28">
        <f t="shared" si="18"/>
        <v>203.70473331109378</v>
      </c>
      <c r="K69" s="61">
        <v>18</v>
      </c>
      <c r="L69" s="61">
        <v>2</v>
      </c>
      <c r="M69" s="61">
        <v>12</v>
      </c>
      <c r="N69" s="61">
        <v>0</v>
      </c>
      <c r="O69" s="28">
        <f t="shared" si="19"/>
        <v>508.93800988154646</v>
      </c>
      <c r="P69" s="34" t="str">
        <f t="shared" si="13"/>
        <v>OK</v>
      </c>
      <c r="Q69" s="17">
        <f t="shared" si="14"/>
        <v>82.383831411565467</v>
      </c>
      <c r="R69" s="19">
        <f t="shared" si="20"/>
        <v>0.40025450910712157</v>
      </c>
      <c r="S69" s="6" t="s">
        <v>40</v>
      </c>
      <c r="T69" s="17">
        <v>5</v>
      </c>
      <c r="U69" s="6" t="s">
        <v>36</v>
      </c>
      <c r="V69" s="6" t="s">
        <v>12</v>
      </c>
      <c r="W69" s="46">
        <v>-108.95099999999999</v>
      </c>
      <c r="X69" s="46">
        <v>-42.608199999999997</v>
      </c>
      <c r="Y69" s="10">
        <v>300</v>
      </c>
      <c r="Z69" s="10">
        <v>500</v>
      </c>
      <c r="AA69" s="7">
        <f t="shared" si="15"/>
        <v>460</v>
      </c>
      <c r="AB69" s="28">
        <f t="shared" si="16"/>
        <v>263.21830559571021</v>
      </c>
      <c r="AC69" s="30">
        <v>18</v>
      </c>
      <c r="AD69" s="30">
        <v>2</v>
      </c>
      <c r="AE69" s="30">
        <v>14</v>
      </c>
      <c r="AF69" s="30">
        <v>0</v>
      </c>
      <c r="AG69" s="28">
        <f t="shared" si="21"/>
        <v>508.93800988154646</v>
      </c>
      <c r="AH69" s="35" t="str">
        <f t="shared" si="17"/>
        <v>OK</v>
      </c>
      <c r="AI69" s="28">
        <f t="shared" si="22"/>
        <v>-82.383831411565467</v>
      </c>
      <c r="AJ69" s="32">
        <f t="shared" si="23"/>
        <v>0.51719128947938731</v>
      </c>
    </row>
    <row r="70" spans="1:36" x14ac:dyDescent="0.25">
      <c r="A70" s="6" t="s">
        <v>40</v>
      </c>
      <c r="B70" s="17">
        <v>5.5</v>
      </c>
      <c r="C70" s="6" t="s">
        <v>36</v>
      </c>
      <c r="D70" s="6" t="s">
        <v>11</v>
      </c>
      <c r="E70" s="46">
        <v>-19.579000000000001</v>
      </c>
      <c r="F70" s="46">
        <v>46.880899999999997</v>
      </c>
      <c r="G70" s="29">
        <v>300</v>
      </c>
      <c r="H70" s="29">
        <v>500</v>
      </c>
      <c r="I70" s="28">
        <f t="shared" si="12"/>
        <v>460</v>
      </c>
      <c r="J70" s="28">
        <f t="shared" si="18"/>
        <v>289.61352657004824</v>
      </c>
      <c r="K70" s="61">
        <v>18</v>
      </c>
      <c r="L70" s="61">
        <v>2</v>
      </c>
      <c r="M70" s="61">
        <v>14</v>
      </c>
      <c r="N70" s="61">
        <v>1</v>
      </c>
      <c r="O70" s="28">
        <f t="shared" si="19"/>
        <v>662.87604990744626</v>
      </c>
      <c r="P70" s="34" t="str">
        <f t="shared" si="13"/>
        <v>OK</v>
      </c>
      <c r="Q70" s="17">
        <f t="shared" si="14"/>
        <v>107.30239770271794</v>
      </c>
      <c r="R70" s="19">
        <f t="shared" si="20"/>
        <v>0.43690449611278831</v>
      </c>
      <c r="S70" s="6" t="s">
        <v>40</v>
      </c>
      <c r="T70" s="17">
        <v>5.5</v>
      </c>
      <c r="U70" s="6" t="s">
        <v>36</v>
      </c>
      <c r="V70" s="6" t="s">
        <v>12</v>
      </c>
      <c r="W70" s="46">
        <v>-77.822000000000003</v>
      </c>
      <c r="X70" s="46">
        <v>-7.1092000000000004</v>
      </c>
      <c r="Y70" s="10">
        <v>300</v>
      </c>
      <c r="Z70" s="10">
        <v>500</v>
      </c>
      <c r="AA70" s="7">
        <f t="shared" si="15"/>
        <v>460</v>
      </c>
      <c r="AB70" s="28">
        <f t="shared" si="16"/>
        <v>43.918109146620203</v>
      </c>
      <c r="AC70" s="30">
        <v>18</v>
      </c>
      <c r="AD70" s="30">
        <v>2</v>
      </c>
      <c r="AE70" s="30">
        <v>14</v>
      </c>
      <c r="AF70" s="30">
        <v>0</v>
      </c>
      <c r="AG70" s="28">
        <f t="shared" si="21"/>
        <v>508.93800988154646</v>
      </c>
      <c r="AH70" s="35" t="str">
        <f t="shared" si="17"/>
        <v>OK</v>
      </c>
      <c r="AI70" s="28">
        <f t="shared" si="22"/>
        <v>-82.383831411565467</v>
      </c>
      <c r="AJ70" s="32">
        <f t="shared" si="23"/>
        <v>8.6293631628814663E-2</v>
      </c>
    </row>
    <row r="71" spans="1:36" x14ac:dyDescent="0.25">
      <c r="A71" s="6" t="s">
        <v>40</v>
      </c>
      <c r="B71" s="17">
        <v>6</v>
      </c>
      <c r="C71" s="6" t="s">
        <v>36</v>
      </c>
      <c r="D71" s="6" t="s">
        <v>11</v>
      </c>
      <c r="E71" s="46">
        <v>-3.11</v>
      </c>
      <c r="F71" s="46">
        <v>68.874300000000005</v>
      </c>
      <c r="G71" s="29">
        <v>300</v>
      </c>
      <c r="H71" s="29">
        <v>500</v>
      </c>
      <c r="I71" s="28">
        <f t="shared" si="12"/>
        <v>460</v>
      </c>
      <c r="J71" s="28">
        <f t="shared" si="18"/>
        <v>425.48092961192032</v>
      </c>
      <c r="K71" s="61">
        <v>18</v>
      </c>
      <c r="L71" s="61">
        <v>2</v>
      </c>
      <c r="M71" s="61">
        <v>14</v>
      </c>
      <c r="N71" s="61">
        <v>1</v>
      </c>
      <c r="O71" s="28">
        <f t="shared" si="19"/>
        <v>662.87604990744626</v>
      </c>
      <c r="P71" s="34" t="str">
        <f t="shared" si="13"/>
        <v>OK</v>
      </c>
      <c r="Q71" s="17">
        <f t="shared" si="14"/>
        <v>107.30239770271794</v>
      </c>
      <c r="R71" s="19">
        <f t="shared" si="20"/>
        <v>0.6418710250148999</v>
      </c>
      <c r="S71" s="6" t="s">
        <v>40</v>
      </c>
      <c r="T71" s="17">
        <v>6</v>
      </c>
      <c r="U71" s="6" t="s">
        <v>36</v>
      </c>
      <c r="V71" s="6" t="s">
        <v>12</v>
      </c>
      <c r="W71" s="46">
        <v>-46.692999999999998</v>
      </c>
      <c r="X71" s="46">
        <v>20.1555</v>
      </c>
      <c r="Y71" s="10">
        <v>300</v>
      </c>
      <c r="Z71" s="10">
        <v>500</v>
      </c>
      <c r="AA71" s="7">
        <f t="shared" si="15"/>
        <v>460</v>
      </c>
      <c r="AB71" s="28">
        <f t="shared" si="16"/>
        <v>124.513510508173</v>
      </c>
      <c r="AC71" s="30">
        <v>18</v>
      </c>
      <c r="AD71" s="30">
        <v>2</v>
      </c>
      <c r="AE71" s="30">
        <v>14</v>
      </c>
      <c r="AF71" s="30">
        <v>0</v>
      </c>
      <c r="AG71" s="28">
        <f t="shared" si="21"/>
        <v>508.93800988154646</v>
      </c>
      <c r="AH71" s="35" t="str">
        <f t="shared" si="17"/>
        <v>OK</v>
      </c>
      <c r="AI71" s="28">
        <f t="shared" si="22"/>
        <v>-82.383831411565467</v>
      </c>
      <c r="AJ71" s="32">
        <f t="shared" si="23"/>
        <v>-0.24465358863086897</v>
      </c>
    </row>
    <row r="72" spans="1:36" x14ac:dyDescent="0.25">
      <c r="A72" s="6" t="s">
        <v>40</v>
      </c>
      <c r="B72" s="17">
        <v>6.5</v>
      </c>
      <c r="C72" s="6" t="s">
        <v>36</v>
      </c>
      <c r="D72" s="6" t="s">
        <v>11</v>
      </c>
      <c r="E72" s="46">
        <v>13.358000000000001</v>
      </c>
      <c r="F72" s="46">
        <v>84.438699999999997</v>
      </c>
      <c r="G72" s="29">
        <v>300</v>
      </c>
      <c r="H72" s="29">
        <v>500</v>
      </c>
      <c r="I72" s="28">
        <f t="shared" si="12"/>
        <v>460</v>
      </c>
      <c r="J72" s="28">
        <f t="shared" si="18"/>
        <v>521.63225718768911</v>
      </c>
      <c r="K72" s="61">
        <v>18</v>
      </c>
      <c r="L72" s="61">
        <v>2</v>
      </c>
      <c r="M72" s="61">
        <v>14</v>
      </c>
      <c r="N72" s="61">
        <v>1</v>
      </c>
      <c r="O72" s="28">
        <f t="shared" si="19"/>
        <v>662.87604990744626</v>
      </c>
      <c r="P72" s="34" t="str">
        <f t="shared" si="13"/>
        <v>OK</v>
      </c>
      <c r="Q72" s="17">
        <f t="shared" si="14"/>
        <v>107.30239770271794</v>
      </c>
      <c r="R72" s="19">
        <f t="shared" si="20"/>
        <v>0.78692276974031861</v>
      </c>
      <c r="S72" s="6" t="s">
        <v>40</v>
      </c>
      <c r="T72" s="17">
        <v>6.5</v>
      </c>
      <c r="U72" s="6" t="s">
        <v>36</v>
      </c>
      <c r="V72" s="6" t="s">
        <v>12</v>
      </c>
      <c r="W72" s="46">
        <v>-29.827000000000002</v>
      </c>
      <c r="X72" s="46">
        <v>39.186100000000003</v>
      </c>
      <c r="Y72" s="10">
        <v>300</v>
      </c>
      <c r="Z72" s="10">
        <v>500</v>
      </c>
      <c r="AA72" s="7">
        <f t="shared" si="15"/>
        <v>460</v>
      </c>
      <c r="AB72" s="28">
        <f t="shared" si="16"/>
        <v>242.07778889753754</v>
      </c>
      <c r="AC72" s="30">
        <v>18</v>
      </c>
      <c r="AD72" s="30">
        <v>2</v>
      </c>
      <c r="AE72" s="30">
        <v>14</v>
      </c>
      <c r="AF72" s="30">
        <v>0</v>
      </c>
      <c r="AG72" s="28">
        <f t="shared" si="21"/>
        <v>508.93800988154646</v>
      </c>
      <c r="AH72" s="35" t="str">
        <f t="shared" si="17"/>
        <v>OK</v>
      </c>
      <c r="AI72" s="28">
        <f t="shared" si="22"/>
        <v>-82.383831411565467</v>
      </c>
      <c r="AJ72" s="32">
        <f t="shared" si="23"/>
        <v>-0.47565279896048701</v>
      </c>
    </row>
    <row r="73" spans="1:36" x14ac:dyDescent="0.25">
      <c r="A73" s="6" t="s">
        <v>40</v>
      </c>
      <c r="B73" s="17">
        <v>7</v>
      </c>
      <c r="C73" s="6" t="s">
        <v>36</v>
      </c>
      <c r="D73" s="6" t="s">
        <v>11</v>
      </c>
      <c r="E73" s="46">
        <v>29.827000000000002</v>
      </c>
      <c r="F73" s="46">
        <v>84.438699999999997</v>
      </c>
      <c r="G73" s="29">
        <v>300</v>
      </c>
      <c r="H73" s="29">
        <v>500</v>
      </c>
      <c r="I73" s="28">
        <f t="shared" si="12"/>
        <v>460</v>
      </c>
      <c r="J73" s="28">
        <f t="shared" si="18"/>
        <v>521.63225718768911</v>
      </c>
      <c r="K73" s="61">
        <v>18</v>
      </c>
      <c r="L73" s="61">
        <v>2</v>
      </c>
      <c r="M73" s="61">
        <v>14</v>
      </c>
      <c r="N73" s="61">
        <v>1</v>
      </c>
      <c r="O73" s="28">
        <f t="shared" si="19"/>
        <v>662.87604990744626</v>
      </c>
      <c r="P73" s="34" t="str">
        <f t="shared" si="13"/>
        <v>OK</v>
      </c>
      <c r="Q73" s="17">
        <f t="shared" si="14"/>
        <v>107.30239770271794</v>
      </c>
      <c r="R73" s="19">
        <f t="shared" si="20"/>
        <v>0.78692276974031861</v>
      </c>
      <c r="S73" s="6" t="s">
        <v>40</v>
      </c>
      <c r="T73" s="17">
        <v>7</v>
      </c>
      <c r="U73" s="6" t="s">
        <v>36</v>
      </c>
      <c r="V73" s="6" t="s">
        <v>12</v>
      </c>
      <c r="W73" s="46">
        <v>-13.358000000000001</v>
      </c>
      <c r="X73" s="46">
        <v>39.186100000000003</v>
      </c>
      <c r="Y73" s="10">
        <v>300</v>
      </c>
      <c r="Z73" s="10">
        <v>500</v>
      </c>
      <c r="AA73" s="7">
        <f t="shared" si="15"/>
        <v>460</v>
      </c>
      <c r="AB73" s="28">
        <f t="shared" si="16"/>
        <v>242.07778889753754</v>
      </c>
      <c r="AC73" s="30">
        <v>18</v>
      </c>
      <c r="AD73" s="30">
        <v>2</v>
      </c>
      <c r="AE73" s="30">
        <v>14</v>
      </c>
      <c r="AF73" s="30">
        <v>0</v>
      </c>
      <c r="AG73" s="28">
        <f t="shared" si="21"/>
        <v>508.93800988154646</v>
      </c>
      <c r="AH73" s="35" t="str">
        <f t="shared" si="17"/>
        <v>OK</v>
      </c>
      <c r="AI73" s="28">
        <f t="shared" si="22"/>
        <v>-82.383831411565467</v>
      </c>
      <c r="AJ73" s="32">
        <f t="shared" si="23"/>
        <v>-0.47565279896048701</v>
      </c>
    </row>
    <row r="74" spans="1:36" x14ac:dyDescent="0.25">
      <c r="A74" s="6" t="s">
        <v>40</v>
      </c>
      <c r="B74" s="17">
        <v>7.5</v>
      </c>
      <c r="C74" s="6" t="s">
        <v>36</v>
      </c>
      <c r="D74" s="6" t="s">
        <v>11</v>
      </c>
      <c r="E74" s="46">
        <v>46.692999999999998</v>
      </c>
      <c r="F74" s="46">
        <v>68.874300000000005</v>
      </c>
      <c r="G74" s="29">
        <v>300</v>
      </c>
      <c r="H74" s="29">
        <v>500</v>
      </c>
      <c r="I74" s="28">
        <f t="shared" si="12"/>
        <v>460</v>
      </c>
      <c r="J74" s="28">
        <f t="shared" si="18"/>
        <v>425.48092961192032</v>
      </c>
      <c r="K74" s="61">
        <v>18</v>
      </c>
      <c r="L74" s="61">
        <v>2</v>
      </c>
      <c r="M74" s="61">
        <v>14</v>
      </c>
      <c r="N74" s="61">
        <v>1</v>
      </c>
      <c r="O74" s="28">
        <f t="shared" si="19"/>
        <v>662.87604990744626</v>
      </c>
      <c r="P74" s="34" t="str">
        <f t="shared" si="13"/>
        <v>OK</v>
      </c>
      <c r="Q74" s="17">
        <f t="shared" si="14"/>
        <v>107.30239770271794</v>
      </c>
      <c r="R74" s="19">
        <f t="shared" si="20"/>
        <v>0.6418710250148999</v>
      </c>
      <c r="S74" s="6" t="s">
        <v>40</v>
      </c>
      <c r="T74" s="17">
        <v>7.5</v>
      </c>
      <c r="U74" s="6" t="s">
        <v>36</v>
      </c>
      <c r="V74" s="6" t="s">
        <v>12</v>
      </c>
      <c r="W74" s="46">
        <v>3.11</v>
      </c>
      <c r="X74" s="46">
        <v>20.1555</v>
      </c>
      <c r="Y74" s="10">
        <v>300</v>
      </c>
      <c r="Z74" s="10">
        <v>500</v>
      </c>
      <c r="AA74" s="7">
        <f t="shared" si="15"/>
        <v>460</v>
      </c>
      <c r="AB74" s="28">
        <f t="shared" si="16"/>
        <v>124.513510508173</v>
      </c>
      <c r="AC74" s="30">
        <v>18</v>
      </c>
      <c r="AD74" s="30">
        <v>2</v>
      </c>
      <c r="AE74" s="30">
        <v>14</v>
      </c>
      <c r="AF74" s="30">
        <v>0</v>
      </c>
      <c r="AG74" s="28">
        <f t="shared" si="21"/>
        <v>508.93800988154646</v>
      </c>
      <c r="AH74" s="35" t="str">
        <f t="shared" si="17"/>
        <v>OK</v>
      </c>
      <c r="AI74" s="28">
        <f t="shared" si="22"/>
        <v>-82.383831411565467</v>
      </c>
      <c r="AJ74" s="32">
        <f t="shared" si="23"/>
        <v>-0.24465358863086897</v>
      </c>
    </row>
    <row r="75" spans="1:36" x14ac:dyDescent="0.25">
      <c r="A75" s="6" t="s">
        <v>40</v>
      </c>
      <c r="B75" s="17">
        <v>8</v>
      </c>
      <c r="C75" s="6" t="s">
        <v>36</v>
      </c>
      <c r="D75" s="6" t="s">
        <v>11</v>
      </c>
      <c r="E75" s="46">
        <v>77.822000000000003</v>
      </c>
      <c r="F75" s="46">
        <v>46.880899999999997</v>
      </c>
      <c r="G75" s="29">
        <v>300</v>
      </c>
      <c r="H75" s="29">
        <v>500</v>
      </c>
      <c r="I75" s="28">
        <f t="shared" si="12"/>
        <v>460</v>
      </c>
      <c r="J75" s="28">
        <f t="shared" si="18"/>
        <v>289.61352657004824</v>
      </c>
      <c r="K75" s="61">
        <v>18</v>
      </c>
      <c r="L75" s="61">
        <v>2</v>
      </c>
      <c r="M75" s="61">
        <v>14</v>
      </c>
      <c r="N75" s="61">
        <v>1</v>
      </c>
      <c r="O75" s="28">
        <f t="shared" si="19"/>
        <v>662.87604990744626</v>
      </c>
      <c r="P75" s="34" t="str">
        <f t="shared" si="13"/>
        <v>OK</v>
      </c>
      <c r="Q75" s="17">
        <f t="shared" si="14"/>
        <v>107.30239770271794</v>
      </c>
      <c r="R75" s="19">
        <f t="shared" si="20"/>
        <v>0.43690449611278831</v>
      </c>
      <c r="S75" s="6" t="s">
        <v>40</v>
      </c>
      <c r="T75" s="17">
        <v>8</v>
      </c>
      <c r="U75" s="6" t="s">
        <v>36</v>
      </c>
      <c r="V75" s="6" t="s">
        <v>12</v>
      </c>
      <c r="W75" s="46">
        <v>19.579000000000001</v>
      </c>
      <c r="X75" s="46">
        <v>-7.1092000000000004</v>
      </c>
      <c r="Y75" s="10">
        <v>300</v>
      </c>
      <c r="Z75" s="10">
        <v>500</v>
      </c>
      <c r="AA75" s="7">
        <f t="shared" si="15"/>
        <v>460</v>
      </c>
      <c r="AB75" s="28">
        <f t="shared" si="16"/>
        <v>43.918109146620203</v>
      </c>
      <c r="AC75" s="30">
        <v>18</v>
      </c>
      <c r="AD75" s="30">
        <v>2</v>
      </c>
      <c r="AE75" s="30">
        <v>14</v>
      </c>
      <c r="AF75" s="30">
        <v>0</v>
      </c>
      <c r="AG75" s="28">
        <f t="shared" si="21"/>
        <v>508.93800988154646</v>
      </c>
      <c r="AH75" s="35" t="str">
        <f t="shared" si="17"/>
        <v>OK</v>
      </c>
      <c r="AI75" s="28">
        <f t="shared" si="22"/>
        <v>-82.383831411565467</v>
      </c>
      <c r="AJ75" s="32">
        <f t="shared" si="23"/>
        <v>8.6293631628814663E-2</v>
      </c>
    </row>
    <row r="76" spans="1:36" x14ac:dyDescent="0.25">
      <c r="A76" s="6" t="s">
        <v>40</v>
      </c>
      <c r="B76" s="17">
        <v>8.5</v>
      </c>
      <c r="C76" s="6" t="s">
        <v>36</v>
      </c>
      <c r="D76" s="6" t="s">
        <v>11</v>
      </c>
      <c r="E76" s="46">
        <v>108.95099999999999</v>
      </c>
      <c r="F76" s="46">
        <v>32.974499999999999</v>
      </c>
      <c r="G76" s="29">
        <v>300</v>
      </c>
      <c r="H76" s="29">
        <v>500</v>
      </c>
      <c r="I76" s="28">
        <f t="shared" si="12"/>
        <v>460</v>
      </c>
      <c r="J76" s="28">
        <f t="shared" si="18"/>
        <v>203.70473331109378</v>
      </c>
      <c r="K76" s="61">
        <v>18</v>
      </c>
      <c r="L76" s="61">
        <v>2</v>
      </c>
      <c r="M76" s="61">
        <v>12</v>
      </c>
      <c r="N76" s="61">
        <v>0</v>
      </c>
      <c r="O76" s="28">
        <f t="shared" si="19"/>
        <v>508.93800988154646</v>
      </c>
      <c r="P76" s="34" t="str">
        <f t="shared" si="13"/>
        <v>OK</v>
      </c>
      <c r="Q76" s="17">
        <f t="shared" si="14"/>
        <v>82.383831411565467</v>
      </c>
      <c r="R76" s="19">
        <f t="shared" si="20"/>
        <v>0.40025450910712157</v>
      </c>
      <c r="S76" s="6" t="s">
        <v>40</v>
      </c>
      <c r="T76" s="17">
        <v>8.5</v>
      </c>
      <c r="U76" s="6" t="s">
        <v>36</v>
      </c>
      <c r="V76" s="6" t="s">
        <v>12</v>
      </c>
      <c r="W76" s="46">
        <v>36.046999999999997</v>
      </c>
      <c r="X76" s="46">
        <v>-42.608199999999997</v>
      </c>
      <c r="Y76" s="10">
        <v>300</v>
      </c>
      <c r="Z76" s="10">
        <v>500</v>
      </c>
      <c r="AA76" s="7">
        <f t="shared" si="15"/>
        <v>460</v>
      </c>
      <c r="AB76" s="28">
        <f t="shared" si="16"/>
        <v>263.21830559571021</v>
      </c>
      <c r="AC76" s="30">
        <v>18</v>
      </c>
      <c r="AD76" s="30">
        <v>2</v>
      </c>
      <c r="AE76" s="30">
        <v>18</v>
      </c>
      <c r="AF76" s="30">
        <v>2</v>
      </c>
      <c r="AG76" s="28">
        <f t="shared" si="21"/>
        <v>1017.8760197630929</v>
      </c>
      <c r="AH76" s="35" t="str">
        <f t="shared" si="17"/>
        <v>OK</v>
      </c>
      <c r="AI76" s="28">
        <f t="shared" si="22"/>
        <v>-164.76766282313093</v>
      </c>
      <c r="AJ76" s="32">
        <f t="shared" si="23"/>
        <v>0.25859564473969365</v>
      </c>
    </row>
    <row r="77" spans="1:36" x14ac:dyDescent="0.25">
      <c r="A77" s="6" t="s">
        <v>40</v>
      </c>
      <c r="B77" s="17">
        <v>9</v>
      </c>
      <c r="C77" s="6" t="s">
        <v>36</v>
      </c>
      <c r="D77" s="6" t="s">
        <v>11</v>
      </c>
      <c r="E77" s="46">
        <v>140.08000000000001</v>
      </c>
      <c r="F77" s="46">
        <v>10.8339</v>
      </c>
      <c r="G77" s="29">
        <v>300</v>
      </c>
      <c r="H77" s="29">
        <v>500</v>
      </c>
      <c r="I77" s="28">
        <f t="shared" si="12"/>
        <v>460</v>
      </c>
      <c r="J77" s="28">
        <f t="shared" si="18"/>
        <v>66.927981022276569</v>
      </c>
      <c r="K77" s="61">
        <v>18</v>
      </c>
      <c r="L77" s="61">
        <v>2</v>
      </c>
      <c r="M77" s="61">
        <v>12</v>
      </c>
      <c r="N77" s="61">
        <v>0</v>
      </c>
      <c r="O77" s="28">
        <f t="shared" si="19"/>
        <v>508.93800988154646</v>
      </c>
      <c r="P77" s="34" t="str">
        <f t="shared" si="13"/>
        <v>OK</v>
      </c>
      <c r="Q77" s="17">
        <f t="shared" si="14"/>
        <v>82.383831411565467</v>
      </c>
      <c r="R77" s="19">
        <f t="shared" si="20"/>
        <v>0.13150517297352937</v>
      </c>
      <c r="S77" s="6" t="s">
        <v>40</v>
      </c>
      <c r="T77" s="17">
        <v>9</v>
      </c>
      <c r="U77" s="6" t="s">
        <v>36</v>
      </c>
      <c r="V77" s="6" t="s">
        <v>12</v>
      </c>
      <c r="W77" s="46">
        <v>52.515000000000001</v>
      </c>
      <c r="X77" s="46">
        <v>-86.341399999999993</v>
      </c>
      <c r="Y77" s="10">
        <v>300</v>
      </c>
      <c r="Z77" s="10">
        <v>500</v>
      </c>
      <c r="AA77" s="7">
        <f t="shared" si="15"/>
        <v>460</v>
      </c>
      <c r="AB77" s="28">
        <f t="shared" si="16"/>
        <v>533.38646107466286</v>
      </c>
      <c r="AC77" s="30">
        <v>18</v>
      </c>
      <c r="AD77" s="30">
        <v>2</v>
      </c>
      <c r="AE77" s="30">
        <v>18</v>
      </c>
      <c r="AF77" s="30">
        <v>2</v>
      </c>
      <c r="AG77" s="28">
        <f t="shared" si="21"/>
        <v>1017.8760197630929</v>
      </c>
      <c r="AH77" s="35" t="str">
        <f t="shared" si="17"/>
        <v>OK</v>
      </c>
      <c r="AI77" s="28">
        <f t="shared" si="22"/>
        <v>-164.76766282313093</v>
      </c>
      <c r="AJ77" s="32">
        <f t="shared" si="23"/>
        <v>0.5240190855452187</v>
      </c>
    </row>
    <row r="78" spans="1:36" x14ac:dyDescent="0.25">
      <c r="A78" s="6" t="s">
        <v>40</v>
      </c>
      <c r="B78" s="17">
        <v>9.5</v>
      </c>
      <c r="C78" s="6" t="s">
        <v>36</v>
      </c>
      <c r="D78" s="6" t="s">
        <v>11</v>
      </c>
      <c r="E78" s="46">
        <v>171.208</v>
      </c>
      <c r="F78" s="46">
        <v>-19.540900000000001</v>
      </c>
      <c r="G78" s="29">
        <v>300</v>
      </c>
      <c r="H78" s="29">
        <v>500</v>
      </c>
      <c r="I78" s="28">
        <f t="shared" si="12"/>
        <v>460</v>
      </c>
      <c r="J78" s="28">
        <f t="shared" si="18"/>
        <v>120.71673029640336</v>
      </c>
      <c r="K78" s="61">
        <v>18</v>
      </c>
      <c r="L78" s="61">
        <v>2</v>
      </c>
      <c r="M78" s="61">
        <v>12</v>
      </c>
      <c r="N78" s="61">
        <v>0</v>
      </c>
      <c r="O78" s="28">
        <f t="shared" si="19"/>
        <v>508.93800988154646</v>
      </c>
      <c r="P78" s="34" t="str">
        <f t="shared" si="13"/>
        <v>OK</v>
      </c>
      <c r="Q78" s="17">
        <f t="shared" si="14"/>
        <v>82.383831411565467</v>
      </c>
      <c r="R78" s="19">
        <f t="shared" si="20"/>
        <v>-0.23719338692054018</v>
      </c>
      <c r="S78" s="6" t="s">
        <v>40</v>
      </c>
      <c r="T78" s="17">
        <v>9.5</v>
      </c>
      <c r="U78" s="6" t="s">
        <v>36</v>
      </c>
      <c r="V78" s="6" t="s">
        <v>12</v>
      </c>
      <c r="W78" s="46">
        <v>68.983999999999995</v>
      </c>
      <c r="X78" s="46">
        <v>-149.02709999999999</v>
      </c>
      <c r="Y78" s="10">
        <v>300</v>
      </c>
      <c r="Z78" s="10">
        <v>500</v>
      </c>
      <c r="AA78" s="7">
        <f t="shared" si="15"/>
        <v>460</v>
      </c>
      <c r="AB78" s="28">
        <f t="shared" si="16"/>
        <v>920.63642091997463</v>
      </c>
      <c r="AC78" s="30">
        <v>18</v>
      </c>
      <c r="AD78" s="30">
        <v>2</v>
      </c>
      <c r="AE78" s="30">
        <v>18</v>
      </c>
      <c r="AF78" s="30">
        <v>2</v>
      </c>
      <c r="AG78" s="28">
        <f t="shared" si="21"/>
        <v>1017.8760197630929</v>
      </c>
      <c r="AH78" s="35" t="str">
        <f t="shared" si="17"/>
        <v>OK</v>
      </c>
      <c r="AI78" s="28">
        <f t="shared" si="22"/>
        <v>-164.76766282313093</v>
      </c>
      <c r="AJ78" s="32">
        <f t="shared" si="23"/>
        <v>0.90446813073978249</v>
      </c>
    </row>
    <row r="79" spans="1:36" x14ac:dyDescent="0.25">
      <c r="A79" s="6" t="s">
        <v>41</v>
      </c>
      <c r="B79" s="17">
        <v>9.5</v>
      </c>
      <c r="C79" s="6" t="s">
        <v>36</v>
      </c>
      <c r="D79" s="6" t="s">
        <v>11</v>
      </c>
      <c r="E79" s="46">
        <v>-37.409999999999997</v>
      </c>
      <c r="F79" s="46">
        <v>16.688199999999998</v>
      </c>
      <c r="G79" s="29">
        <v>300</v>
      </c>
      <c r="H79" s="29">
        <v>500</v>
      </c>
      <c r="I79" s="28">
        <f t="shared" si="12"/>
        <v>460</v>
      </c>
      <c r="J79" s="28">
        <f t="shared" si="18"/>
        <v>103.09376428580251</v>
      </c>
      <c r="K79" s="61">
        <v>18</v>
      </c>
      <c r="L79" s="61">
        <v>2</v>
      </c>
      <c r="M79" s="61">
        <v>12</v>
      </c>
      <c r="N79" s="61">
        <v>0</v>
      </c>
      <c r="O79" s="28">
        <f t="shared" si="19"/>
        <v>508.93800988154646</v>
      </c>
      <c r="P79" s="34" t="str">
        <f t="shared" si="13"/>
        <v>OK</v>
      </c>
      <c r="Q79" s="17">
        <f t="shared" si="14"/>
        <v>82.383831411565467</v>
      </c>
      <c r="R79" s="19">
        <f t="shared" si="20"/>
        <v>0.20256644676587865</v>
      </c>
      <c r="S79" s="6" t="s">
        <v>41</v>
      </c>
      <c r="T79" s="17">
        <v>9.5</v>
      </c>
      <c r="U79" s="6" t="s">
        <v>36</v>
      </c>
      <c r="V79" s="6" t="s">
        <v>12</v>
      </c>
      <c r="W79" s="46">
        <v>-133.33799999999999</v>
      </c>
      <c r="X79" s="46">
        <v>-117.8387</v>
      </c>
      <c r="Y79" s="10">
        <v>300</v>
      </c>
      <c r="Z79" s="10">
        <v>500</v>
      </c>
      <c r="AA79" s="7">
        <f t="shared" si="15"/>
        <v>460</v>
      </c>
      <c r="AB79" s="28">
        <f t="shared" si="16"/>
        <v>727.96557816573375</v>
      </c>
      <c r="AC79" s="30">
        <v>18</v>
      </c>
      <c r="AD79" s="30">
        <v>2</v>
      </c>
      <c r="AE79" s="30">
        <v>18</v>
      </c>
      <c r="AF79" s="30">
        <v>2</v>
      </c>
      <c r="AG79" s="28">
        <f t="shared" si="21"/>
        <v>1017.8760197630929</v>
      </c>
      <c r="AH79" s="35" t="str">
        <f t="shared" si="17"/>
        <v>OK</v>
      </c>
      <c r="AI79" s="28">
        <f t="shared" si="22"/>
        <v>-164.76766282313093</v>
      </c>
      <c r="AJ79" s="32">
        <f t="shared" si="23"/>
        <v>0.71518098867793856</v>
      </c>
    </row>
    <row r="80" spans="1:36" x14ac:dyDescent="0.25">
      <c r="A80" s="6" t="s">
        <v>41</v>
      </c>
      <c r="B80" s="17">
        <v>10</v>
      </c>
      <c r="C80" s="6" t="s">
        <v>36</v>
      </c>
      <c r="D80" s="6" t="s">
        <v>11</v>
      </c>
      <c r="E80" s="46">
        <v>-20.942</v>
      </c>
      <c r="F80" s="46">
        <v>31.276199999999999</v>
      </c>
      <c r="G80" s="29">
        <v>300</v>
      </c>
      <c r="H80" s="29">
        <v>500</v>
      </c>
      <c r="I80" s="28">
        <f t="shared" si="12"/>
        <v>460</v>
      </c>
      <c r="J80" s="28">
        <f t="shared" si="18"/>
        <v>193.21323992735086</v>
      </c>
      <c r="K80" s="61">
        <v>18</v>
      </c>
      <c r="L80" s="61">
        <v>2</v>
      </c>
      <c r="M80" s="61">
        <v>12</v>
      </c>
      <c r="N80" s="61">
        <v>0</v>
      </c>
      <c r="O80" s="28">
        <f t="shared" si="19"/>
        <v>508.93800988154646</v>
      </c>
      <c r="P80" s="34" t="str">
        <f t="shared" si="13"/>
        <v>OK</v>
      </c>
      <c r="Q80" s="17">
        <f t="shared" si="14"/>
        <v>82.383831411565467</v>
      </c>
      <c r="R80" s="19">
        <f t="shared" si="20"/>
        <v>0.37964002722516355</v>
      </c>
      <c r="S80" s="6" t="s">
        <v>41</v>
      </c>
      <c r="T80" s="17">
        <v>10</v>
      </c>
      <c r="U80" s="6" t="s">
        <v>36</v>
      </c>
      <c r="V80" s="6" t="s">
        <v>12</v>
      </c>
      <c r="W80" s="46">
        <v>-102.209</v>
      </c>
      <c r="X80" s="46">
        <v>-69.907200000000003</v>
      </c>
      <c r="Y80" s="10">
        <v>300</v>
      </c>
      <c r="Z80" s="10">
        <v>500</v>
      </c>
      <c r="AA80" s="7">
        <f t="shared" si="15"/>
        <v>460</v>
      </c>
      <c r="AB80" s="28">
        <f t="shared" si="16"/>
        <v>431.86181845138805</v>
      </c>
      <c r="AC80" s="30">
        <v>18</v>
      </c>
      <c r="AD80" s="30">
        <v>2</v>
      </c>
      <c r="AE80" s="30">
        <v>18</v>
      </c>
      <c r="AF80" s="30">
        <v>2</v>
      </c>
      <c r="AG80" s="28">
        <f t="shared" si="21"/>
        <v>1017.8760197630929</v>
      </c>
      <c r="AH80" s="35" t="str">
        <f t="shared" si="17"/>
        <v>OK</v>
      </c>
      <c r="AI80" s="28">
        <f t="shared" si="22"/>
        <v>-164.76766282313093</v>
      </c>
      <c r="AJ80" s="32">
        <f t="shared" si="23"/>
        <v>0.42427742678514263</v>
      </c>
    </row>
    <row r="81" spans="1:36" x14ac:dyDescent="0.25">
      <c r="A81" s="6" t="s">
        <v>41</v>
      </c>
      <c r="B81" s="17">
        <v>10.5</v>
      </c>
      <c r="C81" s="6" t="s">
        <v>36</v>
      </c>
      <c r="D81" s="6" t="s">
        <v>11</v>
      </c>
      <c r="E81" s="46">
        <v>-4.4729999999999999</v>
      </c>
      <c r="F81" s="46">
        <v>37.630000000000003</v>
      </c>
      <c r="G81" s="29">
        <v>300</v>
      </c>
      <c r="H81" s="29">
        <v>500</v>
      </c>
      <c r="I81" s="28">
        <f t="shared" si="12"/>
        <v>460</v>
      </c>
      <c r="J81" s="28">
        <f t="shared" si="18"/>
        <v>232.4647565390365</v>
      </c>
      <c r="K81" s="61">
        <v>18</v>
      </c>
      <c r="L81" s="61">
        <v>2</v>
      </c>
      <c r="M81" s="61">
        <v>12</v>
      </c>
      <c r="N81" s="61">
        <v>0</v>
      </c>
      <c r="O81" s="28">
        <f t="shared" si="19"/>
        <v>508.93800988154646</v>
      </c>
      <c r="P81" s="34" t="str">
        <f t="shared" si="13"/>
        <v>OK</v>
      </c>
      <c r="Q81" s="17">
        <f t="shared" si="14"/>
        <v>82.383831411565467</v>
      </c>
      <c r="R81" s="19">
        <f t="shared" si="20"/>
        <v>0.45676438392397112</v>
      </c>
      <c r="S81" s="6" t="s">
        <v>41</v>
      </c>
      <c r="T81" s="17">
        <v>10.5</v>
      </c>
      <c r="U81" s="6" t="s">
        <v>36</v>
      </c>
      <c r="V81" s="6" t="s">
        <v>12</v>
      </c>
      <c r="W81" s="46">
        <v>-71.161000000000001</v>
      </c>
      <c r="X81" s="46">
        <v>-30.21</v>
      </c>
      <c r="Y81" s="10">
        <v>300</v>
      </c>
      <c r="Z81" s="10">
        <v>500</v>
      </c>
      <c r="AA81" s="7">
        <f t="shared" si="15"/>
        <v>460</v>
      </c>
      <c r="AB81" s="28">
        <f t="shared" si="16"/>
        <v>186.62663553133916</v>
      </c>
      <c r="AC81" s="30">
        <v>18</v>
      </c>
      <c r="AD81" s="30">
        <v>2</v>
      </c>
      <c r="AE81" s="30">
        <v>14</v>
      </c>
      <c r="AF81" s="30">
        <v>0</v>
      </c>
      <c r="AG81" s="28">
        <f t="shared" si="21"/>
        <v>508.93800988154646</v>
      </c>
      <c r="AH81" s="35" t="str">
        <f t="shared" si="17"/>
        <v>OK</v>
      </c>
      <c r="AI81" s="28">
        <f t="shared" si="22"/>
        <v>-82.383831411565467</v>
      </c>
      <c r="AJ81" s="32">
        <f t="shared" si="23"/>
        <v>0.36669816737558247</v>
      </c>
    </row>
    <row r="82" spans="1:36" x14ac:dyDescent="0.25">
      <c r="A82" s="6" t="s">
        <v>41</v>
      </c>
      <c r="B82" s="17">
        <v>11</v>
      </c>
      <c r="C82" s="6" t="s">
        <v>36</v>
      </c>
      <c r="D82" s="6" t="s">
        <v>11</v>
      </c>
      <c r="E82" s="46">
        <v>11.994999999999999</v>
      </c>
      <c r="F82" s="46">
        <v>35.749899999999997</v>
      </c>
      <c r="G82" s="29">
        <v>300</v>
      </c>
      <c r="H82" s="29">
        <v>500</v>
      </c>
      <c r="I82" s="28">
        <f t="shared" si="12"/>
        <v>460</v>
      </c>
      <c r="J82" s="28">
        <f t="shared" si="18"/>
        <v>220.8501674141616</v>
      </c>
      <c r="K82" s="61">
        <v>18</v>
      </c>
      <c r="L82" s="61">
        <v>2</v>
      </c>
      <c r="M82" s="61">
        <v>12</v>
      </c>
      <c r="N82" s="61">
        <v>0</v>
      </c>
      <c r="O82" s="28">
        <f t="shared" si="19"/>
        <v>508.93800988154646</v>
      </c>
      <c r="P82" s="34" t="str">
        <f t="shared" si="13"/>
        <v>OK</v>
      </c>
      <c r="Q82" s="17">
        <f t="shared" si="14"/>
        <v>82.383831411565467</v>
      </c>
      <c r="R82" s="19">
        <f t="shared" si="20"/>
        <v>0.43394315835353636</v>
      </c>
      <c r="S82" s="6" t="s">
        <v>41</v>
      </c>
      <c r="T82" s="17">
        <v>11</v>
      </c>
      <c r="U82" s="6" t="s">
        <v>36</v>
      </c>
      <c r="V82" s="6" t="s">
        <v>12</v>
      </c>
      <c r="W82" s="46">
        <v>-54.692</v>
      </c>
      <c r="X82" s="46">
        <v>1.2527999999999999</v>
      </c>
      <c r="Y82" s="10">
        <v>300</v>
      </c>
      <c r="Z82" s="10">
        <v>500</v>
      </c>
      <c r="AA82" s="7">
        <f t="shared" si="15"/>
        <v>460</v>
      </c>
      <c r="AB82" s="28">
        <f t="shared" si="16"/>
        <v>7.7393528299788708</v>
      </c>
      <c r="AC82" s="30">
        <v>18</v>
      </c>
      <c r="AD82" s="30">
        <v>2</v>
      </c>
      <c r="AE82" s="30">
        <v>14</v>
      </c>
      <c r="AF82" s="30">
        <v>0</v>
      </c>
      <c r="AG82" s="28">
        <f t="shared" si="21"/>
        <v>508.93800988154646</v>
      </c>
      <c r="AH82" s="35" t="str">
        <f t="shared" si="17"/>
        <v>OK</v>
      </c>
      <c r="AI82" s="28">
        <f t="shared" si="22"/>
        <v>-82.383831411565467</v>
      </c>
      <c r="AJ82" s="32">
        <f t="shared" si="23"/>
        <v>-1.5206867397819585E-2</v>
      </c>
    </row>
    <row r="83" spans="1:36" x14ac:dyDescent="0.25">
      <c r="A83" s="6" t="s">
        <v>41</v>
      </c>
      <c r="B83" s="17">
        <v>11.5</v>
      </c>
      <c r="C83" s="6" t="s">
        <v>36</v>
      </c>
      <c r="D83" s="6" t="s">
        <v>11</v>
      </c>
      <c r="E83" s="46">
        <v>28.463999999999999</v>
      </c>
      <c r="F83" s="46">
        <v>47.446100000000001</v>
      </c>
      <c r="G83" s="29">
        <v>300</v>
      </c>
      <c r="H83" s="29">
        <v>500</v>
      </c>
      <c r="I83" s="28">
        <f t="shared" si="12"/>
        <v>460</v>
      </c>
      <c r="J83" s="28">
        <f t="shared" si="18"/>
        <v>293.10513115138929</v>
      </c>
      <c r="K83" s="61">
        <v>18</v>
      </c>
      <c r="L83" s="61">
        <v>2</v>
      </c>
      <c r="M83" s="61">
        <v>12</v>
      </c>
      <c r="N83" s="61">
        <v>0</v>
      </c>
      <c r="O83" s="28">
        <f t="shared" si="19"/>
        <v>508.93800988154646</v>
      </c>
      <c r="P83" s="34" t="str">
        <f t="shared" si="13"/>
        <v>OK</v>
      </c>
      <c r="Q83" s="17">
        <f t="shared" si="14"/>
        <v>82.383831411565467</v>
      </c>
      <c r="R83" s="19">
        <f t="shared" si="20"/>
        <v>0.5759151909671838</v>
      </c>
      <c r="S83" s="6" t="s">
        <v>41</v>
      </c>
      <c r="T83" s="17">
        <v>11.5</v>
      </c>
      <c r="U83" s="6" t="s">
        <v>36</v>
      </c>
      <c r="V83" s="6" t="s">
        <v>12</v>
      </c>
      <c r="W83" s="46">
        <v>-38.223999999999997</v>
      </c>
      <c r="X83" s="46">
        <v>24.4589</v>
      </c>
      <c r="Y83" s="10">
        <v>300</v>
      </c>
      <c r="Z83" s="10">
        <v>500</v>
      </c>
      <c r="AA83" s="7">
        <f t="shared" si="15"/>
        <v>460</v>
      </c>
      <c r="AB83" s="28">
        <f t="shared" si="16"/>
        <v>151.09838516376934</v>
      </c>
      <c r="AC83" s="30">
        <v>18</v>
      </c>
      <c r="AD83" s="30">
        <v>2</v>
      </c>
      <c r="AE83" s="30">
        <v>14</v>
      </c>
      <c r="AF83" s="30">
        <v>0</v>
      </c>
      <c r="AG83" s="28">
        <f t="shared" si="21"/>
        <v>508.93800988154646</v>
      </c>
      <c r="AH83" s="35" t="str">
        <f t="shared" si="17"/>
        <v>OK</v>
      </c>
      <c r="AI83" s="28">
        <f t="shared" si="22"/>
        <v>-82.383831411565467</v>
      </c>
      <c r="AJ83" s="32">
        <f t="shared" si="23"/>
        <v>-0.296889566568111</v>
      </c>
    </row>
    <row r="84" spans="1:36" x14ac:dyDescent="0.25">
      <c r="A84" s="6" t="s">
        <v>41</v>
      </c>
      <c r="B84" s="17">
        <v>12</v>
      </c>
      <c r="C84" s="6" t="s">
        <v>36</v>
      </c>
      <c r="D84" s="6" t="s">
        <v>11</v>
      </c>
      <c r="E84" s="46">
        <v>44.932000000000002</v>
      </c>
      <c r="F84" s="46">
        <v>44.075200000000002</v>
      </c>
      <c r="G84" s="29">
        <v>300</v>
      </c>
      <c r="H84" s="29">
        <v>500</v>
      </c>
      <c r="I84" s="28">
        <f t="shared" si="12"/>
        <v>460</v>
      </c>
      <c r="J84" s="28">
        <f t="shared" si="18"/>
        <v>272.28090984345846</v>
      </c>
      <c r="K84" s="61">
        <v>18</v>
      </c>
      <c r="L84" s="61">
        <v>2</v>
      </c>
      <c r="M84" s="61">
        <v>12</v>
      </c>
      <c r="N84" s="61">
        <v>0</v>
      </c>
      <c r="O84" s="28">
        <f t="shared" si="19"/>
        <v>508.93800988154646</v>
      </c>
      <c r="P84" s="34" t="str">
        <f t="shared" si="13"/>
        <v>OK</v>
      </c>
      <c r="Q84" s="17">
        <f t="shared" si="14"/>
        <v>82.383831411565467</v>
      </c>
      <c r="R84" s="19">
        <f t="shared" si="20"/>
        <v>0.53499818161907553</v>
      </c>
      <c r="S84" s="6" t="s">
        <v>41</v>
      </c>
      <c r="T84" s="17">
        <v>12</v>
      </c>
      <c r="U84" s="6" t="s">
        <v>36</v>
      </c>
      <c r="V84" s="6" t="s">
        <v>12</v>
      </c>
      <c r="W84" s="46">
        <v>-21.754999999999999</v>
      </c>
      <c r="X84" s="46">
        <v>7.2846000000000002</v>
      </c>
      <c r="Y84" s="10">
        <v>300</v>
      </c>
      <c r="Z84" s="10">
        <v>500</v>
      </c>
      <c r="AA84" s="7">
        <f t="shared" si="15"/>
        <v>460</v>
      </c>
      <c r="AB84" s="28">
        <f t="shared" si="16"/>
        <v>45.001667963971968</v>
      </c>
      <c r="AC84" s="30">
        <v>18</v>
      </c>
      <c r="AD84" s="30">
        <v>2</v>
      </c>
      <c r="AE84" s="30">
        <v>12</v>
      </c>
      <c r="AF84" s="30">
        <v>1</v>
      </c>
      <c r="AG84" s="28">
        <f t="shared" si="21"/>
        <v>622.03534541077897</v>
      </c>
      <c r="AH84" s="35" t="str">
        <f t="shared" si="17"/>
        <v>OK</v>
      </c>
      <c r="AI84" s="28">
        <f t="shared" si="22"/>
        <v>-100.69134950302445</v>
      </c>
      <c r="AJ84" s="32">
        <f t="shared" si="23"/>
        <v>-7.2345837412589181E-2</v>
      </c>
    </row>
    <row r="85" spans="1:36" x14ac:dyDescent="0.25">
      <c r="A85" s="6" t="s">
        <v>41</v>
      </c>
      <c r="B85" s="17">
        <v>12.5</v>
      </c>
      <c r="C85" s="6" t="s">
        <v>36</v>
      </c>
      <c r="D85" s="6" t="s">
        <v>11</v>
      </c>
      <c r="E85" s="46">
        <v>61.401000000000003</v>
      </c>
      <c r="F85" s="46">
        <v>46.238100000000003</v>
      </c>
      <c r="G85" s="29">
        <v>300</v>
      </c>
      <c r="H85" s="29">
        <v>500</v>
      </c>
      <c r="I85" s="28">
        <f t="shared" si="12"/>
        <v>460</v>
      </c>
      <c r="J85" s="28">
        <f t="shared" si="18"/>
        <v>285.64253678787202</v>
      </c>
      <c r="K85" s="61">
        <v>18</v>
      </c>
      <c r="L85" s="61">
        <v>2</v>
      </c>
      <c r="M85" s="61">
        <v>12</v>
      </c>
      <c r="N85" s="61">
        <v>0</v>
      </c>
      <c r="O85" s="28">
        <f t="shared" si="19"/>
        <v>508.93800988154646</v>
      </c>
      <c r="P85" s="34" t="str">
        <f t="shared" si="13"/>
        <v>OK</v>
      </c>
      <c r="Q85" s="17">
        <f t="shared" si="14"/>
        <v>82.383831411565467</v>
      </c>
      <c r="R85" s="19">
        <f t="shared" si="20"/>
        <v>0.56125211959380739</v>
      </c>
      <c r="S85" s="6" t="s">
        <v>41</v>
      </c>
      <c r="T85" s="17">
        <v>12.5</v>
      </c>
      <c r="U85" s="6" t="s">
        <v>36</v>
      </c>
      <c r="V85" s="6" t="s">
        <v>12</v>
      </c>
      <c r="W85" s="46">
        <v>-5.2869999999999999</v>
      </c>
      <c r="X85" s="46">
        <v>-19.298100000000002</v>
      </c>
      <c r="Y85" s="10">
        <v>300</v>
      </c>
      <c r="Z85" s="10">
        <v>500</v>
      </c>
      <c r="AA85" s="7">
        <f t="shared" si="15"/>
        <v>460</v>
      </c>
      <c r="AB85" s="28">
        <f t="shared" si="16"/>
        <v>119.2167982504911</v>
      </c>
      <c r="AC85" s="30">
        <v>18</v>
      </c>
      <c r="AD85" s="30">
        <v>2</v>
      </c>
      <c r="AE85" s="30">
        <v>12</v>
      </c>
      <c r="AF85" s="30">
        <v>1</v>
      </c>
      <c r="AG85" s="28">
        <f t="shared" si="21"/>
        <v>622.03534541077897</v>
      </c>
      <c r="AH85" s="35" t="str">
        <f t="shared" si="17"/>
        <v>OK</v>
      </c>
      <c r="AI85" s="28">
        <f t="shared" si="22"/>
        <v>-100.69134950302445</v>
      </c>
      <c r="AJ85" s="32">
        <f t="shared" si="23"/>
        <v>0.19165598728439276</v>
      </c>
    </row>
    <row r="86" spans="1:36" x14ac:dyDescent="0.25">
      <c r="A86" s="6" t="s">
        <v>41</v>
      </c>
      <c r="B86" s="17">
        <v>13</v>
      </c>
      <c r="C86" s="6" t="s">
        <v>36</v>
      </c>
      <c r="D86" s="6" t="s">
        <v>11</v>
      </c>
      <c r="E86" s="46">
        <v>84.563999999999993</v>
      </c>
      <c r="F86" s="46">
        <v>44.764299999999999</v>
      </c>
      <c r="G86" s="29">
        <v>300</v>
      </c>
      <c r="H86" s="29">
        <v>500</v>
      </c>
      <c r="I86" s="28">
        <f t="shared" si="12"/>
        <v>460</v>
      </c>
      <c r="J86" s="28">
        <f t="shared" si="18"/>
        <v>276.53792455860724</v>
      </c>
      <c r="K86" s="61">
        <v>18</v>
      </c>
      <c r="L86" s="61">
        <v>2</v>
      </c>
      <c r="M86" s="61">
        <v>12</v>
      </c>
      <c r="N86" s="61">
        <v>0</v>
      </c>
      <c r="O86" s="28">
        <f t="shared" si="19"/>
        <v>508.93800988154646</v>
      </c>
      <c r="P86" s="34" t="str">
        <f t="shared" si="13"/>
        <v>OK</v>
      </c>
      <c r="Q86" s="17">
        <f t="shared" si="14"/>
        <v>82.383831411565467</v>
      </c>
      <c r="R86" s="19">
        <f t="shared" si="20"/>
        <v>0.54336268698612333</v>
      </c>
      <c r="S86" s="6" t="s">
        <v>41</v>
      </c>
      <c r="T86" s="17">
        <v>13</v>
      </c>
      <c r="U86" s="6" t="s">
        <v>36</v>
      </c>
      <c r="V86" s="6" t="s">
        <v>12</v>
      </c>
      <c r="W86" s="46">
        <v>11.182</v>
      </c>
      <c r="X86" s="46">
        <v>-54.115400000000001</v>
      </c>
      <c r="Y86" s="10">
        <v>300</v>
      </c>
      <c r="Z86" s="10">
        <v>500</v>
      </c>
      <c r="AA86" s="7">
        <f t="shared" si="15"/>
        <v>460</v>
      </c>
      <c r="AB86" s="28">
        <f t="shared" si="16"/>
        <v>334.30569455255318</v>
      </c>
      <c r="AC86" s="30">
        <v>18</v>
      </c>
      <c r="AD86" s="30">
        <v>2</v>
      </c>
      <c r="AE86" s="30">
        <v>12</v>
      </c>
      <c r="AF86" s="30">
        <v>1</v>
      </c>
      <c r="AG86" s="28">
        <f t="shared" si="21"/>
        <v>622.03534541077897</v>
      </c>
      <c r="AH86" s="35" t="str">
        <f t="shared" si="17"/>
        <v>OK</v>
      </c>
      <c r="AI86" s="28">
        <f t="shared" si="22"/>
        <v>-100.69134950302445</v>
      </c>
      <c r="AJ86" s="32">
        <f t="shared" si="23"/>
        <v>0.53743842213947624</v>
      </c>
    </row>
    <row r="87" spans="1:36" x14ac:dyDescent="0.25">
      <c r="A87" s="6" t="s">
        <v>41</v>
      </c>
      <c r="B87" s="17">
        <v>13.5</v>
      </c>
      <c r="C87" s="6" t="s">
        <v>36</v>
      </c>
      <c r="D87" s="6" t="s">
        <v>11</v>
      </c>
      <c r="E87" s="46">
        <v>115.69199999999999</v>
      </c>
      <c r="F87" s="46">
        <v>35.056199999999997</v>
      </c>
      <c r="G87" s="29">
        <v>300</v>
      </c>
      <c r="H87" s="29">
        <v>500</v>
      </c>
      <c r="I87" s="28">
        <f t="shared" si="12"/>
        <v>460</v>
      </c>
      <c r="J87" s="28">
        <f t="shared" si="18"/>
        <v>216.56473553504574</v>
      </c>
      <c r="K87" s="61">
        <v>18</v>
      </c>
      <c r="L87" s="61">
        <v>2</v>
      </c>
      <c r="M87" s="61">
        <v>12</v>
      </c>
      <c r="N87" s="61">
        <v>0</v>
      </c>
      <c r="O87" s="28">
        <f>PI()*K87^2/4*L87+PI()*M87^2/4*N87</f>
        <v>508.93800988154646</v>
      </c>
      <c r="P87" s="34" t="str">
        <f t="shared" si="13"/>
        <v>OK</v>
      </c>
      <c r="Q87" s="17">
        <f t="shared" si="14"/>
        <v>82.383831411565467</v>
      </c>
      <c r="R87" s="19">
        <f t="shared" si="20"/>
        <v>0.42552281678755022</v>
      </c>
      <c r="S87" s="6" t="s">
        <v>41</v>
      </c>
      <c r="T87" s="17">
        <v>13.5</v>
      </c>
      <c r="U87" s="6" t="s">
        <v>36</v>
      </c>
      <c r="V87" s="6" t="s">
        <v>12</v>
      </c>
      <c r="W87" s="46">
        <v>27.65</v>
      </c>
      <c r="X87" s="46">
        <v>-97.167000000000002</v>
      </c>
      <c r="Y87" s="10">
        <v>300</v>
      </c>
      <c r="Z87" s="10">
        <v>500</v>
      </c>
      <c r="AA87" s="7">
        <f t="shared" si="15"/>
        <v>460</v>
      </c>
      <c r="AB87" s="28">
        <f t="shared" si="16"/>
        <v>600.26316764891203</v>
      </c>
      <c r="AC87" s="30">
        <v>18</v>
      </c>
      <c r="AD87" s="30">
        <v>2</v>
      </c>
      <c r="AE87" s="30">
        <v>12</v>
      </c>
      <c r="AF87" s="30">
        <v>1</v>
      </c>
      <c r="AG87" s="28">
        <f t="shared" si="21"/>
        <v>622.03534541077897</v>
      </c>
      <c r="AH87" s="35" t="str">
        <f t="shared" si="17"/>
        <v>OK</v>
      </c>
      <c r="AI87" s="28">
        <f t="shared" si="22"/>
        <v>-100.69134950302445</v>
      </c>
      <c r="AJ87" s="32">
        <f>X87/AI87</f>
        <v>0.96499848775074171</v>
      </c>
    </row>
    <row r="88" spans="1:3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3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112" spans="1:36" x14ac:dyDescent="0.25">
      <c r="A112" s="2" t="s">
        <v>1</v>
      </c>
      <c r="B112" s="3" t="s">
        <v>2</v>
      </c>
      <c r="C112" s="2" t="s">
        <v>34</v>
      </c>
      <c r="D112" s="2" t="s">
        <v>3</v>
      </c>
      <c r="E112" s="3" t="s">
        <v>4</v>
      </c>
      <c r="F112" s="3" t="s">
        <v>5</v>
      </c>
      <c r="G112" s="5" t="s">
        <v>20</v>
      </c>
      <c r="H112" s="5" t="s">
        <v>21</v>
      </c>
      <c r="I112" s="5" t="s">
        <v>25</v>
      </c>
      <c r="J112" s="5" t="s">
        <v>23</v>
      </c>
      <c r="K112" s="5" t="s">
        <v>26</v>
      </c>
      <c r="L112" s="5" t="s">
        <v>27</v>
      </c>
      <c r="M112" s="5" t="s">
        <v>26</v>
      </c>
      <c r="N112" s="5" t="s">
        <v>27</v>
      </c>
      <c r="O112" s="5" t="s">
        <v>23</v>
      </c>
      <c r="P112" s="18"/>
      <c r="Q112" s="5" t="s">
        <v>31</v>
      </c>
      <c r="R112" s="5" t="s">
        <v>33</v>
      </c>
      <c r="S112" s="2" t="s">
        <v>1</v>
      </c>
      <c r="T112" s="3" t="s">
        <v>2</v>
      </c>
      <c r="U112" s="2" t="s">
        <v>34</v>
      </c>
      <c r="V112" s="2" t="s">
        <v>3</v>
      </c>
      <c r="W112" s="3" t="s">
        <v>4</v>
      </c>
      <c r="X112" s="3" t="s">
        <v>5</v>
      </c>
      <c r="Y112" s="5" t="s">
        <v>20</v>
      </c>
      <c r="Z112" s="5" t="s">
        <v>21</v>
      </c>
      <c r="AA112" s="5" t="s">
        <v>25</v>
      </c>
      <c r="AB112" s="5" t="s">
        <v>23</v>
      </c>
      <c r="AC112" s="5" t="s">
        <v>26</v>
      </c>
      <c r="AD112" s="5" t="s">
        <v>27</v>
      </c>
      <c r="AE112" s="5" t="s">
        <v>26</v>
      </c>
      <c r="AF112" s="5" t="s">
        <v>27</v>
      </c>
      <c r="AG112" s="5" t="s">
        <v>23</v>
      </c>
      <c r="AH112" s="18"/>
      <c r="AI112" s="5" t="s">
        <v>31</v>
      </c>
      <c r="AJ112" s="5" t="s">
        <v>33</v>
      </c>
    </row>
    <row r="113" spans="1:36" x14ac:dyDescent="0.25">
      <c r="A113" s="4" t="s">
        <v>6</v>
      </c>
      <c r="B113" s="5" t="s">
        <v>7</v>
      </c>
      <c r="C113" s="4" t="s">
        <v>6</v>
      </c>
      <c r="D113" s="4" t="s">
        <v>6</v>
      </c>
      <c r="E113" s="5" t="s">
        <v>8</v>
      </c>
      <c r="F113" s="5" t="s">
        <v>9</v>
      </c>
      <c r="G113" s="5" t="s">
        <v>22</v>
      </c>
      <c r="H113" s="5" t="s">
        <v>22</v>
      </c>
      <c r="I113" s="5" t="s">
        <v>22</v>
      </c>
      <c r="J113" s="5" t="s">
        <v>24</v>
      </c>
      <c r="K113" s="5" t="s">
        <v>22</v>
      </c>
      <c r="L113" s="5" t="s">
        <v>28</v>
      </c>
      <c r="M113" s="5" t="s">
        <v>22</v>
      </c>
      <c r="N113" s="5" t="s">
        <v>28</v>
      </c>
      <c r="O113" s="5" t="s">
        <v>24</v>
      </c>
      <c r="P113" s="18"/>
      <c r="Q113" s="5" t="s">
        <v>9</v>
      </c>
      <c r="R113" s="5" t="s">
        <v>28</v>
      </c>
      <c r="S113" s="4" t="s">
        <v>6</v>
      </c>
      <c r="T113" s="5" t="s">
        <v>7</v>
      </c>
      <c r="U113" s="4" t="s">
        <v>6</v>
      </c>
      <c r="V113" s="4" t="s">
        <v>6</v>
      </c>
      <c r="W113" s="5" t="s">
        <v>8</v>
      </c>
      <c r="X113" s="5" t="s">
        <v>9</v>
      </c>
      <c r="Y113" s="5" t="s">
        <v>22</v>
      </c>
      <c r="Z113" s="5" t="s">
        <v>22</v>
      </c>
      <c r="AA113" s="5" t="s">
        <v>22</v>
      </c>
      <c r="AB113" s="5" t="s">
        <v>24</v>
      </c>
      <c r="AC113" s="5" t="s">
        <v>22</v>
      </c>
      <c r="AD113" s="5" t="s">
        <v>28</v>
      </c>
      <c r="AE113" s="5" t="s">
        <v>22</v>
      </c>
      <c r="AF113" s="5" t="s">
        <v>28</v>
      </c>
      <c r="AG113" s="5" t="s">
        <v>24</v>
      </c>
      <c r="AH113" s="18"/>
      <c r="AI113" s="5" t="s">
        <v>9</v>
      </c>
      <c r="AJ113" s="5" t="s">
        <v>28</v>
      </c>
    </row>
    <row r="114" spans="1:36" x14ac:dyDescent="0.25">
      <c r="A114" s="6" t="s">
        <v>42</v>
      </c>
      <c r="B114" s="17">
        <v>0</v>
      </c>
      <c r="C114" s="6" t="s">
        <v>36</v>
      </c>
      <c r="D114" s="6" t="s">
        <v>11</v>
      </c>
      <c r="E114" s="46">
        <v>-39.216000000000001</v>
      </c>
      <c r="F114" s="46">
        <v>27.011700000000001</v>
      </c>
      <c r="G114" s="29">
        <v>300</v>
      </c>
      <c r="H114" s="29">
        <v>500</v>
      </c>
      <c r="I114" s="28">
        <f t="shared" ref="I114:I143" si="24">H114-40</f>
        <v>460</v>
      </c>
      <c r="J114" s="28">
        <f>ABS(F114)*1000^2/(0.9*391*I114)</f>
        <v>166.86867563660621</v>
      </c>
      <c r="K114" s="61">
        <v>14</v>
      </c>
      <c r="L114" s="61">
        <v>2</v>
      </c>
      <c r="M114" s="61">
        <v>12</v>
      </c>
      <c r="N114" s="61">
        <v>2</v>
      </c>
      <c r="O114" s="28">
        <f>PI()*K114^2/4*L114+PI()*M114^2/4*N114</f>
        <v>534.07075111026484</v>
      </c>
      <c r="P114" s="34" t="str">
        <f t="shared" ref="P114:P143" si="25">IF(O114&gt;=J114,"OK","NO")</f>
        <v>OK</v>
      </c>
      <c r="Q114" s="17">
        <f t="shared" ref="Q114:Q143" si="26">(O114*0.9*391*I114)/1000^2</f>
        <v>86.452168765223007</v>
      </c>
      <c r="R114" s="19">
        <f>F114/Q114</f>
        <v>0.31244675970310604</v>
      </c>
      <c r="S114" s="6" t="s">
        <v>42</v>
      </c>
      <c r="T114" s="17">
        <v>0</v>
      </c>
      <c r="U114" s="6" t="s">
        <v>36</v>
      </c>
      <c r="V114" s="6" t="s">
        <v>12</v>
      </c>
      <c r="W114" s="46">
        <v>-135.78200000000001</v>
      </c>
      <c r="X114" s="46">
        <v>-99.731999999999999</v>
      </c>
      <c r="Y114" s="29">
        <v>300</v>
      </c>
      <c r="Z114" s="29">
        <v>500</v>
      </c>
      <c r="AA114" s="28">
        <f t="shared" ref="AA114:AA143" si="27">Z114-40</f>
        <v>460</v>
      </c>
      <c r="AB114" s="28">
        <f>ABS(X114)*1000^2/(0.9*391*AA114)</f>
        <v>616.10882538270494</v>
      </c>
      <c r="AC114" s="30">
        <v>18</v>
      </c>
      <c r="AD114" s="30">
        <v>2</v>
      </c>
      <c r="AE114" s="30">
        <v>12</v>
      </c>
      <c r="AF114" s="30">
        <v>1</v>
      </c>
      <c r="AG114" s="28">
        <f>PI()*AC114^2/4*AD114+PI()*AE114^2/4*AF114</f>
        <v>622.03534541077897</v>
      </c>
      <c r="AH114" s="34" t="str">
        <f t="shared" ref="AH114:AH143" si="28">IF(AG114&gt;=AB114,"OK","NO")</f>
        <v>OK</v>
      </c>
      <c r="AI114" s="28">
        <f>-(AG114*0.9*391*AA114)/1000^2</f>
        <v>-100.69134950302445</v>
      </c>
      <c r="AJ114" s="32">
        <f>X114/AI114</f>
        <v>0.99047237416362521</v>
      </c>
    </row>
    <row r="115" spans="1:36" x14ac:dyDescent="0.25">
      <c r="A115" s="6" t="s">
        <v>42</v>
      </c>
      <c r="B115" s="17">
        <v>0.5</v>
      </c>
      <c r="C115" s="6" t="s">
        <v>36</v>
      </c>
      <c r="D115" s="6" t="s">
        <v>11</v>
      </c>
      <c r="E115" s="46">
        <v>-20.010999999999999</v>
      </c>
      <c r="F115" s="46">
        <v>41.818800000000003</v>
      </c>
      <c r="G115" s="29">
        <v>300</v>
      </c>
      <c r="H115" s="29">
        <v>500</v>
      </c>
      <c r="I115" s="28">
        <f t="shared" si="24"/>
        <v>460</v>
      </c>
      <c r="J115" s="28">
        <f t="shared" ref="J115:J143" si="29">ABS(F115)*1000^2/(0.9*391*I115)</f>
        <v>258.3416731531932</v>
      </c>
      <c r="K115" s="61">
        <v>14</v>
      </c>
      <c r="L115" s="61">
        <v>2</v>
      </c>
      <c r="M115" s="61">
        <v>12</v>
      </c>
      <c r="N115" s="61">
        <v>2</v>
      </c>
      <c r="O115" s="28">
        <f t="shared" ref="O115:O142" si="30">PI()*K115^2/4*L115+PI()*M115^2/4*N115</f>
        <v>534.07075111026484</v>
      </c>
      <c r="P115" s="34" t="str">
        <f t="shared" si="25"/>
        <v>OK</v>
      </c>
      <c r="Q115" s="17">
        <f t="shared" si="26"/>
        <v>86.452168765223007</v>
      </c>
      <c r="R115" s="19">
        <f t="shared" ref="R115:R143" si="31">F115/Q115</f>
        <v>0.48372181516425294</v>
      </c>
      <c r="S115" s="6" t="s">
        <v>42</v>
      </c>
      <c r="T115" s="17">
        <v>0.5</v>
      </c>
      <c r="U115" s="6" t="s">
        <v>36</v>
      </c>
      <c r="V115" s="6" t="s">
        <v>12</v>
      </c>
      <c r="W115" s="46">
        <v>-99.272999999999996</v>
      </c>
      <c r="X115" s="46">
        <v>-52.961599999999997</v>
      </c>
      <c r="Y115" s="29">
        <v>300</v>
      </c>
      <c r="Z115" s="29">
        <v>500</v>
      </c>
      <c r="AA115" s="28">
        <f t="shared" si="27"/>
        <v>460</v>
      </c>
      <c r="AB115" s="28">
        <f t="shared" ref="AB115:AB143" si="32">ABS(X115)*1000^2/(0.9*391*AA115)</f>
        <v>327.17792851229962</v>
      </c>
      <c r="AC115" s="30">
        <v>18</v>
      </c>
      <c r="AD115" s="30">
        <v>2</v>
      </c>
      <c r="AE115" s="30">
        <v>12</v>
      </c>
      <c r="AF115" s="30">
        <v>1</v>
      </c>
      <c r="AG115" s="28">
        <f t="shared" ref="AG115:AG142" si="33">PI()*AC115^2/4*AD115+PI()*AE115^2/4*AF115</f>
        <v>622.03534541077897</v>
      </c>
      <c r="AH115" s="34" t="str">
        <f t="shared" si="28"/>
        <v>OK</v>
      </c>
      <c r="AI115" s="28">
        <f t="shared" ref="AI115:AI143" si="34">-(AG115*0.9*391*AA115)/1000^2</f>
        <v>-100.69134950302445</v>
      </c>
      <c r="AJ115" s="32">
        <f t="shared" ref="AJ115:AJ142" si="35">X115/AI115</f>
        <v>0.52597964235655814</v>
      </c>
    </row>
    <row r="116" spans="1:36" x14ac:dyDescent="0.25">
      <c r="A116" s="6" t="s">
        <v>42</v>
      </c>
      <c r="B116" s="17">
        <v>1</v>
      </c>
      <c r="C116" s="6" t="s">
        <v>36</v>
      </c>
      <c r="D116" s="6" t="s">
        <v>11</v>
      </c>
      <c r="E116" s="46">
        <v>-0.80700000000000005</v>
      </c>
      <c r="F116" s="46">
        <v>47.023400000000002</v>
      </c>
      <c r="G116" s="29">
        <v>300</v>
      </c>
      <c r="H116" s="29">
        <v>500</v>
      </c>
      <c r="I116" s="28">
        <f t="shared" si="24"/>
        <v>460</v>
      </c>
      <c r="J116" s="28">
        <f t="shared" si="29"/>
        <v>290.49384088859233</v>
      </c>
      <c r="K116" s="61">
        <v>14</v>
      </c>
      <c r="L116" s="61">
        <v>2</v>
      </c>
      <c r="M116" s="61">
        <v>12</v>
      </c>
      <c r="N116" s="61">
        <v>2</v>
      </c>
      <c r="O116" s="28">
        <f t="shared" si="30"/>
        <v>534.07075111026484</v>
      </c>
      <c r="P116" s="34" t="str">
        <f t="shared" si="25"/>
        <v>OK</v>
      </c>
      <c r="Q116" s="17">
        <f t="shared" si="26"/>
        <v>86.452168765223007</v>
      </c>
      <c r="R116" s="19">
        <f t="shared" si="31"/>
        <v>0.54392389076670611</v>
      </c>
      <c r="S116" s="6" t="s">
        <v>42</v>
      </c>
      <c r="T116" s="17">
        <v>1</v>
      </c>
      <c r="U116" s="6" t="s">
        <v>36</v>
      </c>
      <c r="V116" s="6" t="s">
        <v>12</v>
      </c>
      <c r="W116" s="46">
        <v>-64.733999999999995</v>
      </c>
      <c r="X116" s="46">
        <v>-15.793699999999999</v>
      </c>
      <c r="Y116" s="29">
        <v>300</v>
      </c>
      <c r="Z116" s="29">
        <v>500</v>
      </c>
      <c r="AA116" s="28">
        <f t="shared" si="27"/>
        <v>460</v>
      </c>
      <c r="AB116" s="28">
        <f t="shared" si="32"/>
        <v>97.567861423082135</v>
      </c>
      <c r="AC116" s="30">
        <v>18</v>
      </c>
      <c r="AD116" s="30">
        <v>2</v>
      </c>
      <c r="AE116" s="30">
        <v>12</v>
      </c>
      <c r="AF116" s="30">
        <v>1</v>
      </c>
      <c r="AG116" s="28">
        <f t="shared" si="33"/>
        <v>622.03534541077897</v>
      </c>
      <c r="AH116" s="34" t="str">
        <f t="shared" si="28"/>
        <v>OK</v>
      </c>
      <c r="AI116" s="28">
        <f t="shared" si="34"/>
        <v>-100.69134950302445</v>
      </c>
      <c r="AJ116" s="32">
        <f t="shared" si="35"/>
        <v>0.15685260032715725</v>
      </c>
    </row>
    <row r="117" spans="1:36" x14ac:dyDescent="0.25">
      <c r="A117" s="6" t="s">
        <v>42</v>
      </c>
      <c r="B117" s="17">
        <v>1.5</v>
      </c>
      <c r="C117" s="6" t="s">
        <v>36</v>
      </c>
      <c r="D117" s="6" t="s">
        <v>11</v>
      </c>
      <c r="E117" s="46">
        <v>18.398</v>
      </c>
      <c r="F117" s="46">
        <v>51.6128</v>
      </c>
      <c r="G117" s="29">
        <v>300</v>
      </c>
      <c r="H117" s="29">
        <v>500</v>
      </c>
      <c r="I117" s="28">
        <f t="shared" si="24"/>
        <v>460</v>
      </c>
      <c r="J117" s="28">
        <f t="shared" si="29"/>
        <v>318.84552182561742</v>
      </c>
      <c r="K117" s="61">
        <v>14</v>
      </c>
      <c r="L117" s="61">
        <v>2</v>
      </c>
      <c r="M117" s="61">
        <v>12</v>
      </c>
      <c r="N117" s="61">
        <v>2</v>
      </c>
      <c r="O117" s="28">
        <f t="shared" si="30"/>
        <v>534.07075111026484</v>
      </c>
      <c r="P117" s="34" t="str">
        <f t="shared" si="25"/>
        <v>OK</v>
      </c>
      <c r="Q117" s="17">
        <f t="shared" si="26"/>
        <v>86.452168765223007</v>
      </c>
      <c r="R117" s="19">
        <f t="shared" si="31"/>
        <v>0.59700989272072735</v>
      </c>
      <c r="S117" s="6" t="s">
        <v>42</v>
      </c>
      <c r="T117" s="17">
        <v>1.5</v>
      </c>
      <c r="U117" s="6" t="s">
        <v>36</v>
      </c>
      <c r="V117" s="6" t="s">
        <v>12</v>
      </c>
      <c r="W117" s="46">
        <v>-45.529000000000003</v>
      </c>
      <c r="X117" s="46">
        <v>11.7715</v>
      </c>
      <c r="Y117" s="29">
        <v>300</v>
      </c>
      <c r="Z117" s="29">
        <v>500</v>
      </c>
      <c r="AA117" s="28">
        <f t="shared" si="27"/>
        <v>460</v>
      </c>
      <c r="AB117" s="28">
        <f t="shared" si="32"/>
        <v>72.720140356079412</v>
      </c>
      <c r="AC117" s="30">
        <v>18</v>
      </c>
      <c r="AD117" s="30">
        <v>2</v>
      </c>
      <c r="AE117" s="30">
        <v>14</v>
      </c>
      <c r="AF117" s="30">
        <v>0</v>
      </c>
      <c r="AG117" s="28">
        <f t="shared" si="33"/>
        <v>508.93800988154646</v>
      </c>
      <c r="AH117" s="34" t="str">
        <f t="shared" si="28"/>
        <v>OK</v>
      </c>
      <c r="AI117" s="28">
        <f t="shared" si="34"/>
        <v>-82.383831411565467</v>
      </c>
      <c r="AJ117" s="32">
        <f t="shared" si="35"/>
        <v>-0.14288604691366</v>
      </c>
    </row>
    <row r="118" spans="1:36" x14ac:dyDescent="0.25">
      <c r="A118" s="6" t="s">
        <v>42</v>
      </c>
      <c r="B118" s="17">
        <v>2</v>
      </c>
      <c r="C118" s="6" t="s">
        <v>36</v>
      </c>
      <c r="D118" s="6" t="s">
        <v>11</v>
      </c>
      <c r="E118" s="46">
        <v>37.603000000000002</v>
      </c>
      <c r="F118" s="46">
        <v>55.613799999999998</v>
      </c>
      <c r="G118" s="29">
        <v>300</v>
      </c>
      <c r="H118" s="29">
        <v>500</v>
      </c>
      <c r="I118" s="28">
        <f t="shared" si="24"/>
        <v>460</v>
      </c>
      <c r="J118" s="28">
        <f t="shared" si="29"/>
        <v>343.56227683259812</v>
      </c>
      <c r="K118" s="61">
        <v>14</v>
      </c>
      <c r="L118" s="61">
        <v>2</v>
      </c>
      <c r="M118" s="61">
        <v>12</v>
      </c>
      <c r="N118" s="61">
        <v>2</v>
      </c>
      <c r="O118" s="28">
        <f t="shared" si="30"/>
        <v>534.07075111026484</v>
      </c>
      <c r="P118" s="34" t="str">
        <f t="shared" si="25"/>
        <v>OK</v>
      </c>
      <c r="Q118" s="17">
        <f t="shared" si="26"/>
        <v>86.452168765223007</v>
      </c>
      <c r="R118" s="19">
        <f t="shared" si="31"/>
        <v>0.64328981903310778</v>
      </c>
      <c r="S118" s="6" t="s">
        <v>42</v>
      </c>
      <c r="T118" s="17">
        <v>2</v>
      </c>
      <c r="U118" s="6" t="s">
        <v>36</v>
      </c>
      <c r="V118" s="6" t="s">
        <v>12</v>
      </c>
      <c r="W118" s="46">
        <v>-26.324000000000002</v>
      </c>
      <c r="X118" s="46">
        <v>28.6005</v>
      </c>
      <c r="Y118" s="29">
        <v>300</v>
      </c>
      <c r="Z118" s="29">
        <v>500</v>
      </c>
      <c r="AA118" s="28">
        <f t="shared" si="27"/>
        <v>460</v>
      </c>
      <c r="AB118" s="28">
        <f t="shared" si="32"/>
        <v>176.68371696504687</v>
      </c>
      <c r="AC118" s="30">
        <v>18</v>
      </c>
      <c r="AD118" s="30">
        <v>2</v>
      </c>
      <c r="AE118" s="30">
        <v>14</v>
      </c>
      <c r="AF118" s="30">
        <v>0</v>
      </c>
      <c r="AG118" s="28">
        <f t="shared" si="33"/>
        <v>508.93800988154646</v>
      </c>
      <c r="AH118" s="34" t="str">
        <f t="shared" si="28"/>
        <v>OK</v>
      </c>
      <c r="AI118" s="28">
        <f t="shared" si="34"/>
        <v>-82.383831411565467</v>
      </c>
      <c r="AJ118" s="32">
        <f t="shared" si="35"/>
        <v>-0.34716156689921701</v>
      </c>
    </row>
    <row r="119" spans="1:36" x14ac:dyDescent="0.25">
      <c r="A119" s="6" t="s">
        <v>42</v>
      </c>
      <c r="B119" s="17">
        <v>2.5</v>
      </c>
      <c r="C119" s="6" t="s">
        <v>36</v>
      </c>
      <c r="D119" s="6" t="s">
        <v>11</v>
      </c>
      <c r="E119" s="46">
        <v>56.808</v>
      </c>
      <c r="F119" s="46">
        <v>41.360399999999998</v>
      </c>
      <c r="G119" s="29">
        <v>300</v>
      </c>
      <c r="H119" s="29">
        <v>500</v>
      </c>
      <c r="I119" s="28">
        <f t="shared" si="24"/>
        <v>460</v>
      </c>
      <c r="J119" s="28">
        <f t="shared" si="29"/>
        <v>255.50984098743461</v>
      </c>
      <c r="K119" s="61">
        <v>14</v>
      </c>
      <c r="L119" s="61">
        <v>2</v>
      </c>
      <c r="M119" s="61">
        <v>12</v>
      </c>
      <c r="N119" s="61">
        <v>2</v>
      </c>
      <c r="O119" s="28">
        <f t="shared" si="30"/>
        <v>534.07075111026484</v>
      </c>
      <c r="P119" s="34" t="str">
        <f t="shared" si="25"/>
        <v>OK</v>
      </c>
      <c r="Q119" s="17">
        <f t="shared" si="26"/>
        <v>86.452168765223007</v>
      </c>
      <c r="R119" s="19">
        <f t="shared" si="31"/>
        <v>0.4784194611973458</v>
      </c>
      <c r="S119" s="6" t="s">
        <v>42</v>
      </c>
      <c r="T119" s="17">
        <v>2.5</v>
      </c>
      <c r="U119" s="6" t="s">
        <v>36</v>
      </c>
      <c r="V119" s="6" t="s">
        <v>12</v>
      </c>
      <c r="W119" s="46">
        <v>-7.1189999999999998</v>
      </c>
      <c r="X119" s="46">
        <v>5.0213000000000001</v>
      </c>
      <c r="Y119" s="29">
        <v>300</v>
      </c>
      <c r="Z119" s="29">
        <v>500</v>
      </c>
      <c r="AA119" s="28">
        <f t="shared" si="27"/>
        <v>460</v>
      </c>
      <c r="AB119" s="28">
        <f t="shared" si="32"/>
        <v>31.019805527756152</v>
      </c>
      <c r="AC119" s="30">
        <v>20</v>
      </c>
      <c r="AD119" s="30">
        <v>2</v>
      </c>
      <c r="AE119" s="30">
        <v>14</v>
      </c>
      <c r="AF119" s="30">
        <v>0</v>
      </c>
      <c r="AG119" s="28">
        <f t="shared" si="33"/>
        <v>628.31853071795865</v>
      </c>
      <c r="AH119" s="34" t="str">
        <f t="shared" si="28"/>
        <v>OK</v>
      </c>
      <c r="AI119" s="28">
        <f t="shared" si="34"/>
        <v>-101.70843384143883</v>
      </c>
      <c r="AJ119" s="32">
        <f t="shared" si="35"/>
        <v>-4.9369553834916917E-2</v>
      </c>
    </row>
    <row r="120" spans="1:36" x14ac:dyDescent="0.25">
      <c r="A120" s="6" t="s">
        <v>42</v>
      </c>
      <c r="B120" s="17">
        <v>3</v>
      </c>
      <c r="C120" s="6" t="s">
        <v>36</v>
      </c>
      <c r="D120" s="6" t="s">
        <v>11</v>
      </c>
      <c r="E120" s="46">
        <v>83.269000000000005</v>
      </c>
      <c r="F120" s="46">
        <v>36.855200000000004</v>
      </c>
      <c r="G120" s="29">
        <v>300</v>
      </c>
      <c r="H120" s="29">
        <v>500</v>
      </c>
      <c r="I120" s="28">
        <f t="shared" si="24"/>
        <v>460</v>
      </c>
      <c r="J120" s="28">
        <f t="shared" si="29"/>
        <v>227.6783177038931</v>
      </c>
      <c r="K120" s="61">
        <v>14</v>
      </c>
      <c r="L120" s="61">
        <v>2</v>
      </c>
      <c r="M120" s="61">
        <v>12</v>
      </c>
      <c r="N120" s="61">
        <v>2</v>
      </c>
      <c r="O120" s="28">
        <f t="shared" si="30"/>
        <v>534.07075111026484</v>
      </c>
      <c r="P120" s="34" t="str">
        <f t="shared" si="25"/>
        <v>OK</v>
      </c>
      <c r="Q120" s="17">
        <f t="shared" si="26"/>
        <v>86.452168765223007</v>
      </c>
      <c r="R120" s="19">
        <f t="shared" si="31"/>
        <v>0.42630740820495983</v>
      </c>
      <c r="S120" s="6" t="s">
        <v>42</v>
      </c>
      <c r="T120" s="17">
        <v>3</v>
      </c>
      <c r="U120" s="6" t="s">
        <v>36</v>
      </c>
      <c r="V120" s="6" t="s">
        <v>12</v>
      </c>
      <c r="W120" s="46">
        <v>12.086</v>
      </c>
      <c r="X120" s="46">
        <v>-28.183399999999999</v>
      </c>
      <c r="Y120" s="29">
        <v>300</v>
      </c>
      <c r="Z120" s="29">
        <v>500</v>
      </c>
      <c r="AA120" s="28">
        <f t="shared" si="27"/>
        <v>460</v>
      </c>
      <c r="AB120" s="28">
        <f t="shared" si="32"/>
        <v>174.10702151055756</v>
      </c>
      <c r="AC120" s="30">
        <v>20</v>
      </c>
      <c r="AD120" s="30">
        <v>2</v>
      </c>
      <c r="AE120" s="30">
        <v>18</v>
      </c>
      <c r="AF120" s="30">
        <v>2</v>
      </c>
      <c r="AG120" s="28">
        <f t="shared" si="33"/>
        <v>1137.2565405995051</v>
      </c>
      <c r="AH120" s="34" t="str">
        <f t="shared" si="28"/>
        <v>OK</v>
      </c>
      <c r="AI120" s="28">
        <f t="shared" si="34"/>
        <v>-184.09226525300429</v>
      </c>
      <c r="AJ120" s="32">
        <f t="shared" si="35"/>
        <v>0.15309388453266404</v>
      </c>
    </row>
    <row r="121" spans="1:36" x14ac:dyDescent="0.25">
      <c r="A121" s="6" t="s">
        <v>42</v>
      </c>
      <c r="B121" s="17">
        <v>3.5</v>
      </c>
      <c r="C121" s="6" t="s">
        <v>36</v>
      </c>
      <c r="D121" s="6" t="s">
        <v>11</v>
      </c>
      <c r="E121" s="46">
        <v>119.77800000000001</v>
      </c>
      <c r="F121" s="46">
        <v>26.011099999999999</v>
      </c>
      <c r="G121" s="29">
        <v>300</v>
      </c>
      <c r="H121" s="29">
        <v>500</v>
      </c>
      <c r="I121" s="28">
        <f t="shared" si="24"/>
        <v>460</v>
      </c>
      <c r="J121" s="28">
        <f t="shared" si="29"/>
        <v>160.68732470934179</v>
      </c>
      <c r="K121" s="61">
        <v>14</v>
      </c>
      <c r="L121" s="61">
        <v>2</v>
      </c>
      <c r="M121" s="61">
        <v>12</v>
      </c>
      <c r="N121" s="61">
        <v>2</v>
      </c>
      <c r="O121" s="28">
        <f t="shared" si="30"/>
        <v>534.07075111026484</v>
      </c>
      <c r="P121" s="34" t="str">
        <f t="shared" si="25"/>
        <v>OK</v>
      </c>
      <c r="Q121" s="17">
        <f t="shared" si="26"/>
        <v>86.452168765223007</v>
      </c>
      <c r="R121" s="19">
        <f t="shared" si="31"/>
        <v>0.30087272964357892</v>
      </c>
      <c r="S121" s="6" t="s">
        <v>42</v>
      </c>
      <c r="T121" s="17">
        <v>3.5</v>
      </c>
      <c r="U121" s="6" t="s">
        <v>36</v>
      </c>
      <c r="V121" s="6" t="s">
        <v>12</v>
      </c>
      <c r="W121" s="46">
        <v>31.29</v>
      </c>
      <c r="X121" s="46">
        <v>-70.990799999999993</v>
      </c>
      <c r="Y121" s="29">
        <v>300</v>
      </c>
      <c r="Z121" s="29">
        <v>500</v>
      </c>
      <c r="AA121" s="28">
        <f t="shared" si="27"/>
        <v>460</v>
      </c>
      <c r="AB121" s="28">
        <f t="shared" si="32"/>
        <v>438.55591385892723</v>
      </c>
      <c r="AC121" s="30">
        <v>20</v>
      </c>
      <c r="AD121" s="30">
        <v>2</v>
      </c>
      <c r="AE121" s="30">
        <v>18</v>
      </c>
      <c r="AF121" s="30">
        <v>2</v>
      </c>
      <c r="AG121" s="28">
        <f t="shared" si="33"/>
        <v>1137.2565405995051</v>
      </c>
      <c r="AH121" s="34" t="str">
        <f t="shared" si="28"/>
        <v>OK</v>
      </c>
      <c r="AI121" s="28">
        <f t="shared" si="34"/>
        <v>-184.09226525300429</v>
      </c>
      <c r="AJ121" s="32">
        <f t="shared" si="35"/>
        <v>0.3856261962034902</v>
      </c>
    </row>
    <row r="122" spans="1:36" x14ac:dyDescent="0.25">
      <c r="A122" s="6" t="s">
        <v>42</v>
      </c>
      <c r="B122" s="17">
        <v>4</v>
      </c>
      <c r="C122" s="6" t="s">
        <v>36</v>
      </c>
      <c r="D122" s="6" t="s">
        <v>11</v>
      </c>
      <c r="E122" s="46">
        <v>156.28700000000001</v>
      </c>
      <c r="F122" s="46">
        <v>5.5646000000000004</v>
      </c>
      <c r="G122" s="29">
        <v>300</v>
      </c>
      <c r="H122" s="29">
        <v>500</v>
      </c>
      <c r="I122" s="28">
        <f t="shared" si="24"/>
        <v>460</v>
      </c>
      <c r="J122" s="28">
        <f t="shared" si="29"/>
        <v>34.376119698036739</v>
      </c>
      <c r="K122" s="61">
        <v>14</v>
      </c>
      <c r="L122" s="61">
        <v>2</v>
      </c>
      <c r="M122" s="61">
        <v>12</v>
      </c>
      <c r="N122" s="61">
        <v>2</v>
      </c>
      <c r="O122" s="28">
        <f t="shared" si="30"/>
        <v>534.07075111026484</v>
      </c>
      <c r="P122" s="34" t="str">
        <f t="shared" si="25"/>
        <v>OK</v>
      </c>
      <c r="Q122" s="17">
        <f t="shared" si="26"/>
        <v>86.452168765223007</v>
      </c>
      <c r="R122" s="19">
        <f t="shared" si="31"/>
        <v>6.4366227932484948E-2</v>
      </c>
      <c r="S122" s="6" t="s">
        <v>42</v>
      </c>
      <c r="T122" s="17">
        <v>4</v>
      </c>
      <c r="U122" s="6" t="s">
        <v>36</v>
      </c>
      <c r="V122" s="6" t="s">
        <v>12</v>
      </c>
      <c r="W122" s="46">
        <v>50.494999999999997</v>
      </c>
      <c r="X122" s="46">
        <v>-123.4007</v>
      </c>
      <c r="Y122" s="29">
        <v>300</v>
      </c>
      <c r="Z122" s="29">
        <v>500</v>
      </c>
      <c r="AA122" s="28">
        <f t="shared" si="27"/>
        <v>460</v>
      </c>
      <c r="AB122" s="28">
        <f t="shared" si="32"/>
        <v>762.32563598848469</v>
      </c>
      <c r="AC122" s="30">
        <v>20</v>
      </c>
      <c r="AD122" s="30">
        <v>2</v>
      </c>
      <c r="AE122" s="30">
        <v>18</v>
      </c>
      <c r="AF122" s="30">
        <v>2</v>
      </c>
      <c r="AG122" s="28">
        <f t="shared" si="33"/>
        <v>1137.2565405995051</v>
      </c>
      <c r="AH122" s="34" t="str">
        <f t="shared" si="28"/>
        <v>OK</v>
      </c>
      <c r="AI122" s="28">
        <f t="shared" si="34"/>
        <v>-184.09226525300429</v>
      </c>
      <c r="AJ122" s="32">
        <f t="shared" si="35"/>
        <v>0.67031985200685218</v>
      </c>
    </row>
    <row r="123" spans="1:36" x14ac:dyDescent="0.25">
      <c r="A123" s="6" t="s">
        <v>43</v>
      </c>
      <c r="B123" s="17">
        <v>4</v>
      </c>
      <c r="C123" s="6" t="s">
        <v>36</v>
      </c>
      <c r="D123" s="6" t="s">
        <v>11</v>
      </c>
      <c r="E123" s="46">
        <v>-84.95</v>
      </c>
      <c r="F123" s="46">
        <v>-35.174500000000002</v>
      </c>
      <c r="G123" s="29">
        <v>300</v>
      </c>
      <c r="H123" s="29">
        <v>500</v>
      </c>
      <c r="I123" s="28">
        <f t="shared" si="24"/>
        <v>460</v>
      </c>
      <c r="J123" s="28">
        <f t="shared" si="29"/>
        <v>217.29555086054583</v>
      </c>
      <c r="K123" s="61">
        <v>14</v>
      </c>
      <c r="L123" s="61">
        <v>4</v>
      </c>
      <c r="M123" s="61">
        <v>0</v>
      </c>
      <c r="N123" s="61">
        <v>0</v>
      </c>
      <c r="O123" s="28">
        <f t="shared" si="30"/>
        <v>615.75216010359941</v>
      </c>
      <c r="P123" s="34" t="str">
        <f t="shared" si="25"/>
        <v>OK</v>
      </c>
      <c r="Q123" s="17">
        <f t="shared" si="26"/>
        <v>99.674265164610063</v>
      </c>
      <c r="R123" s="19">
        <f t="shared" si="31"/>
        <v>-0.35289450031971659</v>
      </c>
      <c r="S123" s="6" t="s">
        <v>43</v>
      </c>
      <c r="T123" s="17">
        <v>4</v>
      </c>
      <c r="U123" s="6" t="s">
        <v>36</v>
      </c>
      <c r="V123" s="6" t="s">
        <v>12</v>
      </c>
      <c r="W123" s="46">
        <v>-200.797</v>
      </c>
      <c r="X123" s="46">
        <v>-174.7825</v>
      </c>
      <c r="Y123" s="29">
        <v>300</v>
      </c>
      <c r="Z123" s="29">
        <v>500</v>
      </c>
      <c r="AA123" s="28">
        <f t="shared" si="27"/>
        <v>460</v>
      </c>
      <c r="AB123" s="28">
        <f t="shared" si="32"/>
        <v>1079.7441219714096</v>
      </c>
      <c r="AC123" s="30">
        <v>20</v>
      </c>
      <c r="AD123" s="30">
        <v>2</v>
      </c>
      <c r="AE123" s="30">
        <v>18</v>
      </c>
      <c r="AF123" s="30">
        <v>2</v>
      </c>
      <c r="AG123" s="28">
        <f t="shared" si="33"/>
        <v>1137.2565405995051</v>
      </c>
      <c r="AH123" s="34" t="str">
        <f t="shared" si="28"/>
        <v>OK</v>
      </c>
      <c r="AI123" s="28">
        <f t="shared" si="34"/>
        <v>-184.09226525300429</v>
      </c>
      <c r="AJ123" s="32">
        <f t="shared" si="35"/>
        <v>0.94942880821087428</v>
      </c>
    </row>
    <row r="124" spans="1:36" x14ac:dyDescent="0.25">
      <c r="A124" s="6" t="s">
        <v>43</v>
      </c>
      <c r="B124" s="17">
        <v>4.5</v>
      </c>
      <c r="C124" s="6" t="s">
        <v>36</v>
      </c>
      <c r="D124" s="6" t="s">
        <v>11</v>
      </c>
      <c r="E124" s="46">
        <v>-65.745000000000005</v>
      </c>
      <c r="F124" s="46">
        <v>2.4992000000000001</v>
      </c>
      <c r="G124" s="29">
        <v>300</v>
      </c>
      <c r="H124" s="29">
        <v>500</v>
      </c>
      <c r="I124" s="28">
        <f t="shared" si="24"/>
        <v>460</v>
      </c>
      <c r="J124" s="28">
        <f t="shared" si="29"/>
        <v>15.439168736177518</v>
      </c>
      <c r="K124" s="61">
        <v>14</v>
      </c>
      <c r="L124" s="61">
        <v>4</v>
      </c>
      <c r="M124" s="61">
        <v>0</v>
      </c>
      <c r="N124" s="61">
        <v>0</v>
      </c>
      <c r="O124" s="28">
        <f t="shared" si="30"/>
        <v>615.75216010359941</v>
      </c>
      <c r="P124" s="34" t="str">
        <f t="shared" si="25"/>
        <v>OK</v>
      </c>
      <c r="Q124" s="17">
        <f t="shared" si="26"/>
        <v>99.674265164610063</v>
      </c>
      <c r="R124" s="19">
        <f t="shared" si="31"/>
        <v>2.5073673689719418E-2</v>
      </c>
      <c r="S124" s="6" t="s">
        <v>43</v>
      </c>
      <c r="T124" s="17">
        <v>4.5</v>
      </c>
      <c r="U124" s="6" t="s">
        <v>36</v>
      </c>
      <c r="V124" s="6" t="s">
        <v>12</v>
      </c>
      <c r="W124" s="46">
        <v>-164.28800000000001</v>
      </c>
      <c r="X124" s="46">
        <v>-90.587999999999994</v>
      </c>
      <c r="Y124" s="29">
        <v>300</v>
      </c>
      <c r="Z124" s="29">
        <v>500</v>
      </c>
      <c r="AA124" s="28">
        <f t="shared" si="27"/>
        <v>460</v>
      </c>
      <c r="AB124" s="28">
        <f t="shared" si="32"/>
        <v>559.62044553170972</v>
      </c>
      <c r="AC124" s="30">
        <v>20</v>
      </c>
      <c r="AD124" s="30">
        <v>2</v>
      </c>
      <c r="AE124" s="30">
        <v>18</v>
      </c>
      <c r="AF124" s="30">
        <v>2</v>
      </c>
      <c r="AG124" s="28">
        <f t="shared" si="33"/>
        <v>1137.2565405995051</v>
      </c>
      <c r="AH124" s="34" t="str">
        <f t="shared" si="28"/>
        <v>OK</v>
      </c>
      <c r="AI124" s="28">
        <f t="shared" si="34"/>
        <v>-184.09226525300429</v>
      </c>
      <c r="AJ124" s="32">
        <f t="shared" si="35"/>
        <v>0.49207933790972591</v>
      </c>
    </row>
    <row r="125" spans="1:36" x14ac:dyDescent="0.25">
      <c r="A125" s="6" t="s">
        <v>43</v>
      </c>
      <c r="B125" s="17">
        <v>5</v>
      </c>
      <c r="C125" s="6" t="s">
        <v>36</v>
      </c>
      <c r="D125" s="6" t="s">
        <v>11</v>
      </c>
      <c r="E125" s="46">
        <v>-46.54</v>
      </c>
      <c r="F125" s="46">
        <v>30.570499999999999</v>
      </c>
      <c r="G125" s="29">
        <v>300</v>
      </c>
      <c r="H125" s="29">
        <v>500</v>
      </c>
      <c r="I125" s="28">
        <f t="shared" si="24"/>
        <v>460</v>
      </c>
      <c r="J125" s="28">
        <f t="shared" si="29"/>
        <v>188.8536763161471</v>
      </c>
      <c r="K125" s="61">
        <v>14</v>
      </c>
      <c r="L125" s="61">
        <v>4</v>
      </c>
      <c r="M125" s="61">
        <v>0</v>
      </c>
      <c r="N125" s="61">
        <v>0</v>
      </c>
      <c r="O125" s="28">
        <f t="shared" si="30"/>
        <v>615.75216010359941</v>
      </c>
      <c r="P125" s="34" t="str">
        <f t="shared" si="25"/>
        <v>OK</v>
      </c>
      <c r="Q125" s="17">
        <f t="shared" si="26"/>
        <v>99.674265164610063</v>
      </c>
      <c r="R125" s="19">
        <f t="shared" si="31"/>
        <v>0.30670404190603689</v>
      </c>
      <c r="S125" s="6" t="s">
        <v>43</v>
      </c>
      <c r="T125" s="17">
        <v>5</v>
      </c>
      <c r="U125" s="6" t="s">
        <v>36</v>
      </c>
      <c r="V125" s="6" t="s">
        <v>12</v>
      </c>
      <c r="W125" s="46">
        <v>-127.78</v>
      </c>
      <c r="X125" s="46">
        <v>-41.84</v>
      </c>
      <c r="Y125" s="29">
        <v>300</v>
      </c>
      <c r="Z125" s="29">
        <v>500</v>
      </c>
      <c r="AA125" s="28">
        <f t="shared" si="27"/>
        <v>460</v>
      </c>
      <c r="AB125" s="28">
        <f t="shared" si="32"/>
        <v>258.47263921321519</v>
      </c>
      <c r="AC125" s="30">
        <v>20</v>
      </c>
      <c r="AD125" s="30">
        <v>2</v>
      </c>
      <c r="AE125" s="30">
        <v>14</v>
      </c>
      <c r="AF125" s="30">
        <v>0</v>
      </c>
      <c r="AG125" s="28">
        <f t="shared" si="33"/>
        <v>628.31853071795865</v>
      </c>
      <c r="AH125" s="34" t="str">
        <f t="shared" si="28"/>
        <v>OK</v>
      </c>
      <c r="AI125" s="28">
        <f t="shared" si="34"/>
        <v>-101.70843384143883</v>
      </c>
      <c r="AJ125" s="32">
        <f t="shared" si="35"/>
        <v>0.41137198184791268</v>
      </c>
    </row>
    <row r="126" spans="1:36" x14ac:dyDescent="0.25">
      <c r="A126" s="6" t="s">
        <v>43</v>
      </c>
      <c r="B126" s="17">
        <v>5.5</v>
      </c>
      <c r="C126" s="6" t="s">
        <v>36</v>
      </c>
      <c r="D126" s="6" t="s">
        <v>11</v>
      </c>
      <c r="E126" s="46">
        <v>-27.335000000000001</v>
      </c>
      <c r="F126" s="46">
        <v>49.039400000000001</v>
      </c>
      <c r="G126" s="29">
        <v>300</v>
      </c>
      <c r="H126" s="29">
        <v>500</v>
      </c>
      <c r="I126" s="28">
        <f t="shared" si="24"/>
        <v>460</v>
      </c>
      <c r="J126" s="28">
        <f t="shared" si="29"/>
        <v>302.94797187936291</v>
      </c>
      <c r="K126" s="61">
        <v>14</v>
      </c>
      <c r="L126" s="61">
        <v>4</v>
      </c>
      <c r="M126" s="61">
        <v>0</v>
      </c>
      <c r="N126" s="61">
        <v>0</v>
      </c>
      <c r="O126" s="28">
        <f t="shared" si="30"/>
        <v>615.75216010359941</v>
      </c>
      <c r="P126" s="34" t="str">
        <f t="shared" si="25"/>
        <v>OK</v>
      </c>
      <c r="Q126" s="17">
        <f t="shared" si="26"/>
        <v>99.674265164610063</v>
      </c>
      <c r="R126" s="19">
        <f t="shared" si="31"/>
        <v>0.49199660432923592</v>
      </c>
      <c r="S126" s="6" t="s">
        <v>43</v>
      </c>
      <c r="T126" s="17">
        <v>5.5</v>
      </c>
      <c r="U126" s="6" t="s">
        <v>36</v>
      </c>
      <c r="V126" s="6" t="s">
        <v>12</v>
      </c>
      <c r="W126" s="46">
        <v>-91.271000000000001</v>
      </c>
      <c r="X126" s="46">
        <v>-2.6943999999999999</v>
      </c>
      <c r="Y126" s="29">
        <v>300</v>
      </c>
      <c r="Z126" s="29">
        <v>500</v>
      </c>
      <c r="AA126" s="28">
        <f t="shared" si="27"/>
        <v>460</v>
      </c>
      <c r="AB126" s="28">
        <f t="shared" si="32"/>
        <v>16.645044911474354</v>
      </c>
      <c r="AC126" s="30">
        <v>20</v>
      </c>
      <c r="AD126" s="30">
        <v>2</v>
      </c>
      <c r="AE126" s="30">
        <v>14</v>
      </c>
      <c r="AF126" s="30">
        <v>0</v>
      </c>
      <c r="AG126" s="28">
        <f t="shared" si="33"/>
        <v>628.31853071795865</v>
      </c>
      <c r="AH126" s="34" t="str">
        <f t="shared" si="28"/>
        <v>OK</v>
      </c>
      <c r="AI126" s="28">
        <f t="shared" si="34"/>
        <v>-101.70843384143883</v>
      </c>
      <c r="AJ126" s="32">
        <f t="shared" si="35"/>
        <v>2.6491411756477432E-2</v>
      </c>
    </row>
    <row r="127" spans="1:36" x14ac:dyDescent="0.25">
      <c r="A127" s="6" t="s">
        <v>43</v>
      </c>
      <c r="B127" s="17">
        <v>6</v>
      </c>
      <c r="C127" s="6" t="s">
        <v>36</v>
      </c>
      <c r="D127" s="6" t="s">
        <v>11</v>
      </c>
      <c r="E127" s="46">
        <v>-8.1310000000000002</v>
      </c>
      <c r="F127" s="46">
        <v>80.777199999999993</v>
      </c>
      <c r="G127" s="29">
        <v>300</v>
      </c>
      <c r="H127" s="29">
        <v>500</v>
      </c>
      <c r="I127" s="28">
        <f t="shared" si="24"/>
        <v>460</v>
      </c>
      <c r="J127" s="28">
        <f t="shared" si="29"/>
        <v>499.01281243436244</v>
      </c>
      <c r="K127" s="61">
        <v>14</v>
      </c>
      <c r="L127" s="61">
        <v>4</v>
      </c>
      <c r="M127" s="61">
        <v>0</v>
      </c>
      <c r="N127" s="61">
        <v>0</v>
      </c>
      <c r="O127" s="28">
        <f t="shared" si="30"/>
        <v>615.75216010359941</v>
      </c>
      <c r="P127" s="34" t="str">
        <f t="shared" si="25"/>
        <v>OK</v>
      </c>
      <c r="Q127" s="17">
        <f t="shared" si="26"/>
        <v>99.674265164610063</v>
      </c>
      <c r="R127" s="19">
        <f t="shared" si="31"/>
        <v>0.81041179352160819</v>
      </c>
      <c r="S127" s="6" t="s">
        <v>43</v>
      </c>
      <c r="T127" s="17">
        <v>6</v>
      </c>
      <c r="U127" s="6" t="s">
        <v>36</v>
      </c>
      <c r="V127" s="6" t="s">
        <v>12</v>
      </c>
      <c r="W127" s="46">
        <v>-54.762999999999998</v>
      </c>
      <c r="X127" s="46">
        <v>26.848800000000001</v>
      </c>
      <c r="Y127" s="29">
        <v>300</v>
      </c>
      <c r="Z127" s="29">
        <v>500</v>
      </c>
      <c r="AA127" s="28">
        <f t="shared" si="27"/>
        <v>460</v>
      </c>
      <c r="AB127" s="28">
        <f t="shared" si="32"/>
        <v>165.8623373735127</v>
      </c>
      <c r="AC127" s="30">
        <v>20</v>
      </c>
      <c r="AD127" s="30">
        <v>2</v>
      </c>
      <c r="AE127" s="30">
        <v>14</v>
      </c>
      <c r="AF127" s="30">
        <v>0</v>
      </c>
      <c r="AG127" s="28">
        <f t="shared" si="33"/>
        <v>628.31853071795865</v>
      </c>
      <c r="AH127" s="34" t="str">
        <f t="shared" si="28"/>
        <v>OK</v>
      </c>
      <c r="AI127" s="28">
        <f t="shared" si="34"/>
        <v>-101.70843384143883</v>
      </c>
      <c r="AJ127" s="32">
        <f t="shared" si="35"/>
        <v>-0.26397810865770166</v>
      </c>
    </row>
    <row r="128" spans="1:36" x14ac:dyDescent="0.25">
      <c r="A128" s="6" t="s">
        <v>43</v>
      </c>
      <c r="B128" s="17">
        <v>6.5</v>
      </c>
      <c r="C128" s="6" t="s">
        <v>36</v>
      </c>
      <c r="D128" s="6" t="s">
        <v>11</v>
      </c>
      <c r="E128" s="46">
        <v>11.074</v>
      </c>
      <c r="F128" s="46">
        <v>99.031499999999994</v>
      </c>
      <c r="G128" s="29">
        <v>300</v>
      </c>
      <c r="H128" s="29">
        <v>500</v>
      </c>
      <c r="I128" s="28">
        <f t="shared" si="24"/>
        <v>460</v>
      </c>
      <c r="J128" s="28">
        <f t="shared" si="29"/>
        <v>611.78138552207258</v>
      </c>
      <c r="K128" s="61">
        <v>14</v>
      </c>
      <c r="L128" s="61">
        <v>4</v>
      </c>
      <c r="M128" s="61">
        <v>0</v>
      </c>
      <c r="N128" s="61">
        <v>0</v>
      </c>
      <c r="O128" s="28">
        <f t="shared" si="30"/>
        <v>615.75216010359941</v>
      </c>
      <c r="P128" s="34" t="str">
        <f t="shared" si="25"/>
        <v>OK</v>
      </c>
      <c r="Q128" s="17">
        <f t="shared" si="26"/>
        <v>99.674265164610063</v>
      </c>
      <c r="R128" s="19">
        <f t="shared" si="31"/>
        <v>0.99355134283108526</v>
      </c>
      <c r="S128" s="6" t="s">
        <v>43</v>
      </c>
      <c r="T128" s="17">
        <v>6.5</v>
      </c>
      <c r="U128" s="6" t="s">
        <v>36</v>
      </c>
      <c r="V128" s="6" t="s">
        <v>12</v>
      </c>
      <c r="W128" s="46">
        <v>-30.279</v>
      </c>
      <c r="X128" s="46">
        <v>46.789499999999997</v>
      </c>
      <c r="Y128" s="29">
        <v>300</v>
      </c>
      <c r="Z128" s="29">
        <v>500</v>
      </c>
      <c r="AA128" s="28">
        <f t="shared" si="27"/>
        <v>460</v>
      </c>
      <c r="AB128" s="28">
        <f t="shared" si="32"/>
        <v>289.04888987731192</v>
      </c>
      <c r="AC128" s="30">
        <v>20</v>
      </c>
      <c r="AD128" s="30">
        <v>2</v>
      </c>
      <c r="AE128" s="30">
        <v>14</v>
      </c>
      <c r="AF128" s="30">
        <v>0</v>
      </c>
      <c r="AG128" s="28">
        <f t="shared" si="33"/>
        <v>628.31853071795865</v>
      </c>
      <c r="AH128" s="34" t="str">
        <f t="shared" si="28"/>
        <v>OK</v>
      </c>
      <c r="AI128" s="28">
        <f t="shared" si="34"/>
        <v>-101.70843384143883</v>
      </c>
      <c r="AJ128" s="32">
        <f t="shared" si="35"/>
        <v>-0.46003559619199108</v>
      </c>
    </row>
    <row r="129" spans="1:36" x14ac:dyDescent="0.25">
      <c r="A129" s="6" t="s">
        <v>43</v>
      </c>
      <c r="B129" s="17">
        <v>7</v>
      </c>
      <c r="C129" s="6" t="s">
        <v>36</v>
      </c>
      <c r="D129" s="6" t="s">
        <v>11</v>
      </c>
      <c r="E129" s="46">
        <v>30.279</v>
      </c>
      <c r="F129" s="46">
        <v>99.031499999999994</v>
      </c>
      <c r="G129" s="29">
        <v>300</v>
      </c>
      <c r="H129" s="29">
        <v>500</v>
      </c>
      <c r="I129" s="28">
        <f t="shared" si="24"/>
        <v>460</v>
      </c>
      <c r="J129" s="28">
        <f t="shared" si="29"/>
        <v>611.78138552207258</v>
      </c>
      <c r="K129" s="61">
        <v>14</v>
      </c>
      <c r="L129" s="61">
        <v>4</v>
      </c>
      <c r="M129" s="61">
        <v>0</v>
      </c>
      <c r="N129" s="61">
        <v>0</v>
      </c>
      <c r="O129" s="28">
        <f t="shared" si="30"/>
        <v>615.75216010359941</v>
      </c>
      <c r="P129" s="34" t="str">
        <f t="shared" si="25"/>
        <v>OK</v>
      </c>
      <c r="Q129" s="17">
        <f t="shared" si="26"/>
        <v>99.674265164610063</v>
      </c>
      <c r="R129" s="19">
        <f t="shared" si="31"/>
        <v>0.99355134283108526</v>
      </c>
      <c r="S129" s="6" t="s">
        <v>43</v>
      </c>
      <c r="T129" s="17">
        <v>7</v>
      </c>
      <c r="U129" s="6" t="s">
        <v>36</v>
      </c>
      <c r="V129" s="6" t="s">
        <v>12</v>
      </c>
      <c r="W129" s="46">
        <v>-11.074</v>
      </c>
      <c r="X129" s="46">
        <v>46.789499999999997</v>
      </c>
      <c r="Y129" s="29">
        <v>300</v>
      </c>
      <c r="Z129" s="29">
        <v>500</v>
      </c>
      <c r="AA129" s="28">
        <f t="shared" si="27"/>
        <v>460</v>
      </c>
      <c r="AB129" s="28">
        <f t="shared" si="32"/>
        <v>289.04888987731192</v>
      </c>
      <c r="AC129" s="30">
        <v>20</v>
      </c>
      <c r="AD129" s="30">
        <v>2</v>
      </c>
      <c r="AE129" s="30">
        <v>14</v>
      </c>
      <c r="AF129" s="30">
        <v>0</v>
      </c>
      <c r="AG129" s="28">
        <f t="shared" si="33"/>
        <v>628.31853071795865</v>
      </c>
      <c r="AH129" s="34" t="str">
        <f t="shared" si="28"/>
        <v>OK</v>
      </c>
      <c r="AI129" s="28">
        <f t="shared" si="34"/>
        <v>-101.70843384143883</v>
      </c>
      <c r="AJ129" s="32">
        <f t="shared" si="35"/>
        <v>-0.46003559619199108</v>
      </c>
    </row>
    <row r="130" spans="1:36" x14ac:dyDescent="0.25">
      <c r="A130" s="6" t="s">
        <v>43</v>
      </c>
      <c r="B130" s="17">
        <v>7.5</v>
      </c>
      <c r="C130" s="6" t="s">
        <v>36</v>
      </c>
      <c r="D130" s="6" t="s">
        <v>11</v>
      </c>
      <c r="E130" s="46">
        <v>54.762999999999998</v>
      </c>
      <c r="F130" s="46">
        <v>80.777199999999993</v>
      </c>
      <c r="G130" s="29">
        <v>300</v>
      </c>
      <c r="H130" s="29">
        <v>500</v>
      </c>
      <c r="I130" s="28">
        <f t="shared" si="24"/>
        <v>460</v>
      </c>
      <c r="J130" s="28">
        <f t="shared" si="29"/>
        <v>499.01281243436244</v>
      </c>
      <c r="K130" s="61">
        <v>14</v>
      </c>
      <c r="L130" s="61">
        <v>4</v>
      </c>
      <c r="M130" s="61">
        <v>0</v>
      </c>
      <c r="N130" s="61">
        <v>0</v>
      </c>
      <c r="O130" s="28">
        <f t="shared" si="30"/>
        <v>615.75216010359941</v>
      </c>
      <c r="P130" s="34" t="str">
        <f t="shared" si="25"/>
        <v>OK</v>
      </c>
      <c r="Q130" s="17">
        <f t="shared" si="26"/>
        <v>99.674265164610063</v>
      </c>
      <c r="R130" s="19">
        <f t="shared" si="31"/>
        <v>0.81041179352160819</v>
      </c>
      <c r="S130" s="6" t="s">
        <v>43</v>
      </c>
      <c r="T130" s="17">
        <v>7.5</v>
      </c>
      <c r="U130" s="6" t="s">
        <v>36</v>
      </c>
      <c r="V130" s="6" t="s">
        <v>12</v>
      </c>
      <c r="W130" s="46">
        <v>8.1310000000000002</v>
      </c>
      <c r="X130" s="46">
        <v>26.848800000000001</v>
      </c>
      <c r="Y130" s="29">
        <v>300</v>
      </c>
      <c r="Z130" s="29">
        <v>500</v>
      </c>
      <c r="AA130" s="28">
        <f t="shared" si="27"/>
        <v>460</v>
      </c>
      <c r="AB130" s="28">
        <f t="shared" si="32"/>
        <v>165.8623373735127</v>
      </c>
      <c r="AC130" s="30">
        <v>20</v>
      </c>
      <c r="AD130" s="30">
        <v>2</v>
      </c>
      <c r="AE130" s="30">
        <v>14</v>
      </c>
      <c r="AF130" s="30">
        <v>0</v>
      </c>
      <c r="AG130" s="28">
        <f t="shared" si="33"/>
        <v>628.31853071795865</v>
      </c>
      <c r="AH130" s="34" t="str">
        <f t="shared" si="28"/>
        <v>OK</v>
      </c>
      <c r="AI130" s="28">
        <f t="shared" si="34"/>
        <v>-101.70843384143883</v>
      </c>
      <c r="AJ130" s="32">
        <f t="shared" si="35"/>
        <v>-0.26397810865770166</v>
      </c>
    </row>
    <row r="131" spans="1:36" x14ac:dyDescent="0.25">
      <c r="A131" s="6" t="s">
        <v>43</v>
      </c>
      <c r="B131" s="17">
        <v>8</v>
      </c>
      <c r="C131" s="6" t="s">
        <v>36</v>
      </c>
      <c r="D131" s="6" t="s">
        <v>11</v>
      </c>
      <c r="E131" s="46">
        <v>91.271000000000001</v>
      </c>
      <c r="F131" s="46">
        <v>49.039400000000001</v>
      </c>
      <c r="G131" s="29">
        <v>300</v>
      </c>
      <c r="H131" s="29">
        <v>500</v>
      </c>
      <c r="I131" s="28">
        <f t="shared" si="24"/>
        <v>460</v>
      </c>
      <c r="J131" s="28">
        <f t="shared" si="29"/>
        <v>302.94797187936291</v>
      </c>
      <c r="K131" s="61">
        <v>14</v>
      </c>
      <c r="L131" s="61">
        <v>4</v>
      </c>
      <c r="M131" s="61">
        <v>0</v>
      </c>
      <c r="N131" s="61">
        <v>0</v>
      </c>
      <c r="O131" s="28">
        <f t="shared" si="30"/>
        <v>615.75216010359941</v>
      </c>
      <c r="P131" s="34" t="str">
        <f t="shared" si="25"/>
        <v>OK</v>
      </c>
      <c r="Q131" s="17">
        <f t="shared" si="26"/>
        <v>99.674265164610063</v>
      </c>
      <c r="R131" s="19">
        <f t="shared" si="31"/>
        <v>0.49199660432923592</v>
      </c>
      <c r="S131" s="6" t="s">
        <v>43</v>
      </c>
      <c r="T131" s="17">
        <v>8</v>
      </c>
      <c r="U131" s="6" t="s">
        <v>36</v>
      </c>
      <c r="V131" s="6" t="s">
        <v>12</v>
      </c>
      <c r="W131" s="46">
        <v>27.335000000000001</v>
      </c>
      <c r="X131" s="46">
        <v>-2.6943999999999999</v>
      </c>
      <c r="Y131" s="29">
        <v>300</v>
      </c>
      <c r="Z131" s="29">
        <v>500</v>
      </c>
      <c r="AA131" s="28">
        <f t="shared" si="27"/>
        <v>460</v>
      </c>
      <c r="AB131" s="28">
        <f t="shared" si="32"/>
        <v>16.645044911474354</v>
      </c>
      <c r="AC131" s="30">
        <v>20</v>
      </c>
      <c r="AD131" s="30">
        <v>2</v>
      </c>
      <c r="AE131" s="30">
        <v>14</v>
      </c>
      <c r="AF131" s="30">
        <v>0</v>
      </c>
      <c r="AG131" s="28">
        <f t="shared" si="33"/>
        <v>628.31853071795865</v>
      </c>
      <c r="AH131" s="34" t="str">
        <f t="shared" si="28"/>
        <v>OK</v>
      </c>
      <c r="AI131" s="28">
        <f t="shared" si="34"/>
        <v>-101.70843384143883</v>
      </c>
      <c r="AJ131" s="32">
        <f t="shared" si="35"/>
        <v>2.6491411756477432E-2</v>
      </c>
    </row>
    <row r="132" spans="1:36" x14ac:dyDescent="0.25">
      <c r="A132" s="6" t="s">
        <v>43</v>
      </c>
      <c r="B132" s="17">
        <v>8.5</v>
      </c>
      <c r="C132" s="6" t="s">
        <v>36</v>
      </c>
      <c r="D132" s="6" t="s">
        <v>11</v>
      </c>
      <c r="E132" s="46">
        <v>127.78</v>
      </c>
      <c r="F132" s="46">
        <v>30.570499999999999</v>
      </c>
      <c r="G132" s="29">
        <v>300</v>
      </c>
      <c r="H132" s="29">
        <v>500</v>
      </c>
      <c r="I132" s="28">
        <f t="shared" si="24"/>
        <v>460</v>
      </c>
      <c r="J132" s="28">
        <f t="shared" si="29"/>
        <v>188.8536763161471</v>
      </c>
      <c r="K132" s="61">
        <v>14</v>
      </c>
      <c r="L132" s="61">
        <v>4</v>
      </c>
      <c r="M132" s="61">
        <v>0</v>
      </c>
      <c r="N132" s="61">
        <v>0</v>
      </c>
      <c r="O132" s="28">
        <f t="shared" si="30"/>
        <v>615.75216010359941</v>
      </c>
      <c r="P132" s="34" t="str">
        <f t="shared" si="25"/>
        <v>OK</v>
      </c>
      <c r="Q132" s="17">
        <f t="shared" si="26"/>
        <v>99.674265164610063</v>
      </c>
      <c r="R132" s="19">
        <f t="shared" si="31"/>
        <v>0.30670404190603689</v>
      </c>
      <c r="S132" s="6" t="s">
        <v>43</v>
      </c>
      <c r="T132" s="17">
        <v>8.5</v>
      </c>
      <c r="U132" s="6" t="s">
        <v>36</v>
      </c>
      <c r="V132" s="6" t="s">
        <v>12</v>
      </c>
      <c r="W132" s="46">
        <v>46.54</v>
      </c>
      <c r="X132" s="46">
        <v>-41.84</v>
      </c>
      <c r="Y132" s="29">
        <v>300</v>
      </c>
      <c r="Z132" s="29">
        <v>500</v>
      </c>
      <c r="AA132" s="28">
        <f t="shared" si="27"/>
        <v>460</v>
      </c>
      <c r="AB132" s="28">
        <f t="shared" si="32"/>
        <v>258.47263921321519</v>
      </c>
      <c r="AC132" s="30">
        <v>20</v>
      </c>
      <c r="AD132" s="30">
        <v>2</v>
      </c>
      <c r="AE132" s="30">
        <v>18</v>
      </c>
      <c r="AF132" s="30">
        <v>2</v>
      </c>
      <c r="AG132" s="28">
        <f t="shared" si="33"/>
        <v>1137.2565405995051</v>
      </c>
      <c r="AH132" s="34" t="str">
        <f t="shared" si="28"/>
        <v>OK</v>
      </c>
      <c r="AI132" s="28">
        <f t="shared" si="34"/>
        <v>-184.09226525300429</v>
      </c>
      <c r="AJ132" s="32">
        <f t="shared" si="35"/>
        <v>0.22727733803752082</v>
      </c>
    </row>
    <row r="133" spans="1:36" x14ac:dyDescent="0.25">
      <c r="A133" s="6" t="s">
        <v>43</v>
      </c>
      <c r="B133" s="17">
        <v>9</v>
      </c>
      <c r="C133" s="6" t="s">
        <v>36</v>
      </c>
      <c r="D133" s="6" t="s">
        <v>11</v>
      </c>
      <c r="E133" s="46">
        <v>164.28800000000001</v>
      </c>
      <c r="F133" s="46">
        <v>2.4992000000000001</v>
      </c>
      <c r="G133" s="29">
        <v>300</v>
      </c>
      <c r="H133" s="29">
        <v>500</v>
      </c>
      <c r="I133" s="28">
        <f t="shared" si="24"/>
        <v>460</v>
      </c>
      <c r="J133" s="28">
        <f t="shared" si="29"/>
        <v>15.439168736177518</v>
      </c>
      <c r="K133" s="61">
        <v>14</v>
      </c>
      <c r="L133" s="61">
        <v>4</v>
      </c>
      <c r="M133" s="61">
        <v>0</v>
      </c>
      <c r="N133" s="61">
        <v>0</v>
      </c>
      <c r="O133" s="28">
        <f t="shared" si="30"/>
        <v>615.75216010359941</v>
      </c>
      <c r="P133" s="34" t="str">
        <f t="shared" si="25"/>
        <v>OK</v>
      </c>
      <c r="Q133" s="17">
        <f t="shared" si="26"/>
        <v>99.674265164610063</v>
      </c>
      <c r="R133" s="19">
        <f t="shared" si="31"/>
        <v>2.5073673689719418E-2</v>
      </c>
      <c r="S133" s="6" t="s">
        <v>43</v>
      </c>
      <c r="T133" s="17">
        <v>9</v>
      </c>
      <c r="U133" s="6" t="s">
        <v>36</v>
      </c>
      <c r="V133" s="6" t="s">
        <v>12</v>
      </c>
      <c r="W133" s="46">
        <v>65.745000000000005</v>
      </c>
      <c r="X133" s="46">
        <v>-90.587999999999994</v>
      </c>
      <c r="Y133" s="29">
        <v>300</v>
      </c>
      <c r="Z133" s="29">
        <v>500</v>
      </c>
      <c r="AA133" s="28">
        <f t="shared" si="27"/>
        <v>460</v>
      </c>
      <c r="AB133" s="28">
        <f t="shared" si="32"/>
        <v>559.62044553170972</v>
      </c>
      <c r="AC133" s="30">
        <v>20</v>
      </c>
      <c r="AD133" s="30">
        <v>2</v>
      </c>
      <c r="AE133" s="30">
        <v>18</v>
      </c>
      <c r="AF133" s="30">
        <v>2</v>
      </c>
      <c r="AG133" s="28">
        <f t="shared" si="33"/>
        <v>1137.2565405995051</v>
      </c>
      <c r="AH133" s="34" t="str">
        <f t="shared" si="28"/>
        <v>OK</v>
      </c>
      <c r="AI133" s="28">
        <f t="shared" si="34"/>
        <v>-184.09226525300429</v>
      </c>
      <c r="AJ133" s="32">
        <f t="shared" si="35"/>
        <v>0.49207933790972591</v>
      </c>
    </row>
    <row r="134" spans="1:36" x14ac:dyDescent="0.25">
      <c r="A134" s="6" t="s">
        <v>43</v>
      </c>
      <c r="B134" s="17">
        <v>9.5</v>
      </c>
      <c r="C134" s="6" t="s">
        <v>36</v>
      </c>
      <c r="D134" s="6" t="s">
        <v>11</v>
      </c>
      <c r="E134" s="46">
        <v>200.797</v>
      </c>
      <c r="F134" s="46">
        <v>-35.174500000000002</v>
      </c>
      <c r="G134" s="29">
        <v>300</v>
      </c>
      <c r="H134" s="29">
        <v>500</v>
      </c>
      <c r="I134" s="28">
        <f t="shared" si="24"/>
        <v>460</v>
      </c>
      <c r="J134" s="28">
        <f t="shared" si="29"/>
        <v>217.29555086054583</v>
      </c>
      <c r="K134" s="61">
        <v>14</v>
      </c>
      <c r="L134" s="61">
        <v>4</v>
      </c>
      <c r="M134" s="61">
        <v>0</v>
      </c>
      <c r="N134" s="61">
        <v>0</v>
      </c>
      <c r="O134" s="28">
        <f t="shared" si="30"/>
        <v>615.75216010359941</v>
      </c>
      <c r="P134" s="34" t="str">
        <f t="shared" si="25"/>
        <v>OK</v>
      </c>
      <c r="Q134" s="17">
        <f t="shared" si="26"/>
        <v>99.674265164610063</v>
      </c>
      <c r="R134" s="19">
        <f t="shared" si="31"/>
        <v>-0.35289450031971659</v>
      </c>
      <c r="S134" s="6" t="s">
        <v>43</v>
      </c>
      <c r="T134" s="17">
        <v>9.5</v>
      </c>
      <c r="U134" s="6" t="s">
        <v>36</v>
      </c>
      <c r="V134" s="6" t="s">
        <v>12</v>
      </c>
      <c r="W134" s="46">
        <v>84.95</v>
      </c>
      <c r="X134" s="46">
        <v>-174.7825</v>
      </c>
      <c r="Y134" s="29">
        <v>300</v>
      </c>
      <c r="Z134" s="29">
        <v>500</v>
      </c>
      <c r="AA134" s="28">
        <f t="shared" si="27"/>
        <v>460</v>
      </c>
      <c r="AB134" s="28">
        <f t="shared" si="32"/>
        <v>1079.7441219714096</v>
      </c>
      <c r="AC134" s="30">
        <v>20</v>
      </c>
      <c r="AD134" s="30">
        <v>2</v>
      </c>
      <c r="AE134" s="30">
        <v>18</v>
      </c>
      <c r="AF134" s="30">
        <v>2</v>
      </c>
      <c r="AG134" s="28">
        <f t="shared" si="33"/>
        <v>1137.2565405995051</v>
      </c>
      <c r="AH134" s="34" t="str">
        <f t="shared" si="28"/>
        <v>OK</v>
      </c>
      <c r="AI134" s="28">
        <f t="shared" si="34"/>
        <v>-184.09226525300429</v>
      </c>
      <c r="AJ134" s="32">
        <f t="shared" si="35"/>
        <v>0.94942880821087428</v>
      </c>
    </row>
    <row r="135" spans="1:36" x14ac:dyDescent="0.25">
      <c r="A135" s="6" t="s">
        <v>44</v>
      </c>
      <c r="B135" s="17">
        <v>9.5</v>
      </c>
      <c r="C135" s="6" t="s">
        <v>36</v>
      </c>
      <c r="D135" s="6" t="s">
        <v>11</v>
      </c>
      <c r="E135" s="46">
        <v>-50.494999999999997</v>
      </c>
      <c r="F135" s="46">
        <v>5.5646000000000004</v>
      </c>
      <c r="G135" s="29">
        <v>300</v>
      </c>
      <c r="H135" s="29">
        <v>500</v>
      </c>
      <c r="I135" s="28">
        <f t="shared" si="24"/>
        <v>460</v>
      </c>
      <c r="J135" s="28">
        <f t="shared" si="29"/>
        <v>34.376119698036739</v>
      </c>
      <c r="K135" s="61">
        <v>14</v>
      </c>
      <c r="L135" s="61">
        <v>2</v>
      </c>
      <c r="M135" s="61">
        <v>12</v>
      </c>
      <c r="N135" s="61">
        <v>2</v>
      </c>
      <c r="O135" s="28">
        <f t="shared" si="30"/>
        <v>534.07075111026484</v>
      </c>
      <c r="P135" s="34" t="str">
        <f t="shared" si="25"/>
        <v>OK</v>
      </c>
      <c r="Q135" s="17">
        <f t="shared" si="26"/>
        <v>86.452168765223007</v>
      </c>
      <c r="R135" s="19">
        <f t="shared" si="31"/>
        <v>6.4366227932484948E-2</v>
      </c>
      <c r="S135" s="6" t="s">
        <v>44</v>
      </c>
      <c r="T135" s="17">
        <v>9.5</v>
      </c>
      <c r="U135" s="6" t="s">
        <v>36</v>
      </c>
      <c r="V135" s="6" t="s">
        <v>12</v>
      </c>
      <c r="W135" s="46">
        <v>-156.28700000000001</v>
      </c>
      <c r="X135" s="46">
        <v>-123.4007</v>
      </c>
      <c r="Y135" s="29">
        <v>300</v>
      </c>
      <c r="Z135" s="29">
        <v>500</v>
      </c>
      <c r="AA135" s="28">
        <f t="shared" si="27"/>
        <v>460</v>
      </c>
      <c r="AB135" s="28">
        <f t="shared" si="32"/>
        <v>762.32563598848469</v>
      </c>
      <c r="AC135" s="30">
        <v>20</v>
      </c>
      <c r="AD135" s="30">
        <v>2</v>
      </c>
      <c r="AE135" s="30">
        <v>18</v>
      </c>
      <c r="AF135" s="30">
        <v>2</v>
      </c>
      <c r="AG135" s="28">
        <f t="shared" si="33"/>
        <v>1137.2565405995051</v>
      </c>
      <c r="AH135" s="34" t="str">
        <f t="shared" si="28"/>
        <v>OK</v>
      </c>
      <c r="AI135" s="28">
        <f t="shared" si="34"/>
        <v>-184.09226525300429</v>
      </c>
      <c r="AJ135" s="32">
        <f t="shared" si="35"/>
        <v>0.67031985200685218</v>
      </c>
    </row>
    <row r="136" spans="1:36" x14ac:dyDescent="0.25">
      <c r="A136" s="6" t="s">
        <v>44</v>
      </c>
      <c r="B136" s="17">
        <v>10</v>
      </c>
      <c r="C136" s="6" t="s">
        <v>36</v>
      </c>
      <c r="D136" s="6" t="s">
        <v>11</v>
      </c>
      <c r="E136" s="46">
        <v>-31.29</v>
      </c>
      <c r="F136" s="46">
        <v>26.011099999999999</v>
      </c>
      <c r="G136" s="29">
        <v>300</v>
      </c>
      <c r="H136" s="29">
        <v>500</v>
      </c>
      <c r="I136" s="28">
        <f t="shared" si="24"/>
        <v>460</v>
      </c>
      <c r="J136" s="28">
        <f t="shared" si="29"/>
        <v>160.68732470934179</v>
      </c>
      <c r="K136" s="61">
        <v>14</v>
      </c>
      <c r="L136" s="61">
        <v>2</v>
      </c>
      <c r="M136" s="61">
        <v>12</v>
      </c>
      <c r="N136" s="61">
        <v>2</v>
      </c>
      <c r="O136" s="28">
        <f t="shared" si="30"/>
        <v>534.07075111026484</v>
      </c>
      <c r="P136" s="34" t="str">
        <f t="shared" si="25"/>
        <v>OK</v>
      </c>
      <c r="Q136" s="17">
        <f t="shared" si="26"/>
        <v>86.452168765223007</v>
      </c>
      <c r="R136" s="19">
        <f t="shared" si="31"/>
        <v>0.30087272964357892</v>
      </c>
      <c r="S136" s="6" t="s">
        <v>44</v>
      </c>
      <c r="T136" s="17">
        <v>10</v>
      </c>
      <c r="U136" s="6" t="s">
        <v>36</v>
      </c>
      <c r="V136" s="6" t="s">
        <v>12</v>
      </c>
      <c r="W136" s="46">
        <v>-119.77800000000001</v>
      </c>
      <c r="X136" s="46">
        <v>-70.990799999999993</v>
      </c>
      <c r="Y136" s="29">
        <v>300</v>
      </c>
      <c r="Z136" s="29">
        <v>500</v>
      </c>
      <c r="AA136" s="28">
        <f t="shared" si="27"/>
        <v>460</v>
      </c>
      <c r="AB136" s="28">
        <f t="shared" si="32"/>
        <v>438.55591385892723</v>
      </c>
      <c r="AC136" s="30">
        <v>20</v>
      </c>
      <c r="AD136" s="30">
        <v>2</v>
      </c>
      <c r="AE136" s="30">
        <v>18</v>
      </c>
      <c r="AF136" s="30">
        <v>2</v>
      </c>
      <c r="AG136" s="28">
        <f t="shared" si="33"/>
        <v>1137.2565405995051</v>
      </c>
      <c r="AH136" s="34" t="str">
        <f t="shared" si="28"/>
        <v>OK</v>
      </c>
      <c r="AI136" s="28">
        <f t="shared" si="34"/>
        <v>-184.09226525300429</v>
      </c>
      <c r="AJ136" s="32">
        <f t="shared" si="35"/>
        <v>0.3856261962034902</v>
      </c>
    </row>
    <row r="137" spans="1:36" x14ac:dyDescent="0.25">
      <c r="A137" s="6" t="s">
        <v>44</v>
      </c>
      <c r="B137" s="17">
        <v>10.5</v>
      </c>
      <c r="C137" s="6" t="s">
        <v>36</v>
      </c>
      <c r="D137" s="6" t="s">
        <v>11</v>
      </c>
      <c r="E137" s="46">
        <v>-12.086</v>
      </c>
      <c r="F137" s="46">
        <v>36.855200000000004</v>
      </c>
      <c r="G137" s="29">
        <v>300</v>
      </c>
      <c r="H137" s="29">
        <v>500</v>
      </c>
      <c r="I137" s="28">
        <f t="shared" si="24"/>
        <v>460</v>
      </c>
      <c r="J137" s="28">
        <f t="shared" si="29"/>
        <v>227.6783177038931</v>
      </c>
      <c r="K137" s="61">
        <v>14</v>
      </c>
      <c r="L137" s="61">
        <v>2</v>
      </c>
      <c r="M137" s="61">
        <v>12</v>
      </c>
      <c r="N137" s="61">
        <v>2</v>
      </c>
      <c r="O137" s="28">
        <f t="shared" si="30"/>
        <v>534.07075111026484</v>
      </c>
      <c r="P137" s="34" t="str">
        <f t="shared" si="25"/>
        <v>OK</v>
      </c>
      <c r="Q137" s="17">
        <f t="shared" si="26"/>
        <v>86.452168765223007</v>
      </c>
      <c r="R137" s="19">
        <f t="shared" si="31"/>
        <v>0.42630740820495983</v>
      </c>
      <c r="S137" s="6" t="s">
        <v>44</v>
      </c>
      <c r="T137" s="17">
        <v>10.5</v>
      </c>
      <c r="U137" s="6" t="s">
        <v>36</v>
      </c>
      <c r="V137" s="6" t="s">
        <v>12</v>
      </c>
      <c r="W137" s="46">
        <v>-83.269000000000005</v>
      </c>
      <c r="X137" s="46">
        <v>-28.183399999999999</v>
      </c>
      <c r="Y137" s="29">
        <v>300</v>
      </c>
      <c r="Z137" s="29">
        <v>500</v>
      </c>
      <c r="AA137" s="28">
        <f t="shared" si="27"/>
        <v>460</v>
      </c>
      <c r="AB137" s="28">
        <f t="shared" si="32"/>
        <v>174.10702151055756</v>
      </c>
      <c r="AC137" s="30">
        <v>20</v>
      </c>
      <c r="AD137" s="30">
        <v>2</v>
      </c>
      <c r="AE137" s="30">
        <v>14</v>
      </c>
      <c r="AF137" s="30">
        <v>0</v>
      </c>
      <c r="AG137" s="28">
        <f t="shared" si="33"/>
        <v>628.31853071795865</v>
      </c>
      <c r="AH137" s="34" t="str">
        <f t="shared" si="28"/>
        <v>OK</v>
      </c>
      <c r="AI137" s="28">
        <f t="shared" si="34"/>
        <v>-101.70843384143883</v>
      </c>
      <c r="AJ137" s="32">
        <f t="shared" si="35"/>
        <v>0.27709993100412189</v>
      </c>
    </row>
    <row r="138" spans="1:36" x14ac:dyDescent="0.25">
      <c r="A138" s="6" t="s">
        <v>44</v>
      </c>
      <c r="B138" s="17">
        <v>11</v>
      </c>
      <c r="C138" s="6" t="s">
        <v>36</v>
      </c>
      <c r="D138" s="6" t="s">
        <v>11</v>
      </c>
      <c r="E138" s="46">
        <v>7.1189999999999998</v>
      </c>
      <c r="F138" s="46">
        <v>41.360399999999998</v>
      </c>
      <c r="G138" s="29">
        <v>300</v>
      </c>
      <c r="H138" s="29">
        <v>500</v>
      </c>
      <c r="I138" s="28">
        <f t="shared" si="24"/>
        <v>460</v>
      </c>
      <c r="J138" s="28">
        <f t="shared" si="29"/>
        <v>255.50984098743461</v>
      </c>
      <c r="K138" s="61">
        <v>14</v>
      </c>
      <c r="L138" s="61">
        <v>2</v>
      </c>
      <c r="M138" s="61">
        <v>12</v>
      </c>
      <c r="N138" s="61">
        <v>2</v>
      </c>
      <c r="O138" s="28">
        <f t="shared" si="30"/>
        <v>534.07075111026484</v>
      </c>
      <c r="P138" s="34" t="str">
        <f t="shared" si="25"/>
        <v>OK</v>
      </c>
      <c r="Q138" s="17">
        <f t="shared" si="26"/>
        <v>86.452168765223007</v>
      </c>
      <c r="R138" s="19">
        <f t="shared" si="31"/>
        <v>0.4784194611973458</v>
      </c>
      <c r="S138" s="6" t="s">
        <v>44</v>
      </c>
      <c r="T138" s="17">
        <v>11</v>
      </c>
      <c r="U138" s="6" t="s">
        <v>36</v>
      </c>
      <c r="V138" s="6" t="s">
        <v>12</v>
      </c>
      <c r="W138" s="46">
        <v>-56.808</v>
      </c>
      <c r="X138" s="46">
        <v>5.0213000000000001</v>
      </c>
      <c r="Y138" s="29">
        <v>300</v>
      </c>
      <c r="Z138" s="29">
        <v>500</v>
      </c>
      <c r="AA138" s="28">
        <f t="shared" si="27"/>
        <v>460</v>
      </c>
      <c r="AB138" s="28">
        <f t="shared" si="32"/>
        <v>31.019805527756152</v>
      </c>
      <c r="AC138" s="30">
        <v>20</v>
      </c>
      <c r="AD138" s="30">
        <v>2</v>
      </c>
      <c r="AE138" s="30">
        <v>14</v>
      </c>
      <c r="AF138" s="30">
        <v>0</v>
      </c>
      <c r="AG138" s="28">
        <f t="shared" si="33"/>
        <v>628.31853071795865</v>
      </c>
      <c r="AH138" s="34" t="str">
        <f t="shared" si="28"/>
        <v>OK</v>
      </c>
      <c r="AI138" s="28">
        <f t="shared" si="34"/>
        <v>-101.70843384143883</v>
      </c>
      <c r="AJ138" s="32">
        <f t="shared" si="35"/>
        <v>-4.9369553834916917E-2</v>
      </c>
    </row>
    <row r="139" spans="1:36" x14ac:dyDescent="0.25">
      <c r="A139" s="6" t="s">
        <v>44</v>
      </c>
      <c r="B139" s="17">
        <v>11.5</v>
      </c>
      <c r="C139" s="6" t="s">
        <v>36</v>
      </c>
      <c r="D139" s="6" t="s">
        <v>11</v>
      </c>
      <c r="E139" s="46">
        <v>26.324000000000002</v>
      </c>
      <c r="F139" s="46">
        <v>55.613799999999998</v>
      </c>
      <c r="G139" s="29">
        <v>300</v>
      </c>
      <c r="H139" s="29">
        <v>500</v>
      </c>
      <c r="I139" s="28">
        <f t="shared" si="24"/>
        <v>460</v>
      </c>
      <c r="J139" s="28">
        <f t="shared" si="29"/>
        <v>343.56227683259812</v>
      </c>
      <c r="K139" s="61">
        <v>14</v>
      </c>
      <c r="L139" s="61">
        <v>2</v>
      </c>
      <c r="M139" s="61">
        <v>12</v>
      </c>
      <c r="N139" s="61">
        <v>2</v>
      </c>
      <c r="O139" s="28">
        <f t="shared" si="30"/>
        <v>534.07075111026484</v>
      </c>
      <c r="P139" s="34" t="str">
        <f t="shared" si="25"/>
        <v>OK</v>
      </c>
      <c r="Q139" s="17">
        <f t="shared" si="26"/>
        <v>86.452168765223007</v>
      </c>
      <c r="R139" s="19">
        <f t="shared" si="31"/>
        <v>0.64328981903310778</v>
      </c>
      <c r="S139" s="6" t="s">
        <v>44</v>
      </c>
      <c r="T139" s="17">
        <v>11.5</v>
      </c>
      <c r="U139" s="6" t="s">
        <v>36</v>
      </c>
      <c r="V139" s="6" t="s">
        <v>12</v>
      </c>
      <c r="W139" s="46">
        <v>-37.603000000000002</v>
      </c>
      <c r="X139" s="46">
        <v>28.6005</v>
      </c>
      <c r="Y139" s="29">
        <v>300</v>
      </c>
      <c r="Z139" s="29">
        <v>500</v>
      </c>
      <c r="AA139" s="28">
        <f t="shared" si="27"/>
        <v>460</v>
      </c>
      <c r="AB139" s="28">
        <f t="shared" si="32"/>
        <v>176.68371696504687</v>
      </c>
      <c r="AC139" s="30">
        <v>18</v>
      </c>
      <c r="AD139" s="30">
        <v>2</v>
      </c>
      <c r="AE139" s="30">
        <v>14</v>
      </c>
      <c r="AF139" s="30">
        <v>0</v>
      </c>
      <c r="AG139" s="28">
        <f t="shared" si="33"/>
        <v>508.93800988154646</v>
      </c>
      <c r="AH139" s="34" t="str">
        <f t="shared" si="28"/>
        <v>OK</v>
      </c>
      <c r="AI139" s="28">
        <f t="shared" si="34"/>
        <v>-82.383831411565467</v>
      </c>
      <c r="AJ139" s="32">
        <f t="shared" si="35"/>
        <v>-0.34716156689921701</v>
      </c>
    </row>
    <row r="140" spans="1:36" x14ac:dyDescent="0.25">
      <c r="A140" s="6" t="s">
        <v>44</v>
      </c>
      <c r="B140" s="17">
        <v>12</v>
      </c>
      <c r="C140" s="6" t="s">
        <v>36</v>
      </c>
      <c r="D140" s="6" t="s">
        <v>11</v>
      </c>
      <c r="E140" s="46">
        <v>45.529000000000003</v>
      </c>
      <c r="F140" s="46">
        <v>51.6128</v>
      </c>
      <c r="G140" s="29">
        <v>300</v>
      </c>
      <c r="H140" s="29">
        <v>500</v>
      </c>
      <c r="I140" s="28">
        <f t="shared" si="24"/>
        <v>460</v>
      </c>
      <c r="J140" s="28">
        <f t="shared" si="29"/>
        <v>318.84552182561742</v>
      </c>
      <c r="K140" s="61">
        <v>14</v>
      </c>
      <c r="L140" s="61">
        <v>2</v>
      </c>
      <c r="M140" s="61">
        <v>12</v>
      </c>
      <c r="N140" s="61">
        <v>2</v>
      </c>
      <c r="O140" s="28">
        <f t="shared" si="30"/>
        <v>534.07075111026484</v>
      </c>
      <c r="P140" s="34" t="str">
        <f t="shared" si="25"/>
        <v>OK</v>
      </c>
      <c r="Q140" s="17">
        <f t="shared" si="26"/>
        <v>86.452168765223007</v>
      </c>
      <c r="R140" s="19">
        <f t="shared" si="31"/>
        <v>0.59700989272072735</v>
      </c>
      <c r="S140" s="6" t="s">
        <v>44</v>
      </c>
      <c r="T140" s="17">
        <v>12</v>
      </c>
      <c r="U140" s="6" t="s">
        <v>36</v>
      </c>
      <c r="V140" s="6" t="s">
        <v>12</v>
      </c>
      <c r="W140" s="46">
        <v>-18.398</v>
      </c>
      <c r="X140" s="46">
        <v>11.7715</v>
      </c>
      <c r="Y140" s="29">
        <v>300</v>
      </c>
      <c r="Z140" s="29">
        <v>500</v>
      </c>
      <c r="AA140" s="28">
        <f t="shared" si="27"/>
        <v>460</v>
      </c>
      <c r="AB140" s="28">
        <f t="shared" si="32"/>
        <v>72.720140356079412</v>
      </c>
      <c r="AC140" s="30">
        <v>18</v>
      </c>
      <c r="AD140" s="30">
        <v>2</v>
      </c>
      <c r="AE140" s="30">
        <v>12</v>
      </c>
      <c r="AF140" s="30">
        <v>1</v>
      </c>
      <c r="AG140" s="28">
        <f t="shared" si="33"/>
        <v>622.03534541077897</v>
      </c>
      <c r="AH140" s="34" t="str">
        <f t="shared" si="28"/>
        <v>OK</v>
      </c>
      <c r="AI140" s="28">
        <f t="shared" si="34"/>
        <v>-100.69134950302445</v>
      </c>
      <c r="AJ140" s="32">
        <f t="shared" si="35"/>
        <v>-0.11690676565663091</v>
      </c>
    </row>
    <row r="141" spans="1:36" x14ac:dyDescent="0.25">
      <c r="A141" s="6" t="s">
        <v>44</v>
      </c>
      <c r="B141" s="17">
        <v>12.5</v>
      </c>
      <c r="C141" s="6" t="s">
        <v>36</v>
      </c>
      <c r="D141" s="6" t="s">
        <v>11</v>
      </c>
      <c r="E141" s="46">
        <v>64.733999999999995</v>
      </c>
      <c r="F141" s="46">
        <v>47.023400000000002</v>
      </c>
      <c r="G141" s="29">
        <v>300</v>
      </c>
      <c r="H141" s="29">
        <v>500</v>
      </c>
      <c r="I141" s="28">
        <f t="shared" si="24"/>
        <v>460</v>
      </c>
      <c r="J141" s="28">
        <f t="shared" si="29"/>
        <v>290.49384088859233</v>
      </c>
      <c r="K141" s="61">
        <v>14</v>
      </c>
      <c r="L141" s="61">
        <v>2</v>
      </c>
      <c r="M141" s="61">
        <v>12</v>
      </c>
      <c r="N141" s="61">
        <v>2</v>
      </c>
      <c r="O141" s="28">
        <f t="shared" si="30"/>
        <v>534.07075111026484</v>
      </c>
      <c r="P141" s="34" t="str">
        <f t="shared" si="25"/>
        <v>OK</v>
      </c>
      <c r="Q141" s="17">
        <f t="shared" si="26"/>
        <v>86.452168765223007</v>
      </c>
      <c r="R141" s="19">
        <f t="shared" si="31"/>
        <v>0.54392389076670611</v>
      </c>
      <c r="S141" s="6" t="s">
        <v>44</v>
      </c>
      <c r="T141" s="17">
        <v>12.5</v>
      </c>
      <c r="U141" s="6" t="s">
        <v>36</v>
      </c>
      <c r="V141" s="6" t="s">
        <v>12</v>
      </c>
      <c r="W141" s="46">
        <v>0.80700000000000005</v>
      </c>
      <c r="X141" s="46">
        <v>-15.793699999999999</v>
      </c>
      <c r="Y141" s="29">
        <v>300</v>
      </c>
      <c r="Z141" s="29">
        <v>500</v>
      </c>
      <c r="AA141" s="28">
        <f t="shared" si="27"/>
        <v>460</v>
      </c>
      <c r="AB141" s="28">
        <f t="shared" si="32"/>
        <v>97.567861423082135</v>
      </c>
      <c r="AC141" s="30">
        <v>18</v>
      </c>
      <c r="AD141" s="30">
        <v>2</v>
      </c>
      <c r="AE141" s="30">
        <v>12</v>
      </c>
      <c r="AF141" s="30">
        <v>1</v>
      </c>
      <c r="AG141" s="28">
        <f t="shared" si="33"/>
        <v>622.03534541077897</v>
      </c>
      <c r="AH141" s="34" t="str">
        <f t="shared" si="28"/>
        <v>OK</v>
      </c>
      <c r="AI141" s="28">
        <f t="shared" si="34"/>
        <v>-100.69134950302445</v>
      </c>
      <c r="AJ141" s="32">
        <f t="shared" si="35"/>
        <v>0.15685260032715725</v>
      </c>
    </row>
    <row r="142" spans="1:36" x14ac:dyDescent="0.25">
      <c r="A142" s="6" t="s">
        <v>44</v>
      </c>
      <c r="B142" s="17">
        <v>13</v>
      </c>
      <c r="C142" s="6" t="s">
        <v>36</v>
      </c>
      <c r="D142" s="6" t="s">
        <v>11</v>
      </c>
      <c r="E142" s="46">
        <v>99.272999999999996</v>
      </c>
      <c r="F142" s="46">
        <v>41.818800000000003</v>
      </c>
      <c r="G142" s="29">
        <v>300</v>
      </c>
      <c r="H142" s="29">
        <v>500</v>
      </c>
      <c r="I142" s="28">
        <f t="shared" si="24"/>
        <v>460</v>
      </c>
      <c r="J142" s="28">
        <f t="shared" si="29"/>
        <v>258.3416731531932</v>
      </c>
      <c r="K142" s="61">
        <v>14</v>
      </c>
      <c r="L142" s="61">
        <v>2</v>
      </c>
      <c r="M142" s="61">
        <v>12</v>
      </c>
      <c r="N142" s="61">
        <v>2</v>
      </c>
      <c r="O142" s="28">
        <f t="shared" si="30"/>
        <v>534.07075111026484</v>
      </c>
      <c r="P142" s="34" t="str">
        <f t="shared" si="25"/>
        <v>OK</v>
      </c>
      <c r="Q142" s="17">
        <f t="shared" si="26"/>
        <v>86.452168765223007</v>
      </c>
      <c r="R142" s="19">
        <f t="shared" si="31"/>
        <v>0.48372181516425294</v>
      </c>
      <c r="S142" s="6" t="s">
        <v>44</v>
      </c>
      <c r="T142" s="17">
        <v>13</v>
      </c>
      <c r="U142" s="6" t="s">
        <v>36</v>
      </c>
      <c r="V142" s="6" t="s">
        <v>12</v>
      </c>
      <c r="W142" s="46">
        <v>20.010999999999999</v>
      </c>
      <c r="X142" s="46">
        <v>-52.961599999999997</v>
      </c>
      <c r="Y142" s="29">
        <v>300</v>
      </c>
      <c r="Z142" s="29">
        <v>500</v>
      </c>
      <c r="AA142" s="28">
        <f t="shared" si="27"/>
        <v>460</v>
      </c>
      <c r="AB142" s="28">
        <f t="shared" si="32"/>
        <v>327.17792851229962</v>
      </c>
      <c r="AC142" s="30">
        <v>18</v>
      </c>
      <c r="AD142" s="30">
        <v>2</v>
      </c>
      <c r="AE142" s="30">
        <v>12</v>
      </c>
      <c r="AF142" s="30">
        <v>1</v>
      </c>
      <c r="AG142" s="28">
        <f t="shared" si="33"/>
        <v>622.03534541077897</v>
      </c>
      <c r="AH142" s="34" t="str">
        <f t="shared" si="28"/>
        <v>OK</v>
      </c>
      <c r="AI142" s="28">
        <f t="shared" si="34"/>
        <v>-100.69134950302445</v>
      </c>
      <c r="AJ142" s="32">
        <f t="shared" si="35"/>
        <v>0.52597964235655814</v>
      </c>
    </row>
    <row r="143" spans="1:36" x14ac:dyDescent="0.25">
      <c r="A143" s="6" t="s">
        <v>44</v>
      </c>
      <c r="B143" s="17">
        <v>13.5</v>
      </c>
      <c r="C143" s="6" t="s">
        <v>36</v>
      </c>
      <c r="D143" s="6" t="s">
        <v>11</v>
      </c>
      <c r="E143" s="46">
        <v>135.78200000000001</v>
      </c>
      <c r="F143" s="46">
        <v>27.011700000000001</v>
      </c>
      <c r="G143" s="29">
        <v>300</v>
      </c>
      <c r="H143" s="29">
        <v>500</v>
      </c>
      <c r="I143" s="28">
        <f t="shared" si="24"/>
        <v>460</v>
      </c>
      <c r="J143" s="28">
        <f t="shared" si="29"/>
        <v>166.86867563660621</v>
      </c>
      <c r="K143" s="61">
        <v>14</v>
      </c>
      <c r="L143" s="61">
        <v>2</v>
      </c>
      <c r="M143" s="61">
        <v>12</v>
      </c>
      <c r="N143" s="61">
        <v>2</v>
      </c>
      <c r="O143" s="28">
        <f>PI()*K143^2/4*L143+PI()*M143^2/4*N143</f>
        <v>534.07075111026484</v>
      </c>
      <c r="P143" s="34" t="str">
        <f t="shared" si="25"/>
        <v>OK</v>
      </c>
      <c r="Q143" s="17">
        <f t="shared" si="26"/>
        <v>86.452168765223007</v>
      </c>
      <c r="R143" s="19">
        <f t="shared" si="31"/>
        <v>0.31244675970310604</v>
      </c>
      <c r="S143" s="6" t="s">
        <v>44</v>
      </c>
      <c r="T143" s="17">
        <v>13.5</v>
      </c>
      <c r="U143" s="6" t="s">
        <v>36</v>
      </c>
      <c r="V143" s="6" t="s">
        <v>12</v>
      </c>
      <c r="W143" s="46">
        <v>39.216000000000001</v>
      </c>
      <c r="X143" s="46">
        <v>-99.731999999999999</v>
      </c>
      <c r="Y143" s="29">
        <v>300</v>
      </c>
      <c r="Z143" s="29">
        <v>500</v>
      </c>
      <c r="AA143" s="28">
        <f t="shared" si="27"/>
        <v>460</v>
      </c>
      <c r="AB143" s="28">
        <f t="shared" si="32"/>
        <v>616.10882538270494</v>
      </c>
      <c r="AC143" s="30">
        <v>18</v>
      </c>
      <c r="AD143" s="30">
        <v>2</v>
      </c>
      <c r="AE143" s="30">
        <v>12</v>
      </c>
      <c r="AF143" s="30">
        <v>1</v>
      </c>
      <c r="AG143" s="28">
        <f>PI()*AC143^2/4*AD143+PI()*AE143^2/4*AF143</f>
        <v>622.03534541077897</v>
      </c>
      <c r="AH143" s="34" t="str">
        <f t="shared" si="28"/>
        <v>OK</v>
      </c>
      <c r="AI143" s="28">
        <f t="shared" si="34"/>
        <v>-100.69134950302445</v>
      </c>
      <c r="AJ143" s="32">
        <f>X143/AI143</f>
        <v>0.99047237416362521</v>
      </c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67" spans="1:36" x14ac:dyDescent="0.25">
      <c r="A167" s="2" t="s">
        <v>1</v>
      </c>
      <c r="B167" s="3" t="s">
        <v>2</v>
      </c>
      <c r="C167" s="2" t="s">
        <v>34</v>
      </c>
      <c r="D167" s="2" t="s">
        <v>3</v>
      </c>
      <c r="E167" s="3" t="s">
        <v>4</v>
      </c>
      <c r="F167" s="3" t="s">
        <v>5</v>
      </c>
      <c r="G167" s="5" t="s">
        <v>20</v>
      </c>
      <c r="H167" s="5" t="s">
        <v>21</v>
      </c>
      <c r="I167" s="5" t="s">
        <v>25</v>
      </c>
      <c r="J167" s="5" t="s">
        <v>23</v>
      </c>
      <c r="K167" s="5" t="s">
        <v>26</v>
      </c>
      <c r="L167" s="5" t="s">
        <v>27</v>
      </c>
      <c r="M167" s="5" t="s">
        <v>26</v>
      </c>
      <c r="N167" s="5" t="s">
        <v>27</v>
      </c>
      <c r="O167" s="5" t="s">
        <v>23</v>
      </c>
      <c r="P167" s="18"/>
      <c r="Q167" s="5" t="s">
        <v>31</v>
      </c>
      <c r="R167" s="5" t="s">
        <v>33</v>
      </c>
      <c r="S167" s="2" t="s">
        <v>1</v>
      </c>
      <c r="T167" s="3" t="s">
        <v>2</v>
      </c>
      <c r="U167" s="2" t="s">
        <v>34</v>
      </c>
      <c r="V167" s="2" t="s">
        <v>3</v>
      </c>
      <c r="W167" s="3" t="s">
        <v>4</v>
      </c>
      <c r="X167" s="3" t="s">
        <v>5</v>
      </c>
      <c r="Y167" s="5" t="s">
        <v>20</v>
      </c>
      <c r="Z167" s="5" t="s">
        <v>21</v>
      </c>
      <c r="AA167" s="5" t="s">
        <v>25</v>
      </c>
      <c r="AB167" s="5" t="s">
        <v>23</v>
      </c>
      <c r="AC167" s="5" t="s">
        <v>26</v>
      </c>
      <c r="AD167" s="5" t="s">
        <v>27</v>
      </c>
      <c r="AE167" s="5" t="s">
        <v>26</v>
      </c>
      <c r="AF167" s="5" t="s">
        <v>27</v>
      </c>
      <c r="AG167" s="5" t="s">
        <v>23</v>
      </c>
      <c r="AH167" s="18"/>
      <c r="AI167" s="5" t="s">
        <v>31</v>
      </c>
      <c r="AJ167" s="5" t="s">
        <v>33</v>
      </c>
    </row>
    <row r="168" spans="1:36" x14ac:dyDescent="0.25">
      <c r="A168" s="4" t="s">
        <v>6</v>
      </c>
      <c r="B168" s="5" t="s">
        <v>7</v>
      </c>
      <c r="C168" s="4" t="s">
        <v>6</v>
      </c>
      <c r="D168" s="4" t="s">
        <v>6</v>
      </c>
      <c r="E168" s="5" t="s">
        <v>8</v>
      </c>
      <c r="F168" s="5" t="s">
        <v>9</v>
      </c>
      <c r="G168" s="9" t="s">
        <v>22</v>
      </c>
      <c r="H168" s="9" t="s">
        <v>22</v>
      </c>
      <c r="I168" s="9" t="s">
        <v>22</v>
      </c>
      <c r="J168" s="9" t="s">
        <v>24</v>
      </c>
      <c r="K168" s="9" t="s">
        <v>22</v>
      </c>
      <c r="L168" s="9" t="s">
        <v>28</v>
      </c>
      <c r="M168" s="9" t="s">
        <v>22</v>
      </c>
      <c r="N168" s="9" t="s">
        <v>28</v>
      </c>
      <c r="O168" s="9" t="s">
        <v>24</v>
      </c>
      <c r="P168" s="31"/>
      <c r="Q168" s="9" t="s">
        <v>9</v>
      </c>
      <c r="R168" s="9" t="s">
        <v>28</v>
      </c>
      <c r="S168" s="4" t="s">
        <v>6</v>
      </c>
      <c r="T168" s="5" t="s">
        <v>7</v>
      </c>
      <c r="U168" s="4" t="s">
        <v>6</v>
      </c>
      <c r="V168" s="4" t="s">
        <v>6</v>
      </c>
      <c r="W168" s="5" t="s">
        <v>8</v>
      </c>
      <c r="X168" s="5" t="s">
        <v>9</v>
      </c>
      <c r="Y168" s="9" t="s">
        <v>22</v>
      </c>
      <c r="Z168" s="5" t="s">
        <v>22</v>
      </c>
      <c r="AA168" s="5" t="s">
        <v>22</v>
      </c>
      <c r="AB168" s="5" t="s">
        <v>24</v>
      </c>
      <c r="AC168" s="5" t="s">
        <v>22</v>
      </c>
      <c r="AD168" s="5" t="s">
        <v>28</v>
      </c>
      <c r="AE168" s="5" t="s">
        <v>22</v>
      </c>
      <c r="AF168" s="5" t="s">
        <v>28</v>
      </c>
      <c r="AG168" s="5" t="s">
        <v>24</v>
      </c>
      <c r="AH168" s="18"/>
      <c r="AI168" s="5" t="s">
        <v>9</v>
      </c>
      <c r="AJ168" s="5" t="s">
        <v>28</v>
      </c>
    </row>
    <row r="169" spans="1:36" x14ac:dyDescent="0.25">
      <c r="A169" s="6" t="s">
        <v>45</v>
      </c>
      <c r="B169" s="17">
        <v>0</v>
      </c>
      <c r="C169" s="6" t="s">
        <v>36</v>
      </c>
      <c r="D169" s="6" t="s">
        <v>11</v>
      </c>
      <c r="E169" s="46">
        <v>-36.207999999999998</v>
      </c>
      <c r="F169" s="72">
        <v>32.955800000000004</v>
      </c>
      <c r="G169" s="29">
        <v>300</v>
      </c>
      <c r="H169" s="29">
        <v>500</v>
      </c>
      <c r="I169" s="28">
        <f t="shared" ref="I169:I198" si="36">H169-40</f>
        <v>460</v>
      </c>
      <c r="J169" s="28">
        <f>ABS(F169)*1000^2/(0.9*391*I169)</f>
        <v>203.58921136192345</v>
      </c>
      <c r="K169" s="61">
        <v>18</v>
      </c>
      <c r="L169" s="61">
        <v>2</v>
      </c>
      <c r="M169" s="61">
        <v>12</v>
      </c>
      <c r="N169" s="61">
        <v>0</v>
      </c>
      <c r="O169" s="28">
        <f>PI()*K169^2/4*L169+PI()*M169^2/4*N169</f>
        <v>508.93800988154646</v>
      </c>
      <c r="P169" s="34" t="str">
        <f t="shared" ref="P169:P198" si="37">IF(O169&gt;=J169,"OK","NO")</f>
        <v>OK</v>
      </c>
      <c r="Q169" s="17">
        <f t="shared" ref="Q169:Q198" si="38">(O169*0.9*391*I169)/1000^2</f>
        <v>82.383831411565467</v>
      </c>
      <c r="R169" s="19">
        <f>F169/Q169</f>
        <v>0.4000275228201331</v>
      </c>
      <c r="S169" s="6" t="s">
        <v>45</v>
      </c>
      <c r="T169" s="17">
        <v>0</v>
      </c>
      <c r="U169" s="6" t="s">
        <v>36</v>
      </c>
      <c r="V169" s="6" t="s">
        <v>12</v>
      </c>
      <c r="W169" s="48">
        <v>-135.755</v>
      </c>
      <c r="X169" s="72">
        <v>-105.60039999999999</v>
      </c>
      <c r="Y169" s="29">
        <v>300</v>
      </c>
      <c r="Z169" s="29">
        <v>500</v>
      </c>
      <c r="AA169" s="28">
        <f t="shared" ref="AA169:AA198" si="39">Z169-40</f>
        <v>460</v>
      </c>
      <c r="AB169" s="28">
        <f>ABS(X169)*1000^2/(0.9*391*AA169)</f>
        <v>652.36171343143417</v>
      </c>
      <c r="AC169" s="30">
        <v>18</v>
      </c>
      <c r="AD169" s="30">
        <v>2</v>
      </c>
      <c r="AE169" s="30">
        <v>14</v>
      </c>
      <c r="AF169" s="30">
        <v>1</v>
      </c>
      <c r="AG169" s="28">
        <f>PI()*AC169^2/4*AD169+PI()*AE169^2/4*AF169</f>
        <v>662.87604990744626</v>
      </c>
      <c r="AH169" s="34" t="str">
        <f t="shared" ref="AH169:AH198" si="40">IF(AG169&gt;=AB169,"OK","NO")</f>
        <v>OK</v>
      </c>
      <c r="AI169" s="28">
        <f>-(AG169*0.9*391*AA169)/1000^2</f>
        <v>-107.30239770271794</v>
      </c>
      <c r="AJ169" s="32">
        <f>X169/AI169</f>
        <v>0.98413830688636295</v>
      </c>
    </row>
    <row r="170" spans="1:36" x14ac:dyDescent="0.25">
      <c r="A170" s="6" t="s">
        <v>45</v>
      </c>
      <c r="B170" s="17">
        <v>0.5</v>
      </c>
      <c r="C170" s="6" t="s">
        <v>36</v>
      </c>
      <c r="D170" s="6" t="s">
        <v>11</v>
      </c>
      <c r="E170" s="46">
        <v>-17.003</v>
      </c>
      <c r="F170" s="72">
        <v>46.258499999999998</v>
      </c>
      <c r="G170" s="29">
        <v>300</v>
      </c>
      <c r="H170" s="29">
        <v>500</v>
      </c>
      <c r="I170" s="28">
        <f t="shared" si="36"/>
        <v>460</v>
      </c>
      <c r="J170" s="28">
        <f t="shared" ref="J170:J198" si="41">ABS(F170)*1000^2/(0.9*391*I170)</f>
        <v>285.76856073242146</v>
      </c>
      <c r="K170" s="61">
        <v>18</v>
      </c>
      <c r="L170" s="61">
        <v>2</v>
      </c>
      <c r="M170" s="61">
        <v>12</v>
      </c>
      <c r="N170" s="61">
        <v>0</v>
      </c>
      <c r="O170" s="28">
        <f t="shared" ref="O170:O197" si="42">PI()*K170^2/4*L170+PI()*M170^2/4*N170</f>
        <v>508.93800988154646</v>
      </c>
      <c r="P170" s="34" t="str">
        <f t="shared" si="37"/>
        <v>OK</v>
      </c>
      <c r="Q170" s="17">
        <f t="shared" si="38"/>
        <v>82.383831411565467</v>
      </c>
      <c r="R170" s="19">
        <f t="shared" ref="R170:R198" si="43">F170/Q170</f>
        <v>0.56149974099779476</v>
      </c>
      <c r="S170" s="6" t="s">
        <v>45</v>
      </c>
      <c r="T170" s="17">
        <v>0.5</v>
      </c>
      <c r="U170" s="6" t="s">
        <v>36</v>
      </c>
      <c r="V170" s="6" t="s">
        <v>12</v>
      </c>
      <c r="W170" s="48">
        <v>-99.247</v>
      </c>
      <c r="X170" s="72">
        <v>-57.357300000000002</v>
      </c>
      <c r="Y170" s="29">
        <v>300</v>
      </c>
      <c r="Z170" s="29">
        <v>500</v>
      </c>
      <c r="AA170" s="28">
        <f t="shared" si="39"/>
        <v>460</v>
      </c>
      <c r="AB170" s="28">
        <f t="shared" ref="AB170:AB198" si="44">ABS(X170)*1000^2/(0.9*391*AA170)</f>
        <v>354.33299974053887</v>
      </c>
      <c r="AC170" s="30">
        <v>18</v>
      </c>
      <c r="AD170" s="30">
        <v>2</v>
      </c>
      <c r="AE170" s="30">
        <v>14</v>
      </c>
      <c r="AF170" s="30">
        <v>1</v>
      </c>
      <c r="AG170" s="28">
        <f t="shared" ref="AG170:AG197" si="45">PI()*AC170^2/4*AD170+PI()*AE170^2/4*AF170</f>
        <v>662.87604990744626</v>
      </c>
      <c r="AH170" s="34" t="str">
        <f t="shared" si="40"/>
        <v>OK</v>
      </c>
      <c r="AI170" s="28">
        <f t="shared" ref="AI170:AI198" si="46">-(AG170*0.9*391*AA170)/1000^2</f>
        <v>-107.30239770271794</v>
      </c>
      <c r="AJ170" s="32">
        <f t="shared" ref="AJ170:AJ197" si="47">X170/AI170</f>
        <v>0.53453884748138447</v>
      </c>
    </row>
    <row r="171" spans="1:36" x14ac:dyDescent="0.25">
      <c r="A171" s="6" t="s">
        <v>45</v>
      </c>
      <c r="B171" s="17">
        <v>1</v>
      </c>
      <c r="C171" s="6" t="s">
        <v>36</v>
      </c>
      <c r="D171" s="6" t="s">
        <v>11</v>
      </c>
      <c r="E171" s="46">
        <v>2.202</v>
      </c>
      <c r="F171" s="72">
        <v>49.958799999999997</v>
      </c>
      <c r="G171" s="29">
        <v>300</v>
      </c>
      <c r="H171" s="29">
        <v>500</v>
      </c>
      <c r="I171" s="28">
        <f t="shared" si="36"/>
        <v>460</v>
      </c>
      <c r="J171" s="28">
        <f t="shared" si="41"/>
        <v>308.62769808616571</v>
      </c>
      <c r="K171" s="61">
        <v>18</v>
      </c>
      <c r="L171" s="61">
        <v>2</v>
      </c>
      <c r="M171" s="61">
        <v>12</v>
      </c>
      <c r="N171" s="61">
        <v>0</v>
      </c>
      <c r="O171" s="28">
        <f t="shared" si="42"/>
        <v>508.93800988154646</v>
      </c>
      <c r="P171" s="34" t="str">
        <f t="shared" si="37"/>
        <v>OK</v>
      </c>
      <c r="Q171" s="17">
        <f t="shared" si="38"/>
        <v>82.383831411565467</v>
      </c>
      <c r="R171" s="19">
        <f t="shared" si="43"/>
        <v>0.60641510772205387</v>
      </c>
      <c r="S171" s="6" t="s">
        <v>45</v>
      </c>
      <c r="T171" s="17">
        <v>1</v>
      </c>
      <c r="U171" s="6" t="s">
        <v>36</v>
      </c>
      <c r="V171" s="6" t="s">
        <v>12</v>
      </c>
      <c r="W171" s="48">
        <v>-67.679000000000002</v>
      </c>
      <c r="X171" s="72">
        <v>-18.7166</v>
      </c>
      <c r="Y171" s="29">
        <v>300</v>
      </c>
      <c r="Z171" s="29">
        <v>500</v>
      </c>
      <c r="AA171" s="28">
        <f t="shared" si="39"/>
        <v>460</v>
      </c>
      <c r="AB171" s="28">
        <f t="shared" si="44"/>
        <v>115.62449806639729</v>
      </c>
      <c r="AC171" s="30">
        <v>18</v>
      </c>
      <c r="AD171" s="30">
        <v>2</v>
      </c>
      <c r="AE171" s="30">
        <v>14</v>
      </c>
      <c r="AF171" s="30">
        <v>1</v>
      </c>
      <c r="AG171" s="28">
        <f t="shared" si="45"/>
        <v>662.87604990744626</v>
      </c>
      <c r="AH171" s="34" t="str">
        <f t="shared" si="40"/>
        <v>OK</v>
      </c>
      <c r="AI171" s="28">
        <f t="shared" si="46"/>
        <v>-107.30239770271794</v>
      </c>
      <c r="AJ171" s="32">
        <f t="shared" si="47"/>
        <v>0.17442853468991881</v>
      </c>
    </row>
    <row r="172" spans="1:36" x14ac:dyDescent="0.25">
      <c r="A172" s="6" t="s">
        <v>45</v>
      </c>
      <c r="B172" s="17">
        <v>1.5</v>
      </c>
      <c r="C172" s="6" t="s">
        <v>36</v>
      </c>
      <c r="D172" s="6" t="s">
        <v>11</v>
      </c>
      <c r="E172" s="46">
        <v>21.407</v>
      </c>
      <c r="F172" s="72">
        <v>51.533799999999999</v>
      </c>
      <c r="G172" s="29">
        <v>300</v>
      </c>
      <c r="H172" s="29">
        <v>500</v>
      </c>
      <c r="I172" s="28">
        <f t="shared" si="36"/>
        <v>460</v>
      </c>
      <c r="J172" s="28">
        <f t="shared" si="41"/>
        <v>318.35748792270527</v>
      </c>
      <c r="K172" s="61">
        <v>18</v>
      </c>
      <c r="L172" s="61">
        <v>2</v>
      </c>
      <c r="M172" s="61">
        <v>12</v>
      </c>
      <c r="N172" s="61">
        <v>0</v>
      </c>
      <c r="O172" s="28">
        <f t="shared" si="42"/>
        <v>508.93800988154646</v>
      </c>
      <c r="P172" s="34" t="str">
        <f t="shared" si="37"/>
        <v>OK</v>
      </c>
      <c r="Q172" s="17">
        <f t="shared" si="38"/>
        <v>82.383831411565467</v>
      </c>
      <c r="R172" s="19">
        <f t="shared" si="43"/>
        <v>0.62553293670638166</v>
      </c>
      <c r="S172" s="6" t="s">
        <v>45</v>
      </c>
      <c r="T172" s="17">
        <v>1.5</v>
      </c>
      <c r="U172" s="6" t="s">
        <v>36</v>
      </c>
      <c r="V172" s="6" t="s">
        <v>12</v>
      </c>
      <c r="W172" s="48">
        <v>-48.473999999999997</v>
      </c>
      <c r="X172" s="72">
        <v>10.321300000000001</v>
      </c>
      <c r="Y172" s="29">
        <v>300</v>
      </c>
      <c r="Z172" s="29">
        <v>500</v>
      </c>
      <c r="AA172" s="28">
        <f t="shared" si="39"/>
        <v>460</v>
      </c>
      <c r="AB172" s="28">
        <f t="shared" si="44"/>
        <v>63.761320533254249</v>
      </c>
      <c r="AC172" s="30">
        <v>18</v>
      </c>
      <c r="AD172" s="30">
        <v>2</v>
      </c>
      <c r="AE172" s="30">
        <v>14</v>
      </c>
      <c r="AF172" s="30">
        <v>0</v>
      </c>
      <c r="AG172" s="28">
        <f t="shared" si="45"/>
        <v>508.93800988154646</v>
      </c>
      <c r="AH172" s="34" t="str">
        <f t="shared" si="40"/>
        <v>OK</v>
      </c>
      <c r="AI172" s="28">
        <f t="shared" si="46"/>
        <v>-82.383831411565467</v>
      </c>
      <c r="AJ172" s="32">
        <f t="shared" si="47"/>
        <v>-0.12528307828313801</v>
      </c>
    </row>
    <row r="173" spans="1:36" x14ac:dyDescent="0.25">
      <c r="A173" s="6" t="s">
        <v>45</v>
      </c>
      <c r="B173" s="17">
        <v>2</v>
      </c>
      <c r="C173" s="6" t="s">
        <v>36</v>
      </c>
      <c r="D173" s="6" t="s">
        <v>11</v>
      </c>
      <c r="E173" s="46">
        <v>40.612000000000002</v>
      </c>
      <c r="F173" s="72">
        <v>55.521500000000003</v>
      </c>
      <c r="G173" s="29">
        <v>300</v>
      </c>
      <c r="H173" s="29">
        <v>500</v>
      </c>
      <c r="I173" s="28">
        <f t="shared" si="36"/>
        <v>460</v>
      </c>
      <c r="J173" s="28">
        <f t="shared" si="41"/>
        <v>342.99208025995523</v>
      </c>
      <c r="K173" s="61">
        <v>18</v>
      </c>
      <c r="L173" s="61">
        <v>2</v>
      </c>
      <c r="M173" s="61">
        <v>12</v>
      </c>
      <c r="N173" s="61">
        <v>0</v>
      </c>
      <c r="O173" s="28">
        <f t="shared" si="42"/>
        <v>508.93800988154646</v>
      </c>
      <c r="P173" s="34" t="str">
        <f t="shared" si="37"/>
        <v>OK</v>
      </c>
      <c r="Q173" s="17">
        <f t="shared" si="38"/>
        <v>82.383831411565467</v>
      </c>
      <c r="R173" s="19">
        <f t="shared" si="43"/>
        <v>0.67393685203387621</v>
      </c>
      <c r="S173" s="6" t="s">
        <v>45</v>
      </c>
      <c r="T173" s="17">
        <v>2</v>
      </c>
      <c r="U173" s="6" t="s">
        <v>36</v>
      </c>
      <c r="V173" s="6" t="s">
        <v>12</v>
      </c>
      <c r="W173" s="48">
        <v>-29.27</v>
      </c>
      <c r="X173" s="72">
        <v>28.526199999999999</v>
      </c>
      <c r="Y173" s="29">
        <v>300</v>
      </c>
      <c r="Z173" s="29">
        <v>500</v>
      </c>
      <c r="AA173" s="28">
        <f t="shared" si="39"/>
        <v>460</v>
      </c>
      <c r="AB173" s="28">
        <f t="shared" si="44"/>
        <v>176.22471799053582</v>
      </c>
      <c r="AC173" s="30">
        <v>18</v>
      </c>
      <c r="AD173" s="30">
        <v>2</v>
      </c>
      <c r="AE173" s="30">
        <v>14</v>
      </c>
      <c r="AF173" s="30">
        <v>0</v>
      </c>
      <c r="AG173" s="28">
        <f t="shared" si="45"/>
        <v>508.93800988154646</v>
      </c>
      <c r="AH173" s="34" t="str">
        <f t="shared" si="40"/>
        <v>OK</v>
      </c>
      <c r="AI173" s="28">
        <f t="shared" si="46"/>
        <v>-82.383831411565467</v>
      </c>
      <c r="AJ173" s="32">
        <f t="shared" si="47"/>
        <v>-0.34625969090332143</v>
      </c>
    </row>
    <row r="174" spans="1:36" x14ac:dyDescent="0.25">
      <c r="A174" s="6" t="s">
        <v>45</v>
      </c>
      <c r="B174" s="17">
        <v>2.5</v>
      </c>
      <c r="C174" s="6" t="s">
        <v>36</v>
      </c>
      <c r="D174" s="6" t="s">
        <v>11</v>
      </c>
      <c r="E174" s="46">
        <v>59.817</v>
      </c>
      <c r="F174" s="72">
        <v>41.254899999999999</v>
      </c>
      <c r="G174" s="29">
        <v>300</v>
      </c>
      <c r="H174" s="29">
        <v>500</v>
      </c>
      <c r="I174" s="28">
        <f t="shared" si="36"/>
        <v>460</v>
      </c>
      <c r="J174" s="28">
        <f t="shared" si="41"/>
        <v>254.85809950949499</v>
      </c>
      <c r="K174" s="61">
        <v>18</v>
      </c>
      <c r="L174" s="61">
        <v>2</v>
      </c>
      <c r="M174" s="61">
        <v>12</v>
      </c>
      <c r="N174" s="61">
        <v>0</v>
      </c>
      <c r="O174" s="28">
        <f t="shared" si="42"/>
        <v>508.93800988154646</v>
      </c>
      <c r="P174" s="34" t="str">
        <f t="shared" si="37"/>
        <v>OK</v>
      </c>
      <c r="Q174" s="17">
        <f t="shared" si="38"/>
        <v>82.383831411565467</v>
      </c>
      <c r="R174" s="19">
        <f t="shared" si="43"/>
        <v>0.5007645225178059</v>
      </c>
      <c r="S174" s="6" t="s">
        <v>45</v>
      </c>
      <c r="T174" s="17">
        <v>2.5</v>
      </c>
      <c r="U174" s="6" t="s">
        <v>36</v>
      </c>
      <c r="V174" s="6" t="s">
        <v>12</v>
      </c>
      <c r="W174" s="48">
        <v>-10.065</v>
      </c>
      <c r="X174" s="72">
        <v>3.4434999999999998</v>
      </c>
      <c r="Y174" s="29">
        <v>300</v>
      </c>
      <c r="Z174" s="29">
        <v>500</v>
      </c>
      <c r="AA174" s="28">
        <f t="shared" si="39"/>
        <v>460</v>
      </c>
      <c r="AB174" s="28">
        <f t="shared" si="44"/>
        <v>21.272718287062773</v>
      </c>
      <c r="AC174" s="30">
        <v>18</v>
      </c>
      <c r="AD174" s="30">
        <v>2</v>
      </c>
      <c r="AE174" s="30">
        <v>14</v>
      </c>
      <c r="AF174" s="30">
        <v>0</v>
      </c>
      <c r="AG174" s="28">
        <f t="shared" si="45"/>
        <v>508.93800988154646</v>
      </c>
      <c r="AH174" s="34" t="str">
        <f t="shared" si="40"/>
        <v>OK</v>
      </c>
      <c r="AI174" s="28">
        <f t="shared" si="46"/>
        <v>-82.383831411565467</v>
      </c>
      <c r="AJ174" s="32">
        <f t="shared" si="47"/>
        <v>-4.1798250227004903E-2</v>
      </c>
    </row>
    <row r="175" spans="1:36" x14ac:dyDescent="0.25">
      <c r="A175" s="6" t="s">
        <v>45</v>
      </c>
      <c r="B175" s="17">
        <v>3</v>
      </c>
      <c r="C175" s="6" t="s">
        <v>36</v>
      </c>
      <c r="D175" s="6" t="s">
        <v>11</v>
      </c>
      <c r="E175" s="46">
        <v>83.296000000000006</v>
      </c>
      <c r="F175" s="72">
        <v>39.823300000000003</v>
      </c>
      <c r="G175" s="29">
        <v>300</v>
      </c>
      <c r="H175" s="29">
        <v>500</v>
      </c>
      <c r="I175" s="28">
        <f t="shared" si="36"/>
        <v>460</v>
      </c>
      <c r="J175" s="28">
        <f t="shared" si="41"/>
        <v>246.01418387140612</v>
      </c>
      <c r="K175" s="61">
        <v>18</v>
      </c>
      <c r="L175" s="61">
        <v>2</v>
      </c>
      <c r="M175" s="61">
        <v>12</v>
      </c>
      <c r="N175" s="61">
        <v>0</v>
      </c>
      <c r="O175" s="28">
        <f t="shared" si="42"/>
        <v>508.93800988154646</v>
      </c>
      <c r="P175" s="34" t="str">
        <f t="shared" si="37"/>
        <v>OK</v>
      </c>
      <c r="Q175" s="17">
        <f t="shared" si="38"/>
        <v>82.383831411565467</v>
      </c>
      <c r="R175" s="19">
        <f t="shared" si="43"/>
        <v>0.48338732634386078</v>
      </c>
      <c r="S175" s="6" t="s">
        <v>45</v>
      </c>
      <c r="T175" s="17">
        <v>3</v>
      </c>
      <c r="U175" s="6" t="s">
        <v>36</v>
      </c>
      <c r="V175" s="6" t="s">
        <v>12</v>
      </c>
      <c r="W175" s="48">
        <v>9.14</v>
      </c>
      <c r="X175" s="72">
        <v>-31.265599999999999</v>
      </c>
      <c r="Y175" s="29">
        <v>300</v>
      </c>
      <c r="Z175" s="29">
        <v>500</v>
      </c>
      <c r="AA175" s="28">
        <f t="shared" si="39"/>
        <v>460</v>
      </c>
      <c r="AB175" s="28">
        <f t="shared" si="44"/>
        <v>193.14775689733986</v>
      </c>
      <c r="AC175" s="30">
        <v>20</v>
      </c>
      <c r="AD175" s="30">
        <v>2</v>
      </c>
      <c r="AE175" s="30">
        <v>18</v>
      </c>
      <c r="AF175" s="30">
        <v>2</v>
      </c>
      <c r="AG175" s="28">
        <f t="shared" si="45"/>
        <v>1137.2565405995051</v>
      </c>
      <c r="AH175" s="34" t="str">
        <f t="shared" si="40"/>
        <v>OK</v>
      </c>
      <c r="AI175" s="28">
        <f t="shared" si="46"/>
        <v>-184.09226525300429</v>
      </c>
      <c r="AJ175" s="32">
        <f t="shared" si="47"/>
        <v>0.16983657600731142</v>
      </c>
    </row>
    <row r="176" spans="1:36" x14ac:dyDescent="0.25">
      <c r="A176" s="6" t="s">
        <v>45</v>
      </c>
      <c r="B176" s="17">
        <v>3.5</v>
      </c>
      <c r="C176" s="6" t="s">
        <v>36</v>
      </c>
      <c r="D176" s="6" t="s">
        <v>11</v>
      </c>
      <c r="E176" s="46">
        <v>119.80500000000001</v>
      </c>
      <c r="F176" s="72">
        <v>30.451899999999998</v>
      </c>
      <c r="G176" s="29">
        <v>300</v>
      </c>
      <c r="H176" s="29">
        <v>500</v>
      </c>
      <c r="I176" s="28">
        <f t="shared" si="36"/>
        <v>460</v>
      </c>
      <c r="J176" s="28">
        <f t="shared" si="41"/>
        <v>188.12100769734482</v>
      </c>
      <c r="K176" s="61">
        <v>18</v>
      </c>
      <c r="L176" s="61">
        <v>2</v>
      </c>
      <c r="M176" s="61">
        <v>12</v>
      </c>
      <c r="N176" s="61">
        <v>0</v>
      </c>
      <c r="O176" s="28">
        <f t="shared" si="42"/>
        <v>508.93800988154646</v>
      </c>
      <c r="P176" s="34" t="str">
        <f t="shared" si="37"/>
        <v>OK</v>
      </c>
      <c r="Q176" s="17">
        <f t="shared" si="38"/>
        <v>82.383831411565467</v>
      </c>
      <c r="R176" s="19">
        <f t="shared" si="43"/>
        <v>0.36963442314149281</v>
      </c>
      <c r="S176" s="6" t="s">
        <v>45</v>
      </c>
      <c r="T176" s="17">
        <v>3.5</v>
      </c>
      <c r="U176" s="6" t="s">
        <v>36</v>
      </c>
      <c r="V176" s="6" t="s">
        <v>12</v>
      </c>
      <c r="W176" s="48">
        <v>28.344999999999999</v>
      </c>
      <c r="X176" s="72">
        <v>-75.577299999999994</v>
      </c>
      <c r="Y176" s="29">
        <v>300</v>
      </c>
      <c r="Z176" s="29">
        <v>500</v>
      </c>
      <c r="AA176" s="28">
        <f t="shared" si="39"/>
        <v>460</v>
      </c>
      <c r="AB176" s="28">
        <f t="shared" si="44"/>
        <v>466.88967962736439</v>
      </c>
      <c r="AC176" s="30">
        <v>20</v>
      </c>
      <c r="AD176" s="30">
        <v>2</v>
      </c>
      <c r="AE176" s="30">
        <v>18</v>
      </c>
      <c r="AF176" s="30">
        <v>2</v>
      </c>
      <c r="AG176" s="28">
        <f t="shared" si="45"/>
        <v>1137.2565405995051</v>
      </c>
      <c r="AH176" s="34" t="str">
        <f t="shared" si="40"/>
        <v>OK</v>
      </c>
      <c r="AI176" s="28">
        <f t="shared" si="46"/>
        <v>-184.09226525300429</v>
      </c>
      <c r="AJ176" s="32">
        <f t="shared" si="47"/>
        <v>0.41054033365351622</v>
      </c>
    </row>
    <row r="177" spans="1:36" x14ac:dyDescent="0.25">
      <c r="A177" s="6" t="s">
        <v>45</v>
      </c>
      <c r="B177" s="17">
        <v>4</v>
      </c>
      <c r="C177" s="6" t="s">
        <v>36</v>
      </c>
      <c r="D177" s="6" t="s">
        <v>11</v>
      </c>
      <c r="E177" s="46">
        <v>156.31299999999999</v>
      </c>
      <c r="F177" s="72">
        <v>11.478199999999999</v>
      </c>
      <c r="G177" s="29">
        <v>300</v>
      </c>
      <c r="H177" s="29">
        <v>500</v>
      </c>
      <c r="I177" s="28">
        <f t="shared" si="36"/>
        <v>460</v>
      </c>
      <c r="J177" s="28">
        <f t="shared" si="41"/>
        <v>70.908237270963824</v>
      </c>
      <c r="K177" s="61">
        <v>18</v>
      </c>
      <c r="L177" s="61">
        <v>2</v>
      </c>
      <c r="M177" s="61">
        <v>12</v>
      </c>
      <c r="N177" s="61">
        <v>0</v>
      </c>
      <c r="O177" s="28">
        <f t="shared" si="42"/>
        <v>508.93800988154646</v>
      </c>
      <c r="P177" s="34" t="str">
        <f t="shared" si="37"/>
        <v>OK</v>
      </c>
      <c r="Q177" s="17">
        <f t="shared" si="38"/>
        <v>82.383831411565467</v>
      </c>
      <c r="R177" s="19">
        <f t="shared" si="43"/>
        <v>0.13932588231613408</v>
      </c>
      <c r="S177" s="6" t="s">
        <v>45</v>
      </c>
      <c r="T177" s="17">
        <v>4</v>
      </c>
      <c r="U177" s="6" t="s">
        <v>36</v>
      </c>
      <c r="V177" s="6" t="s">
        <v>12</v>
      </c>
      <c r="W177" s="48">
        <v>47.55</v>
      </c>
      <c r="X177" s="72">
        <v>-129.49160000000001</v>
      </c>
      <c r="Y177" s="29">
        <v>300</v>
      </c>
      <c r="Z177" s="29">
        <v>500</v>
      </c>
      <c r="AA177" s="28">
        <f t="shared" si="39"/>
        <v>460</v>
      </c>
      <c r="AB177" s="28">
        <f t="shared" si="44"/>
        <v>799.95304990301088</v>
      </c>
      <c r="AC177" s="30">
        <v>20</v>
      </c>
      <c r="AD177" s="30">
        <v>2</v>
      </c>
      <c r="AE177" s="30">
        <v>18</v>
      </c>
      <c r="AF177" s="30">
        <v>2</v>
      </c>
      <c r="AG177" s="28">
        <f t="shared" si="45"/>
        <v>1137.2565405995051</v>
      </c>
      <c r="AH177" s="34" t="str">
        <f t="shared" si="40"/>
        <v>OK</v>
      </c>
      <c r="AI177" s="28">
        <f t="shared" si="46"/>
        <v>-184.09226525300429</v>
      </c>
      <c r="AJ177" s="32">
        <f t="shared" si="47"/>
        <v>0.7034059786381317</v>
      </c>
    </row>
    <row r="178" spans="1:36" x14ac:dyDescent="0.25">
      <c r="A178" s="6" t="s">
        <v>46</v>
      </c>
      <c r="B178" s="17">
        <v>4</v>
      </c>
      <c r="C178" s="6" t="s">
        <v>36</v>
      </c>
      <c r="D178" s="6" t="s">
        <v>11</v>
      </c>
      <c r="E178" s="46">
        <v>-82.995999999999995</v>
      </c>
      <c r="F178" s="72">
        <v>-29.8369</v>
      </c>
      <c r="G178" s="29">
        <v>300</v>
      </c>
      <c r="H178" s="29">
        <v>500</v>
      </c>
      <c r="I178" s="28">
        <f t="shared" si="36"/>
        <v>460</v>
      </c>
      <c r="J178" s="28">
        <f t="shared" si="41"/>
        <v>184.32175642783889</v>
      </c>
      <c r="K178" s="61">
        <v>18</v>
      </c>
      <c r="L178" s="61">
        <v>2</v>
      </c>
      <c r="M178" s="61">
        <v>12</v>
      </c>
      <c r="N178" s="61">
        <v>0</v>
      </c>
      <c r="O178" s="28">
        <f t="shared" si="42"/>
        <v>508.93800988154646</v>
      </c>
      <c r="P178" s="34" t="str">
        <f t="shared" si="37"/>
        <v>OK</v>
      </c>
      <c r="Q178" s="17">
        <f t="shared" si="38"/>
        <v>82.383831411565467</v>
      </c>
      <c r="R178" s="19">
        <f t="shared" si="43"/>
        <v>-0.36216936610951722</v>
      </c>
      <c r="S178" s="6" t="s">
        <v>46</v>
      </c>
      <c r="T178" s="17">
        <v>4</v>
      </c>
      <c r="U178" s="6" t="s">
        <v>36</v>
      </c>
      <c r="V178" s="6" t="s">
        <v>12</v>
      </c>
      <c r="W178" s="48">
        <v>-200.797</v>
      </c>
      <c r="X178" s="72">
        <v>-174.86160000000001</v>
      </c>
      <c r="Y178" s="29">
        <v>300</v>
      </c>
      <c r="Z178" s="29">
        <v>500</v>
      </c>
      <c r="AA178" s="28">
        <f t="shared" si="39"/>
        <v>460</v>
      </c>
      <c r="AB178" s="28">
        <f t="shared" si="44"/>
        <v>1080.2327736387558</v>
      </c>
      <c r="AC178" s="30">
        <v>20</v>
      </c>
      <c r="AD178" s="30">
        <v>2</v>
      </c>
      <c r="AE178" s="30">
        <v>18</v>
      </c>
      <c r="AF178" s="30">
        <v>2</v>
      </c>
      <c r="AG178" s="28">
        <f t="shared" si="45"/>
        <v>1137.2565405995051</v>
      </c>
      <c r="AH178" s="34" t="str">
        <f t="shared" si="40"/>
        <v>OK</v>
      </c>
      <c r="AI178" s="28">
        <f t="shared" si="46"/>
        <v>-184.09226525300429</v>
      </c>
      <c r="AJ178" s="32">
        <f t="shared" si="47"/>
        <v>0.9498584840578812</v>
      </c>
    </row>
    <row r="179" spans="1:36" x14ac:dyDescent="0.25">
      <c r="A179" s="6" t="s">
        <v>46</v>
      </c>
      <c r="B179" s="17">
        <v>4.5</v>
      </c>
      <c r="C179" s="6" t="s">
        <v>36</v>
      </c>
      <c r="D179" s="6" t="s">
        <v>11</v>
      </c>
      <c r="E179" s="46">
        <v>-63.792000000000002</v>
      </c>
      <c r="F179" s="72">
        <v>6.8601000000000001</v>
      </c>
      <c r="G179" s="29">
        <v>300</v>
      </c>
      <c r="H179" s="29">
        <v>500</v>
      </c>
      <c r="I179" s="28">
        <f t="shared" si="36"/>
        <v>460</v>
      </c>
      <c r="J179" s="28">
        <f t="shared" si="41"/>
        <v>42.379257941361793</v>
      </c>
      <c r="K179" s="61">
        <v>18</v>
      </c>
      <c r="L179" s="61">
        <v>2</v>
      </c>
      <c r="M179" s="61">
        <v>12</v>
      </c>
      <c r="N179" s="61">
        <v>0</v>
      </c>
      <c r="O179" s="28">
        <f t="shared" si="42"/>
        <v>508.93800988154646</v>
      </c>
      <c r="P179" s="34" t="str">
        <f t="shared" si="37"/>
        <v>OK</v>
      </c>
      <c r="Q179" s="17">
        <f t="shared" si="38"/>
        <v>82.383831411565467</v>
      </c>
      <c r="R179" s="19">
        <f t="shared" si="43"/>
        <v>8.3269980073261612E-2</v>
      </c>
      <c r="S179" s="6" t="s">
        <v>46</v>
      </c>
      <c r="T179" s="17">
        <v>4.5</v>
      </c>
      <c r="U179" s="6" t="s">
        <v>36</v>
      </c>
      <c r="V179" s="6" t="s">
        <v>12</v>
      </c>
      <c r="W179" s="48">
        <v>-164.28800000000001</v>
      </c>
      <c r="X179" s="72">
        <v>-95.006600000000006</v>
      </c>
      <c r="Y179" s="29">
        <v>300</v>
      </c>
      <c r="Z179" s="29">
        <v>500</v>
      </c>
      <c r="AA179" s="28">
        <f t="shared" si="39"/>
        <v>460</v>
      </c>
      <c r="AB179" s="28">
        <f t="shared" si="44"/>
        <v>586.91698481535013</v>
      </c>
      <c r="AC179" s="30">
        <v>20</v>
      </c>
      <c r="AD179" s="30">
        <v>2</v>
      </c>
      <c r="AE179" s="30">
        <v>18</v>
      </c>
      <c r="AF179" s="30">
        <v>2</v>
      </c>
      <c r="AG179" s="28">
        <f t="shared" si="45"/>
        <v>1137.2565405995051</v>
      </c>
      <c r="AH179" s="34" t="str">
        <f t="shared" si="40"/>
        <v>OK</v>
      </c>
      <c r="AI179" s="28">
        <f t="shared" si="46"/>
        <v>-184.09226525300429</v>
      </c>
      <c r="AJ179" s="32">
        <f t="shared" si="47"/>
        <v>0.51608143269587781</v>
      </c>
    </row>
    <row r="180" spans="1:36" x14ac:dyDescent="0.25">
      <c r="A180" s="6" t="s">
        <v>46</v>
      </c>
      <c r="B180" s="17">
        <v>5</v>
      </c>
      <c r="C180" s="6" t="s">
        <v>36</v>
      </c>
      <c r="D180" s="6" t="s">
        <v>11</v>
      </c>
      <c r="E180" s="46">
        <v>-44.587000000000003</v>
      </c>
      <c r="F180" s="72">
        <v>33.954599999999999</v>
      </c>
      <c r="G180" s="29">
        <v>300</v>
      </c>
      <c r="H180" s="29">
        <v>500</v>
      </c>
      <c r="I180" s="28">
        <f t="shared" si="36"/>
        <v>460</v>
      </c>
      <c r="J180" s="28">
        <f t="shared" si="41"/>
        <v>209.75944252937467</v>
      </c>
      <c r="K180" s="61">
        <v>18</v>
      </c>
      <c r="L180" s="61">
        <v>2</v>
      </c>
      <c r="M180" s="61">
        <v>12</v>
      </c>
      <c r="N180" s="61">
        <v>0</v>
      </c>
      <c r="O180" s="28">
        <f t="shared" si="42"/>
        <v>508.93800988154646</v>
      </c>
      <c r="P180" s="34" t="str">
        <f t="shared" si="37"/>
        <v>OK</v>
      </c>
      <c r="Q180" s="17">
        <f t="shared" si="38"/>
        <v>82.383831411565467</v>
      </c>
      <c r="R180" s="19">
        <f t="shared" si="43"/>
        <v>0.41215126097222615</v>
      </c>
      <c r="S180" s="6" t="s">
        <v>46</v>
      </c>
      <c r="T180" s="17">
        <v>5</v>
      </c>
      <c r="U180" s="6" t="s">
        <v>36</v>
      </c>
      <c r="V180" s="6" t="s">
        <v>12</v>
      </c>
      <c r="W180" s="48">
        <v>-127.78</v>
      </c>
      <c r="X180" s="72">
        <v>-45.281799999999997</v>
      </c>
      <c r="Y180" s="29">
        <v>300</v>
      </c>
      <c r="Z180" s="29">
        <v>500</v>
      </c>
      <c r="AA180" s="28">
        <f t="shared" si="39"/>
        <v>460</v>
      </c>
      <c r="AB180" s="28">
        <f t="shared" si="44"/>
        <v>279.7348555048988</v>
      </c>
      <c r="AC180" s="30">
        <v>18</v>
      </c>
      <c r="AD180" s="30">
        <v>2</v>
      </c>
      <c r="AE180" s="30">
        <v>14</v>
      </c>
      <c r="AF180" s="30">
        <v>0</v>
      </c>
      <c r="AG180" s="28">
        <f t="shared" si="45"/>
        <v>508.93800988154646</v>
      </c>
      <c r="AH180" s="34" t="str">
        <f t="shared" si="40"/>
        <v>OK</v>
      </c>
      <c r="AI180" s="28">
        <f t="shared" si="46"/>
        <v>-82.383831411565467</v>
      </c>
      <c r="AJ180" s="32">
        <f t="shared" si="47"/>
        <v>0.54964425936668815</v>
      </c>
    </row>
    <row r="181" spans="1:36" x14ac:dyDescent="0.25">
      <c r="A181" s="6" t="s">
        <v>46</v>
      </c>
      <c r="B181" s="17">
        <v>5.5</v>
      </c>
      <c r="C181" s="6" t="s">
        <v>36</v>
      </c>
      <c r="D181" s="6" t="s">
        <v>11</v>
      </c>
      <c r="E181" s="46">
        <v>-25.382000000000001</v>
      </c>
      <c r="F181" s="72">
        <v>51.446800000000003</v>
      </c>
      <c r="G181" s="29">
        <v>300</v>
      </c>
      <c r="H181" s="29">
        <v>500</v>
      </c>
      <c r="I181" s="28">
        <f t="shared" si="36"/>
        <v>460</v>
      </c>
      <c r="J181" s="28">
        <f t="shared" si="41"/>
        <v>317.82003286506784</v>
      </c>
      <c r="K181" s="61">
        <v>18</v>
      </c>
      <c r="L181" s="61">
        <v>2</v>
      </c>
      <c r="M181" s="61">
        <v>12</v>
      </c>
      <c r="N181" s="61">
        <v>0</v>
      </c>
      <c r="O181" s="28">
        <f t="shared" si="42"/>
        <v>508.93800988154646</v>
      </c>
      <c r="P181" s="34" t="str">
        <f t="shared" si="37"/>
        <v>OK</v>
      </c>
      <c r="Q181" s="17">
        <f t="shared" si="38"/>
        <v>82.383831411565467</v>
      </c>
      <c r="R181" s="19">
        <f t="shared" si="43"/>
        <v>0.62447690424819979</v>
      </c>
      <c r="S181" s="6" t="s">
        <v>46</v>
      </c>
      <c r="T181" s="17">
        <v>5.5</v>
      </c>
      <c r="U181" s="6" t="s">
        <v>36</v>
      </c>
      <c r="V181" s="6" t="s">
        <v>12</v>
      </c>
      <c r="W181" s="48">
        <v>-91.271000000000001</v>
      </c>
      <c r="X181" s="72">
        <v>-5.1595000000000004</v>
      </c>
      <c r="Y181" s="29">
        <v>300</v>
      </c>
      <c r="Z181" s="29">
        <v>500</v>
      </c>
      <c r="AA181" s="28">
        <f t="shared" si="39"/>
        <v>460</v>
      </c>
      <c r="AB181" s="28">
        <f t="shared" si="44"/>
        <v>31.873555975635366</v>
      </c>
      <c r="AC181" s="30">
        <v>18</v>
      </c>
      <c r="AD181" s="30">
        <v>2</v>
      </c>
      <c r="AE181" s="30">
        <v>14</v>
      </c>
      <c r="AF181" s="30">
        <v>0</v>
      </c>
      <c r="AG181" s="28">
        <f t="shared" si="45"/>
        <v>508.93800988154646</v>
      </c>
      <c r="AH181" s="34" t="str">
        <f t="shared" si="40"/>
        <v>OK</v>
      </c>
      <c r="AI181" s="28">
        <f t="shared" si="46"/>
        <v>-82.383831411565467</v>
      </c>
      <c r="AJ181" s="32">
        <f t="shared" si="47"/>
        <v>6.2627580091834417E-2</v>
      </c>
    </row>
    <row r="182" spans="1:36" x14ac:dyDescent="0.25">
      <c r="A182" s="6" t="s">
        <v>46</v>
      </c>
      <c r="B182" s="17">
        <v>6</v>
      </c>
      <c r="C182" s="6" t="s">
        <v>36</v>
      </c>
      <c r="D182" s="6" t="s">
        <v>11</v>
      </c>
      <c r="E182" s="46">
        <v>-6.1769999999999996</v>
      </c>
      <c r="F182" s="72">
        <v>80.698099999999997</v>
      </c>
      <c r="G182" s="29">
        <v>300</v>
      </c>
      <c r="H182" s="29">
        <v>500</v>
      </c>
      <c r="I182" s="28">
        <f t="shared" si="36"/>
        <v>460</v>
      </c>
      <c r="J182" s="28">
        <f t="shared" si="41"/>
        <v>498.52416076701621</v>
      </c>
      <c r="K182" s="61">
        <v>18</v>
      </c>
      <c r="L182" s="61">
        <v>2</v>
      </c>
      <c r="M182" s="61">
        <v>12</v>
      </c>
      <c r="N182" s="61">
        <v>1</v>
      </c>
      <c r="O182" s="28">
        <f t="shared" si="42"/>
        <v>622.03534541077897</v>
      </c>
      <c r="P182" s="34" t="str">
        <f t="shared" si="37"/>
        <v>OK</v>
      </c>
      <c r="Q182" s="17">
        <f t="shared" si="38"/>
        <v>100.69134950302445</v>
      </c>
      <c r="R182" s="19">
        <f t="shared" si="43"/>
        <v>0.8014402468364582</v>
      </c>
      <c r="S182" s="6" t="s">
        <v>46</v>
      </c>
      <c r="T182" s="17">
        <v>6</v>
      </c>
      <c r="U182" s="6" t="s">
        <v>36</v>
      </c>
      <c r="V182" s="6" t="s">
        <v>12</v>
      </c>
      <c r="W182" s="48">
        <v>-54.762999999999998</v>
      </c>
      <c r="X182" s="72">
        <v>25.360399999999998</v>
      </c>
      <c r="Y182" s="29">
        <v>300</v>
      </c>
      <c r="Z182" s="29">
        <v>500</v>
      </c>
      <c r="AA182" s="28">
        <f t="shared" si="39"/>
        <v>460</v>
      </c>
      <c r="AB182" s="28">
        <f t="shared" si="44"/>
        <v>156.66753153687432</v>
      </c>
      <c r="AC182" s="30">
        <v>18</v>
      </c>
      <c r="AD182" s="30">
        <v>2</v>
      </c>
      <c r="AE182" s="30">
        <v>14</v>
      </c>
      <c r="AF182" s="30">
        <v>0</v>
      </c>
      <c r="AG182" s="28">
        <f t="shared" si="45"/>
        <v>508.93800988154646</v>
      </c>
      <c r="AH182" s="34" t="str">
        <f t="shared" si="40"/>
        <v>OK</v>
      </c>
      <c r="AI182" s="28">
        <f t="shared" si="46"/>
        <v>-82.383831411565467</v>
      </c>
      <c r="AJ182" s="32">
        <f t="shared" si="47"/>
        <v>-0.3078322477296167</v>
      </c>
    </row>
    <row r="183" spans="1:36" x14ac:dyDescent="0.25">
      <c r="A183" s="6" t="s">
        <v>46</v>
      </c>
      <c r="B183" s="17">
        <v>6.5</v>
      </c>
      <c r="C183" s="6" t="s">
        <v>36</v>
      </c>
      <c r="D183" s="6" t="s">
        <v>11</v>
      </c>
      <c r="E183" s="46">
        <v>13.028</v>
      </c>
      <c r="F183" s="72">
        <v>98.952399999999997</v>
      </c>
      <c r="G183" s="29">
        <v>300</v>
      </c>
      <c r="H183" s="29">
        <v>500</v>
      </c>
      <c r="I183" s="28">
        <f t="shared" si="36"/>
        <v>460</v>
      </c>
      <c r="J183" s="28">
        <f t="shared" si="41"/>
        <v>611.29273385472641</v>
      </c>
      <c r="K183" s="61">
        <v>18</v>
      </c>
      <c r="L183" s="61">
        <v>2</v>
      </c>
      <c r="M183" s="61">
        <v>12</v>
      </c>
      <c r="N183" s="61">
        <v>1</v>
      </c>
      <c r="O183" s="28">
        <f t="shared" si="42"/>
        <v>622.03534541077897</v>
      </c>
      <c r="P183" s="34" t="str">
        <f t="shared" si="37"/>
        <v>OK</v>
      </c>
      <c r="Q183" s="17">
        <f t="shared" si="38"/>
        <v>100.69134950302445</v>
      </c>
      <c r="R183" s="19">
        <f t="shared" si="43"/>
        <v>0.98272990170846575</v>
      </c>
      <c r="S183" s="6" t="s">
        <v>46</v>
      </c>
      <c r="T183" s="17">
        <v>6.5</v>
      </c>
      <c r="U183" s="6" t="s">
        <v>36</v>
      </c>
      <c r="V183" s="6" t="s">
        <v>12</v>
      </c>
      <c r="W183" s="48">
        <v>-32.232999999999997</v>
      </c>
      <c r="X183" s="72">
        <v>46.277900000000002</v>
      </c>
      <c r="Y183" s="29">
        <v>300</v>
      </c>
      <c r="Z183" s="29">
        <v>500</v>
      </c>
      <c r="AA183" s="28">
        <f t="shared" si="39"/>
        <v>460</v>
      </c>
      <c r="AB183" s="28">
        <f t="shared" si="44"/>
        <v>285.88840703263025</v>
      </c>
      <c r="AC183" s="30">
        <v>18</v>
      </c>
      <c r="AD183" s="30">
        <v>2</v>
      </c>
      <c r="AE183" s="30">
        <v>14</v>
      </c>
      <c r="AF183" s="30">
        <v>0</v>
      </c>
      <c r="AG183" s="28">
        <f t="shared" si="45"/>
        <v>508.93800988154646</v>
      </c>
      <c r="AH183" s="34" t="str">
        <f t="shared" si="40"/>
        <v>OK</v>
      </c>
      <c r="AI183" s="28">
        <f t="shared" si="46"/>
        <v>-82.383831411565467</v>
      </c>
      <c r="AJ183" s="32">
        <f t="shared" si="47"/>
        <v>-0.5617352240976653</v>
      </c>
    </row>
    <row r="184" spans="1:36" x14ac:dyDescent="0.25">
      <c r="A184" s="6" t="s">
        <v>46</v>
      </c>
      <c r="B184" s="17">
        <v>7</v>
      </c>
      <c r="C184" s="6" t="s">
        <v>36</v>
      </c>
      <c r="D184" s="6" t="s">
        <v>11</v>
      </c>
      <c r="E184" s="46">
        <v>32.232999999999997</v>
      </c>
      <c r="F184" s="72">
        <v>98.952399999999997</v>
      </c>
      <c r="G184" s="29">
        <v>300</v>
      </c>
      <c r="H184" s="29">
        <v>500</v>
      </c>
      <c r="I184" s="28">
        <f t="shared" si="36"/>
        <v>460</v>
      </c>
      <c r="J184" s="28">
        <f t="shared" si="41"/>
        <v>611.29273385472641</v>
      </c>
      <c r="K184" s="61">
        <v>18</v>
      </c>
      <c r="L184" s="61">
        <v>2</v>
      </c>
      <c r="M184" s="61">
        <v>12</v>
      </c>
      <c r="N184" s="61">
        <v>1</v>
      </c>
      <c r="O184" s="28">
        <f t="shared" si="42"/>
        <v>622.03534541077897</v>
      </c>
      <c r="P184" s="34" t="str">
        <f t="shared" si="37"/>
        <v>OK</v>
      </c>
      <c r="Q184" s="17">
        <f t="shared" si="38"/>
        <v>100.69134950302445</v>
      </c>
      <c r="R184" s="19">
        <f t="shared" si="43"/>
        <v>0.98272990170846575</v>
      </c>
      <c r="S184" s="6" t="s">
        <v>46</v>
      </c>
      <c r="T184" s="17">
        <v>7</v>
      </c>
      <c r="U184" s="6" t="s">
        <v>36</v>
      </c>
      <c r="V184" s="6" t="s">
        <v>12</v>
      </c>
      <c r="W184" s="48">
        <v>-13.028</v>
      </c>
      <c r="X184" s="72">
        <v>46.277900000000002</v>
      </c>
      <c r="Y184" s="29">
        <v>300</v>
      </c>
      <c r="Z184" s="29">
        <v>500</v>
      </c>
      <c r="AA184" s="28">
        <f t="shared" si="39"/>
        <v>460</v>
      </c>
      <c r="AB184" s="28">
        <f t="shared" si="44"/>
        <v>285.88840703263025</v>
      </c>
      <c r="AC184" s="30">
        <v>18</v>
      </c>
      <c r="AD184" s="30">
        <v>2</v>
      </c>
      <c r="AE184" s="30">
        <v>14</v>
      </c>
      <c r="AF184" s="30">
        <v>0</v>
      </c>
      <c r="AG184" s="28">
        <f t="shared" si="45"/>
        <v>508.93800988154646</v>
      </c>
      <c r="AH184" s="34" t="str">
        <f t="shared" si="40"/>
        <v>OK</v>
      </c>
      <c r="AI184" s="28">
        <f t="shared" si="46"/>
        <v>-82.383831411565467</v>
      </c>
      <c r="AJ184" s="32">
        <f t="shared" si="47"/>
        <v>-0.5617352240976653</v>
      </c>
    </row>
    <row r="185" spans="1:36" x14ac:dyDescent="0.25">
      <c r="A185" s="6" t="s">
        <v>46</v>
      </c>
      <c r="B185" s="17">
        <v>7.5</v>
      </c>
      <c r="C185" s="6" t="s">
        <v>36</v>
      </c>
      <c r="D185" s="6" t="s">
        <v>11</v>
      </c>
      <c r="E185" s="46">
        <v>54.762999999999998</v>
      </c>
      <c r="F185" s="72">
        <v>80.698099999999997</v>
      </c>
      <c r="G185" s="29">
        <v>300</v>
      </c>
      <c r="H185" s="29">
        <v>500</v>
      </c>
      <c r="I185" s="28">
        <f t="shared" si="36"/>
        <v>460</v>
      </c>
      <c r="J185" s="28">
        <f t="shared" si="41"/>
        <v>498.52416076701621</v>
      </c>
      <c r="K185" s="61">
        <v>18</v>
      </c>
      <c r="L185" s="61">
        <v>2</v>
      </c>
      <c r="M185" s="61">
        <v>12</v>
      </c>
      <c r="N185" s="61">
        <v>1</v>
      </c>
      <c r="O185" s="28">
        <f t="shared" si="42"/>
        <v>622.03534541077897</v>
      </c>
      <c r="P185" s="34" t="str">
        <f t="shared" si="37"/>
        <v>OK</v>
      </c>
      <c r="Q185" s="17">
        <f t="shared" si="38"/>
        <v>100.69134950302445</v>
      </c>
      <c r="R185" s="19">
        <f t="shared" si="43"/>
        <v>0.8014402468364582</v>
      </c>
      <c r="S185" s="6" t="s">
        <v>46</v>
      </c>
      <c r="T185" s="17">
        <v>7.5</v>
      </c>
      <c r="U185" s="6" t="s">
        <v>36</v>
      </c>
      <c r="V185" s="6" t="s">
        <v>12</v>
      </c>
      <c r="W185" s="48">
        <v>6.1769999999999996</v>
      </c>
      <c r="X185" s="72">
        <v>25.360399999999998</v>
      </c>
      <c r="Y185" s="29">
        <v>300</v>
      </c>
      <c r="Z185" s="29">
        <v>500</v>
      </c>
      <c r="AA185" s="28">
        <f t="shared" si="39"/>
        <v>460</v>
      </c>
      <c r="AB185" s="28">
        <f t="shared" si="44"/>
        <v>156.66753153687432</v>
      </c>
      <c r="AC185" s="30">
        <v>18</v>
      </c>
      <c r="AD185" s="30">
        <v>2</v>
      </c>
      <c r="AE185" s="30">
        <v>14</v>
      </c>
      <c r="AF185" s="30">
        <v>0</v>
      </c>
      <c r="AG185" s="28">
        <f t="shared" si="45"/>
        <v>508.93800988154646</v>
      </c>
      <c r="AH185" s="34" t="str">
        <f t="shared" si="40"/>
        <v>OK</v>
      </c>
      <c r="AI185" s="28">
        <f t="shared" si="46"/>
        <v>-82.383831411565467</v>
      </c>
      <c r="AJ185" s="32">
        <f t="shared" si="47"/>
        <v>-0.3078322477296167</v>
      </c>
    </row>
    <row r="186" spans="1:36" x14ac:dyDescent="0.25">
      <c r="A186" s="6" t="s">
        <v>46</v>
      </c>
      <c r="B186" s="17">
        <v>8</v>
      </c>
      <c r="C186" s="6" t="s">
        <v>36</v>
      </c>
      <c r="D186" s="6" t="s">
        <v>11</v>
      </c>
      <c r="E186" s="46">
        <v>91.271000000000001</v>
      </c>
      <c r="F186" s="72">
        <v>51.446800000000003</v>
      </c>
      <c r="G186" s="29">
        <v>300</v>
      </c>
      <c r="H186" s="29">
        <v>500</v>
      </c>
      <c r="I186" s="28">
        <f t="shared" si="36"/>
        <v>460</v>
      </c>
      <c r="J186" s="28">
        <f t="shared" si="41"/>
        <v>317.82003286506784</v>
      </c>
      <c r="K186" s="61">
        <v>18</v>
      </c>
      <c r="L186" s="61">
        <v>2</v>
      </c>
      <c r="M186" s="61">
        <v>12</v>
      </c>
      <c r="N186" s="61">
        <v>0</v>
      </c>
      <c r="O186" s="28">
        <f t="shared" si="42"/>
        <v>508.93800988154646</v>
      </c>
      <c r="P186" s="34" t="str">
        <f t="shared" si="37"/>
        <v>OK</v>
      </c>
      <c r="Q186" s="17">
        <f t="shared" si="38"/>
        <v>82.383831411565467</v>
      </c>
      <c r="R186" s="19">
        <f t="shared" si="43"/>
        <v>0.62447690424819979</v>
      </c>
      <c r="S186" s="6" t="s">
        <v>46</v>
      </c>
      <c r="T186" s="17">
        <v>8</v>
      </c>
      <c r="U186" s="6" t="s">
        <v>36</v>
      </c>
      <c r="V186" s="6" t="s">
        <v>12</v>
      </c>
      <c r="W186" s="48">
        <v>25.382000000000001</v>
      </c>
      <c r="X186" s="72">
        <v>-5.1595000000000004</v>
      </c>
      <c r="Y186" s="29">
        <v>300</v>
      </c>
      <c r="Z186" s="29">
        <v>500</v>
      </c>
      <c r="AA186" s="28">
        <f t="shared" si="39"/>
        <v>460</v>
      </c>
      <c r="AB186" s="28">
        <f t="shared" si="44"/>
        <v>31.873555975635366</v>
      </c>
      <c r="AC186" s="30">
        <v>18</v>
      </c>
      <c r="AD186" s="30">
        <v>2</v>
      </c>
      <c r="AE186" s="30">
        <v>14</v>
      </c>
      <c r="AF186" s="30">
        <v>0</v>
      </c>
      <c r="AG186" s="28">
        <f t="shared" si="45"/>
        <v>508.93800988154646</v>
      </c>
      <c r="AH186" s="34" t="str">
        <f t="shared" si="40"/>
        <v>OK</v>
      </c>
      <c r="AI186" s="28">
        <f t="shared" si="46"/>
        <v>-82.383831411565467</v>
      </c>
      <c r="AJ186" s="32">
        <f t="shared" si="47"/>
        <v>6.2627580091834417E-2</v>
      </c>
    </row>
    <row r="187" spans="1:36" x14ac:dyDescent="0.25">
      <c r="A187" s="6" t="s">
        <v>46</v>
      </c>
      <c r="B187" s="17">
        <v>8.5</v>
      </c>
      <c r="C187" s="6" t="s">
        <v>36</v>
      </c>
      <c r="D187" s="6" t="s">
        <v>11</v>
      </c>
      <c r="E187" s="46">
        <v>127.78</v>
      </c>
      <c r="F187" s="72">
        <v>33.954599999999999</v>
      </c>
      <c r="G187" s="29">
        <v>300</v>
      </c>
      <c r="H187" s="29">
        <v>500</v>
      </c>
      <c r="I187" s="28">
        <f t="shared" si="36"/>
        <v>460</v>
      </c>
      <c r="J187" s="28">
        <f t="shared" si="41"/>
        <v>209.75944252937467</v>
      </c>
      <c r="K187" s="61">
        <v>18</v>
      </c>
      <c r="L187" s="61">
        <v>2</v>
      </c>
      <c r="M187" s="61">
        <v>12</v>
      </c>
      <c r="N187" s="61">
        <v>0</v>
      </c>
      <c r="O187" s="28">
        <f t="shared" si="42"/>
        <v>508.93800988154646</v>
      </c>
      <c r="P187" s="34" t="str">
        <f t="shared" si="37"/>
        <v>OK</v>
      </c>
      <c r="Q187" s="17">
        <f t="shared" si="38"/>
        <v>82.383831411565467</v>
      </c>
      <c r="R187" s="19">
        <f t="shared" si="43"/>
        <v>0.41215126097222615</v>
      </c>
      <c r="S187" s="6" t="s">
        <v>46</v>
      </c>
      <c r="T187" s="17">
        <v>8.5</v>
      </c>
      <c r="U187" s="6" t="s">
        <v>36</v>
      </c>
      <c r="V187" s="6" t="s">
        <v>12</v>
      </c>
      <c r="W187" s="48">
        <v>44.587000000000003</v>
      </c>
      <c r="X187" s="72">
        <v>-45.281799999999997</v>
      </c>
      <c r="Y187" s="29">
        <v>300</v>
      </c>
      <c r="Z187" s="29">
        <v>500</v>
      </c>
      <c r="AA187" s="28">
        <f t="shared" si="39"/>
        <v>460</v>
      </c>
      <c r="AB187" s="28">
        <f t="shared" si="44"/>
        <v>279.7348555048988</v>
      </c>
      <c r="AC187" s="30">
        <v>20</v>
      </c>
      <c r="AD187" s="30">
        <v>2</v>
      </c>
      <c r="AE187" s="30">
        <v>18</v>
      </c>
      <c r="AF187" s="30">
        <v>2</v>
      </c>
      <c r="AG187" s="28">
        <f t="shared" si="45"/>
        <v>1137.2565405995051</v>
      </c>
      <c r="AH187" s="34" t="str">
        <f t="shared" si="40"/>
        <v>OK</v>
      </c>
      <c r="AI187" s="28">
        <f t="shared" si="46"/>
        <v>-184.09226525300429</v>
      </c>
      <c r="AJ187" s="32">
        <f t="shared" si="47"/>
        <v>0.24597339783813119</v>
      </c>
    </row>
    <row r="188" spans="1:36" x14ac:dyDescent="0.25">
      <c r="A188" s="6" t="s">
        <v>46</v>
      </c>
      <c r="B188" s="17">
        <v>9</v>
      </c>
      <c r="C188" s="6" t="s">
        <v>36</v>
      </c>
      <c r="D188" s="6" t="s">
        <v>11</v>
      </c>
      <c r="E188" s="46">
        <v>164.28800000000001</v>
      </c>
      <c r="F188" s="72">
        <v>6.8601000000000001</v>
      </c>
      <c r="G188" s="29">
        <v>300</v>
      </c>
      <c r="H188" s="29">
        <v>500</v>
      </c>
      <c r="I188" s="28">
        <f t="shared" si="36"/>
        <v>460</v>
      </c>
      <c r="J188" s="28">
        <f t="shared" si="41"/>
        <v>42.379257941361793</v>
      </c>
      <c r="K188" s="61">
        <v>18</v>
      </c>
      <c r="L188" s="61">
        <v>2</v>
      </c>
      <c r="M188" s="61">
        <v>12</v>
      </c>
      <c r="N188" s="61">
        <v>0</v>
      </c>
      <c r="O188" s="28">
        <f t="shared" si="42"/>
        <v>508.93800988154646</v>
      </c>
      <c r="P188" s="34" t="str">
        <f t="shared" si="37"/>
        <v>OK</v>
      </c>
      <c r="Q188" s="17">
        <f t="shared" si="38"/>
        <v>82.383831411565467</v>
      </c>
      <c r="R188" s="19">
        <f t="shared" si="43"/>
        <v>8.3269980073261612E-2</v>
      </c>
      <c r="S188" s="6" t="s">
        <v>46</v>
      </c>
      <c r="T188" s="17">
        <v>9</v>
      </c>
      <c r="U188" s="6" t="s">
        <v>36</v>
      </c>
      <c r="V188" s="6" t="s">
        <v>12</v>
      </c>
      <c r="W188" s="48">
        <v>63.792000000000002</v>
      </c>
      <c r="X188" s="72">
        <v>-95.006600000000006</v>
      </c>
      <c r="Y188" s="29">
        <v>300</v>
      </c>
      <c r="Z188" s="29">
        <v>500</v>
      </c>
      <c r="AA188" s="28">
        <f t="shared" si="39"/>
        <v>460</v>
      </c>
      <c r="AB188" s="28">
        <f t="shared" si="44"/>
        <v>586.91698481535013</v>
      </c>
      <c r="AC188" s="30">
        <v>20</v>
      </c>
      <c r="AD188" s="30">
        <v>2</v>
      </c>
      <c r="AE188" s="30">
        <v>18</v>
      </c>
      <c r="AF188" s="30">
        <v>2</v>
      </c>
      <c r="AG188" s="28">
        <f t="shared" si="45"/>
        <v>1137.2565405995051</v>
      </c>
      <c r="AH188" s="34" t="str">
        <f t="shared" si="40"/>
        <v>OK</v>
      </c>
      <c r="AI188" s="28">
        <f t="shared" si="46"/>
        <v>-184.09226525300429</v>
      </c>
      <c r="AJ188" s="32">
        <f t="shared" si="47"/>
        <v>0.51608143269587781</v>
      </c>
    </row>
    <row r="189" spans="1:36" x14ac:dyDescent="0.25">
      <c r="A189" s="6" t="s">
        <v>46</v>
      </c>
      <c r="B189" s="17">
        <v>9.5</v>
      </c>
      <c r="C189" s="6" t="s">
        <v>36</v>
      </c>
      <c r="D189" s="6" t="s">
        <v>11</v>
      </c>
      <c r="E189" s="46">
        <v>200.797</v>
      </c>
      <c r="F189" s="72">
        <v>-29.8369</v>
      </c>
      <c r="G189" s="29">
        <v>300</v>
      </c>
      <c r="H189" s="29">
        <v>500</v>
      </c>
      <c r="I189" s="28">
        <f t="shared" si="36"/>
        <v>460</v>
      </c>
      <c r="J189" s="28">
        <f t="shared" si="41"/>
        <v>184.32175642783889</v>
      </c>
      <c r="K189" s="61">
        <v>18</v>
      </c>
      <c r="L189" s="61">
        <v>2</v>
      </c>
      <c r="M189" s="61">
        <v>12</v>
      </c>
      <c r="N189" s="61">
        <v>0</v>
      </c>
      <c r="O189" s="28">
        <f t="shared" si="42"/>
        <v>508.93800988154646</v>
      </c>
      <c r="P189" s="34" t="str">
        <f t="shared" si="37"/>
        <v>OK</v>
      </c>
      <c r="Q189" s="17">
        <f t="shared" si="38"/>
        <v>82.383831411565467</v>
      </c>
      <c r="R189" s="19">
        <f t="shared" si="43"/>
        <v>-0.36216936610951722</v>
      </c>
      <c r="S189" s="6" t="s">
        <v>46</v>
      </c>
      <c r="T189" s="17">
        <v>9.5</v>
      </c>
      <c r="U189" s="6" t="s">
        <v>36</v>
      </c>
      <c r="V189" s="6" t="s">
        <v>12</v>
      </c>
      <c r="W189" s="48">
        <v>82.995999999999995</v>
      </c>
      <c r="X189" s="72">
        <v>-174.86160000000001</v>
      </c>
      <c r="Y189" s="29">
        <v>300</v>
      </c>
      <c r="Z189" s="29">
        <v>500</v>
      </c>
      <c r="AA189" s="28">
        <f t="shared" si="39"/>
        <v>460</v>
      </c>
      <c r="AB189" s="28">
        <f t="shared" si="44"/>
        <v>1080.2327736387558</v>
      </c>
      <c r="AC189" s="30">
        <v>20</v>
      </c>
      <c r="AD189" s="30">
        <v>2</v>
      </c>
      <c r="AE189" s="30">
        <v>18</v>
      </c>
      <c r="AF189" s="30">
        <v>2</v>
      </c>
      <c r="AG189" s="28">
        <f t="shared" si="45"/>
        <v>1137.2565405995051</v>
      </c>
      <c r="AH189" s="34" t="str">
        <f t="shared" si="40"/>
        <v>OK</v>
      </c>
      <c r="AI189" s="28">
        <f t="shared" si="46"/>
        <v>-184.09226525300429</v>
      </c>
      <c r="AJ189" s="32">
        <f t="shared" si="47"/>
        <v>0.9498584840578812</v>
      </c>
    </row>
    <row r="190" spans="1:36" x14ac:dyDescent="0.25">
      <c r="A190" s="6" t="s">
        <v>47</v>
      </c>
      <c r="B190" s="17">
        <v>9.5</v>
      </c>
      <c r="C190" s="6" t="s">
        <v>36</v>
      </c>
      <c r="D190" s="6" t="s">
        <v>11</v>
      </c>
      <c r="E190" s="46">
        <v>-47.55</v>
      </c>
      <c r="F190" s="72">
        <v>11.478199999999999</v>
      </c>
      <c r="G190" s="29">
        <v>300</v>
      </c>
      <c r="H190" s="29">
        <v>500</v>
      </c>
      <c r="I190" s="28">
        <f t="shared" si="36"/>
        <v>460</v>
      </c>
      <c r="J190" s="28">
        <f t="shared" si="41"/>
        <v>70.908237270963824</v>
      </c>
      <c r="K190" s="61">
        <v>18</v>
      </c>
      <c r="L190" s="61">
        <v>2</v>
      </c>
      <c r="M190" s="61">
        <v>12</v>
      </c>
      <c r="N190" s="61">
        <v>0</v>
      </c>
      <c r="O190" s="28">
        <f t="shared" si="42"/>
        <v>508.93800988154646</v>
      </c>
      <c r="P190" s="34" t="str">
        <f t="shared" si="37"/>
        <v>OK</v>
      </c>
      <c r="Q190" s="17">
        <f t="shared" si="38"/>
        <v>82.383831411565467</v>
      </c>
      <c r="R190" s="19">
        <f t="shared" si="43"/>
        <v>0.13932588231613408</v>
      </c>
      <c r="S190" s="6" t="s">
        <v>47</v>
      </c>
      <c r="T190" s="17">
        <v>9.5</v>
      </c>
      <c r="U190" s="6" t="s">
        <v>36</v>
      </c>
      <c r="V190" s="6" t="s">
        <v>12</v>
      </c>
      <c r="W190" s="48">
        <v>-156.31299999999999</v>
      </c>
      <c r="X190" s="72">
        <v>-129.49160000000001</v>
      </c>
      <c r="Y190" s="29">
        <v>300</v>
      </c>
      <c r="Z190" s="29">
        <v>500</v>
      </c>
      <c r="AA190" s="28">
        <f t="shared" si="39"/>
        <v>460</v>
      </c>
      <c r="AB190" s="28">
        <f t="shared" si="44"/>
        <v>799.95304990301088</v>
      </c>
      <c r="AC190" s="30">
        <v>20</v>
      </c>
      <c r="AD190" s="30">
        <v>2</v>
      </c>
      <c r="AE190" s="30">
        <v>18</v>
      </c>
      <c r="AF190" s="30">
        <v>2</v>
      </c>
      <c r="AG190" s="28">
        <f t="shared" si="45"/>
        <v>1137.2565405995051</v>
      </c>
      <c r="AH190" s="34" t="str">
        <f t="shared" si="40"/>
        <v>OK</v>
      </c>
      <c r="AI190" s="28">
        <f t="shared" si="46"/>
        <v>-184.09226525300429</v>
      </c>
      <c r="AJ190" s="32">
        <f t="shared" si="47"/>
        <v>0.7034059786381317</v>
      </c>
    </row>
    <row r="191" spans="1:36" x14ac:dyDescent="0.25">
      <c r="A191" s="6" t="s">
        <v>47</v>
      </c>
      <c r="B191" s="17">
        <v>10</v>
      </c>
      <c r="C191" s="6" t="s">
        <v>36</v>
      </c>
      <c r="D191" s="6" t="s">
        <v>11</v>
      </c>
      <c r="E191" s="46">
        <v>-28.344999999999999</v>
      </c>
      <c r="F191" s="72">
        <v>30.451899999999998</v>
      </c>
      <c r="G191" s="29">
        <v>300</v>
      </c>
      <c r="H191" s="29">
        <v>500</v>
      </c>
      <c r="I191" s="28">
        <f t="shared" si="36"/>
        <v>460</v>
      </c>
      <c r="J191" s="28">
        <f t="shared" si="41"/>
        <v>188.12100769734482</v>
      </c>
      <c r="K191" s="61">
        <v>18</v>
      </c>
      <c r="L191" s="61">
        <v>2</v>
      </c>
      <c r="M191" s="61">
        <v>12</v>
      </c>
      <c r="N191" s="61">
        <v>0</v>
      </c>
      <c r="O191" s="28">
        <f t="shared" si="42"/>
        <v>508.93800988154646</v>
      </c>
      <c r="P191" s="34" t="str">
        <f t="shared" si="37"/>
        <v>OK</v>
      </c>
      <c r="Q191" s="17">
        <f t="shared" si="38"/>
        <v>82.383831411565467</v>
      </c>
      <c r="R191" s="19">
        <f t="shared" si="43"/>
        <v>0.36963442314149281</v>
      </c>
      <c r="S191" s="6" t="s">
        <v>47</v>
      </c>
      <c r="T191" s="17">
        <v>10</v>
      </c>
      <c r="U191" s="6" t="s">
        <v>36</v>
      </c>
      <c r="V191" s="6" t="s">
        <v>12</v>
      </c>
      <c r="W191" s="48">
        <v>-119.80500000000001</v>
      </c>
      <c r="X191" s="72">
        <v>-75.577299999999994</v>
      </c>
      <c r="Y191" s="29">
        <v>300</v>
      </c>
      <c r="Z191" s="29">
        <v>500</v>
      </c>
      <c r="AA191" s="28">
        <f t="shared" si="39"/>
        <v>460</v>
      </c>
      <c r="AB191" s="28">
        <f t="shared" si="44"/>
        <v>466.88967962736439</v>
      </c>
      <c r="AC191" s="30">
        <v>20</v>
      </c>
      <c r="AD191" s="30">
        <v>2</v>
      </c>
      <c r="AE191" s="30">
        <v>18</v>
      </c>
      <c r="AF191" s="30">
        <v>2</v>
      </c>
      <c r="AG191" s="28">
        <f t="shared" si="45"/>
        <v>1137.2565405995051</v>
      </c>
      <c r="AH191" s="34" t="str">
        <f t="shared" si="40"/>
        <v>OK</v>
      </c>
      <c r="AI191" s="28">
        <f t="shared" si="46"/>
        <v>-184.09226525300429</v>
      </c>
      <c r="AJ191" s="32">
        <f t="shared" si="47"/>
        <v>0.41054033365351622</v>
      </c>
    </row>
    <row r="192" spans="1:36" x14ac:dyDescent="0.25">
      <c r="A192" s="6" t="s">
        <v>47</v>
      </c>
      <c r="B192" s="17">
        <v>10.5</v>
      </c>
      <c r="C192" s="6" t="s">
        <v>36</v>
      </c>
      <c r="D192" s="6" t="s">
        <v>11</v>
      </c>
      <c r="E192" s="46">
        <v>-9.14</v>
      </c>
      <c r="F192" s="72">
        <v>39.823300000000003</v>
      </c>
      <c r="G192" s="29">
        <v>300</v>
      </c>
      <c r="H192" s="29">
        <v>500</v>
      </c>
      <c r="I192" s="28">
        <f t="shared" si="36"/>
        <v>460</v>
      </c>
      <c r="J192" s="28">
        <f t="shared" si="41"/>
        <v>246.01418387140612</v>
      </c>
      <c r="K192" s="61">
        <v>18</v>
      </c>
      <c r="L192" s="61">
        <v>2</v>
      </c>
      <c r="M192" s="61">
        <v>12</v>
      </c>
      <c r="N192" s="61">
        <v>0</v>
      </c>
      <c r="O192" s="28">
        <f t="shared" si="42"/>
        <v>508.93800988154646</v>
      </c>
      <c r="P192" s="34" t="str">
        <f t="shared" si="37"/>
        <v>OK</v>
      </c>
      <c r="Q192" s="17">
        <f t="shared" si="38"/>
        <v>82.383831411565467</v>
      </c>
      <c r="R192" s="19">
        <f t="shared" si="43"/>
        <v>0.48338732634386078</v>
      </c>
      <c r="S192" s="6" t="s">
        <v>47</v>
      </c>
      <c r="T192" s="17">
        <v>10.5</v>
      </c>
      <c r="U192" s="6" t="s">
        <v>36</v>
      </c>
      <c r="V192" s="6" t="s">
        <v>12</v>
      </c>
      <c r="W192" s="48">
        <v>-83.296000000000006</v>
      </c>
      <c r="X192" s="72">
        <v>-31.265599999999999</v>
      </c>
      <c r="Y192" s="29">
        <v>300</v>
      </c>
      <c r="Z192" s="29">
        <v>500</v>
      </c>
      <c r="AA192" s="28">
        <f t="shared" si="39"/>
        <v>460</v>
      </c>
      <c r="AB192" s="28">
        <f t="shared" si="44"/>
        <v>193.14775689733986</v>
      </c>
      <c r="AC192" s="30">
        <v>18</v>
      </c>
      <c r="AD192" s="30">
        <v>2</v>
      </c>
      <c r="AE192" s="30">
        <v>14</v>
      </c>
      <c r="AF192" s="30">
        <v>0</v>
      </c>
      <c r="AG192" s="28">
        <f t="shared" si="45"/>
        <v>508.93800988154646</v>
      </c>
      <c r="AH192" s="34" t="str">
        <f t="shared" si="40"/>
        <v>OK</v>
      </c>
      <c r="AI192" s="28">
        <f t="shared" si="46"/>
        <v>-82.383831411565467</v>
      </c>
      <c r="AJ192" s="32">
        <f t="shared" si="47"/>
        <v>0.37951136120152301</v>
      </c>
    </row>
    <row r="193" spans="1:36" x14ac:dyDescent="0.25">
      <c r="A193" s="6" t="s">
        <v>47</v>
      </c>
      <c r="B193" s="17">
        <v>11</v>
      </c>
      <c r="C193" s="6" t="s">
        <v>36</v>
      </c>
      <c r="D193" s="6" t="s">
        <v>11</v>
      </c>
      <c r="E193" s="46">
        <v>10.065</v>
      </c>
      <c r="F193" s="72">
        <v>41.254899999999999</v>
      </c>
      <c r="G193" s="29">
        <v>300</v>
      </c>
      <c r="H193" s="29">
        <v>500</v>
      </c>
      <c r="I193" s="28">
        <f t="shared" si="36"/>
        <v>460</v>
      </c>
      <c r="J193" s="28">
        <f t="shared" si="41"/>
        <v>254.85809950949499</v>
      </c>
      <c r="K193" s="61">
        <v>18</v>
      </c>
      <c r="L193" s="61">
        <v>2</v>
      </c>
      <c r="M193" s="61">
        <v>12</v>
      </c>
      <c r="N193" s="61">
        <v>0</v>
      </c>
      <c r="O193" s="28">
        <f t="shared" si="42"/>
        <v>508.93800988154646</v>
      </c>
      <c r="P193" s="34" t="str">
        <f t="shared" si="37"/>
        <v>OK</v>
      </c>
      <c r="Q193" s="17">
        <f t="shared" si="38"/>
        <v>82.383831411565467</v>
      </c>
      <c r="R193" s="19">
        <f t="shared" si="43"/>
        <v>0.5007645225178059</v>
      </c>
      <c r="S193" s="6" t="s">
        <v>47</v>
      </c>
      <c r="T193" s="17">
        <v>11</v>
      </c>
      <c r="U193" s="6" t="s">
        <v>36</v>
      </c>
      <c r="V193" s="6" t="s">
        <v>12</v>
      </c>
      <c r="W193" s="48">
        <v>-59.817</v>
      </c>
      <c r="X193" s="72">
        <v>3.4434999999999998</v>
      </c>
      <c r="Y193" s="29">
        <v>300</v>
      </c>
      <c r="Z193" s="29">
        <v>500</v>
      </c>
      <c r="AA193" s="28">
        <f t="shared" si="39"/>
        <v>460</v>
      </c>
      <c r="AB193" s="28">
        <f t="shared" si="44"/>
        <v>21.272718287062773</v>
      </c>
      <c r="AC193" s="30">
        <v>18</v>
      </c>
      <c r="AD193" s="30">
        <v>2</v>
      </c>
      <c r="AE193" s="30">
        <v>14</v>
      </c>
      <c r="AF193" s="30">
        <v>0</v>
      </c>
      <c r="AG193" s="28">
        <f t="shared" si="45"/>
        <v>508.93800988154646</v>
      </c>
      <c r="AH193" s="34" t="str">
        <f t="shared" si="40"/>
        <v>OK</v>
      </c>
      <c r="AI193" s="28">
        <f t="shared" si="46"/>
        <v>-82.383831411565467</v>
      </c>
      <c r="AJ193" s="32">
        <f t="shared" si="47"/>
        <v>-4.1798250227004903E-2</v>
      </c>
    </row>
    <row r="194" spans="1:36" x14ac:dyDescent="0.25">
      <c r="A194" s="6" t="s">
        <v>47</v>
      </c>
      <c r="B194" s="17">
        <v>11.5</v>
      </c>
      <c r="C194" s="6" t="s">
        <v>36</v>
      </c>
      <c r="D194" s="6" t="s">
        <v>11</v>
      </c>
      <c r="E194" s="46">
        <v>29.27</v>
      </c>
      <c r="F194" s="72">
        <v>55.521500000000003</v>
      </c>
      <c r="G194" s="29">
        <v>300</v>
      </c>
      <c r="H194" s="29">
        <v>500</v>
      </c>
      <c r="I194" s="28">
        <f t="shared" si="36"/>
        <v>460</v>
      </c>
      <c r="J194" s="28">
        <f t="shared" si="41"/>
        <v>342.99208025995523</v>
      </c>
      <c r="K194" s="61">
        <v>18</v>
      </c>
      <c r="L194" s="61">
        <v>2</v>
      </c>
      <c r="M194" s="61">
        <v>12</v>
      </c>
      <c r="N194" s="61">
        <v>0</v>
      </c>
      <c r="O194" s="28">
        <f t="shared" si="42"/>
        <v>508.93800988154646</v>
      </c>
      <c r="P194" s="34" t="str">
        <f t="shared" si="37"/>
        <v>OK</v>
      </c>
      <c r="Q194" s="17">
        <f t="shared" si="38"/>
        <v>82.383831411565467</v>
      </c>
      <c r="R194" s="19">
        <f t="shared" si="43"/>
        <v>0.67393685203387621</v>
      </c>
      <c r="S194" s="6" t="s">
        <v>47</v>
      </c>
      <c r="T194" s="17">
        <v>11.5</v>
      </c>
      <c r="U194" s="6" t="s">
        <v>36</v>
      </c>
      <c r="V194" s="6" t="s">
        <v>12</v>
      </c>
      <c r="W194" s="48">
        <v>-40.612000000000002</v>
      </c>
      <c r="X194" s="72">
        <v>28.526199999999999</v>
      </c>
      <c r="Y194" s="29">
        <v>300</v>
      </c>
      <c r="Z194" s="29">
        <v>500</v>
      </c>
      <c r="AA194" s="28">
        <f t="shared" si="39"/>
        <v>460</v>
      </c>
      <c r="AB194" s="28">
        <f t="shared" si="44"/>
        <v>176.22471799053582</v>
      </c>
      <c r="AC194" s="30">
        <v>18</v>
      </c>
      <c r="AD194" s="30">
        <v>2</v>
      </c>
      <c r="AE194" s="30">
        <v>14</v>
      </c>
      <c r="AF194" s="30">
        <v>0</v>
      </c>
      <c r="AG194" s="28">
        <f t="shared" si="45"/>
        <v>508.93800988154646</v>
      </c>
      <c r="AH194" s="34" t="str">
        <f t="shared" si="40"/>
        <v>OK</v>
      </c>
      <c r="AI194" s="28">
        <f t="shared" si="46"/>
        <v>-82.383831411565467</v>
      </c>
      <c r="AJ194" s="32">
        <f t="shared" si="47"/>
        <v>-0.34625969090332143</v>
      </c>
    </row>
    <row r="195" spans="1:36" x14ac:dyDescent="0.25">
      <c r="A195" s="6" t="s">
        <v>47</v>
      </c>
      <c r="B195" s="17">
        <v>12</v>
      </c>
      <c r="C195" s="6" t="s">
        <v>36</v>
      </c>
      <c r="D195" s="6" t="s">
        <v>11</v>
      </c>
      <c r="E195" s="46">
        <v>48.473999999999997</v>
      </c>
      <c r="F195" s="72">
        <v>51.533799999999999</v>
      </c>
      <c r="G195" s="29">
        <v>300</v>
      </c>
      <c r="H195" s="29">
        <v>500</v>
      </c>
      <c r="I195" s="28">
        <f t="shared" si="36"/>
        <v>460</v>
      </c>
      <c r="J195" s="28">
        <f t="shared" si="41"/>
        <v>318.35748792270527</v>
      </c>
      <c r="K195" s="61">
        <v>18</v>
      </c>
      <c r="L195" s="61">
        <v>2</v>
      </c>
      <c r="M195" s="61">
        <v>12</v>
      </c>
      <c r="N195" s="61">
        <v>0</v>
      </c>
      <c r="O195" s="28">
        <f t="shared" si="42"/>
        <v>508.93800988154646</v>
      </c>
      <c r="P195" s="34" t="str">
        <f t="shared" si="37"/>
        <v>OK</v>
      </c>
      <c r="Q195" s="17">
        <f t="shared" si="38"/>
        <v>82.383831411565467</v>
      </c>
      <c r="R195" s="19">
        <f t="shared" si="43"/>
        <v>0.62553293670638166</v>
      </c>
      <c r="S195" s="6" t="s">
        <v>47</v>
      </c>
      <c r="T195" s="17">
        <v>12</v>
      </c>
      <c r="U195" s="6" t="s">
        <v>36</v>
      </c>
      <c r="V195" s="6" t="s">
        <v>12</v>
      </c>
      <c r="W195" s="48">
        <v>-21.407</v>
      </c>
      <c r="X195" s="72">
        <v>10.321300000000001</v>
      </c>
      <c r="Y195" s="29">
        <v>300</v>
      </c>
      <c r="Z195" s="29">
        <v>500</v>
      </c>
      <c r="AA195" s="28">
        <f t="shared" si="39"/>
        <v>460</v>
      </c>
      <c r="AB195" s="28">
        <f t="shared" si="44"/>
        <v>63.761320533254249</v>
      </c>
      <c r="AC195" s="30">
        <v>18</v>
      </c>
      <c r="AD195" s="30">
        <v>2</v>
      </c>
      <c r="AE195" s="30">
        <v>12</v>
      </c>
      <c r="AF195" s="30">
        <v>0</v>
      </c>
      <c r="AG195" s="28">
        <f t="shared" si="45"/>
        <v>508.93800988154646</v>
      </c>
      <c r="AH195" s="34" t="str">
        <f t="shared" si="40"/>
        <v>OK</v>
      </c>
      <c r="AI195" s="28">
        <f t="shared" si="46"/>
        <v>-82.383831411565467</v>
      </c>
      <c r="AJ195" s="32">
        <f t="shared" si="47"/>
        <v>-0.12528307828313801</v>
      </c>
    </row>
    <row r="196" spans="1:36" x14ac:dyDescent="0.25">
      <c r="A196" s="6" t="s">
        <v>47</v>
      </c>
      <c r="B196" s="17">
        <v>12.5</v>
      </c>
      <c r="C196" s="6" t="s">
        <v>36</v>
      </c>
      <c r="D196" s="6" t="s">
        <v>11</v>
      </c>
      <c r="E196" s="46">
        <v>67.679000000000002</v>
      </c>
      <c r="F196" s="72">
        <v>49.958799999999997</v>
      </c>
      <c r="G196" s="29">
        <v>300</v>
      </c>
      <c r="H196" s="29">
        <v>500</v>
      </c>
      <c r="I196" s="28">
        <f t="shared" si="36"/>
        <v>460</v>
      </c>
      <c r="J196" s="28">
        <f t="shared" si="41"/>
        <v>308.62769808616571</v>
      </c>
      <c r="K196" s="61">
        <v>18</v>
      </c>
      <c r="L196" s="61">
        <v>2</v>
      </c>
      <c r="M196" s="61">
        <v>12</v>
      </c>
      <c r="N196" s="61">
        <v>0</v>
      </c>
      <c r="O196" s="28">
        <f t="shared" si="42"/>
        <v>508.93800988154646</v>
      </c>
      <c r="P196" s="34" t="str">
        <f t="shared" si="37"/>
        <v>OK</v>
      </c>
      <c r="Q196" s="17">
        <f t="shared" si="38"/>
        <v>82.383831411565467</v>
      </c>
      <c r="R196" s="19">
        <f t="shared" si="43"/>
        <v>0.60641510772205387</v>
      </c>
      <c r="S196" s="6" t="s">
        <v>47</v>
      </c>
      <c r="T196" s="17">
        <v>12.5</v>
      </c>
      <c r="U196" s="6" t="s">
        <v>36</v>
      </c>
      <c r="V196" s="6" t="s">
        <v>12</v>
      </c>
      <c r="W196" s="48">
        <v>-2.202</v>
      </c>
      <c r="X196" s="72">
        <v>-18.7166</v>
      </c>
      <c r="Y196" s="29">
        <v>300</v>
      </c>
      <c r="Z196" s="29">
        <v>500</v>
      </c>
      <c r="AA196" s="28">
        <f t="shared" si="39"/>
        <v>460</v>
      </c>
      <c r="AB196" s="28">
        <f t="shared" si="44"/>
        <v>115.62449806639729</v>
      </c>
      <c r="AC196" s="30">
        <v>18</v>
      </c>
      <c r="AD196" s="30">
        <v>2</v>
      </c>
      <c r="AE196" s="30">
        <v>14</v>
      </c>
      <c r="AF196" s="30">
        <v>1</v>
      </c>
      <c r="AG196" s="28">
        <f t="shared" si="45"/>
        <v>662.87604990744626</v>
      </c>
      <c r="AH196" s="34" t="str">
        <f t="shared" si="40"/>
        <v>OK</v>
      </c>
      <c r="AI196" s="28">
        <f t="shared" si="46"/>
        <v>-107.30239770271794</v>
      </c>
      <c r="AJ196" s="32">
        <f t="shared" si="47"/>
        <v>0.17442853468991881</v>
      </c>
    </row>
    <row r="197" spans="1:36" x14ac:dyDescent="0.25">
      <c r="A197" s="6" t="s">
        <v>47</v>
      </c>
      <c r="B197" s="17">
        <v>13</v>
      </c>
      <c r="C197" s="6" t="s">
        <v>36</v>
      </c>
      <c r="D197" s="6" t="s">
        <v>11</v>
      </c>
      <c r="E197" s="46">
        <v>99.247</v>
      </c>
      <c r="F197" s="72">
        <v>46.258499999999998</v>
      </c>
      <c r="G197" s="29">
        <v>300</v>
      </c>
      <c r="H197" s="29">
        <v>500</v>
      </c>
      <c r="I197" s="28">
        <f t="shared" si="36"/>
        <v>460</v>
      </c>
      <c r="J197" s="28">
        <f t="shared" si="41"/>
        <v>285.76856073242146</v>
      </c>
      <c r="K197" s="61">
        <v>18</v>
      </c>
      <c r="L197" s="61">
        <v>2</v>
      </c>
      <c r="M197" s="61">
        <v>12</v>
      </c>
      <c r="N197" s="61">
        <v>0</v>
      </c>
      <c r="O197" s="28">
        <f t="shared" si="42"/>
        <v>508.93800988154646</v>
      </c>
      <c r="P197" s="34" t="str">
        <f t="shared" si="37"/>
        <v>OK</v>
      </c>
      <c r="Q197" s="17">
        <f t="shared" si="38"/>
        <v>82.383831411565467</v>
      </c>
      <c r="R197" s="19">
        <f t="shared" si="43"/>
        <v>0.56149974099779476</v>
      </c>
      <c r="S197" s="6" t="s">
        <v>47</v>
      </c>
      <c r="T197" s="17">
        <v>13</v>
      </c>
      <c r="U197" s="6" t="s">
        <v>36</v>
      </c>
      <c r="V197" s="6" t="s">
        <v>12</v>
      </c>
      <c r="W197" s="48">
        <v>17.003</v>
      </c>
      <c r="X197" s="72">
        <v>-57.357300000000002</v>
      </c>
      <c r="Y197" s="29">
        <v>300</v>
      </c>
      <c r="Z197" s="29">
        <v>500</v>
      </c>
      <c r="AA197" s="28">
        <f t="shared" si="39"/>
        <v>460</v>
      </c>
      <c r="AB197" s="28">
        <f t="shared" si="44"/>
        <v>354.33299974053887</v>
      </c>
      <c r="AC197" s="30">
        <v>18</v>
      </c>
      <c r="AD197" s="30">
        <v>2</v>
      </c>
      <c r="AE197" s="30">
        <v>14</v>
      </c>
      <c r="AF197" s="30">
        <v>1</v>
      </c>
      <c r="AG197" s="28">
        <f t="shared" si="45"/>
        <v>662.87604990744626</v>
      </c>
      <c r="AH197" s="34" t="str">
        <f t="shared" si="40"/>
        <v>OK</v>
      </c>
      <c r="AI197" s="28">
        <f t="shared" si="46"/>
        <v>-107.30239770271794</v>
      </c>
      <c r="AJ197" s="32">
        <f t="shared" si="47"/>
        <v>0.53453884748138447</v>
      </c>
    </row>
    <row r="198" spans="1:36" x14ac:dyDescent="0.25">
      <c r="A198" s="6" t="s">
        <v>47</v>
      </c>
      <c r="B198" s="17">
        <v>13.5</v>
      </c>
      <c r="C198" s="6" t="s">
        <v>36</v>
      </c>
      <c r="D198" s="6" t="s">
        <v>11</v>
      </c>
      <c r="E198" s="46">
        <v>135.755</v>
      </c>
      <c r="F198" s="72">
        <v>32.955800000000004</v>
      </c>
      <c r="G198" s="29">
        <v>300</v>
      </c>
      <c r="H198" s="29">
        <v>500</v>
      </c>
      <c r="I198" s="28">
        <f t="shared" si="36"/>
        <v>460</v>
      </c>
      <c r="J198" s="28">
        <f t="shared" si="41"/>
        <v>203.58921136192345</v>
      </c>
      <c r="K198" s="61">
        <v>18</v>
      </c>
      <c r="L198" s="61">
        <v>2</v>
      </c>
      <c r="M198" s="61">
        <v>12</v>
      </c>
      <c r="N198" s="61">
        <v>0</v>
      </c>
      <c r="O198" s="28">
        <f>PI()*K198^2/4*L198+PI()*M198^2/4*N198</f>
        <v>508.93800988154646</v>
      </c>
      <c r="P198" s="34" t="str">
        <f t="shared" si="37"/>
        <v>OK</v>
      </c>
      <c r="Q198" s="17">
        <f t="shared" si="38"/>
        <v>82.383831411565467</v>
      </c>
      <c r="R198" s="19">
        <f t="shared" si="43"/>
        <v>0.4000275228201331</v>
      </c>
      <c r="S198" s="6" t="s">
        <v>47</v>
      </c>
      <c r="T198" s="17">
        <v>13.5</v>
      </c>
      <c r="U198" s="6" t="s">
        <v>36</v>
      </c>
      <c r="V198" s="6" t="s">
        <v>12</v>
      </c>
      <c r="W198" s="48">
        <v>36.207999999999998</v>
      </c>
      <c r="X198" s="72">
        <v>-105.60039999999999</v>
      </c>
      <c r="Y198" s="29">
        <v>300</v>
      </c>
      <c r="Z198" s="29">
        <v>500</v>
      </c>
      <c r="AA198" s="28">
        <f t="shared" si="39"/>
        <v>460</v>
      </c>
      <c r="AB198" s="28">
        <f t="shared" si="44"/>
        <v>652.36171343143417</v>
      </c>
      <c r="AC198" s="30">
        <v>18</v>
      </c>
      <c r="AD198" s="30">
        <v>2</v>
      </c>
      <c r="AE198" s="30">
        <v>14</v>
      </c>
      <c r="AF198" s="30">
        <v>1</v>
      </c>
      <c r="AG198" s="28">
        <f>PI()*AC198^2/4*AD198+PI()*AE198^2/4*AF198</f>
        <v>662.87604990744626</v>
      </c>
      <c r="AH198" s="34" t="str">
        <f t="shared" si="40"/>
        <v>OK</v>
      </c>
      <c r="AI198" s="28">
        <f t="shared" si="46"/>
        <v>-107.30239770271794</v>
      </c>
      <c r="AJ198" s="32">
        <f>X198/AI198</f>
        <v>0.98413830688636295</v>
      </c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22" spans="1:36" x14ac:dyDescent="0.25">
      <c r="A222" s="2" t="s">
        <v>1</v>
      </c>
      <c r="B222" s="3" t="s">
        <v>2</v>
      </c>
      <c r="C222" s="2" t="s">
        <v>34</v>
      </c>
      <c r="D222" s="2" t="s">
        <v>3</v>
      </c>
      <c r="E222" s="3" t="s">
        <v>4</v>
      </c>
      <c r="F222" s="3" t="s">
        <v>5</v>
      </c>
      <c r="G222" s="5" t="s">
        <v>20</v>
      </c>
      <c r="H222" s="5" t="s">
        <v>21</v>
      </c>
      <c r="I222" s="5" t="s">
        <v>25</v>
      </c>
      <c r="J222" s="5" t="s">
        <v>23</v>
      </c>
      <c r="K222" s="5" t="s">
        <v>26</v>
      </c>
      <c r="L222" s="5" t="s">
        <v>27</v>
      </c>
      <c r="M222" s="5" t="s">
        <v>26</v>
      </c>
      <c r="N222" s="5" t="s">
        <v>27</v>
      </c>
      <c r="O222" s="5" t="s">
        <v>23</v>
      </c>
      <c r="P222" s="18"/>
      <c r="Q222" s="5" t="s">
        <v>31</v>
      </c>
      <c r="R222" s="5" t="s">
        <v>33</v>
      </c>
      <c r="S222" s="2" t="s">
        <v>1</v>
      </c>
      <c r="T222" s="3" t="s">
        <v>2</v>
      </c>
      <c r="U222" s="2" t="s">
        <v>34</v>
      </c>
      <c r="V222" s="2" t="s">
        <v>3</v>
      </c>
      <c r="W222" s="3" t="s">
        <v>4</v>
      </c>
      <c r="X222" s="3" t="s">
        <v>5</v>
      </c>
      <c r="Y222" s="5" t="s">
        <v>20</v>
      </c>
      <c r="Z222" s="5" t="s">
        <v>21</v>
      </c>
      <c r="AA222" s="5" t="s">
        <v>25</v>
      </c>
      <c r="AB222" s="5" t="s">
        <v>23</v>
      </c>
      <c r="AC222" s="5" t="s">
        <v>26</v>
      </c>
      <c r="AD222" s="5" t="s">
        <v>27</v>
      </c>
      <c r="AE222" s="5" t="s">
        <v>26</v>
      </c>
      <c r="AF222" s="5" t="s">
        <v>27</v>
      </c>
      <c r="AG222" s="5" t="s">
        <v>23</v>
      </c>
      <c r="AH222" s="18"/>
      <c r="AI222" s="5" t="s">
        <v>31</v>
      </c>
      <c r="AJ222" s="5" t="s">
        <v>33</v>
      </c>
    </row>
    <row r="223" spans="1:36" x14ac:dyDescent="0.25">
      <c r="A223" s="4" t="s">
        <v>6</v>
      </c>
      <c r="B223" s="5" t="s">
        <v>7</v>
      </c>
      <c r="C223" s="4" t="s">
        <v>6</v>
      </c>
      <c r="D223" s="4" t="s">
        <v>6</v>
      </c>
      <c r="E223" s="5" t="s">
        <v>8</v>
      </c>
      <c r="F223" s="5" t="s">
        <v>9</v>
      </c>
      <c r="G223" s="9" t="s">
        <v>22</v>
      </c>
      <c r="H223" s="9" t="s">
        <v>22</v>
      </c>
      <c r="I223" s="9" t="s">
        <v>22</v>
      </c>
      <c r="J223" s="9" t="s">
        <v>24</v>
      </c>
      <c r="K223" s="9" t="s">
        <v>22</v>
      </c>
      <c r="L223" s="9" t="s">
        <v>28</v>
      </c>
      <c r="M223" s="9" t="s">
        <v>22</v>
      </c>
      <c r="N223" s="9" t="s">
        <v>28</v>
      </c>
      <c r="O223" s="9" t="s">
        <v>24</v>
      </c>
      <c r="P223" s="31"/>
      <c r="Q223" s="9" t="s">
        <v>9</v>
      </c>
      <c r="R223" s="9" t="s">
        <v>28</v>
      </c>
      <c r="S223" s="4" t="s">
        <v>6</v>
      </c>
      <c r="T223" s="5" t="s">
        <v>7</v>
      </c>
      <c r="U223" s="4" t="s">
        <v>6</v>
      </c>
      <c r="V223" s="4" t="s">
        <v>6</v>
      </c>
      <c r="W223" s="5" t="s">
        <v>8</v>
      </c>
      <c r="X223" s="5" t="s">
        <v>9</v>
      </c>
      <c r="Y223" s="9" t="s">
        <v>22</v>
      </c>
      <c r="Z223" s="9" t="s">
        <v>22</v>
      </c>
      <c r="AA223" s="9" t="s">
        <v>22</v>
      </c>
      <c r="AB223" s="9" t="s">
        <v>24</v>
      </c>
      <c r="AC223" s="9" t="s">
        <v>22</v>
      </c>
      <c r="AD223" s="9" t="s">
        <v>28</v>
      </c>
      <c r="AE223" s="9" t="s">
        <v>22</v>
      </c>
      <c r="AF223" s="9" t="s">
        <v>28</v>
      </c>
      <c r="AG223" s="9" t="s">
        <v>24</v>
      </c>
      <c r="AH223" s="31"/>
      <c r="AI223" s="9" t="s">
        <v>9</v>
      </c>
      <c r="AJ223" s="9" t="s">
        <v>28</v>
      </c>
    </row>
    <row r="224" spans="1:36" x14ac:dyDescent="0.25">
      <c r="A224" s="6" t="s">
        <v>48</v>
      </c>
      <c r="B224" s="17">
        <v>0</v>
      </c>
      <c r="C224" s="6" t="s">
        <v>36</v>
      </c>
      <c r="D224" s="6" t="s">
        <v>11</v>
      </c>
      <c r="E224" s="48">
        <v>-9.4390000000000001</v>
      </c>
      <c r="F224" s="48">
        <v>51.891199999999998</v>
      </c>
      <c r="G224" s="29">
        <v>300</v>
      </c>
      <c r="H224" s="29">
        <v>500</v>
      </c>
      <c r="I224" s="28">
        <f t="shared" ref="I224:I253" si="48">H224-40</f>
        <v>460</v>
      </c>
      <c r="J224" s="28">
        <f>ABS(F224)*1000^2/(0.9*391*I224)</f>
        <v>320.56537801005715</v>
      </c>
      <c r="K224" s="61">
        <v>18</v>
      </c>
      <c r="L224" s="61">
        <v>2</v>
      </c>
      <c r="M224" s="61">
        <v>12</v>
      </c>
      <c r="N224" s="61">
        <v>0</v>
      </c>
      <c r="O224" s="28">
        <f>PI()*K224^2/4*L224+PI()*M224^2/4*N224</f>
        <v>508.93800988154646</v>
      </c>
      <c r="P224" s="34" t="str">
        <f t="shared" ref="P224:P253" si="49">IF(O224&gt;=J224,"OK","NO")</f>
        <v>OK</v>
      </c>
      <c r="Q224" s="17">
        <f t="shared" ref="Q224:Q253" si="50">(O224*0.9*391*I224)/1000^2</f>
        <v>82.383831411565467</v>
      </c>
      <c r="R224" s="19">
        <f>F224/Q224</f>
        <v>0.6298711665978094</v>
      </c>
      <c r="S224" s="6" t="s">
        <v>48</v>
      </c>
      <c r="T224" s="17">
        <v>0</v>
      </c>
      <c r="U224" s="6" t="s">
        <v>36</v>
      </c>
      <c r="V224" s="6" t="s">
        <v>12</v>
      </c>
      <c r="W224" s="48">
        <v>-85.265000000000001</v>
      </c>
      <c r="X224" s="48">
        <v>-98.344999999999999</v>
      </c>
      <c r="Y224" s="29">
        <v>300</v>
      </c>
      <c r="Z224" s="29">
        <v>500</v>
      </c>
      <c r="AA224" s="28">
        <f t="shared" ref="AA224:AA253" si="51">Z224-40</f>
        <v>460</v>
      </c>
      <c r="AB224" s="28">
        <f>ABS(X224)*1000^2/(0.9*391*AA224)</f>
        <v>607.54043268220948</v>
      </c>
      <c r="AC224" s="30">
        <v>18</v>
      </c>
      <c r="AD224" s="30">
        <v>2</v>
      </c>
      <c r="AE224" s="30">
        <v>12</v>
      </c>
      <c r="AF224" s="30">
        <v>1</v>
      </c>
      <c r="AG224" s="28">
        <f>PI()*AC224^2/4*AD224+PI()*AE224^2/4*AF224</f>
        <v>622.03534541077897</v>
      </c>
      <c r="AH224" s="34" t="str">
        <f t="shared" ref="AH224:AH253" si="52">IF(AG224&gt;=AB224,"OK","NO")</f>
        <v>OK</v>
      </c>
      <c r="AI224" s="28">
        <f>-(AG224*0.9*391*AA224)/1000^2</f>
        <v>-100.69134950302445</v>
      </c>
      <c r="AJ224" s="32">
        <f>X224/AI224</f>
        <v>0.97669760595517707</v>
      </c>
    </row>
    <row r="225" spans="1:36" x14ac:dyDescent="0.25">
      <c r="A225" s="6" t="s">
        <v>48</v>
      </c>
      <c r="B225" s="17">
        <v>0.5</v>
      </c>
      <c r="C225" s="6" t="s">
        <v>36</v>
      </c>
      <c r="D225" s="6" t="s">
        <v>11</v>
      </c>
      <c r="E225" s="48">
        <v>3.4780000000000002</v>
      </c>
      <c r="F225" s="48">
        <v>53.381599999999999</v>
      </c>
      <c r="G225" s="29">
        <v>300</v>
      </c>
      <c r="H225" s="29">
        <v>500</v>
      </c>
      <c r="I225" s="28">
        <f t="shared" si="48"/>
        <v>460</v>
      </c>
      <c r="J225" s="28">
        <f t="shared" ref="J225:J253" si="53">ABS(F225)*1000^2/(0.9*391*I225)</f>
        <v>329.77253913537686</v>
      </c>
      <c r="K225" s="61">
        <v>18</v>
      </c>
      <c r="L225" s="61">
        <v>2</v>
      </c>
      <c r="M225" s="61">
        <v>12</v>
      </c>
      <c r="N225" s="61">
        <v>0</v>
      </c>
      <c r="O225" s="28">
        <f t="shared" ref="O225:O252" si="54">PI()*K225^2/4*L225+PI()*M225^2/4*N225</f>
        <v>508.93800988154646</v>
      </c>
      <c r="P225" s="34" t="str">
        <f t="shared" si="49"/>
        <v>OK</v>
      </c>
      <c r="Q225" s="17">
        <f t="shared" si="50"/>
        <v>82.383831411565467</v>
      </c>
      <c r="R225" s="19">
        <f t="shared" ref="R225:R253" si="55">F225/Q225</f>
        <v>0.64796209505383617</v>
      </c>
      <c r="S225" s="6" t="s">
        <v>48</v>
      </c>
      <c r="T225" s="17">
        <v>0.5</v>
      </c>
      <c r="U225" s="6" t="s">
        <v>36</v>
      </c>
      <c r="V225" s="6" t="s">
        <v>12</v>
      </c>
      <c r="W225" s="48">
        <v>-72.349000000000004</v>
      </c>
      <c r="X225" s="48">
        <v>-58.941600000000001</v>
      </c>
      <c r="Y225" s="29">
        <v>300</v>
      </c>
      <c r="Z225" s="29">
        <v>500</v>
      </c>
      <c r="AA225" s="28">
        <f t="shared" si="51"/>
        <v>460</v>
      </c>
      <c r="AB225" s="28">
        <f t="shared" ref="AB225:AB253" si="56">ABS(X225)*1000^2/(0.9*391*AA225)</f>
        <v>364.12024166944656</v>
      </c>
      <c r="AC225" s="30">
        <v>18</v>
      </c>
      <c r="AD225" s="30">
        <v>2</v>
      </c>
      <c r="AE225" s="30">
        <v>12</v>
      </c>
      <c r="AF225" s="30">
        <v>1</v>
      </c>
      <c r="AG225" s="28">
        <f t="shared" ref="AG225:AG252" si="57">PI()*AC225^2/4*AD225+PI()*AE225^2/4*AF225</f>
        <v>622.03534541077897</v>
      </c>
      <c r="AH225" s="34" t="str">
        <f t="shared" si="52"/>
        <v>OK</v>
      </c>
      <c r="AI225" s="28">
        <f t="shared" ref="AI225:AI253" si="58">-(AG225*0.9*391*AA225)/1000^2</f>
        <v>-100.69134950302445</v>
      </c>
      <c r="AJ225" s="32">
        <f t="shared" ref="AJ225:AJ252" si="59">X225/AI225</f>
        <v>0.5853690539546258</v>
      </c>
    </row>
    <row r="226" spans="1:36" x14ac:dyDescent="0.25">
      <c r="A226" s="6" t="s">
        <v>48</v>
      </c>
      <c r="B226" s="17">
        <v>1</v>
      </c>
      <c r="C226" s="6" t="s">
        <v>36</v>
      </c>
      <c r="D226" s="6" t="s">
        <v>11</v>
      </c>
      <c r="E226" s="48">
        <v>16.393999999999998</v>
      </c>
      <c r="F226" s="48">
        <v>48.413899999999998</v>
      </c>
      <c r="G226" s="29">
        <v>300</v>
      </c>
      <c r="H226" s="29">
        <v>500</v>
      </c>
      <c r="I226" s="28">
        <f t="shared" si="48"/>
        <v>460</v>
      </c>
      <c r="J226" s="28">
        <f t="shared" si="53"/>
        <v>299.08385534428004</v>
      </c>
      <c r="K226" s="61">
        <v>18</v>
      </c>
      <c r="L226" s="61">
        <v>2</v>
      </c>
      <c r="M226" s="61">
        <v>12</v>
      </c>
      <c r="N226" s="61">
        <v>0</v>
      </c>
      <c r="O226" s="28">
        <f t="shared" si="54"/>
        <v>508.93800988154646</v>
      </c>
      <c r="P226" s="34" t="str">
        <f t="shared" si="49"/>
        <v>OK</v>
      </c>
      <c r="Q226" s="17">
        <f t="shared" si="50"/>
        <v>82.383831411565467</v>
      </c>
      <c r="R226" s="19">
        <f t="shared" si="55"/>
        <v>0.58766264169164883</v>
      </c>
      <c r="S226" s="6" t="s">
        <v>48</v>
      </c>
      <c r="T226" s="17">
        <v>1</v>
      </c>
      <c r="U226" s="6" t="s">
        <v>36</v>
      </c>
      <c r="V226" s="6" t="s">
        <v>12</v>
      </c>
      <c r="W226" s="48">
        <v>-59.432000000000002</v>
      </c>
      <c r="X226" s="48">
        <v>-25.996500000000001</v>
      </c>
      <c r="Y226" s="29">
        <v>300</v>
      </c>
      <c r="Z226" s="29">
        <v>500</v>
      </c>
      <c r="AA226" s="28">
        <f t="shared" si="51"/>
        <v>460</v>
      </c>
      <c r="AB226" s="28">
        <f t="shared" si="56"/>
        <v>160.59713110196816</v>
      </c>
      <c r="AC226" s="30">
        <v>18</v>
      </c>
      <c r="AD226" s="30">
        <v>2</v>
      </c>
      <c r="AE226" s="30">
        <v>12</v>
      </c>
      <c r="AF226" s="30">
        <v>0</v>
      </c>
      <c r="AG226" s="28">
        <f t="shared" si="57"/>
        <v>508.93800988154646</v>
      </c>
      <c r="AH226" s="34" t="str">
        <f t="shared" si="52"/>
        <v>OK</v>
      </c>
      <c r="AI226" s="28">
        <f t="shared" si="58"/>
        <v>-82.383831411565467</v>
      </c>
      <c r="AJ226" s="32">
        <f t="shared" si="59"/>
        <v>0.31555342297846173</v>
      </c>
    </row>
    <row r="227" spans="1:36" x14ac:dyDescent="0.25">
      <c r="A227" s="6" t="s">
        <v>48</v>
      </c>
      <c r="B227" s="17">
        <v>1.5</v>
      </c>
      <c r="C227" s="6" t="s">
        <v>36</v>
      </c>
      <c r="D227" s="6" t="s">
        <v>11</v>
      </c>
      <c r="E227" s="48">
        <v>29.31</v>
      </c>
      <c r="F227" s="48">
        <v>36.988199999999999</v>
      </c>
      <c r="G227" s="29">
        <v>300</v>
      </c>
      <c r="H227" s="29">
        <v>500</v>
      </c>
      <c r="I227" s="28">
        <f t="shared" si="48"/>
        <v>460</v>
      </c>
      <c r="J227" s="28">
        <f t="shared" si="53"/>
        <v>228.49994440120091</v>
      </c>
      <c r="K227" s="61">
        <v>18</v>
      </c>
      <c r="L227" s="61">
        <v>2</v>
      </c>
      <c r="M227" s="61">
        <v>12</v>
      </c>
      <c r="N227" s="61">
        <v>0</v>
      </c>
      <c r="O227" s="28">
        <f t="shared" si="54"/>
        <v>508.93800988154646</v>
      </c>
      <c r="P227" s="34" t="str">
        <f t="shared" si="49"/>
        <v>OK</v>
      </c>
      <c r="Q227" s="17">
        <f t="shared" si="50"/>
        <v>82.383831411565467</v>
      </c>
      <c r="R227" s="19">
        <f t="shared" si="55"/>
        <v>0.44897402034165901</v>
      </c>
      <c r="S227" s="6" t="s">
        <v>48</v>
      </c>
      <c r="T227" s="17">
        <v>1.5</v>
      </c>
      <c r="U227" s="6" t="s">
        <v>36</v>
      </c>
      <c r="V227" s="6" t="s">
        <v>12</v>
      </c>
      <c r="W227" s="48">
        <v>-46.515999999999998</v>
      </c>
      <c r="X227" s="48">
        <v>0.49009999999999998</v>
      </c>
      <c r="Y227" s="29">
        <v>300</v>
      </c>
      <c r="Z227" s="29">
        <v>500</v>
      </c>
      <c r="AA227" s="28">
        <f t="shared" si="51"/>
        <v>460</v>
      </c>
      <c r="AB227" s="28">
        <f t="shared" si="56"/>
        <v>3.0276634913574751</v>
      </c>
      <c r="AC227" s="30">
        <v>18</v>
      </c>
      <c r="AD227" s="30">
        <v>2</v>
      </c>
      <c r="AE227" s="30">
        <v>12</v>
      </c>
      <c r="AF227" s="30">
        <v>0</v>
      </c>
      <c r="AG227" s="28">
        <f t="shared" si="57"/>
        <v>508.93800988154646</v>
      </c>
      <c r="AH227" s="34" t="str">
        <f t="shared" si="52"/>
        <v>OK</v>
      </c>
      <c r="AI227" s="28">
        <f t="shared" si="58"/>
        <v>-82.383831411565467</v>
      </c>
      <c r="AJ227" s="32">
        <f t="shared" si="59"/>
        <v>-5.9489828477581243E-3</v>
      </c>
    </row>
    <row r="228" spans="1:36" x14ac:dyDescent="0.25">
      <c r="A228" s="6" t="s">
        <v>48</v>
      </c>
      <c r="B228" s="17">
        <v>2</v>
      </c>
      <c r="C228" s="6" t="s">
        <v>36</v>
      </c>
      <c r="D228" s="6" t="s">
        <v>11</v>
      </c>
      <c r="E228" s="48">
        <v>42.226999999999997</v>
      </c>
      <c r="F228" s="48">
        <v>33.2913</v>
      </c>
      <c r="G228" s="29">
        <v>300</v>
      </c>
      <c r="H228" s="29">
        <v>500</v>
      </c>
      <c r="I228" s="28">
        <f t="shared" si="48"/>
        <v>460</v>
      </c>
      <c r="J228" s="28">
        <f t="shared" si="53"/>
        <v>205.66181103821486</v>
      </c>
      <c r="K228" s="61">
        <v>18</v>
      </c>
      <c r="L228" s="61">
        <v>2</v>
      </c>
      <c r="M228" s="61">
        <v>12</v>
      </c>
      <c r="N228" s="61">
        <v>0</v>
      </c>
      <c r="O228" s="28">
        <f t="shared" si="54"/>
        <v>508.93800988154646</v>
      </c>
      <c r="P228" s="34" t="str">
        <f t="shared" si="49"/>
        <v>OK</v>
      </c>
      <c r="Q228" s="17">
        <f t="shared" si="50"/>
        <v>82.383831411565467</v>
      </c>
      <c r="R228" s="19">
        <f t="shared" si="55"/>
        <v>0.40409992385139781</v>
      </c>
      <c r="S228" s="6" t="s">
        <v>48</v>
      </c>
      <c r="T228" s="17">
        <v>2</v>
      </c>
      <c r="U228" s="6" t="s">
        <v>36</v>
      </c>
      <c r="V228" s="6" t="s">
        <v>12</v>
      </c>
      <c r="W228" s="48">
        <v>-33.598999999999997</v>
      </c>
      <c r="X228" s="48">
        <v>19.0778</v>
      </c>
      <c r="Y228" s="29">
        <v>300</v>
      </c>
      <c r="Z228" s="29">
        <v>500</v>
      </c>
      <c r="AA228" s="28">
        <f t="shared" si="51"/>
        <v>460</v>
      </c>
      <c r="AB228" s="28">
        <f t="shared" si="56"/>
        <v>117.8558632022437</v>
      </c>
      <c r="AC228" s="30">
        <v>18</v>
      </c>
      <c r="AD228" s="30">
        <v>2</v>
      </c>
      <c r="AE228" s="30">
        <v>12</v>
      </c>
      <c r="AF228" s="30">
        <v>0</v>
      </c>
      <c r="AG228" s="28">
        <f t="shared" si="57"/>
        <v>508.93800988154646</v>
      </c>
      <c r="AH228" s="34" t="str">
        <f t="shared" si="52"/>
        <v>OK</v>
      </c>
      <c r="AI228" s="28">
        <f t="shared" si="58"/>
        <v>-82.383831411565467</v>
      </c>
      <c r="AJ228" s="32">
        <f t="shared" si="59"/>
        <v>-0.23157213828394196</v>
      </c>
    </row>
    <row r="229" spans="1:36" x14ac:dyDescent="0.25">
      <c r="A229" s="6" t="s">
        <v>48</v>
      </c>
      <c r="B229" s="17">
        <v>2.5</v>
      </c>
      <c r="C229" s="6" t="s">
        <v>36</v>
      </c>
      <c r="D229" s="6" t="s">
        <v>11</v>
      </c>
      <c r="E229" s="48">
        <v>55.143000000000001</v>
      </c>
      <c r="F229" s="48">
        <v>34.091299999999997</v>
      </c>
      <c r="G229" s="29">
        <v>300</v>
      </c>
      <c r="H229" s="29">
        <v>500</v>
      </c>
      <c r="I229" s="28">
        <f t="shared" si="48"/>
        <v>460</v>
      </c>
      <c r="J229" s="28">
        <f t="shared" si="53"/>
        <v>210.60392651074289</v>
      </c>
      <c r="K229" s="61">
        <v>18</v>
      </c>
      <c r="L229" s="61">
        <v>2</v>
      </c>
      <c r="M229" s="61">
        <v>12</v>
      </c>
      <c r="N229" s="61">
        <v>0</v>
      </c>
      <c r="O229" s="28">
        <f t="shared" si="54"/>
        <v>508.93800988154646</v>
      </c>
      <c r="P229" s="34" t="str">
        <f t="shared" si="49"/>
        <v>OK</v>
      </c>
      <c r="Q229" s="17">
        <f t="shared" si="50"/>
        <v>82.383831411565467</v>
      </c>
      <c r="R229" s="19">
        <f t="shared" si="55"/>
        <v>0.41381056714502457</v>
      </c>
      <c r="S229" s="6" t="s">
        <v>48</v>
      </c>
      <c r="T229" s="17">
        <v>2.5</v>
      </c>
      <c r="U229" s="6" t="s">
        <v>36</v>
      </c>
      <c r="V229" s="6" t="s">
        <v>12</v>
      </c>
      <c r="W229" s="48">
        <v>-20.683</v>
      </c>
      <c r="X229" s="48">
        <v>-5.2404999999999999</v>
      </c>
      <c r="Y229" s="29">
        <v>300</v>
      </c>
      <c r="Z229" s="29">
        <v>500</v>
      </c>
      <c r="AA229" s="28">
        <f t="shared" si="51"/>
        <v>460</v>
      </c>
      <c r="AB229" s="28">
        <f t="shared" si="56"/>
        <v>32.373945167228825</v>
      </c>
      <c r="AC229" s="30">
        <v>18</v>
      </c>
      <c r="AD229" s="30">
        <v>2</v>
      </c>
      <c r="AE229" s="30">
        <v>14</v>
      </c>
      <c r="AF229" s="30">
        <v>0</v>
      </c>
      <c r="AG229" s="28">
        <f t="shared" si="57"/>
        <v>508.93800988154646</v>
      </c>
      <c r="AH229" s="34" t="str">
        <f t="shared" si="52"/>
        <v>OK</v>
      </c>
      <c r="AI229" s="28">
        <f t="shared" si="58"/>
        <v>-82.383831411565467</v>
      </c>
      <c r="AJ229" s="32">
        <f t="shared" si="59"/>
        <v>6.3610782725314133E-2</v>
      </c>
    </row>
    <row r="230" spans="1:36" x14ac:dyDescent="0.25">
      <c r="A230" s="6" t="s">
        <v>48</v>
      </c>
      <c r="B230" s="17">
        <v>3</v>
      </c>
      <c r="C230" s="6" t="s">
        <v>36</v>
      </c>
      <c r="D230" s="6" t="s">
        <v>11</v>
      </c>
      <c r="E230" s="48">
        <v>68.06</v>
      </c>
      <c r="F230" s="48">
        <v>41.203299999999999</v>
      </c>
      <c r="G230" s="29">
        <v>300</v>
      </c>
      <c r="H230" s="29">
        <v>500</v>
      </c>
      <c r="I230" s="28">
        <f t="shared" si="48"/>
        <v>460</v>
      </c>
      <c r="J230" s="28">
        <f t="shared" si="53"/>
        <v>254.53933306151694</v>
      </c>
      <c r="K230" s="61">
        <v>18</v>
      </c>
      <c r="L230" s="61">
        <v>2</v>
      </c>
      <c r="M230" s="61">
        <v>12</v>
      </c>
      <c r="N230" s="61">
        <v>0</v>
      </c>
      <c r="O230" s="28">
        <f t="shared" si="54"/>
        <v>508.93800988154646</v>
      </c>
      <c r="P230" s="34" t="str">
        <f t="shared" si="49"/>
        <v>OK</v>
      </c>
      <c r="Q230" s="17">
        <f t="shared" si="50"/>
        <v>82.383831411565467</v>
      </c>
      <c r="R230" s="19">
        <f t="shared" si="55"/>
        <v>0.50013818602536697</v>
      </c>
      <c r="S230" s="6" t="s">
        <v>48</v>
      </c>
      <c r="T230" s="17">
        <v>3</v>
      </c>
      <c r="U230" s="6" t="s">
        <v>36</v>
      </c>
      <c r="V230" s="6" t="s">
        <v>12</v>
      </c>
      <c r="W230" s="48">
        <v>-7.7670000000000003</v>
      </c>
      <c r="X230" s="48">
        <v>-36.040900000000001</v>
      </c>
      <c r="Y230" s="29">
        <v>300</v>
      </c>
      <c r="Z230" s="29">
        <v>500</v>
      </c>
      <c r="AA230" s="28">
        <f t="shared" si="51"/>
        <v>460</v>
      </c>
      <c r="AB230" s="28">
        <f t="shared" si="56"/>
        <v>222.64786191729365</v>
      </c>
      <c r="AC230" s="30">
        <v>18</v>
      </c>
      <c r="AD230" s="30">
        <v>2</v>
      </c>
      <c r="AE230" s="30">
        <v>14</v>
      </c>
      <c r="AF230" s="30">
        <v>0</v>
      </c>
      <c r="AG230" s="28">
        <f t="shared" si="57"/>
        <v>508.93800988154646</v>
      </c>
      <c r="AH230" s="34" t="str">
        <f t="shared" si="52"/>
        <v>OK</v>
      </c>
      <c r="AI230" s="28">
        <f t="shared" si="58"/>
        <v>-82.383831411565467</v>
      </c>
      <c r="AJ230" s="32">
        <f t="shared" si="59"/>
        <v>0.43747540485159314</v>
      </c>
    </row>
    <row r="231" spans="1:36" x14ac:dyDescent="0.25">
      <c r="A231" s="6" t="s">
        <v>48</v>
      </c>
      <c r="B231" s="17">
        <v>3.5</v>
      </c>
      <c r="C231" s="6" t="s">
        <v>36</v>
      </c>
      <c r="D231" s="6" t="s">
        <v>11</v>
      </c>
      <c r="E231" s="48">
        <v>80.975999999999999</v>
      </c>
      <c r="F231" s="48">
        <v>41.857300000000002</v>
      </c>
      <c r="G231" s="29">
        <v>300</v>
      </c>
      <c r="H231" s="29">
        <v>500</v>
      </c>
      <c r="I231" s="28">
        <f t="shared" si="48"/>
        <v>460</v>
      </c>
      <c r="J231" s="28">
        <f t="shared" si="53"/>
        <v>258.57951246030859</v>
      </c>
      <c r="K231" s="61">
        <v>18</v>
      </c>
      <c r="L231" s="61">
        <v>2</v>
      </c>
      <c r="M231" s="61">
        <v>12</v>
      </c>
      <c r="N231" s="61">
        <v>0</v>
      </c>
      <c r="O231" s="28">
        <f t="shared" si="54"/>
        <v>508.93800988154646</v>
      </c>
      <c r="P231" s="34" t="str">
        <f t="shared" si="49"/>
        <v>OK</v>
      </c>
      <c r="Q231" s="17">
        <f t="shared" si="50"/>
        <v>82.383831411565467</v>
      </c>
      <c r="R231" s="19">
        <f t="shared" si="55"/>
        <v>0.50807663691790694</v>
      </c>
      <c r="S231" s="6" t="s">
        <v>48</v>
      </c>
      <c r="T231" s="17">
        <v>3.5</v>
      </c>
      <c r="U231" s="6" t="s">
        <v>36</v>
      </c>
      <c r="V231" s="6" t="s">
        <v>12</v>
      </c>
      <c r="W231" s="48">
        <v>5.15</v>
      </c>
      <c r="X231" s="48">
        <v>-73.299800000000005</v>
      </c>
      <c r="Y231" s="29">
        <v>300</v>
      </c>
      <c r="Z231" s="29">
        <v>500</v>
      </c>
      <c r="AA231" s="28">
        <f t="shared" si="51"/>
        <v>460</v>
      </c>
      <c r="AB231" s="28">
        <f t="shared" si="56"/>
        <v>452.82009464151122</v>
      </c>
      <c r="AC231" s="30">
        <v>18</v>
      </c>
      <c r="AD231" s="30">
        <v>2</v>
      </c>
      <c r="AE231" s="30">
        <v>14</v>
      </c>
      <c r="AF231" s="30">
        <v>2</v>
      </c>
      <c r="AG231" s="28">
        <f t="shared" si="57"/>
        <v>816.81408993334617</v>
      </c>
      <c r="AH231" s="34" t="str">
        <f t="shared" si="52"/>
        <v>OK</v>
      </c>
      <c r="AI231" s="28">
        <f t="shared" si="58"/>
        <v>-132.22096399387047</v>
      </c>
      <c r="AJ231" s="32">
        <f t="shared" si="59"/>
        <v>0.5543735107195108</v>
      </c>
    </row>
    <row r="232" spans="1:36" x14ac:dyDescent="0.25">
      <c r="A232" s="6" t="s">
        <v>48</v>
      </c>
      <c r="B232" s="17">
        <v>4</v>
      </c>
      <c r="C232" s="6" t="s">
        <v>36</v>
      </c>
      <c r="D232" s="6" t="s">
        <v>11</v>
      </c>
      <c r="E232" s="48">
        <v>93.893000000000001</v>
      </c>
      <c r="F232" s="48">
        <v>36.053100000000001</v>
      </c>
      <c r="G232" s="29">
        <v>300</v>
      </c>
      <c r="H232" s="29">
        <v>500</v>
      </c>
      <c r="I232" s="28">
        <f t="shared" si="48"/>
        <v>460</v>
      </c>
      <c r="J232" s="28">
        <f t="shared" si="53"/>
        <v>222.72322917824971</v>
      </c>
      <c r="K232" s="61">
        <v>18</v>
      </c>
      <c r="L232" s="61">
        <v>2</v>
      </c>
      <c r="M232" s="61">
        <v>12</v>
      </c>
      <c r="N232" s="61">
        <v>0</v>
      </c>
      <c r="O232" s="28">
        <f t="shared" si="54"/>
        <v>508.93800988154646</v>
      </c>
      <c r="P232" s="34" t="str">
        <f t="shared" si="49"/>
        <v>OK</v>
      </c>
      <c r="Q232" s="17">
        <f t="shared" si="50"/>
        <v>82.383831411565467</v>
      </c>
      <c r="R232" s="19">
        <f t="shared" si="55"/>
        <v>0.43762349216182095</v>
      </c>
      <c r="S232" s="6" t="s">
        <v>48</v>
      </c>
      <c r="T232" s="17">
        <v>4</v>
      </c>
      <c r="U232" s="6" t="s">
        <v>36</v>
      </c>
      <c r="V232" s="6" t="s">
        <v>12</v>
      </c>
      <c r="W232" s="48">
        <v>18.065999999999999</v>
      </c>
      <c r="X232" s="48">
        <v>-117.017</v>
      </c>
      <c r="Y232" s="29">
        <v>300</v>
      </c>
      <c r="Z232" s="29">
        <v>500</v>
      </c>
      <c r="AA232" s="28">
        <f t="shared" si="51"/>
        <v>460</v>
      </c>
      <c r="AB232" s="28">
        <f t="shared" si="56"/>
        <v>722.88940781101337</v>
      </c>
      <c r="AC232" s="30">
        <v>18</v>
      </c>
      <c r="AD232" s="30">
        <v>2</v>
      </c>
      <c r="AE232" s="30">
        <v>14</v>
      </c>
      <c r="AF232" s="30">
        <v>2</v>
      </c>
      <c r="AG232" s="28">
        <f t="shared" si="57"/>
        <v>816.81408993334617</v>
      </c>
      <c r="AH232" s="34" t="str">
        <f t="shared" si="52"/>
        <v>OK</v>
      </c>
      <c r="AI232" s="28">
        <f t="shared" si="58"/>
        <v>-132.22096399387047</v>
      </c>
      <c r="AJ232" s="32">
        <f t="shared" si="59"/>
        <v>0.88501094278381376</v>
      </c>
    </row>
    <row r="233" spans="1:36" x14ac:dyDescent="0.25">
      <c r="A233" s="6" t="s">
        <v>49</v>
      </c>
      <c r="B233" s="17">
        <v>4</v>
      </c>
      <c r="C233" s="6" t="s">
        <v>36</v>
      </c>
      <c r="D233" s="6" t="s">
        <v>11</v>
      </c>
      <c r="E233" s="48">
        <v>-46.646999999999998</v>
      </c>
      <c r="F233" s="48">
        <v>5.3682999999999996</v>
      </c>
      <c r="G233" s="29">
        <v>300</v>
      </c>
      <c r="H233" s="29">
        <v>500</v>
      </c>
      <c r="I233" s="28">
        <f t="shared" si="48"/>
        <v>460</v>
      </c>
      <c r="J233" s="28">
        <f t="shared" si="53"/>
        <v>33.163448113965174</v>
      </c>
      <c r="K233" s="61">
        <v>18</v>
      </c>
      <c r="L233" s="61">
        <v>2</v>
      </c>
      <c r="M233" s="61">
        <v>12</v>
      </c>
      <c r="N233" s="61">
        <v>0</v>
      </c>
      <c r="O233" s="28">
        <f t="shared" si="54"/>
        <v>508.93800988154646</v>
      </c>
      <c r="P233" s="34" t="str">
        <f t="shared" si="49"/>
        <v>OK</v>
      </c>
      <c r="Q233" s="17">
        <f t="shared" si="50"/>
        <v>82.383831411565467</v>
      </c>
      <c r="R233" s="19">
        <f t="shared" si="55"/>
        <v>6.5162057991471012E-2</v>
      </c>
      <c r="S233" s="6" t="s">
        <v>49</v>
      </c>
      <c r="T233" s="17">
        <v>4</v>
      </c>
      <c r="U233" s="6" t="s">
        <v>36</v>
      </c>
      <c r="V233" s="6" t="s">
        <v>12</v>
      </c>
      <c r="W233" s="48">
        <v>-119.08199999999999</v>
      </c>
      <c r="X233" s="48">
        <v>-128.89089999999999</v>
      </c>
      <c r="Y233" s="29">
        <v>300</v>
      </c>
      <c r="Z233" s="29">
        <v>500</v>
      </c>
      <c r="AA233" s="28">
        <f t="shared" si="51"/>
        <v>460</v>
      </c>
      <c r="AB233" s="28">
        <f t="shared" si="56"/>
        <v>796.24213894757622</v>
      </c>
      <c r="AC233" s="30">
        <v>18</v>
      </c>
      <c r="AD233" s="30">
        <v>2</v>
      </c>
      <c r="AE233" s="30">
        <v>14</v>
      </c>
      <c r="AF233" s="30">
        <v>2</v>
      </c>
      <c r="AG233" s="28">
        <f t="shared" si="57"/>
        <v>816.81408993334617</v>
      </c>
      <c r="AH233" s="34" t="str">
        <f t="shared" si="52"/>
        <v>OK</v>
      </c>
      <c r="AI233" s="28">
        <f t="shared" si="58"/>
        <v>-132.22096399387047</v>
      </c>
      <c r="AJ233" s="32">
        <f t="shared" si="59"/>
        <v>0.9748144023966967</v>
      </c>
    </row>
    <row r="234" spans="1:36" x14ac:dyDescent="0.25">
      <c r="A234" s="6" t="s">
        <v>49</v>
      </c>
      <c r="B234" s="17">
        <v>4.5</v>
      </c>
      <c r="C234" s="6" t="s">
        <v>36</v>
      </c>
      <c r="D234" s="6" t="s">
        <v>11</v>
      </c>
      <c r="E234" s="48">
        <v>-33.729999999999997</v>
      </c>
      <c r="F234" s="48">
        <v>25.462399999999999</v>
      </c>
      <c r="G234" s="29">
        <v>300</v>
      </c>
      <c r="H234" s="29">
        <v>500</v>
      </c>
      <c r="I234" s="28">
        <f t="shared" si="48"/>
        <v>460</v>
      </c>
      <c r="J234" s="28">
        <f t="shared" si="53"/>
        <v>157.29765125962166</v>
      </c>
      <c r="K234" s="61">
        <v>18</v>
      </c>
      <c r="L234" s="61">
        <v>2</v>
      </c>
      <c r="M234" s="61">
        <v>12</v>
      </c>
      <c r="N234" s="61">
        <v>0</v>
      </c>
      <c r="O234" s="28">
        <f t="shared" si="54"/>
        <v>508.93800988154646</v>
      </c>
      <c r="P234" s="34" t="str">
        <f t="shared" si="49"/>
        <v>OK</v>
      </c>
      <c r="Q234" s="17">
        <f t="shared" si="50"/>
        <v>82.383831411565467</v>
      </c>
      <c r="R234" s="19">
        <f t="shared" si="55"/>
        <v>0.30907035474955413</v>
      </c>
      <c r="S234" s="6" t="s">
        <v>49</v>
      </c>
      <c r="T234" s="17">
        <v>4.5</v>
      </c>
      <c r="U234" s="6" t="s">
        <v>36</v>
      </c>
      <c r="V234" s="6" t="s">
        <v>12</v>
      </c>
      <c r="W234" s="48">
        <v>-97.430999999999997</v>
      </c>
      <c r="X234" s="48">
        <v>-84.402799999999999</v>
      </c>
      <c r="Y234" s="29">
        <v>300</v>
      </c>
      <c r="Z234" s="29">
        <v>500</v>
      </c>
      <c r="AA234" s="28">
        <f t="shared" si="51"/>
        <v>460</v>
      </c>
      <c r="AB234" s="28">
        <f t="shared" si="56"/>
        <v>521.41047975585946</v>
      </c>
      <c r="AC234" s="30">
        <v>18</v>
      </c>
      <c r="AD234" s="30">
        <v>2</v>
      </c>
      <c r="AE234" s="30">
        <v>14</v>
      </c>
      <c r="AF234" s="30">
        <v>2</v>
      </c>
      <c r="AG234" s="28">
        <f t="shared" si="57"/>
        <v>816.81408993334617</v>
      </c>
      <c r="AH234" s="34" t="str">
        <f t="shared" si="52"/>
        <v>OK</v>
      </c>
      <c r="AI234" s="28">
        <f t="shared" si="58"/>
        <v>-132.22096399387047</v>
      </c>
      <c r="AJ234" s="32">
        <f t="shared" si="59"/>
        <v>0.63834657871585898</v>
      </c>
    </row>
    <row r="235" spans="1:36" x14ac:dyDescent="0.25">
      <c r="A235" s="6" t="s">
        <v>49</v>
      </c>
      <c r="B235" s="17">
        <v>5</v>
      </c>
      <c r="C235" s="6" t="s">
        <v>36</v>
      </c>
      <c r="D235" s="6" t="s">
        <v>11</v>
      </c>
      <c r="E235" s="48">
        <v>-20.814</v>
      </c>
      <c r="F235" s="48">
        <v>39.098399999999998</v>
      </c>
      <c r="G235" s="29">
        <v>300</v>
      </c>
      <c r="H235" s="29">
        <v>500</v>
      </c>
      <c r="I235" s="28">
        <f t="shared" si="48"/>
        <v>460</v>
      </c>
      <c r="J235" s="28">
        <f t="shared" si="53"/>
        <v>241.53600948886165</v>
      </c>
      <c r="K235" s="61">
        <v>18</v>
      </c>
      <c r="L235" s="61">
        <v>2</v>
      </c>
      <c r="M235" s="61">
        <v>12</v>
      </c>
      <c r="N235" s="61">
        <v>0</v>
      </c>
      <c r="O235" s="28">
        <f t="shared" si="54"/>
        <v>508.93800988154646</v>
      </c>
      <c r="P235" s="34" t="str">
        <f t="shared" si="49"/>
        <v>OK</v>
      </c>
      <c r="Q235" s="17">
        <f t="shared" si="50"/>
        <v>82.383831411565467</v>
      </c>
      <c r="R235" s="19">
        <f t="shared" si="55"/>
        <v>0.47458826968942308</v>
      </c>
      <c r="S235" s="6" t="s">
        <v>49</v>
      </c>
      <c r="T235" s="17">
        <v>5</v>
      </c>
      <c r="U235" s="6" t="s">
        <v>36</v>
      </c>
      <c r="V235" s="6" t="s">
        <v>12</v>
      </c>
      <c r="W235" s="48">
        <v>-75.778999999999996</v>
      </c>
      <c r="X235" s="48">
        <v>-46.372999999999998</v>
      </c>
      <c r="Y235" s="29">
        <v>300</v>
      </c>
      <c r="Z235" s="29">
        <v>500</v>
      </c>
      <c r="AA235" s="28">
        <f t="shared" si="51"/>
        <v>460</v>
      </c>
      <c r="AB235" s="28">
        <f t="shared" si="56"/>
        <v>286.47590100942705</v>
      </c>
      <c r="AC235" s="30">
        <v>18</v>
      </c>
      <c r="AD235" s="30">
        <v>2</v>
      </c>
      <c r="AE235" s="30">
        <v>14</v>
      </c>
      <c r="AF235" s="30">
        <v>0</v>
      </c>
      <c r="AG235" s="28">
        <f t="shared" si="57"/>
        <v>508.93800988154646</v>
      </c>
      <c r="AH235" s="34" t="str">
        <f t="shared" si="52"/>
        <v>OK</v>
      </c>
      <c r="AI235" s="28">
        <f t="shared" si="58"/>
        <v>-82.383831411565467</v>
      </c>
      <c r="AJ235" s="32">
        <f t="shared" si="59"/>
        <v>0.56288957681919505</v>
      </c>
    </row>
    <row r="236" spans="1:36" x14ac:dyDescent="0.25">
      <c r="A236" s="6" t="s">
        <v>49</v>
      </c>
      <c r="B236" s="17">
        <v>5.5</v>
      </c>
      <c r="C236" s="6" t="s">
        <v>36</v>
      </c>
      <c r="D236" s="6" t="s">
        <v>11</v>
      </c>
      <c r="E236" s="48">
        <v>-7.8970000000000002</v>
      </c>
      <c r="F236" s="48">
        <v>46.2761</v>
      </c>
      <c r="G236" s="29">
        <v>300</v>
      </c>
      <c r="H236" s="29">
        <v>500</v>
      </c>
      <c r="I236" s="28">
        <f t="shared" si="48"/>
        <v>460</v>
      </c>
      <c r="J236" s="28">
        <f t="shared" si="53"/>
        <v>285.87728727281706</v>
      </c>
      <c r="K236" s="61">
        <v>18</v>
      </c>
      <c r="L236" s="61">
        <v>2</v>
      </c>
      <c r="M236" s="61">
        <v>12</v>
      </c>
      <c r="N236" s="61">
        <v>0</v>
      </c>
      <c r="O236" s="28">
        <f t="shared" si="54"/>
        <v>508.93800988154646</v>
      </c>
      <c r="P236" s="34" t="str">
        <f t="shared" si="49"/>
        <v>OK</v>
      </c>
      <c r="Q236" s="17">
        <f t="shared" si="50"/>
        <v>82.383831411565467</v>
      </c>
      <c r="R236" s="19">
        <f t="shared" si="55"/>
        <v>0.56171337515025455</v>
      </c>
      <c r="S236" s="6" t="s">
        <v>49</v>
      </c>
      <c r="T236" s="17">
        <v>5.5</v>
      </c>
      <c r="U236" s="6" t="s">
        <v>36</v>
      </c>
      <c r="V236" s="6" t="s">
        <v>12</v>
      </c>
      <c r="W236" s="48">
        <v>-56.685000000000002</v>
      </c>
      <c r="X236" s="48">
        <v>-14.801399999999999</v>
      </c>
      <c r="Y236" s="29">
        <v>300</v>
      </c>
      <c r="Z236" s="29">
        <v>500</v>
      </c>
      <c r="AA236" s="28">
        <f t="shared" si="51"/>
        <v>460</v>
      </c>
      <c r="AB236" s="28">
        <f t="shared" si="56"/>
        <v>91.437784943845202</v>
      </c>
      <c r="AC236" s="30">
        <v>18</v>
      </c>
      <c r="AD236" s="30">
        <v>2</v>
      </c>
      <c r="AE236" s="30">
        <v>12</v>
      </c>
      <c r="AF236" s="30">
        <v>0</v>
      </c>
      <c r="AG236" s="28">
        <f t="shared" si="57"/>
        <v>508.93800988154646</v>
      </c>
      <c r="AH236" s="34" t="str">
        <f t="shared" si="52"/>
        <v>OK</v>
      </c>
      <c r="AI236" s="28">
        <f t="shared" si="58"/>
        <v>-82.383831411565467</v>
      </c>
      <c r="AJ236" s="32">
        <f t="shared" si="59"/>
        <v>0.17966389455785983</v>
      </c>
    </row>
    <row r="237" spans="1:36" x14ac:dyDescent="0.25">
      <c r="A237" s="6" t="s">
        <v>49</v>
      </c>
      <c r="B237" s="17">
        <v>6</v>
      </c>
      <c r="C237" s="6" t="s">
        <v>36</v>
      </c>
      <c r="D237" s="6" t="s">
        <v>11</v>
      </c>
      <c r="E237" s="48">
        <v>5.0190000000000001</v>
      </c>
      <c r="F237" s="48">
        <v>48.115499999999997</v>
      </c>
      <c r="G237" s="29">
        <v>300</v>
      </c>
      <c r="H237" s="29">
        <v>500</v>
      </c>
      <c r="I237" s="28">
        <f t="shared" si="48"/>
        <v>460</v>
      </c>
      <c r="J237" s="28">
        <f t="shared" si="53"/>
        <v>297.24044627302709</v>
      </c>
      <c r="K237" s="61">
        <v>18</v>
      </c>
      <c r="L237" s="61">
        <v>2</v>
      </c>
      <c r="M237" s="61">
        <v>12</v>
      </c>
      <c r="N237" s="61">
        <v>1</v>
      </c>
      <c r="O237" s="28">
        <f t="shared" si="54"/>
        <v>622.03534541077897</v>
      </c>
      <c r="P237" s="34" t="str">
        <f t="shared" si="49"/>
        <v>OK</v>
      </c>
      <c r="Q237" s="17">
        <f t="shared" si="50"/>
        <v>100.69134950302445</v>
      </c>
      <c r="R237" s="19">
        <f t="shared" si="55"/>
        <v>0.47785137688073948</v>
      </c>
      <c r="S237" s="6" t="s">
        <v>49</v>
      </c>
      <c r="T237" s="17">
        <v>6</v>
      </c>
      <c r="U237" s="6" t="s">
        <v>36</v>
      </c>
      <c r="V237" s="6" t="s">
        <v>12</v>
      </c>
      <c r="W237" s="48">
        <v>-43.768999999999998</v>
      </c>
      <c r="X237" s="48">
        <v>10.311999999999999</v>
      </c>
      <c r="Y237" s="29">
        <v>300</v>
      </c>
      <c r="Z237" s="29">
        <v>500</v>
      </c>
      <c r="AA237" s="28">
        <f t="shared" si="51"/>
        <v>460</v>
      </c>
      <c r="AB237" s="28">
        <f t="shared" si="56"/>
        <v>63.703868440886112</v>
      </c>
      <c r="AC237" s="30">
        <v>18</v>
      </c>
      <c r="AD237" s="30">
        <v>2</v>
      </c>
      <c r="AE237" s="30">
        <v>12</v>
      </c>
      <c r="AF237" s="30">
        <v>0</v>
      </c>
      <c r="AG237" s="28">
        <f t="shared" si="57"/>
        <v>508.93800988154646</v>
      </c>
      <c r="AH237" s="34" t="str">
        <f t="shared" si="52"/>
        <v>OK</v>
      </c>
      <c r="AI237" s="28">
        <f t="shared" si="58"/>
        <v>-82.383831411565467</v>
      </c>
      <c r="AJ237" s="32">
        <f t="shared" si="59"/>
        <v>-0.12517019205484958</v>
      </c>
    </row>
    <row r="238" spans="1:36" x14ac:dyDescent="0.25">
      <c r="A238" s="6" t="s">
        <v>49</v>
      </c>
      <c r="B238" s="17">
        <v>6.5</v>
      </c>
      <c r="C238" s="6" t="s">
        <v>36</v>
      </c>
      <c r="D238" s="6" t="s">
        <v>11</v>
      </c>
      <c r="E238" s="48">
        <v>17.936</v>
      </c>
      <c r="F238" s="48">
        <v>58.941099999999999</v>
      </c>
      <c r="G238" s="29">
        <v>300</v>
      </c>
      <c r="H238" s="29">
        <v>500</v>
      </c>
      <c r="I238" s="28">
        <f t="shared" si="48"/>
        <v>460</v>
      </c>
      <c r="J238" s="28">
        <f t="shared" si="53"/>
        <v>364.1171528472762</v>
      </c>
      <c r="K238" s="61">
        <v>18</v>
      </c>
      <c r="L238" s="61">
        <v>2</v>
      </c>
      <c r="M238" s="61">
        <v>12</v>
      </c>
      <c r="N238" s="61">
        <v>1</v>
      </c>
      <c r="O238" s="28">
        <f t="shared" si="54"/>
        <v>622.03534541077897</v>
      </c>
      <c r="P238" s="34" t="str">
        <f t="shared" si="49"/>
        <v>OK</v>
      </c>
      <c r="Q238" s="17">
        <f t="shared" si="50"/>
        <v>100.69134950302445</v>
      </c>
      <c r="R238" s="19">
        <f t="shared" si="55"/>
        <v>0.58536408828475972</v>
      </c>
      <c r="S238" s="6" t="s">
        <v>49</v>
      </c>
      <c r="T238" s="17">
        <v>6.5</v>
      </c>
      <c r="U238" s="6" t="s">
        <v>36</v>
      </c>
      <c r="V238" s="6" t="s">
        <v>12</v>
      </c>
      <c r="W238" s="48">
        <v>-30.852</v>
      </c>
      <c r="X238" s="48">
        <v>28.967199999999998</v>
      </c>
      <c r="Y238" s="29">
        <v>300</v>
      </c>
      <c r="Z238" s="29">
        <v>500</v>
      </c>
      <c r="AA238" s="28">
        <f t="shared" si="51"/>
        <v>460</v>
      </c>
      <c r="AB238" s="28">
        <f t="shared" si="56"/>
        <v>178.94905914476689</v>
      </c>
      <c r="AC238" s="30">
        <v>18</v>
      </c>
      <c r="AD238" s="30">
        <v>2</v>
      </c>
      <c r="AE238" s="30">
        <v>12</v>
      </c>
      <c r="AF238" s="30">
        <v>0</v>
      </c>
      <c r="AG238" s="28">
        <f t="shared" si="57"/>
        <v>508.93800988154646</v>
      </c>
      <c r="AH238" s="34" t="str">
        <f t="shared" si="52"/>
        <v>OK</v>
      </c>
      <c r="AI238" s="28">
        <f t="shared" si="58"/>
        <v>-82.383831411565467</v>
      </c>
      <c r="AJ238" s="32">
        <f t="shared" si="59"/>
        <v>-0.35161268301893317</v>
      </c>
    </row>
    <row r="239" spans="1:36" x14ac:dyDescent="0.25">
      <c r="A239" s="6" t="s">
        <v>49</v>
      </c>
      <c r="B239" s="17">
        <v>7</v>
      </c>
      <c r="C239" s="6" t="s">
        <v>36</v>
      </c>
      <c r="D239" s="6" t="s">
        <v>11</v>
      </c>
      <c r="E239" s="48">
        <v>30.852</v>
      </c>
      <c r="F239" s="48">
        <v>58.941099999999999</v>
      </c>
      <c r="G239" s="29">
        <v>300</v>
      </c>
      <c r="H239" s="29">
        <v>500</v>
      </c>
      <c r="I239" s="28">
        <f t="shared" si="48"/>
        <v>460</v>
      </c>
      <c r="J239" s="28">
        <f t="shared" si="53"/>
        <v>364.1171528472762</v>
      </c>
      <c r="K239" s="61">
        <v>18</v>
      </c>
      <c r="L239" s="61">
        <v>2</v>
      </c>
      <c r="M239" s="61">
        <v>12</v>
      </c>
      <c r="N239" s="61">
        <v>1</v>
      </c>
      <c r="O239" s="28">
        <f t="shared" si="54"/>
        <v>622.03534541077897</v>
      </c>
      <c r="P239" s="34" t="str">
        <f t="shared" si="49"/>
        <v>OK</v>
      </c>
      <c r="Q239" s="17">
        <f t="shared" si="50"/>
        <v>100.69134950302445</v>
      </c>
      <c r="R239" s="19">
        <f t="shared" si="55"/>
        <v>0.58536408828475972</v>
      </c>
      <c r="S239" s="6" t="s">
        <v>49</v>
      </c>
      <c r="T239" s="17">
        <v>7</v>
      </c>
      <c r="U239" s="6" t="s">
        <v>36</v>
      </c>
      <c r="V239" s="6" t="s">
        <v>12</v>
      </c>
      <c r="W239" s="48">
        <v>-17.936</v>
      </c>
      <c r="X239" s="48">
        <v>28.967199999999998</v>
      </c>
      <c r="Y239" s="29">
        <v>300</v>
      </c>
      <c r="Z239" s="29">
        <v>500</v>
      </c>
      <c r="AA239" s="28">
        <f t="shared" si="51"/>
        <v>460</v>
      </c>
      <c r="AB239" s="28">
        <f t="shared" si="56"/>
        <v>178.94905914476689</v>
      </c>
      <c r="AC239" s="30">
        <v>18</v>
      </c>
      <c r="AD239" s="30">
        <v>2</v>
      </c>
      <c r="AE239" s="30">
        <v>12</v>
      </c>
      <c r="AF239" s="30">
        <v>0</v>
      </c>
      <c r="AG239" s="28">
        <f t="shared" si="57"/>
        <v>508.93800988154646</v>
      </c>
      <c r="AH239" s="34" t="str">
        <f t="shared" si="52"/>
        <v>OK</v>
      </c>
      <c r="AI239" s="28">
        <f t="shared" si="58"/>
        <v>-82.383831411565467</v>
      </c>
      <c r="AJ239" s="32">
        <f t="shared" si="59"/>
        <v>-0.35161268301893317</v>
      </c>
    </row>
    <row r="240" spans="1:36" x14ac:dyDescent="0.25">
      <c r="A240" s="6" t="s">
        <v>49</v>
      </c>
      <c r="B240" s="17">
        <v>7.5</v>
      </c>
      <c r="C240" s="6" t="s">
        <v>36</v>
      </c>
      <c r="D240" s="6" t="s">
        <v>11</v>
      </c>
      <c r="E240" s="48">
        <v>43.768999999999998</v>
      </c>
      <c r="F240" s="48">
        <v>48.115499999999997</v>
      </c>
      <c r="G240" s="29">
        <v>300</v>
      </c>
      <c r="H240" s="29">
        <v>500</v>
      </c>
      <c r="I240" s="28">
        <f t="shared" si="48"/>
        <v>460</v>
      </c>
      <c r="J240" s="28">
        <f t="shared" si="53"/>
        <v>297.24044627302709</v>
      </c>
      <c r="K240" s="61">
        <v>18</v>
      </c>
      <c r="L240" s="61">
        <v>2</v>
      </c>
      <c r="M240" s="61">
        <v>12</v>
      </c>
      <c r="N240" s="61">
        <v>1</v>
      </c>
      <c r="O240" s="28">
        <f t="shared" si="54"/>
        <v>622.03534541077897</v>
      </c>
      <c r="P240" s="34" t="str">
        <f t="shared" si="49"/>
        <v>OK</v>
      </c>
      <c r="Q240" s="17">
        <f t="shared" si="50"/>
        <v>100.69134950302445</v>
      </c>
      <c r="R240" s="19">
        <f t="shared" si="55"/>
        <v>0.47785137688073948</v>
      </c>
      <c r="S240" s="6" t="s">
        <v>49</v>
      </c>
      <c r="T240" s="17">
        <v>7.5</v>
      </c>
      <c r="U240" s="6" t="s">
        <v>36</v>
      </c>
      <c r="V240" s="6" t="s">
        <v>12</v>
      </c>
      <c r="W240" s="48">
        <v>-5.0190000000000001</v>
      </c>
      <c r="X240" s="48">
        <v>10.311999999999999</v>
      </c>
      <c r="Y240" s="29">
        <v>300</v>
      </c>
      <c r="Z240" s="29">
        <v>500</v>
      </c>
      <c r="AA240" s="28">
        <f t="shared" si="51"/>
        <v>460</v>
      </c>
      <c r="AB240" s="28">
        <f t="shared" si="56"/>
        <v>63.703868440886112</v>
      </c>
      <c r="AC240" s="30">
        <v>18</v>
      </c>
      <c r="AD240" s="30">
        <v>2</v>
      </c>
      <c r="AE240" s="30">
        <v>12</v>
      </c>
      <c r="AF240" s="30">
        <v>0</v>
      </c>
      <c r="AG240" s="28">
        <f t="shared" si="57"/>
        <v>508.93800988154646</v>
      </c>
      <c r="AH240" s="34" t="str">
        <f t="shared" si="52"/>
        <v>OK</v>
      </c>
      <c r="AI240" s="28">
        <f t="shared" si="58"/>
        <v>-82.383831411565467</v>
      </c>
      <c r="AJ240" s="32">
        <f t="shared" si="59"/>
        <v>-0.12517019205484958</v>
      </c>
    </row>
    <row r="241" spans="1:36" x14ac:dyDescent="0.25">
      <c r="A241" s="6" t="s">
        <v>49</v>
      </c>
      <c r="B241" s="17">
        <v>8</v>
      </c>
      <c r="C241" s="6" t="s">
        <v>36</v>
      </c>
      <c r="D241" s="6" t="s">
        <v>11</v>
      </c>
      <c r="E241" s="48">
        <v>56.685000000000002</v>
      </c>
      <c r="F241" s="48">
        <v>46.2761</v>
      </c>
      <c r="G241" s="29">
        <v>300</v>
      </c>
      <c r="H241" s="29">
        <v>500</v>
      </c>
      <c r="I241" s="28">
        <f t="shared" si="48"/>
        <v>460</v>
      </c>
      <c r="J241" s="28">
        <f t="shared" si="53"/>
        <v>285.87728727281706</v>
      </c>
      <c r="K241" s="61">
        <v>18</v>
      </c>
      <c r="L241" s="61">
        <v>2</v>
      </c>
      <c r="M241" s="61">
        <v>12</v>
      </c>
      <c r="N241" s="61">
        <v>0</v>
      </c>
      <c r="O241" s="28">
        <f t="shared" si="54"/>
        <v>508.93800988154646</v>
      </c>
      <c r="P241" s="34" t="str">
        <f t="shared" si="49"/>
        <v>OK</v>
      </c>
      <c r="Q241" s="17">
        <f t="shared" si="50"/>
        <v>82.383831411565467</v>
      </c>
      <c r="R241" s="19">
        <f t="shared" si="55"/>
        <v>0.56171337515025455</v>
      </c>
      <c r="S241" s="6" t="s">
        <v>49</v>
      </c>
      <c r="T241" s="17">
        <v>8</v>
      </c>
      <c r="U241" s="6" t="s">
        <v>36</v>
      </c>
      <c r="V241" s="6" t="s">
        <v>12</v>
      </c>
      <c r="W241" s="48">
        <v>7.8970000000000002</v>
      </c>
      <c r="X241" s="48">
        <v>-14.801399999999999</v>
      </c>
      <c r="Y241" s="29">
        <v>300</v>
      </c>
      <c r="Z241" s="29">
        <v>500</v>
      </c>
      <c r="AA241" s="28">
        <f t="shared" si="51"/>
        <v>460</v>
      </c>
      <c r="AB241" s="28">
        <f t="shared" si="56"/>
        <v>91.437784943845202</v>
      </c>
      <c r="AC241" s="30">
        <v>18</v>
      </c>
      <c r="AD241" s="30">
        <v>2</v>
      </c>
      <c r="AE241" s="30">
        <v>12</v>
      </c>
      <c r="AF241" s="30">
        <v>0</v>
      </c>
      <c r="AG241" s="28">
        <f t="shared" si="57"/>
        <v>508.93800988154646</v>
      </c>
      <c r="AH241" s="34" t="str">
        <f t="shared" si="52"/>
        <v>OK</v>
      </c>
      <c r="AI241" s="28">
        <f t="shared" si="58"/>
        <v>-82.383831411565467</v>
      </c>
      <c r="AJ241" s="32">
        <f t="shared" si="59"/>
        <v>0.17966389455785983</v>
      </c>
    </row>
    <row r="242" spans="1:36" x14ac:dyDescent="0.25">
      <c r="A242" s="6" t="s">
        <v>49</v>
      </c>
      <c r="B242" s="17">
        <v>8.5</v>
      </c>
      <c r="C242" s="6" t="s">
        <v>36</v>
      </c>
      <c r="D242" s="6" t="s">
        <v>11</v>
      </c>
      <c r="E242" s="48">
        <v>75.778999999999996</v>
      </c>
      <c r="F242" s="48">
        <v>39.098399999999998</v>
      </c>
      <c r="G242" s="29">
        <v>300</v>
      </c>
      <c r="H242" s="29">
        <v>500</v>
      </c>
      <c r="I242" s="28">
        <f t="shared" si="48"/>
        <v>460</v>
      </c>
      <c r="J242" s="28">
        <f t="shared" si="53"/>
        <v>241.53600948886165</v>
      </c>
      <c r="K242" s="61">
        <v>18</v>
      </c>
      <c r="L242" s="61">
        <v>2</v>
      </c>
      <c r="M242" s="61">
        <v>12</v>
      </c>
      <c r="N242" s="61">
        <v>0</v>
      </c>
      <c r="O242" s="28">
        <f t="shared" si="54"/>
        <v>508.93800988154646</v>
      </c>
      <c r="P242" s="34" t="str">
        <f t="shared" si="49"/>
        <v>OK</v>
      </c>
      <c r="Q242" s="17">
        <f t="shared" si="50"/>
        <v>82.383831411565467</v>
      </c>
      <c r="R242" s="19">
        <f t="shared" si="55"/>
        <v>0.47458826968942308</v>
      </c>
      <c r="S242" s="6" t="s">
        <v>49</v>
      </c>
      <c r="T242" s="17">
        <v>8.5</v>
      </c>
      <c r="U242" s="6" t="s">
        <v>36</v>
      </c>
      <c r="V242" s="6" t="s">
        <v>12</v>
      </c>
      <c r="W242" s="48">
        <v>20.814</v>
      </c>
      <c r="X242" s="48">
        <v>-46.372999999999998</v>
      </c>
      <c r="Y242" s="29">
        <v>300</v>
      </c>
      <c r="Z242" s="29">
        <v>500</v>
      </c>
      <c r="AA242" s="28">
        <f t="shared" si="51"/>
        <v>460</v>
      </c>
      <c r="AB242" s="28">
        <f t="shared" si="56"/>
        <v>286.47590100942705</v>
      </c>
      <c r="AC242" s="30">
        <v>18</v>
      </c>
      <c r="AD242" s="30">
        <v>2</v>
      </c>
      <c r="AE242" s="30">
        <v>14</v>
      </c>
      <c r="AF242" s="30">
        <v>0</v>
      </c>
      <c r="AG242" s="28">
        <f t="shared" si="57"/>
        <v>508.93800988154646</v>
      </c>
      <c r="AH242" s="34" t="str">
        <f t="shared" si="52"/>
        <v>OK</v>
      </c>
      <c r="AI242" s="28">
        <f t="shared" si="58"/>
        <v>-82.383831411565467</v>
      </c>
      <c r="AJ242" s="32">
        <f t="shared" si="59"/>
        <v>0.56288957681919505</v>
      </c>
    </row>
    <row r="243" spans="1:36" x14ac:dyDescent="0.25">
      <c r="A243" s="6" t="s">
        <v>49</v>
      </c>
      <c r="B243" s="17">
        <v>9</v>
      </c>
      <c r="C243" s="6" t="s">
        <v>36</v>
      </c>
      <c r="D243" s="6" t="s">
        <v>11</v>
      </c>
      <c r="E243" s="48">
        <v>97.430999999999997</v>
      </c>
      <c r="F243" s="48">
        <v>25.462399999999999</v>
      </c>
      <c r="G243" s="29">
        <v>300</v>
      </c>
      <c r="H243" s="29">
        <v>500</v>
      </c>
      <c r="I243" s="28">
        <f t="shared" si="48"/>
        <v>460</v>
      </c>
      <c r="J243" s="28">
        <f t="shared" si="53"/>
        <v>157.29765125962166</v>
      </c>
      <c r="K243" s="61">
        <v>18</v>
      </c>
      <c r="L243" s="61">
        <v>2</v>
      </c>
      <c r="M243" s="61">
        <v>12</v>
      </c>
      <c r="N243" s="61">
        <v>0</v>
      </c>
      <c r="O243" s="28">
        <f t="shared" si="54"/>
        <v>508.93800988154646</v>
      </c>
      <c r="P243" s="34" t="str">
        <f t="shared" si="49"/>
        <v>OK</v>
      </c>
      <c r="Q243" s="17">
        <f t="shared" si="50"/>
        <v>82.383831411565467</v>
      </c>
      <c r="R243" s="19">
        <f t="shared" si="55"/>
        <v>0.30907035474955413</v>
      </c>
      <c r="S243" s="6" t="s">
        <v>49</v>
      </c>
      <c r="T243" s="17">
        <v>9</v>
      </c>
      <c r="U243" s="6" t="s">
        <v>36</v>
      </c>
      <c r="V243" s="6" t="s">
        <v>12</v>
      </c>
      <c r="W243" s="48">
        <v>33.729999999999997</v>
      </c>
      <c r="X243" s="48">
        <v>-84.402799999999999</v>
      </c>
      <c r="Y243" s="29">
        <v>300</v>
      </c>
      <c r="Z243" s="29">
        <v>500</v>
      </c>
      <c r="AA243" s="28">
        <f t="shared" si="51"/>
        <v>460</v>
      </c>
      <c r="AB243" s="28">
        <f t="shared" si="56"/>
        <v>521.41047975585946</v>
      </c>
      <c r="AC243" s="30">
        <v>18</v>
      </c>
      <c r="AD243" s="30">
        <v>2</v>
      </c>
      <c r="AE243" s="30">
        <v>14</v>
      </c>
      <c r="AF243" s="30">
        <v>2</v>
      </c>
      <c r="AG243" s="28">
        <f t="shared" si="57"/>
        <v>816.81408993334617</v>
      </c>
      <c r="AH243" s="34" t="str">
        <f t="shared" si="52"/>
        <v>OK</v>
      </c>
      <c r="AI243" s="28">
        <f t="shared" si="58"/>
        <v>-132.22096399387047</v>
      </c>
      <c r="AJ243" s="32">
        <f t="shared" si="59"/>
        <v>0.63834657871585898</v>
      </c>
    </row>
    <row r="244" spans="1:36" x14ac:dyDescent="0.25">
      <c r="A244" s="6" t="s">
        <v>49</v>
      </c>
      <c r="B244" s="17">
        <v>9.5</v>
      </c>
      <c r="C244" s="6" t="s">
        <v>36</v>
      </c>
      <c r="D244" s="6" t="s">
        <v>11</v>
      </c>
      <c r="E244" s="48">
        <v>119.08199999999999</v>
      </c>
      <c r="F244" s="48">
        <v>5.3682999999999996</v>
      </c>
      <c r="G244" s="29">
        <v>300</v>
      </c>
      <c r="H244" s="29">
        <v>500</v>
      </c>
      <c r="I244" s="28">
        <f t="shared" si="48"/>
        <v>460</v>
      </c>
      <c r="J244" s="28">
        <f t="shared" si="53"/>
        <v>33.163448113965174</v>
      </c>
      <c r="K244" s="61">
        <v>18</v>
      </c>
      <c r="L244" s="61">
        <v>2</v>
      </c>
      <c r="M244" s="61">
        <v>12</v>
      </c>
      <c r="N244" s="61">
        <v>0</v>
      </c>
      <c r="O244" s="28">
        <f t="shared" si="54"/>
        <v>508.93800988154646</v>
      </c>
      <c r="P244" s="34" t="str">
        <f t="shared" si="49"/>
        <v>OK</v>
      </c>
      <c r="Q244" s="17">
        <f t="shared" si="50"/>
        <v>82.383831411565467</v>
      </c>
      <c r="R244" s="19">
        <f t="shared" si="55"/>
        <v>6.5162057991471012E-2</v>
      </c>
      <c r="S244" s="6" t="s">
        <v>49</v>
      </c>
      <c r="T244" s="17">
        <v>9.5</v>
      </c>
      <c r="U244" s="6" t="s">
        <v>36</v>
      </c>
      <c r="V244" s="6" t="s">
        <v>12</v>
      </c>
      <c r="W244" s="48">
        <v>46.646999999999998</v>
      </c>
      <c r="X244" s="48">
        <v>-128.89089999999999</v>
      </c>
      <c r="Y244" s="29">
        <v>300</v>
      </c>
      <c r="Z244" s="29">
        <v>500</v>
      </c>
      <c r="AA244" s="28">
        <f t="shared" si="51"/>
        <v>460</v>
      </c>
      <c r="AB244" s="28">
        <f t="shared" si="56"/>
        <v>796.24213894757622</v>
      </c>
      <c r="AC244" s="30">
        <v>18</v>
      </c>
      <c r="AD244" s="30">
        <v>2</v>
      </c>
      <c r="AE244" s="30">
        <v>14</v>
      </c>
      <c r="AF244" s="30">
        <v>2</v>
      </c>
      <c r="AG244" s="28">
        <f t="shared" si="57"/>
        <v>816.81408993334617</v>
      </c>
      <c r="AH244" s="34" t="str">
        <f t="shared" si="52"/>
        <v>OK</v>
      </c>
      <c r="AI244" s="28">
        <f t="shared" si="58"/>
        <v>-132.22096399387047</v>
      </c>
      <c r="AJ244" s="32">
        <f t="shared" si="59"/>
        <v>0.9748144023966967</v>
      </c>
    </row>
    <row r="245" spans="1:36" x14ac:dyDescent="0.25">
      <c r="A245" s="6" t="s">
        <v>50</v>
      </c>
      <c r="B245" s="17">
        <v>9.5</v>
      </c>
      <c r="C245" s="6" t="s">
        <v>36</v>
      </c>
      <c r="D245" s="6" t="s">
        <v>11</v>
      </c>
      <c r="E245" s="48">
        <v>-18.065999999999999</v>
      </c>
      <c r="F245" s="48">
        <v>36.053100000000001</v>
      </c>
      <c r="G245" s="29">
        <v>300</v>
      </c>
      <c r="H245" s="29">
        <v>500</v>
      </c>
      <c r="I245" s="28">
        <f t="shared" si="48"/>
        <v>460</v>
      </c>
      <c r="J245" s="28">
        <f t="shared" si="53"/>
        <v>222.72322917824971</v>
      </c>
      <c r="K245" s="61">
        <v>18</v>
      </c>
      <c r="L245" s="61">
        <v>2</v>
      </c>
      <c r="M245" s="61">
        <v>12</v>
      </c>
      <c r="N245" s="61">
        <v>0</v>
      </c>
      <c r="O245" s="28">
        <f t="shared" si="54"/>
        <v>508.93800988154646</v>
      </c>
      <c r="P245" s="34" t="str">
        <f t="shared" si="49"/>
        <v>OK</v>
      </c>
      <c r="Q245" s="17">
        <f t="shared" si="50"/>
        <v>82.383831411565467</v>
      </c>
      <c r="R245" s="19">
        <f t="shared" si="55"/>
        <v>0.43762349216182095</v>
      </c>
      <c r="S245" s="6" t="s">
        <v>50</v>
      </c>
      <c r="T245" s="17">
        <v>9.5</v>
      </c>
      <c r="U245" s="6" t="s">
        <v>36</v>
      </c>
      <c r="V245" s="6" t="s">
        <v>12</v>
      </c>
      <c r="W245" s="48">
        <v>-93.893000000000001</v>
      </c>
      <c r="X245" s="48">
        <v>-117.017</v>
      </c>
      <c r="Y245" s="29">
        <v>300</v>
      </c>
      <c r="Z245" s="29">
        <v>500</v>
      </c>
      <c r="AA245" s="28">
        <f t="shared" si="51"/>
        <v>460</v>
      </c>
      <c r="AB245" s="28">
        <f t="shared" si="56"/>
        <v>722.88940781101337</v>
      </c>
      <c r="AC245" s="30">
        <v>18</v>
      </c>
      <c r="AD245" s="30">
        <v>2</v>
      </c>
      <c r="AE245" s="30">
        <v>14</v>
      </c>
      <c r="AF245" s="30">
        <v>2</v>
      </c>
      <c r="AG245" s="28">
        <f t="shared" si="57"/>
        <v>816.81408993334617</v>
      </c>
      <c r="AH245" s="34" t="str">
        <f t="shared" si="52"/>
        <v>OK</v>
      </c>
      <c r="AI245" s="28">
        <f t="shared" si="58"/>
        <v>-132.22096399387047</v>
      </c>
      <c r="AJ245" s="32">
        <f t="shared" si="59"/>
        <v>0.88501094278381376</v>
      </c>
    </row>
    <row r="246" spans="1:36" x14ac:dyDescent="0.25">
      <c r="A246" s="6" t="s">
        <v>50</v>
      </c>
      <c r="B246" s="17">
        <v>10</v>
      </c>
      <c r="C246" s="6" t="s">
        <v>36</v>
      </c>
      <c r="D246" s="6" t="s">
        <v>11</v>
      </c>
      <c r="E246" s="48">
        <v>-5.15</v>
      </c>
      <c r="F246" s="48">
        <v>41.857300000000002</v>
      </c>
      <c r="G246" s="29">
        <v>300</v>
      </c>
      <c r="H246" s="29">
        <v>500</v>
      </c>
      <c r="I246" s="28">
        <f t="shared" si="48"/>
        <v>460</v>
      </c>
      <c r="J246" s="28">
        <f t="shared" si="53"/>
        <v>258.57951246030859</v>
      </c>
      <c r="K246" s="61">
        <v>18</v>
      </c>
      <c r="L246" s="61">
        <v>2</v>
      </c>
      <c r="M246" s="61">
        <v>12</v>
      </c>
      <c r="N246" s="61">
        <v>0</v>
      </c>
      <c r="O246" s="28">
        <f t="shared" si="54"/>
        <v>508.93800988154646</v>
      </c>
      <c r="P246" s="34" t="str">
        <f t="shared" si="49"/>
        <v>OK</v>
      </c>
      <c r="Q246" s="17">
        <f t="shared" si="50"/>
        <v>82.383831411565467</v>
      </c>
      <c r="R246" s="19">
        <f t="shared" si="55"/>
        <v>0.50807663691790694</v>
      </c>
      <c r="S246" s="6" t="s">
        <v>50</v>
      </c>
      <c r="T246" s="17">
        <v>10</v>
      </c>
      <c r="U246" s="6" t="s">
        <v>36</v>
      </c>
      <c r="V246" s="6" t="s">
        <v>12</v>
      </c>
      <c r="W246" s="48">
        <v>-80.975999999999999</v>
      </c>
      <c r="X246" s="48">
        <v>-73.299800000000005</v>
      </c>
      <c r="Y246" s="29">
        <v>300</v>
      </c>
      <c r="Z246" s="29">
        <v>500</v>
      </c>
      <c r="AA246" s="28">
        <f t="shared" si="51"/>
        <v>460</v>
      </c>
      <c r="AB246" s="28">
        <f t="shared" si="56"/>
        <v>452.82009464151122</v>
      </c>
      <c r="AC246" s="30">
        <v>18</v>
      </c>
      <c r="AD246" s="30">
        <v>2</v>
      </c>
      <c r="AE246" s="30">
        <v>14</v>
      </c>
      <c r="AF246" s="30">
        <v>2</v>
      </c>
      <c r="AG246" s="28">
        <f t="shared" si="57"/>
        <v>816.81408993334617</v>
      </c>
      <c r="AH246" s="34" t="str">
        <f t="shared" si="52"/>
        <v>OK</v>
      </c>
      <c r="AI246" s="28">
        <f t="shared" si="58"/>
        <v>-132.22096399387047</v>
      </c>
      <c r="AJ246" s="32">
        <f t="shared" si="59"/>
        <v>0.5543735107195108</v>
      </c>
    </row>
    <row r="247" spans="1:36" x14ac:dyDescent="0.25">
      <c r="A247" s="6" t="s">
        <v>50</v>
      </c>
      <c r="B247" s="17">
        <v>10.5</v>
      </c>
      <c r="C247" s="6" t="s">
        <v>36</v>
      </c>
      <c r="D247" s="6" t="s">
        <v>11</v>
      </c>
      <c r="E247" s="48">
        <v>7.7670000000000003</v>
      </c>
      <c r="F247" s="48">
        <v>41.203299999999999</v>
      </c>
      <c r="G247" s="29">
        <v>300</v>
      </c>
      <c r="H247" s="29">
        <v>500</v>
      </c>
      <c r="I247" s="28">
        <f t="shared" si="48"/>
        <v>460</v>
      </c>
      <c r="J247" s="28">
        <f t="shared" si="53"/>
        <v>254.53933306151694</v>
      </c>
      <c r="K247" s="61">
        <v>18</v>
      </c>
      <c r="L247" s="61">
        <v>2</v>
      </c>
      <c r="M247" s="61">
        <v>12</v>
      </c>
      <c r="N247" s="61">
        <v>0</v>
      </c>
      <c r="O247" s="28">
        <f t="shared" si="54"/>
        <v>508.93800988154646</v>
      </c>
      <c r="P247" s="34" t="str">
        <f t="shared" si="49"/>
        <v>OK</v>
      </c>
      <c r="Q247" s="17">
        <f t="shared" si="50"/>
        <v>82.383831411565467</v>
      </c>
      <c r="R247" s="19">
        <f t="shared" si="55"/>
        <v>0.50013818602536697</v>
      </c>
      <c r="S247" s="6" t="s">
        <v>50</v>
      </c>
      <c r="T247" s="17">
        <v>10.5</v>
      </c>
      <c r="U247" s="6" t="s">
        <v>36</v>
      </c>
      <c r="V247" s="6" t="s">
        <v>12</v>
      </c>
      <c r="W247" s="48">
        <v>-68.06</v>
      </c>
      <c r="X247" s="48">
        <v>-36.040900000000001</v>
      </c>
      <c r="Y247" s="29">
        <v>300</v>
      </c>
      <c r="Z247" s="29">
        <v>500</v>
      </c>
      <c r="AA247" s="28">
        <f t="shared" si="51"/>
        <v>460</v>
      </c>
      <c r="AB247" s="28">
        <f t="shared" si="56"/>
        <v>222.64786191729365</v>
      </c>
      <c r="AC247" s="30">
        <v>18</v>
      </c>
      <c r="AD247" s="30">
        <v>2</v>
      </c>
      <c r="AE247" s="30">
        <v>14</v>
      </c>
      <c r="AF247" s="30">
        <v>0</v>
      </c>
      <c r="AG247" s="28">
        <f t="shared" si="57"/>
        <v>508.93800988154646</v>
      </c>
      <c r="AH247" s="34" t="str">
        <f t="shared" si="52"/>
        <v>OK</v>
      </c>
      <c r="AI247" s="28">
        <f t="shared" si="58"/>
        <v>-82.383831411565467</v>
      </c>
      <c r="AJ247" s="32">
        <f t="shared" si="59"/>
        <v>0.43747540485159314</v>
      </c>
    </row>
    <row r="248" spans="1:36" x14ac:dyDescent="0.25">
      <c r="A248" s="6" t="s">
        <v>50</v>
      </c>
      <c r="B248" s="17">
        <v>11</v>
      </c>
      <c r="C248" s="6" t="s">
        <v>36</v>
      </c>
      <c r="D248" s="6" t="s">
        <v>11</v>
      </c>
      <c r="E248" s="48">
        <v>20.683</v>
      </c>
      <c r="F248" s="48">
        <v>34.091299999999997</v>
      </c>
      <c r="G248" s="29">
        <v>300</v>
      </c>
      <c r="H248" s="29">
        <v>500</v>
      </c>
      <c r="I248" s="28">
        <f t="shared" si="48"/>
        <v>460</v>
      </c>
      <c r="J248" s="28">
        <f t="shared" si="53"/>
        <v>210.60392651074289</v>
      </c>
      <c r="K248" s="61">
        <v>18</v>
      </c>
      <c r="L248" s="61">
        <v>2</v>
      </c>
      <c r="M248" s="61">
        <v>12</v>
      </c>
      <c r="N248" s="61">
        <v>0</v>
      </c>
      <c r="O248" s="28">
        <f t="shared" si="54"/>
        <v>508.93800988154646</v>
      </c>
      <c r="P248" s="34" t="str">
        <f t="shared" si="49"/>
        <v>OK</v>
      </c>
      <c r="Q248" s="17">
        <f t="shared" si="50"/>
        <v>82.383831411565467</v>
      </c>
      <c r="R248" s="19">
        <f t="shared" si="55"/>
        <v>0.41381056714502457</v>
      </c>
      <c r="S248" s="6" t="s">
        <v>50</v>
      </c>
      <c r="T248" s="17">
        <v>11</v>
      </c>
      <c r="U248" s="6" t="s">
        <v>36</v>
      </c>
      <c r="V248" s="6" t="s">
        <v>12</v>
      </c>
      <c r="W248" s="48">
        <v>-55.143000000000001</v>
      </c>
      <c r="X248" s="48">
        <v>-5.2404999999999999</v>
      </c>
      <c r="Y248" s="29">
        <v>300</v>
      </c>
      <c r="Z248" s="29">
        <v>500</v>
      </c>
      <c r="AA248" s="28">
        <f t="shared" si="51"/>
        <v>460</v>
      </c>
      <c r="AB248" s="28">
        <f t="shared" si="56"/>
        <v>32.373945167228825</v>
      </c>
      <c r="AC248" s="30">
        <v>18</v>
      </c>
      <c r="AD248" s="30">
        <v>2</v>
      </c>
      <c r="AE248" s="30">
        <v>14</v>
      </c>
      <c r="AF248" s="30">
        <v>0</v>
      </c>
      <c r="AG248" s="28">
        <f t="shared" si="57"/>
        <v>508.93800988154646</v>
      </c>
      <c r="AH248" s="34" t="str">
        <f t="shared" si="52"/>
        <v>OK</v>
      </c>
      <c r="AI248" s="28">
        <f t="shared" si="58"/>
        <v>-82.383831411565467</v>
      </c>
      <c r="AJ248" s="32">
        <f t="shared" si="59"/>
        <v>6.3610782725314133E-2</v>
      </c>
    </row>
    <row r="249" spans="1:36" x14ac:dyDescent="0.25">
      <c r="A249" s="6" t="s">
        <v>50</v>
      </c>
      <c r="B249" s="17">
        <v>11.5</v>
      </c>
      <c r="C249" s="6" t="s">
        <v>36</v>
      </c>
      <c r="D249" s="6" t="s">
        <v>11</v>
      </c>
      <c r="E249" s="48">
        <v>33.598999999999997</v>
      </c>
      <c r="F249" s="48">
        <v>33.2913</v>
      </c>
      <c r="G249" s="29">
        <v>300</v>
      </c>
      <c r="H249" s="29">
        <v>500</v>
      </c>
      <c r="I249" s="28">
        <f t="shared" si="48"/>
        <v>460</v>
      </c>
      <c r="J249" s="28">
        <f t="shared" si="53"/>
        <v>205.66181103821486</v>
      </c>
      <c r="K249" s="61">
        <v>18</v>
      </c>
      <c r="L249" s="61">
        <v>2</v>
      </c>
      <c r="M249" s="61">
        <v>12</v>
      </c>
      <c r="N249" s="61">
        <v>0</v>
      </c>
      <c r="O249" s="28">
        <f t="shared" si="54"/>
        <v>508.93800988154646</v>
      </c>
      <c r="P249" s="34" t="str">
        <f t="shared" si="49"/>
        <v>OK</v>
      </c>
      <c r="Q249" s="17">
        <f t="shared" si="50"/>
        <v>82.383831411565467</v>
      </c>
      <c r="R249" s="19">
        <f t="shared" si="55"/>
        <v>0.40409992385139781</v>
      </c>
      <c r="S249" s="6" t="s">
        <v>50</v>
      </c>
      <c r="T249" s="17">
        <v>11.5</v>
      </c>
      <c r="U249" s="6" t="s">
        <v>36</v>
      </c>
      <c r="V249" s="6" t="s">
        <v>12</v>
      </c>
      <c r="W249" s="48">
        <v>-42.226999999999997</v>
      </c>
      <c r="X249" s="48">
        <v>19.0778</v>
      </c>
      <c r="Y249" s="29">
        <v>300</v>
      </c>
      <c r="Z249" s="29">
        <v>500</v>
      </c>
      <c r="AA249" s="28">
        <f t="shared" si="51"/>
        <v>460</v>
      </c>
      <c r="AB249" s="28">
        <f t="shared" si="56"/>
        <v>117.8558632022437</v>
      </c>
      <c r="AC249" s="30">
        <v>18</v>
      </c>
      <c r="AD249" s="30">
        <v>2</v>
      </c>
      <c r="AE249" s="30">
        <v>12</v>
      </c>
      <c r="AF249" s="30">
        <v>0</v>
      </c>
      <c r="AG249" s="28">
        <f t="shared" si="57"/>
        <v>508.93800988154646</v>
      </c>
      <c r="AH249" s="34" t="str">
        <f t="shared" si="52"/>
        <v>OK</v>
      </c>
      <c r="AI249" s="28">
        <f t="shared" si="58"/>
        <v>-82.383831411565467</v>
      </c>
      <c r="AJ249" s="32">
        <f t="shared" si="59"/>
        <v>-0.23157213828394196</v>
      </c>
    </row>
    <row r="250" spans="1:36" x14ac:dyDescent="0.25">
      <c r="A250" s="6" t="s">
        <v>50</v>
      </c>
      <c r="B250" s="17">
        <v>12</v>
      </c>
      <c r="C250" s="6" t="s">
        <v>36</v>
      </c>
      <c r="D250" s="6" t="s">
        <v>11</v>
      </c>
      <c r="E250" s="48">
        <v>46.515999999999998</v>
      </c>
      <c r="F250" s="48">
        <v>36.988199999999999</v>
      </c>
      <c r="G250" s="29">
        <v>300</v>
      </c>
      <c r="H250" s="29">
        <v>500</v>
      </c>
      <c r="I250" s="28">
        <f t="shared" si="48"/>
        <v>460</v>
      </c>
      <c r="J250" s="28">
        <f t="shared" si="53"/>
        <v>228.49994440120091</v>
      </c>
      <c r="K250" s="61">
        <v>18</v>
      </c>
      <c r="L250" s="61">
        <v>2</v>
      </c>
      <c r="M250" s="61">
        <v>12</v>
      </c>
      <c r="N250" s="61">
        <v>0</v>
      </c>
      <c r="O250" s="28">
        <f t="shared" si="54"/>
        <v>508.93800988154646</v>
      </c>
      <c r="P250" s="34" t="str">
        <f t="shared" si="49"/>
        <v>OK</v>
      </c>
      <c r="Q250" s="17">
        <f t="shared" si="50"/>
        <v>82.383831411565467</v>
      </c>
      <c r="R250" s="19">
        <f t="shared" si="55"/>
        <v>0.44897402034165901</v>
      </c>
      <c r="S250" s="6" t="s">
        <v>50</v>
      </c>
      <c r="T250" s="17">
        <v>12</v>
      </c>
      <c r="U250" s="6" t="s">
        <v>36</v>
      </c>
      <c r="V250" s="6" t="s">
        <v>12</v>
      </c>
      <c r="W250" s="48">
        <v>-29.31</v>
      </c>
      <c r="X250" s="48">
        <v>0.49009999999999998</v>
      </c>
      <c r="Y250" s="29">
        <v>300</v>
      </c>
      <c r="Z250" s="29">
        <v>500</v>
      </c>
      <c r="AA250" s="28">
        <f t="shared" si="51"/>
        <v>460</v>
      </c>
      <c r="AB250" s="28">
        <f t="shared" si="56"/>
        <v>3.0276634913574751</v>
      </c>
      <c r="AC250" s="30">
        <v>18</v>
      </c>
      <c r="AD250" s="30">
        <v>2</v>
      </c>
      <c r="AE250" s="30">
        <v>12</v>
      </c>
      <c r="AF250" s="30">
        <v>0</v>
      </c>
      <c r="AG250" s="28">
        <f t="shared" si="57"/>
        <v>508.93800988154646</v>
      </c>
      <c r="AH250" s="34" t="str">
        <f t="shared" si="52"/>
        <v>OK</v>
      </c>
      <c r="AI250" s="28">
        <f t="shared" si="58"/>
        <v>-82.383831411565467</v>
      </c>
      <c r="AJ250" s="32">
        <f t="shared" si="59"/>
        <v>-5.9489828477581243E-3</v>
      </c>
    </row>
    <row r="251" spans="1:36" x14ac:dyDescent="0.25">
      <c r="A251" s="6" t="s">
        <v>50</v>
      </c>
      <c r="B251" s="17">
        <v>12.5</v>
      </c>
      <c r="C251" s="6" t="s">
        <v>36</v>
      </c>
      <c r="D251" s="6" t="s">
        <v>11</v>
      </c>
      <c r="E251" s="48">
        <v>59.432000000000002</v>
      </c>
      <c r="F251" s="48">
        <v>48.413899999999998</v>
      </c>
      <c r="G251" s="29">
        <v>300</v>
      </c>
      <c r="H251" s="29">
        <v>500</v>
      </c>
      <c r="I251" s="28">
        <f t="shared" si="48"/>
        <v>460</v>
      </c>
      <c r="J251" s="28">
        <f t="shared" si="53"/>
        <v>299.08385534428004</v>
      </c>
      <c r="K251" s="61">
        <v>18</v>
      </c>
      <c r="L251" s="61">
        <v>2</v>
      </c>
      <c r="M251" s="61">
        <v>12</v>
      </c>
      <c r="N251" s="61">
        <v>0</v>
      </c>
      <c r="O251" s="28">
        <f t="shared" si="54"/>
        <v>508.93800988154646</v>
      </c>
      <c r="P251" s="34" t="str">
        <f t="shared" si="49"/>
        <v>OK</v>
      </c>
      <c r="Q251" s="17">
        <f t="shared" si="50"/>
        <v>82.383831411565467</v>
      </c>
      <c r="R251" s="19">
        <f t="shared" si="55"/>
        <v>0.58766264169164883</v>
      </c>
      <c r="S251" s="6" t="s">
        <v>50</v>
      </c>
      <c r="T251" s="17">
        <v>12.5</v>
      </c>
      <c r="U251" s="6" t="s">
        <v>36</v>
      </c>
      <c r="V251" s="6" t="s">
        <v>12</v>
      </c>
      <c r="W251" s="48">
        <v>-16.393999999999998</v>
      </c>
      <c r="X251" s="48">
        <v>-25.996500000000001</v>
      </c>
      <c r="Y251" s="29">
        <v>300</v>
      </c>
      <c r="Z251" s="29">
        <v>500</v>
      </c>
      <c r="AA251" s="28">
        <f t="shared" si="51"/>
        <v>460</v>
      </c>
      <c r="AB251" s="28">
        <f t="shared" si="56"/>
        <v>160.59713110196816</v>
      </c>
      <c r="AC251" s="30">
        <v>18</v>
      </c>
      <c r="AD251" s="30">
        <v>2</v>
      </c>
      <c r="AE251" s="30">
        <v>12</v>
      </c>
      <c r="AF251" s="30">
        <v>1</v>
      </c>
      <c r="AG251" s="28">
        <f t="shared" si="57"/>
        <v>622.03534541077897</v>
      </c>
      <c r="AH251" s="34" t="str">
        <f t="shared" si="52"/>
        <v>OK</v>
      </c>
      <c r="AI251" s="28">
        <f t="shared" si="58"/>
        <v>-100.69134950302445</v>
      </c>
      <c r="AJ251" s="32">
        <f t="shared" si="59"/>
        <v>0.25818007334601417</v>
      </c>
    </row>
    <row r="252" spans="1:36" x14ac:dyDescent="0.25">
      <c r="A252" s="6" t="s">
        <v>50</v>
      </c>
      <c r="B252" s="17">
        <v>13</v>
      </c>
      <c r="C252" s="6" t="s">
        <v>36</v>
      </c>
      <c r="D252" s="6" t="s">
        <v>11</v>
      </c>
      <c r="E252" s="48">
        <v>72.349000000000004</v>
      </c>
      <c r="F252" s="48">
        <v>53.381599999999999</v>
      </c>
      <c r="G252" s="29">
        <v>300</v>
      </c>
      <c r="H252" s="29">
        <v>500</v>
      </c>
      <c r="I252" s="28">
        <f t="shared" si="48"/>
        <v>460</v>
      </c>
      <c r="J252" s="28">
        <f t="shared" si="53"/>
        <v>329.77253913537686</v>
      </c>
      <c r="K252" s="61">
        <v>18</v>
      </c>
      <c r="L252" s="61">
        <v>2</v>
      </c>
      <c r="M252" s="61">
        <v>12</v>
      </c>
      <c r="N252" s="61">
        <v>0</v>
      </c>
      <c r="O252" s="28">
        <f t="shared" si="54"/>
        <v>508.93800988154646</v>
      </c>
      <c r="P252" s="34" t="str">
        <f t="shared" si="49"/>
        <v>OK</v>
      </c>
      <c r="Q252" s="17">
        <f t="shared" si="50"/>
        <v>82.383831411565467</v>
      </c>
      <c r="R252" s="19">
        <f t="shared" si="55"/>
        <v>0.64796209505383617</v>
      </c>
      <c r="S252" s="6" t="s">
        <v>50</v>
      </c>
      <c r="T252" s="17">
        <v>13</v>
      </c>
      <c r="U252" s="6" t="s">
        <v>36</v>
      </c>
      <c r="V252" s="6" t="s">
        <v>12</v>
      </c>
      <c r="W252" s="48">
        <v>-3.4780000000000002</v>
      </c>
      <c r="X252" s="48">
        <v>-58.941600000000001</v>
      </c>
      <c r="Y252" s="29">
        <v>300</v>
      </c>
      <c r="Z252" s="29">
        <v>500</v>
      </c>
      <c r="AA252" s="28">
        <f t="shared" si="51"/>
        <v>460</v>
      </c>
      <c r="AB252" s="28">
        <f t="shared" si="56"/>
        <v>364.12024166944656</v>
      </c>
      <c r="AC252" s="30">
        <v>18</v>
      </c>
      <c r="AD252" s="30">
        <v>2</v>
      </c>
      <c r="AE252" s="30">
        <v>12</v>
      </c>
      <c r="AF252" s="30">
        <v>1</v>
      </c>
      <c r="AG252" s="28">
        <f t="shared" si="57"/>
        <v>622.03534541077897</v>
      </c>
      <c r="AH252" s="34" t="str">
        <f t="shared" si="52"/>
        <v>OK</v>
      </c>
      <c r="AI252" s="28">
        <f t="shared" si="58"/>
        <v>-100.69134950302445</v>
      </c>
      <c r="AJ252" s="32">
        <f t="shared" si="59"/>
        <v>0.5853690539546258</v>
      </c>
    </row>
    <row r="253" spans="1:36" x14ac:dyDescent="0.25">
      <c r="A253" s="6" t="s">
        <v>50</v>
      </c>
      <c r="B253" s="17">
        <v>13.5</v>
      </c>
      <c r="C253" s="6" t="s">
        <v>36</v>
      </c>
      <c r="D253" s="6" t="s">
        <v>11</v>
      </c>
      <c r="E253" s="48">
        <v>85.265000000000001</v>
      </c>
      <c r="F253" s="48">
        <v>51.891199999999998</v>
      </c>
      <c r="G253" s="29">
        <v>300</v>
      </c>
      <c r="H253" s="29">
        <v>500</v>
      </c>
      <c r="I253" s="28">
        <f t="shared" si="48"/>
        <v>460</v>
      </c>
      <c r="J253" s="28">
        <f t="shared" si="53"/>
        <v>320.56537801005715</v>
      </c>
      <c r="K253" s="61">
        <v>18</v>
      </c>
      <c r="L253" s="61">
        <v>2</v>
      </c>
      <c r="M253" s="61">
        <v>12</v>
      </c>
      <c r="N253" s="61">
        <v>0</v>
      </c>
      <c r="O253" s="28">
        <f>PI()*K253^2/4*L253+PI()*M253^2/4*N253</f>
        <v>508.93800988154646</v>
      </c>
      <c r="P253" s="34" t="str">
        <f t="shared" si="49"/>
        <v>OK</v>
      </c>
      <c r="Q253" s="17">
        <f t="shared" si="50"/>
        <v>82.383831411565467</v>
      </c>
      <c r="R253" s="19">
        <f t="shared" si="55"/>
        <v>0.6298711665978094</v>
      </c>
      <c r="S253" s="6" t="s">
        <v>50</v>
      </c>
      <c r="T253" s="17">
        <v>13.5</v>
      </c>
      <c r="U253" s="6" t="s">
        <v>36</v>
      </c>
      <c r="V253" s="6" t="s">
        <v>12</v>
      </c>
      <c r="W253" s="48">
        <v>9.4390000000000001</v>
      </c>
      <c r="X253" s="48">
        <v>-98.344999999999999</v>
      </c>
      <c r="Y253" s="29">
        <v>300</v>
      </c>
      <c r="Z253" s="29">
        <v>500</v>
      </c>
      <c r="AA253" s="28">
        <f t="shared" si="51"/>
        <v>460</v>
      </c>
      <c r="AB253" s="28">
        <f t="shared" si="56"/>
        <v>607.54043268220948</v>
      </c>
      <c r="AC253" s="30">
        <v>18</v>
      </c>
      <c r="AD253" s="30">
        <v>2</v>
      </c>
      <c r="AE253" s="30">
        <v>12</v>
      </c>
      <c r="AF253" s="30">
        <v>1</v>
      </c>
      <c r="AG253" s="28">
        <f>PI()*AC253^2/4*AD253+PI()*AE253^2/4*AF253</f>
        <v>622.03534541077897</v>
      </c>
      <c r="AH253" s="34" t="str">
        <f t="shared" si="52"/>
        <v>OK</v>
      </c>
      <c r="AI253" s="28">
        <f t="shared" si="58"/>
        <v>-100.69134950302445</v>
      </c>
      <c r="AJ253" s="32">
        <f>X253/AI253</f>
        <v>0.97669760595517707</v>
      </c>
    </row>
  </sheetData>
  <pageMargins left="0.7" right="0.7" top="0.75" bottom="0.75" header="0.3" footer="0.3"/>
  <pageSetup paperSize="9" scale="1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9B5E-0099-45EC-A020-B0CECE079018}">
  <sheetPr codeName="Foglio12">
    <pageSetUpPr fitToPage="1"/>
  </sheetPr>
  <dimension ref="A1:AJ253"/>
  <sheetViews>
    <sheetView topLeftCell="A166" zoomScale="25" zoomScaleNormal="25" workbookViewId="0">
      <selection activeCell="Z215" sqref="Z215"/>
    </sheetView>
  </sheetViews>
  <sheetFormatPr defaultRowHeight="15" x14ac:dyDescent="0.25"/>
  <cols>
    <col min="1" max="1" width="9.140625" style="20"/>
    <col min="2" max="2" width="9.7109375" style="20" bestFit="1" customWidth="1"/>
    <col min="3" max="3" width="13.85546875" style="20" customWidth="1"/>
    <col min="4" max="4" width="9.140625" style="20"/>
    <col min="5" max="5" width="10.7109375" style="20" bestFit="1" customWidth="1"/>
    <col min="6" max="6" width="9.7109375" style="20" bestFit="1" customWidth="1"/>
    <col min="7" max="8" width="10.7109375" style="20" bestFit="1" customWidth="1"/>
    <col min="9" max="9" width="8.140625" style="20" customWidth="1"/>
    <col min="10" max="10" width="14" style="20" customWidth="1"/>
    <col min="11" max="16" width="9.140625" style="20"/>
    <col min="17" max="17" width="15.42578125" style="20" customWidth="1"/>
    <col min="18" max="18" width="16.85546875" style="1" customWidth="1"/>
    <col min="19" max="27" width="9.140625" style="20"/>
    <col min="28" max="28" width="10.7109375" style="20" bestFit="1" customWidth="1"/>
    <col min="29" max="32" width="9.28515625" style="20" bestFit="1" customWidth="1"/>
    <col min="33" max="33" width="10.7109375" style="20" bestFit="1" customWidth="1"/>
    <col min="34" max="34" width="9.140625" style="20"/>
    <col min="35" max="35" width="10.42578125" style="20" bestFit="1" customWidth="1"/>
    <col min="36" max="36" width="9.28515625" style="20" bestFit="1" customWidth="1"/>
    <col min="37" max="16384" width="9.140625" style="20"/>
  </cols>
  <sheetData>
    <row r="1" spans="1:36" x14ac:dyDescent="0.25">
      <c r="A1" s="22" t="s">
        <v>0</v>
      </c>
      <c r="B1" s="21"/>
      <c r="C1" s="23"/>
      <c r="D1" s="23"/>
      <c r="E1" s="21"/>
      <c r="F1" s="21"/>
    </row>
    <row r="2" spans="1:36" x14ac:dyDescent="0.25">
      <c r="A2" s="2" t="s">
        <v>1</v>
      </c>
      <c r="B2" s="3" t="s">
        <v>2</v>
      </c>
      <c r="C2" s="2" t="s">
        <v>34</v>
      </c>
      <c r="D2" s="2" t="s">
        <v>3</v>
      </c>
      <c r="E2" s="3" t="s">
        <v>4</v>
      </c>
      <c r="F2" s="3" t="s">
        <v>5</v>
      </c>
      <c r="G2" s="5" t="s">
        <v>20</v>
      </c>
      <c r="H2" s="5" t="s">
        <v>21</v>
      </c>
      <c r="I2" s="5" t="s">
        <v>25</v>
      </c>
      <c r="J2" s="5" t="s">
        <v>23</v>
      </c>
      <c r="K2" s="5" t="s">
        <v>26</v>
      </c>
      <c r="L2" s="5" t="s">
        <v>27</v>
      </c>
      <c r="M2" s="5" t="s">
        <v>26</v>
      </c>
      <c r="N2" s="5" t="s">
        <v>27</v>
      </c>
      <c r="O2" s="5" t="s">
        <v>23</v>
      </c>
      <c r="Q2" s="5" t="s">
        <v>31</v>
      </c>
      <c r="R2" s="5" t="s">
        <v>33</v>
      </c>
      <c r="S2" s="24" t="s">
        <v>1</v>
      </c>
      <c r="T2" s="25" t="s">
        <v>2</v>
      </c>
      <c r="U2" s="24" t="s">
        <v>34</v>
      </c>
      <c r="V2" s="24" t="s">
        <v>3</v>
      </c>
      <c r="W2" s="25" t="s">
        <v>4</v>
      </c>
      <c r="X2" s="25" t="s">
        <v>5</v>
      </c>
      <c r="Y2" s="5" t="s">
        <v>20</v>
      </c>
      <c r="Z2" s="5" t="s">
        <v>21</v>
      </c>
      <c r="AA2" s="5" t="s">
        <v>25</v>
      </c>
      <c r="AB2" s="5" t="s">
        <v>23</v>
      </c>
      <c r="AC2" s="5" t="s">
        <v>26</v>
      </c>
      <c r="AD2" s="5" t="s">
        <v>27</v>
      </c>
      <c r="AE2" s="5" t="s">
        <v>26</v>
      </c>
      <c r="AF2" s="5" t="s">
        <v>27</v>
      </c>
      <c r="AG2" s="5" t="s">
        <v>23</v>
      </c>
      <c r="AI2" s="5" t="s">
        <v>31</v>
      </c>
      <c r="AJ2" s="5" t="s">
        <v>33</v>
      </c>
    </row>
    <row r="3" spans="1:36" x14ac:dyDescent="0.25">
      <c r="A3" s="4" t="s">
        <v>6</v>
      </c>
      <c r="B3" s="5" t="s">
        <v>7</v>
      </c>
      <c r="C3" s="4" t="s">
        <v>6</v>
      </c>
      <c r="D3" s="4" t="s">
        <v>6</v>
      </c>
      <c r="E3" s="5" t="s">
        <v>8</v>
      </c>
      <c r="F3" s="5" t="s">
        <v>9</v>
      </c>
      <c r="G3" s="9" t="s">
        <v>22</v>
      </c>
      <c r="H3" s="9" t="s">
        <v>22</v>
      </c>
      <c r="I3" s="9" t="s">
        <v>22</v>
      </c>
      <c r="J3" s="9" t="s">
        <v>24</v>
      </c>
      <c r="K3" s="9" t="s">
        <v>22</v>
      </c>
      <c r="L3" s="9" t="s">
        <v>28</v>
      </c>
      <c r="M3" s="9" t="s">
        <v>22</v>
      </c>
      <c r="N3" s="9" t="s">
        <v>28</v>
      </c>
      <c r="O3" s="9" t="s">
        <v>24</v>
      </c>
      <c r="Q3" s="9" t="s">
        <v>9</v>
      </c>
      <c r="R3" s="8" t="s">
        <v>28</v>
      </c>
      <c r="S3" s="26" t="s">
        <v>6</v>
      </c>
      <c r="T3" s="27" t="s">
        <v>7</v>
      </c>
      <c r="U3" s="26" t="s">
        <v>6</v>
      </c>
      <c r="V3" s="26" t="s">
        <v>6</v>
      </c>
      <c r="W3" s="27" t="s">
        <v>8</v>
      </c>
      <c r="X3" s="27" t="s">
        <v>9</v>
      </c>
      <c r="Y3" s="9" t="s">
        <v>22</v>
      </c>
      <c r="Z3" s="9" t="s">
        <v>22</v>
      </c>
      <c r="AA3" s="9" t="s">
        <v>22</v>
      </c>
      <c r="AB3" s="9" t="s">
        <v>24</v>
      </c>
      <c r="AC3" s="9" t="s">
        <v>22</v>
      </c>
      <c r="AD3" s="9" t="s">
        <v>28</v>
      </c>
      <c r="AE3" s="9" t="s">
        <v>22</v>
      </c>
      <c r="AF3" s="9" t="s">
        <v>28</v>
      </c>
      <c r="AG3" s="9" t="s">
        <v>24</v>
      </c>
      <c r="AI3" s="9" t="s">
        <v>9</v>
      </c>
      <c r="AJ3" s="8" t="s">
        <v>28</v>
      </c>
    </row>
    <row r="4" spans="1:36" x14ac:dyDescent="0.25">
      <c r="A4" s="28" t="s">
        <v>35</v>
      </c>
      <c r="B4" s="17">
        <v>0</v>
      </c>
      <c r="C4" s="28" t="s">
        <v>36</v>
      </c>
      <c r="D4" s="28" t="s">
        <v>11</v>
      </c>
      <c r="E4" s="54">
        <v>-14.7</v>
      </c>
      <c r="F4" s="54">
        <v>13.148300000000001</v>
      </c>
      <c r="G4" s="29">
        <v>300</v>
      </c>
      <c r="H4" s="29">
        <v>500</v>
      </c>
      <c r="I4" s="28">
        <f t="shared" ref="I4:I33" si="0">H4-40</f>
        <v>460</v>
      </c>
      <c r="J4" s="28">
        <f t="shared" ref="J4:J33" si="1">ABS(F4)*1000^2/(0.9*391*I4)</f>
        <v>81.225521084300127</v>
      </c>
      <c r="K4" s="11">
        <v>18</v>
      </c>
      <c r="L4" s="11">
        <v>2</v>
      </c>
      <c r="M4" s="11">
        <v>0</v>
      </c>
      <c r="N4" s="11">
        <v>2</v>
      </c>
      <c r="O4" s="28">
        <f>PI()*K4^2/4*L4+PI()*M4^2/4*N4</f>
        <v>508.93800988154646</v>
      </c>
      <c r="P4" s="34" t="str">
        <f t="shared" ref="P4:P33" si="2">IF(O4&gt;=J4,"OK","NO")</f>
        <v>OK</v>
      </c>
      <c r="Q4" s="17">
        <f t="shared" ref="Q4:Q33" si="3">(O4*0.9*391*I4)/1000^2</f>
        <v>82.383831411565467</v>
      </c>
      <c r="R4" s="19">
        <f>F4/Q4</f>
        <v>0.15959806402199175</v>
      </c>
      <c r="S4" s="6" t="s">
        <v>35</v>
      </c>
      <c r="T4" s="17">
        <v>0</v>
      </c>
      <c r="U4" s="6" t="s">
        <v>36</v>
      </c>
      <c r="V4" s="6" t="s">
        <v>12</v>
      </c>
      <c r="W4" s="54">
        <v>-47.658999999999999</v>
      </c>
      <c r="X4" s="54">
        <v>-36.714799999999997</v>
      </c>
      <c r="Y4" s="10">
        <v>300</v>
      </c>
      <c r="Z4" s="10">
        <v>500</v>
      </c>
      <c r="AA4" s="7">
        <f t="shared" ref="AA4:AA33" si="4">Z4-40</f>
        <v>460</v>
      </c>
      <c r="AB4" s="28">
        <f t="shared" ref="AB4:AB33" si="5">ABS(X4)*1000^2/(0.9*391*AA4)</f>
        <v>226.81097643846445</v>
      </c>
      <c r="AC4" s="61">
        <v>18</v>
      </c>
      <c r="AD4" s="61">
        <v>2</v>
      </c>
      <c r="AE4" s="61">
        <v>12</v>
      </c>
      <c r="AF4" s="61">
        <v>0</v>
      </c>
      <c r="AG4" s="28">
        <f>PI()*AC4^2/4*AD4+PI()*AE4^2/4*AF4</f>
        <v>508.93800988154646</v>
      </c>
      <c r="AH4" s="35" t="str">
        <f t="shared" ref="AH4:AH33" si="6">IF(AG4&gt;=AB4,"OK","NO")</f>
        <v>OK</v>
      </c>
      <c r="AI4" s="28">
        <f>-(AG4*0.9*391*AA4)/1000^2</f>
        <v>-82.383831411565467</v>
      </c>
      <c r="AJ4" s="32">
        <f>X4/AI4</f>
        <v>0.44565540799606201</v>
      </c>
    </row>
    <row r="5" spans="1:36" x14ac:dyDescent="0.25">
      <c r="A5" s="28" t="s">
        <v>35</v>
      </c>
      <c r="B5" s="17">
        <v>0.5</v>
      </c>
      <c r="C5" s="28" t="s">
        <v>36</v>
      </c>
      <c r="D5" s="28" t="s">
        <v>11</v>
      </c>
      <c r="E5" s="54">
        <v>-7.1139999999999999</v>
      </c>
      <c r="F5" s="54">
        <v>18.601900000000001</v>
      </c>
      <c r="G5" s="29">
        <v>300</v>
      </c>
      <c r="H5" s="29">
        <v>500</v>
      </c>
      <c r="I5" s="28">
        <f t="shared" si="0"/>
        <v>460</v>
      </c>
      <c r="J5" s="28">
        <f t="shared" si="1"/>
        <v>114.9159222605236</v>
      </c>
      <c r="K5" s="61">
        <v>18</v>
      </c>
      <c r="L5" s="61">
        <v>2</v>
      </c>
      <c r="M5" s="61">
        <v>0</v>
      </c>
      <c r="N5" s="61">
        <v>2</v>
      </c>
      <c r="O5" s="28">
        <f t="shared" ref="O5:O32" si="7">PI()*K5^2/4*L5+PI()*M5^2/4*N5</f>
        <v>508.93800988154646</v>
      </c>
      <c r="P5" s="34" t="str">
        <f t="shared" si="2"/>
        <v>OK</v>
      </c>
      <c r="Q5" s="17">
        <f t="shared" si="3"/>
        <v>82.383831411565467</v>
      </c>
      <c r="R5" s="19">
        <f t="shared" ref="R5:R33" si="8">F5/Q5</f>
        <v>0.22579551935464573</v>
      </c>
      <c r="S5" s="6" t="s">
        <v>35</v>
      </c>
      <c r="T5" s="17">
        <v>0.5</v>
      </c>
      <c r="U5" s="6" t="s">
        <v>36</v>
      </c>
      <c r="V5" s="6" t="s">
        <v>12</v>
      </c>
      <c r="W5" s="54">
        <v>-34.191000000000003</v>
      </c>
      <c r="X5" s="54">
        <v>-19.05</v>
      </c>
      <c r="Y5" s="10">
        <v>300</v>
      </c>
      <c r="Z5" s="10">
        <v>500</v>
      </c>
      <c r="AA5" s="7">
        <f t="shared" si="4"/>
        <v>460</v>
      </c>
      <c r="AB5" s="28">
        <f t="shared" si="5"/>
        <v>117.68412468957335</v>
      </c>
      <c r="AC5" s="61">
        <v>18</v>
      </c>
      <c r="AD5" s="61">
        <v>2</v>
      </c>
      <c r="AE5" s="61">
        <v>12</v>
      </c>
      <c r="AF5" s="61">
        <v>0</v>
      </c>
      <c r="AG5" s="28">
        <f t="shared" ref="AG5:AG33" si="9">PI()*AC5^2/4*AD5+PI()*AE5^2/4*AF5</f>
        <v>508.93800988154646</v>
      </c>
      <c r="AH5" s="35" t="str">
        <f t="shared" si="6"/>
        <v>OK</v>
      </c>
      <c r="AI5" s="28">
        <f t="shared" ref="AI5:AI33" si="10">-(AG5*0.9*391*AA5)/1000^2</f>
        <v>-82.383831411565467</v>
      </c>
      <c r="AJ5" s="32">
        <f t="shared" ref="AJ5:AJ32" si="11">X5/AI5</f>
        <v>0.23123469342948844</v>
      </c>
    </row>
    <row r="6" spans="1:36" x14ac:dyDescent="0.25">
      <c r="A6" s="28" t="s">
        <v>35</v>
      </c>
      <c r="B6" s="17">
        <v>1</v>
      </c>
      <c r="C6" s="28" t="s">
        <v>36</v>
      </c>
      <c r="D6" s="28" t="s">
        <v>11</v>
      </c>
      <c r="E6" s="54">
        <v>0.47299999999999998</v>
      </c>
      <c r="F6" s="54">
        <v>20.2623</v>
      </c>
      <c r="G6" s="29">
        <v>300</v>
      </c>
      <c r="H6" s="29">
        <v>500</v>
      </c>
      <c r="I6" s="28">
        <f t="shared" si="0"/>
        <v>460</v>
      </c>
      <c r="J6" s="28">
        <f t="shared" si="1"/>
        <v>125.17328292375549</v>
      </c>
      <c r="K6" s="61">
        <v>18</v>
      </c>
      <c r="L6" s="61">
        <v>2</v>
      </c>
      <c r="M6" s="61">
        <v>0</v>
      </c>
      <c r="N6" s="61">
        <v>2</v>
      </c>
      <c r="O6" s="28">
        <f t="shared" si="7"/>
        <v>508.93800988154646</v>
      </c>
      <c r="P6" s="34" t="str">
        <f t="shared" si="2"/>
        <v>OK</v>
      </c>
      <c r="Q6" s="17">
        <f t="shared" si="3"/>
        <v>82.383831411565467</v>
      </c>
      <c r="R6" s="19">
        <f t="shared" si="8"/>
        <v>0.24594995951056817</v>
      </c>
      <c r="S6" s="6" t="s">
        <v>35</v>
      </c>
      <c r="T6" s="17">
        <v>1</v>
      </c>
      <c r="U6" s="6" t="s">
        <v>36</v>
      </c>
      <c r="V6" s="6" t="s">
        <v>12</v>
      </c>
      <c r="W6" s="54">
        <v>-23.95</v>
      </c>
      <c r="X6" s="54">
        <v>-5.1787000000000001</v>
      </c>
      <c r="Y6" s="10">
        <v>300</v>
      </c>
      <c r="Z6" s="10">
        <v>500</v>
      </c>
      <c r="AA6" s="7">
        <f t="shared" si="4"/>
        <v>460</v>
      </c>
      <c r="AB6" s="28">
        <f t="shared" si="5"/>
        <v>31.992166746976036</v>
      </c>
      <c r="AC6" s="61">
        <v>18</v>
      </c>
      <c r="AD6" s="61">
        <v>2</v>
      </c>
      <c r="AE6" s="61">
        <v>12</v>
      </c>
      <c r="AF6" s="61">
        <v>0</v>
      </c>
      <c r="AG6" s="28">
        <f t="shared" si="9"/>
        <v>508.93800988154646</v>
      </c>
      <c r="AH6" s="35" t="str">
        <f t="shared" si="6"/>
        <v>OK</v>
      </c>
      <c r="AI6" s="28">
        <f t="shared" si="10"/>
        <v>-82.383831411565467</v>
      </c>
      <c r="AJ6" s="32">
        <f t="shared" si="11"/>
        <v>6.2860635530881462E-2</v>
      </c>
    </row>
    <row r="7" spans="1:36" x14ac:dyDescent="0.25">
      <c r="A7" s="28" t="s">
        <v>35</v>
      </c>
      <c r="B7" s="17">
        <v>1.5</v>
      </c>
      <c r="C7" s="28" t="s">
        <v>36</v>
      </c>
      <c r="D7" s="28" t="s">
        <v>11</v>
      </c>
      <c r="E7" s="54">
        <v>8.06</v>
      </c>
      <c r="F7" s="54">
        <v>20.533100000000001</v>
      </c>
      <c r="G7" s="29">
        <v>300</v>
      </c>
      <c r="H7" s="29">
        <v>500</v>
      </c>
      <c r="I7" s="28">
        <f t="shared" si="0"/>
        <v>460</v>
      </c>
      <c r="J7" s="28">
        <f t="shared" si="1"/>
        <v>126.84618901120622</v>
      </c>
      <c r="K7" s="61">
        <v>18</v>
      </c>
      <c r="L7" s="61">
        <v>2</v>
      </c>
      <c r="M7" s="61">
        <v>0</v>
      </c>
      <c r="N7" s="61">
        <v>2</v>
      </c>
      <c r="O7" s="28">
        <f t="shared" si="7"/>
        <v>508.93800988154646</v>
      </c>
      <c r="P7" s="34" t="str">
        <f t="shared" si="2"/>
        <v>OK</v>
      </c>
      <c r="Q7" s="17">
        <f t="shared" si="3"/>
        <v>82.383831411565467</v>
      </c>
      <c r="R7" s="19">
        <f t="shared" si="8"/>
        <v>0.24923701226546086</v>
      </c>
      <c r="S7" s="6" t="s">
        <v>35</v>
      </c>
      <c r="T7" s="17">
        <v>1.5</v>
      </c>
      <c r="U7" s="6" t="s">
        <v>36</v>
      </c>
      <c r="V7" s="6" t="s">
        <v>12</v>
      </c>
      <c r="W7" s="54">
        <v>-16.364000000000001</v>
      </c>
      <c r="X7" s="54">
        <v>4.8987999999999996</v>
      </c>
      <c r="Y7" s="10">
        <v>300</v>
      </c>
      <c r="Z7" s="10">
        <v>500</v>
      </c>
      <c r="AA7" s="7">
        <f t="shared" si="4"/>
        <v>460</v>
      </c>
      <c r="AB7" s="28">
        <f t="shared" si="5"/>
        <v>30.263044096025297</v>
      </c>
      <c r="AC7" s="61">
        <v>18</v>
      </c>
      <c r="AD7" s="61">
        <v>2</v>
      </c>
      <c r="AE7" s="61">
        <v>12</v>
      </c>
      <c r="AF7" s="61">
        <v>0</v>
      </c>
      <c r="AG7" s="28">
        <f t="shared" si="9"/>
        <v>508.93800988154646</v>
      </c>
      <c r="AH7" s="35" t="str">
        <f t="shared" si="6"/>
        <v>OK</v>
      </c>
      <c r="AI7" s="28">
        <f t="shared" si="10"/>
        <v>-82.383831411565467</v>
      </c>
      <c r="AJ7" s="32">
        <f t="shared" si="11"/>
        <v>-5.9463124208523774E-2</v>
      </c>
    </row>
    <row r="8" spans="1:36" x14ac:dyDescent="0.25">
      <c r="A8" s="28" t="s">
        <v>35</v>
      </c>
      <c r="B8" s="17">
        <v>2</v>
      </c>
      <c r="C8" s="28" t="s">
        <v>36</v>
      </c>
      <c r="D8" s="28" t="s">
        <v>11</v>
      </c>
      <c r="E8" s="54">
        <v>15.646000000000001</v>
      </c>
      <c r="F8" s="54">
        <v>20.7944</v>
      </c>
      <c r="G8" s="29">
        <v>300</v>
      </c>
      <c r="H8" s="29">
        <v>500</v>
      </c>
      <c r="I8" s="28">
        <f t="shared" si="0"/>
        <v>460</v>
      </c>
      <c r="J8" s="28">
        <f t="shared" si="1"/>
        <v>128.46040747742069</v>
      </c>
      <c r="K8" s="61">
        <v>18</v>
      </c>
      <c r="L8" s="61">
        <v>2</v>
      </c>
      <c r="M8" s="61">
        <v>0</v>
      </c>
      <c r="N8" s="61">
        <v>2</v>
      </c>
      <c r="O8" s="28">
        <f t="shared" si="7"/>
        <v>508.93800988154646</v>
      </c>
      <c r="P8" s="34" t="str">
        <f t="shared" si="2"/>
        <v>OK</v>
      </c>
      <c r="Q8" s="17">
        <f t="shared" si="3"/>
        <v>82.383831411565467</v>
      </c>
      <c r="R8" s="19">
        <f t="shared" si="8"/>
        <v>0.25240875113124167</v>
      </c>
      <c r="S8" s="6" t="s">
        <v>35</v>
      </c>
      <c r="T8" s="17">
        <v>2</v>
      </c>
      <c r="U8" s="6" t="s">
        <v>36</v>
      </c>
      <c r="V8" s="6" t="s">
        <v>12</v>
      </c>
      <c r="W8" s="54">
        <v>-8.7769999999999992</v>
      </c>
      <c r="X8" s="54">
        <v>11.137600000000001</v>
      </c>
      <c r="Y8" s="10">
        <v>300</v>
      </c>
      <c r="Z8" s="10">
        <v>500</v>
      </c>
      <c r="AA8" s="7">
        <f t="shared" si="4"/>
        <v>460</v>
      </c>
      <c r="AB8" s="28">
        <f t="shared" si="5"/>
        <v>68.804131608535016</v>
      </c>
      <c r="AC8" s="61">
        <v>18</v>
      </c>
      <c r="AD8" s="61">
        <v>2</v>
      </c>
      <c r="AE8" s="61">
        <v>12</v>
      </c>
      <c r="AF8" s="61">
        <v>0</v>
      </c>
      <c r="AG8" s="28">
        <f t="shared" si="9"/>
        <v>508.93800988154646</v>
      </c>
      <c r="AH8" s="35" t="str">
        <f t="shared" si="6"/>
        <v>OK</v>
      </c>
      <c r="AI8" s="28">
        <f t="shared" si="10"/>
        <v>-82.383831411565467</v>
      </c>
      <c r="AJ8" s="32">
        <f t="shared" si="11"/>
        <v>-0.13519157593387246</v>
      </c>
    </row>
    <row r="9" spans="1:36" x14ac:dyDescent="0.25">
      <c r="A9" s="28" t="s">
        <v>35</v>
      </c>
      <c r="B9" s="17">
        <v>2.5</v>
      </c>
      <c r="C9" s="28" t="s">
        <v>36</v>
      </c>
      <c r="D9" s="28" t="s">
        <v>11</v>
      </c>
      <c r="E9" s="54">
        <v>23.233000000000001</v>
      </c>
      <c r="F9" s="54">
        <v>14.321999999999999</v>
      </c>
      <c r="G9" s="29">
        <v>300</v>
      </c>
      <c r="H9" s="29">
        <v>500</v>
      </c>
      <c r="I9" s="28">
        <f t="shared" si="0"/>
        <v>460</v>
      </c>
      <c r="J9" s="28">
        <f t="shared" si="1"/>
        <v>88.476222246932778</v>
      </c>
      <c r="K9" s="61">
        <v>18</v>
      </c>
      <c r="L9" s="61">
        <v>2</v>
      </c>
      <c r="M9" s="61">
        <v>0</v>
      </c>
      <c r="N9" s="61">
        <v>2</v>
      </c>
      <c r="O9" s="28">
        <f t="shared" si="7"/>
        <v>508.93800988154646</v>
      </c>
      <c r="P9" s="34" t="str">
        <f t="shared" si="2"/>
        <v>OK</v>
      </c>
      <c r="Q9" s="17">
        <f t="shared" si="3"/>
        <v>82.383831411565467</v>
      </c>
      <c r="R9" s="19">
        <f t="shared" si="8"/>
        <v>0.17384479156415397</v>
      </c>
      <c r="S9" s="6" t="s">
        <v>35</v>
      </c>
      <c r="T9" s="17">
        <v>2.5</v>
      </c>
      <c r="U9" s="6" t="s">
        <v>36</v>
      </c>
      <c r="V9" s="6" t="s">
        <v>12</v>
      </c>
      <c r="W9" s="54">
        <v>-1.19</v>
      </c>
      <c r="X9" s="54">
        <v>2.4798</v>
      </c>
      <c r="Y9" s="10">
        <v>300</v>
      </c>
      <c r="Z9" s="10">
        <v>500</v>
      </c>
      <c r="AA9" s="7">
        <f t="shared" si="4"/>
        <v>460</v>
      </c>
      <c r="AB9" s="28">
        <f t="shared" si="5"/>
        <v>15.319322435968713</v>
      </c>
      <c r="AC9" s="61">
        <v>18</v>
      </c>
      <c r="AD9" s="61">
        <v>2</v>
      </c>
      <c r="AE9" s="61">
        <v>12</v>
      </c>
      <c r="AF9" s="61">
        <v>0</v>
      </c>
      <c r="AG9" s="28">
        <f t="shared" si="9"/>
        <v>508.93800988154646</v>
      </c>
      <c r="AH9" s="35" t="str">
        <f t="shared" si="6"/>
        <v>OK</v>
      </c>
      <c r="AI9" s="28">
        <f t="shared" si="10"/>
        <v>-82.383831411565467</v>
      </c>
      <c r="AJ9" s="32">
        <f t="shared" si="11"/>
        <v>-3.0100566549419706E-2</v>
      </c>
    </row>
    <row r="10" spans="1:36" x14ac:dyDescent="0.25">
      <c r="A10" s="28" t="s">
        <v>35</v>
      </c>
      <c r="B10" s="17">
        <v>3</v>
      </c>
      <c r="C10" s="28" t="s">
        <v>36</v>
      </c>
      <c r="D10" s="28" t="s">
        <v>11</v>
      </c>
      <c r="E10" s="54">
        <v>33.146000000000001</v>
      </c>
      <c r="F10" s="54">
        <v>12.3773</v>
      </c>
      <c r="G10" s="29">
        <v>300</v>
      </c>
      <c r="H10" s="29">
        <v>500</v>
      </c>
      <c r="I10" s="28">
        <f t="shared" si="0"/>
        <v>460</v>
      </c>
      <c r="J10" s="28">
        <f t="shared" si="1"/>
        <v>76.462557297651244</v>
      </c>
      <c r="K10" s="61">
        <v>18</v>
      </c>
      <c r="L10" s="61">
        <v>2</v>
      </c>
      <c r="M10" s="61">
        <v>0</v>
      </c>
      <c r="N10" s="61">
        <v>2</v>
      </c>
      <c r="O10" s="28">
        <f t="shared" si="7"/>
        <v>508.93800988154646</v>
      </c>
      <c r="P10" s="34" t="str">
        <f t="shared" si="2"/>
        <v>OK</v>
      </c>
      <c r="Q10" s="17">
        <f t="shared" si="3"/>
        <v>82.383831411565467</v>
      </c>
      <c r="R10" s="19">
        <f t="shared" si="8"/>
        <v>0.1502394315477589</v>
      </c>
      <c r="S10" s="6" t="s">
        <v>35</v>
      </c>
      <c r="T10" s="17">
        <v>3</v>
      </c>
      <c r="U10" s="6" t="s">
        <v>36</v>
      </c>
      <c r="V10" s="6" t="s">
        <v>12</v>
      </c>
      <c r="W10" s="54">
        <v>6.3959999999999999</v>
      </c>
      <c r="X10" s="54">
        <v>-11.032</v>
      </c>
      <c r="Y10" s="10">
        <v>300</v>
      </c>
      <c r="Z10" s="10">
        <v>500</v>
      </c>
      <c r="AA10" s="7">
        <f t="shared" si="4"/>
        <v>460</v>
      </c>
      <c r="AB10" s="28">
        <f t="shared" si="5"/>
        <v>68.151772366161325</v>
      </c>
      <c r="AC10" s="61">
        <v>18</v>
      </c>
      <c r="AD10" s="61">
        <v>2</v>
      </c>
      <c r="AE10" s="61">
        <v>12</v>
      </c>
      <c r="AF10" s="61">
        <v>0</v>
      </c>
      <c r="AG10" s="28">
        <f t="shared" si="9"/>
        <v>508.93800988154646</v>
      </c>
      <c r="AH10" s="35" t="str">
        <f t="shared" si="6"/>
        <v>OK</v>
      </c>
      <c r="AI10" s="28">
        <f t="shared" si="10"/>
        <v>-82.383831411565467</v>
      </c>
      <c r="AJ10" s="32">
        <f t="shared" si="11"/>
        <v>0.13390977101911372</v>
      </c>
    </row>
    <row r="11" spans="1:36" x14ac:dyDescent="0.25">
      <c r="A11" s="28" t="s">
        <v>35</v>
      </c>
      <c r="B11" s="17">
        <v>3.5</v>
      </c>
      <c r="C11" s="28" t="s">
        <v>36</v>
      </c>
      <c r="D11" s="28" t="s">
        <v>11</v>
      </c>
      <c r="E11" s="54">
        <v>46.613</v>
      </c>
      <c r="F11" s="54">
        <v>7.2821999999999996</v>
      </c>
      <c r="G11" s="29">
        <v>300</v>
      </c>
      <c r="H11" s="29">
        <v>500</v>
      </c>
      <c r="I11" s="28">
        <f t="shared" si="0"/>
        <v>460</v>
      </c>
      <c r="J11" s="28">
        <f t="shared" si="1"/>
        <v>44.986841617554383</v>
      </c>
      <c r="K11" s="61">
        <v>18</v>
      </c>
      <c r="L11" s="61">
        <v>2</v>
      </c>
      <c r="M11" s="61">
        <v>0</v>
      </c>
      <c r="N11" s="61">
        <v>2</v>
      </c>
      <c r="O11" s="28">
        <f t="shared" si="7"/>
        <v>508.93800988154646</v>
      </c>
      <c r="P11" s="34" t="str">
        <f t="shared" si="2"/>
        <v>OK</v>
      </c>
      <c r="Q11" s="17">
        <f t="shared" si="3"/>
        <v>82.383831411565467</v>
      </c>
      <c r="R11" s="19">
        <f t="shared" si="8"/>
        <v>8.8393558241061446E-2</v>
      </c>
      <c r="S11" s="6" t="s">
        <v>35</v>
      </c>
      <c r="T11" s="17">
        <v>3.5</v>
      </c>
      <c r="U11" s="6" t="s">
        <v>36</v>
      </c>
      <c r="V11" s="6" t="s">
        <v>12</v>
      </c>
      <c r="W11" s="54">
        <v>13.983000000000001</v>
      </c>
      <c r="X11" s="54">
        <v>-28.337900000000001</v>
      </c>
      <c r="Y11" s="10">
        <v>300</v>
      </c>
      <c r="Z11" s="10">
        <v>500</v>
      </c>
      <c r="AA11" s="7">
        <f t="shared" si="4"/>
        <v>460</v>
      </c>
      <c r="AB11" s="28">
        <f t="shared" si="5"/>
        <v>175.06146756118954</v>
      </c>
      <c r="AC11" s="61">
        <v>18</v>
      </c>
      <c r="AD11" s="61">
        <v>2</v>
      </c>
      <c r="AE11" s="61">
        <v>12</v>
      </c>
      <c r="AF11" s="61">
        <v>0</v>
      </c>
      <c r="AG11" s="28">
        <f t="shared" si="9"/>
        <v>508.93800988154646</v>
      </c>
      <c r="AH11" s="35" t="str">
        <f t="shared" si="6"/>
        <v>OK</v>
      </c>
      <c r="AI11" s="28">
        <f t="shared" si="10"/>
        <v>-82.383831411565467</v>
      </c>
      <c r="AJ11" s="32">
        <f t="shared" si="11"/>
        <v>0.34397404823808403</v>
      </c>
    </row>
    <row r="12" spans="1:36" x14ac:dyDescent="0.25">
      <c r="A12" s="28" t="s">
        <v>35</v>
      </c>
      <c r="B12" s="17">
        <v>4</v>
      </c>
      <c r="C12" s="28" t="s">
        <v>36</v>
      </c>
      <c r="D12" s="28" t="s">
        <v>11</v>
      </c>
      <c r="E12" s="54">
        <v>60.081000000000003</v>
      </c>
      <c r="F12" s="54">
        <v>-1.6060000000000001</v>
      </c>
      <c r="G12" s="29">
        <v>300</v>
      </c>
      <c r="H12" s="29">
        <v>500</v>
      </c>
      <c r="I12" s="28">
        <f t="shared" si="0"/>
        <v>460</v>
      </c>
      <c r="J12" s="28">
        <f t="shared" si="1"/>
        <v>9.9212968110999888</v>
      </c>
      <c r="K12" s="61">
        <v>18</v>
      </c>
      <c r="L12" s="61">
        <v>2</v>
      </c>
      <c r="M12" s="61">
        <v>0</v>
      </c>
      <c r="N12" s="61">
        <v>2</v>
      </c>
      <c r="O12" s="28">
        <f t="shared" si="7"/>
        <v>508.93800988154646</v>
      </c>
      <c r="P12" s="34" t="str">
        <f t="shared" si="2"/>
        <v>OK</v>
      </c>
      <c r="Q12" s="17">
        <f t="shared" si="3"/>
        <v>82.383831411565467</v>
      </c>
      <c r="R12" s="19">
        <f t="shared" si="8"/>
        <v>-1.9494116411955822E-2</v>
      </c>
      <c r="S12" s="6" t="s">
        <v>35</v>
      </c>
      <c r="T12" s="17">
        <v>4</v>
      </c>
      <c r="U12" s="6" t="s">
        <v>36</v>
      </c>
      <c r="V12" s="6" t="s">
        <v>12</v>
      </c>
      <c r="W12" s="54">
        <v>21.568999999999999</v>
      </c>
      <c r="X12" s="54">
        <v>-49.4373</v>
      </c>
      <c r="Y12" s="10">
        <v>300</v>
      </c>
      <c r="Z12" s="10">
        <v>500</v>
      </c>
      <c r="AA12" s="7">
        <f t="shared" si="4"/>
        <v>460</v>
      </c>
      <c r="AB12" s="28">
        <f t="shared" si="5"/>
        <v>305.40605656251154</v>
      </c>
      <c r="AC12" s="61">
        <v>18</v>
      </c>
      <c r="AD12" s="61">
        <v>2</v>
      </c>
      <c r="AE12" s="61">
        <v>12</v>
      </c>
      <c r="AF12" s="61">
        <v>0</v>
      </c>
      <c r="AG12" s="28">
        <f t="shared" si="9"/>
        <v>508.93800988154646</v>
      </c>
      <c r="AH12" s="35" t="str">
        <f t="shared" si="6"/>
        <v>OK</v>
      </c>
      <c r="AI12" s="28">
        <f t="shared" si="10"/>
        <v>-82.383831411565467</v>
      </c>
      <c r="AJ12" s="32">
        <f t="shared" si="11"/>
        <v>0.60008498212502093</v>
      </c>
    </row>
    <row r="13" spans="1:36" x14ac:dyDescent="0.25">
      <c r="A13" s="28" t="s">
        <v>37</v>
      </c>
      <c r="B13" s="17">
        <v>4</v>
      </c>
      <c r="C13" s="28" t="s">
        <v>36</v>
      </c>
      <c r="D13" s="28" t="s">
        <v>11</v>
      </c>
      <c r="E13" s="54">
        <v>-33.923999999999999</v>
      </c>
      <c r="F13" s="54">
        <v>-14.4764</v>
      </c>
      <c r="G13" s="29">
        <v>300</v>
      </c>
      <c r="H13" s="29">
        <v>500</v>
      </c>
      <c r="I13" s="28">
        <f t="shared" si="0"/>
        <v>460</v>
      </c>
      <c r="J13" s="28">
        <f t="shared" si="1"/>
        <v>89.430050533130697</v>
      </c>
      <c r="K13" s="61">
        <v>18</v>
      </c>
      <c r="L13" s="61">
        <v>2</v>
      </c>
      <c r="M13" s="61">
        <v>0</v>
      </c>
      <c r="N13" s="61">
        <v>2</v>
      </c>
      <c r="O13" s="28">
        <f t="shared" si="7"/>
        <v>508.93800988154646</v>
      </c>
      <c r="P13" s="34" t="str">
        <f t="shared" si="2"/>
        <v>OK</v>
      </c>
      <c r="Q13" s="17">
        <f t="shared" si="3"/>
        <v>82.383831411565467</v>
      </c>
      <c r="R13" s="19">
        <f t="shared" si="8"/>
        <v>-0.17571894571982397</v>
      </c>
      <c r="S13" s="6" t="s">
        <v>37</v>
      </c>
      <c r="T13" s="17">
        <v>4</v>
      </c>
      <c r="U13" s="6" t="s">
        <v>36</v>
      </c>
      <c r="V13" s="6" t="s">
        <v>12</v>
      </c>
      <c r="W13" s="54">
        <v>-74.070999999999998</v>
      </c>
      <c r="X13" s="54">
        <v>-63.810099999999998</v>
      </c>
      <c r="Y13" s="10">
        <v>300</v>
      </c>
      <c r="Z13" s="10">
        <v>500</v>
      </c>
      <c r="AA13" s="7">
        <f t="shared" si="4"/>
        <v>460</v>
      </c>
      <c r="AB13" s="28">
        <f t="shared" si="5"/>
        <v>394.19610314194983</v>
      </c>
      <c r="AC13" s="61">
        <v>18</v>
      </c>
      <c r="AD13" s="61">
        <v>2</v>
      </c>
      <c r="AE13" s="61">
        <v>12</v>
      </c>
      <c r="AF13" s="61">
        <v>0</v>
      </c>
      <c r="AG13" s="28">
        <f t="shared" si="9"/>
        <v>508.93800988154646</v>
      </c>
      <c r="AH13" s="35" t="str">
        <f t="shared" si="6"/>
        <v>OK</v>
      </c>
      <c r="AI13" s="28">
        <f t="shared" si="10"/>
        <v>-82.383831411565467</v>
      </c>
      <c r="AJ13" s="32">
        <f t="shared" si="11"/>
        <v>0.77454639953832016</v>
      </c>
    </row>
    <row r="14" spans="1:36" x14ac:dyDescent="0.25">
      <c r="A14" s="28" t="s">
        <v>37</v>
      </c>
      <c r="B14" s="17">
        <v>4.5</v>
      </c>
      <c r="C14" s="28" t="s">
        <v>36</v>
      </c>
      <c r="D14" s="28" t="s">
        <v>11</v>
      </c>
      <c r="E14" s="54">
        <v>-26.337</v>
      </c>
      <c r="F14" s="54">
        <v>0.58879999999999999</v>
      </c>
      <c r="G14" s="29">
        <v>300</v>
      </c>
      <c r="H14" s="29">
        <v>500</v>
      </c>
      <c r="I14" s="28">
        <f t="shared" si="0"/>
        <v>460</v>
      </c>
      <c r="J14" s="28">
        <f t="shared" si="1"/>
        <v>3.6373969877806189</v>
      </c>
      <c r="K14" s="61">
        <v>18</v>
      </c>
      <c r="L14" s="61">
        <v>2</v>
      </c>
      <c r="M14" s="61">
        <v>0</v>
      </c>
      <c r="N14" s="61">
        <v>2</v>
      </c>
      <c r="O14" s="28">
        <f t="shared" si="7"/>
        <v>508.93800988154646</v>
      </c>
      <c r="P14" s="34" t="str">
        <f t="shared" si="2"/>
        <v>OK</v>
      </c>
      <c r="Q14" s="17">
        <f t="shared" si="3"/>
        <v>82.383831411565467</v>
      </c>
      <c r="R14" s="19">
        <f t="shared" si="8"/>
        <v>7.1470334641093322E-3</v>
      </c>
      <c r="S14" s="6" t="s">
        <v>37</v>
      </c>
      <c r="T14" s="17">
        <v>4.5</v>
      </c>
      <c r="U14" s="6" t="s">
        <v>36</v>
      </c>
      <c r="V14" s="6" t="s">
        <v>12</v>
      </c>
      <c r="W14" s="54">
        <v>-60.603000000000002</v>
      </c>
      <c r="X14" s="54">
        <v>-34.578400000000002</v>
      </c>
      <c r="Y14" s="10">
        <v>300</v>
      </c>
      <c r="Z14" s="10">
        <v>500</v>
      </c>
      <c r="AA14" s="7">
        <f t="shared" si="4"/>
        <v>460</v>
      </c>
      <c r="AB14" s="28">
        <f t="shared" si="5"/>
        <v>213.61305706907839</v>
      </c>
      <c r="AC14" s="61">
        <v>18</v>
      </c>
      <c r="AD14" s="61">
        <v>2</v>
      </c>
      <c r="AE14" s="61">
        <v>12</v>
      </c>
      <c r="AF14" s="61">
        <v>0</v>
      </c>
      <c r="AG14" s="28">
        <f t="shared" si="9"/>
        <v>508.93800988154646</v>
      </c>
      <c r="AH14" s="35" t="str">
        <f t="shared" si="6"/>
        <v>OK</v>
      </c>
      <c r="AI14" s="28">
        <f t="shared" si="10"/>
        <v>-82.383831411565467</v>
      </c>
      <c r="AJ14" s="32">
        <f t="shared" si="11"/>
        <v>0.41972313508043169</v>
      </c>
    </row>
    <row r="15" spans="1:36" x14ac:dyDescent="0.25">
      <c r="A15" s="28" t="s">
        <v>37</v>
      </c>
      <c r="B15" s="17">
        <v>5</v>
      </c>
      <c r="C15" s="28" t="s">
        <v>36</v>
      </c>
      <c r="D15" s="28" t="s">
        <v>11</v>
      </c>
      <c r="E15" s="54">
        <v>-18.751000000000001</v>
      </c>
      <c r="F15" s="54">
        <v>11.860799999999999</v>
      </c>
      <c r="G15" s="29">
        <v>300</v>
      </c>
      <c r="H15" s="29">
        <v>500</v>
      </c>
      <c r="I15" s="28">
        <f t="shared" si="0"/>
        <v>460</v>
      </c>
      <c r="J15" s="28">
        <f t="shared" si="1"/>
        <v>73.271803995700353</v>
      </c>
      <c r="K15" s="61">
        <v>18</v>
      </c>
      <c r="L15" s="61">
        <v>2</v>
      </c>
      <c r="M15" s="61">
        <v>0</v>
      </c>
      <c r="N15" s="61">
        <v>2</v>
      </c>
      <c r="O15" s="28">
        <f t="shared" si="7"/>
        <v>508.93800988154646</v>
      </c>
      <c r="P15" s="34" t="str">
        <f t="shared" si="2"/>
        <v>OK</v>
      </c>
      <c r="Q15" s="17">
        <f t="shared" si="3"/>
        <v>82.383831411565467</v>
      </c>
      <c r="R15" s="19">
        <f t="shared" si="8"/>
        <v>0.14396999747131109</v>
      </c>
      <c r="S15" s="6" t="s">
        <v>37</v>
      </c>
      <c r="T15" s="17">
        <v>5</v>
      </c>
      <c r="U15" s="6" t="s">
        <v>36</v>
      </c>
      <c r="V15" s="6" t="s">
        <v>12</v>
      </c>
      <c r="W15" s="54">
        <v>-47.136000000000003</v>
      </c>
      <c r="X15" s="54">
        <v>-15.504099999999999</v>
      </c>
      <c r="Y15" s="10">
        <v>300</v>
      </c>
      <c r="Z15" s="10">
        <v>500</v>
      </c>
      <c r="AA15" s="7">
        <f t="shared" si="4"/>
        <v>460</v>
      </c>
      <c r="AB15" s="28">
        <f t="shared" si="5"/>
        <v>95.778815622026997</v>
      </c>
      <c r="AC15" s="61">
        <v>18</v>
      </c>
      <c r="AD15" s="61">
        <v>2</v>
      </c>
      <c r="AE15" s="61">
        <v>12</v>
      </c>
      <c r="AF15" s="61">
        <v>0</v>
      </c>
      <c r="AG15" s="28">
        <f t="shared" si="9"/>
        <v>508.93800988154646</v>
      </c>
      <c r="AH15" s="35" t="str">
        <f t="shared" si="6"/>
        <v>OK</v>
      </c>
      <c r="AI15" s="28">
        <f t="shared" si="10"/>
        <v>-82.383831411565467</v>
      </c>
      <c r="AJ15" s="32">
        <f t="shared" si="11"/>
        <v>0.18819348086089929</v>
      </c>
    </row>
    <row r="16" spans="1:36" x14ac:dyDescent="0.25">
      <c r="A16" s="28" t="s">
        <v>37</v>
      </c>
      <c r="B16" s="17">
        <v>5.5</v>
      </c>
      <c r="C16" s="28" t="s">
        <v>36</v>
      </c>
      <c r="D16" s="28" t="s">
        <v>11</v>
      </c>
      <c r="E16" s="54">
        <v>-11.164</v>
      </c>
      <c r="F16" s="54">
        <v>19.339400000000001</v>
      </c>
      <c r="G16" s="29">
        <v>300</v>
      </c>
      <c r="H16" s="29">
        <v>500</v>
      </c>
      <c r="I16" s="28">
        <f t="shared" si="0"/>
        <v>460</v>
      </c>
      <c r="J16" s="28">
        <f t="shared" si="1"/>
        <v>119.47193496176035</v>
      </c>
      <c r="K16" s="61">
        <v>18</v>
      </c>
      <c r="L16" s="61">
        <v>2</v>
      </c>
      <c r="M16" s="61">
        <v>0</v>
      </c>
      <c r="N16" s="61">
        <v>2</v>
      </c>
      <c r="O16" s="28">
        <f t="shared" si="7"/>
        <v>508.93800988154646</v>
      </c>
      <c r="P16" s="34" t="str">
        <f t="shared" si="2"/>
        <v>OK</v>
      </c>
      <c r="Q16" s="17">
        <f t="shared" si="3"/>
        <v>82.383831411565467</v>
      </c>
      <c r="R16" s="19">
        <f t="shared" si="8"/>
        <v>0.23474751864095794</v>
      </c>
      <c r="S16" s="6" t="s">
        <v>37</v>
      </c>
      <c r="T16" s="17">
        <v>5.5</v>
      </c>
      <c r="U16" s="6" t="s">
        <v>36</v>
      </c>
      <c r="V16" s="6" t="s">
        <v>12</v>
      </c>
      <c r="W16" s="54">
        <v>-33.668999999999997</v>
      </c>
      <c r="X16" s="54">
        <v>-0.22309999999999999</v>
      </c>
      <c r="Y16" s="10">
        <v>300</v>
      </c>
      <c r="Z16" s="10">
        <v>500</v>
      </c>
      <c r="AA16" s="7">
        <f t="shared" si="4"/>
        <v>460</v>
      </c>
      <c r="AB16" s="28">
        <f t="shared" si="5"/>
        <v>1.3782324524012501</v>
      </c>
      <c r="AC16" s="61">
        <v>18</v>
      </c>
      <c r="AD16" s="61">
        <v>2</v>
      </c>
      <c r="AE16" s="61">
        <v>12</v>
      </c>
      <c r="AF16" s="61">
        <v>0</v>
      </c>
      <c r="AG16" s="28">
        <f t="shared" si="9"/>
        <v>508.93800988154646</v>
      </c>
      <c r="AH16" s="35" t="str">
        <f t="shared" si="6"/>
        <v>OK</v>
      </c>
      <c r="AI16" s="28">
        <f t="shared" si="10"/>
        <v>-82.383831411565467</v>
      </c>
      <c r="AJ16" s="32">
        <f t="shared" si="11"/>
        <v>2.708055648510177E-3</v>
      </c>
    </row>
    <row r="17" spans="1:36" x14ac:dyDescent="0.25">
      <c r="A17" s="28" t="s">
        <v>37</v>
      </c>
      <c r="B17" s="17">
        <v>6</v>
      </c>
      <c r="C17" s="28" t="s">
        <v>36</v>
      </c>
      <c r="D17" s="28" t="s">
        <v>11</v>
      </c>
      <c r="E17" s="54">
        <v>-3.5779999999999998</v>
      </c>
      <c r="F17" s="54">
        <v>30.4618</v>
      </c>
      <c r="G17" s="29">
        <v>300</v>
      </c>
      <c r="H17" s="29">
        <v>500</v>
      </c>
      <c r="I17" s="28">
        <f t="shared" si="0"/>
        <v>460</v>
      </c>
      <c r="J17" s="28">
        <f t="shared" si="1"/>
        <v>188.18216637631735</v>
      </c>
      <c r="K17" s="61">
        <v>18</v>
      </c>
      <c r="L17" s="61">
        <v>2</v>
      </c>
      <c r="M17" s="61">
        <v>0</v>
      </c>
      <c r="N17" s="61">
        <v>2</v>
      </c>
      <c r="O17" s="28">
        <f t="shared" si="7"/>
        <v>508.93800988154646</v>
      </c>
      <c r="P17" s="34" t="str">
        <f t="shared" si="2"/>
        <v>OK</v>
      </c>
      <c r="Q17" s="17">
        <f t="shared" si="3"/>
        <v>82.383831411565467</v>
      </c>
      <c r="R17" s="19">
        <f t="shared" si="8"/>
        <v>0.3697545923522515</v>
      </c>
      <c r="S17" s="6" t="s">
        <v>37</v>
      </c>
      <c r="T17" s="17">
        <v>6</v>
      </c>
      <c r="U17" s="6" t="s">
        <v>36</v>
      </c>
      <c r="V17" s="6" t="s">
        <v>12</v>
      </c>
      <c r="W17" s="54">
        <v>-20.201000000000001</v>
      </c>
      <c r="X17" s="54">
        <v>11.2646</v>
      </c>
      <c r="Y17" s="10">
        <v>300</v>
      </c>
      <c r="Z17" s="10">
        <v>500</v>
      </c>
      <c r="AA17" s="7">
        <f t="shared" si="4"/>
        <v>460</v>
      </c>
      <c r="AB17" s="28">
        <f t="shared" si="5"/>
        <v>69.588692439798848</v>
      </c>
      <c r="AC17" s="61">
        <v>18</v>
      </c>
      <c r="AD17" s="61">
        <v>2</v>
      </c>
      <c r="AE17" s="61">
        <v>12</v>
      </c>
      <c r="AF17" s="61">
        <v>0</v>
      </c>
      <c r="AG17" s="28">
        <f t="shared" si="9"/>
        <v>508.93800988154646</v>
      </c>
      <c r="AH17" s="35" t="str">
        <f t="shared" si="6"/>
        <v>OK</v>
      </c>
      <c r="AI17" s="28">
        <f t="shared" si="10"/>
        <v>-82.383831411565467</v>
      </c>
      <c r="AJ17" s="32">
        <f t="shared" si="11"/>
        <v>-0.13673314055673572</v>
      </c>
    </row>
    <row r="18" spans="1:36" x14ac:dyDescent="0.25">
      <c r="A18" s="28" t="s">
        <v>37</v>
      </c>
      <c r="B18" s="17">
        <v>6.5</v>
      </c>
      <c r="C18" s="28" t="s">
        <v>36</v>
      </c>
      <c r="D18" s="28" t="s">
        <v>11</v>
      </c>
      <c r="E18" s="54">
        <v>4.0090000000000003</v>
      </c>
      <c r="F18" s="54">
        <v>37.195599999999999</v>
      </c>
      <c r="G18" s="29">
        <v>300</v>
      </c>
      <c r="H18" s="29">
        <v>500</v>
      </c>
      <c r="I18" s="28">
        <f t="shared" si="0"/>
        <v>460</v>
      </c>
      <c r="J18" s="28">
        <f t="shared" si="1"/>
        <v>229.78118783745379</v>
      </c>
      <c r="K18" s="61">
        <v>18</v>
      </c>
      <c r="L18" s="61">
        <v>2</v>
      </c>
      <c r="M18" s="61">
        <v>0</v>
      </c>
      <c r="N18" s="61">
        <v>2</v>
      </c>
      <c r="O18" s="28">
        <f t="shared" si="7"/>
        <v>508.93800988154646</v>
      </c>
      <c r="P18" s="34" t="str">
        <f t="shared" si="2"/>
        <v>OK</v>
      </c>
      <c r="Q18" s="17">
        <f t="shared" si="3"/>
        <v>82.383831411565467</v>
      </c>
      <c r="R18" s="19">
        <f t="shared" si="8"/>
        <v>0.45149150461553172</v>
      </c>
      <c r="S18" s="6" t="s">
        <v>37</v>
      </c>
      <c r="T18" s="17">
        <v>6.5</v>
      </c>
      <c r="U18" s="6" t="s">
        <v>36</v>
      </c>
      <c r="V18" s="6" t="s">
        <v>12</v>
      </c>
      <c r="W18" s="54">
        <v>-11.596</v>
      </c>
      <c r="X18" s="54">
        <v>18.959</v>
      </c>
      <c r="Y18" s="10">
        <v>300</v>
      </c>
      <c r="Z18" s="10">
        <v>500</v>
      </c>
      <c r="AA18" s="7">
        <f t="shared" si="4"/>
        <v>460</v>
      </c>
      <c r="AB18" s="28">
        <f t="shared" si="5"/>
        <v>117.1219590545733</v>
      </c>
      <c r="AC18" s="61">
        <v>18</v>
      </c>
      <c r="AD18" s="61">
        <v>2</v>
      </c>
      <c r="AE18" s="61">
        <v>12</v>
      </c>
      <c r="AF18" s="61">
        <v>0</v>
      </c>
      <c r="AG18" s="28">
        <f t="shared" si="9"/>
        <v>508.93800988154646</v>
      </c>
      <c r="AH18" s="35" t="str">
        <f t="shared" si="6"/>
        <v>OK</v>
      </c>
      <c r="AI18" s="28">
        <f t="shared" si="10"/>
        <v>-82.383831411565467</v>
      </c>
      <c r="AJ18" s="32">
        <f t="shared" si="11"/>
        <v>-0.23013010775483839</v>
      </c>
    </row>
    <row r="19" spans="1:36" x14ac:dyDescent="0.25">
      <c r="A19" s="28" t="s">
        <v>37</v>
      </c>
      <c r="B19" s="17">
        <v>7</v>
      </c>
      <c r="C19" s="28" t="s">
        <v>36</v>
      </c>
      <c r="D19" s="28" t="s">
        <v>11</v>
      </c>
      <c r="E19" s="54">
        <v>11.596</v>
      </c>
      <c r="F19" s="54">
        <v>37.195599999999999</v>
      </c>
      <c r="G19" s="29">
        <v>300</v>
      </c>
      <c r="H19" s="29">
        <v>500</v>
      </c>
      <c r="I19" s="28">
        <f t="shared" si="0"/>
        <v>460</v>
      </c>
      <c r="J19" s="28">
        <f t="shared" si="1"/>
        <v>229.78118783745379</v>
      </c>
      <c r="K19" s="61">
        <v>18</v>
      </c>
      <c r="L19" s="61">
        <v>2</v>
      </c>
      <c r="M19" s="61">
        <v>0</v>
      </c>
      <c r="N19" s="61">
        <v>2</v>
      </c>
      <c r="O19" s="28">
        <f t="shared" si="7"/>
        <v>508.93800988154646</v>
      </c>
      <c r="P19" s="34" t="str">
        <f t="shared" si="2"/>
        <v>OK</v>
      </c>
      <c r="Q19" s="17">
        <f t="shared" si="3"/>
        <v>82.383831411565467</v>
      </c>
      <c r="R19" s="19">
        <f t="shared" si="8"/>
        <v>0.45149150461553172</v>
      </c>
      <c r="S19" s="6" t="s">
        <v>37</v>
      </c>
      <c r="T19" s="17">
        <v>7</v>
      </c>
      <c r="U19" s="6" t="s">
        <v>36</v>
      </c>
      <c r="V19" s="6" t="s">
        <v>12</v>
      </c>
      <c r="W19" s="54">
        <v>-4.0090000000000003</v>
      </c>
      <c r="X19" s="54">
        <v>18.959</v>
      </c>
      <c r="Y19" s="10">
        <v>300</v>
      </c>
      <c r="Z19" s="10">
        <v>500</v>
      </c>
      <c r="AA19" s="7">
        <f t="shared" si="4"/>
        <v>460</v>
      </c>
      <c r="AB19" s="28">
        <f t="shared" si="5"/>
        <v>117.1219590545733</v>
      </c>
      <c r="AC19" s="61">
        <v>18</v>
      </c>
      <c r="AD19" s="61">
        <v>2</v>
      </c>
      <c r="AE19" s="61">
        <v>12</v>
      </c>
      <c r="AF19" s="61">
        <v>0</v>
      </c>
      <c r="AG19" s="28">
        <f t="shared" si="9"/>
        <v>508.93800988154646</v>
      </c>
      <c r="AH19" s="35" t="str">
        <f t="shared" si="6"/>
        <v>OK</v>
      </c>
      <c r="AI19" s="28">
        <f t="shared" si="10"/>
        <v>-82.383831411565467</v>
      </c>
      <c r="AJ19" s="32">
        <f t="shared" si="11"/>
        <v>-0.23013010775483839</v>
      </c>
    </row>
    <row r="20" spans="1:36" x14ac:dyDescent="0.25">
      <c r="A20" s="28" t="s">
        <v>37</v>
      </c>
      <c r="B20" s="17">
        <v>7.5</v>
      </c>
      <c r="C20" s="28" t="s">
        <v>36</v>
      </c>
      <c r="D20" s="28" t="s">
        <v>11</v>
      </c>
      <c r="E20" s="54">
        <v>20.201000000000001</v>
      </c>
      <c r="F20" s="54">
        <v>30.4618</v>
      </c>
      <c r="G20" s="29">
        <v>300</v>
      </c>
      <c r="H20" s="29">
        <v>500</v>
      </c>
      <c r="I20" s="28">
        <f t="shared" si="0"/>
        <v>460</v>
      </c>
      <c r="J20" s="28">
        <f t="shared" si="1"/>
        <v>188.18216637631735</v>
      </c>
      <c r="K20" s="61">
        <v>18</v>
      </c>
      <c r="L20" s="61">
        <v>2</v>
      </c>
      <c r="M20" s="61">
        <v>0</v>
      </c>
      <c r="N20" s="61">
        <v>2</v>
      </c>
      <c r="O20" s="28">
        <f t="shared" si="7"/>
        <v>508.93800988154646</v>
      </c>
      <c r="P20" s="34" t="str">
        <f t="shared" si="2"/>
        <v>OK</v>
      </c>
      <c r="Q20" s="17">
        <f t="shared" si="3"/>
        <v>82.383831411565467</v>
      </c>
      <c r="R20" s="19">
        <f t="shared" si="8"/>
        <v>0.3697545923522515</v>
      </c>
      <c r="S20" s="6" t="s">
        <v>37</v>
      </c>
      <c r="T20" s="17">
        <v>7.5</v>
      </c>
      <c r="U20" s="6" t="s">
        <v>36</v>
      </c>
      <c r="V20" s="6" t="s">
        <v>12</v>
      </c>
      <c r="W20" s="54">
        <v>3.5779999999999998</v>
      </c>
      <c r="X20" s="54">
        <v>11.2646</v>
      </c>
      <c r="Y20" s="10">
        <v>300</v>
      </c>
      <c r="Z20" s="10">
        <v>500</v>
      </c>
      <c r="AA20" s="7">
        <f t="shared" si="4"/>
        <v>460</v>
      </c>
      <c r="AB20" s="28">
        <f t="shared" si="5"/>
        <v>69.588692439798848</v>
      </c>
      <c r="AC20" s="61">
        <v>18</v>
      </c>
      <c r="AD20" s="61">
        <v>2</v>
      </c>
      <c r="AE20" s="61">
        <v>12</v>
      </c>
      <c r="AF20" s="61">
        <v>0</v>
      </c>
      <c r="AG20" s="28">
        <f t="shared" si="9"/>
        <v>508.93800988154646</v>
      </c>
      <c r="AH20" s="35" t="str">
        <f t="shared" si="6"/>
        <v>OK</v>
      </c>
      <c r="AI20" s="28">
        <f t="shared" si="10"/>
        <v>-82.383831411565467</v>
      </c>
      <c r="AJ20" s="32">
        <f t="shared" si="11"/>
        <v>-0.13673314055673572</v>
      </c>
    </row>
    <row r="21" spans="1:36" x14ac:dyDescent="0.25">
      <c r="A21" s="28" t="s">
        <v>37</v>
      </c>
      <c r="B21" s="17">
        <v>8</v>
      </c>
      <c r="C21" s="28" t="s">
        <v>36</v>
      </c>
      <c r="D21" s="28" t="s">
        <v>11</v>
      </c>
      <c r="E21" s="54">
        <v>33.668999999999997</v>
      </c>
      <c r="F21" s="54">
        <v>19.339400000000001</v>
      </c>
      <c r="G21" s="29">
        <v>300</v>
      </c>
      <c r="H21" s="29">
        <v>500</v>
      </c>
      <c r="I21" s="28">
        <f t="shared" si="0"/>
        <v>460</v>
      </c>
      <c r="J21" s="28">
        <f t="shared" si="1"/>
        <v>119.47193496176035</v>
      </c>
      <c r="K21" s="61">
        <v>18</v>
      </c>
      <c r="L21" s="61">
        <v>2</v>
      </c>
      <c r="M21" s="61">
        <v>0</v>
      </c>
      <c r="N21" s="61">
        <v>2</v>
      </c>
      <c r="O21" s="28">
        <f t="shared" si="7"/>
        <v>508.93800988154646</v>
      </c>
      <c r="P21" s="34" t="str">
        <f t="shared" si="2"/>
        <v>OK</v>
      </c>
      <c r="Q21" s="17">
        <f t="shared" si="3"/>
        <v>82.383831411565467</v>
      </c>
      <c r="R21" s="19">
        <f t="shared" si="8"/>
        <v>0.23474751864095794</v>
      </c>
      <c r="S21" s="6" t="s">
        <v>37</v>
      </c>
      <c r="T21" s="17">
        <v>8</v>
      </c>
      <c r="U21" s="6" t="s">
        <v>36</v>
      </c>
      <c r="V21" s="6" t="s">
        <v>12</v>
      </c>
      <c r="W21" s="54">
        <v>11.164</v>
      </c>
      <c r="X21" s="54">
        <v>-0.22309999999999999</v>
      </c>
      <c r="Y21" s="10">
        <v>300</v>
      </c>
      <c r="Z21" s="10">
        <v>500</v>
      </c>
      <c r="AA21" s="7">
        <f t="shared" si="4"/>
        <v>460</v>
      </c>
      <c r="AB21" s="28">
        <f t="shared" si="5"/>
        <v>1.3782324524012501</v>
      </c>
      <c r="AC21" s="61">
        <v>18</v>
      </c>
      <c r="AD21" s="61">
        <v>2</v>
      </c>
      <c r="AE21" s="61">
        <v>12</v>
      </c>
      <c r="AF21" s="61">
        <v>0</v>
      </c>
      <c r="AG21" s="28">
        <f t="shared" si="9"/>
        <v>508.93800988154646</v>
      </c>
      <c r="AH21" s="35" t="str">
        <f t="shared" si="6"/>
        <v>OK</v>
      </c>
      <c r="AI21" s="28">
        <f t="shared" si="10"/>
        <v>-82.383831411565467</v>
      </c>
      <c r="AJ21" s="32">
        <f t="shared" si="11"/>
        <v>2.708055648510177E-3</v>
      </c>
    </row>
    <row r="22" spans="1:36" x14ac:dyDescent="0.25">
      <c r="A22" s="28" t="s">
        <v>37</v>
      </c>
      <c r="B22" s="17">
        <v>8.5</v>
      </c>
      <c r="C22" s="28" t="s">
        <v>36</v>
      </c>
      <c r="D22" s="28" t="s">
        <v>11</v>
      </c>
      <c r="E22" s="54">
        <v>47.136000000000003</v>
      </c>
      <c r="F22" s="54">
        <v>11.860799999999999</v>
      </c>
      <c r="G22" s="29">
        <v>300</v>
      </c>
      <c r="H22" s="29">
        <v>500</v>
      </c>
      <c r="I22" s="28">
        <f t="shared" si="0"/>
        <v>460</v>
      </c>
      <c r="J22" s="28">
        <f t="shared" si="1"/>
        <v>73.271803995700353</v>
      </c>
      <c r="K22" s="61">
        <v>18</v>
      </c>
      <c r="L22" s="61">
        <v>2</v>
      </c>
      <c r="M22" s="61">
        <v>0</v>
      </c>
      <c r="N22" s="61">
        <v>2</v>
      </c>
      <c r="O22" s="28">
        <f t="shared" si="7"/>
        <v>508.93800988154646</v>
      </c>
      <c r="P22" s="34" t="str">
        <f t="shared" si="2"/>
        <v>OK</v>
      </c>
      <c r="Q22" s="17">
        <f t="shared" si="3"/>
        <v>82.383831411565467</v>
      </c>
      <c r="R22" s="19">
        <f t="shared" si="8"/>
        <v>0.14396999747131109</v>
      </c>
      <c r="S22" s="6" t="s">
        <v>37</v>
      </c>
      <c r="T22" s="17">
        <v>8.5</v>
      </c>
      <c r="U22" s="6" t="s">
        <v>36</v>
      </c>
      <c r="V22" s="6" t="s">
        <v>12</v>
      </c>
      <c r="W22" s="54">
        <v>18.751000000000001</v>
      </c>
      <c r="X22" s="54">
        <v>-15.504099999999999</v>
      </c>
      <c r="Y22" s="10">
        <v>300</v>
      </c>
      <c r="Z22" s="10">
        <v>500</v>
      </c>
      <c r="AA22" s="7">
        <f t="shared" si="4"/>
        <v>460</v>
      </c>
      <c r="AB22" s="28">
        <f t="shared" si="5"/>
        <v>95.778815622026997</v>
      </c>
      <c r="AC22" s="61">
        <v>18</v>
      </c>
      <c r="AD22" s="61">
        <v>2</v>
      </c>
      <c r="AE22" s="61">
        <v>12</v>
      </c>
      <c r="AF22" s="61">
        <v>0</v>
      </c>
      <c r="AG22" s="28">
        <f t="shared" si="9"/>
        <v>508.93800988154646</v>
      </c>
      <c r="AH22" s="35" t="str">
        <f t="shared" si="6"/>
        <v>OK</v>
      </c>
      <c r="AI22" s="28">
        <f t="shared" si="10"/>
        <v>-82.383831411565467</v>
      </c>
      <c r="AJ22" s="32">
        <f t="shared" si="11"/>
        <v>0.18819348086089929</v>
      </c>
    </row>
    <row r="23" spans="1:36" x14ac:dyDescent="0.25">
      <c r="A23" s="28" t="s">
        <v>37</v>
      </c>
      <c r="B23" s="17">
        <v>9</v>
      </c>
      <c r="C23" s="28" t="s">
        <v>36</v>
      </c>
      <c r="D23" s="28" t="s">
        <v>11</v>
      </c>
      <c r="E23" s="54">
        <v>60.603000000000002</v>
      </c>
      <c r="F23" s="54">
        <v>0.58879999999999999</v>
      </c>
      <c r="G23" s="29">
        <v>300</v>
      </c>
      <c r="H23" s="29">
        <v>500</v>
      </c>
      <c r="I23" s="28">
        <f t="shared" si="0"/>
        <v>460</v>
      </c>
      <c r="J23" s="28">
        <f t="shared" si="1"/>
        <v>3.6373969877806189</v>
      </c>
      <c r="K23" s="61">
        <v>18</v>
      </c>
      <c r="L23" s="61">
        <v>2</v>
      </c>
      <c r="M23" s="61">
        <v>0</v>
      </c>
      <c r="N23" s="61">
        <v>2</v>
      </c>
      <c r="O23" s="28">
        <f t="shared" si="7"/>
        <v>508.93800988154646</v>
      </c>
      <c r="P23" s="34" t="str">
        <f t="shared" si="2"/>
        <v>OK</v>
      </c>
      <c r="Q23" s="17">
        <f t="shared" si="3"/>
        <v>82.383831411565467</v>
      </c>
      <c r="R23" s="19">
        <f t="shared" si="8"/>
        <v>7.1470334641093322E-3</v>
      </c>
      <c r="S23" s="6" t="s">
        <v>37</v>
      </c>
      <c r="T23" s="17">
        <v>9</v>
      </c>
      <c r="U23" s="6" t="s">
        <v>36</v>
      </c>
      <c r="V23" s="6" t="s">
        <v>12</v>
      </c>
      <c r="W23" s="54">
        <v>26.337</v>
      </c>
      <c r="X23" s="54">
        <v>-34.578400000000002</v>
      </c>
      <c r="Y23" s="10">
        <v>300</v>
      </c>
      <c r="Z23" s="10">
        <v>500</v>
      </c>
      <c r="AA23" s="7">
        <f t="shared" si="4"/>
        <v>460</v>
      </c>
      <c r="AB23" s="28">
        <f t="shared" si="5"/>
        <v>213.61305706907839</v>
      </c>
      <c r="AC23" s="61">
        <v>18</v>
      </c>
      <c r="AD23" s="61">
        <v>2</v>
      </c>
      <c r="AE23" s="61">
        <v>12</v>
      </c>
      <c r="AF23" s="61">
        <v>0</v>
      </c>
      <c r="AG23" s="28">
        <f t="shared" si="9"/>
        <v>508.93800988154646</v>
      </c>
      <c r="AH23" s="35" t="str">
        <f t="shared" si="6"/>
        <v>OK</v>
      </c>
      <c r="AI23" s="28">
        <f t="shared" si="10"/>
        <v>-82.383831411565467</v>
      </c>
      <c r="AJ23" s="32">
        <f t="shared" si="11"/>
        <v>0.41972313508043169</v>
      </c>
    </row>
    <row r="24" spans="1:36" x14ac:dyDescent="0.25">
      <c r="A24" s="28" t="s">
        <v>37</v>
      </c>
      <c r="B24" s="17">
        <v>9.5</v>
      </c>
      <c r="C24" s="28" t="s">
        <v>36</v>
      </c>
      <c r="D24" s="28" t="s">
        <v>11</v>
      </c>
      <c r="E24" s="54">
        <v>74.070999999999998</v>
      </c>
      <c r="F24" s="54">
        <v>-14.4764</v>
      </c>
      <c r="G24" s="29">
        <v>300</v>
      </c>
      <c r="H24" s="29">
        <v>500</v>
      </c>
      <c r="I24" s="28">
        <f t="shared" si="0"/>
        <v>460</v>
      </c>
      <c r="J24" s="28">
        <f t="shared" si="1"/>
        <v>89.430050533130697</v>
      </c>
      <c r="K24" s="61">
        <v>18</v>
      </c>
      <c r="L24" s="61">
        <v>2</v>
      </c>
      <c r="M24" s="61">
        <v>0</v>
      </c>
      <c r="N24" s="61">
        <v>2</v>
      </c>
      <c r="O24" s="28">
        <f t="shared" si="7"/>
        <v>508.93800988154646</v>
      </c>
      <c r="P24" s="34" t="str">
        <f t="shared" si="2"/>
        <v>OK</v>
      </c>
      <c r="Q24" s="17">
        <f t="shared" si="3"/>
        <v>82.383831411565467</v>
      </c>
      <c r="R24" s="19">
        <f t="shared" si="8"/>
        <v>-0.17571894571982397</v>
      </c>
      <c r="S24" s="6" t="s">
        <v>37</v>
      </c>
      <c r="T24" s="17">
        <v>9.5</v>
      </c>
      <c r="U24" s="6" t="s">
        <v>36</v>
      </c>
      <c r="V24" s="6" t="s">
        <v>12</v>
      </c>
      <c r="W24" s="54">
        <v>33.923999999999999</v>
      </c>
      <c r="X24" s="54">
        <v>-63.810099999999998</v>
      </c>
      <c r="Y24" s="10">
        <v>300</v>
      </c>
      <c r="Z24" s="10">
        <v>500</v>
      </c>
      <c r="AA24" s="7">
        <f t="shared" si="4"/>
        <v>460</v>
      </c>
      <c r="AB24" s="28">
        <f t="shared" si="5"/>
        <v>394.19610314194983</v>
      </c>
      <c r="AC24" s="61">
        <v>18</v>
      </c>
      <c r="AD24" s="61">
        <v>2</v>
      </c>
      <c r="AE24" s="61">
        <v>12</v>
      </c>
      <c r="AF24" s="61">
        <v>0</v>
      </c>
      <c r="AG24" s="28">
        <f t="shared" si="9"/>
        <v>508.93800988154646</v>
      </c>
      <c r="AH24" s="35" t="str">
        <f t="shared" si="6"/>
        <v>OK</v>
      </c>
      <c r="AI24" s="28">
        <f t="shared" si="10"/>
        <v>-82.383831411565467</v>
      </c>
      <c r="AJ24" s="32">
        <f t="shared" si="11"/>
        <v>0.77454639953832016</v>
      </c>
    </row>
    <row r="25" spans="1:36" x14ac:dyDescent="0.25">
      <c r="A25" s="28" t="s">
        <v>38</v>
      </c>
      <c r="B25" s="17">
        <v>9.5</v>
      </c>
      <c r="C25" s="28" t="s">
        <v>36</v>
      </c>
      <c r="D25" s="28" t="s">
        <v>11</v>
      </c>
      <c r="E25" s="54">
        <v>-21.568999999999999</v>
      </c>
      <c r="F25" s="54">
        <v>-1.6060000000000001</v>
      </c>
      <c r="G25" s="29">
        <v>300</v>
      </c>
      <c r="H25" s="29">
        <v>500</v>
      </c>
      <c r="I25" s="28">
        <f t="shared" si="0"/>
        <v>460</v>
      </c>
      <c r="J25" s="28">
        <f t="shared" si="1"/>
        <v>9.9212968110999888</v>
      </c>
      <c r="K25" s="61">
        <v>18</v>
      </c>
      <c r="L25" s="61">
        <v>2</v>
      </c>
      <c r="M25" s="61">
        <v>0</v>
      </c>
      <c r="N25" s="61">
        <v>2</v>
      </c>
      <c r="O25" s="28">
        <f t="shared" si="7"/>
        <v>508.93800988154646</v>
      </c>
      <c r="P25" s="34" t="str">
        <f t="shared" si="2"/>
        <v>OK</v>
      </c>
      <c r="Q25" s="17">
        <f t="shared" si="3"/>
        <v>82.383831411565467</v>
      </c>
      <c r="R25" s="19">
        <f t="shared" si="8"/>
        <v>-1.9494116411955822E-2</v>
      </c>
      <c r="S25" s="6" t="s">
        <v>38</v>
      </c>
      <c r="T25" s="17">
        <v>9.5</v>
      </c>
      <c r="U25" s="6" t="s">
        <v>36</v>
      </c>
      <c r="V25" s="6" t="s">
        <v>12</v>
      </c>
      <c r="W25" s="54">
        <v>-60.081000000000003</v>
      </c>
      <c r="X25" s="54">
        <v>-49.4373</v>
      </c>
      <c r="Y25" s="10">
        <v>300</v>
      </c>
      <c r="Z25" s="10">
        <v>500</v>
      </c>
      <c r="AA25" s="7">
        <f t="shared" si="4"/>
        <v>460</v>
      </c>
      <c r="AB25" s="28">
        <f t="shared" si="5"/>
        <v>305.40605656251154</v>
      </c>
      <c r="AC25" s="61">
        <v>18</v>
      </c>
      <c r="AD25" s="61">
        <v>2</v>
      </c>
      <c r="AE25" s="61">
        <v>12</v>
      </c>
      <c r="AF25" s="61">
        <v>0</v>
      </c>
      <c r="AG25" s="28">
        <f t="shared" si="9"/>
        <v>508.93800988154646</v>
      </c>
      <c r="AH25" s="35" t="str">
        <f t="shared" si="6"/>
        <v>OK</v>
      </c>
      <c r="AI25" s="28">
        <f t="shared" si="10"/>
        <v>-82.383831411565467</v>
      </c>
      <c r="AJ25" s="32">
        <f t="shared" si="11"/>
        <v>0.60008498212502093</v>
      </c>
    </row>
    <row r="26" spans="1:36" x14ac:dyDescent="0.25">
      <c r="A26" s="28" t="s">
        <v>38</v>
      </c>
      <c r="B26" s="17">
        <v>10</v>
      </c>
      <c r="C26" s="28" t="s">
        <v>36</v>
      </c>
      <c r="D26" s="28" t="s">
        <v>11</v>
      </c>
      <c r="E26" s="54">
        <v>-13.983000000000001</v>
      </c>
      <c r="F26" s="54">
        <v>7.2821999999999996</v>
      </c>
      <c r="G26" s="29">
        <v>300</v>
      </c>
      <c r="H26" s="29">
        <v>500</v>
      </c>
      <c r="I26" s="28">
        <f t="shared" si="0"/>
        <v>460</v>
      </c>
      <c r="J26" s="28">
        <f t="shared" si="1"/>
        <v>44.986841617554383</v>
      </c>
      <c r="K26" s="61">
        <v>18</v>
      </c>
      <c r="L26" s="61">
        <v>2</v>
      </c>
      <c r="M26" s="61">
        <v>0</v>
      </c>
      <c r="N26" s="61">
        <v>2</v>
      </c>
      <c r="O26" s="28">
        <f t="shared" si="7"/>
        <v>508.93800988154646</v>
      </c>
      <c r="P26" s="34" t="str">
        <f t="shared" si="2"/>
        <v>OK</v>
      </c>
      <c r="Q26" s="17">
        <f t="shared" si="3"/>
        <v>82.383831411565467</v>
      </c>
      <c r="R26" s="19">
        <f t="shared" si="8"/>
        <v>8.8393558241061446E-2</v>
      </c>
      <c r="S26" s="6" t="s">
        <v>38</v>
      </c>
      <c r="T26" s="17">
        <v>10</v>
      </c>
      <c r="U26" s="6" t="s">
        <v>36</v>
      </c>
      <c r="V26" s="6" t="s">
        <v>12</v>
      </c>
      <c r="W26" s="54">
        <v>-46.613</v>
      </c>
      <c r="X26" s="54">
        <v>-28.337900000000001</v>
      </c>
      <c r="Y26" s="10">
        <v>300</v>
      </c>
      <c r="Z26" s="10">
        <v>500</v>
      </c>
      <c r="AA26" s="7">
        <f t="shared" si="4"/>
        <v>460</v>
      </c>
      <c r="AB26" s="28">
        <f t="shared" si="5"/>
        <v>175.06146756118954</v>
      </c>
      <c r="AC26" s="61">
        <v>18</v>
      </c>
      <c r="AD26" s="61">
        <v>2</v>
      </c>
      <c r="AE26" s="61">
        <v>12</v>
      </c>
      <c r="AF26" s="61">
        <v>0</v>
      </c>
      <c r="AG26" s="28">
        <f t="shared" si="9"/>
        <v>508.93800988154646</v>
      </c>
      <c r="AH26" s="35" t="str">
        <f t="shared" si="6"/>
        <v>OK</v>
      </c>
      <c r="AI26" s="28">
        <f t="shared" si="10"/>
        <v>-82.383831411565467</v>
      </c>
      <c r="AJ26" s="32">
        <f t="shared" si="11"/>
        <v>0.34397404823808403</v>
      </c>
    </row>
    <row r="27" spans="1:36" x14ac:dyDescent="0.25">
      <c r="A27" s="28" t="s">
        <v>38</v>
      </c>
      <c r="B27" s="17">
        <v>10.5</v>
      </c>
      <c r="C27" s="28" t="s">
        <v>36</v>
      </c>
      <c r="D27" s="28" t="s">
        <v>11</v>
      </c>
      <c r="E27" s="54">
        <v>-6.3959999999999999</v>
      </c>
      <c r="F27" s="54">
        <v>12.3773</v>
      </c>
      <c r="G27" s="29">
        <v>300</v>
      </c>
      <c r="H27" s="29">
        <v>500</v>
      </c>
      <c r="I27" s="28">
        <f t="shared" si="0"/>
        <v>460</v>
      </c>
      <c r="J27" s="28">
        <f t="shared" si="1"/>
        <v>76.462557297651244</v>
      </c>
      <c r="K27" s="61">
        <v>18</v>
      </c>
      <c r="L27" s="61">
        <v>2</v>
      </c>
      <c r="M27" s="61">
        <v>0</v>
      </c>
      <c r="N27" s="61">
        <v>2</v>
      </c>
      <c r="O27" s="28">
        <f t="shared" si="7"/>
        <v>508.93800988154646</v>
      </c>
      <c r="P27" s="34" t="str">
        <f t="shared" si="2"/>
        <v>OK</v>
      </c>
      <c r="Q27" s="17">
        <f t="shared" si="3"/>
        <v>82.383831411565467</v>
      </c>
      <c r="R27" s="19">
        <f t="shared" si="8"/>
        <v>0.1502394315477589</v>
      </c>
      <c r="S27" s="6" t="s">
        <v>38</v>
      </c>
      <c r="T27" s="17">
        <v>10.5</v>
      </c>
      <c r="U27" s="6" t="s">
        <v>36</v>
      </c>
      <c r="V27" s="6" t="s">
        <v>12</v>
      </c>
      <c r="W27" s="54">
        <v>-33.146000000000001</v>
      </c>
      <c r="X27" s="54">
        <v>-11.032</v>
      </c>
      <c r="Y27" s="10">
        <v>300</v>
      </c>
      <c r="Z27" s="10">
        <v>500</v>
      </c>
      <c r="AA27" s="7">
        <f t="shared" si="4"/>
        <v>460</v>
      </c>
      <c r="AB27" s="28">
        <f t="shared" si="5"/>
        <v>68.151772366161325</v>
      </c>
      <c r="AC27" s="61">
        <v>18</v>
      </c>
      <c r="AD27" s="61">
        <v>2</v>
      </c>
      <c r="AE27" s="61">
        <v>12</v>
      </c>
      <c r="AF27" s="61">
        <v>0</v>
      </c>
      <c r="AG27" s="28">
        <f t="shared" si="9"/>
        <v>508.93800988154646</v>
      </c>
      <c r="AH27" s="35" t="str">
        <f t="shared" si="6"/>
        <v>OK</v>
      </c>
      <c r="AI27" s="28">
        <f t="shared" si="10"/>
        <v>-82.383831411565467</v>
      </c>
      <c r="AJ27" s="32">
        <f t="shared" si="11"/>
        <v>0.13390977101911372</v>
      </c>
    </row>
    <row r="28" spans="1:36" x14ac:dyDescent="0.25">
      <c r="A28" s="28" t="s">
        <v>38</v>
      </c>
      <c r="B28" s="17">
        <v>11</v>
      </c>
      <c r="C28" s="28" t="s">
        <v>36</v>
      </c>
      <c r="D28" s="28" t="s">
        <v>11</v>
      </c>
      <c r="E28" s="54">
        <v>1.19</v>
      </c>
      <c r="F28" s="54">
        <v>14.321999999999999</v>
      </c>
      <c r="G28" s="29">
        <v>300</v>
      </c>
      <c r="H28" s="29">
        <v>500</v>
      </c>
      <c r="I28" s="28">
        <f t="shared" si="0"/>
        <v>460</v>
      </c>
      <c r="J28" s="28">
        <f t="shared" si="1"/>
        <v>88.476222246932778</v>
      </c>
      <c r="K28" s="61">
        <v>18</v>
      </c>
      <c r="L28" s="61">
        <v>2</v>
      </c>
      <c r="M28" s="61">
        <v>0</v>
      </c>
      <c r="N28" s="61">
        <v>2</v>
      </c>
      <c r="O28" s="28">
        <f t="shared" si="7"/>
        <v>508.93800988154646</v>
      </c>
      <c r="P28" s="34" t="str">
        <f t="shared" si="2"/>
        <v>OK</v>
      </c>
      <c r="Q28" s="17">
        <f t="shared" si="3"/>
        <v>82.383831411565467</v>
      </c>
      <c r="R28" s="19">
        <f t="shared" si="8"/>
        <v>0.17384479156415397</v>
      </c>
      <c r="S28" s="6" t="s">
        <v>38</v>
      </c>
      <c r="T28" s="17">
        <v>11</v>
      </c>
      <c r="U28" s="6" t="s">
        <v>36</v>
      </c>
      <c r="V28" s="6" t="s">
        <v>12</v>
      </c>
      <c r="W28" s="54">
        <v>-23.233000000000001</v>
      </c>
      <c r="X28" s="54">
        <v>2.4798</v>
      </c>
      <c r="Y28" s="10">
        <v>300</v>
      </c>
      <c r="Z28" s="10">
        <v>500</v>
      </c>
      <c r="AA28" s="7">
        <f t="shared" si="4"/>
        <v>460</v>
      </c>
      <c r="AB28" s="28">
        <f t="shared" si="5"/>
        <v>15.319322435968713</v>
      </c>
      <c r="AC28" s="61">
        <v>18</v>
      </c>
      <c r="AD28" s="61">
        <v>2</v>
      </c>
      <c r="AE28" s="61">
        <v>12</v>
      </c>
      <c r="AF28" s="61">
        <v>0</v>
      </c>
      <c r="AG28" s="28">
        <f t="shared" si="9"/>
        <v>508.93800988154646</v>
      </c>
      <c r="AH28" s="35" t="str">
        <f t="shared" si="6"/>
        <v>OK</v>
      </c>
      <c r="AI28" s="28">
        <f t="shared" si="10"/>
        <v>-82.383831411565467</v>
      </c>
      <c r="AJ28" s="32">
        <f t="shared" si="11"/>
        <v>-3.0100566549419706E-2</v>
      </c>
    </row>
    <row r="29" spans="1:36" x14ac:dyDescent="0.25">
      <c r="A29" s="28" t="s">
        <v>38</v>
      </c>
      <c r="B29" s="17">
        <v>11.5</v>
      </c>
      <c r="C29" s="28" t="s">
        <v>36</v>
      </c>
      <c r="D29" s="28" t="s">
        <v>11</v>
      </c>
      <c r="E29" s="54">
        <v>8.7769999999999992</v>
      </c>
      <c r="F29" s="54">
        <v>20.7944</v>
      </c>
      <c r="G29" s="29">
        <v>300</v>
      </c>
      <c r="H29" s="29">
        <v>500</v>
      </c>
      <c r="I29" s="28">
        <f t="shared" si="0"/>
        <v>460</v>
      </c>
      <c r="J29" s="28">
        <f t="shared" si="1"/>
        <v>128.46040747742069</v>
      </c>
      <c r="K29" s="61">
        <v>18</v>
      </c>
      <c r="L29" s="61">
        <v>2</v>
      </c>
      <c r="M29" s="61">
        <v>0</v>
      </c>
      <c r="N29" s="61">
        <v>2</v>
      </c>
      <c r="O29" s="28">
        <f t="shared" si="7"/>
        <v>508.93800988154646</v>
      </c>
      <c r="P29" s="34" t="str">
        <f t="shared" si="2"/>
        <v>OK</v>
      </c>
      <c r="Q29" s="17">
        <f t="shared" si="3"/>
        <v>82.383831411565467</v>
      </c>
      <c r="R29" s="19">
        <f t="shared" si="8"/>
        <v>0.25240875113124167</v>
      </c>
      <c r="S29" s="6" t="s">
        <v>38</v>
      </c>
      <c r="T29" s="17">
        <v>11.5</v>
      </c>
      <c r="U29" s="6" t="s">
        <v>36</v>
      </c>
      <c r="V29" s="6" t="s">
        <v>12</v>
      </c>
      <c r="W29" s="54">
        <v>-15.646000000000001</v>
      </c>
      <c r="X29" s="54">
        <v>11.137600000000001</v>
      </c>
      <c r="Y29" s="10">
        <v>300</v>
      </c>
      <c r="Z29" s="10">
        <v>500</v>
      </c>
      <c r="AA29" s="7">
        <f t="shared" si="4"/>
        <v>460</v>
      </c>
      <c r="AB29" s="28">
        <f t="shared" si="5"/>
        <v>68.804131608535016</v>
      </c>
      <c r="AC29" s="61">
        <v>18</v>
      </c>
      <c r="AD29" s="61">
        <v>2</v>
      </c>
      <c r="AE29" s="61">
        <v>12</v>
      </c>
      <c r="AF29" s="61">
        <v>0</v>
      </c>
      <c r="AG29" s="28">
        <f t="shared" si="9"/>
        <v>508.93800988154646</v>
      </c>
      <c r="AH29" s="35" t="str">
        <f t="shared" si="6"/>
        <v>OK</v>
      </c>
      <c r="AI29" s="28">
        <f t="shared" si="10"/>
        <v>-82.383831411565467</v>
      </c>
      <c r="AJ29" s="32">
        <f t="shared" si="11"/>
        <v>-0.13519157593387246</v>
      </c>
    </row>
    <row r="30" spans="1:36" x14ac:dyDescent="0.25">
      <c r="A30" s="28" t="s">
        <v>38</v>
      </c>
      <c r="B30" s="17">
        <v>12</v>
      </c>
      <c r="C30" s="28" t="s">
        <v>36</v>
      </c>
      <c r="D30" s="28" t="s">
        <v>11</v>
      </c>
      <c r="E30" s="54">
        <v>16.364000000000001</v>
      </c>
      <c r="F30" s="54">
        <v>20.533100000000001</v>
      </c>
      <c r="G30" s="29">
        <v>300</v>
      </c>
      <c r="H30" s="29">
        <v>500</v>
      </c>
      <c r="I30" s="28">
        <f t="shared" si="0"/>
        <v>460</v>
      </c>
      <c r="J30" s="28">
        <f t="shared" si="1"/>
        <v>126.84618901120622</v>
      </c>
      <c r="K30" s="61">
        <v>18</v>
      </c>
      <c r="L30" s="61">
        <v>2</v>
      </c>
      <c r="M30" s="61">
        <v>0</v>
      </c>
      <c r="N30" s="61">
        <v>2</v>
      </c>
      <c r="O30" s="28">
        <f t="shared" si="7"/>
        <v>508.93800988154646</v>
      </c>
      <c r="P30" s="34" t="str">
        <f t="shared" si="2"/>
        <v>OK</v>
      </c>
      <c r="Q30" s="17">
        <f t="shared" si="3"/>
        <v>82.383831411565467</v>
      </c>
      <c r="R30" s="19">
        <f t="shared" si="8"/>
        <v>0.24923701226546086</v>
      </c>
      <c r="S30" s="6" t="s">
        <v>38</v>
      </c>
      <c r="T30" s="17">
        <v>12</v>
      </c>
      <c r="U30" s="6" t="s">
        <v>36</v>
      </c>
      <c r="V30" s="6" t="s">
        <v>12</v>
      </c>
      <c r="W30" s="54">
        <v>-8.06</v>
      </c>
      <c r="X30" s="54">
        <v>4.8987999999999996</v>
      </c>
      <c r="Y30" s="10">
        <v>300</v>
      </c>
      <c r="Z30" s="10">
        <v>500</v>
      </c>
      <c r="AA30" s="7">
        <f t="shared" si="4"/>
        <v>460</v>
      </c>
      <c r="AB30" s="28">
        <f t="shared" si="5"/>
        <v>30.263044096025297</v>
      </c>
      <c r="AC30" s="61">
        <v>18</v>
      </c>
      <c r="AD30" s="61">
        <v>2</v>
      </c>
      <c r="AE30" s="61">
        <v>12</v>
      </c>
      <c r="AF30" s="61">
        <v>0</v>
      </c>
      <c r="AG30" s="28">
        <f t="shared" si="9"/>
        <v>508.93800988154646</v>
      </c>
      <c r="AH30" s="35" t="str">
        <f t="shared" si="6"/>
        <v>OK</v>
      </c>
      <c r="AI30" s="28">
        <f t="shared" si="10"/>
        <v>-82.383831411565467</v>
      </c>
      <c r="AJ30" s="32">
        <f t="shared" si="11"/>
        <v>-5.9463124208523774E-2</v>
      </c>
    </row>
    <row r="31" spans="1:36" x14ac:dyDescent="0.25">
      <c r="A31" s="28" t="s">
        <v>38</v>
      </c>
      <c r="B31" s="17">
        <v>12.5</v>
      </c>
      <c r="C31" s="28" t="s">
        <v>36</v>
      </c>
      <c r="D31" s="28" t="s">
        <v>11</v>
      </c>
      <c r="E31" s="54">
        <v>23.95</v>
      </c>
      <c r="F31" s="54">
        <v>20.2623</v>
      </c>
      <c r="G31" s="29">
        <v>300</v>
      </c>
      <c r="H31" s="29">
        <v>500</v>
      </c>
      <c r="I31" s="28">
        <f t="shared" si="0"/>
        <v>460</v>
      </c>
      <c r="J31" s="28">
        <f t="shared" si="1"/>
        <v>125.17328292375549</v>
      </c>
      <c r="K31" s="61">
        <v>18</v>
      </c>
      <c r="L31" s="61">
        <v>2</v>
      </c>
      <c r="M31" s="61">
        <v>0</v>
      </c>
      <c r="N31" s="61">
        <v>2</v>
      </c>
      <c r="O31" s="28">
        <f t="shared" si="7"/>
        <v>508.93800988154646</v>
      </c>
      <c r="P31" s="34" t="str">
        <f t="shared" si="2"/>
        <v>OK</v>
      </c>
      <c r="Q31" s="17">
        <f t="shared" si="3"/>
        <v>82.383831411565467</v>
      </c>
      <c r="R31" s="19">
        <f t="shared" si="8"/>
        <v>0.24594995951056817</v>
      </c>
      <c r="S31" s="6" t="s">
        <v>38</v>
      </c>
      <c r="T31" s="17">
        <v>12.5</v>
      </c>
      <c r="U31" s="6" t="s">
        <v>36</v>
      </c>
      <c r="V31" s="6" t="s">
        <v>12</v>
      </c>
      <c r="W31" s="54">
        <v>-0.47299999999999998</v>
      </c>
      <c r="X31" s="54">
        <v>-5.1787000000000001</v>
      </c>
      <c r="Y31" s="10">
        <v>300</v>
      </c>
      <c r="Z31" s="10">
        <v>500</v>
      </c>
      <c r="AA31" s="7">
        <f t="shared" si="4"/>
        <v>460</v>
      </c>
      <c r="AB31" s="28">
        <f t="shared" si="5"/>
        <v>31.992166746976036</v>
      </c>
      <c r="AC31" s="61">
        <v>18</v>
      </c>
      <c r="AD31" s="61">
        <v>2</v>
      </c>
      <c r="AE31" s="61">
        <v>12</v>
      </c>
      <c r="AF31" s="61">
        <v>0</v>
      </c>
      <c r="AG31" s="28">
        <f t="shared" si="9"/>
        <v>508.93800988154646</v>
      </c>
      <c r="AH31" s="35" t="str">
        <f t="shared" si="6"/>
        <v>OK</v>
      </c>
      <c r="AI31" s="28">
        <f t="shared" si="10"/>
        <v>-82.383831411565467</v>
      </c>
      <c r="AJ31" s="32">
        <f t="shared" si="11"/>
        <v>6.2860635530881462E-2</v>
      </c>
    </row>
    <row r="32" spans="1:36" x14ac:dyDescent="0.25">
      <c r="A32" s="28" t="s">
        <v>38</v>
      </c>
      <c r="B32" s="17">
        <v>13</v>
      </c>
      <c r="C32" s="28" t="s">
        <v>36</v>
      </c>
      <c r="D32" s="28" t="s">
        <v>11</v>
      </c>
      <c r="E32" s="54">
        <v>34.191000000000003</v>
      </c>
      <c r="F32" s="54">
        <v>18.601900000000001</v>
      </c>
      <c r="G32" s="29">
        <v>300</v>
      </c>
      <c r="H32" s="29">
        <v>500</v>
      </c>
      <c r="I32" s="28">
        <f t="shared" si="0"/>
        <v>460</v>
      </c>
      <c r="J32" s="28">
        <f t="shared" si="1"/>
        <v>114.9159222605236</v>
      </c>
      <c r="K32" s="61">
        <v>18</v>
      </c>
      <c r="L32" s="61">
        <v>2</v>
      </c>
      <c r="M32" s="61">
        <v>0</v>
      </c>
      <c r="N32" s="61">
        <v>2</v>
      </c>
      <c r="O32" s="28">
        <f t="shared" si="7"/>
        <v>508.93800988154646</v>
      </c>
      <c r="P32" s="34" t="str">
        <f t="shared" si="2"/>
        <v>OK</v>
      </c>
      <c r="Q32" s="17">
        <f t="shared" si="3"/>
        <v>82.383831411565467</v>
      </c>
      <c r="R32" s="19">
        <f t="shared" si="8"/>
        <v>0.22579551935464573</v>
      </c>
      <c r="S32" s="6" t="s">
        <v>38</v>
      </c>
      <c r="T32" s="17">
        <v>13</v>
      </c>
      <c r="U32" s="6" t="s">
        <v>36</v>
      </c>
      <c r="V32" s="6" t="s">
        <v>12</v>
      </c>
      <c r="W32" s="54">
        <v>7.1139999999999999</v>
      </c>
      <c r="X32" s="54">
        <v>-19.05</v>
      </c>
      <c r="Y32" s="10">
        <v>300</v>
      </c>
      <c r="Z32" s="10">
        <v>500</v>
      </c>
      <c r="AA32" s="7">
        <f t="shared" si="4"/>
        <v>460</v>
      </c>
      <c r="AB32" s="28">
        <f t="shared" si="5"/>
        <v>117.68412468957335</v>
      </c>
      <c r="AC32" s="61">
        <v>18</v>
      </c>
      <c r="AD32" s="61">
        <v>2</v>
      </c>
      <c r="AE32" s="61">
        <v>12</v>
      </c>
      <c r="AF32" s="61">
        <v>0</v>
      </c>
      <c r="AG32" s="28">
        <f t="shared" si="9"/>
        <v>508.93800988154646</v>
      </c>
      <c r="AH32" s="35" t="str">
        <f t="shared" si="6"/>
        <v>OK</v>
      </c>
      <c r="AI32" s="28">
        <f t="shared" si="10"/>
        <v>-82.383831411565467</v>
      </c>
      <c r="AJ32" s="32">
        <f t="shared" si="11"/>
        <v>0.23123469342948844</v>
      </c>
    </row>
    <row r="33" spans="1:36" x14ac:dyDescent="0.25">
      <c r="A33" s="28" t="s">
        <v>38</v>
      </c>
      <c r="B33" s="17">
        <v>13.5</v>
      </c>
      <c r="C33" s="28" t="s">
        <v>36</v>
      </c>
      <c r="D33" s="28" t="s">
        <v>11</v>
      </c>
      <c r="E33" s="54">
        <v>47.658999999999999</v>
      </c>
      <c r="F33" s="54">
        <v>13.148300000000001</v>
      </c>
      <c r="G33" s="29">
        <v>300</v>
      </c>
      <c r="H33" s="29">
        <v>500</v>
      </c>
      <c r="I33" s="28">
        <f t="shared" si="0"/>
        <v>460</v>
      </c>
      <c r="J33" s="28">
        <f t="shared" si="1"/>
        <v>81.225521084300127</v>
      </c>
      <c r="K33" s="61">
        <v>18</v>
      </c>
      <c r="L33" s="61">
        <v>2</v>
      </c>
      <c r="M33" s="61">
        <v>0</v>
      </c>
      <c r="N33" s="61">
        <v>2</v>
      </c>
      <c r="O33" s="28">
        <f>PI()*K33^2/4*L33+PI()*M33^2/4*N33</f>
        <v>508.93800988154646</v>
      </c>
      <c r="P33" s="34" t="str">
        <f t="shared" si="2"/>
        <v>OK</v>
      </c>
      <c r="Q33" s="17">
        <f t="shared" si="3"/>
        <v>82.383831411565467</v>
      </c>
      <c r="R33" s="19">
        <f t="shared" si="8"/>
        <v>0.15959806402199175</v>
      </c>
      <c r="S33" s="6" t="s">
        <v>38</v>
      </c>
      <c r="T33" s="17">
        <v>13.5</v>
      </c>
      <c r="U33" s="6" t="s">
        <v>36</v>
      </c>
      <c r="V33" s="6" t="s">
        <v>12</v>
      </c>
      <c r="W33" s="54">
        <v>14.7</v>
      </c>
      <c r="X33" s="54">
        <v>-36.714799999999997</v>
      </c>
      <c r="Y33" s="10">
        <v>300</v>
      </c>
      <c r="Z33" s="10">
        <v>500</v>
      </c>
      <c r="AA33" s="7">
        <f t="shared" si="4"/>
        <v>460</v>
      </c>
      <c r="AB33" s="28">
        <f t="shared" si="5"/>
        <v>226.81097643846445</v>
      </c>
      <c r="AC33" s="61">
        <v>18</v>
      </c>
      <c r="AD33" s="61">
        <v>2</v>
      </c>
      <c r="AE33" s="61">
        <v>12</v>
      </c>
      <c r="AF33" s="61">
        <v>0</v>
      </c>
      <c r="AG33" s="28">
        <f t="shared" si="9"/>
        <v>508.93800988154646</v>
      </c>
      <c r="AH33" s="35" t="str">
        <f t="shared" si="6"/>
        <v>OK</v>
      </c>
      <c r="AI33" s="28">
        <f t="shared" si="10"/>
        <v>-82.383831411565467</v>
      </c>
      <c r="AJ33" s="32">
        <f>X33/AI33</f>
        <v>0.44565540799606201</v>
      </c>
    </row>
    <row r="34" spans="1:3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AJ34" s="33"/>
    </row>
    <row r="35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3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6" spans="1:36" x14ac:dyDescent="0.25">
      <c r="A56" s="2" t="s">
        <v>1</v>
      </c>
      <c r="B56" s="3" t="s">
        <v>2</v>
      </c>
      <c r="C56" s="2" t="s">
        <v>34</v>
      </c>
      <c r="D56" s="2" t="s">
        <v>3</v>
      </c>
      <c r="E56" s="3" t="s">
        <v>4</v>
      </c>
      <c r="F56" s="3" t="s">
        <v>5</v>
      </c>
      <c r="G56" s="5" t="s">
        <v>20</v>
      </c>
      <c r="H56" s="5" t="s">
        <v>21</v>
      </c>
      <c r="I56" s="5" t="s">
        <v>25</v>
      </c>
      <c r="J56" s="5" t="s">
        <v>23</v>
      </c>
      <c r="K56" s="5" t="s">
        <v>26</v>
      </c>
      <c r="L56" s="5" t="s">
        <v>27</v>
      </c>
      <c r="M56" s="5" t="s">
        <v>26</v>
      </c>
      <c r="N56" s="5" t="s">
        <v>27</v>
      </c>
      <c r="O56" s="5" t="s">
        <v>23</v>
      </c>
      <c r="P56" s="18"/>
      <c r="Q56" s="5" t="s">
        <v>31</v>
      </c>
      <c r="R56" s="5" t="s">
        <v>33</v>
      </c>
      <c r="S56" s="2" t="s">
        <v>1</v>
      </c>
      <c r="T56" s="3" t="s">
        <v>2</v>
      </c>
      <c r="U56" s="2" t="s">
        <v>34</v>
      </c>
      <c r="V56" s="2" t="s">
        <v>3</v>
      </c>
      <c r="W56" s="3" t="s">
        <v>4</v>
      </c>
      <c r="X56" s="3" t="s">
        <v>5</v>
      </c>
      <c r="Y56" s="5" t="s">
        <v>20</v>
      </c>
      <c r="Z56" s="5" t="s">
        <v>21</v>
      </c>
      <c r="AA56" s="5" t="s">
        <v>25</v>
      </c>
      <c r="AB56" s="5" t="s">
        <v>23</v>
      </c>
      <c r="AC56" s="5" t="s">
        <v>26</v>
      </c>
      <c r="AD56" s="5" t="s">
        <v>27</v>
      </c>
      <c r="AE56" s="5" t="s">
        <v>26</v>
      </c>
      <c r="AF56" s="5" t="s">
        <v>27</v>
      </c>
      <c r="AG56" s="5" t="s">
        <v>23</v>
      </c>
      <c r="AI56" s="5" t="s">
        <v>31</v>
      </c>
      <c r="AJ56" s="5" t="s">
        <v>33</v>
      </c>
    </row>
    <row r="57" spans="1:36" x14ac:dyDescent="0.25">
      <c r="A57" s="4" t="s">
        <v>6</v>
      </c>
      <c r="B57" s="5" t="s">
        <v>7</v>
      </c>
      <c r="C57" s="4" t="s">
        <v>6</v>
      </c>
      <c r="D57" s="4" t="s">
        <v>6</v>
      </c>
      <c r="E57" s="5" t="s">
        <v>8</v>
      </c>
      <c r="F57" s="5" t="s">
        <v>9</v>
      </c>
      <c r="G57" s="5" t="s">
        <v>22</v>
      </c>
      <c r="H57" s="5" t="s">
        <v>22</v>
      </c>
      <c r="I57" s="5" t="s">
        <v>22</v>
      </c>
      <c r="J57" s="5" t="s">
        <v>24</v>
      </c>
      <c r="K57" s="5" t="s">
        <v>22</v>
      </c>
      <c r="L57" s="5" t="s">
        <v>28</v>
      </c>
      <c r="M57" s="5" t="s">
        <v>22</v>
      </c>
      <c r="N57" s="5" t="s">
        <v>28</v>
      </c>
      <c r="O57" s="5" t="s">
        <v>24</v>
      </c>
      <c r="P57" s="18"/>
      <c r="Q57" s="5" t="s">
        <v>9</v>
      </c>
      <c r="R57" s="5" t="s">
        <v>28</v>
      </c>
      <c r="S57" s="4" t="s">
        <v>6</v>
      </c>
      <c r="T57" s="5" t="s">
        <v>7</v>
      </c>
      <c r="U57" s="4" t="s">
        <v>6</v>
      </c>
      <c r="V57" s="4" t="s">
        <v>6</v>
      </c>
      <c r="W57" s="5" t="s">
        <v>8</v>
      </c>
      <c r="X57" s="5" t="s">
        <v>9</v>
      </c>
      <c r="Y57" s="9" t="s">
        <v>22</v>
      </c>
      <c r="Z57" s="9" t="s">
        <v>22</v>
      </c>
      <c r="AA57" s="9" t="s">
        <v>22</v>
      </c>
      <c r="AB57" s="9" t="s">
        <v>24</v>
      </c>
      <c r="AC57" s="9" t="s">
        <v>22</v>
      </c>
      <c r="AD57" s="9" t="s">
        <v>28</v>
      </c>
      <c r="AE57" s="9" t="s">
        <v>22</v>
      </c>
      <c r="AF57" s="9" t="s">
        <v>28</v>
      </c>
      <c r="AG57" s="9" t="s">
        <v>24</v>
      </c>
      <c r="AI57" s="9" t="s">
        <v>9</v>
      </c>
      <c r="AJ57" s="8" t="s">
        <v>28</v>
      </c>
    </row>
    <row r="58" spans="1:36" x14ac:dyDescent="0.25">
      <c r="A58" s="6" t="s">
        <v>39</v>
      </c>
      <c r="B58" s="17">
        <v>0</v>
      </c>
      <c r="C58" s="6" t="s">
        <v>36</v>
      </c>
      <c r="D58" s="6" t="s">
        <v>11</v>
      </c>
      <c r="E58" s="49">
        <v>-36.231999999999999</v>
      </c>
      <c r="F58" s="49">
        <v>3.5261</v>
      </c>
      <c r="G58" s="29">
        <v>300</v>
      </c>
      <c r="H58" s="29">
        <v>500</v>
      </c>
      <c r="I58" s="28">
        <f t="shared" ref="I58:I87" si="12">H58-40</f>
        <v>460</v>
      </c>
      <c r="J58" s="28">
        <f>ABS(F58)*1000^2/(0.9*391*I58)</f>
        <v>21.782991709601291</v>
      </c>
      <c r="K58" s="11">
        <v>14</v>
      </c>
      <c r="L58" s="11">
        <v>2</v>
      </c>
      <c r="M58" s="11">
        <v>12</v>
      </c>
      <c r="N58" s="11">
        <v>2</v>
      </c>
      <c r="O58" s="28">
        <f>PI()*K58^2/4*L58+PI()*M58^2/4*N58</f>
        <v>534.07075111026484</v>
      </c>
      <c r="P58" s="34" t="str">
        <f t="shared" ref="P58:P87" si="13">IF(O58&gt;=J58,"OK","NO")</f>
        <v>OK</v>
      </c>
      <c r="Q58" s="17">
        <f t="shared" ref="Q58:Q87" si="14">(O58*0.9*391*I58)/1000^2</f>
        <v>86.452168765223007</v>
      </c>
      <c r="R58" s="19">
        <f>F58/Q58</f>
        <v>4.0786715363680261E-2</v>
      </c>
      <c r="S58" s="6" t="s">
        <v>39</v>
      </c>
      <c r="T58" s="17">
        <v>0</v>
      </c>
      <c r="U58" s="6" t="s">
        <v>36</v>
      </c>
      <c r="V58" s="6" t="s">
        <v>12</v>
      </c>
      <c r="W58" s="49">
        <v>-87.879000000000005</v>
      </c>
      <c r="X58" s="49">
        <v>-44.024099999999997</v>
      </c>
      <c r="Y58" s="10">
        <v>300</v>
      </c>
      <c r="Z58" s="10">
        <v>500</v>
      </c>
      <c r="AA58" s="7">
        <f t="shared" ref="AA58:AA87" si="15">Z58-40</f>
        <v>460</v>
      </c>
      <c r="AB58" s="28">
        <f t="shared" ref="AB58:AB87" si="16">ABS(X58)*1000^2/(0.9*391*AA58)</f>
        <v>271.96523221765074</v>
      </c>
      <c r="AC58" s="61">
        <v>18</v>
      </c>
      <c r="AD58" s="61">
        <v>2</v>
      </c>
      <c r="AE58" s="61">
        <v>0</v>
      </c>
      <c r="AF58" s="61">
        <v>2</v>
      </c>
      <c r="AG58" s="28">
        <f>PI()*AC58^2/4*AD58+PI()*AE58^2/4*AF58</f>
        <v>508.93800988154646</v>
      </c>
      <c r="AH58" s="35" t="str">
        <f t="shared" ref="AH58:AH87" si="17">IF(AG58&gt;=AB58,"OK","NO")</f>
        <v>OK</v>
      </c>
      <c r="AI58" s="28">
        <f>-(AG58*0.9*391*AA58)/1000^2</f>
        <v>-82.383831411565467</v>
      </c>
      <c r="AJ58" s="32">
        <f>X58/AI58</f>
        <v>0.53437791427869508</v>
      </c>
    </row>
    <row r="59" spans="1:36" x14ac:dyDescent="0.25">
      <c r="A59" s="6" t="s">
        <v>39</v>
      </c>
      <c r="B59" s="17">
        <v>0.5</v>
      </c>
      <c r="C59" s="6" t="s">
        <v>36</v>
      </c>
      <c r="D59" s="6" t="s">
        <v>11</v>
      </c>
      <c r="E59" s="49">
        <v>-22.558</v>
      </c>
      <c r="F59" s="49">
        <v>18.2239</v>
      </c>
      <c r="G59" s="29">
        <v>300</v>
      </c>
      <c r="H59" s="29">
        <v>500</v>
      </c>
      <c r="I59" s="28">
        <f t="shared" si="12"/>
        <v>460</v>
      </c>
      <c r="J59" s="28">
        <f t="shared" ref="J59:J87" si="18">ABS(F59)*1000^2/(0.9*391*I59)</f>
        <v>112.58077269975411</v>
      </c>
      <c r="K59" s="11">
        <v>14</v>
      </c>
      <c r="L59" s="11">
        <v>2</v>
      </c>
      <c r="M59" s="11">
        <v>12</v>
      </c>
      <c r="N59" s="11">
        <v>2</v>
      </c>
      <c r="O59" s="28">
        <f t="shared" ref="O59:O86" si="19">PI()*K59^2/4*L59+PI()*M59^2/4*N59</f>
        <v>534.07075111026484</v>
      </c>
      <c r="P59" s="34" t="str">
        <f t="shared" si="13"/>
        <v>OK</v>
      </c>
      <c r="Q59" s="17">
        <f t="shared" si="14"/>
        <v>86.452168765223007</v>
      </c>
      <c r="R59" s="19">
        <f t="shared" ref="R59:R87" si="20">F59/Q59</f>
        <v>0.2107974879090703</v>
      </c>
      <c r="S59" s="6" t="s">
        <v>39</v>
      </c>
      <c r="T59" s="17">
        <v>0.5</v>
      </c>
      <c r="U59" s="6" t="s">
        <v>36</v>
      </c>
      <c r="V59" s="6" t="s">
        <v>12</v>
      </c>
      <c r="W59" s="49">
        <v>-62.893000000000001</v>
      </c>
      <c r="X59" s="49">
        <v>-17.692299999999999</v>
      </c>
      <c r="Y59" s="10">
        <v>300</v>
      </c>
      <c r="Z59" s="10">
        <v>500</v>
      </c>
      <c r="AA59" s="7">
        <f t="shared" si="15"/>
        <v>460</v>
      </c>
      <c r="AB59" s="28">
        <f t="shared" si="16"/>
        <v>109.29673696825924</v>
      </c>
      <c r="AC59" s="61">
        <v>18</v>
      </c>
      <c r="AD59" s="61">
        <v>2</v>
      </c>
      <c r="AE59" s="61">
        <v>0</v>
      </c>
      <c r="AF59" s="61">
        <v>2</v>
      </c>
      <c r="AG59" s="28">
        <f t="shared" ref="AG59:AG87" si="21">PI()*AC59^2/4*AD59+PI()*AE59^2/4*AF59</f>
        <v>508.93800988154646</v>
      </c>
      <c r="AH59" s="35" t="str">
        <f t="shared" si="17"/>
        <v>OK</v>
      </c>
      <c r="AI59" s="28">
        <f t="shared" ref="AI59:AI87" si="22">-(AG59*0.9*391*AA59)/1000^2</f>
        <v>-82.383831411565467</v>
      </c>
      <c r="AJ59" s="32">
        <f t="shared" ref="AJ59:AJ86" si="23">X59/AI59</f>
        <v>0.21475451792979203</v>
      </c>
    </row>
    <row r="60" spans="1:36" x14ac:dyDescent="0.25">
      <c r="A60" s="6" t="s">
        <v>39</v>
      </c>
      <c r="B60" s="17">
        <v>1</v>
      </c>
      <c r="C60" s="6" t="s">
        <v>36</v>
      </c>
      <c r="D60" s="6" t="s">
        <v>11</v>
      </c>
      <c r="E60" s="49">
        <v>-8.8849999999999998</v>
      </c>
      <c r="F60" s="49">
        <v>26.085000000000001</v>
      </c>
      <c r="G60" s="29">
        <v>300</v>
      </c>
      <c r="H60" s="29">
        <v>500</v>
      </c>
      <c r="I60" s="28">
        <f t="shared" si="12"/>
        <v>460</v>
      </c>
      <c r="J60" s="28">
        <f t="shared" si="18"/>
        <v>161.14385262611657</v>
      </c>
      <c r="K60" s="11">
        <v>14</v>
      </c>
      <c r="L60" s="11">
        <v>2</v>
      </c>
      <c r="M60" s="11">
        <v>12</v>
      </c>
      <c r="N60" s="11">
        <v>2</v>
      </c>
      <c r="O60" s="28">
        <f t="shared" si="19"/>
        <v>534.07075111026484</v>
      </c>
      <c r="P60" s="34" t="str">
        <f t="shared" si="13"/>
        <v>OK</v>
      </c>
      <c r="Q60" s="17">
        <f t="shared" si="14"/>
        <v>86.452168765223007</v>
      </c>
      <c r="R60" s="19">
        <f t="shared" si="20"/>
        <v>0.30172753758021598</v>
      </c>
      <c r="S60" s="6" t="s">
        <v>39</v>
      </c>
      <c r="T60" s="17">
        <v>1</v>
      </c>
      <c r="U60" s="6" t="s">
        <v>36</v>
      </c>
      <c r="V60" s="6" t="s">
        <v>12</v>
      </c>
      <c r="W60" s="49">
        <v>-37.908000000000001</v>
      </c>
      <c r="X60" s="49">
        <v>1.8025</v>
      </c>
      <c r="Y60" s="10">
        <v>300</v>
      </c>
      <c r="Z60" s="10">
        <v>500</v>
      </c>
      <c r="AA60" s="7">
        <f t="shared" si="15"/>
        <v>460</v>
      </c>
      <c r="AB60" s="28">
        <f t="shared" si="16"/>
        <v>11.135203924039683</v>
      </c>
      <c r="AC60" s="61">
        <v>18</v>
      </c>
      <c r="AD60" s="61">
        <v>2</v>
      </c>
      <c r="AE60" s="61">
        <v>0</v>
      </c>
      <c r="AF60" s="61">
        <v>2</v>
      </c>
      <c r="AG60" s="28">
        <f t="shared" si="21"/>
        <v>508.93800988154646</v>
      </c>
      <c r="AH60" s="35" t="str">
        <f t="shared" si="17"/>
        <v>OK</v>
      </c>
      <c r="AI60" s="28">
        <f t="shared" si="22"/>
        <v>-82.383831411565467</v>
      </c>
      <c r="AJ60" s="32">
        <f t="shared" si="23"/>
        <v>-2.1879293170952909E-2</v>
      </c>
    </row>
    <row r="61" spans="1:36" x14ac:dyDescent="0.25">
      <c r="A61" s="6" t="s">
        <v>39</v>
      </c>
      <c r="B61" s="17">
        <v>1.5</v>
      </c>
      <c r="C61" s="6" t="s">
        <v>36</v>
      </c>
      <c r="D61" s="6" t="s">
        <v>11</v>
      </c>
      <c r="E61" s="49">
        <v>4.7889999999999997</v>
      </c>
      <c r="F61" s="49">
        <v>37.81</v>
      </c>
      <c r="G61" s="29">
        <v>300</v>
      </c>
      <c r="H61" s="29">
        <v>500</v>
      </c>
      <c r="I61" s="28">
        <f t="shared" si="12"/>
        <v>460</v>
      </c>
      <c r="J61" s="28">
        <f t="shared" si="18"/>
        <v>233.57673252035531</v>
      </c>
      <c r="K61" s="11">
        <v>14</v>
      </c>
      <c r="L61" s="11">
        <v>2</v>
      </c>
      <c r="M61" s="11">
        <v>12</v>
      </c>
      <c r="N61" s="11">
        <v>2</v>
      </c>
      <c r="O61" s="28">
        <f t="shared" si="19"/>
        <v>534.07075111026484</v>
      </c>
      <c r="P61" s="34" t="str">
        <f t="shared" si="13"/>
        <v>OK</v>
      </c>
      <c r="Q61" s="17">
        <f t="shared" si="14"/>
        <v>86.452168765223007</v>
      </c>
      <c r="R61" s="19">
        <f t="shared" si="20"/>
        <v>0.43735166555138844</v>
      </c>
      <c r="S61" s="6" t="s">
        <v>39</v>
      </c>
      <c r="T61" s="17">
        <v>1.5</v>
      </c>
      <c r="U61" s="6" t="s">
        <v>36</v>
      </c>
      <c r="V61" s="6" t="s">
        <v>12</v>
      </c>
      <c r="W61" s="49">
        <v>-18.48</v>
      </c>
      <c r="X61" s="49">
        <v>14.46</v>
      </c>
      <c r="Y61" s="10">
        <v>300</v>
      </c>
      <c r="Z61" s="10">
        <v>500</v>
      </c>
      <c r="AA61" s="7">
        <f t="shared" si="15"/>
        <v>460</v>
      </c>
      <c r="AB61" s="28">
        <f t="shared" si="16"/>
        <v>89.328737165943863</v>
      </c>
      <c r="AC61" s="61">
        <v>18</v>
      </c>
      <c r="AD61" s="61">
        <v>2</v>
      </c>
      <c r="AE61" s="61">
        <v>0</v>
      </c>
      <c r="AF61" s="61">
        <v>2</v>
      </c>
      <c r="AG61" s="28">
        <f t="shared" si="21"/>
        <v>508.93800988154646</v>
      </c>
      <c r="AH61" s="35" t="str">
        <f t="shared" si="17"/>
        <v>OK</v>
      </c>
      <c r="AI61" s="28">
        <f t="shared" si="22"/>
        <v>-82.383831411565467</v>
      </c>
      <c r="AJ61" s="32">
        <f t="shared" si="23"/>
        <v>-0.17551987753230461</v>
      </c>
    </row>
    <row r="62" spans="1:36" x14ac:dyDescent="0.25">
      <c r="A62" s="6" t="s">
        <v>39</v>
      </c>
      <c r="B62" s="17">
        <v>2</v>
      </c>
      <c r="C62" s="6" t="s">
        <v>36</v>
      </c>
      <c r="D62" s="6" t="s">
        <v>11</v>
      </c>
      <c r="E62" s="49">
        <v>18.462</v>
      </c>
      <c r="F62" s="49">
        <v>38.024999999999999</v>
      </c>
      <c r="G62" s="29">
        <v>300</v>
      </c>
      <c r="H62" s="29">
        <v>500</v>
      </c>
      <c r="I62" s="28">
        <f t="shared" si="12"/>
        <v>460</v>
      </c>
      <c r="J62" s="28">
        <f t="shared" si="18"/>
        <v>234.90492605359719</v>
      </c>
      <c r="K62" s="11">
        <v>14</v>
      </c>
      <c r="L62" s="11">
        <v>2</v>
      </c>
      <c r="M62" s="11">
        <v>12</v>
      </c>
      <c r="N62" s="11">
        <v>2</v>
      </c>
      <c r="O62" s="28">
        <f t="shared" si="19"/>
        <v>534.07075111026484</v>
      </c>
      <c r="P62" s="34" t="str">
        <f t="shared" si="13"/>
        <v>OK</v>
      </c>
      <c r="Q62" s="17">
        <f t="shared" si="14"/>
        <v>86.452168765223007</v>
      </c>
      <c r="R62" s="19">
        <f t="shared" si="20"/>
        <v>0.43983858985960178</v>
      </c>
      <c r="S62" s="6" t="s">
        <v>39</v>
      </c>
      <c r="T62" s="17">
        <v>2</v>
      </c>
      <c r="U62" s="6" t="s">
        <v>36</v>
      </c>
      <c r="V62" s="6" t="s">
        <v>12</v>
      </c>
      <c r="W62" s="49">
        <v>-4.806</v>
      </c>
      <c r="X62" s="49">
        <v>20.257100000000001</v>
      </c>
      <c r="Y62" s="10">
        <v>300</v>
      </c>
      <c r="Z62" s="10">
        <v>500</v>
      </c>
      <c r="AA62" s="7">
        <f t="shared" si="15"/>
        <v>460</v>
      </c>
      <c r="AB62" s="28">
        <f t="shared" si="16"/>
        <v>125.14115917318406</v>
      </c>
      <c r="AC62" s="61">
        <v>18</v>
      </c>
      <c r="AD62" s="61">
        <v>2</v>
      </c>
      <c r="AE62" s="61">
        <v>0</v>
      </c>
      <c r="AF62" s="61">
        <v>2</v>
      </c>
      <c r="AG62" s="28">
        <f t="shared" si="21"/>
        <v>508.93800988154646</v>
      </c>
      <c r="AH62" s="35" t="str">
        <f t="shared" si="17"/>
        <v>OK</v>
      </c>
      <c r="AI62" s="28">
        <f t="shared" si="22"/>
        <v>-82.383831411565467</v>
      </c>
      <c r="AJ62" s="32">
        <f t="shared" si="23"/>
        <v>-0.24588684032915961</v>
      </c>
    </row>
    <row r="63" spans="1:36" x14ac:dyDescent="0.25">
      <c r="A63" s="6" t="s">
        <v>39</v>
      </c>
      <c r="B63" s="17">
        <v>2.5</v>
      </c>
      <c r="C63" s="6" t="s">
        <v>36</v>
      </c>
      <c r="D63" s="6" t="s">
        <v>11</v>
      </c>
      <c r="E63" s="49">
        <v>37.048000000000002</v>
      </c>
      <c r="F63" s="49">
        <v>25.747199999999999</v>
      </c>
      <c r="G63" s="29">
        <v>300</v>
      </c>
      <c r="H63" s="29">
        <v>500</v>
      </c>
      <c r="I63" s="28">
        <f t="shared" si="12"/>
        <v>460</v>
      </c>
      <c r="J63" s="28">
        <f t="shared" si="18"/>
        <v>159.05704436784163</v>
      </c>
      <c r="K63" s="11">
        <v>14</v>
      </c>
      <c r="L63" s="11">
        <v>2</v>
      </c>
      <c r="M63" s="11">
        <v>12</v>
      </c>
      <c r="N63" s="11">
        <v>2</v>
      </c>
      <c r="O63" s="28">
        <f t="shared" si="19"/>
        <v>534.07075111026484</v>
      </c>
      <c r="P63" s="34" t="str">
        <f t="shared" si="13"/>
        <v>OK</v>
      </c>
      <c r="Q63" s="17">
        <f t="shared" si="14"/>
        <v>86.452168765223007</v>
      </c>
      <c r="R63" s="19">
        <f t="shared" si="20"/>
        <v>0.29782017464386956</v>
      </c>
      <c r="S63" s="6" t="s">
        <v>39</v>
      </c>
      <c r="T63" s="17">
        <v>2.5</v>
      </c>
      <c r="U63" s="6" t="s">
        <v>36</v>
      </c>
      <c r="V63" s="6" t="s">
        <v>12</v>
      </c>
      <c r="W63" s="49">
        <v>8.8670000000000009</v>
      </c>
      <c r="X63" s="49">
        <v>8.6437000000000008</v>
      </c>
      <c r="Y63" s="10">
        <v>300</v>
      </c>
      <c r="Z63" s="10">
        <v>500</v>
      </c>
      <c r="AA63" s="7">
        <f t="shared" si="15"/>
        <v>460</v>
      </c>
      <c r="AB63" s="28">
        <f t="shared" si="16"/>
        <v>53.397704387363</v>
      </c>
      <c r="AC63" s="61">
        <v>18</v>
      </c>
      <c r="AD63" s="61">
        <v>2</v>
      </c>
      <c r="AE63" s="61">
        <v>0</v>
      </c>
      <c r="AF63" s="61">
        <v>2</v>
      </c>
      <c r="AG63" s="28">
        <f t="shared" si="21"/>
        <v>508.93800988154646</v>
      </c>
      <c r="AH63" s="35" t="str">
        <f t="shared" si="17"/>
        <v>OK</v>
      </c>
      <c r="AI63" s="28">
        <f t="shared" si="22"/>
        <v>-82.383831411565467</v>
      </c>
      <c r="AJ63" s="32">
        <f t="shared" si="23"/>
        <v>-0.10491985929640259</v>
      </c>
    </row>
    <row r="64" spans="1:36" x14ac:dyDescent="0.25">
      <c r="A64" s="6" t="s">
        <v>39</v>
      </c>
      <c r="B64" s="17">
        <v>3</v>
      </c>
      <c r="C64" s="6" t="s">
        <v>36</v>
      </c>
      <c r="D64" s="6" t="s">
        <v>11</v>
      </c>
      <c r="E64" s="49">
        <v>62.033999999999999</v>
      </c>
      <c r="F64" s="49">
        <v>11.417400000000001</v>
      </c>
      <c r="G64" s="29">
        <v>300</v>
      </c>
      <c r="H64" s="29">
        <v>500</v>
      </c>
      <c r="I64" s="28">
        <f t="shared" si="12"/>
        <v>460</v>
      </c>
      <c r="J64" s="28">
        <f t="shared" si="18"/>
        <v>70.53263649505169</v>
      </c>
      <c r="K64" s="11">
        <v>14</v>
      </c>
      <c r="L64" s="11">
        <v>2</v>
      </c>
      <c r="M64" s="11">
        <v>12</v>
      </c>
      <c r="N64" s="11">
        <v>2</v>
      </c>
      <c r="O64" s="28">
        <f t="shared" si="19"/>
        <v>534.07075111026484</v>
      </c>
      <c r="P64" s="34" t="str">
        <f t="shared" si="13"/>
        <v>OK</v>
      </c>
      <c r="Q64" s="17">
        <f t="shared" si="14"/>
        <v>86.452168765223007</v>
      </c>
      <c r="R64" s="19">
        <f t="shared" si="20"/>
        <v>0.13206609114695642</v>
      </c>
      <c r="S64" s="6" t="s">
        <v>39</v>
      </c>
      <c r="T64" s="17">
        <v>3</v>
      </c>
      <c r="U64" s="6" t="s">
        <v>36</v>
      </c>
      <c r="V64" s="6" t="s">
        <v>12</v>
      </c>
      <c r="W64" s="49">
        <v>22.541</v>
      </c>
      <c r="X64" s="49">
        <v>-10.8415</v>
      </c>
      <c r="Y64" s="10">
        <v>300</v>
      </c>
      <c r="Z64" s="10">
        <v>500</v>
      </c>
      <c r="AA64" s="7">
        <f t="shared" si="15"/>
        <v>460</v>
      </c>
      <c r="AB64" s="28">
        <f t="shared" si="16"/>
        <v>66.974931119265591</v>
      </c>
      <c r="AC64" s="61">
        <v>18</v>
      </c>
      <c r="AD64" s="61">
        <v>2</v>
      </c>
      <c r="AE64" s="61">
        <v>0</v>
      </c>
      <c r="AF64" s="61">
        <v>2</v>
      </c>
      <c r="AG64" s="28">
        <f t="shared" si="21"/>
        <v>508.93800988154646</v>
      </c>
      <c r="AH64" s="35" t="str">
        <f t="shared" si="17"/>
        <v>OK</v>
      </c>
      <c r="AI64" s="28">
        <f t="shared" si="22"/>
        <v>-82.383831411565467</v>
      </c>
      <c r="AJ64" s="32">
        <f t="shared" si="23"/>
        <v>0.13159742408481884</v>
      </c>
    </row>
    <row r="65" spans="1:36" x14ac:dyDescent="0.25">
      <c r="A65" s="6" t="s">
        <v>39</v>
      </c>
      <c r="B65" s="17">
        <v>3.5</v>
      </c>
      <c r="C65" s="6" t="s">
        <v>36</v>
      </c>
      <c r="D65" s="6" t="s">
        <v>11</v>
      </c>
      <c r="E65" s="49">
        <v>87.019000000000005</v>
      </c>
      <c r="F65" s="49">
        <v>-3.2717000000000001</v>
      </c>
      <c r="G65" s="29">
        <v>300</v>
      </c>
      <c r="H65" s="29">
        <v>500</v>
      </c>
      <c r="I65" s="28">
        <f t="shared" si="12"/>
        <v>460</v>
      </c>
      <c r="J65" s="28">
        <f t="shared" si="18"/>
        <v>20.211398989337383</v>
      </c>
      <c r="K65" s="11">
        <v>14</v>
      </c>
      <c r="L65" s="11">
        <v>2</v>
      </c>
      <c r="M65" s="11">
        <v>12</v>
      </c>
      <c r="N65" s="11">
        <v>2</v>
      </c>
      <c r="O65" s="28">
        <f t="shared" si="19"/>
        <v>534.07075111026484</v>
      </c>
      <c r="P65" s="34" t="str">
        <f t="shared" si="13"/>
        <v>OK</v>
      </c>
      <c r="Q65" s="17">
        <f t="shared" si="14"/>
        <v>86.452168765223007</v>
      </c>
      <c r="R65" s="19">
        <f t="shared" si="20"/>
        <v>-3.7844047717124504E-2</v>
      </c>
      <c r="S65" s="6" t="s">
        <v>39</v>
      </c>
      <c r="T65" s="17">
        <v>3.5</v>
      </c>
      <c r="U65" s="6" t="s">
        <v>36</v>
      </c>
      <c r="V65" s="6" t="s">
        <v>12</v>
      </c>
      <c r="W65" s="49">
        <v>36.213999999999999</v>
      </c>
      <c r="X65" s="49">
        <v>-37.164099999999998</v>
      </c>
      <c r="Y65" s="10">
        <v>300</v>
      </c>
      <c r="Z65" s="10">
        <v>500</v>
      </c>
      <c r="AA65" s="7">
        <f t="shared" si="15"/>
        <v>460</v>
      </c>
      <c r="AB65" s="28">
        <f t="shared" si="16"/>
        <v>229.58659204072299</v>
      </c>
      <c r="AC65" s="61">
        <v>18</v>
      </c>
      <c r="AD65" s="61">
        <v>2</v>
      </c>
      <c r="AE65" s="61">
        <v>18</v>
      </c>
      <c r="AF65" s="61">
        <v>1</v>
      </c>
      <c r="AG65" s="28">
        <f t="shared" si="21"/>
        <v>763.40701482231975</v>
      </c>
      <c r="AH65" s="35" t="str">
        <f t="shared" si="17"/>
        <v>OK</v>
      </c>
      <c r="AI65" s="28">
        <f t="shared" si="22"/>
        <v>-123.57574711734821</v>
      </c>
      <c r="AJ65" s="32">
        <f t="shared" si="23"/>
        <v>0.30073943202389675</v>
      </c>
    </row>
    <row r="66" spans="1:36" x14ac:dyDescent="0.25">
      <c r="A66" s="6" t="s">
        <v>39</v>
      </c>
      <c r="B66" s="17">
        <v>4</v>
      </c>
      <c r="C66" s="6" t="s">
        <v>36</v>
      </c>
      <c r="D66" s="6" t="s">
        <v>11</v>
      </c>
      <c r="E66" s="49">
        <v>112.005</v>
      </c>
      <c r="F66" s="49">
        <v>-24.7974</v>
      </c>
      <c r="G66" s="29">
        <v>300</v>
      </c>
      <c r="H66" s="29">
        <v>500</v>
      </c>
      <c r="I66" s="28">
        <f t="shared" si="12"/>
        <v>460</v>
      </c>
      <c r="J66" s="28">
        <f t="shared" si="18"/>
        <v>153.18951777308274</v>
      </c>
      <c r="K66" s="11">
        <v>14</v>
      </c>
      <c r="L66" s="11">
        <v>2</v>
      </c>
      <c r="M66" s="11">
        <v>12</v>
      </c>
      <c r="N66" s="11">
        <v>2</v>
      </c>
      <c r="O66" s="28">
        <f t="shared" si="19"/>
        <v>534.07075111026484</v>
      </c>
      <c r="P66" s="34" t="str">
        <f t="shared" si="13"/>
        <v>OK</v>
      </c>
      <c r="Q66" s="17">
        <f t="shared" si="14"/>
        <v>86.452168765223007</v>
      </c>
      <c r="R66" s="19">
        <f t="shared" si="20"/>
        <v>-0.28683375274646916</v>
      </c>
      <c r="S66" s="6" t="s">
        <v>39</v>
      </c>
      <c r="T66" s="17">
        <v>4</v>
      </c>
      <c r="U66" s="6" t="s">
        <v>36</v>
      </c>
      <c r="V66" s="6" t="s">
        <v>12</v>
      </c>
      <c r="W66" s="49">
        <v>49.887999999999998</v>
      </c>
      <c r="X66" s="49">
        <v>-86.042400000000001</v>
      </c>
      <c r="Y66" s="10">
        <v>300</v>
      </c>
      <c r="Z66" s="10">
        <v>500</v>
      </c>
      <c r="AA66" s="7">
        <f t="shared" si="15"/>
        <v>460</v>
      </c>
      <c r="AB66" s="28">
        <f t="shared" si="16"/>
        <v>531.53934541680553</v>
      </c>
      <c r="AC66" s="61">
        <v>18</v>
      </c>
      <c r="AD66" s="61">
        <v>2</v>
      </c>
      <c r="AE66" s="61">
        <v>18</v>
      </c>
      <c r="AF66" s="61">
        <v>1</v>
      </c>
      <c r="AG66" s="28">
        <f t="shared" si="21"/>
        <v>763.40701482231975</v>
      </c>
      <c r="AH66" s="35" t="str">
        <f t="shared" si="17"/>
        <v>OK</v>
      </c>
      <c r="AI66" s="28">
        <f t="shared" si="22"/>
        <v>-123.57574711734821</v>
      </c>
      <c r="AJ66" s="32">
        <f t="shared" si="23"/>
        <v>0.69627254543962946</v>
      </c>
    </row>
    <row r="67" spans="1:36" x14ac:dyDescent="0.25">
      <c r="A67" s="6" t="s">
        <v>40</v>
      </c>
      <c r="B67" s="17">
        <v>4</v>
      </c>
      <c r="C67" s="6" t="s">
        <v>36</v>
      </c>
      <c r="D67" s="6" t="s">
        <v>11</v>
      </c>
      <c r="E67" s="49">
        <v>-67.709999999999994</v>
      </c>
      <c r="F67" s="49">
        <v>-44.467100000000002</v>
      </c>
      <c r="G67" s="29">
        <v>300</v>
      </c>
      <c r="H67" s="29">
        <v>500</v>
      </c>
      <c r="I67" s="28">
        <f t="shared" si="12"/>
        <v>460</v>
      </c>
      <c r="J67" s="28">
        <f t="shared" si="18"/>
        <v>274.70192866056311</v>
      </c>
      <c r="K67" s="11">
        <v>14</v>
      </c>
      <c r="L67" s="11">
        <v>2</v>
      </c>
      <c r="M67" s="11">
        <v>12</v>
      </c>
      <c r="N67" s="11">
        <v>2</v>
      </c>
      <c r="O67" s="28">
        <f t="shared" si="19"/>
        <v>534.07075111026484</v>
      </c>
      <c r="P67" s="34" t="str">
        <f t="shared" si="13"/>
        <v>OK</v>
      </c>
      <c r="Q67" s="17">
        <f t="shared" si="14"/>
        <v>86.452168765223007</v>
      </c>
      <c r="R67" s="19">
        <f t="shared" si="20"/>
        <v>-0.51435493909653918</v>
      </c>
      <c r="S67" s="6" t="s">
        <v>40</v>
      </c>
      <c r="T67" s="17">
        <v>4</v>
      </c>
      <c r="U67" s="6" t="s">
        <v>36</v>
      </c>
      <c r="V67" s="6" t="s">
        <v>12</v>
      </c>
      <c r="W67" s="49">
        <v>-137.41999999999999</v>
      </c>
      <c r="X67" s="49">
        <v>-118.8169</v>
      </c>
      <c r="Y67" s="10">
        <v>300</v>
      </c>
      <c r="Z67" s="10">
        <v>500</v>
      </c>
      <c r="AA67" s="7">
        <f t="shared" si="15"/>
        <v>460</v>
      </c>
      <c r="AB67" s="28">
        <f t="shared" si="16"/>
        <v>734.0085498597673</v>
      </c>
      <c r="AC67" s="61">
        <v>18</v>
      </c>
      <c r="AD67" s="61">
        <v>2</v>
      </c>
      <c r="AE67" s="61">
        <v>18</v>
      </c>
      <c r="AF67" s="61">
        <v>1</v>
      </c>
      <c r="AG67" s="28">
        <f t="shared" si="21"/>
        <v>763.40701482231975</v>
      </c>
      <c r="AH67" s="35" t="str">
        <f t="shared" si="17"/>
        <v>OK</v>
      </c>
      <c r="AI67" s="28">
        <f t="shared" si="22"/>
        <v>-123.57574711734821</v>
      </c>
      <c r="AJ67" s="32">
        <f t="shared" si="23"/>
        <v>0.96149044429543939</v>
      </c>
    </row>
    <row r="68" spans="1:36" x14ac:dyDescent="0.25">
      <c r="A68" s="6" t="s">
        <v>40</v>
      </c>
      <c r="B68" s="17">
        <v>4.5</v>
      </c>
      <c r="C68" s="6" t="s">
        <v>36</v>
      </c>
      <c r="D68" s="6" t="s">
        <v>11</v>
      </c>
      <c r="E68" s="49">
        <v>-54.036999999999999</v>
      </c>
      <c r="F68" s="49">
        <v>-14.0304</v>
      </c>
      <c r="G68" s="29">
        <v>300</v>
      </c>
      <c r="H68" s="29">
        <v>500</v>
      </c>
      <c r="I68" s="28">
        <f t="shared" si="12"/>
        <v>460</v>
      </c>
      <c r="J68" s="28">
        <f t="shared" si="18"/>
        <v>86.67482115719632</v>
      </c>
      <c r="K68" s="11">
        <v>14</v>
      </c>
      <c r="L68" s="11">
        <v>2</v>
      </c>
      <c r="M68" s="11">
        <v>12</v>
      </c>
      <c r="N68" s="11">
        <v>2</v>
      </c>
      <c r="O68" s="28">
        <f t="shared" si="19"/>
        <v>534.07075111026484</v>
      </c>
      <c r="P68" s="34" t="str">
        <f t="shared" si="13"/>
        <v>OK</v>
      </c>
      <c r="Q68" s="17">
        <f t="shared" si="14"/>
        <v>86.452168765223007</v>
      </c>
      <c r="R68" s="19">
        <f t="shared" si="20"/>
        <v>-0.16229089680910341</v>
      </c>
      <c r="S68" s="6" t="s">
        <v>40</v>
      </c>
      <c r="T68" s="17">
        <v>4.5</v>
      </c>
      <c r="U68" s="6" t="s">
        <v>36</v>
      </c>
      <c r="V68" s="6" t="s">
        <v>12</v>
      </c>
      <c r="W68" s="49">
        <v>-112.434</v>
      </c>
      <c r="X68" s="49">
        <v>-56.353400000000001</v>
      </c>
      <c r="Y68" s="10">
        <v>300</v>
      </c>
      <c r="Z68" s="10">
        <v>500</v>
      </c>
      <c r="AA68" s="7">
        <f t="shared" si="15"/>
        <v>460</v>
      </c>
      <c r="AB68" s="28">
        <f t="shared" si="16"/>
        <v>348.1312625869503</v>
      </c>
      <c r="AC68" s="61">
        <v>18</v>
      </c>
      <c r="AD68" s="61">
        <v>2</v>
      </c>
      <c r="AE68" s="61">
        <v>18</v>
      </c>
      <c r="AF68" s="61">
        <v>1</v>
      </c>
      <c r="AG68" s="28">
        <f t="shared" si="21"/>
        <v>763.40701482231975</v>
      </c>
      <c r="AH68" s="35" t="str">
        <f t="shared" si="17"/>
        <v>OK</v>
      </c>
      <c r="AI68" s="28">
        <f t="shared" si="22"/>
        <v>-123.57574711734821</v>
      </c>
      <c r="AJ68" s="32">
        <f t="shared" si="23"/>
        <v>0.45602313815255757</v>
      </c>
    </row>
    <row r="69" spans="1:36" x14ac:dyDescent="0.25">
      <c r="A69" s="6" t="s">
        <v>40</v>
      </c>
      <c r="B69" s="17">
        <v>5</v>
      </c>
      <c r="C69" s="6" t="s">
        <v>36</v>
      </c>
      <c r="D69" s="6" t="s">
        <v>11</v>
      </c>
      <c r="E69" s="49">
        <v>-40.363</v>
      </c>
      <c r="F69" s="49">
        <v>9.5694999999999997</v>
      </c>
      <c r="G69" s="29">
        <v>300</v>
      </c>
      <c r="H69" s="29">
        <v>500</v>
      </c>
      <c r="I69" s="28">
        <f t="shared" si="12"/>
        <v>460</v>
      </c>
      <c r="J69" s="28">
        <f t="shared" si="18"/>
        <v>59.116967517946044</v>
      </c>
      <c r="K69" s="11">
        <v>14</v>
      </c>
      <c r="L69" s="11">
        <v>2</v>
      </c>
      <c r="M69" s="11">
        <v>12</v>
      </c>
      <c r="N69" s="11">
        <v>2</v>
      </c>
      <c r="O69" s="28">
        <f t="shared" si="19"/>
        <v>534.07075111026484</v>
      </c>
      <c r="P69" s="34" t="str">
        <f t="shared" si="13"/>
        <v>OK</v>
      </c>
      <c r="Q69" s="17">
        <f t="shared" si="14"/>
        <v>86.452168765223007</v>
      </c>
      <c r="R69" s="19">
        <f t="shared" si="20"/>
        <v>0.11069126589510742</v>
      </c>
      <c r="S69" s="6" t="s">
        <v>40</v>
      </c>
      <c r="T69" s="17">
        <v>5</v>
      </c>
      <c r="U69" s="6" t="s">
        <v>36</v>
      </c>
      <c r="V69" s="6" t="s">
        <v>12</v>
      </c>
      <c r="W69" s="49">
        <v>-87.448999999999998</v>
      </c>
      <c r="X69" s="49">
        <v>-16.666699999999999</v>
      </c>
      <c r="Y69" s="10">
        <v>300</v>
      </c>
      <c r="Z69" s="10">
        <v>500</v>
      </c>
      <c r="AA69" s="7">
        <f t="shared" si="15"/>
        <v>460</v>
      </c>
      <c r="AB69" s="28">
        <f t="shared" si="16"/>
        <v>102.96094493247831</v>
      </c>
      <c r="AC69" s="61">
        <v>18</v>
      </c>
      <c r="AD69" s="61">
        <v>2</v>
      </c>
      <c r="AE69" s="61">
        <v>12</v>
      </c>
      <c r="AF69" s="61">
        <v>0</v>
      </c>
      <c r="AG69" s="28">
        <f t="shared" si="21"/>
        <v>508.93800988154646</v>
      </c>
      <c r="AH69" s="35" t="str">
        <f t="shared" si="17"/>
        <v>OK</v>
      </c>
      <c r="AI69" s="28">
        <f t="shared" si="22"/>
        <v>-82.383831411565467</v>
      </c>
      <c r="AJ69" s="32">
        <f t="shared" si="23"/>
        <v>0.20230547322736245</v>
      </c>
    </row>
    <row r="70" spans="1:36" x14ac:dyDescent="0.25">
      <c r="A70" s="6" t="s">
        <v>40</v>
      </c>
      <c r="B70" s="17">
        <v>5.5</v>
      </c>
      <c r="C70" s="6" t="s">
        <v>36</v>
      </c>
      <c r="D70" s="6" t="s">
        <v>11</v>
      </c>
      <c r="E70" s="49">
        <v>-26.689</v>
      </c>
      <c r="F70" s="49">
        <v>31.095600000000001</v>
      </c>
      <c r="G70" s="29">
        <v>300</v>
      </c>
      <c r="H70" s="29">
        <v>500</v>
      </c>
      <c r="I70" s="28">
        <f t="shared" si="12"/>
        <v>460</v>
      </c>
      <c r="J70" s="28">
        <f t="shared" si="18"/>
        <v>192.09755735942767</v>
      </c>
      <c r="K70" s="11">
        <v>14</v>
      </c>
      <c r="L70" s="11">
        <v>2</v>
      </c>
      <c r="M70" s="11">
        <v>12</v>
      </c>
      <c r="N70" s="11">
        <v>2</v>
      </c>
      <c r="O70" s="28">
        <f t="shared" si="19"/>
        <v>534.07075111026484</v>
      </c>
      <c r="P70" s="34" t="str">
        <f t="shared" si="13"/>
        <v>OK</v>
      </c>
      <c r="Q70" s="17">
        <f t="shared" si="14"/>
        <v>86.452168765223007</v>
      </c>
      <c r="R70" s="19">
        <f t="shared" si="20"/>
        <v>0.35968559776037434</v>
      </c>
      <c r="S70" s="6" t="s">
        <v>40</v>
      </c>
      <c r="T70" s="17">
        <v>5.5</v>
      </c>
      <c r="U70" s="6" t="s">
        <v>36</v>
      </c>
      <c r="V70" s="6" t="s">
        <v>12</v>
      </c>
      <c r="W70" s="49">
        <v>-62.463999999999999</v>
      </c>
      <c r="X70" s="49">
        <v>7.5909000000000004</v>
      </c>
      <c r="Y70" s="10">
        <v>300</v>
      </c>
      <c r="Z70" s="10">
        <v>500</v>
      </c>
      <c r="AA70" s="7">
        <f t="shared" si="15"/>
        <v>460</v>
      </c>
      <c r="AB70" s="28">
        <f t="shared" si="16"/>
        <v>46.893880425516137</v>
      </c>
      <c r="AC70" s="61">
        <v>18</v>
      </c>
      <c r="AD70" s="61">
        <v>2</v>
      </c>
      <c r="AE70" s="61">
        <v>12</v>
      </c>
      <c r="AF70" s="61">
        <v>0</v>
      </c>
      <c r="AG70" s="28">
        <f t="shared" si="21"/>
        <v>508.93800988154646</v>
      </c>
      <c r="AH70" s="35" t="str">
        <f t="shared" si="17"/>
        <v>OK</v>
      </c>
      <c r="AI70" s="28">
        <f t="shared" si="22"/>
        <v>-82.383831411565467</v>
      </c>
      <c r="AJ70" s="32">
        <f t="shared" si="23"/>
        <v>-9.2140652721989708E-2</v>
      </c>
    </row>
    <row r="71" spans="1:36" x14ac:dyDescent="0.25">
      <c r="A71" s="6" t="s">
        <v>40</v>
      </c>
      <c r="B71" s="17">
        <v>6</v>
      </c>
      <c r="C71" s="6" t="s">
        <v>36</v>
      </c>
      <c r="D71" s="6" t="s">
        <v>11</v>
      </c>
      <c r="E71" s="49">
        <v>-13.016</v>
      </c>
      <c r="F71" s="49">
        <v>56.081099999999999</v>
      </c>
      <c r="G71" s="29">
        <v>300</v>
      </c>
      <c r="H71" s="29">
        <v>500</v>
      </c>
      <c r="I71" s="28">
        <f t="shared" si="12"/>
        <v>460</v>
      </c>
      <c r="J71" s="28">
        <f t="shared" si="18"/>
        <v>346.44909003298858</v>
      </c>
      <c r="K71" s="11">
        <v>14</v>
      </c>
      <c r="L71" s="11">
        <v>2</v>
      </c>
      <c r="M71" s="11">
        <v>12</v>
      </c>
      <c r="N71" s="11">
        <v>2</v>
      </c>
      <c r="O71" s="28">
        <f t="shared" si="19"/>
        <v>534.07075111026484</v>
      </c>
      <c r="P71" s="34" t="str">
        <f t="shared" si="13"/>
        <v>OK</v>
      </c>
      <c r="Q71" s="17">
        <f t="shared" si="14"/>
        <v>86.452168765223007</v>
      </c>
      <c r="R71" s="19">
        <f t="shared" si="20"/>
        <v>0.64869512009928509</v>
      </c>
      <c r="S71" s="6" t="s">
        <v>40</v>
      </c>
      <c r="T71" s="17">
        <v>6</v>
      </c>
      <c r="U71" s="6" t="s">
        <v>36</v>
      </c>
      <c r="V71" s="6" t="s">
        <v>12</v>
      </c>
      <c r="W71" s="49">
        <v>-37.478000000000002</v>
      </c>
      <c r="X71" s="49">
        <v>25.011700000000001</v>
      </c>
      <c r="Y71" s="10">
        <v>300</v>
      </c>
      <c r="Z71" s="10">
        <v>500</v>
      </c>
      <c r="AA71" s="7">
        <f t="shared" si="15"/>
        <v>460</v>
      </c>
      <c r="AB71" s="28">
        <f t="shared" si="16"/>
        <v>154.51338695528619</v>
      </c>
      <c r="AC71" s="61">
        <v>18</v>
      </c>
      <c r="AD71" s="61">
        <v>2</v>
      </c>
      <c r="AE71" s="61">
        <v>12</v>
      </c>
      <c r="AF71" s="61">
        <v>0</v>
      </c>
      <c r="AG71" s="28">
        <f t="shared" si="21"/>
        <v>508.93800988154646</v>
      </c>
      <c r="AH71" s="35" t="str">
        <f t="shared" si="17"/>
        <v>OK</v>
      </c>
      <c r="AI71" s="28">
        <f t="shared" si="22"/>
        <v>-82.383831411565467</v>
      </c>
      <c r="AJ71" s="32">
        <f t="shared" si="23"/>
        <v>-0.30359962108400712</v>
      </c>
    </row>
    <row r="72" spans="1:36" x14ac:dyDescent="0.25">
      <c r="A72" s="6" t="s">
        <v>40</v>
      </c>
      <c r="B72" s="17">
        <v>6.5</v>
      </c>
      <c r="C72" s="6" t="s">
        <v>36</v>
      </c>
      <c r="D72" s="6" t="s">
        <v>11</v>
      </c>
      <c r="E72" s="49">
        <v>0.65800000000000003</v>
      </c>
      <c r="F72" s="49">
        <v>68.573800000000006</v>
      </c>
      <c r="G72" s="29">
        <v>300</v>
      </c>
      <c r="H72" s="29">
        <v>500</v>
      </c>
      <c r="I72" s="28">
        <f t="shared" si="12"/>
        <v>460</v>
      </c>
      <c r="J72" s="28">
        <f t="shared" si="18"/>
        <v>423.62454748755198</v>
      </c>
      <c r="K72" s="11">
        <v>14</v>
      </c>
      <c r="L72" s="11">
        <v>2</v>
      </c>
      <c r="M72" s="11">
        <v>12</v>
      </c>
      <c r="N72" s="11">
        <v>2</v>
      </c>
      <c r="O72" s="28">
        <f t="shared" si="19"/>
        <v>534.07075111026484</v>
      </c>
      <c r="P72" s="34" t="str">
        <f t="shared" si="13"/>
        <v>OK</v>
      </c>
      <c r="Q72" s="17">
        <f t="shared" si="14"/>
        <v>86.452168765223007</v>
      </c>
      <c r="R72" s="19">
        <f t="shared" si="20"/>
        <v>0.79319930291425023</v>
      </c>
      <c r="S72" s="6" t="s">
        <v>40</v>
      </c>
      <c r="T72" s="17">
        <v>6.5</v>
      </c>
      <c r="U72" s="6" t="s">
        <v>36</v>
      </c>
      <c r="V72" s="6" t="s">
        <v>12</v>
      </c>
      <c r="W72" s="49">
        <v>-14.331</v>
      </c>
      <c r="X72" s="49">
        <v>35.595700000000001</v>
      </c>
      <c r="Y72" s="10">
        <v>300</v>
      </c>
      <c r="Z72" s="10">
        <v>500</v>
      </c>
      <c r="AA72" s="7">
        <f t="shared" si="15"/>
        <v>460</v>
      </c>
      <c r="AB72" s="28">
        <f t="shared" si="16"/>
        <v>219.89757465683181</v>
      </c>
      <c r="AC72" s="61">
        <v>18</v>
      </c>
      <c r="AD72" s="61">
        <v>2</v>
      </c>
      <c r="AE72" s="61">
        <v>12</v>
      </c>
      <c r="AF72" s="61">
        <v>0</v>
      </c>
      <c r="AG72" s="28">
        <f t="shared" si="21"/>
        <v>508.93800988154646</v>
      </c>
      <c r="AH72" s="35" t="str">
        <f t="shared" si="17"/>
        <v>OK</v>
      </c>
      <c r="AI72" s="28">
        <f t="shared" si="22"/>
        <v>-82.383831411565467</v>
      </c>
      <c r="AJ72" s="32">
        <f t="shared" si="23"/>
        <v>-0.43207143185868985</v>
      </c>
    </row>
    <row r="73" spans="1:36" x14ac:dyDescent="0.25">
      <c r="A73" s="6" t="s">
        <v>40</v>
      </c>
      <c r="B73" s="17">
        <v>7</v>
      </c>
      <c r="C73" s="6" t="s">
        <v>36</v>
      </c>
      <c r="D73" s="6" t="s">
        <v>11</v>
      </c>
      <c r="E73" s="49">
        <v>14.331</v>
      </c>
      <c r="F73" s="49">
        <v>68.573800000000006</v>
      </c>
      <c r="G73" s="29">
        <v>300</v>
      </c>
      <c r="H73" s="29">
        <v>500</v>
      </c>
      <c r="I73" s="28">
        <f t="shared" si="12"/>
        <v>460</v>
      </c>
      <c r="J73" s="28">
        <f t="shared" si="18"/>
        <v>423.62454748755198</v>
      </c>
      <c r="K73" s="11">
        <v>14</v>
      </c>
      <c r="L73" s="11">
        <v>2</v>
      </c>
      <c r="M73" s="11">
        <v>12</v>
      </c>
      <c r="N73" s="11">
        <v>2</v>
      </c>
      <c r="O73" s="28">
        <f t="shared" si="19"/>
        <v>534.07075111026484</v>
      </c>
      <c r="P73" s="34" t="str">
        <f t="shared" si="13"/>
        <v>OK</v>
      </c>
      <c r="Q73" s="17">
        <f t="shared" si="14"/>
        <v>86.452168765223007</v>
      </c>
      <c r="R73" s="19">
        <f t="shared" si="20"/>
        <v>0.79319930291425023</v>
      </c>
      <c r="S73" s="6" t="s">
        <v>40</v>
      </c>
      <c r="T73" s="17">
        <v>7</v>
      </c>
      <c r="U73" s="6" t="s">
        <v>36</v>
      </c>
      <c r="V73" s="6" t="s">
        <v>12</v>
      </c>
      <c r="W73" s="49">
        <v>-0.65800000000000003</v>
      </c>
      <c r="X73" s="49">
        <v>35.595700000000001</v>
      </c>
      <c r="Y73" s="10">
        <v>300</v>
      </c>
      <c r="Z73" s="10">
        <v>500</v>
      </c>
      <c r="AA73" s="7">
        <f t="shared" si="15"/>
        <v>460</v>
      </c>
      <c r="AB73" s="28">
        <f t="shared" si="16"/>
        <v>219.89757465683181</v>
      </c>
      <c r="AC73" s="61">
        <v>18</v>
      </c>
      <c r="AD73" s="61">
        <v>2</v>
      </c>
      <c r="AE73" s="61">
        <v>12</v>
      </c>
      <c r="AF73" s="61">
        <v>0</v>
      </c>
      <c r="AG73" s="28">
        <f t="shared" si="21"/>
        <v>508.93800988154646</v>
      </c>
      <c r="AH73" s="35" t="str">
        <f t="shared" si="17"/>
        <v>OK</v>
      </c>
      <c r="AI73" s="28">
        <f t="shared" si="22"/>
        <v>-82.383831411565467</v>
      </c>
      <c r="AJ73" s="32">
        <f t="shared" si="23"/>
        <v>-0.43207143185868985</v>
      </c>
    </row>
    <row r="74" spans="1:36" x14ac:dyDescent="0.25">
      <c r="A74" s="6" t="s">
        <v>40</v>
      </c>
      <c r="B74" s="17">
        <v>7.5</v>
      </c>
      <c r="C74" s="6" t="s">
        <v>36</v>
      </c>
      <c r="D74" s="6" t="s">
        <v>11</v>
      </c>
      <c r="E74" s="49">
        <v>37.478000000000002</v>
      </c>
      <c r="F74" s="49">
        <v>56.081099999999999</v>
      </c>
      <c r="G74" s="29">
        <v>300</v>
      </c>
      <c r="H74" s="29">
        <v>500</v>
      </c>
      <c r="I74" s="28">
        <f t="shared" si="12"/>
        <v>460</v>
      </c>
      <c r="J74" s="28">
        <f t="shared" si="18"/>
        <v>346.44909003298858</v>
      </c>
      <c r="K74" s="11">
        <v>14</v>
      </c>
      <c r="L74" s="11">
        <v>2</v>
      </c>
      <c r="M74" s="11">
        <v>12</v>
      </c>
      <c r="N74" s="11">
        <v>2</v>
      </c>
      <c r="O74" s="28">
        <f t="shared" si="19"/>
        <v>534.07075111026484</v>
      </c>
      <c r="P74" s="34" t="str">
        <f t="shared" si="13"/>
        <v>OK</v>
      </c>
      <c r="Q74" s="17">
        <f t="shared" si="14"/>
        <v>86.452168765223007</v>
      </c>
      <c r="R74" s="19">
        <f t="shared" si="20"/>
        <v>0.64869512009928509</v>
      </c>
      <c r="S74" s="6" t="s">
        <v>40</v>
      </c>
      <c r="T74" s="17">
        <v>7.5</v>
      </c>
      <c r="U74" s="6" t="s">
        <v>36</v>
      </c>
      <c r="V74" s="6" t="s">
        <v>12</v>
      </c>
      <c r="W74" s="49">
        <v>13.016</v>
      </c>
      <c r="X74" s="49">
        <v>25.011700000000001</v>
      </c>
      <c r="Y74" s="10">
        <v>300</v>
      </c>
      <c r="Z74" s="10">
        <v>500</v>
      </c>
      <c r="AA74" s="7">
        <f t="shared" si="15"/>
        <v>460</v>
      </c>
      <c r="AB74" s="28">
        <f t="shared" si="16"/>
        <v>154.51338695528619</v>
      </c>
      <c r="AC74" s="61">
        <v>18</v>
      </c>
      <c r="AD74" s="61">
        <v>2</v>
      </c>
      <c r="AE74" s="61">
        <v>12</v>
      </c>
      <c r="AF74" s="61">
        <v>0</v>
      </c>
      <c r="AG74" s="28">
        <f t="shared" si="21"/>
        <v>508.93800988154646</v>
      </c>
      <c r="AH74" s="35" t="str">
        <f t="shared" si="17"/>
        <v>OK</v>
      </c>
      <c r="AI74" s="28">
        <f t="shared" si="22"/>
        <v>-82.383831411565467</v>
      </c>
      <c r="AJ74" s="32">
        <f t="shared" si="23"/>
        <v>-0.30359962108400712</v>
      </c>
    </row>
    <row r="75" spans="1:36" x14ac:dyDescent="0.25">
      <c r="A75" s="6" t="s">
        <v>40</v>
      </c>
      <c r="B75" s="17">
        <v>8</v>
      </c>
      <c r="C75" s="6" t="s">
        <v>36</v>
      </c>
      <c r="D75" s="6" t="s">
        <v>11</v>
      </c>
      <c r="E75" s="49">
        <v>62.463999999999999</v>
      </c>
      <c r="F75" s="49">
        <v>31.095600000000001</v>
      </c>
      <c r="G75" s="29">
        <v>300</v>
      </c>
      <c r="H75" s="29">
        <v>500</v>
      </c>
      <c r="I75" s="28">
        <f t="shared" si="12"/>
        <v>460</v>
      </c>
      <c r="J75" s="28">
        <f t="shared" si="18"/>
        <v>192.09755735942767</v>
      </c>
      <c r="K75" s="11">
        <v>14</v>
      </c>
      <c r="L75" s="11">
        <v>2</v>
      </c>
      <c r="M75" s="11">
        <v>12</v>
      </c>
      <c r="N75" s="11">
        <v>2</v>
      </c>
      <c r="O75" s="28">
        <f t="shared" si="19"/>
        <v>534.07075111026484</v>
      </c>
      <c r="P75" s="34" t="str">
        <f t="shared" si="13"/>
        <v>OK</v>
      </c>
      <c r="Q75" s="17">
        <f t="shared" si="14"/>
        <v>86.452168765223007</v>
      </c>
      <c r="R75" s="19">
        <f t="shared" si="20"/>
        <v>0.35968559776037434</v>
      </c>
      <c r="S75" s="6" t="s">
        <v>40</v>
      </c>
      <c r="T75" s="17">
        <v>8</v>
      </c>
      <c r="U75" s="6" t="s">
        <v>36</v>
      </c>
      <c r="V75" s="6" t="s">
        <v>12</v>
      </c>
      <c r="W75" s="49">
        <v>26.689</v>
      </c>
      <c r="X75" s="49">
        <v>7.5909000000000004</v>
      </c>
      <c r="Y75" s="10">
        <v>300</v>
      </c>
      <c r="Z75" s="10">
        <v>500</v>
      </c>
      <c r="AA75" s="7">
        <f t="shared" si="15"/>
        <v>460</v>
      </c>
      <c r="AB75" s="28">
        <f t="shared" si="16"/>
        <v>46.893880425516137</v>
      </c>
      <c r="AC75" s="61">
        <v>18</v>
      </c>
      <c r="AD75" s="61">
        <v>2</v>
      </c>
      <c r="AE75" s="61">
        <v>12</v>
      </c>
      <c r="AF75" s="61">
        <v>0</v>
      </c>
      <c r="AG75" s="28">
        <f t="shared" si="21"/>
        <v>508.93800988154646</v>
      </c>
      <c r="AH75" s="35" t="str">
        <f t="shared" si="17"/>
        <v>OK</v>
      </c>
      <c r="AI75" s="28">
        <f t="shared" si="22"/>
        <v>-82.383831411565467</v>
      </c>
      <c r="AJ75" s="32">
        <f t="shared" si="23"/>
        <v>-9.2140652721989708E-2</v>
      </c>
    </row>
    <row r="76" spans="1:36" x14ac:dyDescent="0.25">
      <c r="A76" s="6" t="s">
        <v>40</v>
      </c>
      <c r="B76" s="17">
        <v>8.5</v>
      </c>
      <c r="C76" s="6" t="s">
        <v>36</v>
      </c>
      <c r="D76" s="6" t="s">
        <v>11</v>
      </c>
      <c r="E76" s="49">
        <v>87.448999999999998</v>
      </c>
      <c r="F76" s="49">
        <v>9.5694999999999997</v>
      </c>
      <c r="G76" s="29">
        <v>300</v>
      </c>
      <c r="H76" s="29">
        <v>500</v>
      </c>
      <c r="I76" s="28">
        <f t="shared" si="12"/>
        <v>460</v>
      </c>
      <c r="J76" s="28">
        <f t="shared" si="18"/>
        <v>59.116967517946044</v>
      </c>
      <c r="K76" s="11">
        <v>14</v>
      </c>
      <c r="L76" s="11">
        <v>2</v>
      </c>
      <c r="M76" s="11">
        <v>12</v>
      </c>
      <c r="N76" s="11">
        <v>2</v>
      </c>
      <c r="O76" s="28">
        <f t="shared" si="19"/>
        <v>534.07075111026484</v>
      </c>
      <c r="P76" s="34" t="str">
        <f t="shared" si="13"/>
        <v>OK</v>
      </c>
      <c r="Q76" s="17">
        <f t="shared" si="14"/>
        <v>86.452168765223007</v>
      </c>
      <c r="R76" s="19">
        <f t="shared" si="20"/>
        <v>0.11069126589510742</v>
      </c>
      <c r="S76" s="6" t="s">
        <v>40</v>
      </c>
      <c r="T76" s="17">
        <v>8.5</v>
      </c>
      <c r="U76" s="6" t="s">
        <v>36</v>
      </c>
      <c r="V76" s="6" t="s">
        <v>12</v>
      </c>
      <c r="W76" s="49">
        <v>40.363</v>
      </c>
      <c r="X76" s="49">
        <v>-16.666699999999999</v>
      </c>
      <c r="Y76" s="10">
        <v>300</v>
      </c>
      <c r="Z76" s="10">
        <v>500</v>
      </c>
      <c r="AA76" s="7">
        <f t="shared" si="15"/>
        <v>460</v>
      </c>
      <c r="AB76" s="28">
        <f t="shared" si="16"/>
        <v>102.96094493247831</v>
      </c>
      <c r="AC76" s="61">
        <v>18</v>
      </c>
      <c r="AD76" s="61">
        <v>2</v>
      </c>
      <c r="AE76" s="61">
        <v>12</v>
      </c>
      <c r="AF76" s="61">
        <v>0</v>
      </c>
      <c r="AG76" s="28">
        <f t="shared" si="21"/>
        <v>508.93800988154646</v>
      </c>
      <c r="AH76" s="35" t="str">
        <f t="shared" si="17"/>
        <v>OK</v>
      </c>
      <c r="AI76" s="28">
        <f t="shared" si="22"/>
        <v>-82.383831411565467</v>
      </c>
      <c r="AJ76" s="32">
        <f t="shared" si="23"/>
        <v>0.20230547322736245</v>
      </c>
    </row>
    <row r="77" spans="1:36" x14ac:dyDescent="0.25">
      <c r="A77" s="6" t="s">
        <v>40</v>
      </c>
      <c r="B77" s="17">
        <v>9</v>
      </c>
      <c r="C77" s="6" t="s">
        <v>36</v>
      </c>
      <c r="D77" s="6" t="s">
        <v>11</v>
      </c>
      <c r="E77" s="49">
        <v>112.434</v>
      </c>
      <c r="F77" s="49">
        <v>-14.0304</v>
      </c>
      <c r="G77" s="29">
        <v>300</v>
      </c>
      <c r="H77" s="29">
        <v>500</v>
      </c>
      <c r="I77" s="28">
        <f t="shared" si="12"/>
        <v>460</v>
      </c>
      <c r="J77" s="28">
        <f t="shared" si="18"/>
        <v>86.67482115719632</v>
      </c>
      <c r="K77" s="11">
        <v>14</v>
      </c>
      <c r="L77" s="11">
        <v>2</v>
      </c>
      <c r="M77" s="11">
        <v>12</v>
      </c>
      <c r="N77" s="11">
        <v>2</v>
      </c>
      <c r="O77" s="28">
        <f t="shared" si="19"/>
        <v>534.07075111026484</v>
      </c>
      <c r="P77" s="34" t="str">
        <f t="shared" si="13"/>
        <v>OK</v>
      </c>
      <c r="Q77" s="17">
        <f t="shared" si="14"/>
        <v>86.452168765223007</v>
      </c>
      <c r="R77" s="19">
        <f t="shared" si="20"/>
        <v>-0.16229089680910341</v>
      </c>
      <c r="S77" s="6" t="s">
        <v>40</v>
      </c>
      <c r="T77" s="17">
        <v>9</v>
      </c>
      <c r="U77" s="6" t="s">
        <v>36</v>
      </c>
      <c r="V77" s="6" t="s">
        <v>12</v>
      </c>
      <c r="W77" s="49">
        <v>54.036999999999999</v>
      </c>
      <c r="X77" s="49">
        <v>-56.353400000000001</v>
      </c>
      <c r="Y77" s="10">
        <v>300</v>
      </c>
      <c r="Z77" s="10">
        <v>500</v>
      </c>
      <c r="AA77" s="7">
        <f t="shared" si="15"/>
        <v>460</v>
      </c>
      <c r="AB77" s="28">
        <f t="shared" si="16"/>
        <v>348.1312625869503</v>
      </c>
      <c r="AC77" s="61">
        <v>18</v>
      </c>
      <c r="AD77" s="61">
        <v>2</v>
      </c>
      <c r="AE77" s="61">
        <v>18</v>
      </c>
      <c r="AF77" s="61">
        <v>1</v>
      </c>
      <c r="AG77" s="28">
        <f t="shared" si="21"/>
        <v>763.40701482231975</v>
      </c>
      <c r="AH77" s="35" t="str">
        <f t="shared" si="17"/>
        <v>OK</v>
      </c>
      <c r="AI77" s="28">
        <f t="shared" si="22"/>
        <v>-123.57574711734821</v>
      </c>
      <c r="AJ77" s="32">
        <f t="shared" si="23"/>
        <v>0.45602313815255757</v>
      </c>
    </row>
    <row r="78" spans="1:36" x14ac:dyDescent="0.25">
      <c r="A78" s="6" t="s">
        <v>40</v>
      </c>
      <c r="B78" s="17">
        <v>9.5</v>
      </c>
      <c r="C78" s="6" t="s">
        <v>36</v>
      </c>
      <c r="D78" s="6" t="s">
        <v>11</v>
      </c>
      <c r="E78" s="49">
        <v>137.41999999999999</v>
      </c>
      <c r="F78" s="49">
        <v>-44.467100000000002</v>
      </c>
      <c r="G78" s="29">
        <v>300</v>
      </c>
      <c r="H78" s="29">
        <v>500</v>
      </c>
      <c r="I78" s="28">
        <f t="shared" si="12"/>
        <v>460</v>
      </c>
      <c r="J78" s="28">
        <f t="shared" si="18"/>
        <v>274.70192866056311</v>
      </c>
      <c r="K78" s="11">
        <v>14</v>
      </c>
      <c r="L78" s="11">
        <v>2</v>
      </c>
      <c r="M78" s="11">
        <v>12</v>
      </c>
      <c r="N78" s="11">
        <v>2</v>
      </c>
      <c r="O78" s="28">
        <f t="shared" si="19"/>
        <v>534.07075111026484</v>
      </c>
      <c r="P78" s="34" t="str">
        <f t="shared" si="13"/>
        <v>OK</v>
      </c>
      <c r="Q78" s="17">
        <f t="shared" si="14"/>
        <v>86.452168765223007</v>
      </c>
      <c r="R78" s="19">
        <f t="shared" si="20"/>
        <v>-0.51435493909653918</v>
      </c>
      <c r="S78" s="6" t="s">
        <v>40</v>
      </c>
      <c r="T78" s="17">
        <v>9.5</v>
      </c>
      <c r="U78" s="6" t="s">
        <v>36</v>
      </c>
      <c r="V78" s="6" t="s">
        <v>12</v>
      </c>
      <c r="W78" s="49">
        <v>67.709999999999994</v>
      </c>
      <c r="X78" s="49">
        <v>-118.8169</v>
      </c>
      <c r="Y78" s="10">
        <v>300</v>
      </c>
      <c r="Z78" s="10">
        <v>500</v>
      </c>
      <c r="AA78" s="7">
        <f t="shared" si="15"/>
        <v>460</v>
      </c>
      <c r="AB78" s="28">
        <f t="shared" si="16"/>
        <v>734.0085498597673</v>
      </c>
      <c r="AC78" s="61">
        <v>18</v>
      </c>
      <c r="AD78" s="61">
        <v>2</v>
      </c>
      <c r="AE78" s="61">
        <v>18</v>
      </c>
      <c r="AF78" s="61">
        <v>1</v>
      </c>
      <c r="AG78" s="28">
        <f t="shared" si="21"/>
        <v>763.40701482231975</v>
      </c>
      <c r="AH78" s="35" t="str">
        <f t="shared" si="17"/>
        <v>OK</v>
      </c>
      <c r="AI78" s="28">
        <f t="shared" si="22"/>
        <v>-123.57574711734821</v>
      </c>
      <c r="AJ78" s="32">
        <f t="shared" si="23"/>
        <v>0.96149044429543939</v>
      </c>
    </row>
    <row r="79" spans="1:36" x14ac:dyDescent="0.25">
      <c r="A79" s="6" t="s">
        <v>41</v>
      </c>
      <c r="B79" s="17">
        <v>9.5</v>
      </c>
      <c r="C79" s="6" t="s">
        <v>36</v>
      </c>
      <c r="D79" s="6" t="s">
        <v>11</v>
      </c>
      <c r="E79" s="49">
        <v>-49.887999999999998</v>
      </c>
      <c r="F79" s="49">
        <v>-24.7974</v>
      </c>
      <c r="G79" s="29">
        <v>300</v>
      </c>
      <c r="H79" s="29">
        <v>500</v>
      </c>
      <c r="I79" s="28">
        <f t="shared" si="12"/>
        <v>460</v>
      </c>
      <c r="J79" s="28">
        <f t="shared" si="18"/>
        <v>153.18951777308274</v>
      </c>
      <c r="K79" s="11">
        <v>14</v>
      </c>
      <c r="L79" s="11">
        <v>2</v>
      </c>
      <c r="M79" s="11">
        <v>12</v>
      </c>
      <c r="N79" s="11">
        <v>2</v>
      </c>
      <c r="O79" s="28">
        <f t="shared" si="19"/>
        <v>534.07075111026484</v>
      </c>
      <c r="P79" s="34" t="str">
        <f t="shared" si="13"/>
        <v>OK</v>
      </c>
      <c r="Q79" s="17">
        <f t="shared" si="14"/>
        <v>86.452168765223007</v>
      </c>
      <c r="R79" s="19">
        <f t="shared" si="20"/>
        <v>-0.28683375274646916</v>
      </c>
      <c r="S79" s="6" t="s">
        <v>41</v>
      </c>
      <c r="T79" s="17">
        <v>9.5</v>
      </c>
      <c r="U79" s="6" t="s">
        <v>36</v>
      </c>
      <c r="V79" s="6" t="s">
        <v>12</v>
      </c>
      <c r="W79" s="49">
        <v>-112.005</v>
      </c>
      <c r="X79" s="49">
        <v>-86.042400000000001</v>
      </c>
      <c r="Y79" s="10">
        <v>300</v>
      </c>
      <c r="Z79" s="10">
        <v>500</v>
      </c>
      <c r="AA79" s="7">
        <f t="shared" si="15"/>
        <v>460</v>
      </c>
      <c r="AB79" s="28">
        <f t="shared" si="16"/>
        <v>531.53934541680553</v>
      </c>
      <c r="AC79" s="61">
        <v>18</v>
      </c>
      <c r="AD79" s="61">
        <v>2</v>
      </c>
      <c r="AE79" s="61">
        <v>18</v>
      </c>
      <c r="AF79" s="61">
        <v>1</v>
      </c>
      <c r="AG79" s="28">
        <f t="shared" si="21"/>
        <v>763.40701482231975</v>
      </c>
      <c r="AH79" s="35" t="str">
        <f t="shared" si="17"/>
        <v>OK</v>
      </c>
      <c r="AI79" s="28">
        <f t="shared" si="22"/>
        <v>-123.57574711734821</v>
      </c>
      <c r="AJ79" s="32">
        <f t="shared" si="23"/>
        <v>0.69627254543962946</v>
      </c>
    </row>
    <row r="80" spans="1:36" x14ac:dyDescent="0.25">
      <c r="A80" s="6" t="s">
        <v>41</v>
      </c>
      <c r="B80" s="17">
        <v>10</v>
      </c>
      <c r="C80" s="6" t="s">
        <v>36</v>
      </c>
      <c r="D80" s="6" t="s">
        <v>11</v>
      </c>
      <c r="E80" s="49">
        <v>-36.213999999999999</v>
      </c>
      <c r="F80" s="49">
        <v>-3.2717000000000001</v>
      </c>
      <c r="G80" s="29">
        <v>300</v>
      </c>
      <c r="H80" s="29">
        <v>500</v>
      </c>
      <c r="I80" s="28">
        <f t="shared" si="12"/>
        <v>460</v>
      </c>
      <c r="J80" s="28">
        <f t="shared" si="18"/>
        <v>20.211398989337383</v>
      </c>
      <c r="K80" s="11">
        <v>14</v>
      </c>
      <c r="L80" s="11">
        <v>2</v>
      </c>
      <c r="M80" s="11">
        <v>12</v>
      </c>
      <c r="N80" s="11">
        <v>2</v>
      </c>
      <c r="O80" s="28">
        <f t="shared" si="19"/>
        <v>534.07075111026484</v>
      </c>
      <c r="P80" s="34" t="str">
        <f t="shared" si="13"/>
        <v>OK</v>
      </c>
      <c r="Q80" s="17">
        <f t="shared" si="14"/>
        <v>86.452168765223007</v>
      </c>
      <c r="R80" s="19">
        <f t="shared" si="20"/>
        <v>-3.7844047717124504E-2</v>
      </c>
      <c r="S80" s="6" t="s">
        <v>41</v>
      </c>
      <c r="T80" s="17">
        <v>10</v>
      </c>
      <c r="U80" s="6" t="s">
        <v>36</v>
      </c>
      <c r="V80" s="6" t="s">
        <v>12</v>
      </c>
      <c r="W80" s="49">
        <v>-87.019000000000005</v>
      </c>
      <c r="X80" s="49">
        <v>-37.164099999999998</v>
      </c>
      <c r="Y80" s="10">
        <v>300</v>
      </c>
      <c r="Z80" s="10">
        <v>500</v>
      </c>
      <c r="AA80" s="7">
        <f t="shared" si="15"/>
        <v>460</v>
      </c>
      <c r="AB80" s="28">
        <f t="shared" si="16"/>
        <v>229.58659204072299</v>
      </c>
      <c r="AC80" s="61">
        <v>18</v>
      </c>
      <c r="AD80" s="61">
        <v>2</v>
      </c>
      <c r="AE80" s="61">
        <v>18</v>
      </c>
      <c r="AF80" s="61">
        <v>1</v>
      </c>
      <c r="AG80" s="28">
        <f t="shared" si="21"/>
        <v>763.40701482231975</v>
      </c>
      <c r="AH80" s="35" t="str">
        <f t="shared" si="17"/>
        <v>OK</v>
      </c>
      <c r="AI80" s="28">
        <f t="shared" si="22"/>
        <v>-123.57574711734821</v>
      </c>
      <c r="AJ80" s="32">
        <f t="shared" si="23"/>
        <v>0.30073943202389675</v>
      </c>
    </row>
    <row r="81" spans="1:36" x14ac:dyDescent="0.25">
      <c r="A81" s="6" t="s">
        <v>41</v>
      </c>
      <c r="B81" s="17">
        <v>10.5</v>
      </c>
      <c r="C81" s="6" t="s">
        <v>36</v>
      </c>
      <c r="D81" s="6" t="s">
        <v>11</v>
      </c>
      <c r="E81" s="49">
        <v>-22.541</v>
      </c>
      <c r="F81" s="49">
        <v>11.417400000000001</v>
      </c>
      <c r="G81" s="29">
        <v>300</v>
      </c>
      <c r="H81" s="29">
        <v>500</v>
      </c>
      <c r="I81" s="28">
        <f t="shared" si="12"/>
        <v>460</v>
      </c>
      <c r="J81" s="28">
        <f t="shared" si="18"/>
        <v>70.53263649505169</v>
      </c>
      <c r="K81" s="11">
        <v>14</v>
      </c>
      <c r="L81" s="11">
        <v>2</v>
      </c>
      <c r="M81" s="11">
        <v>12</v>
      </c>
      <c r="N81" s="11">
        <v>2</v>
      </c>
      <c r="O81" s="28">
        <f t="shared" si="19"/>
        <v>534.07075111026484</v>
      </c>
      <c r="P81" s="34" t="str">
        <f t="shared" si="13"/>
        <v>OK</v>
      </c>
      <c r="Q81" s="17">
        <f t="shared" si="14"/>
        <v>86.452168765223007</v>
      </c>
      <c r="R81" s="19">
        <f t="shared" si="20"/>
        <v>0.13206609114695642</v>
      </c>
      <c r="S81" s="6" t="s">
        <v>41</v>
      </c>
      <c r="T81" s="17">
        <v>10.5</v>
      </c>
      <c r="U81" s="6" t="s">
        <v>36</v>
      </c>
      <c r="V81" s="6" t="s">
        <v>12</v>
      </c>
      <c r="W81" s="49">
        <v>-62.033999999999999</v>
      </c>
      <c r="X81" s="49">
        <v>-10.8415</v>
      </c>
      <c r="Y81" s="10">
        <v>300</v>
      </c>
      <c r="Z81" s="10">
        <v>500</v>
      </c>
      <c r="AA81" s="7">
        <f t="shared" si="15"/>
        <v>460</v>
      </c>
      <c r="AB81" s="28">
        <f t="shared" si="16"/>
        <v>66.974931119265591</v>
      </c>
      <c r="AC81" s="61">
        <v>18</v>
      </c>
      <c r="AD81" s="61">
        <v>2</v>
      </c>
      <c r="AE81" s="61">
        <v>12</v>
      </c>
      <c r="AF81" s="61">
        <v>0</v>
      </c>
      <c r="AG81" s="28">
        <f t="shared" si="21"/>
        <v>508.93800988154646</v>
      </c>
      <c r="AH81" s="35" t="str">
        <f t="shared" si="17"/>
        <v>OK</v>
      </c>
      <c r="AI81" s="28">
        <f t="shared" si="22"/>
        <v>-82.383831411565467</v>
      </c>
      <c r="AJ81" s="32">
        <f t="shared" si="23"/>
        <v>0.13159742408481884</v>
      </c>
    </row>
    <row r="82" spans="1:36" x14ac:dyDescent="0.25">
      <c r="A82" s="6" t="s">
        <v>41</v>
      </c>
      <c r="B82" s="17">
        <v>11</v>
      </c>
      <c r="C82" s="6" t="s">
        <v>36</v>
      </c>
      <c r="D82" s="6" t="s">
        <v>11</v>
      </c>
      <c r="E82" s="49">
        <v>-8.8670000000000009</v>
      </c>
      <c r="F82" s="49">
        <v>25.747199999999999</v>
      </c>
      <c r="G82" s="29">
        <v>300</v>
      </c>
      <c r="H82" s="29">
        <v>500</v>
      </c>
      <c r="I82" s="28">
        <f t="shared" si="12"/>
        <v>460</v>
      </c>
      <c r="J82" s="28">
        <f t="shared" si="18"/>
        <v>159.05704436784163</v>
      </c>
      <c r="K82" s="11">
        <v>14</v>
      </c>
      <c r="L82" s="11">
        <v>2</v>
      </c>
      <c r="M82" s="11">
        <v>12</v>
      </c>
      <c r="N82" s="11">
        <v>2</v>
      </c>
      <c r="O82" s="28">
        <f t="shared" si="19"/>
        <v>534.07075111026484</v>
      </c>
      <c r="P82" s="34" t="str">
        <f t="shared" si="13"/>
        <v>OK</v>
      </c>
      <c r="Q82" s="17">
        <f t="shared" si="14"/>
        <v>86.452168765223007</v>
      </c>
      <c r="R82" s="19">
        <f t="shared" si="20"/>
        <v>0.29782017464386956</v>
      </c>
      <c r="S82" s="6" t="s">
        <v>41</v>
      </c>
      <c r="T82" s="17">
        <v>11</v>
      </c>
      <c r="U82" s="6" t="s">
        <v>36</v>
      </c>
      <c r="V82" s="6" t="s">
        <v>12</v>
      </c>
      <c r="W82" s="49">
        <v>-37.048000000000002</v>
      </c>
      <c r="X82" s="49">
        <v>8.6437000000000008</v>
      </c>
      <c r="Y82" s="10">
        <v>300</v>
      </c>
      <c r="Z82" s="10">
        <v>500</v>
      </c>
      <c r="AA82" s="7">
        <f t="shared" si="15"/>
        <v>460</v>
      </c>
      <c r="AB82" s="28">
        <f t="shared" si="16"/>
        <v>53.397704387363</v>
      </c>
      <c r="AC82" s="61">
        <v>18</v>
      </c>
      <c r="AD82" s="61">
        <v>2</v>
      </c>
      <c r="AE82" s="61">
        <v>12</v>
      </c>
      <c r="AF82" s="61">
        <v>0</v>
      </c>
      <c r="AG82" s="28">
        <f t="shared" si="21"/>
        <v>508.93800988154646</v>
      </c>
      <c r="AH82" s="35" t="str">
        <f t="shared" si="17"/>
        <v>OK</v>
      </c>
      <c r="AI82" s="28">
        <f t="shared" si="22"/>
        <v>-82.383831411565467</v>
      </c>
      <c r="AJ82" s="32">
        <f t="shared" si="23"/>
        <v>-0.10491985929640259</v>
      </c>
    </row>
    <row r="83" spans="1:36" x14ac:dyDescent="0.25">
      <c r="A83" s="6" t="s">
        <v>41</v>
      </c>
      <c r="B83" s="17">
        <v>11.5</v>
      </c>
      <c r="C83" s="6" t="s">
        <v>36</v>
      </c>
      <c r="D83" s="6" t="s">
        <v>11</v>
      </c>
      <c r="E83" s="49">
        <v>4.806</v>
      </c>
      <c r="F83" s="49">
        <v>38.024999999999999</v>
      </c>
      <c r="G83" s="29">
        <v>300</v>
      </c>
      <c r="H83" s="29">
        <v>500</v>
      </c>
      <c r="I83" s="28">
        <f t="shared" si="12"/>
        <v>460</v>
      </c>
      <c r="J83" s="28">
        <f t="shared" si="18"/>
        <v>234.90492605359719</v>
      </c>
      <c r="K83" s="11">
        <v>14</v>
      </c>
      <c r="L83" s="11">
        <v>2</v>
      </c>
      <c r="M83" s="11">
        <v>12</v>
      </c>
      <c r="N83" s="11">
        <v>2</v>
      </c>
      <c r="O83" s="28">
        <f t="shared" si="19"/>
        <v>534.07075111026484</v>
      </c>
      <c r="P83" s="34" t="str">
        <f t="shared" si="13"/>
        <v>OK</v>
      </c>
      <c r="Q83" s="17">
        <f t="shared" si="14"/>
        <v>86.452168765223007</v>
      </c>
      <c r="R83" s="19">
        <f t="shared" si="20"/>
        <v>0.43983858985960178</v>
      </c>
      <c r="S83" s="6" t="s">
        <v>41</v>
      </c>
      <c r="T83" s="17">
        <v>11.5</v>
      </c>
      <c r="U83" s="6" t="s">
        <v>36</v>
      </c>
      <c r="V83" s="6" t="s">
        <v>12</v>
      </c>
      <c r="W83" s="49">
        <v>-18.462</v>
      </c>
      <c r="X83" s="49">
        <v>20.257100000000001</v>
      </c>
      <c r="Y83" s="10">
        <v>300</v>
      </c>
      <c r="Z83" s="10">
        <v>500</v>
      </c>
      <c r="AA83" s="7">
        <f t="shared" si="15"/>
        <v>460</v>
      </c>
      <c r="AB83" s="28">
        <f t="shared" si="16"/>
        <v>125.14115917318406</v>
      </c>
      <c r="AC83" s="61">
        <v>18</v>
      </c>
      <c r="AD83" s="61">
        <v>2</v>
      </c>
      <c r="AE83" s="61">
        <v>12</v>
      </c>
      <c r="AF83" s="61">
        <v>0</v>
      </c>
      <c r="AG83" s="28">
        <f t="shared" si="21"/>
        <v>508.93800988154646</v>
      </c>
      <c r="AH83" s="35" t="str">
        <f t="shared" si="17"/>
        <v>OK</v>
      </c>
      <c r="AI83" s="28">
        <f t="shared" si="22"/>
        <v>-82.383831411565467</v>
      </c>
      <c r="AJ83" s="32">
        <f t="shared" si="23"/>
        <v>-0.24588684032915961</v>
      </c>
    </row>
    <row r="84" spans="1:36" x14ac:dyDescent="0.25">
      <c r="A84" s="6" t="s">
        <v>41</v>
      </c>
      <c r="B84" s="17">
        <v>12</v>
      </c>
      <c r="C84" s="6" t="s">
        <v>36</v>
      </c>
      <c r="D84" s="6" t="s">
        <v>11</v>
      </c>
      <c r="E84" s="49">
        <v>18.48</v>
      </c>
      <c r="F84" s="49">
        <v>37.81</v>
      </c>
      <c r="G84" s="29">
        <v>300</v>
      </c>
      <c r="H84" s="29">
        <v>500</v>
      </c>
      <c r="I84" s="28">
        <f t="shared" si="12"/>
        <v>460</v>
      </c>
      <c r="J84" s="28">
        <f t="shared" si="18"/>
        <v>233.57673252035531</v>
      </c>
      <c r="K84" s="11">
        <v>14</v>
      </c>
      <c r="L84" s="11">
        <v>2</v>
      </c>
      <c r="M84" s="11">
        <v>12</v>
      </c>
      <c r="N84" s="11">
        <v>2</v>
      </c>
      <c r="O84" s="28">
        <f t="shared" si="19"/>
        <v>534.07075111026484</v>
      </c>
      <c r="P84" s="34" t="str">
        <f t="shared" si="13"/>
        <v>OK</v>
      </c>
      <c r="Q84" s="17">
        <f t="shared" si="14"/>
        <v>86.452168765223007</v>
      </c>
      <c r="R84" s="19">
        <f t="shared" si="20"/>
        <v>0.43735166555138844</v>
      </c>
      <c r="S84" s="6" t="s">
        <v>41</v>
      </c>
      <c r="T84" s="17">
        <v>12</v>
      </c>
      <c r="U84" s="6" t="s">
        <v>36</v>
      </c>
      <c r="V84" s="6" t="s">
        <v>12</v>
      </c>
      <c r="W84" s="49">
        <v>-4.7889999999999997</v>
      </c>
      <c r="X84" s="49">
        <v>14.46</v>
      </c>
      <c r="Y84" s="10">
        <v>300</v>
      </c>
      <c r="Z84" s="10">
        <v>500</v>
      </c>
      <c r="AA84" s="7">
        <f t="shared" si="15"/>
        <v>460</v>
      </c>
      <c r="AB84" s="28">
        <f t="shared" si="16"/>
        <v>89.328737165943863</v>
      </c>
      <c r="AC84" s="61">
        <v>18</v>
      </c>
      <c r="AD84" s="61">
        <v>2</v>
      </c>
      <c r="AE84" s="61">
        <v>12</v>
      </c>
      <c r="AF84" s="61">
        <v>0</v>
      </c>
      <c r="AG84" s="28">
        <f t="shared" si="21"/>
        <v>508.93800988154646</v>
      </c>
      <c r="AH84" s="35" t="str">
        <f t="shared" si="17"/>
        <v>OK</v>
      </c>
      <c r="AI84" s="28">
        <f t="shared" si="22"/>
        <v>-82.383831411565467</v>
      </c>
      <c r="AJ84" s="32">
        <f t="shared" si="23"/>
        <v>-0.17551987753230461</v>
      </c>
    </row>
    <row r="85" spans="1:36" x14ac:dyDescent="0.25">
      <c r="A85" s="6" t="s">
        <v>41</v>
      </c>
      <c r="B85" s="17">
        <v>12.5</v>
      </c>
      <c r="C85" s="6" t="s">
        <v>36</v>
      </c>
      <c r="D85" s="6" t="s">
        <v>11</v>
      </c>
      <c r="E85" s="49">
        <v>37.908000000000001</v>
      </c>
      <c r="F85" s="49">
        <v>26.085000000000001</v>
      </c>
      <c r="G85" s="29">
        <v>300</v>
      </c>
      <c r="H85" s="29">
        <v>500</v>
      </c>
      <c r="I85" s="28">
        <f t="shared" si="12"/>
        <v>460</v>
      </c>
      <c r="J85" s="28">
        <f t="shared" si="18"/>
        <v>161.14385262611657</v>
      </c>
      <c r="K85" s="11">
        <v>14</v>
      </c>
      <c r="L85" s="11">
        <v>2</v>
      </c>
      <c r="M85" s="11">
        <v>12</v>
      </c>
      <c r="N85" s="11">
        <v>2</v>
      </c>
      <c r="O85" s="28">
        <f t="shared" si="19"/>
        <v>534.07075111026484</v>
      </c>
      <c r="P85" s="34" t="str">
        <f t="shared" si="13"/>
        <v>OK</v>
      </c>
      <c r="Q85" s="17">
        <f t="shared" si="14"/>
        <v>86.452168765223007</v>
      </c>
      <c r="R85" s="19">
        <f t="shared" si="20"/>
        <v>0.30172753758021598</v>
      </c>
      <c r="S85" s="6" t="s">
        <v>41</v>
      </c>
      <c r="T85" s="17">
        <v>12.5</v>
      </c>
      <c r="U85" s="6" t="s">
        <v>36</v>
      </c>
      <c r="V85" s="6" t="s">
        <v>12</v>
      </c>
      <c r="W85" s="49">
        <v>8.8849999999999998</v>
      </c>
      <c r="X85" s="49">
        <v>1.8025</v>
      </c>
      <c r="Y85" s="10">
        <v>300</v>
      </c>
      <c r="Z85" s="10">
        <v>500</v>
      </c>
      <c r="AA85" s="7">
        <f t="shared" si="15"/>
        <v>460</v>
      </c>
      <c r="AB85" s="28">
        <f t="shared" si="16"/>
        <v>11.135203924039683</v>
      </c>
      <c r="AC85" s="61">
        <v>18</v>
      </c>
      <c r="AD85" s="61">
        <v>2</v>
      </c>
      <c r="AE85" s="61">
        <v>12</v>
      </c>
      <c r="AF85" s="61">
        <v>0</v>
      </c>
      <c r="AG85" s="28">
        <f t="shared" si="21"/>
        <v>508.93800988154646</v>
      </c>
      <c r="AH85" s="35" t="str">
        <f t="shared" si="17"/>
        <v>OK</v>
      </c>
      <c r="AI85" s="28">
        <f t="shared" si="22"/>
        <v>-82.383831411565467</v>
      </c>
      <c r="AJ85" s="32">
        <f t="shared" si="23"/>
        <v>-2.1879293170952909E-2</v>
      </c>
    </row>
    <row r="86" spans="1:36" x14ac:dyDescent="0.25">
      <c r="A86" s="6" t="s">
        <v>41</v>
      </c>
      <c r="B86" s="17">
        <v>13</v>
      </c>
      <c r="C86" s="6" t="s">
        <v>36</v>
      </c>
      <c r="D86" s="6" t="s">
        <v>11</v>
      </c>
      <c r="E86" s="49">
        <v>62.893000000000001</v>
      </c>
      <c r="F86" s="49">
        <v>18.2239</v>
      </c>
      <c r="G86" s="29">
        <v>300</v>
      </c>
      <c r="H86" s="29">
        <v>500</v>
      </c>
      <c r="I86" s="28">
        <f t="shared" si="12"/>
        <v>460</v>
      </c>
      <c r="J86" s="28">
        <f t="shared" si="18"/>
        <v>112.58077269975411</v>
      </c>
      <c r="K86" s="11">
        <v>14</v>
      </c>
      <c r="L86" s="11">
        <v>2</v>
      </c>
      <c r="M86" s="11">
        <v>12</v>
      </c>
      <c r="N86" s="11">
        <v>2</v>
      </c>
      <c r="O86" s="28">
        <f t="shared" si="19"/>
        <v>534.07075111026484</v>
      </c>
      <c r="P86" s="34" t="str">
        <f t="shared" si="13"/>
        <v>OK</v>
      </c>
      <c r="Q86" s="17">
        <f t="shared" si="14"/>
        <v>86.452168765223007</v>
      </c>
      <c r="R86" s="19">
        <f t="shared" si="20"/>
        <v>0.2107974879090703</v>
      </c>
      <c r="S86" s="6" t="s">
        <v>41</v>
      </c>
      <c r="T86" s="17">
        <v>13</v>
      </c>
      <c r="U86" s="6" t="s">
        <v>36</v>
      </c>
      <c r="V86" s="6" t="s">
        <v>12</v>
      </c>
      <c r="W86" s="49">
        <v>22.558</v>
      </c>
      <c r="X86" s="49">
        <v>-17.692299999999999</v>
      </c>
      <c r="Y86" s="10">
        <v>300</v>
      </c>
      <c r="Z86" s="10">
        <v>500</v>
      </c>
      <c r="AA86" s="7">
        <f t="shared" si="15"/>
        <v>460</v>
      </c>
      <c r="AB86" s="28">
        <f t="shared" si="16"/>
        <v>109.29673696825924</v>
      </c>
      <c r="AC86" s="61">
        <v>18</v>
      </c>
      <c r="AD86" s="61">
        <v>2</v>
      </c>
      <c r="AE86" s="61">
        <v>12</v>
      </c>
      <c r="AF86" s="61">
        <v>0</v>
      </c>
      <c r="AG86" s="28">
        <f t="shared" si="21"/>
        <v>508.93800988154646</v>
      </c>
      <c r="AH86" s="35" t="str">
        <f t="shared" si="17"/>
        <v>OK</v>
      </c>
      <c r="AI86" s="28">
        <f t="shared" si="22"/>
        <v>-82.383831411565467</v>
      </c>
      <c r="AJ86" s="32">
        <f t="shared" si="23"/>
        <v>0.21475451792979203</v>
      </c>
    </row>
    <row r="87" spans="1:36" x14ac:dyDescent="0.25">
      <c r="A87" s="6" t="s">
        <v>41</v>
      </c>
      <c r="B87" s="17">
        <v>13.5</v>
      </c>
      <c r="C87" s="6" t="s">
        <v>36</v>
      </c>
      <c r="D87" s="6" t="s">
        <v>11</v>
      </c>
      <c r="E87" s="49">
        <v>87.879000000000005</v>
      </c>
      <c r="F87" s="49">
        <v>3.5261</v>
      </c>
      <c r="G87" s="29">
        <v>300</v>
      </c>
      <c r="H87" s="29">
        <v>500</v>
      </c>
      <c r="I87" s="28">
        <f t="shared" si="12"/>
        <v>460</v>
      </c>
      <c r="J87" s="28">
        <f t="shared" si="18"/>
        <v>21.782991709601291</v>
      </c>
      <c r="K87" s="11">
        <v>14</v>
      </c>
      <c r="L87" s="11">
        <v>2</v>
      </c>
      <c r="M87" s="11">
        <v>12</v>
      </c>
      <c r="N87" s="11">
        <v>2</v>
      </c>
      <c r="O87" s="28">
        <f>PI()*K87^2/4*L87+PI()*M87^2/4*N87</f>
        <v>534.07075111026484</v>
      </c>
      <c r="P87" s="34" t="str">
        <f t="shared" si="13"/>
        <v>OK</v>
      </c>
      <c r="Q87" s="17">
        <f t="shared" si="14"/>
        <v>86.452168765223007</v>
      </c>
      <c r="R87" s="19">
        <f t="shared" si="20"/>
        <v>4.0786715363680261E-2</v>
      </c>
      <c r="S87" s="6" t="s">
        <v>41</v>
      </c>
      <c r="T87" s="17">
        <v>13.5</v>
      </c>
      <c r="U87" s="6" t="s">
        <v>36</v>
      </c>
      <c r="V87" s="6" t="s">
        <v>12</v>
      </c>
      <c r="W87" s="49">
        <v>36.231999999999999</v>
      </c>
      <c r="X87" s="49">
        <v>-44.024099999999997</v>
      </c>
      <c r="Y87" s="10">
        <v>300</v>
      </c>
      <c r="Z87" s="10">
        <v>500</v>
      </c>
      <c r="AA87" s="7">
        <f t="shared" si="15"/>
        <v>460</v>
      </c>
      <c r="AB87" s="28">
        <f t="shared" si="16"/>
        <v>271.96523221765074</v>
      </c>
      <c r="AC87" s="61">
        <v>18</v>
      </c>
      <c r="AD87" s="61">
        <v>2</v>
      </c>
      <c r="AE87" s="61">
        <v>12</v>
      </c>
      <c r="AF87" s="61">
        <v>0</v>
      </c>
      <c r="AG87" s="28">
        <f t="shared" si="21"/>
        <v>508.93800988154646</v>
      </c>
      <c r="AH87" s="35" t="str">
        <f t="shared" si="17"/>
        <v>OK</v>
      </c>
      <c r="AI87" s="28">
        <f t="shared" si="22"/>
        <v>-82.383831411565467</v>
      </c>
      <c r="AJ87" s="32">
        <f>X87/AI87</f>
        <v>0.53437791427869508</v>
      </c>
    </row>
    <row r="88" spans="1:3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3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112" spans="1:36" x14ac:dyDescent="0.25">
      <c r="A112" s="2" t="s">
        <v>1</v>
      </c>
      <c r="B112" s="3" t="s">
        <v>2</v>
      </c>
      <c r="C112" s="2" t="s">
        <v>34</v>
      </c>
      <c r="D112" s="2" t="s">
        <v>3</v>
      </c>
      <c r="E112" s="3" t="s">
        <v>4</v>
      </c>
      <c r="F112" s="3" t="s">
        <v>5</v>
      </c>
      <c r="G112" s="5" t="s">
        <v>20</v>
      </c>
      <c r="H112" s="5" t="s">
        <v>21</v>
      </c>
      <c r="I112" s="5" t="s">
        <v>25</v>
      </c>
      <c r="J112" s="5" t="s">
        <v>23</v>
      </c>
      <c r="K112" s="5" t="s">
        <v>26</v>
      </c>
      <c r="L112" s="5" t="s">
        <v>27</v>
      </c>
      <c r="M112" s="5" t="s">
        <v>26</v>
      </c>
      <c r="N112" s="5" t="s">
        <v>27</v>
      </c>
      <c r="O112" s="5" t="s">
        <v>23</v>
      </c>
      <c r="P112" s="18"/>
      <c r="Q112" s="5" t="s">
        <v>31</v>
      </c>
      <c r="R112" s="5" t="s">
        <v>33</v>
      </c>
      <c r="S112" s="2" t="s">
        <v>1</v>
      </c>
      <c r="T112" s="3" t="s">
        <v>2</v>
      </c>
      <c r="U112" s="2" t="s">
        <v>34</v>
      </c>
      <c r="V112" s="2" t="s">
        <v>3</v>
      </c>
      <c r="W112" s="3" t="s">
        <v>4</v>
      </c>
      <c r="X112" s="3" t="s">
        <v>5</v>
      </c>
      <c r="Y112" s="5" t="s">
        <v>20</v>
      </c>
      <c r="Z112" s="5" t="s">
        <v>21</v>
      </c>
      <c r="AA112" s="5" t="s">
        <v>25</v>
      </c>
      <c r="AB112" s="5" t="s">
        <v>23</v>
      </c>
      <c r="AC112" s="5" t="s">
        <v>26</v>
      </c>
      <c r="AD112" s="5" t="s">
        <v>27</v>
      </c>
      <c r="AE112" s="5" t="s">
        <v>26</v>
      </c>
      <c r="AF112" s="5" t="s">
        <v>27</v>
      </c>
      <c r="AG112" s="5" t="s">
        <v>23</v>
      </c>
      <c r="AH112" s="18"/>
      <c r="AI112" s="5" t="s">
        <v>31</v>
      </c>
      <c r="AJ112" s="5" t="s">
        <v>33</v>
      </c>
    </row>
    <row r="113" spans="1:36" x14ac:dyDescent="0.25">
      <c r="A113" s="4" t="s">
        <v>6</v>
      </c>
      <c r="B113" s="5" t="s">
        <v>7</v>
      </c>
      <c r="C113" s="4" t="s">
        <v>6</v>
      </c>
      <c r="D113" s="4" t="s">
        <v>6</v>
      </c>
      <c r="E113" s="5" t="s">
        <v>8</v>
      </c>
      <c r="F113" s="5" t="s">
        <v>9</v>
      </c>
      <c r="G113" s="5" t="s">
        <v>22</v>
      </c>
      <c r="H113" s="5" t="s">
        <v>22</v>
      </c>
      <c r="I113" s="5" t="s">
        <v>22</v>
      </c>
      <c r="J113" s="5" t="s">
        <v>24</v>
      </c>
      <c r="K113" s="5" t="s">
        <v>22</v>
      </c>
      <c r="L113" s="5" t="s">
        <v>28</v>
      </c>
      <c r="M113" s="5" t="s">
        <v>22</v>
      </c>
      <c r="N113" s="5" t="s">
        <v>28</v>
      </c>
      <c r="O113" s="5" t="s">
        <v>24</v>
      </c>
      <c r="P113" s="18"/>
      <c r="Q113" s="5" t="s">
        <v>9</v>
      </c>
      <c r="R113" s="5" t="s">
        <v>28</v>
      </c>
      <c r="S113" s="4" t="s">
        <v>6</v>
      </c>
      <c r="T113" s="5" t="s">
        <v>7</v>
      </c>
      <c r="U113" s="4" t="s">
        <v>6</v>
      </c>
      <c r="V113" s="4" t="s">
        <v>6</v>
      </c>
      <c r="W113" s="5" t="s">
        <v>8</v>
      </c>
      <c r="X113" s="5" t="s">
        <v>9</v>
      </c>
      <c r="Y113" s="5" t="s">
        <v>22</v>
      </c>
      <c r="Z113" s="5" t="s">
        <v>22</v>
      </c>
      <c r="AA113" s="5" t="s">
        <v>22</v>
      </c>
      <c r="AB113" s="5" t="s">
        <v>24</v>
      </c>
      <c r="AC113" s="5" t="s">
        <v>22</v>
      </c>
      <c r="AD113" s="5" t="s">
        <v>28</v>
      </c>
      <c r="AE113" s="5" t="s">
        <v>22</v>
      </c>
      <c r="AF113" s="5" t="s">
        <v>28</v>
      </c>
      <c r="AG113" s="5" t="s">
        <v>24</v>
      </c>
      <c r="AH113" s="18"/>
      <c r="AI113" s="5" t="s">
        <v>9</v>
      </c>
      <c r="AJ113" s="5" t="s">
        <v>28</v>
      </c>
    </row>
    <row r="114" spans="1:36" x14ac:dyDescent="0.25">
      <c r="A114" s="6" t="s">
        <v>42</v>
      </c>
      <c r="B114" s="17">
        <v>0</v>
      </c>
      <c r="C114" s="6" t="s">
        <v>36</v>
      </c>
      <c r="D114" s="6" t="s">
        <v>11</v>
      </c>
      <c r="E114" s="49">
        <v>-44.591999999999999</v>
      </c>
      <c r="F114" s="49">
        <v>-0.59640000000000004</v>
      </c>
      <c r="G114" s="29">
        <v>300</v>
      </c>
      <c r="H114" s="29">
        <v>500</v>
      </c>
      <c r="I114" s="28">
        <f t="shared" ref="I114:I143" si="24">H114-40</f>
        <v>460</v>
      </c>
      <c r="J114" s="28">
        <f>ABS(F114)*1000^2/(0.9*391*I114)</f>
        <v>3.6843470847696351</v>
      </c>
      <c r="K114" s="11">
        <v>14</v>
      </c>
      <c r="L114" s="11">
        <v>2</v>
      </c>
      <c r="M114" s="11">
        <v>12</v>
      </c>
      <c r="N114" s="11">
        <v>2</v>
      </c>
      <c r="O114" s="28">
        <f>PI()*K114^2/4*L114+PI()*M114^2/4*N114</f>
        <v>534.07075111026484</v>
      </c>
      <c r="P114" s="34" t="str">
        <f t="shared" ref="P114:P143" si="25">IF(O114&gt;=J114,"OK","NO")</f>
        <v>OK</v>
      </c>
      <c r="Q114" s="17">
        <f t="shared" ref="Q114:Q143" si="26">(O114*0.9*391*I114)/1000^2</f>
        <v>86.452168765223007</v>
      </c>
      <c r="R114" s="19">
        <f>F114/Q114</f>
        <v>-6.8986123600859048E-3</v>
      </c>
      <c r="S114" s="6" t="s">
        <v>42</v>
      </c>
      <c r="T114" s="17">
        <v>0</v>
      </c>
      <c r="U114" s="6" t="s">
        <v>36</v>
      </c>
      <c r="V114" s="6" t="s">
        <v>12</v>
      </c>
      <c r="W114" s="49">
        <v>-102.98399999999999</v>
      </c>
      <c r="X114" s="49">
        <v>-46.3508</v>
      </c>
      <c r="Y114" s="29">
        <v>300</v>
      </c>
      <c r="Z114" s="29">
        <v>500</v>
      </c>
      <c r="AA114" s="28">
        <f t="shared" ref="AA114:AA143" si="27">Z114-40</f>
        <v>460</v>
      </c>
      <c r="AB114" s="28">
        <f>ABS(X114)*1000^2/(0.9*391*AA114)</f>
        <v>286.33875730506441</v>
      </c>
      <c r="AC114" s="61">
        <v>18</v>
      </c>
      <c r="AD114" s="61">
        <v>2</v>
      </c>
      <c r="AE114" s="61">
        <v>0</v>
      </c>
      <c r="AF114" s="61">
        <v>2</v>
      </c>
      <c r="AG114" s="28">
        <f>PI()*AC114^2/4*AD114+PI()*AE114^2/4*AF114</f>
        <v>508.93800988154646</v>
      </c>
      <c r="AH114" s="34" t="str">
        <f t="shared" ref="AH114:AH143" si="28">IF(AG114&gt;=AB114,"OK","NO")</f>
        <v>OK</v>
      </c>
      <c r="AI114" s="28">
        <f>-(AG114*0.9*391*AA114)/1000^2</f>
        <v>-82.383831411565467</v>
      </c>
      <c r="AJ114" s="32">
        <f>X114/AI114</f>
        <v>0.56262010646779692</v>
      </c>
    </row>
    <row r="115" spans="1:36" x14ac:dyDescent="0.25">
      <c r="A115" s="6" t="s">
        <v>42</v>
      </c>
      <c r="B115" s="17">
        <v>0.5</v>
      </c>
      <c r="C115" s="6" t="s">
        <v>36</v>
      </c>
      <c r="D115" s="6" t="s">
        <v>11</v>
      </c>
      <c r="E115" s="49">
        <v>-28.635999999999999</v>
      </c>
      <c r="F115" s="49">
        <v>17.710799999999999</v>
      </c>
      <c r="G115" s="29">
        <v>300</v>
      </c>
      <c r="H115" s="29">
        <v>500</v>
      </c>
      <c r="I115" s="28">
        <f t="shared" si="24"/>
        <v>460</v>
      </c>
      <c r="J115" s="28">
        <f t="shared" ref="J115:J143" si="29">ABS(F115)*1000^2/(0.9*391*I115)</f>
        <v>109.41102338856146</v>
      </c>
      <c r="K115" s="11">
        <v>14</v>
      </c>
      <c r="L115" s="11">
        <v>2</v>
      </c>
      <c r="M115" s="11">
        <v>12</v>
      </c>
      <c r="N115" s="11">
        <v>2</v>
      </c>
      <c r="O115" s="28">
        <f t="shared" ref="O115:O142" si="30">PI()*K115^2/4*L115+PI()*M115^2/4*N115</f>
        <v>534.07075111026484</v>
      </c>
      <c r="P115" s="34" t="str">
        <f t="shared" si="25"/>
        <v>OK</v>
      </c>
      <c r="Q115" s="17">
        <f t="shared" si="26"/>
        <v>86.452168765223007</v>
      </c>
      <c r="R115" s="19">
        <f t="shared" ref="R115:R143" si="31">F115/Q115</f>
        <v>0.20486241412979447</v>
      </c>
      <c r="S115" s="6" t="s">
        <v>42</v>
      </c>
      <c r="T115" s="17">
        <v>0.5</v>
      </c>
      <c r="U115" s="6" t="s">
        <v>36</v>
      </c>
      <c r="V115" s="6" t="s">
        <v>12</v>
      </c>
      <c r="W115" s="49">
        <v>-73.680000000000007</v>
      </c>
      <c r="X115" s="49">
        <v>-16.847100000000001</v>
      </c>
      <c r="Y115" s="29">
        <v>300</v>
      </c>
      <c r="Z115" s="29">
        <v>500</v>
      </c>
      <c r="AA115" s="28">
        <f t="shared" si="27"/>
        <v>460</v>
      </c>
      <c r="AB115" s="28">
        <f t="shared" ref="AB115:AB143" si="32">ABS(X115)*1000^2/(0.9*391*AA115)</f>
        <v>104.07539197153339</v>
      </c>
      <c r="AC115" s="61">
        <v>18</v>
      </c>
      <c r="AD115" s="61">
        <v>2</v>
      </c>
      <c r="AE115" s="61">
        <v>0</v>
      </c>
      <c r="AF115" s="61">
        <v>2</v>
      </c>
      <c r="AG115" s="28">
        <f t="shared" ref="AG115:AG142" si="33">PI()*AC115^2/4*AD115+PI()*AE115^2/4*AF115</f>
        <v>508.93800988154646</v>
      </c>
      <c r="AH115" s="34" t="str">
        <f t="shared" si="28"/>
        <v>OK</v>
      </c>
      <c r="AI115" s="28">
        <f t="shared" ref="AI115:AI143" si="34">-(AG115*0.9*391*AA115)/1000^2</f>
        <v>-82.383831411565467</v>
      </c>
      <c r="AJ115" s="32">
        <f t="shared" ref="AJ115:AJ142" si="35">X115/AI115</f>
        <v>0.20449522329007533</v>
      </c>
    </row>
    <row r="116" spans="1:36" x14ac:dyDescent="0.25">
      <c r="A116" s="6" t="s">
        <v>42</v>
      </c>
      <c r="B116" s="17">
        <v>1</v>
      </c>
      <c r="C116" s="6" t="s">
        <v>36</v>
      </c>
      <c r="D116" s="6" t="s">
        <v>11</v>
      </c>
      <c r="E116" s="49">
        <v>-12.68</v>
      </c>
      <c r="F116" s="49">
        <v>29.568999999999999</v>
      </c>
      <c r="G116" s="29">
        <v>300</v>
      </c>
      <c r="H116" s="29">
        <v>500</v>
      </c>
      <c r="I116" s="28">
        <f t="shared" si="24"/>
        <v>460</v>
      </c>
      <c r="J116" s="28">
        <f t="shared" si="29"/>
        <v>182.66676550897608</v>
      </c>
      <c r="K116" s="11">
        <v>14</v>
      </c>
      <c r="L116" s="11">
        <v>2</v>
      </c>
      <c r="M116" s="11">
        <v>12</v>
      </c>
      <c r="N116" s="11">
        <v>2</v>
      </c>
      <c r="O116" s="28">
        <f t="shared" si="30"/>
        <v>534.07075111026484</v>
      </c>
      <c r="P116" s="34" t="str">
        <f t="shared" si="25"/>
        <v>OK</v>
      </c>
      <c r="Q116" s="17">
        <f t="shared" si="26"/>
        <v>86.452168765223007</v>
      </c>
      <c r="R116" s="19">
        <f t="shared" si="31"/>
        <v>0.34202727846307862</v>
      </c>
      <c r="S116" s="6" t="s">
        <v>42</v>
      </c>
      <c r="T116" s="17">
        <v>1</v>
      </c>
      <c r="U116" s="6" t="s">
        <v>36</v>
      </c>
      <c r="V116" s="6" t="s">
        <v>12</v>
      </c>
      <c r="W116" s="49">
        <v>-44.375</v>
      </c>
      <c r="X116" s="49">
        <v>4.6784999999999997</v>
      </c>
      <c r="Y116" s="29">
        <v>300</v>
      </c>
      <c r="Z116" s="29">
        <v>500</v>
      </c>
      <c r="AA116" s="28">
        <f t="shared" si="27"/>
        <v>460</v>
      </c>
      <c r="AB116" s="28">
        <f t="shared" si="32"/>
        <v>28.902109047777895</v>
      </c>
      <c r="AC116" s="61">
        <v>18</v>
      </c>
      <c r="AD116" s="61">
        <v>2</v>
      </c>
      <c r="AE116" s="61">
        <v>0</v>
      </c>
      <c r="AF116" s="61">
        <v>2</v>
      </c>
      <c r="AG116" s="28">
        <f t="shared" si="33"/>
        <v>508.93800988154646</v>
      </c>
      <c r="AH116" s="34" t="str">
        <f t="shared" si="28"/>
        <v>OK</v>
      </c>
      <c r="AI116" s="28">
        <f t="shared" si="34"/>
        <v>-82.383831411565467</v>
      </c>
      <c r="AJ116" s="32">
        <f t="shared" si="35"/>
        <v>-5.6789055811541291E-2</v>
      </c>
    </row>
    <row r="117" spans="1:36" x14ac:dyDescent="0.25">
      <c r="A117" s="6" t="s">
        <v>42</v>
      </c>
      <c r="B117" s="17">
        <v>1.5</v>
      </c>
      <c r="C117" s="6" t="s">
        <v>36</v>
      </c>
      <c r="D117" s="6" t="s">
        <v>11</v>
      </c>
      <c r="E117" s="49">
        <v>3.2759999999999998</v>
      </c>
      <c r="F117" s="49">
        <v>44.430300000000003</v>
      </c>
      <c r="G117" s="29">
        <v>300</v>
      </c>
      <c r="H117" s="29">
        <v>500</v>
      </c>
      <c r="I117" s="28">
        <f t="shared" si="24"/>
        <v>460</v>
      </c>
      <c r="J117" s="28">
        <f t="shared" si="29"/>
        <v>274.47459134882683</v>
      </c>
      <c r="K117" s="11">
        <v>14</v>
      </c>
      <c r="L117" s="11">
        <v>2</v>
      </c>
      <c r="M117" s="11">
        <v>12</v>
      </c>
      <c r="N117" s="11">
        <v>2</v>
      </c>
      <c r="O117" s="28">
        <f t="shared" si="30"/>
        <v>534.07075111026484</v>
      </c>
      <c r="P117" s="34" t="str">
        <f t="shared" si="25"/>
        <v>OK</v>
      </c>
      <c r="Q117" s="17">
        <f t="shared" si="26"/>
        <v>86.452168765223007</v>
      </c>
      <c r="R117" s="19">
        <f t="shared" si="31"/>
        <v>0.51392927019169143</v>
      </c>
      <c r="S117" s="6" t="s">
        <v>42</v>
      </c>
      <c r="T117" s="17">
        <v>1.5</v>
      </c>
      <c r="U117" s="6" t="s">
        <v>36</v>
      </c>
      <c r="V117" s="6" t="s">
        <v>12</v>
      </c>
      <c r="W117" s="49">
        <v>-19.117000000000001</v>
      </c>
      <c r="X117" s="49">
        <v>18.225300000000001</v>
      </c>
      <c r="Y117" s="29">
        <v>300</v>
      </c>
      <c r="Z117" s="29">
        <v>500</v>
      </c>
      <c r="AA117" s="28">
        <f t="shared" si="27"/>
        <v>460</v>
      </c>
      <c r="AB117" s="28">
        <f t="shared" si="32"/>
        <v>112.58942140183103</v>
      </c>
      <c r="AC117" s="61">
        <v>18</v>
      </c>
      <c r="AD117" s="61">
        <v>2</v>
      </c>
      <c r="AE117" s="61">
        <v>0</v>
      </c>
      <c r="AF117" s="61">
        <v>2</v>
      </c>
      <c r="AG117" s="28">
        <f t="shared" si="33"/>
        <v>508.93800988154646</v>
      </c>
      <c r="AH117" s="34" t="str">
        <f t="shared" si="28"/>
        <v>OK</v>
      </c>
      <c r="AI117" s="28">
        <f t="shared" si="34"/>
        <v>-82.383831411565467</v>
      </c>
      <c r="AJ117" s="32">
        <f t="shared" si="35"/>
        <v>-0.22122423402417091</v>
      </c>
    </row>
    <row r="118" spans="1:36" x14ac:dyDescent="0.25">
      <c r="A118" s="6" t="s">
        <v>42</v>
      </c>
      <c r="B118" s="17">
        <v>2</v>
      </c>
      <c r="C118" s="6" t="s">
        <v>36</v>
      </c>
      <c r="D118" s="6" t="s">
        <v>11</v>
      </c>
      <c r="E118" s="49">
        <v>19.233000000000001</v>
      </c>
      <c r="F118" s="49">
        <v>44.639299999999999</v>
      </c>
      <c r="G118" s="29">
        <v>300</v>
      </c>
      <c r="H118" s="29">
        <v>500</v>
      </c>
      <c r="I118" s="28">
        <f t="shared" si="24"/>
        <v>460</v>
      </c>
      <c r="J118" s="28">
        <f t="shared" si="29"/>
        <v>275.76571901602478</v>
      </c>
      <c r="K118" s="11">
        <v>14</v>
      </c>
      <c r="L118" s="11">
        <v>2</v>
      </c>
      <c r="M118" s="11">
        <v>12</v>
      </c>
      <c r="N118" s="11">
        <v>2</v>
      </c>
      <c r="O118" s="28">
        <f t="shared" si="30"/>
        <v>534.07075111026484</v>
      </c>
      <c r="P118" s="34" t="str">
        <f t="shared" si="25"/>
        <v>OK</v>
      </c>
      <c r="Q118" s="17">
        <f t="shared" si="26"/>
        <v>86.452168765223007</v>
      </c>
      <c r="R118" s="19">
        <f t="shared" si="31"/>
        <v>0.51634679196107092</v>
      </c>
      <c r="S118" s="6" t="s">
        <v>42</v>
      </c>
      <c r="T118" s="17">
        <v>2</v>
      </c>
      <c r="U118" s="6" t="s">
        <v>36</v>
      </c>
      <c r="V118" s="6" t="s">
        <v>12</v>
      </c>
      <c r="W118" s="49">
        <v>-3.161</v>
      </c>
      <c r="X118" s="49">
        <v>23.7638</v>
      </c>
      <c r="Y118" s="29">
        <v>300</v>
      </c>
      <c r="Z118" s="29">
        <v>500</v>
      </c>
      <c r="AA118" s="28">
        <f t="shared" si="27"/>
        <v>460</v>
      </c>
      <c r="AB118" s="28">
        <f t="shared" si="32"/>
        <v>146.80430458257655</v>
      </c>
      <c r="AC118" s="61">
        <v>18</v>
      </c>
      <c r="AD118" s="61">
        <v>2</v>
      </c>
      <c r="AE118" s="61">
        <v>0</v>
      </c>
      <c r="AF118" s="61">
        <v>2</v>
      </c>
      <c r="AG118" s="28">
        <f t="shared" si="33"/>
        <v>508.93800988154646</v>
      </c>
      <c r="AH118" s="34" t="str">
        <f t="shared" si="28"/>
        <v>OK</v>
      </c>
      <c r="AI118" s="28">
        <f t="shared" si="34"/>
        <v>-82.383831411565467</v>
      </c>
      <c r="AJ118" s="32">
        <f t="shared" si="35"/>
        <v>-0.288452231376361</v>
      </c>
    </row>
    <row r="119" spans="1:36" x14ac:dyDescent="0.25">
      <c r="A119" s="6" t="s">
        <v>42</v>
      </c>
      <c r="B119" s="17">
        <v>2.5</v>
      </c>
      <c r="C119" s="6" t="s">
        <v>36</v>
      </c>
      <c r="D119" s="6" t="s">
        <v>11</v>
      </c>
      <c r="E119" s="49">
        <v>43.539000000000001</v>
      </c>
      <c r="F119" s="49">
        <v>30.196000000000002</v>
      </c>
      <c r="G119" s="29">
        <v>300</v>
      </c>
      <c r="H119" s="29">
        <v>500</v>
      </c>
      <c r="I119" s="28">
        <f t="shared" si="24"/>
        <v>460</v>
      </c>
      <c r="J119" s="28">
        <f t="shared" si="29"/>
        <v>186.54014851056991</v>
      </c>
      <c r="K119" s="11">
        <v>14</v>
      </c>
      <c r="L119" s="11">
        <v>2</v>
      </c>
      <c r="M119" s="11">
        <v>12</v>
      </c>
      <c r="N119" s="11">
        <v>2</v>
      </c>
      <c r="O119" s="28">
        <f t="shared" si="30"/>
        <v>534.07075111026484</v>
      </c>
      <c r="P119" s="34" t="str">
        <f t="shared" si="25"/>
        <v>OK</v>
      </c>
      <c r="Q119" s="17">
        <f t="shared" si="26"/>
        <v>86.452168765223007</v>
      </c>
      <c r="R119" s="19">
        <f t="shared" si="31"/>
        <v>0.34927984377121729</v>
      </c>
      <c r="S119" s="6" t="s">
        <v>42</v>
      </c>
      <c r="T119" s="17">
        <v>2.5</v>
      </c>
      <c r="U119" s="6" t="s">
        <v>36</v>
      </c>
      <c r="V119" s="6" t="s">
        <v>12</v>
      </c>
      <c r="W119" s="49">
        <v>12.795</v>
      </c>
      <c r="X119" s="49">
        <v>11.155099999999999</v>
      </c>
      <c r="Y119" s="29">
        <v>300</v>
      </c>
      <c r="Z119" s="29">
        <v>500</v>
      </c>
      <c r="AA119" s="28">
        <f t="shared" si="27"/>
        <v>460</v>
      </c>
      <c r="AB119" s="28">
        <f t="shared" si="32"/>
        <v>68.91224038449657</v>
      </c>
      <c r="AC119" s="61">
        <v>18</v>
      </c>
      <c r="AD119" s="61">
        <v>2</v>
      </c>
      <c r="AE119" s="61">
        <v>0</v>
      </c>
      <c r="AF119" s="61">
        <v>2</v>
      </c>
      <c r="AG119" s="28">
        <f t="shared" si="33"/>
        <v>508.93800988154646</v>
      </c>
      <c r="AH119" s="34" t="str">
        <f t="shared" si="28"/>
        <v>OK</v>
      </c>
      <c r="AI119" s="28">
        <f t="shared" si="34"/>
        <v>-82.383831411565467</v>
      </c>
      <c r="AJ119" s="32">
        <f t="shared" si="35"/>
        <v>-0.13540399625592053</v>
      </c>
    </row>
    <row r="120" spans="1:36" x14ac:dyDescent="0.25">
      <c r="A120" s="6" t="s">
        <v>42</v>
      </c>
      <c r="B120" s="17">
        <v>3</v>
      </c>
      <c r="C120" s="6" t="s">
        <v>36</v>
      </c>
      <c r="D120" s="6" t="s">
        <v>11</v>
      </c>
      <c r="E120" s="49">
        <v>72.843999999999994</v>
      </c>
      <c r="F120" s="49">
        <v>11.0029</v>
      </c>
      <c r="G120" s="29">
        <v>300</v>
      </c>
      <c r="H120" s="29">
        <v>500</v>
      </c>
      <c r="I120" s="28">
        <f t="shared" si="24"/>
        <v>460</v>
      </c>
      <c r="J120" s="28">
        <f t="shared" si="29"/>
        <v>67.972002915848122</v>
      </c>
      <c r="K120" s="11">
        <v>14</v>
      </c>
      <c r="L120" s="11">
        <v>2</v>
      </c>
      <c r="M120" s="11">
        <v>12</v>
      </c>
      <c r="N120" s="11">
        <v>2</v>
      </c>
      <c r="O120" s="28">
        <f t="shared" si="30"/>
        <v>534.07075111026484</v>
      </c>
      <c r="P120" s="34" t="str">
        <f t="shared" si="25"/>
        <v>OK</v>
      </c>
      <c r="Q120" s="17">
        <f t="shared" si="26"/>
        <v>86.452168765223007</v>
      </c>
      <c r="R120" s="19">
        <f t="shared" si="31"/>
        <v>0.1272715324225171</v>
      </c>
      <c r="S120" s="6" t="s">
        <v>42</v>
      </c>
      <c r="T120" s="17">
        <v>3</v>
      </c>
      <c r="U120" s="6" t="s">
        <v>36</v>
      </c>
      <c r="V120" s="6" t="s">
        <v>12</v>
      </c>
      <c r="W120" s="49">
        <v>28.751000000000001</v>
      </c>
      <c r="X120" s="49">
        <v>-10.427099999999999</v>
      </c>
      <c r="Y120" s="29">
        <v>300</v>
      </c>
      <c r="Z120" s="29">
        <v>500</v>
      </c>
      <c r="AA120" s="28">
        <f t="shared" si="27"/>
        <v>460</v>
      </c>
      <c r="AB120" s="28">
        <f t="shared" si="32"/>
        <v>64.414915304496077</v>
      </c>
      <c r="AC120" s="61">
        <v>18</v>
      </c>
      <c r="AD120" s="61">
        <v>2</v>
      </c>
      <c r="AE120" s="61">
        <v>0</v>
      </c>
      <c r="AF120" s="61">
        <v>2</v>
      </c>
      <c r="AG120" s="28">
        <f t="shared" si="33"/>
        <v>508.93800988154646</v>
      </c>
      <c r="AH120" s="34" t="str">
        <f t="shared" si="28"/>
        <v>OK</v>
      </c>
      <c r="AI120" s="28">
        <f t="shared" si="34"/>
        <v>-82.383831411565467</v>
      </c>
      <c r="AJ120" s="32">
        <f t="shared" si="35"/>
        <v>0.12656731085872014</v>
      </c>
    </row>
    <row r="121" spans="1:36" x14ac:dyDescent="0.25">
      <c r="A121" s="6" t="s">
        <v>42</v>
      </c>
      <c r="B121" s="17">
        <v>3.5</v>
      </c>
      <c r="C121" s="6" t="s">
        <v>36</v>
      </c>
      <c r="D121" s="6" t="s">
        <v>11</v>
      </c>
      <c r="E121" s="49">
        <v>102.148</v>
      </c>
      <c r="F121" s="49">
        <v>-7.3620000000000001</v>
      </c>
      <c r="G121" s="29">
        <v>300</v>
      </c>
      <c r="H121" s="29">
        <v>500</v>
      </c>
      <c r="I121" s="28">
        <f t="shared" si="24"/>
        <v>460</v>
      </c>
      <c r="J121" s="28">
        <f t="shared" si="29"/>
        <v>45.479817635939057</v>
      </c>
      <c r="K121" s="11">
        <v>14</v>
      </c>
      <c r="L121" s="11">
        <v>2</v>
      </c>
      <c r="M121" s="11">
        <v>12</v>
      </c>
      <c r="N121" s="11">
        <v>2</v>
      </c>
      <c r="O121" s="28">
        <f t="shared" si="30"/>
        <v>534.07075111026484</v>
      </c>
      <c r="P121" s="34" t="str">
        <f t="shared" si="25"/>
        <v>OK</v>
      </c>
      <c r="Q121" s="17">
        <f t="shared" si="26"/>
        <v>86.452168765223007</v>
      </c>
      <c r="R121" s="19">
        <f t="shared" si="31"/>
        <v>-8.5156915149148943E-2</v>
      </c>
      <c r="S121" s="6" t="s">
        <v>42</v>
      </c>
      <c r="T121" s="17">
        <v>3.5</v>
      </c>
      <c r="U121" s="6" t="s">
        <v>36</v>
      </c>
      <c r="V121" s="6" t="s">
        <v>12</v>
      </c>
      <c r="W121" s="49">
        <v>44.707000000000001</v>
      </c>
      <c r="X121" s="49">
        <v>-42.6477</v>
      </c>
      <c r="Y121" s="29">
        <v>300</v>
      </c>
      <c r="Z121" s="29">
        <v>500</v>
      </c>
      <c r="AA121" s="28">
        <f t="shared" si="27"/>
        <v>460</v>
      </c>
      <c r="AB121" s="28">
        <f t="shared" si="32"/>
        <v>263.46232254716625</v>
      </c>
      <c r="AC121" s="61">
        <v>18</v>
      </c>
      <c r="AD121" s="61">
        <v>2</v>
      </c>
      <c r="AE121" s="61">
        <v>0</v>
      </c>
      <c r="AF121" s="61">
        <v>2</v>
      </c>
      <c r="AG121" s="28">
        <f t="shared" si="33"/>
        <v>508.93800988154646</v>
      </c>
      <c r="AH121" s="34" t="str">
        <f t="shared" si="28"/>
        <v>OK</v>
      </c>
      <c r="AI121" s="28">
        <f t="shared" si="34"/>
        <v>-82.383831411565467</v>
      </c>
      <c r="AJ121" s="32">
        <f t="shared" si="35"/>
        <v>0.51767075249201022</v>
      </c>
    </row>
    <row r="122" spans="1:36" x14ac:dyDescent="0.25">
      <c r="A122" s="6" t="s">
        <v>42</v>
      </c>
      <c r="B122" s="17">
        <v>4</v>
      </c>
      <c r="C122" s="6" t="s">
        <v>36</v>
      </c>
      <c r="D122" s="6" t="s">
        <v>11</v>
      </c>
      <c r="E122" s="49">
        <v>131.453</v>
      </c>
      <c r="F122" s="49">
        <v>-33.704900000000002</v>
      </c>
      <c r="G122" s="29">
        <v>300</v>
      </c>
      <c r="H122" s="29">
        <v>500</v>
      </c>
      <c r="I122" s="28">
        <f t="shared" si="24"/>
        <v>460</v>
      </c>
      <c r="J122" s="28">
        <f t="shared" si="29"/>
        <v>208.21688473751186</v>
      </c>
      <c r="K122" s="11">
        <v>14</v>
      </c>
      <c r="L122" s="11">
        <v>2</v>
      </c>
      <c r="M122" s="11">
        <v>12</v>
      </c>
      <c r="N122" s="11">
        <v>2</v>
      </c>
      <c r="O122" s="28">
        <f t="shared" si="30"/>
        <v>534.07075111026484</v>
      </c>
      <c r="P122" s="34" t="str">
        <f t="shared" si="25"/>
        <v>OK</v>
      </c>
      <c r="Q122" s="17">
        <f t="shared" si="26"/>
        <v>86.452168765223007</v>
      </c>
      <c r="R122" s="19">
        <f t="shared" si="31"/>
        <v>-0.38986760519024044</v>
      </c>
      <c r="S122" s="6" t="s">
        <v>42</v>
      </c>
      <c r="T122" s="17">
        <v>4</v>
      </c>
      <c r="U122" s="6" t="s">
        <v>36</v>
      </c>
      <c r="V122" s="6" t="s">
        <v>12</v>
      </c>
      <c r="W122" s="49">
        <v>60.664000000000001</v>
      </c>
      <c r="X122" s="49">
        <v>-101.048</v>
      </c>
      <c r="Y122" s="29">
        <v>300</v>
      </c>
      <c r="Z122" s="29">
        <v>500</v>
      </c>
      <c r="AA122" s="28">
        <f t="shared" si="27"/>
        <v>460</v>
      </c>
      <c r="AB122" s="28">
        <f t="shared" si="32"/>
        <v>624.23860533501352</v>
      </c>
      <c r="AC122" s="61">
        <v>18</v>
      </c>
      <c r="AD122" s="61">
        <v>2</v>
      </c>
      <c r="AE122" s="61">
        <v>18</v>
      </c>
      <c r="AF122" s="61">
        <v>2</v>
      </c>
      <c r="AG122" s="28">
        <f t="shared" si="33"/>
        <v>1017.8760197630929</v>
      </c>
      <c r="AH122" s="34" t="str">
        <f t="shared" si="28"/>
        <v>OK</v>
      </c>
      <c r="AI122" s="28">
        <f t="shared" si="34"/>
        <v>-164.76766282313093</v>
      </c>
      <c r="AJ122" s="32">
        <f t="shared" si="35"/>
        <v>0.61327567720900122</v>
      </c>
    </row>
    <row r="123" spans="1:36" x14ac:dyDescent="0.25">
      <c r="A123" s="6" t="s">
        <v>43</v>
      </c>
      <c r="B123" s="17">
        <v>4</v>
      </c>
      <c r="C123" s="6" t="s">
        <v>36</v>
      </c>
      <c r="D123" s="6" t="s">
        <v>11</v>
      </c>
      <c r="E123" s="49">
        <v>-80.563999999999993</v>
      </c>
      <c r="F123" s="49">
        <v>-56.136499999999998</v>
      </c>
      <c r="G123" s="29">
        <v>300</v>
      </c>
      <c r="H123" s="29">
        <v>500</v>
      </c>
      <c r="I123" s="28">
        <f t="shared" si="24"/>
        <v>460</v>
      </c>
      <c r="J123" s="28">
        <f t="shared" si="29"/>
        <v>346.7913315294611</v>
      </c>
      <c r="K123" s="11">
        <v>14</v>
      </c>
      <c r="L123" s="11">
        <v>2</v>
      </c>
      <c r="M123" s="11">
        <v>12</v>
      </c>
      <c r="N123" s="11">
        <v>2</v>
      </c>
      <c r="O123" s="28">
        <f t="shared" si="30"/>
        <v>534.07075111026484</v>
      </c>
      <c r="P123" s="34" t="str">
        <f t="shared" si="25"/>
        <v>OK</v>
      </c>
      <c r="Q123" s="17">
        <f t="shared" si="26"/>
        <v>86.452168765223007</v>
      </c>
      <c r="R123" s="19">
        <f t="shared" si="31"/>
        <v>-0.64933593687451774</v>
      </c>
      <c r="S123" s="6" t="s">
        <v>43</v>
      </c>
      <c r="T123" s="17">
        <v>4</v>
      </c>
      <c r="U123" s="6" t="s">
        <v>36</v>
      </c>
      <c r="V123" s="6" t="s">
        <v>12</v>
      </c>
      <c r="W123" s="49">
        <v>-161.17599999999999</v>
      </c>
      <c r="X123" s="49">
        <v>-139.3271</v>
      </c>
      <c r="Y123" s="29">
        <v>300</v>
      </c>
      <c r="Z123" s="29">
        <v>500</v>
      </c>
      <c r="AA123" s="28">
        <f t="shared" si="27"/>
        <v>460</v>
      </c>
      <c r="AB123" s="28">
        <f t="shared" si="32"/>
        <v>860.7132708155724</v>
      </c>
      <c r="AC123" s="61">
        <v>18</v>
      </c>
      <c r="AD123" s="61">
        <v>2</v>
      </c>
      <c r="AE123" s="61">
        <v>18</v>
      </c>
      <c r="AF123" s="61">
        <v>2</v>
      </c>
      <c r="AG123" s="28">
        <f t="shared" si="33"/>
        <v>1017.8760197630929</v>
      </c>
      <c r="AH123" s="34" t="str">
        <f t="shared" si="28"/>
        <v>OK</v>
      </c>
      <c r="AI123" s="28">
        <f t="shared" si="34"/>
        <v>-164.76766282313093</v>
      </c>
      <c r="AJ123" s="32">
        <f t="shared" si="35"/>
        <v>0.84559735577216999</v>
      </c>
    </row>
    <row r="124" spans="1:36" x14ac:dyDescent="0.25">
      <c r="A124" s="6" t="s">
        <v>43</v>
      </c>
      <c r="B124" s="17">
        <v>4.5</v>
      </c>
      <c r="C124" s="6" t="s">
        <v>36</v>
      </c>
      <c r="D124" s="6" t="s">
        <v>11</v>
      </c>
      <c r="E124" s="49">
        <v>-64.606999999999999</v>
      </c>
      <c r="F124" s="49">
        <v>-19.843699999999998</v>
      </c>
      <c r="G124" s="29">
        <v>300</v>
      </c>
      <c r="H124" s="29">
        <v>500</v>
      </c>
      <c r="I124" s="28">
        <f t="shared" si="24"/>
        <v>460</v>
      </c>
      <c r="J124" s="28">
        <f t="shared" si="29"/>
        <v>122.5873210027552</v>
      </c>
      <c r="K124" s="11">
        <v>14</v>
      </c>
      <c r="L124" s="11">
        <v>2</v>
      </c>
      <c r="M124" s="11">
        <v>12</v>
      </c>
      <c r="N124" s="11">
        <v>2</v>
      </c>
      <c r="O124" s="28">
        <f t="shared" si="30"/>
        <v>534.07075111026484</v>
      </c>
      <c r="P124" s="34" t="str">
        <f t="shared" si="25"/>
        <v>OK</v>
      </c>
      <c r="Q124" s="17">
        <f t="shared" si="26"/>
        <v>86.452168765223007</v>
      </c>
      <c r="R124" s="19">
        <f t="shared" si="31"/>
        <v>-0.22953385997625192</v>
      </c>
      <c r="S124" s="6" t="s">
        <v>43</v>
      </c>
      <c r="T124" s="17">
        <v>4.5</v>
      </c>
      <c r="U124" s="6" t="s">
        <v>36</v>
      </c>
      <c r="V124" s="6" t="s">
        <v>12</v>
      </c>
      <c r="W124" s="49">
        <v>-131.87100000000001</v>
      </c>
      <c r="X124" s="49">
        <v>-66.065399999999997</v>
      </c>
      <c r="Y124" s="29">
        <v>300</v>
      </c>
      <c r="Z124" s="29">
        <v>500</v>
      </c>
      <c r="AA124" s="28">
        <f t="shared" si="27"/>
        <v>460</v>
      </c>
      <c r="AB124" s="28">
        <f t="shared" si="32"/>
        <v>408.12854442344036</v>
      </c>
      <c r="AC124" s="61">
        <v>18</v>
      </c>
      <c r="AD124" s="61">
        <v>2</v>
      </c>
      <c r="AE124" s="61">
        <v>18</v>
      </c>
      <c r="AF124" s="61">
        <v>2</v>
      </c>
      <c r="AG124" s="28">
        <f t="shared" si="33"/>
        <v>1017.8760197630929</v>
      </c>
      <c r="AH124" s="34" t="str">
        <f t="shared" si="28"/>
        <v>OK</v>
      </c>
      <c r="AI124" s="28">
        <f t="shared" si="34"/>
        <v>-164.76766282313093</v>
      </c>
      <c r="AJ124" s="32">
        <f t="shared" si="35"/>
        <v>0.4009609584067329</v>
      </c>
    </row>
    <row r="125" spans="1:36" x14ac:dyDescent="0.25">
      <c r="A125" s="6" t="s">
        <v>43</v>
      </c>
      <c r="B125" s="17">
        <v>5</v>
      </c>
      <c r="C125" s="6" t="s">
        <v>36</v>
      </c>
      <c r="D125" s="6" t="s">
        <v>11</v>
      </c>
      <c r="E125" s="49">
        <v>-48.651000000000003</v>
      </c>
      <c r="F125" s="49">
        <v>8.4710000000000001</v>
      </c>
      <c r="G125" s="29">
        <v>300</v>
      </c>
      <c r="H125" s="29">
        <v>500</v>
      </c>
      <c r="I125" s="28">
        <f t="shared" si="24"/>
        <v>460</v>
      </c>
      <c r="J125" s="28">
        <f t="shared" si="29"/>
        <v>52.330825209731017</v>
      </c>
      <c r="K125" s="11">
        <v>14</v>
      </c>
      <c r="L125" s="11">
        <v>2</v>
      </c>
      <c r="M125" s="11">
        <v>12</v>
      </c>
      <c r="N125" s="11">
        <v>2</v>
      </c>
      <c r="O125" s="28">
        <f t="shared" si="30"/>
        <v>534.07075111026484</v>
      </c>
      <c r="P125" s="34" t="str">
        <f t="shared" si="25"/>
        <v>OK</v>
      </c>
      <c r="Q125" s="17">
        <f t="shared" si="26"/>
        <v>86.452168765223007</v>
      </c>
      <c r="R125" s="19">
        <f t="shared" si="31"/>
        <v>9.7984817743607802E-2</v>
      </c>
      <c r="S125" s="6" t="s">
        <v>43</v>
      </c>
      <c r="T125" s="17">
        <v>5</v>
      </c>
      <c r="U125" s="6" t="s">
        <v>36</v>
      </c>
      <c r="V125" s="6" t="s">
        <v>12</v>
      </c>
      <c r="W125" s="49">
        <v>-102.566</v>
      </c>
      <c r="X125" s="49">
        <v>-16.737300000000001</v>
      </c>
      <c r="Y125" s="29">
        <v>300</v>
      </c>
      <c r="Z125" s="29">
        <v>500</v>
      </c>
      <c r="AA125" s="28">
        <f t="shared" si="27"/>
        <v>460</v>
      </c>
      <c r="AB125" s="28">
        <f t="shared" si="32"/>
        <v>103.39708662292894</v>
      </c>
      <c r="AC125" s="61">
        <v>18</v>
      </c>
      <c r="AD125" s="61">
        <v>2</v>
      </c>
      <c r="AE125" s="61">
        <v>12</v>
      </c>
      <c r="AF125" s="61">
        <v>0</v>
      </c>
      <c r="AG125" s="28">
        <f t="shared" si="33"/>
        <v>508.93800988154646</v>
      </c>
      <c r="AH125" s="34" t="str">
        <f t="shared" si="28"/>
        <v>OK</v>
      </c>
      <c r="AI125" s="28">
        <f t="shared" si="34"/>
        <v>-82.383831411565467</v>
      </c>
      <c r="AJ125" s="32">
        <f t="shared" si="35"/>
        <v>0.20316243749802504</v>
      </c>
    </row>
    <row r="126" spans="1:36" x14ac:dyDescent="0.25">
      <c r="A126" s="6" t="s">
        <v>43</v>
      </c>
      <c r="B126" s="17">
        <v>5.5</v>
      </c>
      <c r="C126" s="6" t="s">
        <v>36</v>
      </c>
      <c r="D126" s="6" t="s">
        <v>11</v>
      </c>
      <c r="E126" s="49">
        <v>-32.695</v>
      </c>
      <c r="F126" s="49">
        <v>36.500999999999998</v>
      </c>
      <c r="G126" s="29">
        <v>300</v>
      </c>
      <c r="H126" s="29">
        <v>500</v>
      </c>
      <c r="I126" s="28">
        <f t="shared" si="24"/>
        <v>460</v>
      </c>
      <c r="J126" s="28">
        <f t="shared" si="29"/>
        <v>225.49019607843132</v>
      </c>
      <c r="K126" s="11">
        <v>14</v>
      </c>
      <c r="L126" s="11">
        <v>2</v>
      </c>
      <c r="M126" s="11">
        <v>12</v>
      </c>
      <c r="N126" s="11">
        <v>2</v>
      </c>
      <c r="O126" s="28">
        <f t="shared" si="30"/>
        <v>534.07075111026484</v>
      </c>
      <c r="P126" s="34" t="str">
        <f t="shared" si="25"/>
        <v>OK</v>
      </c>
      <c r="Q126" s="17">
        <f t="shared" si="26"/>
        <v>86.452168765223007</v>
      </c>
      <c r="R126" s="19">
        <f t="shared" si="31"/>
        <v>0.42221034499580079</v>
      </c>
      <c r="S126" s="6" t="s">
        <v>43</v>
      </c>
      <c r="T126" s="17">
        <v>5.5</v>
      </c>
      <c r="U126" s="6" t="s">
        <v>36</v>
      </c>
      <c r="V126" s="6" t="s">
        <v>12</v>
      </c>
      <c r="W126" s="49">
        <v>-73.262</v>
      </c>
      <c r="X126" s="49">
        <v>10.794600000000001</v>
      </c>
      <c r="Y126" s="29">
        <v>300</v>
      </c>
      <c r="Z126" s="29">
        <v>500</v>
      </c>
      <c r="AA126" s="28">
        <f t="shared" si="27"/>
        <v>460</v>
      </c>
      <c r="AB126" s="28">
        <f t="shared" si="32"/>
        <v>66.68519959968863</v>
      </c>
      <c r="AC126" s="61">
        <v>18</v>
      </c>
      <c r="AD126" s="61">
        <v>2</v>
      </c>
      <c r="AE126" s="61">
        <v>12</v>
      </c>
      <c r="AF126" s="61">
        <v>0</v>
      </c>
      <c r="AG126" s="28">
        <f t="shared" si="33"/>
        <v>508.93800988154646</v>
      </c>
      <c r="AH126" s="34" t="str">
        <f t="shared" si="28"/>
        <v>OK</v>
      </c>
      <c r="AI126" s="28">
        <f t="shared" si="34"/>
        <v>-82.383831411565467</v>
      </c>
      <c r="AJ126" s="32">
        <f t="shared" si="35"/>
        <v>-0.13102813762172996</v>
      </c>
    </row>
    <row r="127" spans="1:36" x14ac:dyDescent="0.25">
      <c r="A127" s="6" t="s">
        <v>43</v>
      </c>
      <c r="B127" s="17">
        <v>6</v>
      </c>
      <c r="C127" s="6" t="s">
        <v>36</v>
      </c>
      <c r="D127" s="6" t="s">
        <v>11</v>
      </c>
      <c r="E127" s="49">
        <v>-16.739000000000001</v>
      </c>
      <c r="F127" s="49">
        <v>65.805700000000002</v>
      </c>
      <c r="G127" s="29">
        <v>300</v>
      </c>
      <c r="H127" s="29">
        <v>500</v>
      </c>
      <c r="I127" s="28">
        <f t="shared" si="24"/>
        <v>460</v>
      </c>
      <c r="J127" s="28">
        <f t="shared" si="29"/>
        <v>406.52421018817097</v>
      </c>
      <c r="K127" s="11">
        <v>14</v>
      </c>
      <c r="L127" s="11">
        <v>2</v>
      </c>
      <c r="M127" s="11">
        <v>12</v>
      </c>
      <c r="N127" s="11">
        <v>2</v>
      </c>
      <c r="O127" s="28">
        <f t="shared" si="30"/>
        <v>534.07075111026484</v>
      </c>
      <c r="P127" s="34" t="str">
        <f t="shared" si="25"/>
        <v>OK</v>
      </c>
      <c r="Q127" s="17">
        <f t="shared" si="26"/>
        <v>86.452168765223007</v>
      </c>
      <c r="R127" s="19">
        <f t="shared" si="31"/>
        <v>0.76118044162324783</v>
      </c>
      <c r="S127" s="6" t="s">
        <v>43</v>
      </c>
      <c r="T127" s="17">
        <v>6</v>
      </c>
      <c r="U127" s="6" t="s">
        <v>36</v>
      </c>
      <c r="V127" s="6" t="s">
        <v>12</v>
      </c>
      <c r="W127" s="49">
        <v>-43.957000000000001</v>
      </c>
      <c r="X127" s="49">
        <v>30.348500000000001</v>
      </c>
      <c r="Y127" s="29">
        <v>300</v>
      </c>
      <c r="Z127" s="29">
        <v>500</v>
      </c>
      <c r="AA127" s="28">
        <f t="shared" si="27"/>
        <v>460</v>
      </c>
      <c r="AB127" s="28">
        <f t="shared" si="32"/>
        <v>187.48223927252056</v>
      </c>
      <c r="AC127" s="61">
        <v>18</v>
      </c>
      <c r="AD127" s="61">
        <v>2</v>
      </c>
      <c r="AE127" s="61">
        <v>12</v>
      </c>
      <c r="AF127" s="61">
        <v>0</v>
      </c>
      <c r="AG127" s="28">
        <f t="shared" si="33"/>
        <v>508.93800988154646</v>
      </c>
      <c r="AH127" s="34" t="str">
        <f t="shared" si="28"/>
        <v>OK</v>
      </c>
      <c r="AI127" s="28">
        <f t="shared" si="34"/>
        <v>-82.383831411565467</v>
      </c>
      <c r="AJ127" s="32">
        <f t="shared" si="35"/>
        <v>-0.36837932249579158</v>
      </c>
    </row>
    <row r="128" spans="1:36" x14ac:dyDescent="0.25">
      <c r="A128" s="6" t="s">
        <v>43</v>
      </c>
      <c r="B128" s="17">
        <v>6.5</v>
      </c>
      <c r="C128" s="6" t="s">
        <v>36</v>
      </c>
      <c r="D128" s="6" t="s">
        <v>11</v>
      </c>
      <c r="E128" s="49">
        <v>-0.78300000000000003</v>
      </c>
      <c r="F128" s="49">
        <v>80.457999999999998</v>
      </c>
      <c r="G128" s="29">
        <v>300</v>
      </c>
      <c r="H128" s="29">
        <v>500</v>
      </c>
      <c r="I128" s="28">
        <f t="shared" si="24"/>
        <v>460</v>
      </c>
      <c r="J128" s="28">
        <f t="shared" si="29"/>
        <v>497.04090836082378</v>
      </c>
      <c r="K128" s="11">
        <v>14</v>
      </c>
      <c r="L128" s="11">
        <v>2</v>
      </c>
      <c r="M128" s="11">
        <v>12</v>
      </c>
      <c r="N128" s="11">
        <v>2</v>
      </c>
      <c r="O128" s="28">
        <f t="shared" si="30"/>
        <v>534.07075111026484</v>
      </c>
      <c r="P128" s="34" t="str">
        <f t="shared" si="25"/>
        <v>OK</v>
      </c>
      <c r="Q128" s="17">
        <f t="shared" si="26"/>
        <v>86.452168765223007</v>
      </c>
      <c r="R128" s="19">
        <f t="shared" si="31"/>
        <v>0.93066491158248099</v>
      </c>
      <c r="S128" s="6" t="s">
        <v>43</v>
      </c>
      <c r="T128" s="17">
        <v>6.5</v>
      </c>
      <c r="U128" s="6" t="s">
        <v>36</v>
      </c>
      <c r="V128" s="6" t="s">
        <v>12</v>
      </c>
      <c r="W128" s="49">
        <v>-15.173</v>
      </c>
      <c r="X128" s="49">
        <v>41.924300000000002</v>
      </c>
      <c r="Y128" s="29">
        <v>300</v>
      </c>
      <c r="Z128" s="29">
        <v>500</v>
      </c>
      <c r="AA128" s="28">
        <f t="shared" si="27"/>
        <v>460</v>
      </c>
      <c r="AB128" s="28">
        <f t="shared" si="32"/>
        <v>258.99341463113279</v>
      </c>
      <c r="AC128" s="61">
        <v>18</v>
      </c>
      <c r="AD128" s="61">
        <v>2</v>
      </c>
      <c r="AE128" s="61">
        <v>12</v>
      </c>
      <c r="AF128" s="61">
        <v>0</v>
      </c>
      <c r="AG128" s="28">
        <f t="shared" si="33"/>
        <v>508.93800988154646</v>
      </c>
      <c r="AH128" s="34" t="str">
        <f t="shared" si="28"/>
        <v>OK</v>
      </c>
      <c r="AI128" s="28">
        <f t="shared" si="34"/>
        <v>-82.383831411565467</v>
      </c>
      <c r="AJ128" s="32">
        <f t="shared" si="35"/>
        <v>-0.50888990329374817</v>
      </c>
    </row>
    <row r="129" spans="1:36" x14ac:dyDescent="0.25">
      <c r="A129" s="6" t="s">
        <v>43</v>
      </c>
      <c r="B129" s="17">
        <v>7</v>
      </c>
      <c r="C129" s="6" t="s">
        <v>36</v>
      </c>
      <c r="D129" s="6" t="s">
        <v>11</v>
      </c>
      <c r="E129" s="49">
        <v>15.173</v>
      </c>
      <c r="F129" s="49">
        <v>80.457999999999998</v>
      </c>
      <c r="G129" s="29">
        <v>300</v>
      </c>
      <c r="H129" s="29">
        <v>500</v>
      </c>
      <c r="I129" s="28">
        <f t="shared" si="24"/>
        <v>460</v>
      </c>
      <c r="J129" s="28">
        <f t="shared" si="29"/>
        <v>497.04090836082378</v>
      </c>
      <c r="K129" s="11">
        <v>14</v>
      </c>
      <c r="L129" s="11">
        <v>2</v>
      </c>
      <c r="M129" s="11">
        <v>12</v>
      </c>
      <c r="N129" s="11">
        <v>2</v>
      </c>
      <c r="O129" s="28">
        <f t="shared" si="30"/>
        <v>534.07075111026484</v>
      </c>
      <c r="P129" s="34" t="str">
        <f t="shared" si="25"/>
        <v>OK</v>
      </c>
      <c r="Q129" s="17">
        <f t="shared" si="26"/>
        <v>86.452168765223007</v>
      </c>
      <c r="R129" s="19">
        <f t="shared" si="31"/>
        <v>0.93066491158248099</v>
      </c>
      <c r="S129" s="6" t="s">
        <v>43</v>
      </c>
      <c r="T129" s="17">
        <v>7</v>
      </c>
      <c r="U129" s="6" t="s">
        <v>36</v>
      </c>
      <c r="V129" s="6" t="s">
        <v>12</v>
      </c>
      <c r="W129" s="49">
        <v>0.78300000000000003</v>
      </c>
      <c r="X129" s="49">
        <v>41.924300000000002</v>
      </c>
      <c r="Y129" s="29">
        <v>300</v>
      </c>
      <c r="Z129" s="29">
        <v>500</v>
      </c>
      <c r="AA129" s="28">
        <f t="shared" si="27"/>
        <v>460</v>
      </c>
      <c r="AB129" s="28">
        <f t="shared" si="32"/>
        <v>258.99341463113279</v>
      </c>
      <c r="AC129" s="61">
        <v>18</v>
      </c>
      <c r="AD129" s="61">
        <v>2</v>
      </c>
      <c r="AE129" s="61">
        <v>12</v>
      </c>
      <c r="AF129" s="61">
        <v>0</v>
      </c>
      <c r="AG129" s="28">
        <f t="shared" si="33"/>
        <v>508.93800988154646</v>
      </c>
      <c r="AH129" s="34" t="str">
        <f t="shared" si="28"/>
        <v>OK</v>
      </c>
      <c r="AI129" s="28">
        <f t="shared" si="34"/>
        <v>-82.383831411565467</v>
      </c>
      <c r="AJ129" s="32">
        <f t="shared" si="35"/>
        <v>-0.50888990329374817</v>
      </c>
    </row>
    <row r="130" spans="1:36" x14ac:dyDescent="0.25">
      <c r="A130" s="6" t="s">
        <v>43</v>
      </c>
      <c r="B130" s="17">
        <v>7.5</v>
      </c>
      <c r="C130" s="6" t="s">
        <v>36</v>
      </c>
      <c r="D130" s="6" t="s">
        <v>11</v>
      </c>
      <c r="E130" s="49">
        <v>43.957000000000001</v>
      </c>
      <c r="F130" s="49">
        <v>65.805700000000002</v>
      </c>
      <c r="G130" s="29">
        <v>300</v>
      </c>
      <c r="H130" s="29">
        <v>500</v>
      </c>
      <c r="I130" s="28">
        <f t="shared" si="24"/>
        <v>460</v>
      </c>
      <c r="J130" s="28">
        <f t="shared" si="29"/>
        <v>406.52421018817097</v>
      </c>
      <c r="K130" s="11">
        <v>14</v>
      </c>
      <c r="L130" s="11">
        <v>2</v>
      </c>
      <c r="M130" s="11">
        <v>12</v>
      </c>
      <c r="N130" s="11">
        <v>2</v>
      </c>
      <c r="O130" s="28">
        <f t="shared" si="30"/>
        <v>534.07075111026484</v>
      </c>
      <c r="P130" s="34" t="str">
        <f t="shared" si="25"/>
        <v>OK</v>
      </c>
      <c r="Q130" s="17">
        <f t="shared" si="26"/>
        <v>86.452168765223007</v>
      </c>
      <c r="R130" s="19">
        <f t="shared" si="31"/>
        <v>0.76118044162324783</v>
      </c>
      <c r="S130" s="6" t="s">
        <v>43</v>
      </c>
      <c r="T130" s="17">
        <v>7.5</v>
      </c>
      <c r="U130" s="6" t="s">
        <v>36</v>
      </c>
      <c r="V130" s="6" t="s">
        <v>12</v>
      </c>
      <c r="W130" s="49">
        <v>16.739000000000001</v>
      </c>
      <c r="X130" s="49">
        <v>30.348500000000001</v>
      </c>
      <c r="Y130" s="29">
        <v>300</v>
      </c>
      <c r="Z130" s="29">
        <v>500</v>
      </c>
      <c r="AA130" s="28">
        <f t="shared" si="27"/>
        <v>460</v>
      </c>
      <c r="AB130" s="28">
        <f t="shared" si="32"/>
        <v>187.48223927252056</v>
      </c>
      <c r="AC130" s="61">
        <v>18</v>
      </c>
      <c r="AD130" s="61">
        <v>2</v>
      </c>
      <c r="AE130" s="61">
        <v>12</v>
      </c>
      <c r="AF130" s="61">
        <v>0</v>
      </c>
      <c r="AG130" s="28">
        <f t="shared" si="33"/>
        <v>508.93800988154646</v>
      </c>
      <c r="AH130" s="34" t="str">
        <f t="shared" si="28"/>
        <v>OK</v>
      </c>
      <c r="AI130" s="28">
        <f t="shared" si="34"/>
        <v>-82.383831411565467</v>
      </c>
      <c r="AJ130" s="32">
        <f t="shared" si="35"/>
        <v>-0.36837932249579158</v>
      </c>
    </row>
    <row r="131" spans="1:36" x14ac:dyDescent="0.25">
      <c r="A131" s="6" t="s">
        <v>43</v>
      </c>
      <c r="B131" s="17">
        <v>8</v>
      </c>
      <c r="C131" s="6" t="s">
        <v>36</v>
      </c>
      <c r="D131" s="6" t="s">
        <v>11</v>
      </c>
      <c r="E131" s="49">
        <v>73.262</v>
      </c>
      <c r="F131" s="49">
        <v>36.500999999999998</v>
      </c>
      <c r="G131" s="29">
        <v>300</v>
      </c>
      <c r="H131" s="29">
        <v>500</v>
      </c>
      <c r="I131" s="28">
        <f t="shared" si="24"/>
        <v>460</v>
      </c>
      <c r="J131" s="28">
        <f t="shared" si="29"/>
        <v>225.49019607843132</v>
      </c>
      <c r="K131" s="11">
        <v>14</v>
      </c>
      <c r="L131" s="11">
        <v>2</v>
      </c>
      <c r="M131" s="11">
        <v>12</v>
      </c>
      <c r="N131" s="11">
        <v>2</v>
      </c>
      <c r="O131" s="28">
        <f t="shared" si="30"/>
        <v>534.07075111026484</v>
      </c>
      <c r="P131" s="34" t="str">
        <f t="shared" si="25"/>
        <v>OK</v>
      </c>
      <c r="Q131" s="17">
        <f t="shared" si="26"/>
        <v>86.452168765223007</v>
      </c>
      <c r="R131" s="19">
        <f t="shared" si="31"/>
        <v>0.42221034499580079</v>
      </c>
      <c r="S131" s="6" t="s">
        <v>43</v>
      </c>
      <c r="T131" s="17">
        <v>8</v>
      </c>
      <c r="U131" s="6" t="s">
        <v>36</v>
      </c>
      <c r="V131" s="6" t="s">
        <v>12</v>
      </c>
      <c r="W131" s="49">
        <v>32.695</v>
      </c>
      <c r="X131" s="49">
        <v>10.794600000000001</v>
      </c>
      <c r="Y131" s="29">
        <v>300</v>
      </c>
      <c r="Z131" s="29">
        <v>500</v>
      </c>
      <c r="AA131" s="28">
        <f t="shared" si="27"/>
        <v>460</v>
      </c>
      <c r="AB131" s="28">
        <f t="shared" si="32"/>
        <v>66.68519959968863</v>
      </c>
      <c r="AC131" s="61">
        <v>18</v>
      </c>
      <c r="AD131" s="61">
        <v>2</v>
      </c>
      <c r="AE131" s="61">
        <v>12</v>
      </c>
      <c r="AF131" s="61">
        <v>0</v>
      </c>
      <c r="AG131" s="28">
        <f t="shared" si="33"/>
        <v>508.93800988154646</v>
      </c>
      <c r="AH131" s="34" t="str">
        <f t="shared" si="28"/>
        <v>OK</v>
      </c>
      <c r="AI131" s="28">
        <f t="shared" si="34"/>
        <v>-82.383831411565467</v>
      </c>
      <c r="AJ131" s="32">
        <f t="shared" si="35"/>
        <v>-0.13102813762172996</v>
      </c>
    </row>
    <row r="132" spans="1:36" x14ac:dyDescent="0.25">
      <c r="A132" s="6" t="s">
        <v>43</v>
      </c>
      <c r="B132" s="17">
        <v>8.5</v>
      </c>
      <c r="C132" s="6" t="s">
        <v>36</v>
      </c>
      <c r="D132" s="6" t="s">
        <v>11</v>
      </c>
      <c r="E132" s="49">
        <v>102.566</v>
      </c>
      <c r="F132" s="49">
        <v>8.4710000000000001</v>
      </c>
      <c r="G132" s="29">
        <v>300</v>
      </c>
      <c r="H132" s="29">
        <v>500</v>
      </c>
      <c r="I132" s="28">
        <f t="shared" si="24"/>
        <v>460</v>
      </c>
      <c r="J132" s="28">
        <f t="shared" si="29"/>
        <v>52.330825209731017</v>
      </c>
      <c r="K132" s="11">
        <v>14</v>
      </c>
      <c r="L132" s="11">
        <v>2</v>
      </c>
      <c r="M132" s="11">
        <v>12</v>
      </c>
      <c r="N132" s="11">
        <v>2</v>
      </c>
      <c r="O132" s="28">
        <f t="shared" si="30"/>
        <v>534.07075111026484</v>
      </c>
      <c r="P132" s="34" t="str">
        <f t="shared" si="25"/>
        <v>OK</v>
      </c>
      <c r="Q132" s="17">
        <f t="shared" si="26"/>
        <v>86.452168765223007</v>
      </c>
      <c r="R132" s="19">
        <f t="shared" si="31"/>
        <v>9.7984817743607802E-2</v>
      </c>
      <c r="S132" s="6" t="s">
        <v>43</v>
      </c>
      <c r="T132" s="17">
        <v>8.5</v>
      </c>
      <c r="U132" s="6" t="s">
        <v>36</v>
      </c>
      <c r="V132" s="6" t="s">
        <v>12</v>
      </c>
      <c r="W132" s="49">
        <v>48.651000000000003</v>
      </c>
      <c r="X132" s="49">
        <v>-16.737300000000001</v>
      </c>
      <c r="Y132" s="29">
        <v>300</v>
      </c>
      <c r="Z132" s="29">
        <v>500</v>
      </c>
      <c r="AA132" s="28">
        <f t="shared" si="27"/>
        <v>460</v>
      </c>
      <c r="AB132" s="28">
        <f t="shared" si="32"/>
        <v>103.39708662292894</v>
      </c>
      <c r="AC132" s="61">
        <v>18</v>
      </c>
      <c r="AD132" s="61">
        <v>2</v>
      </c>
      <c r="AE132" s="61">
        <v>12</v>
      </c>
      <c r="AF132" s="61">
        <v>0</v>
      </c>
      <c r="AG132" s="28">
        <f t="shared" si="33"/>
        <v>508.93800988154646</v>
      </c>
      <c r="AH132" s="34" t="str">
        <f t="shared" si="28"/>
        <v>OK</v>
      </c>
      <c r="AI132" s="28">
        <f t="shared" si="34"/>
        <v>-82.383831411565467</v>
      </c>
      <c r="AJ132" s="32">
        <f t="shared" si="35"/>
        <v>0.20316243749802504</v>
      </c>
    </row>
    <row r="133" spans="1:36" x14ac:dyDescent="0.25">
      <c r="A133" s="6" t="s">
        <v>43</v>
      </c>
      <c r="B133" s="17">
        <v>9</v>
      </c>
      <c r="C133" s="6" t="s">
        <v>36</v>
      </c>
      <c r="D133" s="6" t="s">
        <v>11</v>
      </c>
      <c r="E133" s="49">
        <v>131.87100000000001</v>
      </c>
      <c r="F133" s="49">
        <v>-19.843699999999998</v>
      </c>
      <c r="G133" s="29">
        <v>300</v>
      </c>
      <c r="H133" s="29">
        <v>500</v>
      </c>
      <c r="I133" s="28">
        <f t="shared" si="24"/>
        <v>460</v>
      </c>
      <c r="J133" s="28">
        <f t="shared" si="29"/>
        <v>122.5873210027552</v>
      </c>
      <c r="K133" s="11">
        <v>14</v>
      </c>
      <c r="L133" s="11">
        <v>2</v>
      </c>
      <c r="M133" s="11">
        <v>12</v>
      </c>
      <c r="N133" s="11">
        <v>2</v>
      </c>
      <c r="O133" s="28">
        <f t="shared" si="30"/>
        <v>534.07075111026484</v>
      </c>
      <c r="P133" s="34" t="str">
        <f t="shared" si="25"/>
        <v>OK</v>
      </c>
      <c r="Q133" s="17">
        <f t="shared" si="26"/>
        <v>86.452168765223007</v>
      </c>
      <c r="R133" s="19">
        <f t="shared" si="31"/>
        <v>-0.22953385997625192</v>
      </c>
      <c r="S133" s="6" t="s">
        <v>43</v>
      </c>
      <c r="T133" s="17">
        <v>9</v>
      </c>
      <c r="U133" s="6" t="s">
        <v>36</v>
      </c>
      <c r="V133" s="6" t="s">
        <v>12</v>
      </c>
      <c r="W133" s="49">
        <v>64.606999999999999</v>
      </c>
      <c r="X133" s="49">
        <v>-66.065399999999997</v>
      </c>
      <c r="Y133" s="29">
        <v>300</v>
      </c>
      <c r="Z133" s="29">
        <v>500</v>
      </c>
      <c r="AA133" s="28">
        <f t="shared" si="27"/>
        <v>460</v>
      </c>
      <c r="AB133" s="28">
        <f t="shared" si="32"/>
        <v>408.12854442344036</v>
      </c>
      <c r="AC133" s="61">
        <v>18</v>
      </c>
      <c r="AD133" s="61">
        <v>2</v>
      </c>
      <c r="AE133" s="61">
        <v>18</v>
      </c>
      <c r="AF133" s="61">
        <v>2</v>
      </c>
      <c r="AG133" s="28">
        <f t="shared" si="33"/>
        <v>1017.8760197630929</v>
      </c>
      <c r="AH133" s="34" t="str">
        <f t="shared" si="28"/>
        <v>OK</v>
      </c>
      <c r="AI133" s="28">
        <f t="shared" si="34"/>
        <v>-164.76766282313093</v>
      </c>
      <c r="AJ133" s="32">
        <f t="shared" si="35"/>
        <v>0.4009609584067329</v>
      </c>
    </row>
    <row r="134" spans="1:36" x14ac:dyDescent="0.25">
      <c r="A134" s="6" t="s">
        <v>43</v>
      </c>
      <c r="B134" s="17">
        <v>9.5</v>
      </c>
      <c r="C134" s="6" t="s">
        <v>36</v>
      </c>
      <c r="D134" s="6" t="s">
        <v>11</v>
      </c>
      <c r="E134" s="49">
        <v>161.17599999999999</v>
      </c>
      <c r="F134" s="49">
        <v>-56.136499999999998</v>
      </c>
      <c r="G134" s="29">
        <v>300</v>
      </c>
      <c r="H134" s="29">
        <v>500</v>
      </c>
      <c r="I134" s="28">
        <f t="shared" si="24"/>
        <v>460</v>
      </c>
      <c r="J134" s="28">
        <f t="shared" si="29"/>
        <v>346.7913315294611</v>
      </c>
      <c r="K134" s="11">
        <v>14</v>
      </c>
      <c r="L134" s="11">
        <v>2</v>
      </c>
      <c r="M134" s="11">
        <v>12</v>
      </c>
      <c r="N134" s="11">
        <v>2</v>
      </c>
      <c r="O134" s="28">
        <f t="shared" si="30"/>
        <v>534.07075111026484</v>
      </c>
      <c r="P134" s="34" t="str">
        <f t="shared" si="25"/>
        <v>OK</v>
      </c>
      <c r="Q134" s="17">
        <f t="shared" si="26"/>
        <v>86.452168765223007</v>
      </c>
      <c r="R134" s="19">
        <f t="shared" si="31"/>
        <v>-0.64933593687451774</v>
      </c>
      <c r="S134" s="6" t="s">
        <v>43</v>
      </c>
      <c r="T134" s="17">
        <v>9.5</v>
      </c>
      <c r="U134" s="6" t="s">
        <v>36</v>
      </c>
      <c r="V134" s="6" t="s">
        <v>12</v>
      </c>
      <c r="W134" s="49">
        <v>80.563999999999993</v>
      </c>
      <c r="X134" s="49">
        <v>-139.3271</v>
      </c>
      <c r="Y134" s="29">
        <v>300</v>
      </c>
      <c r="Z134" s="29">
        <v>500</v>
      </c>
      <c r="AA134" s="28">
        <f t="shared" si="27"/>
        <v>460</v>
      </c>
      <c r="AB134" s="28">
        <f t="shared" si="32"/>
        <v>860.7132708155724</v>
      </c>
      <c r="AC134" s="61">
        <v>18</v>
      </c>
      <c r="AD134" s="61">
        <v>2</v>
      </c>
      <c r="AE134" s="61">
        <v>18</v>
      </c>
      <c r="AF134" s="61">
        <v>2</v>
      </c>
      <c r="AG134" s="28">
        <f t="shared" si="33"/>
        <v>1017.8760197630929</v>
      </c>
      <c r="AH134" s="34" t="str">
        <f t="shared" si="28"/>
        <v>OK</v>
      </c>
      <c r="AI134" s="28">
        <f t="shared" si="34"/>
        <v>-164.76766282313093</v>
      </c>
      <c r="AJ134" s="32">
        <f t="shared" si="35"/>
        <v>0.84559735577216999</v>
      </c>
    </row>
    <row r="135" spans="1:36" x14ac:dyDescent="0.25">
      <c r="A135" s="6" t="s">
        <v>44</v>
      </c>
      <c r="B135" s="17">
        <v>9.5</v>
      </c>
      <c r="C135" s="6" t="s">
        <v>36</v>
      </c>
      <c r="D135" s="6" t="s">
        <v>11</v>
      </c>
      <c r="E135" s="49">
        <v>-60.664000000000001</v>
      </c>
      <c r="F135" s="49">
        <v>-33.704900000000002</v>
      </c>
      <c r="G135" s="29">
        <v>300</v>
      </c>
      <c r="H135" s="29">
        <v>500</v>
      </c>
      <c r="I135" s="28">
        <f t="shared" si="24"/>
        <v>460</v>
      </c>
      <c r="J135" s="28">
        <f t="shared" si="29"/>
        <v>208.21688473751186</v>
      </c>
      <c r="K135" s="11">
        <v>14</v>
      </c>
      <c r="L135" s="11">
        <v>2</v>
      </c>
      <c r="M135" s="11">
        <v>12</v>
      </c>
      <c r="N135" s="11">
        <v>2</v>
      </c>
      <c r="O135" s="28">
        <f t="shared" si="30"/>
        <v>534.07075111026484</v>
      </c>
      <c r="P135" s="34" t="str">
        <f t="shared" si="25"/>
        <v>OK</v>
      </c>
      <c r="Q135" s="17">
        <f t="shared" si="26"/>
        <v>86.452168765223007</v>
      </c>
      <c r="R135" s="19">
        <f t="shared" si="31"/>
        <v>-0.38986760519024044</v>
      </c>
      <c r="S135" s="6" t="s">
        <v>44</v>
      </c>
      <c r="T135" s="17">
        <v>9.5</v>
      </c>
      <c r="U135" s="6" t="s">
        <v>36</v>
      </c>
      <c r="V135" s="6" t="s">
        <v>12</v>
      </c>
      <c r="W135" s="49">
        <v>-131.453</v>
      </c>
      <c r="X135" s="49">
        <v>-101.048</v>
      </c>
      <c r="Y135" s="29">
        <v>300</v>
      </c>
      <c r="Z135" s="29">
        <v>500</v>
      </c>
      <c r="AA135" s="28">
        <f t="shared" si="27"/>
        <v>460</v>
      </c>
      <c r="AB135" s="28">
        <f t="shared" si="32"/>
        <v>624.23860533501352</v>
      </c>
      <c r="AC135" s="61">
        <v>18</v>
      </c>
      <c r="AD135" s="61">
        <v>2</v>
      </c>
      <c r="AE135" s="61">
        <v>18</v>
      </c>
      <c r="AF135" s="61">
        <v>2</v>
      </c>
      <c r="AG135" s="28">
        <f t="shared" si="33"/>
        <v>1017.8760197630929</v>
      </c>
      <c r="AH135" s="34" t="str">
        <f t="shared" si="28"/>
        <v>OK</v>
      </c>
      <c r="AI135" s="28">
        <f t="shared" si="34"/>
        <v>-164.76766282313093</v>
      </c>
      <c r="AJ135" s="32">
        <f t="shared" si="35"/>
        <v>0.61327567720900122</v>
      </c>
    </row>
    <row r="136" spans="1:36" x14ac:dyDescent="0.25">
      <c r="A136" s="6" t="s">
        <v>44</v>
      </c>
      <c r="B136" s="17">
        <v>10</v>
      </c>
      <c r="C136" s="6" t="s">
        <v>36</v>
      </c>
      <c r="D136" s="6" t="s">
        <v>11</v>
      </c>
      <c r="E136" s="49">
        <v>-44.707000000000001</v>
      </c>
      <c r="F136" s="49">
        <v>-7.3620000000000001</v>
      </c>
      <c r="G136" s="29">
        <v>300</v>
      </c>
      <c r="H136" s="29">
        <v>500</v>
      </c>
      <c r="I136" s="28">
        <f t="shared" si="24"/>
        <v>460</v>
      </c>
      <c r="J136" s="28">
        <f t="shared" si="29"/>
        <v>45.479817635939057</v>
      </c>
      <c r="K136" s="11">
        <v>14</v>
      </c>
      <c r="L136" s="11">
        <v>2</v>
      </c>
      <c r="M136" s="11">
        <v>12</v>
      </c>
      <c r="N136" s="11">
        <v>2</v>
      </c>
      <c r="O136" s="28">
        <f t="shared" si="30"/>
        <v>534.07075111026484</v>
      </c>
      <c r="P136" s="34" t="str">
        <f t="shared" si="25"/>
        <v>OK</v>
      </c>
      <c r="Q136" s="17">
        <f t="shared" si="26"/>
        <v>86.452168765223007</v>
      </c>
      <c r="R136" s="19">
        <f t="shared" si="31"/>
        <v>-8.5156915149148943E-2</v>
      </c>
      <c r="S136" s="6" t="s">
        <v>44</v>
      </c>
      <c r="T136" s="17">
        <v>10</v>
      </c>
      <c r="U136" s="6" t="s">
        <v>36</v>
      </c>
      <c r="V136" s="6" t="s">
        <v>12</v>
      </c>
      <c r="W136" s="49">
        <v>-102.148</v>
      </c>
      <c r="X136" s="49">
        <v>-42.6477</v>
      </c>
      <c r="Y136" s="29">
        <v>300</v>
      </c>
      <c r="Z136" s="29">
        <v>500</v>
      </c>
      <c r="AA136" s="28">
        <f t="shared" si="27"/>
        <v>460</v>
      </c>
      <c r="AB136" s="28">
        <f t="shared" si="32"/>
        <v>263.46232254716625</v>
      </c>
      <c r="AC136" s="61">
        <v>18</v>
      </c>
      <c r="AD136" s="61">
        <v>2</v>
      </c>
      <c r="AE136" s="61">
        <v>18</v>
      </c>
      <c r="AF136" s="61">
        <v>2</v>
      </c>
      <c r="AG136" s="28">
        <f t="shared" si="33"/>
        <v>1017.8760197630929</v>
      </c>
      <c r="AH136" s="34" t="str">
        <f t="shared" si="28"/>
        <v>OK</v>
      </c>
      <c r="AI136" s="28">
        <f t="shared" si="34"/>
        <v>-164.76766282313093</v>
      </c>
      <c r="AJ136" s="32">
        <f t="shared" si="35"/>
        <v>0.25883537624600511</v>
      </c>
    </row>
    <row r="137" spans="1:36" x14ac:dyDescent="0.25">
      <c r="A137" s="6" t="s">
        <v>44</v>
      </c>
      <c r="B137" s="17">
        <v>10.5</v>
      </c>
      <c r="C137" s="6" t="s">
        <v>36</v>
      </c>
      <c r="D137" s="6" t="s">
        <v>11</v>
      </c>
      <c r="E137" s="49">
        <v>-28.751000000000001</v>
      </c>
      <c r="F137" s="49">
        <v>11.0029</v>
      </c>
      <c r="G137" s="29">
        <v>300</v>
      </c>
      <c r="H137" s="29">
        <v>500</v>
      </c>
      <c r="I137" s="28">
        <f t="shared" si="24"/>
        <v>460</v>
      </c>
      <c r="J137" s="28">
        <f t="shared" si="29"/>
        <v>67.972002915848122</v>
      </c>
      <c r="K137" s="11">
        <v>14</v>
      </c>
      <c r="L137" s="11">
        <v>2</v>
      </c>
      <c r="M137" s="11">
        <v>12</v>
      </c>
      <c r="N137" s="11">
        <v>2</v>
      </c>
      <c r="O137" s="28">
        <f t="shared" si="30"/>
        <v>534.07075111026484</v>
      </c>
      <c r="P137" s="34" t="str">
        <f t="shared" si="25"/>
        <v>OK</v>
      </c>
      <c r="Q137" s="17">
        <f t="shared" si="26"/>
        <v>86.452168765223007</v>
      </c>
      <c r="R137" s="19">
        <f t="shared" si="31"/>
        <v>0.1272715324225171</v>
      </c>
      <c r="S137" s="6" t="s">
        <v>44</v>
      </c>
      <c r="T137" s="17">
        <v>10.5</v>
      </c>
      <c r="U137" s="6" t="s">
        <v>36</v>
      </c>
      <c r="V137" s="6" t="s">
        <v>12</v>
      </c>
      <c r="W137" s="49">
        <v>-72.843999999999994</v>
      </c>
      <c r="X137" s="49">
        <v>-10.427099999999999</v>
      </c>
      <c r="Y137" s="29">
        <v>300</v>
      </c>
      <c r="Z137" s="29">
        <v>500</v>
      </c>
      <c r="AA137" s="28">
        <f t="shared" si="27"/>
        <v>460</v>
      </c>
      <c r="AB137" s="28">
        <f t="shared" si="32"/>
        <v>64.414915304496077</v>
      </c>
      <c r="AC137" s="61">
        <v>18</v>
      </c>
      <c r="AD137" s="61">
        <v>2</v>
      </c>
      <c r="AE137" s="61">
        <v>12</v>
      </c>
      <c r="AF137" s="61">
        <v>0</v>
      </c>
      <c r="AG137" s="28">
        <f t="shared" si="33"/>
        <v>508.93800988154646</v>
      </c>
      <c r="AH137" s="34" t="str">
        <f t="shared" si="28"/>
        <v>OK</v>
      </c>
      <c r="AI137" s="28">
        <f t="shared" si="34"/>
        <v>-82.383831411565467</v>
      </c>
      <c r="AJ137" s="32">
        <f t="shared" si="35"/>
        <v>0.12656731085872014</v>
      </c>
    </row>
    <row r="138" spans="1:36" x14ac:dyDescent="0.25">
      <c r="A138" s="6" t="s">
        <v>44</v>
      </c>
      <c r="B138" s="17">
        <v>11</v>
      </c>
      <c r="C138" s="6" t="s">
        <v>36</v>
      </c>
      <c r="D138" s="6" t="s">
        <v>11</v>
      </c>
      <c r="E138" s="49">
        <v>-12.795</v>
      </c>
      <c r="F138" s="49">
        <v>30.196000000000002</v>
      </c>
      <c r="G138" s="29">
        <v>300</v>
      </c>
      <c r="H138" s="29">
        <v>500</v>
      </c>
      <c r="I138" s="28">
        <f t="shared" si="24"/>
        <v>460</v>
      </c>
      <c r="J138" s="28">
        <f t="shared" si="29"/>
        <v>186.54014851056991</v>
      </c>
      <c r="K138" s="11">
        <v>14</v>
      </c>
      <c r="L138" s="11">
        <v>2</v>
      </c>
      <c r="M138" s="11">
        <v>12</v>
      </c>
      <c r="N138" s="11">
        <v>2</v>
      </c>
      <c r="O138" s="28">
        <f t="shared" si="30"/>
        <v>534.07075111026484</v>
      </c>
      <c r="P138" s="34" t="str">
        <f t="shared" si="25"/>
        <v>OK</v>
      </c>
      <c r="Q138" s="17">
        <f t="shared" si="26"/>
        <v>86.452168765223007</v>
      </c>
      <c r="R138" s="19">
        <f t="shared" si="31"/>
        <v>0.34927984377121729</v>
      </c>
      <c r="S138" s="6" t="s">
        <v>44</v>
      </c>
      <c r="T138" s="17">
        <v>11</v>
      </c>
      <c r="U138" s="6" t="s">
        <v>36</v>
      </c>
      <c r="V138" s="6" t="s">
        <v>12</v>
      </c>
      <c r="W138" s="49">
        <v>-43.539000000000001</v>
      </c>
      <c r="X138" s="49">
        <v>11.155099999999999</v>
      </c>
      <c r="Y138" s="29">
        <v>300</v>
      </c>
      <c r="Z138" s="29">
        <v>500</v>
      </c>
      <c r="AA138" s="28">
        <f t="shared" si="27"/>
        <v>460</v>
      </c>
      <c r="AB138" s="28">
        <f t="shared" si="32"/>
        <v>68.91224038449657</v>
      </c>
      <c r="AC138" s="61">
        <v>18</v>
      </c>
      <c r="AD138" s="61">
        <v>2</v>
      </c>
      <c r="AE138" s="61">
        <v>12</v>
      </c>
      <c r="AF138" s="61">
        <v>0</v>
      </c>
      <c r="AG138" s="28">
        <f t="shared" si="33"/>
        <v>508.93800988154646</v>
      </c>
      <c r="AH138" s="34" t="str">
        <f t="shared" si="28"/>
        <v>OK</v>
      </c>
      <c r="AI138" s="28">
        <f t="shared" si="34"/>
        <v>-82.383831411565467</v>
      </c>
      <c r="AJ138" s="32">
        <f t="shared" si="35"/>
        <v>-0.13540399625592053</v>
      </c>
    </row>
    <row r="139" spans="1:36" x14ac:dyDescent="0.25">
      <c r="A139" s="6" t="s">
        <v>44</v>
      </c>
      <c r="B139" s="17">
        <v>11.5</v>
      </c>
      <c r="C139" s="6" t="s">
        <v>36</v>
      </c>
      <c r="D139" s="6" t="s">
        <v>11</v>
      </c>
      <c r="E139" s="49">
        <v>3.161</v>
      </c>
      <c r="F139" s="49">
        <v>44.639299999999999</v>
      </c>
      <c r="G139" s="29">
        <v>300</v>
      </c>
      <c r="H139" s="29">
        <v>500</v>
      </c>
      <c r="I139" s="28">
        <f t="shared" si="24"/>
        <v>460</v>
      </c>
      <c r="J139" s="28">
        <f t="shared" si="29"/>
        <v>275.76571901602478</v>
      </c>
      <c r="K139" s="11">
        <v>14</v>
      </c>
      <c r="L139" s="11">
        <v>2</v>
      </c>
      <c r="M139" s="11">
        <v>12</v>
      </c>
      <c r="N139" s="11">
        <v>2</v>
      </c>
      <c r="O139" s="28">
        <f t="shared" si="30"/>
        <v>534.07075111026484</v>
      </c>
      <c r="P139" s="34" t="str">
        <f t="shared" si="25"/>
        <v>OK</v>
      </c>
      <c r="Q139" s="17">
        <f t="shared" si="26"/>
        <v>86.452168765223007</v>
      </c>
      <c r="R139" s="19">
        <f t="shared" si="31"/>
        <v>0.51634679196107092</v>
      </c>
      <c r="S139" s="6" t="s">
        <v>44</v>
      </c>
      <c r="T139" s="17">
        <v>11.5</v>
      </c>
      <c r="U139" s="6" t="s">
        <v>36</v>
      </c>
      <c r="V139" s="6" t="s">
        <v>12</v>
      </c>
      <c r="W139" s="49">
        <v>-19.233000000000001</v>
      </c>
      <c r="X139" s="49">
        <v>23.7638</v>
      </c>
      <c r="Y139" s="29">
        <v>300</v>
      </c>
      <c r="Z139" s="29">
        <v>500</v>
      </c>
      <c r="AA139" s="28">
        <f t="shared" si="27"/>
        <v>460</v>
      </c>
      <c r="AB139" s="28">
        <f t="shared" si="32"/>
        <v>146.80430458257655</v>
      </c>
      <c r="AC139" s="61">
        <v>18</v>
      </c>
      <c r="AD139" s="61">
        <v>2</v>
      </c>
      <c r="AE139" s="61">
        <v>12</v>
      </c>
      <c r="AF139" s="61">
        <v>0</v>
      </c>
      <c r="AG139" s="28">
        <f t="shared" si="33"/>
        <v>508.93800988154646</v>
      </c>
      <c r="AH139" s="34" t="str">
        <f t="shared" si="28"/>
        <v>OK</v>
      </c>
      <c r="AI139" s="28">
        <f t="shared" si="34"/>
        <v>-82.383831411565467</v>
      </c>
      <c r="AJ139" s="32">
        <f t="shared" si="35"/>
        <v>-0.288452231376361</v>
      </c>
    </row>
    <row r="140" spans="1:36" x14ac:dyDescent="0.25">
      <c r="A140" s="6" t="s">
        <v>44</v>
      </c>
      <c r="B140" s="17">
        <v>12</v>
      </c>
      <c r="C140" s="6" t="s">
        <v>36</v>
      </c>
      <c r="D140" s="6" t="s">
        <v>11</v>
      </c>
      <c r="E140" s="49">
        <v>19.117000000000001</v>
      </c>
      <c r="F140" s="49">
        <v>44.430300000000003</v>
      </c>
      <c r="G140" s="29">
        <v>300</v>
      </c>
      <c r="H140" s="29">
        <v>500</v>
      </c>
      <c r="I140" s="28">
        <f t="shared" si="24"/>
        <v>460</v>
      </c>
      <c r="J140" s="28">
        <f t="shared" si="29"/>
        <v>274.47459134882683</v>
      </c>
      <c r="K140" s="11">
        <v>14</v>
      </c>
      <c r="L140" s="11">
        <v>2</v>
      </c>
      <c r="M140" s="11">
        <v>12</v>
      </c>
      <c r="N140" s="11">
        <v>2</v>
      </c>
      <c r="O140" s="28">
        <f t="shared" si="30"/>
        <v>534.07075111026484</v>
      </c>
      <c r="P140" s="34" t="str">
        <f t="shared" si="25"/>
        <v>OK</v>
      </c>
      <c r="Q140" s="17">
        <f t="shared" si="26"/>
        <v>86.452168765223007</v>
      </c>
      <c r="R140" s="19">
        <f t="shared" si="31"/>
        <v>0.51392927019169143</v>
      </c>
      <c r="S140" s="6" t="s">
        <v>44</v>
      </c>
      <c r="T140" s="17">
        <v>12</v>
      </c>
      <c r="U140" s="6" t="s">
        <v>36</v>
      </c>
      <c r="V140" s="6" t="s">
        <v>12</v>
      </c>
      <c r="W140" s="49">
        <v>-3.2759999999999998</v>
      </c>
      <c r="X140" s="49">
        <v>18.225300000000001</v>
      </c>
      <c r="Y140" s="29">
        <v>300</v>
      </c>
      <c r="Z140" s="29">
        <v>500</v>
      </c>
      <c r="AA140" s="28">
        <f t="shared" si="27"/>
        <v>460</v>
      </c>
      <c r="AB140" s="28">
        <f t="shared" si="32"/>
        <v>112.58942140183103</v>
      </c>
      <c r="AC140" s="61">
        <v>18</v>
      </c>
      <c r="AD140" s="61">
        <v>2</v>
      </c>
      <c r="AE140" s="61">
        <v>12</v>
      </c>
      <c r="AF140" s="61">
        <v>0</v>
      </c>
      <c r="AG140" s="28">
        <f t="shared" si="33"/>
        <v>508.93800988154646</v>
      </c>
      <c r="AH140" s="34" t="str">
        <f t="shared" si="28"/>
        <v>OK</v>
      </c>
      <c r="AI140" s="28">
        <f t="shared" si="34"/>
        <v>-82.383831411565467</v>
      </c>
      <c r="AJ140" s="32">
        <f t="shared" si="35"/>
        <v>-0.22122423402417091</v>
      </c>
    </row>
    <row r="141" spans="1:36" x14ac:dyDescent="0.25">
      <c r="A141" s="6" t="s">
        <v>44</v>
      </c>
      <c r="B141" s="17">
        <v>12.5</v>
      </c>
      <c r="C141" s="6" t="s">
        <v>36</v>
      </c>
      <c r="D141" s="6" t="s">
        <v>11</v>
      </c>
      <c r="E141" s="49">
        <v>44.375</v>
      </c>
      <c r="F141" s="49">
        <v>29.568999999999999</v>
      </c>
      <c r="G141" s="29">
        <v>300</v>
      </c>
      <c r="H141" s="29">
        <v>500</v>
      </c>
      <c r="I141" s="28">
        <f t="shared" si="24"/>
        <v>460</v>
      </c>
      <c r="J141" s="28">
        <f t="shared" si="29"/>
        <v>182.66676550897608</v>
      </c>
      <c r="K141" s="11">
        <v>14</v>
      </c>
      <c r="L141" s="11">
        <v>2</v>
      </c>
      <c r="M141" s="11">
        <v>12</v>
      </c>
      <c r="N141" s="11">
        <v>2</v>
      </c>
      <c r="O141" s="28">
        <f t="shared" si="30"/>
        <v>534.07075111026484</v>
      </c>
      <c r="P141" s="34" t="str">
        <f t="shared" si="25"/>
        <v>OK</v>
      </c>
      <c r="Q141" s="17">
        <f t="shared" si="26"/>
        <v>86.452168765223007</v>
      </c>
      <c r="R141" s="19">
        <f t="shared" si="31"/>
        <v>0.34202727846307862</v>
      </c>
      <c r="S141" s="6" t="s">
        <v>44</v>
      </c>
      <c r="T141" s="17">
        <v>12.5</v>
      </c>
      <c r="U141" s="6" t="s">
        <v>36</v>
      </c>
      <c r="V141" s="6" t="s">
        <v>12</v>
      </c>
      <c r="W141" s="49">
        <v>12.68</v>
      </c>
      <c r="X141" s="49">
        <v>4.6784999999999997</v>
      </c>
      <c r="Y141" s="29">
        <v>300</v>
      </c>
      <c r="Z141" s="29">
        <v>500</v>
      </c>
      <c r="AA141" s="28">
        <f t="shared" si="27"/>
        <v>460</v>
      </c>
      <c r="AB141" s="28">
        <f t="shared" si="32"/>
        <v>28.902109047777895</v>
      </c>
      <c r="AC141" s="61">
        <v>18</v>
      </c>
      <c r="AD141" s="61">
        <v>2</v>
      </c>
      <c r="AE141" s="61">
        <v>12</v>
      </c>
      <c r="AF141" s="61">
        <v>0</v>
      </c>
      <c r="AG141" s="28">
        <f t="shared" si="33"/>
        <v>508.93800988154646</v>
      </c>
      <c r="AH141" s="34" t="str">
        <f t="shared" si="28"/>
        <v>OK</v>
      </c>
      <c r="AI141" s="28">
        <f t="shared" si="34"/>
        <v>-82.383831411565467</v>
      </c>
      <c r="AJ141" s="32">
        <f t="shared" si="35"/>
        <v>-5.6789055811541291E-2</v>
      </c>
    </row>
    <row r="142" spans="1:36" x14ac:dyDescent="0.25">
      <c r="A142" s="6" t="s">
        <v>44</v>
      </c>
      <c r="B142" s="17">
        <v>13</v>
      </c>
      <c r="C142" s="6" t="s">
        <v>36</v>
      </c>
      <c r="D142" s="6" t="s">
        <v>11</v>
      </c>
      <c r="E142" s="49">
        <v>73.680000000000007</v>
      </c>
      <c r="F142" s="49">
        <v>17.710799999999999</v>
      </c>
      <c r="G142" s="29">
        <v>300</v>
      </c>
      <c r="H142" s="29">
        <v>500</v>
      </c>
      <c r="I142" s="28">
        <f t="shared" si="24"/>
        <v>460</v>
      </c>
      <c r="J142" s="28">
        <f t="shared" si="29"/>
        <v>109.41102338856146</v>
      </c>
      <c r="K142" s="11">
        <v>14</v>
      </c>
      <c r="L142" s="11">
        <v>2</v>
      </c>
      <c r="M142" s="11">
        <v>12</v>
      </c>
      <c r="N142" s="11">
        <v>2</v>
      </c>
      <c r="O142" s="28">
        <f t="shared" si="30"/>
        <v>534.07075111026484</v>
      </c>
      <c r="P142" s="34" t="str">
        <f t="shared" si="25"/>
        <v>OK</v>
      </c>
      <c r="Q142" s="17">
        <f t="shared" si="26"/>
        <v>86.452168765223007</v>
      </c>
      <c r="R142" s="19">
        <f t="shared" si="31"/>
        <v>0.20486241412979447</v>
      </c>
      <c r="S142" s="6" t="s">
        <v>44</v>
      </c>
      <c r="T142" s="17">
        <v>13</v>
      </c>
      <c r="U142" s="6" t="s">
        <v>36</v>
      </c>
      <c r="V142" s="6" t="s">
        <v>12</v>
      </c>
      <c r="W142" s="49">
        <v>28.635999999999999</v>
      </c>
      <c r="X142" s="49">
        <v>-16.847100000000001</v>
      </c>
      <c r="Y142" s="29">
        <v>300</v>
      </c>
      <c r="Z142" s="29">
        <v>500</v>
      </c>
      <c r="AA142" s="28">
        <f t="shared" si="27"/>
        <v>460</v>
      </c>
      <c r="AB142" s="28">
        <f t="shared" si="32"/>
        <v>104.07539197153339</v>
      </c>
      <c r="AC142" s="61">
        <v>18</v>
      </c>
      <c r="AD142" s="61">
        <v>2</v>
      </c>
      <c r="AE142" s="61">
        <v>12</v>
      </c>
      <c r="AF142" s="61">
        <v>0</v>
      </c>
      <c r="AG142" s="28">
        <f t="shared" si="33"/>
        <v>508.93800988154646</v>
      </c>
      <c r="AH142" s="34" t="str">
        <f t="shared" si="28"/>
        <v>OK</v>
      </c>
      <c r="AI142" s="28">
        <f t="shared" si="34"/>
        <v>-82.383831411565467</v>
      </c>
      <c r="AJ142" s="32">
        <f t="shared" si="35"/>
        <v>0.20449522329007533</v>
      </c>
    </row>
    <row r="143" spans="1:36" x14ac:dyDescent="0.25">
      <c r="A143" s="6" t="s">
        <v>44</v>
      </c>
      <c r="B143" s="17">
        <v>13.5</v>
      </c>
      <c r="C143" s="6" t="s">
        <v>36</v>
      </c>
      <c r="D143" s="6" t="s">
        <v>11</v>
      </c>
      <c r="E143" s="49">
        <v>102.98399999999999</v>
      </c>
      <c r="F143" s="49">
        <v>-0.59640000000000004</v>
      </c>
      <c r="G143" s="29">
        <v>300</v>
      </c>
      <c r="H143" s="29">
        <v>500</v>
      </c>
      <c r="I143" s="28">
        <f t="shared" si="24"/>
        <v>460</v>
      </c>
      <c r="J143" s="28">
        <f t="shared" si="29"/>
        <v>3.6843470847696351</v>
      </c>
      <c r="K143" s="11">
        <v>14</v>
      </c>
      <c r="L143" s="11">
        <v>2</v>
      </c>
      <c r="M143" s="11">
        <v>12</v>
      </c>
      <c r="N143" s="11">
        <v>2</v>
      </c>
      <c r="O143" s="28">
        <f>PI()*K143^2/4*L143+PI()*M143^2/4*N143</f>
        <v>534.07075111026484</v>
      </c>
      <c r="P143" s="34" t="str">
        <f t="shared" si="25"/>
        <v>OK</v>
      </c>
      <c r="Q143" s="17">
        <f t="shared" si="26"/>
        <v>86.452168765223007</v>
      </c>
      <c r="R143" s="19">
        <f t="shared" si="31"/>
        <v>-6.8986123600859048E-3</v>
      </c>
      <c r="S143" s="6" t="s">
        <v>44</v>
      </c>
      <c r="T143" s="17">
        <v>13.5</v>
      </c>
      <c r="U143" s="6" t="s">
        <v>36</v>
      </c>
      <c r="V143" s="6" t="s">
        <v>12</v>
      </c>
      <c r="W143" s="49">
        <v>44.591999999999999</v>
      </c>
      <c r="X143" s="49">
        <v>-46.3508</v>
      </c>
      <c r="Y143" s="29">
        <v>300</v>
      </c>
      <c r="Z143" s="29">
        <v>500</v>
      </c>
      <c r="AA143" s="28">
        <f t="shared" si="27"/>
        <v>460</v>
      </c>
      <c r="AB143" s="28">
        <f t="shared" si="32"/>
        <v>286.33875730506441</v>
      </c>
      <c r="AC143" s="61">
        <v>18</v>
      </c>
      <c r="AD143" s="61">
        <v>2</v>
      </c>
      <c r="AE143" s="61">
        <v>12</v>
      </c>
      <c r="AF143" s="61">
        <v>0</v>
      </c>
      <c r="AG143" s="28">
        <f>PI()*AC143^2/4*AD143+PI()*AE143^2/4*AF143</f>
        <v>508.93800988154646</v>
      </c>
      <c r="AH143" s="34" t="str">
        <f t="shared" si="28"/>
        <v>OK</v>
      </c>
      <c r="AI143" s="28">
        <f t="shared" si="34"/>
        <v>-82.383831411565467</v>
      </c>
      <c r="AJ143" s="32">
        <f>X143/AI143</f>
        <v>0.56262010646779692</v>
      </c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67" spans="1:36" x14ac:dyDescent="0.25">
      <c r="A167" s="2" t="s">
        <v>1</v>
      </c>
      <c r="B167" s="3" t="s">
        <v>2</v>
      </c>
      <c r="C167" s="2" t="s">
        <v>34</v>
      </c>
      <c r="D167" s="2" t="s">
        <v>3</v>
      </c>
      <c r="E167" s="3" t="s">
        <v>4</v>
      </c>
      <c r="F167" s="3" t="s">
        <v>5</v>
      </c>
      <c r="G167" s="5" t="s">
        <v>20</v>
      </c>
      <c r="H167" s="5" t="s">
        <v>21</v>
      </c>
      <c r="I167" s="5" t="s">
        <v>25</v>
      </c>
      <c r="J167" s="5" t="s">
        <v>23</v>
      </c>
      <c r="K167" s="5" t="s">
        <v>26</v>
      </c>
      <c r="L167" s="5" t="s">
        <v>27</v>
      </c>
      <c r="M167" s="5" t="s">
        <v>26</v>
      </c>
      <c r="N167" s="5" t="s">
        <v>27</v>
      </c>
      <c r="O167" s="5" t="s">
        <v>23</v>
      </c>
      <c r="P167" s="18"/>
      <c r="Q167" s="5" t="s">
        <v>31</v>
      </c>
      <c r="R167" s="5" t="s">
        <v>33</v>
      </c>
      <c r="S167" s="2" t="s">
        <v>1</v>
      </c>
      <c r="T167" s="3" t="s">
        <v>2</v>
      </c>
      <c r="U167" s="2" t="s">
        <v>34</v>
      </c>
      <c r="V167" s="2" t="s">
        <v>3</v>
      </c>
      <c r="W167" s="3" t="s">
        <v>4</v>
      </c>
      <c r="X167" s="3" t="s">
        <v>5</v>
      </c>
      <c r="Y167" s="5" t="s">
        <v>20</v>
      </c>
      <c r="Z167" s="5" t="s">
        <v>21</v>
      </c>
      <c r="AA167" s="5" t="s">
        <v>25</v>
      </c>
      <c r="AB167" s="5" t="s">
        <v>23</v>
      </c>
      <c r="AC167" s="5" t="s">
        <v>26</v>
      </c>
      <c r="AD167" s="5" t="s">
        <v>27</v>
      </c>
      <c r="AE167" s="5" t="s">
        <v>26</v>
      </c>
      <c r="AF167" s="5" t="s">
        <v>27</v>
      </c>
      <c r="AG167" s="5" t="s">
        <v>23</v>
      </c>
      <c r="AH167" s="18"/>
      <c r="AI167" s="5" t="s">
        <v>31</v>
      </c>
      <c r="AJ167" s="5" t="s">
        <v>33</v>
      </c>
    </row>
    <row r="168" spans="1:36" x14ac:dyDescent="0.25">
      <c r="A168" s="4" t="s">
        <v>6</v>
      </c>
      <c r="B168" s="5" t="s">
        <v>7</v>
      </c>
      <c r="C168" s="4" t="s">
        <v>6</v>
      </c>
      <c r="D168" s="4" t="s">
        <v>6</v>
      </c>
      <c r="E168" s="5" t="s">
        <v>8</v>
      </c>
      <c r="F168" s="5" t="s">
        <v>9</v>
      </c>
      <c r="G168" s="9" t="s">
        <v>22</v>
      </c>
      <c r="H168" s="9" t="s">
        <v>22</v>
      </c>
      <c r="I168" s="9" t="s">
        <v>22</v>
      </c>
      <c r="J168" s="9" t="s">
        <v>24</v>
      </c>
      <c r="K168" s="9" t="s">
        <v>22</v>
      </c>
      <c r="L168" s="9" t="s">
        <v>28</v>
      </c>
      <c r="M168" s="9" t="s">
        <v>22</v>
      </c>
      <c r="N168" s="9" t="s">
        <v>28</v>
      </c>
      <c r="O168" s="9" t="s">
        <v>24</v>
      </c>
      <c r="P168" s="31"/>
      <c r="Q168" s="9" t="s">
        <v>9</v>
      </c>
      <c r="R168" s="9" t="s">
        <v>28</v>
      </c>
      <c r="S168" s="4" t="s">
        <v>6</v>
      </c>
      <c r="T168" s="5" t="s">
        <v>7</v>
      </c>
      <c r="U168" s="4" t="s">
        <v>6</v>
      </c>
      <c r="V168" s="4" t="s">
        <v>6</v>
      </c>
      <c r="W168" s="5" t="s">
        <v>8</v>
      </c>
      <c r="X168" s="5" t="s">
        <v>9</v>
      </c>
      <c r="Y168" s="9" t="s">
        <v>22</v>
      </c>
      <c r="Z168" s="5" t="s">
        <v>22</v>
      </c>
      <c r="AA168" s="5" t="s">
        <v>22</v>
      </c>
      <c r="AB168" s="5" t="s">
        <v>24</v>
      </c>
      <c r="AC168" s="5" t="s">
        <v>22</v>
      </c>
      <c r="AD168" s="5" t="s">
        <v>28</v>
      </c>
      <c r="AE168" s="5" t="s">
        <v>22</v>
      </c>
      <c r="AF168" s="5" t="s">
        <v>28</v>
      </c>
      <c r="AG168" s="5" t="s">
        <v>24</v>
      </c>
      <c r="AH168" s="18"/>
      <c r="AI168" s="5" t="s">
        <v>9</v>
      </c>
      <c r="AJ168" s="5" t="s">
        <v>28</v>
      </c>
    </row>
    <row r="169" spans="1:36" x14ac:dyDescent="0.25">
      <c r="A169" s="6" t="s">
        <v>45</v>
      </c>
      <c r="B169" s="17">
        <v>0</v>
      </c>
      <c r="C169" s="6" t="s">
        <v>36</v>
      </c>
      <c r="D169" s="6" t="s">
        <v>11</v>
      </c>
      <c r="E169" s="49">
        <v>-43.774000000000001</v>
      </c>
      <c r="F169" s="49">
        <v>0.99080000000000001</v>
      </c>
      <c r="G169" s="29">
        <v>300</v>
      </c>
      <c r="H169" s="29">
        <v>500</v>
      </c>
      <c r="I169" s="28">
        <f t="shared" ref="I169:I198" si="36">H169-40</f>
        <v>460</v>
      </c>
      <c r="J169" s="28">
        <f>ABS(F169)*1000^2/(0.9*391*I169)</f>
        <v>6.1208100127259462</v>
      </c>
      <c r="K169" s="11">
        <v>18</v>
      </c>
      <c r="L169" s="11">
        <v>2</v>
      </c>
      <c r="M169" s="11">
        <v>12</v>
      </c>
      <c r="N169" s="11">
        <v>0</v>
      </c>
      <c r="O169" s="28">
        <f>PI()*K169^2/4*L169+PI()*M169^2/4*N169</f>
        <v>508.93800988154646</v>
      </c>
      <c r="P169" s="34" t="str">
        <f t="shared" ref="P169:P198" si="37">IF(O169&gt;=J169,"OK","NO")</f>
        <v>OK</v>
      </c>
      <c r="Q169" s="17">
        <f t="shared" ref="Q169:Q198" si="38">(O169*0.9*391*I169)/1000^2</f>
        <v>82.383831411565467</v>
      </c>
      <c r="R169" s="19">
        <f>F169/Q169</f>
        <v>1.2026631719156805E-2</v>
      </c>
      <c r="S169" s="6" t="s">
        <v>45</v>
      </c>
      <c r="T169" s="17">
        <v>0</v>
      </c>
      <c r="U169" s="6" t="s">
        <v>36</v>
      </c>
      <c r="V169" s="6" t="s">
        <v>12</v>
      </c>
      <c r="W169" s="49">
        <v>-103.283</v>
      </c>
      <c r="X169" s="49">
        <v>-48.810099999999998</v>
      </c>
      <c r="Y169" s="29">
        <v>300</v>
      </c>
      <c r="Z169" s="29">
        <v>500</v>
      </c>
      <c r="AA169" s="28">
        <f t="shared" ref="AA169:AA198" si="39">Z169-40</f>
        <v>460</v>
      </c>
      <c r="AB169" s="28">
        <f>ABS(X169)*1000^2/(0.9*391*AA169)</f>
        <v>301.53143803204955</v>
      </c>
      <c r="AC169" s="61">
        <v>18</v>
      </c>
      <c r="AD169" s="61">
        <v>2</v>
      </c>
      <c r="AE169" s="61">
        <v>0</v>
      </c>
      <c r="AF169" s="61">
        <v>2</v>
      </c>
      <c r="AG169" s="28">
        <f>PI()*AC169^2/4*AD169+PI()*AE169^2/4*AF169</f>
        <v>508.93800988154646</v>
      </c>
      <c r="AH169" s="34" t="str">
        <f t="shared" ref="AH169:AH198" si="40">IF(AG169&gt;=AB169,"OK","NO")</f>
        <v>OK</v>
      </c>
      <c r="AI169" s="28">
        <f>-(AG169*0.9*391*AA169)/1000^2</f>
        <v>-82.383831411565467</v>
      </c>
      <c r="AJ169" s="32">
        <f>X169/AI169</f>
        <v>0.59247183778281753</v>
      </c>
    </row>
    <row r="170" spans="1:36" x14ac:dyDescent="0.25">
      <c r="A170" s="6" t="s">
        <v>45</v>
      </c>
      <c r="B170" s="17">
        <v>0.5</v>
      </c>
      <c r="C170" s="6" t="s">
        <v>36</v>
      </c>
      <c r="D170" s="6" t="s">
        <v>11</v>
      </c>
      <c r="E170" s="49">
        <v>-27.818000000000001</v>
      </c>
      <c r="F170" s="49">
        <v>18.889199999999999</v>
      </c>
      <c r="G170" s="29">
        <v>300</v>
      </c>
      <c r="H170" s="29">
        <v>500</v>
      </c>
      <c r="I170" s="28">
        <f t="shared" si="36"/>
        <v>460</v>
      </c>
      <c r="J170" s="28">
        <f t="shared" ref="J170:J198" si="41">ABS(F170)*1000^2/(0.9*391*I170)</f>
        <v>116.69075947959521</v>
      </c>
      <c r="K170" s="61">
        <v>18</v>
      </c>
      <c r="L170" s="61">
        <v>2</v>
      </c>
      <c r="M170" s="61">
        <v>12</v>
      </c>
      <c r="N170" s="61">
        <v>0</v>
      </c>
      <c r="O170" s="28">
        <f t="shared" ref="O170:O197" si="42">PI()*K170^2/4*L170+PI()*M170^2/4*N170</f>
        <v>508.93800988154646</v>
      </c>
      <c r="P170" s="34" t="str">
        <f t="shared" si="37"/>
        <v>OK</v>
      </c>
      <c r="Q170" s="17">
        <f t="shared" si="38"/>
        <v>82.383831411565467</v>
      </c>
      <c r="R170" s="19">
        <f t="shared" ref="R170:R198" si="43">F170/Q170</f>
        <v>0.22928285412746943</v>
      </c>
      <c r="S170" s="6" t="s">
        <v>45</v>
      </c>
      <c r="T170" s="17">
        <v>0.5</v>
      </c>
      <c r="U170" s="6" t="s">
        <v>36</v>
      </c>
      <c r="V170" s="6" t="s">
        <v>12</v>
      </c>
      <c r="W170" s="49">
        <v>-73.978999999999999</v>
      </c>
      <c r="X170" s="49">
        <v>-18.727499999999999</v>
      </c>
      <c r="Y170" s="29">
        <v>300</v>
      </c>
      <c r="Z170" s="29">
        <v>500</v>
      </c>
      <c r="AA170" s="28">
        <f t="shared" si="39"/>
        <v>460</v>
      </c>
      <c r="AB170" s="28">
        <f t="shared" ref="AB170:AB198" si="44">ABS(X170)*1000^2/(0.9*391*AA170)</f>
        <v>115.69183438971049</v>
      </c>
      <c r="AC170" s="61">
        <v>18</v>
      </c>
      <c r="AD170" s="61">
        <v>2</v>
      </c>
      <c r="AE170" s="61">
        <v>0</v>
      </c>
      <c r="AF170" s="61">
        <v>2</v>
      </c>
      <c r="AG170" s="28">
        <f t="shared" ref="AG170:AG197" si="45">PI()*AC170^2/4*AD170+PI()*AE170^2/4*AF170</f>
        <v>508.93800988154646</v>
      </c>
      <c r="AH170" s="34" t="str">
        <f t="shared" si="40"/>
        <v>OK</v>
      </c>
      <c r="AI170" s="28">
        <f t="shared" ref="AI170:AI198" si="46">-(AG170*0.9*391*AA170)/1000^2</f>
        <v>-82.383831411565467</v>
      </c>
      <c r="AJ170" s="32">
        <f t="shared" ref="AJ170:AJ197" si="47">X170/AI170</f>
        <v>0.22732009035174511</v>
      </c>
    </row>
    <row r="171" spans="1:36" x14ac:dyDescent="0.25">
      <c r="A171" s="6" t="s">
        <v>45</v>
      </c>
      <c r="B171" s="17">
        <v>1</v>
      </c>
      <c r="C171" s="6" t="s">
        <v>36</v>
      </c>
      <c r="D171" s="6" t="s">
        <v>11</v>
      </c>
      <c r="E171" s="49">
        <v>-11.862</v>
      </c>
      <c r="F171" s="49">
        <v>29.086200000000002</v>
      </c>
      <c r="G171" s="29">
        <v>300</v>
      </c>
      <c r="H171" s="29">
        <v>500</v>
      </c>
      <c r="I171" s="28">
        <f t="shared" si="36"/>
        <v>460</v>
      </c>
      <c r="J171" s="28">
        <f t="shared" si="41"/>
        <v>179.68419882130542</v>
      </c>
      <c r="K171" s="61">
        <v>18</v>
      </c>
      <c r="L171" s="61">
        <v>2</v>
      </c>
      <c r="M171" s="61">
        <v>12</v>
      </c>
      <c r="N171" s="61">
        <v>0</v>
      </c>
      <c r="O171" s="28">
        <f t="shared" si="42"/>
        <v>508.93800988154646</v>
      </c>
      <c r="P171" s="34" t="str">
        <f t="shared" si="37"/>
        <v>OK</v>
      </c>
      <c r="Q171" s="17">
        <f t="shared" si="38"/>
        <v>82.383831411565467</v>
      </c>
      <c r="R171" s="19">
        <f t="shared" si="43"/>
        <v>0.35305714120886023</v>
      </c>
      <c r="S171" s="6" t="s">
        <v>45</v>
      </c>
      <c r="T171" s="17">
        <v>1</v>
      </c>
      <c r="U171" s="6" t="s">
        <v>36</v>
      </c>
      <c r="V171" s="6" t="s">
        <v>12</v>
      </c>
      <c r="W171" s="49">
        <v>-44.673999999999999</v>
      </c>
      <c r="X171" s="49">
        <v>3.3769</v>
      </c>
      <c r="Y171" s="29">
        <v>300</v>
      </c>
      <c r="Z171" s="29">
        <v>500</v>
      </c>
      <c r="AA171" s="28">
        <f t="shared" si="39"/>
        <v>460</v>
      </c>
      <c r="AB171" s="28">
        <f t="shared" si="44"/>
        <v>20.861287173974816</v>
      </c>
      <c r="AC171" s="61">
        <v>18</v>
      </c>
      <c r="AD171" s="61">
        <v>2</v>
      </c>
      <c r="AE171" s="61">
        <v>0</v>
      </c>
      <c r="AF171" s="61">
        <v>2</v>
      </c>
      <c r="AG171" s="28">
        <f t="shared" si="45"/>
        <v>508.93800988154646</v>
      </c>
      <c r="AH171" s="34" t="str">
        <f t="shared" si="40"/>
        <v>OK</v>
      </c>
      <c r="AI171" s="28">
        <f t="shared" si="46"/>
        <v>-82.383831411565467</v>
      </c>
      <c r="AJ171" s="32">
        <f t="shared" si="47"/>
        <v>-4.0989839172810474E-2</v>
      </c>
    </row>
    <row r="172" spans="1:36" x14ac:dyDescent="0.25">
      <c r="A172" s="6" t="s">
        <v>45</v>
      </c>
      <c r="B172" s="17">
        <v>1.5</v>
      </c>
      <c r="C172" s="6" t="s">
        <v>36</v>
      </c>
      <c r="D172" s="6" t="s">
        <v>11</v>
      </c>
      <c r="E172" s="49">
        <v>4.0940000000000003</v>
      </c>
      <c r="F172" s="49">
        <v>44.097099999999998</v>
      </c>
      <c r="G172" s="29">
        <v>300</v>
      </c>
      <c r="H172" s="29">
        <v>500</v>
      </c>
      <c r="I172" s="28">
        <f t="shared" si="36"/>
        <v>460</v>
      </c>
      <c r="J172" s="28">
        <f t="shared" si="41"/>
        <v>272.41620025451891</v>
      </c>
      <c r="K172" s="61">
        <v>18</v>
      </c>
      <c r="L172" s="61">
        <v>2</v>
      </c>
      <c r="M172" s="61">
        <v>12</v>
      </c>
      <c r="N172" s="61">
        <v>0</v>
      </c>
      <c r="O172" s="28">
        <f t="shared" si="42"/>
        <v>508.93800988154646</v>
      </c>
      <c r="P172" s="34" t="str">
        <f t="shared" si="37"/>
        <v>OK</v>
      </c>
      <c r="Q172" s="17">
        <f t="shared" si="38"/>
        <v>82.383831411565467</v>
      </c>
      <c r="R172" s="19">
        <f t="shared" si="43"/>
        <v>0.53526401047923855</v>
      </c>
      <c r="S172" s="6" t="s">
        <v>45</v>
      </c>
      <c r="T172" s="17">
        <v>1.5</v>
      </c>
      <c r="U172" s="6" t="s">
        <v>36</v>
      </c>
      <c r="V172" s="6" t="s">
        <v>12</v>
      </c>
      <c r="W172" s="49">
        <v>-20.274999999999999</v>
      </c>
      <c r="X172" s="49">
        <v>17.502500000000001</v>
      </c>
      <c r="Y172" s="29">
        <v>300</v>
      </c>
      <c r="Z172" s="29">
        <v>500</v>
      </c>
      <c r="AA172" s="28">
        <f t="shared" si="39"/>
        <v>460</v>
      </c>
      <c r="AB172" s="28">
        <f t="shared" si="44"/>
        <v>108.12422007240197</v>
      </c>
      <c r="AC172" s="61">
        <v>18</v>
      </c>
      <c r="AD172" s="61">
        <v>2</v>
      </c>
      <c r="AE172" s="61">
        <v>0</v>
      </c>
      <c r="AF172" s="61">
        <v>2</v>
      </c>
      <c r="AG172" s="28">
        <f t="shared" si="45"/>
        <v>508.93800988154646</v>
      </c>
      <c r="AH172" s="34" t="str">
        <f t="shared" si="40"/>
        <v>OK</v>
      </c>
      <c r="AI172" s="28">
        <f t="shared" si="46"/>
        <v>-82.383831411565467</v>
      </c>
      <c r="AJ172" s="32">
        <f t="shared" si="47"/>
        <v>-0.2124506678083791</v>
      </c>
    </row>
    <row r="173" spans="1:36" x14ac:dyDescent="0.25">
      <c r="A173" s="6" t="s">
        <v>45</v>
      </c>
      <c r="B173" s="17">
        <v>2</v>
      </c>
      <c r="C173" s="6" t="s">
        <v>36</v>
      </c>
      <c r="D173" s="6" t="s">
        <v>11</v>
      </c>
      <c r="E173" s="49">
        <v>20.05</v>
      </c>
      <c r="F173" s="49">
        <v>44.455599999999997</v>
      </c>
      <c r="G173" s="29">
        <v>300</v>
      </c>
      <c r="H173" s="29">
        <v>500</v>
      </c>
      <c r="I173" s="28">
        <f t="shared" si="36"/>
        <v>460</v>
      </c>
      <c r="J173" s="28">
        <f t="shared" si="41"/>
        <v>274.63088575064552</v>
      </c>
      <c r="K173" s="61">
        <v>18</v>
      </c>
      <c r="L173" s="61">
        <v>2</v>
      </c>
      <c r="M173" s="61">
        <v>12</v>
      </c>
      <c r="N173" s="61">
        <v>0</v>
      </c>
      <c r="O173" s="28">
        <f t="shared" si="42"/>
        <v>508.93800988154646</v>
      </c>
      <c r="P173" s="34" t="str">
        <f t="shared" si="37"/>
        <v>OK</v>
      </c>
      <c r="Q173" s="17">
        <f t="shared" si="38"/>
        <v>82.383831411565467</v>
      </c>
      <c r="R173" s="19">
        <f t="shared" si="43"/>
        <v>0.53961559250519497</v>
      </c>
      <c r="S173" s="6" t="s">
        <v>45</v>
      </c>
      <c r="T173" s="17">
        <v>2</v>
      </c>
      <c r="U173" s="6" t="s">
        <v>36</v>
      </c>
      <c r="V173" s="6" t="s">
        <v>12</v>
      </c>
      <c r="W173" s="49">
        <v>-4.319</v>
      </c>
      <c r="X173" s="49">
        <v>23.623899999999999</v>
      </c>
      <c r="Y173" s="29">
        <v>300</v>
      </c>
      <c r="Z173" s="29">
        <v>500</v>
      </c>
      <c r="AA173" s="28">
        <f t="shared" si="39"/>
        <v>460</v>
      </c>
      <c r="AB173" s="28">
        <f t="shared" si="44"/>
        <v>145.9400521393182</v>
      </c>
      <c r="AC173" s="61">
        <v>18</v>
      </c>
      <c r="AD173" s="61">
        <v>2</v>
      </c>
      <c r="AE173" s="61">
        <v>0</v>
      </c>
      <c r="AF173" s="61">
        <v>2</v>
      </c>
      <c r="AG173" s="28">
        <f t="shared" si="45"/>
        <v>508.93800988154646</v>
      </c>
      <c r="AH173" s="34" t="str">
        <f t="shared" si="40"/>
        <v>OK</v>
      </c>
      <c r="AI173" s="28">
        <f t="shared" si="46"/>
        <v>-82.383831411565467</v>
      </c>
      <c r="AJ173" s="32">
        <f t="shared" si="47"/>
        <v>-0.28675408263038799</v>
      </c>
    </row>
    <row r="174" spans="1:36" x14ac:dyDescent="0.25">
      <c r="A174" s="6" t="s">
        <v>45</v>
      </c>
      <c r="B174" s="17">
        <v>2.5</v>
      </c>
      <c r="C174" s="6" t="s">
        <v>36</v>
      </c>
      <c r="D174" s="6" t="s">
        <v>11</v>
      </c>
      <c r="E174" s="49">
        <v>43.24</v>
      </c>
      <c r="F174" s="49">
        <v>30.161799999999999</v>
      </c>
      <c r="G174" s="29">
        <v>300</v>
      </c>
      <c r="H174" s="29">
        <v>500</v>
      </c>
      <c r="I174" s="28">
        <f t="shared" si="36"/>
        <v>460</v>
      </c>
      <c r="J174" s="28">
        <f t="shared" si="41"/>
        <v>186.32887307411934</v>
      </c>
      <c r="K174" s="61">
        <v>18</v>
      </c>
      <c r="L174" s="61">
        <v>2</v>
      </c>
      <c r="M174" s="61">
        <v>12</v>
      </c>
      <c r="N174" s="61">
        <v>0</v>
      </c>
      <c r="O174" s="28">
        <f t="shared" si="42"/>
        <v>508.93800988154646</v>
      </c>
      <c r="P174" s="34" t="str">
        <f t="shared" si="37"/>
        <v>OK</v>
      </c>
      <c r="Q174" s="17">
        <f t="shared" si="38"/>
        <v>82.383831411565467</v>
      </c>
      <c r="R174" s="19">
        <f t="shared" si="43"/>
        <v>0.3661131011171414</v>
      </c>
      <c r="S174" s="6" t="s">
        <v>45</v>
      </c>
      <c r="T174" s="17">
        <v>2.5</v>
      </c>
      <c r="U174" s="6" t="s">
        <v>36</v>
      </c>
      <c r="V174" s="6" t="s">
        <v>12</v>
      </c>
      <c r="W174" s="49">
        <v>11.637</v>
      </c>
      <c r="X174" s="49">
        <v>10.698</v>
      </c>
      <c r="Y174" s="29">
        <v>300</v>
      </c>
      <c r="Z174" s="29">
        <v>500</v>
      </c>
      <c r="AA174" s="28">
        <f t="shared" si="39"/>
        <v>460</v>
      </c>
      <c r="AB174" s="28">
        <f t="shared" si="44"/>
        <v>66.088439156380872</v>
      </c>
      <c r="AC174" s="61">
        <v>18</v>
      </c>
      <c r="AD174" s="61">
        <v>2</v>
      </c>
      <c r="AE174" s="61">
        <v>0</v>
      </c>
      <c r="AF174" s="61">
        <v>2</v>
      </c>
      <c r="AG174" s="28">
        <f t="shared" si="45"/>
        <v>508.93800988154646</v>
      </c>
      <c r="AH174" s="34" t="str">
        <f t="shared" si="40"/>
        <v>OK</v>
      </c>
      <c r="AI174" s="28">
        <f t="shared" si="46"/>
        <v>-82.383831411565467</v>
      </c>
      <c r="AJ174" s="32">
        <f t="shared" si="47"/>
        <v>-0.12985557744402454</v>
      </c>
    </row>
    <row r="175" spans="1:36" x14ac:dyDescent="0.25">
      <c r="A175" s="6" t="s">
        <v>45</v>
      </c>
      <c r="B175" s="17">
        <v>3</v>
      </c>
      <c r="C175" s="6" t="s">
        <v>36</v>
      </c>
      <c r="D175" s="6" t="s">
        <v>11</v>
      </c>
      <c r="E175" s="49">
        <v>72.545000000000002</v>
      </c>
      <c r="F175" s="49">
        <v>12.0168</v>
      </c>
      <c r="G175" s="29">
        <v>300</v>
      </c>
      <c r="H175" s="29">
        <v>500</v>
      </c>
      <c r="I175" s="28">
        <f t="shared" si="36"/>
        <v>460</v>
      </c>
      <c r="J175" s="28">
        <f t="shared" si="41"/>
        <v>74.235516512843304</v>
      </c>
      <c r="K175" s="61">
        <v>18</v>
      </c>
      <c r="L175" s="61">
        <v>2</v>
      </c>
      <c r="M175" s="61">
        <v>12</v>
      </c>
      <c r="N175" s="61">
        <v>0</v>
      </c>
      <c r="O175" s="28">
        <f t="shared" si="42"/>
        <v>508.93800988154646</v>
      </c>
      <c r="P175" s="34" t="str">
        <f t="shared" si="37"/>
        <v>OK</v>
      </c>
      <c r="Q175" s="17">
        <f t="shared" si="38"/>
        <v>82.383831411565467</v>
      </c>
      <c r="R175" s="19">
        <f t="shared" si="43"/>
        <v>0.14586357291356833</v>
      </c>
      <c r="S175" s="6" t="s">
        <v>45</v>
      </c>
      <c r="T175" s="17">
        <v>3</v>
      </c>
      <c r="U175" s="6" t="s">
        <v>36</v>
      </c>
      <c r="V175" s="6" t="s">
        <v>12</v>
      </c>
      <c r="W175" s="49">
        <v>27.593</v>
      </c>
      <c r="X175" s="49">
        <v>-11.292999999999999</v>
      </c>
      <c r="Y175" s="29">
        <v>300</v>
      </c>
      <c r="Z175" s="29">
        <v>500</v>
      </c>
      <c r="AA175" s="28">
        <f t="shared" si="39"/>
        <v>460</v>
      </c>
      <c r="AB175" s="28">
        <f t="shared" si="44"/>
        <v>69.764137539073587</v>
      </c>
      <c r="AC175" s="61">
        <v>18</v>
      </c>
      <c r="AD175" s="61">
        <v>2</v>
      </c>
      <c r="AE175" s="61">
        <v>0</v>
      </c>
      <c r="AF175" s="61">
        <v>2</v>
      </c>
      <c r="AG175" s="28">
        <f t="shared" si="45"/>
        <v>508.93800988154646</v>
      </c>
      <c r="AH175" s="34" t="str">
        <f t="shared" si="40"/>
        <v>OK</v>
      </c>
      <c r="AI175" s="28">
        <f t="shared" si="46"/>
        <v>-82.383831411565467</v>
      </c>
      <c r="AJ175" s="32">
        <f t="shared" si="47"/>
        <v>0.13707786839365946</v>
      </c>
    </row>
    <row r="176" spans="1:36" x14ac:dyDescent="0.25">
      <c r="A176" s="6" t="s">
        <v>45</v>
      </c>
      <c r="B176" s="17">
        <v>3.5</v>
      </c>
      <c r="C176" s="6" t="s">
        <v>36</v>
      </c>
      <c r="D176" s="6" t="s">
        <v>11</v>
      </c>
      <c r="E176" s="49">
        <v>101.849</v>
      </c>
      <c r="F176" s="49">
        <v>-5.7693000000000003</v>
      </c>
      <c r="G176" s="29">
        <v>300</v>
      </c>
      <c r="H176" s="29">
        <v>500</v>
      </c>
      <c r="I176" s="28">
        <f t="shared" si="36"/>
        <v>460</v>
      </c>
      <c r="J176" s="28">
        <f t="shared" si="41"/>
        <v>35.640683494569842</v>
      </c>
      <c r="K176" s="61">
        <v>18</v>
      </c>
      <c r="L176" s="61">
        <v>2</v>
      </c>
      <c r="M176" s="61">
        <v>12</v>
      </c>
      <c r="N176" s="61">
        <v>0</v>
      </c>
      <c r="O176" s="28">
        <f t="shared" si="42"/>
        <v>508.93800988154646</v>
      </c>
      <c r="P176" s="34" t="str">
        <f t="shared" si="37"/>
        <v>OK</v>
      </c>
      <c r="Q176" s="17">
        <f t="shared" si="38"/>
        <v>82.383831411565467</v>
      </c>
      <c r="R176" s="19">
        <f t="shared" si="43"/>
        <v>-7.0029517942401448E-2</v>
      </c>
      <c r="S176" s="6" t="s">
        <v>45</v>
      </c>
      <c r="T176" s="17">
        <v>3.5</v>
      </c>
      <c r="U176" s="6" t="s">
        <v>36</v>
      </c>
      <c r="V176" s="6" t="s">
        <v>12</v>
      </c>
      <c r="W176" s="49">
        <v>43.55</v>
      </c>
      <c r="X176" s="49">
        <v>-42.382800000000003</v>
      </c>
      <c r="Y176" s="29">
        <v>300</v>
      </c>
      <c r="Z176" s="29">
        <v>500</v>
      </c>
      <c r="AA176" s="28">
        <f t="shared" si="39"/>
        <v>460</v>
      </c>
      <c r="AB176" s="28">
        <f t="shared" si="44"/>
        <v>261.82586456132543</v>
      </c>
      <c r="AC176" s="61">
        <v>18</v>
      </c>
      <c r="AD176" s="61">
        <v>2</v>
      </c>
      <c r="AE176" s="61">
        <v>0</v>
      </c>
      <c r="AF176" s="61">
        <v>2</v>
      </c>
      <c r="AG176" s="28">
        <f t="shared" si="45"/>
        <v>508.93800988154646</v>
      </c>
      <c r="AH176" s="34" t="str">
        <f t="shared" si="40"/>
        <v>OK</v>
      </c>
      <c r="AI176" s="28">
        <f t="shared" si="46"/>
        <v>-82.383831411565467</v>
      </c>
      <c r="AJ176" s="32">
        <f t="shared" si="47"/>
        <v>0.51445531573140801</v>
      </c>
    </row>
    <row r="177" spans="1:36" x14ac:dyDescent="0.25">
      <c r="A177" s="6" t="s">
        <v>45</v>
      </c>
      <c r="B177" s="17">
        <v>4</v>
      </c>
      <c r="C177" s="6" t="s">
        <v>36</v>
      </c>
      <c r="D177" s="6" t="s">
        <v>11</v>
      </c>
      <c r="E177" s="49">
        <v>131.154</v>
      </c>
      <c r="F177" s="49">
        <v>-31.5334</v>
      </c>
      <c r="G177" s="29">
        <v>300</v>
      </c>
      <c r="H177" s="29">
        <v>500</v>
      </c>
      <c r="I177" s="28">
        <f t="shared" si="36"/>
        <v>460</v>
      </c>
      <c r="J177" s="28">
        <f t="shared" si="41"/>
        <v>194.80213005176861</v>
      </c>
      <c r="K177" s="61">
        <v>18</v>
      </c>
      <c r="L177" s="61">
        <v>2</v>
      </c>
      <c r="M177" s="61">
        <v>12</v>
      </c>
      <c r="N177" s="61">
        <v>0</v>
      </c>
      <c r="O177" s="28">
        <f t="shared" si="42"/>
        <v>508.93800988154646</v>
      </c>
      <c r="P177" s="34" t="str">
        <f t="shared" si="37"/>
        <v>OK</v>
      </c>
      <c r="Q177" s="17">
        <f t="shared" si="38"/>
        <v>82.383831411565467</v>
      </c>
      <c r="R177" s="19">
        <f t="shared" si="43"/>
        <v>-0.3827619990440646</v>
      </c>
      <c r="S177" s="6" t="s">
        <v>45</v>
      </c>
      <c r="T177" s="17">
        <v>4</v>
      </c>
      <c r="U177" s="6" t="s">
        <v>36</v>
      </c>
      <c r="V177" s="6" t="s">
        <v>12</v>
      </c>
      <c r="W177" s="49">
        <v>59.506</v>
      </c>
      <c r="X177" s="49">
        <v>-100.6336</v>
      </c>
      <c r="Y177" s="29">
        <v>300</v>
      </c>
      <c r="Z177" s="29">
        <v>500</v>
      </c>
      <c r="AA177" s="28">
        <f t="shared" si="39"/>
        <v>460</v>
      </c>
      <c r="AB177" s="28">
        <f t="shared" si="44"/>
        <v>621.67858952024403</v>
      </c>
      <c r="AC177" s="61">
        <v>18</v>
      </c>
      <c r="AD177" s="61">
        <v>2</v>
      </c>
      <c r="AE177" s="61">
        <v>18</v>
      </c>
      <c r="AF177" s="61">
        <v>2</v>
      </c>
      <c r="AG177" s="28">
        <f t="shared" si="45"/>
        <v>1017.8760197630929</v>
      </c>
      <c r="AH177" s="34" t="str">
        <f t="shared" si="40"/>
        <v>OK</v>
      </c>
      <c r="AI177" s="28">
        <f t="shared" si="46"/>
        <v>-164.76766282313093</v>
      </c>
      <c r="AJ177" s="32">
        <f t="shared" si="47"/>
        <v>0.61076062059595193</v>
      </c>
    </row>
    <row r="178" spans="1:36" x14ac:dyDescent="0.25">
      <c r="A178" s="6" t="s">
        <v>46</v>
      </c>
      <c r="B178" s="17">
        <v>4</v>
      </c>
      <c r="C178" s="6" t="s">
        <v>36</v>
      </c>
      <c r="D178" s="6" t="s">
        <v>11</v>
      </c>
      <c r="E178" s="49">
        <v>-79.908000000000001</v>
      </c>
      <c r="F178" s="49">
        <v>-54.386400000000002</v>
      </c>
      <c r="G178" s="29">
        <v>300</v>
      </c>
      <c r="H178" s="29">
        <v>500</v>
      </c>
      <c r="I178" s="28">
        <f t="shared" si="36"/>
        <v>460</v>
      </c>
      <c r="J178" s="28">
        <f t="shared" si="41"/>
        <v>335.979836168872</v>
      </c>
      <c r="K178" s="61">
        <v>18</v>
      </c>
      <c r="L178" s="61">
        <v>2</v>
      </c>
      <c r="M178" s="61">
        <v>12</v>
      </c>
      <c r="N178" s="61">
        <v>0</v>
      </c>
      <c r="O178" s="28">
        <f t="shared" si="42"/>
        <v>508.93800988154646</v>
      </c>
      <c r="P178" s="34" t="str">
        <f t="shared" si="37"/>
        <v>OK</v>
      </c>
      <c r="Q178" s="17">
        <f t="shared" si="38"/>
        <v>82.383831411565467</v>
      </c>
      <c r="R178" s="19">
        <f t="shared" si="43"/>
        <v>-0.66015866303063153</v>
      </c>
      <c r="S178" s="6" t="s">
        <v>46</v>
      </c>
      <c r="T178" s="17">
        <v>4</v>
      </c>
      <c r="U178" s="6" t="s">
        <v>36</v>
      </c>
      <c r="V178" s="6" t="s">
        <v>12</v>
      </c>
      <c r="W178" s="49">
        <v>-161.17599999999999</v>
      </c>
      <c r="X178" s="49">
        <v>-139.4325</v>
      </c>
      <c r="Y178" s="29">
        <v>300</v>
      </c>
      <c r="Z178" s="29">
        <v>500</v>
      </c>
      <c r="AA178" s="28">
        <f t="shared" si="39"/>
        <v>460</v>
      </c>
      <c r="AB178" s="28">
        <f t="shared" si="44"/>
        <v>861.36439452907803</v>
      </c>
      <c r="AC178" s="61">
        <v>18</v>
      </c>
      <c r="AD178" s="61">
        <v>2</v>
      </c>
      <c r="AE178" s="61">
        <v>18</v>
      </c>
      <c r="AF178" s="61">
        <v>2</v>
      </c>
      <c r="AG178" s="28">
        <f t="shared" si="45"/>
        <v>1017.8760197630929</v>
      </c>
      <c r="AH178" s="34" t="str">
        <f t="shared" si="40"/>
        <v>OK</v>
      </c>
      <c r="AI178" s="28">
        <f t="shared" si="46"/>
        <v>-164.76766282313093</v>
      </c>
      <c r="AJ178" s="32">
        <f t="shared" si="47"/>
        <v>0.84623704439913772</v>
      </c>
    </row>
    <row r="179" spans="1:36" x14ac:dyDescent="0.25">
      <c r="A179" s="6" t="s">
        <v>46</v>
      </c>
      <c r="B179" s="17">
        <v>4.5</v>
      </c>
      <c r="C179" s="6" t="s">
        <v>36</v>
      </c>
      <c r="D179" s="6" t="s">
        <v>11</v>
      </c>
      <c r="E179" s="49">
        <v>-63.951000000000001</v>
      </c>
      <c r="F179" s="49">
        <v>-18.421600000000002</v>
      </c>
      <c r="G179" s="29">
        <v>300</v>
      </c>
      <c r="H179" s="29">
        <v>500</v>
      </c>
      <c r="I179" s="28">
        <f t="shared" si="36"/>
        <v>460</v>
      </c>
      <c r="J179" s="28">
        <f t="shared" si="41"/>
        <v>113.80209298590259</v>
      </c>
      <c r="K179" s="61">
        <v>18</v>
      </c>
      <c r="L179" s="61">
        <v>2</v>
      </c>
      <c r="M179" s="61">
        <v>12</v>
      </c>
      <c r="N179" s="61">
        <v>0</v>
      </c>
      <c r="O179" s="28">
        <f t="shared" si="42"/>
        <v>508.93800988154646</v>
      </c>
      <c r="P179" s="34" t="str">
        <f t="shared" si="37"/>
        <v>OK</v>
      </c>
      <c r="Q179" s="17">
        <f t="shared" si="38"/>
        <v>82.383831411565467</v>
      </c>
      <c r="R179" s="19">
        <f t="shared" si="43"/>
        <v>-0.22360698312234459</v>
      </c>
      <c r="S179" s="6" t="s">
        <v>46</v>
      </c>
      <c r="T179" s="17">
        <v>4.5</v>
      </c>
      <c r="U179" s="6" t="s">
        <v>36</v>
      </c>
      <c r="V179" s="6" t="s">
        <v>12</v>
      </c>
      <c r="W179" s="49">
        <v>-131.87100000000001</v>
      </c>
      <c r="X179" s="49">
        <v>-66.1708</v>
      </c>
      <c r="Y179" s="29">
        <v>300</v>
      </c>
      <c r="Z179" s="29">
        <v>500</v>
      </c>
      <c r="AA179" s="28">
        <f t="shared" si="39"/>
        <v>460</v>
      </c>
      <c r="AB179" s="28">
        <f t="shared" si="44"/>
        <v>408.77966813694593</v>
      </c>
      <c r="AC179" s="61">
        <v>18</v>
      </c>
      <c r="AD179" s="61">
        <v>2</v>
      </c>
      <c r="AE179" s="61">
        <v>18</v>
      </c>
      <c r="AF179" s="61">
        <v>2</v>
      </c>
      <c r="AG179" s="28">
        <f t="shared" si="45"/>
        <v>1017.8760197630929</v>
      </c>
      <c r="AH179" s="34" t="str">
        <f t="shared" si="40"/>
        <v>OK</v>
      </c>
      <c r="AI179" s="28">
        <f t="shared" si="46"/>
        <v>-164.76766282313093</v>
      </c>
      <c r="AJ179" s="32">
        <f t="shared" si="47"/>
        <v>0.40160064703370063</v>
      </c>
    </row>
    <row r="180" spans="1:36" x14ac:dyDescent="0.25">
      <c r="A180" s="6" t="s">
        <v>46</v>
      </c>
      <c r="B180" s="17">
        <v>5</v>
      </c>
      <c r="C180" s="6" t="s">
        <v>36</v>
      </c>
      <c r="D180" s="6" t="s">
        <v>11</v>
      </c>
      <c r="E180" s="49">
        <v>-47.994999999999997</v>
      </c>
      <c r="F180" s="49">
        <v>9.5650999999999993</v>
      </c>
      <c r="G180" s="29">
        <v>300</v>
      </c>
      <c r="H180" s="29">
        <v>500</v>
      </c>
      <c r="I180" s="28">
        <f t="shared" si="36"/>
        <v>460</v>
      </c>
      <c r="J180" s="28">
        <f t="shared" si="41"/>
        <v>59.089785882847146</v>
      </c>
      <c r="K180" s="61">
        <v>18</v>
      </c>
      <c r="L180" s="61">
        <v>2</v>
      </c>
      <c r="M180" s="61">
        <v>12</v>
      </c>
      <c r="N180" s="61">
        <v>0</v>
      </c>
      <c r="O180" s="28">
        <f t="shared" si="42"/>
        <v>508.93800988154646</v>
      </c>
      <c r="P180" s="34" t="str">
        <f t="shared" si="37"/>
        <v>OK</v>
      </c>
      <c r="Q180" s="17">
        <f t="shared" si="38"/>
        <v>82.383831411565467</v>
      </c>
      <c r="R180" s="19">
        <f t="shared" si="43"/>
        <v>0.11610409270983725</v>
      </c>
      <c r="S180" s="6" t="s">
        <v>46</v>
      </c>
      <c r="T180" s="17">
        <v>5</v>
      </c>
      <c r="U180" s="6" t="s">
        <v>36</v>
      </c>
      <c r="V180" s="6" t="s">
        <v>12</v>
      </c>
      <c r="W180" s="49">
        <v>-102.566</v>
      </c>
      <c r="X180" s="49">
        <v>-17.9316</v>
      </c>
      <c r="Y180" s="29">
        <v>300</v>
      </c>
      <c r="Z180" s="29">
        <v>500</v>
      </c>
      <c r="AA180" s="28">
        <f t="shared" si="39"/>
        <v>460</v>
      </c>
      <c r="AB180" s="28">
        <f t="shared" si="44"/>
        <v>110.77504725897919</v>
      </c>
      <c r="AC180" s="61">
        <v>18</v>
      </c>
      <c r="AD180" s="61">
        <v>2</v>
      </c>
      <c r="AE180" s="61">
        <v>12</v>
      </c>
      <c r="AF180" s="61">
        <v>0</v>
      </c>
      <c r="AG180" s="28">
        <f t="shared" si="45"/>
        <v>508.93800988154646</v>
      </c>
      <c r="AH180" s="34" t="str">
        <f t="shared" si="40"/>
        <v>OK</v>
      </c>
      <c r="AI180" s="28">
        <f t="shared" si="46"/>
        <v>-82.383831411565467</v>
      </c>
      <c r="AJ180" s="32">
        <f t="shared" si="47"/>
        <v>0.21765921410499814</v>
      </c>
    </row>
    <row r="181" spans="1:36" x14ac:dyDescent="0.25">
      <c r="A181" s="6" t="s">
        <v>46</v>
      </c>
      <c r="B181" s="17">
        <v>5.5</v>
      </c>
      <c r="C181" s="6" t="s">
        <v>36</v>
      </c>
      <c r="D181" s="6" t="s">
        <v>11</v>
      </c>
      <c r="E181" s="49">
        <v>-32.039000000000001</v>
      </c>
      <c r="F181" s="49">
        <v>36.395600000000002</v>
      </c>
      <c r="G181" s="29">
        <v>300</v>
      </c>
      <c r="H181" s="29">
        <v>500</v>
      </c>
      <c r="I181" s="28">
        <f t="shared" si="36"/>
        <v>460</v>
      </c>
      <c r="J181" s="28">
        <f t="shared" si="41"/>
        <v>224.83907236492576</v>
      </c>
      <c r="K181" s="61">
        <v>18</v>
      </c>
      <c r="L181" s="61">
        <v>2</v>
      </c>
      <c r="M181" s="61">
        <v>12</v>
      </c>
      <c r="N181" s="61">
        <v>0</v>
      </c>
      <c r="O181" s="28">
        <f t="shared" si="42"/>
        <v>508.93800988154646</v>
      </c>
      <c r="P181" s="34" t="str">
        <f t="shared" si="37"/>
        <v>OK</v>
      </c>
      <c r="Q181" s="17">
        <f t="shared" si="38"/>
        <v>82.383831411565467</v>
      </c>
      <c r="R181" s="19">
        <f t="shared" si="43"/>
        <v>0.44178086132190497</v>
      </c>
      <c r="S181" s="6" t="s">
        <v>46</v>
      </c>
      <c r="T181" s="17">
        <v>5.5</v>
      </c>
      <c r="U181" s="6" t="s">
        <v>36</v>
      </c>
      <c r="V181" s="6" t="s">
        <v>12</v>
      </c>
      <c r="W181" s="49">
        <v>-73.262</v>
      </c>
      <c r="X181" s="49">
        <v>9.9283999999999999</v>
      </c>
      <c r="Y181" s="29">
        <v>300</v>
      </c>
      <c r="Z181" s="29">
        <v>500</v>
      </c>
      <c r="AA181" s="28">
        <f t="shared" si="39"/>
        <v>460</v>
      </c>
      <c r="AB181" s="28">
        <f t="shared" si="44"/>
        <v>61.33412407180893</v>
      </c>
      <c r="AC181" s="61">
        <v>18</v>
      </c>
      <c r="AD181" s="61">
        <v>2</v>
      </c>
      <c r="AE181" s="61">
        <v>12</v>
      </c>
      <c r="AF181" s="61">
        <v>0</v>
      </c>
      <c r="AG181" s="28">
        <f t="shared" si="45"/>
        <v>508.93800988154646</v>
      </c>
      <c r="AH181" s="34" t="str">
        <f t="shared" si="40"/>
        <v>OK</v>
      </c>
      <c r="AI181" s="28">
        <f t="shared" si="46"/>
        <v>-82.383831411565467</v>
      </c>
      <c r="AJ181" s="32">
        <f t="shared" si="47"/>
        <v>-0.12051393859555554</v>
      </c>
    </row>
    <row r="182" spans="1:36" x14ac:dyDescent="0.25">
      <c r="A182" s="6" t="s">
        <v>46</v>
      </c>
      <c r="B182" s="17">
        <v>6</v>
      </c>
      <c r="C182" s="6" t="s">
        <v>36</v>
      </c>
      <c r="D182" s="6" t="s">
        <v>11</v>
      </c>
      <c r="E182" s="49">
        <v>-16.082999999999998</v>
      </c>
      <c r="F182" s="49">
        <v>65.700199999999995</v>
      </c>
      <c r="G182" s="29">
        <v>300</v>
      </c>
      <c r="H182" s="29">
        <v>500</v>
      </c>
      <c r="I182" s="28">
        <f t="shared" si="36"/>
        <v>460</v>
      </c>
      <c r="J182" s="28">
        <f t="shared" si="41"/>
        <v>405.87246871023132</v>
      </c>
      <c r="K182" s="61">
        <v>18</v>
      </c>
      <c r="L182" s="61">
        <v>2</v>
      </c>
      <c r="M182" s="61">
        <v>12</v>
      </c>
      <c r="N182" s="61">
        <v>0</v>
      </c>
      <c r="O182" s="28">
        <f t="shared" si="42"/>
        <v>508.93800988154646</v>
      </c>
      <c r="P182" s="34" t="str">
        <f t="shared" si="37"/>
        <v>OK</v>
      </c>
      <c r="Q182" s="17">
        <f t="shared" si="38"/>
        <v>82.383831411565467</v>
      </c>
      <c r="R182" s="19">
        <f t="shared" si="43"/>
        <v>0.79748900814992518</v>
      </c>
      <c r="S182" s="6" t="s">
        <v>46</v>
      </c>
      <c r="T182" s="17">
        <v>6</v>
      </c>
      <c r="U182" s="6" t="s">
        <v>36</v>
      </c>
      <c r="V182" s="6" t="s">
        <v>12</v>
      </c>
      <c r="W182" s="49">
        <v>-43.957000000000001</v>
      </c>
      <c r="X182" s="49">
        <v>29.810199999999998</v>
      </c>
      <c r="Y182" s="29">
        <v>300</v>
      </c>
      <c r="Z182" s="29">
        <v>500</v>
      </c>
      <c r="AA182" s="28">
        <f t="shared" si="39"/>
        <v>460</v>
      </c>
      <c r="AB182" s="28">
        <f t="shared" si="44"/>
        <v>184.15681332394328</v>
      </c>
      <c r="AC182" s="61">
        <v>18</v>
      </c>
      <c r="AD182" s="61">
        <v>2</v>
      </c>
      <c r="AE182" s="61">
        <v>12</v>
      </c>
      <c r="AF182" s="61">
        <v>0</v>
      </c>
      <c r="AG182" s="28">
        <f t="shared" si="45"/>
        <v>508.93800988154646</v>
      </c>
      <c r="AH182" s="34" t="str">
        <f t="shared" si="40"/>
        <v>OK</v>
      </c>
      <c r="AI182" s="28">
        <f t="shared" si="46"/>
        <v>-82.383831411565467</v>
      </c>
      <c r="AJ182" s="32">
        <f t="shared" si="47"/>
        <v>-0.36184527338959244</v>
      </c>
    </row>
    <row r="183" spans="1:36" x14ac:dyDescent="0.25">
      <c r="A183" s="6" t="s">
        <v>46</v>
      </c>
      <c r="B183" s="17">
        <v>6.5</v>
      </c>
      <c r="C183" s="6" t="s">
        <v>36</v>
      </c>
      <c r="D183" s="6" t="s">
        <v>11</v>
      </c>
      <c r="E183" s="49">
        <v>-0.127</v>
      </c>
      <c r="F183" s="49">
        <v>80.352599999999995</v>
      </c>
      <c r="G183" s="29">
        <v>300</v>
      </c>
      <c r="H183" s="29">
        <v>500</v>
      </c>
      <c r="I183" s="28">
        <f t="shared" si="36"/>
        <v>460</v>
      </c>
      <c r="J183" s="28">
        <f t="shared" si="41"/>
        <v>496.38978464731821</v>
      </c>
      <c r="K183" s="61">
        <v>18</v>
      </c>
      <c r="L183" s="61">
        <v>2</v>
      </c>
      <c r="M183" s="61">
        <v>12</v>
      </c>
      <c r="N183" s="61">
        <v>0</v>
      </c>
      <c r="O183" s="28">
        <f t="shared" si="42"/>
        <v>508.93800988154646</v>
      </c>
      <c r="P183" s="34" t="str">
        <f t="shared" si="37"/>
        <v>OK</v>
      </c>
      <c r="Q183" s="17">
        <f t="shared" si="38"/>
        <v>82.383831411565467</v>
      </c>
      <c r="R183" s="19">
        <f t="shared" si="43"/>
        <v>0.97534429539434708</v>
      </c>
      <c r="S183" s="6" t="s">
        <v>46</v>
      </c>
      <c r="T183" s="17">
        <v>6.5</v>
      </c>
      <c r="U183" s="6" t="s">
        <v>36</v>
      </c>
      <c r="V183" s="6" t="s">
        <v>12</v>
      </c>
      <c r="W183" s="49">
        <v>-15.829000000000001</v>
      </c>
      <c r="X183" s="49">
        <v>41.713999999999999</v>
      </c>
      <c r="Y183" s="29">
        <v>300</v>
      </c>
      <c r="Z183" s="29">
        <v>500</v>
      </c>
      <c r="AA183" s="28">
        <f t="shared" si="39"/>
        <v>460</v>
      </c>
      <c r="AB183" s="28">
        <f t="shared" si="44"/>
        <v>257.69425602629201</v>
      </c>
      <c r="AC183" s="61">
        <v>18</v>
      </c>
      <c r="AD183" s="61">
        <v>2</v>
      </c>
      <c r="AE183" s="61">
        <v>12</v>
      </c>
      <c r="AF183" s="61">
        <v>0</v>
      </c>
      <c r="AG183" s="28">
        <f t="shared" si="45"/>
        <v>508.93800988154646</v>
      </c>
      <c r="AH183" s="34" t="str">
        <f t="shared" si="40"/>
        <v>OK</v>
      </c>
      <c r="AI183" s="28">
        <f t="shared" si="46"/>
        <v>-82.383831411565467</v>
      </c>
      <c r="AJ183" s="32">
        <f t="shared" si="47"/>
        <v>-0.50633721793793596</v>
      </c>
    </row>
    <row r="184" spans="1:36" x14ac:dyDescent="0.25">
      <c r="A184" s="6" t="s">
        <v>46</v>
      </c>
      <c r="B184" s="17">
        <v>7</v>
      </c>
      <c r="C184" s="6" t="s">
        <v>36</v>
      </c>
      <c r="D184" s="6" t="s">
        <v>11</v>
      </c>
      <c r="E184" s="49">
        <v>15.829000000000001</v>
      </c>
      <c r="F184" s="49">
        <v>80.352599999999995</v>
      </c>
      <c r="G184" s="29">
        <v>300</v>
      </c>
      <c r="H184" s="29">
        <v>500</v>
      </c>
      <c r="I184" s="28">
        <f t="shared" si="36"/>
        <v>460</v>
      </c>
      <c r="J184" s="28">
        <f t="shared" si="41"/>
        <v>496.38978464731821</v>
      </c>
      <c r="K184" s="61">
        <v>18</v>
      </c>
      <c r="L184" s="61">
        <v>2</v>
      </c>
      <c r="M184" s="61">
        <v>12</v>
      </c>
      <c r="N184" s="61">
        <v>0</v>
      </c>
      <c r="O184" s="28">
        <f t="shared" si="42"/>
        <v>508.93800988154646</v>
      </c>
      <c r="P184" s="34" t="str">
        <f t="shared" si="37"/>
        <v>OK</v>
      </c>
      <c r="Q184" s="17">
        <f t="shared" si="38"/>
        <v>82.383831411565467</v>
      </c>
      <c r="R184" s="19">
        <f t="shared" si="43"/>
        <v>0.97534429539434708</v>
      </c>
      <c r="S184" s="6" t="s">
        <v>46</v>
      </c>
      <c r="T184" s="17">
        <v>7</v>
      </c>
      <c r="U184" s="6" t="s">
        <v>36</v>
      </c>
      <c r="V184" s="6" t="s">
        <v>12</v>
      </c>
      <c r="W184" s="49">
        <v>0.127</v>
      </c>
      <c r="X184" s="49">
        <v>41.713999999999999</v>
      </c>
      <c r="Y184" s="29">
        <v>300</v>
      </c>
      <c r="Z184" s="29">
        <v>500</v>
      </c>
      <c r="AA184" s="28">
        <f t="shared" si="39"/>
        <v>460</v>
      </c>
      <c r="AB184" s="28">
        <f t="shared" si="44"/>
        <v>257.69425602629201</v>
      </c>
      <c r="AC184" s="61">
        <v>18</v>
      </c>
      <c r="AD184" s="61">
        <v>2</v>
      </c>
      <c r="AE184" s="61">
        <v>12</v>
      </c>
      <c r="AF184" s="61">
        <v>0</v>
      </c>
      <c r="AG184" s="28">
        <f t="shared" si="45"/>
        <v>508.93800988154646</v>
      </c>
      <c r="AH184" s="34" t="str">
        <f t="shared" si="40"/>
        <v>OK</v>
      </c>
      <c r="AI184" s="28">
        <f t="shared" si="46"/>
        <v>-82.383831411565467</v>
      </c>
      <c r="AJ184" s="32">
        <f t="shared" si="47"/>
        <v>-0.50633721793793596</v>
      </c>
    </row>
    <row r="185" spans="1:36" x14ac:dyDescent="0.25">
      <c r="A185" s="6" t="s">
        <v>46</v>
      </c>
      <c r="B185" s="17">
        <v>7.5</v>
      </c>
      <c r="C185" s="6" t="s">
        <v>36</v>
      </c>
      <c r="D185" s="6" t="s">
        <v>11</v>
      </c>
      <c r="E185" s="49">
        <v>43.957000000000001</v>
      </c>
      <c r="F185" s="49">
        <v>65.700199999999995</v>
      </c>
      <c r="G185" s="29">
        <v>300</v>
      </c>
      <c r="H185" s="29">
        <v>500</v>
      </c>
      <c r="I185" s="28">
        <f t="shared" si="36"/>
        <v>460</v>
      </c>
      <c r="J185" s="28">
        <f t="shared" si="41"/>
        <v>405.87246871023132</v>
      </c>
      <c r="K185" s="61">
        <v>18</v>
      </c>
      <c r="L185" s="61">
        <v>2</v>
      </c>
      <c r="M185" s="61">
        <v>12</v>
      </c>
      <c r="N185" s="61">
        <v>0</v>
      </c>
      <c r="O185" s="28">
        <f t="shared" si="42"/>
        <v>508.93800988154646</v>
      </c>
      <c r="P185" s="34" t="str">
        <f t="shared" si="37"/>
        <v>OK</v>
      </c>
      <c r="Q185" s="17">
        <f t="shared" si="38"/>
        <v>82.383831411565467</v>
      </c>
      <c r="R185" s="19">
        <f t="shared" si="43"/>
        <v>0.79748900814992518</v>
      </c>
      <c r="S185" s="6" t="s">
        <v>46</v>
      </c>
      <c r="T185" s="17">
        <v>7.5</v>
      </c>
      <c r="U185" s="6" t="s">
        <v>36</v>
      </c>
      <c r="V185" s="6" t="s">
        <v>12</v>
      </c>
      <c r="W185" s="49">
        <v>16.082999999999998</v>
      </c>
      <c r="X185" s="49">
        <v>29.810199999999998</v>
      </c>
      <c r="Y185" s="29">
        <v>300</v>
      </c>
      <c r="Z185" s="29">
        <v>500</v>
      </c>
      <c r="AA185" s="28">
        <f t="shared" si="39"/>
        <v>460</v>
      </c>
      <c r="AB185" s="28">
        <f t="shared" si="44"/>
        <v>184.15681332394328</v>
      </c>
      <c r="AC185" s="61">
        <v>18</v>
      </c>
      <c r="AD185" s="61">
        <v>2</v>
      </c>
      <c r="AE185" s="61">
        <v>12</v>
      </c>
      <c r="AF185" s="61">
        <v>0</v>
      </c>
      <c r="AG185" s="28">
        <f t="shared" si="45"/>
        <v>508.93800988154646</v>
      </c>
      <c r="AH185" s="34" t="str">
        <f t="shared" si="40"/>
        <v>OK</v>
      </c>
      <c r="AI185" s="28">
        <f t="shared" si="46"/>
        <v>-82.383831411565467</v>
      </c>
      <c r="AJ185" s="32">
        <f t="shared" si="47"/>
        <v>-0.36184527338959244</v>
      </c>
    </row>
    <row r="186" spans="1:36" x14ac:dyDescent="0.25">
      <c r="A186" s="6" t="s">
        <v>46</v>
      </c>
      <c r="B186" s="17">
        <v>8</v>
      </c>
      <c r="C186" s="6" t="s">
        <v>36</v>
      </c>
      <c r="D186" s="6" t="s">
        <v>11</v>
      </c>
      <c r="E186" s="49">
        <v>73.262</v>
      </c>
      <c r="F186" s="49">
        <v>36.395600000000002</v>
      </c>
      <c r="G186" s="29">
        <v>300</v>
      </c>
      <c r="H186" s="29">
        <v>500</v>
      </c>
      <c r="I186" s="28">
        <f t="shared" si="36"/>
        <v>460</v>
      </c>
      <c r="J186" s="28">
        <f t="shared" si="41"/>
        <v>224.83907236492576</v>
      </c>
      <c r="K186" s="61">
        <v>18</v>
      </c>
      <c r="L186" s="61">
        <v>2</v>
      </c>
      <c r="M186" s="61">
        <v>12</v>
      </c>
      <c r="N186" s="61">
        <v>0</v>
      </c>
      <c r="O186" s="28">
        <f t="shared" si="42"/>
        <v>508.93800988154646</v>
      </c>
      <c r="P186" s="34" t="str">
        <f t="shared" si="37"/>
        <v>OK</v>
      </c>
      <c r="Q186" s="17">
        <f t="shared" si="38"/>
        <v>82.383831411565467</v>
      </c>
      <c r="R186" s="19">
        <f t="shared" si="43"/>
        <v>0.44178086132190497</v>
      </c>
      <c r="S186" s="6" t="s">
        <v>46</v>
      </c>
      <c r="T186" s="17">
        <v>8</v>
      </c>
      <c r="U186" s="6" t="s">
        <v>36</v>
      </c>
      <c r="V186" s="6" t="s">
        <v>12</v>
      </c>
      <c r="W186" s="49">
        <v>32.039000000000001</v>
      </c>
      <c r="X186" s="49">
        <v>9.9283999999999999</v>
      </c>
      <c r="Y186" s="29">
        <v>300</v>
      </c>
      <c r="Z186" s="29">
        <v>500</v>
      </c>
      <c r="AA186" s="28">
        <f t="shared" si="39"/>
        <v>460</v>
      </c>
      <c r="AB186" s="28">
        <f t="shared" si="44"/>
        <v>61.33412407180893</v>
      </c>
      <c r="AC186" s="61">
        <v>18</v>
      </c>
      <c r="AD186" s="61">
        <v>2</v>
      </c>
      <c r="AE186" s="61">
        <v>12</v>
      </c>
      <c r="AF186" s="61">
        <v>0</v>
      </c>
      <c r="AG186" s="28">
        <f t="shared" si="45"/>
        <v>508.93800988154646</v>
      </c>
      <c r="AH186" s="34" t="str">
        <f t="shared" si="40"/>
        <v>OK</v>
      </c>
      <c r="AI186" s="28">
        <f t="shared" si="46"/>
        <v>-82.383831411565467</v>
      </c>
      <c r="AJ186" s="32">
        <f t="shared" si="47"/>
        <v>-0.12051393859555554</v>
      </c>
    </row>
    <row r="187" spans="1:36" x14ac:dyDescent="0.25">
      <c r="A187" s="6" t="s">
        <v>46</v>
      </c>
      <c r="B187" s="17">
        <v>8.5</v>
      </c>
      <c r="C187" s="6" t="s">
        <v>36</v>
      </c>
      <c r="D187" s="6" t="s">
        <v>11</v>
      </c>
      <c r="E187" s="49">
        <v>102.566</v>
      </c>
      <c r="F187" s="49">
        <v>9.5650999999999993</v>
      </c>
      <c r="G187" s="29">
        <v>300</v>
      </c>
      <c r="H187" s="29">
        <v>500</v>
      </c>
      <c r="I187" s="28">
        <f t="shared" si="36"/>
        <v>460</v>
      </c>
      <c r="J187" s="28">
        <f t="shared" si="41"/>
        <v>59.089785882847146</v>
      </c>
      <c r="K187" s="61">
        <v>18</v>
      </c>
      <c r="L187" s="61">
        <v>2</v>
      </c>
      <c r="M187" s="61">
        <v>12</v>
      </c>
      <c r="N187" s="61">
        <v>0</v>
      </c>
      <c r="O187" s="28">
        <f t="shared" si="42"/>
        <v>508.93800988154646</v>
      </c>
      <c r="P187" s="34" t="str">
        <f t="shared" si="37"/>
        <v>OK</v>
      </c>
      <c r="Q187" s="17">
        <f t="shared" si="38"/>
        <v>82.383831411565467</v>
      </c>
      <c r="R187" s="19">
        <f t="shared" si="43"/>
        <v>0.11610409270983725</v>
      </c>
      <c r="S187" s="6" t="s">
        <v>46</v>
      </c>
      <c r="T187" s="17">
        <v>8.5</v>
      </c>
      <c r="U187" s="6" t="s">
        <v>36</v>
      </c>
      <c r="V187" s="6" t="s">
        <v>12</v>
      </c>
      <c r="W187" s="49">
        <v>47.994999999999997</v>
      </c>
      <c r="X187" s="49">
        <v>-17.9316</v>
      </c>
      <c r="Y187" s="29">
        <v>300</v>
      </c>
      <c r="Z187" s="29">
        <v>500</v>
      </c>
      <c r="AA187" s="28">
        <f t="shared" si="39"/>
        <v>460</v>
      </c>
      <c r="AB187" s="28">
        <f t="shared" si="44"/>
        <v>110.77504725897919</v>
      </c>
      <c r="AC187" s="61">
        <v>18</v>
      </c>
      <c r="AD187" s="61">
        <v>2</v>
      </c>
      <c r="AE187" s="61">
        <v>12</v>
      </c>
      <c r="AF187" s="61">
        <v>0</v>
      </c>
      <c r="AG187" s="28">
        <f t="shared" si="45"/>
        <v>508.93800988154646</v>
      </c>
      <c r="AH187" s="34" t="str">
        <f t="shared" si="40"/>
        <v>OK</v>
      </c>
      <c r="AI187" s="28">
        <f t="shared" si="46"/>
        <v>-82.383831411565467</v>
      </c>
      <c r="AJ187" s="32">
        <f t="shared" si="47"/>
        <v>0.21765921410499814</v>
      </c>
    </row>
    <row r="188" spans="1:36" x14ac:dyDescent="0.25">
      <c r="A188" s="6" t="s">
        <v>46</v>
      </c>
      <c r="B188" s="17">
        <v>9</v>
      </c>
      <c r="C188" s="6" t="s">
        <v>36</v>
      </c>
      <c r="D188" s="6" t="s">
        <v>11</v>
      </c>
      <c r="E188" s="49">
        <v>131.87100000000001</v>
      </c>
      <c r="F188" s="49">
        <v>-18.421600000000002</v>
      </c>
      <c r="G188" s="29">
        <v>300</v>
      </c>
      <c r="H188" s="29">
        <v>500</v>
      </c>
      <c r="I188" s="28">
        <f t="shared" si="36"/>
        <v>460</v>
      </c>
      <c r="J188" s="28">
        <f t="shared" si="41"/>
        <v>113.80209298590259</v>
      </c>
      <c r="K188" s="61">
        <v>18</v>
      </c>
      <c r="L188" s="61">
        <v>2</v>
      </c>
      <c r="M188" s="61">
        <v>12</v>
      </c>
      <c r="N188" s="61">
        <v>0</v>
      </c>
      <c r="O188" s="28">
        <f t="shared" si="42"/>
        <v>508.93800988154646</v>
      </c>
      <c r="P188" s="34" t="str">
        <f t="shared" si="37"/>
        <v>OK</v>
      </c>
      <c r="Q188" s="17">
        <f t="shared" si="38"/>
        <v>82.383831411565467</v>
      </c>
      <c r="R188" s="19">
        <f t="shared" si="43"/>
        <v>-0.22360698312234459</v>
      </c>
      <c r="S188" s="6" t="s">
        <v>46</v>
      </c>
      <c r="T188" s="17">
        <v>9</v>
      </c>
      <c r="U188" s="6" t="s">
        <v>36</v>
      </c>
      <c r="V188" s="6" t="s">
        <v>12</v>
      </c>
      <c r="W188" s="49">
        <v>63.951000000000001</v>
      </c>
      <c r="X188" s="49">
        <v>-66.1708</v>
      </c>
      <c r="Y188" s="29">
        <v>300</v>
      </c>
      <c r="Z188" s="29">
        <v>500</v>
      </c>
      <c r="AA188" s="28">
        <f t="shared" si="39"/>
        <v>460</v>
      </c>
      <c r="AB188" s="28">
        <f t="shared" si="44"/>
        <v>408.77966813694593</v>
      </c>
      <c r="AC188" s="61">
        <v>18</v>
      </c>
      <c r="AD188" s="61">
        <v>2</v>
      </c>
      <c r="AE188" s="61">
        <v>18</v>
      </c>
      <c r="AF188" s="61">
        <v>2</v>
      </c>
      <c r="AG188" s="28">
        <f t="shared" si="45"/>
        <v>1017.8760197630929</v>
      </c>
      <c r="AH188" s="34" t="str">
        <f t="shared" si="40"/>
        <v>OK</v>
      </c>
      <c r="AI188" s="28">
        <f t="shared" si="46"/>
        <v>-164.76766282313093</v>
      </c>
      <c r="AJ188" s="32">
        <f t="shared" si="47"/>
        <v>0.40160064703370063</v>
      </c>
    </row>
    <row r="189" spans="1:36" x14ac:dyDescent="0.25">
      <c r="A189" s="6" t="s">
        <v>46</v>
      </c>
      <c r="B189" s="17">
        <v>9.5</v>
      </c>
      <c r="C189" s="6" t="s">
        <v>36</v>
      </c>
      <c r="D189" s="6" t="s">
        <v>11</v>
      </c>
      <c r="E189" s="49">
        <v>161.17599999999999</v>
      </c>
      <c r="F189" s="49">
        <v>-54.386400000000002</v>
      </c>
      <c r="G189" s="29">
        <v>300</v>
      </c>
      <c r="H189" s="29">
        <v>500</v>
      </c>
      <c r="I189" s="28">
        <f t="shared" si="36"/>
        <v>460</v>
      </c>
      <c r="J189" s="28">
        <f t="shared" si="41"/>
        <v>335.979836168872</v>
      </c>
      <c r="K189" s="61">
        <v>18</v>
      </c>
      <c r="L189" s="61">
        <v>2</v>
      </c>
      <c r="M189" s="61">
        <v>12</v>
      </c>
      <c r="N189" s="61">
        <v>0</v>
      </c>
      <c r="O189" s="28">
        <f t="shared" si="42"/>
        <v>508.93800988154646</v>
      </c>
      <c r="P189" s="34" t="str">
        <f t="shared" si="37"/>
        <v>OK</v>
      </c>
      <c r="Q189" s="17">
        <f t="shared" si="38"/>
        <v>82.383831411565467</v>
      </c>
      <c r="R189" s="19">
        <f t="shared" si="43"/>
        <v>-0.66015866303063153</v>
      </c>
      <c r="S189" s="6" t="s">
        <v>46</v>
      </c>
      <c r="T189" s="17">
        <v>9.5</v>
      </c>
      <c r="U189" s="6" t="s">
        <v>36</v>
      </c>
      <c r="V189" s="6" t="s">
        <v>12</v>
      </c>
      <c r="W189" s="49">
        <v>79.908000000000001</v>
      </c>
      <c r="X189" s="49">
        <v>-139.4325</v>
      </c>
      <c r="Y189" s="29">
        <v>300</v>
      </c>
      <c r="Z189" s="29">
        <v>500</v>
      </c>
      <c r="AA189" s="28">
        <f t="shared" si="39"/>
        <v>460</v>
      </c>
      <c r="AB189" s="28">
        <f t="shared" si="44"/>
        <v>861.36439452907803</v>
      </c>
      <c r="AC189" s="61">
        <v>18</v>
      </c>
      <c r="AD189" s="61">
        <v>2</v>
      </c>
      <c r="AE189" s="61">
        <v>18</v>
      </c>
      <c r="AF189" s="61">
        <v>2</v>
      </c>
      <c r="AG189" s="28">
        <f t="shared" si="45"/>
        <v>1017.8760197630929</v>
      </c>
      <c r="AH189" s="34" t="str">
        <f t="shared" si="40"/>
        <v>OK</v>
      </c>
      <c r="AI189" s="28">
        <f t="shared" si="46"/>
        <v>-164.76766282313093</v>
      </c>
      <c r="AJ189" s="32">
        <f t="shared" si="47"/>
        <v>0.84623704439913772</v>
      </c>
    </row>
    <row r="190" spans="1:36" x14ac:dyDescent="0.25">
      <c r="A190" s="6" t="s">
        <v>47</v>
      </c>
      <c r="B190" s="17">
        <v>9.5</v>
      </c>
      <c r="C190" s="6" t="s">
        <v>36</v>
      </c>
      <c r="D190" s="6" t="s">
        <v>11</v>
      </c>
      <c r="E190" s="49">
        <v>-59.506</v>
      </c>
      <c r="F190" s="49">
        <v>-31.5334</v>
      </c>
      <c r="G190" s="29">
        <v>300</v>
      </c>
      <c r="H190" s="29">
        <v>500</v>
      </c>
      <c r="I190" s="28">
        <f t="shared" si="36"/>
        <v>460</v>
      </c>
      <c r="J190" s="28">
        <f t="shared" si="41"/>
        <v>194.80213005176861</v>
      </c>
      <c r="K190" s="61">
        <v>18</v>
      </c>
      <c r="L190" s="61">
        <v>2</v>
      </c>
      <c r="M190" s="61">
        <v>12</v>
      </c>
      <c r="N190" s="61">
        <v>0</v>
      </c>
      <c r="O190" s="28">
        <f t="shared" si="42"/>
        <v>508.93800988154646</v>
      </c>
      <c r="P190" s="34" t="str">
        <f t="shared" si="37"/>
        <v>OK</v>
      </c>
      <c r="Q190" s="17">
        <f t="shared" si="38"/>
        <v>82.383831411565467</v>
      </c>
      <c r="R190" s="19">
        <f t="shared" si="43"/>
        <v>-0.3827619990440646</v>
      </c>
      <c r="S190" s="6" t="s">
        <v>47</v>
      </c>
      <c r="T190" s="17">
        <v>9.5</v>
      </c>
      <c r="U190" s="6" t="s">
        <v>36</v>
      </c>
      <c r="V190" s="6" t="s">
        <v>12</v>
      </c>
      <c r="W190" s="49">
        <v>-131.154</v>
      </c>
      <c r="X190" s="49">
        <v>-100.6336</v>
      </c>
      <c r="Y190" s="29">
        <v>300</v>
      </c>
      <c r="Z190" s="29">
        <v>500</v>
      </c>
      <c r="AA190" s="28">
        <f t="shared" si="39"/>
        <v>460</v>
      </c>
      <c r="AB190" s="28">
        <f t="shared" si="44"/>
        <v>621.67858952024403</v>
      </c>
      <c r="AC190" s="61">
        <v>18</v>
      </c>
      <c r="AD190" s="61">
        <v>2</v>
      </c>
      <c r="AE190" s="61">
        <v>18</v>
      </c>
      <c r="AF190" s="61">
        <v>2</v>
      </c>
      <c r="AG190" s="28">
        <f t="shared" si="45"/>
        <v>1017.8760197630929</v>
      </c>
      <c r="AH190" s="34" t="str">
        <f t="shared" si="40"/>
        <v>OK</v>
      </c>
      <c r="AI190" s="28">
        <f t="shared" si="46"/>
        <v>-164.76766282313093</v>
      </c>
      <c r="AJ190" s="32">
        <f t="shared" si="47"/>
        <v>0.61076062059595193</v>
      </c>
    </row>
    <row r="191" spans="1:36" x14ac:dyDescent="0.25">
      <c r="A191" s="6" t="s">
        <v>47</v>
      </c>
      <c r="B191" s="17">
        <v>10</v>
      </c>
      <c r="C191" s="6" t="s">
        <v>36</v>
      </c>
      <c r="D191" s="6" t="s">
        <v>11</v>
      </c>
      <c r="E191" s="49">
        <v>-43.55</v>
      </c>
      <c r="F191" s="49">
        <v>-5.7693000000000003</v>
      </c>
      <c r="G191" s="29">
        <v>300</v>
      </c>
      <c r="H191" s="29">
        <v>500</v>
      </c>
      <c r="I191" s="28">
        <f t="shared" si="36"/>
        <v>460</v>
      </c>
      <c r="J191" s="28">
        <f t="shared" si="41"/>
        <v>35.640683494569842</v>
      </c>
      <c r="K191" s="61">
        <v>18</v>
      </c>
      <c r="L191" s="61">
        <v>2</v>
      </c>
      <c r="M191" s="61">
        <v>12</v>
      </c>
      <c r="N191" s="61">
        <v>0</v>
      </c>
      <c r="O191" s="28">
        <f t="shared" si="42"/>
        <v>508.93800988154646</v>
      </c>
      <c r="P191" s="34" t="str">
        <f t="shared" si="37"/>
        <v>OK</v>
      </c>
      <c r="Q191" s="17">
        <f t="shared" si="38"/>
        <v>82.383831411565467</v>
      </c>
      <c r="R191" s="19">
        <f t="shared" si="43"/>
        <v>-7.0029517942401448E-2</v>
      </c>
      <c r="S191" s="6" t="s">
        <v>47</v>
      </c>
      <c r="T191" s="17">
        <v>10</v>
      </c>
      <c r="U191" s="6" t="s">
        <v>36</v>
      </c>
      <c r="V191" s="6" t="s">
        <v>12</v>
      </c>
      <c r="W191" s="49">
        <v>-101.849</v>
      </c>
      <c r="X191" s="49">
        <v>-42.382800000000003</v>
      </c>
      <c r="Y191" s="29">
        <v>300</v>
      </c>
      <c r="Z191" s="29">
        <v>500</v>
      </c>
      <c r="AA191" s="28">
        <f t="shared" si="39"/>
        <v>460</v>
      </c>
      <c r="AB191" s="28">
        <f t="shared" si="44"/>
        <v>261.82586456132543</v>
      </c>
      <c r="AC191" s="61">
        <v>18</v>
      </c>
      <c r="AD191" s="61">
        <v>2</v>
      </c>
      <c r="AE191" s="61">
        <v>18</v>
      </c>
      <c r="AF191" s="61">
        <v>2</v>
      </c>
      <c r="AG191" s="28">
        <f t="shared" si="45"/>
        <v>1017.8760197630929</v>
      </c>
      <c r="AH191" s="34" t="str">
        <f t="shared" si="40"/>
        <v>OK</v>
      </c>
      <c r="AI191" s="28">
        <f t="shared" si="46"/>
        <v>-164.76766282313093</v>
      </c>
      <c r="AJ191" s="32">
        <f t="shared" si="47"/>
        <v>0.25722765786570401</v>
      </c>
    </row>
    <row r="192" spans="1:36" x14ac:dyDescent="0.25">
      <c r="A192" s="6" t="s">
        <v>47</v>
      </c>
      <c r="B192" s="17">
        <v>10.5</v>
      </c>
      <c r="C192" s="6" t="s">
        <v>36</v>
      </c>
      <c r="D192" s="6" t="s">
        <v>11</v>
      </c>
      <c r="E192" s="49">
        <v>-27.593</v>
      </c>
      <c r="F192" s="49">
        <v>12.0169</v>
      </c>
      <c r="G192" s="29">
        <v>300</v>
      </c>
      <c r="H192" s="29">
        <v>500</v>
      </c>
      <c r="I192" s="28">
        <f t="shared" si="36"/>
        <v>460</v>
      </c>
      <c r="J192" s="28">
        <f t="shared" si="41"/>
        <v>74.236134277277372</v>
      </c>
      <c r="K192" s="61">
        <v>18</v>
      </c>
      <c r="L192" s="61">
        <v>2</v>
      </c>
      <c r="M192" s="61">
        <v>12</v>
      </c>
      <c r="N192" s="61">
        <v>0</v>
      </c>
      <c r="O192" s="28">
        <f t="shared" si="42"/>
        <v>508.93800988154646</v>
      </c>
      <c r="P192" s="34" t="str">
        <f t="shared" si="37"/>
        <v>OK</v>
      </c>
      <c r="Q192" s="17">
        <f t="shared" si="38"/>
        <v>82.383831411565467</v>
      </c>
      <c r="R192" s="19">
        <f t="shared" si="43"/>
        <v>0.14586478674398001</v>
      </c>
      <c r="S192" s="6" t="s">
        <v>47</v>
      </c>
      <c r="T192" s="17">
        <v>10.5</v>
      </c>
      <c r="U192" s="6" t="s">
        <v>36</v>
      </c>
      <c r="V192" s="6" t="s">
        <v>12</v>
      </c>
      <c r="W192" s="49">
        <v>-72.545000000000002</v>
      </c>
      <c r="X192" s="49">
        <v>-11.292999999999999</v>
      </c>
      <c r="Y192" s="29">
        <v>300</v>
      </c>
      <c r="Z192" s="29">
        <v>500</v>
      </c>
      <c r="AA192" s="28">
        <f t="shared" si="39"/>
        <v>460</v>
      </c>
      <c r="AB192" s="28">
        <f t="shared" si="44"/>
        <v>69.764137539073587</v>
      </c>
      <c r="AC192" s="61">
        <v>18</v>
      </c>
      <c r="AD192" s="61">
        <v>2</v>
      </c>
      <c r="AE192" s="61">
        <v>12</v>
      </c>
      <c r="AF192" s="61">
        <v>0</v>
      </c>
      <c r="AG192" s="28">
        <f t="shared" si="45"/>
        <v>508.93800988154646</v>
      </c>
      <c r="AH192" s="34" t="str">
        <f t="shared" si="40"/>
        <v>OK</v>
      </c>
      <c r="AI192" s="28">
        <f t="shared" si="46"/>
        <v>-82.383831411565467</v>
      </c>
      <c r="AJ192" s="32">
        <f t="shared" si="47"/>
        <v>0.13707786839365946</v>
      </c>
    </row>
    <row r="193" spans="1:36" x14ac:dyDescent="0.25">
      <c r="A193" s="6" t="s">
        <v>47</v>
      </c>
      <c r="B193" s="17">
        <v>11</v>
      </c>
      <c r="C193" s="6" t="s">
        <v>36</v>
      </c>
      <c r="D193" s="6" t="s">
        <v>11</v>
      </c>
      <c r="E193" s="49">
        <v>-11.637</v>
      </c>
      <c r="F193" s="49">
        <v>30.161799999999999</v>
      </c>
      <c r="G193" s="29">
        <v>300</v>
      </c>
      <c r="H193" s="29">
        <v>500</v>
      </c>
      <c r="I193" s="28">
        <f t="shared" si="36"/>
        <v>460</v>
      </c>
      <c r="J193" s="28">
        <f t="shared" si="41"/>
        <v>186.32887307411934</v>
      </c>
      <c r="K193" s="61">
        <v>18</v>
      </c>
      <c r="L193" s="61">
        <v>2</v>
      </c>
      <c r="M193" s="61">
        <v>12</v>
      </c>
      <c r="N193" s="61">
        <v>0</v>
      </c>
      <c r="O193" s="28">
        <f t="shared" si="42"/>
        <v>508.93800988154646</v>
      </c>
      <c r="P193" s="34" t="str">
        <f t="shared" si="37"/>
        <v>OK</v>
      </c>
      <c r="Q193" s="17">
        <f t="shared" si="38"/>
        <v>82.383831411565467</v>
      </c>
      <c r="R193" s="19">
        <f t="shared" si="43"/>
        <v>0.3661131011171414</v>
      </c>
      <c r="S193" s="6" t="s">
        <v>47</v>
      </c>
      <c r="T193" s="17">
        <v>11</v>
      </c>
      <c r="U193" s="6" t="s">
        <v>36</v>
      </c>
      <c r="V193" s="6" t="s">
        <v>12</v>
      </c>
      <c r="W193" s="49">
        <v>-43.24</v>
      </c>
      <c r="X193" s="49">
        <v>10.698</v>
      </c>
      <c r="Y193" s="29">
        <v>300</v>
      </c>
      <c r="Z193" s="29">
        <v>500</v>
      </c>
      <c r="AA193" s="28">
        <f t="shared" si="39"/>
        <v>460</v>
      </c>
      <c r="AB193" s="28">
        <f t="shared" si="44"/>
        <v>66.088439156380872</v>
      </c>
      <c r="AC193" s="61">
        <v>18</v>
      </c>
      <c r="AD193" s="61">
        <v>2</v>
      </c>
      <c r="AE193" s="61">
        <v>12</v>
      </c>
      <c r="AF193" s="61">
        <v>0</v>
      </c>
      <c r="AG193" s="28">
        <f t="shared" si="45"/>
        <v>508.93800988154646</v>
      </c>
      <c r="AH193" s="34" t="str">
        <f t="shared" si="40"/>
        <v>OK</v>
      </c>
      <c r="AI193" s="28">
        <f t="shared" si="46"/>
        <v>-82.383831411565467</v>
      </c>
      <c r="AJ193" s="32">
        <f t="shared" si="47"/>
        <v>-0.12985557744402454</v>
      </c>
    </row>
    <row r="194" spans="1:36" x14ac:dyDescent="0.25">
      <c r="A194" s="6" t="s">
        <v>47</v>
      </c>
      <c r="B194" s="17">
        <v>11.5</v>
      </c>
      <c r="C194" s="6" t="s">
        <v>36</v>
      </c>
      <c r="D194" s="6" t="s">
        <v>11</v>
      </c>
      <c r="E194" s="49">
        <v>4.319</v>
      </c>
      <c r="F194" s="49">
        <v>44.455599999999997</v>
      </c>
      <c r="G194" s="29">
        <v>300</v>
      </c>
      <c r="H194" s="29">
        <v>500</v>
      </c>
      <c r="I194" s="28">
        <f t="shared" si="36"/>
        <v>460</v>
      </c>
      <c r="J194" s="28">
        <f t="shared" si="41"/>
        <v>274.63088575064552</v>
      </c>
      <c r="K194" s="61">
        <v>18</v>
      </c>
      <c r="L194" s="61">
        <v>2</v>
      </c>
      <c r="M194" s="61">
        <v>12</v>
      </c>
      <c r="N194" s="61">
        <v>0</v>
      </c>
      <c r="O194" s="28">
        <f t="shared" si="42"/>
        <v>508.93800988154646</v>
      </c>
      <c r="P194" s="34" t="str">
        <f t="shared" si="37"/>
        <v>OK</v>
      </c>
      <c r="Q194" s="17">
        <f t="shared" si="38"/>
        <v>82.383831411565467</v>
      </c>
      <c r="R194" s="19">
        <f t="shared" si="43"/>
        <v>0.53961559250519497</v>
      </c>
      <c r="S194" s="6" t="s">
        <v>47</v>
      </c>
      <c r="T194" s="17">
        <v>11.5</v>
      </c>
      <c r="U194" s="6" t="s">
        <v>36</v>
      </c>
      <c r="V194" s="6" t="s">
        <v>12</v>
      </c>
      <c r="W194" s="49">
        <v>-20.05</v>
      </c>
      <c r="X194" s="49">
        <v>23.623899999999999</v>
      </c>
      <c r="Y194" s="29">
        <v>300</v>
      </c>
      <c r="Z194" s="29">
        <v>500</v>
      </c>
      <c r="AA194" s="28">
        <f t="shared" si="39"/>
        <v>460</v>
      </c>
      <c r="AB194" s="28">
        <f t="shared" si="44"/>
        <v>145.9400521393182</v>
      </c>
      <c r="AC194" s="61">
        <v>18</v>
      </c>
      <c r="AD194" s="61">
        <v>2</v>
      </c>
      <c r="AE194" s="61">
        <v>12</v>
      </c>
      <c r="AF194" s="61">
        <v>0</v>
      </c>
      <c r="AG194" s="28">
        <f t="shared" si="45"/>
        <v>508.93800988154646</v>
      </c>
      <c r="AH194" s="34" t="str">
        <f t="shared" si="40"/>
        <v>OK</v>
      </c>
      <c r="AI194" s="28">
        <f t="shared" si="46"/>
        <v>-82.383831411565467</v>
      </c>
      <c r="AJ194" s="32">
        <f t="shared" si="47"/>
        <v>-0.28675408263038799</v>
      </c>
    </row>
    <row r="195" spans="1:36" x14ac:dyDescent="0.25">
      <c r="A195" s="6" t="s">
        <v>47</v>
      </c>
      <c r="B195" s="17">
        <v>12</v>
      </c>
      <c r="C195" s="6" t="s">
        <v>36</v>
      </c>
      <c r="D195" s="6" t="s">
        <v>11</v>
      </c>
      <c r="E195" s="49">
        <v>20.274999999999999</v>
      </c>
      <c r="F195" s="49">
        <v>44.097099999999998</v>
      </c>
      <c r="G195" s="29">
        <v>300</v>
      </c>
      <c r="H195" s="29">
        <v>500</v>
      </c>
      <c r="I195" s="28">
        <f t="shared" si="36"/>
        <v>460</v>
      </c>
      <c r="J195" s="28">
        <f t="shared" si="41"/>
        <v>272.41620025451891</v>
      </c>
      <c r="K195" s="61">
        <v>18</v>
      </c>
      <c r="L195" s="61">
        <v>2</v>
      </c>
      <c r="M195" s="61">
        <v>12</v>
      </c>
      <c r="N195" s="61">
        <v>0</v>
      </c>
      <c r="O195" s="28">
        <f t="shared" si="42"/>
        <v>508.93800988154646</v>
      </c>
      <c r="P195" s="34" t="str">
        <f t="shared" si="37"/>
        <v>OK</v>
      </c>
      <c r="Q195" s="17">
        <f t="shared" si="38"/>
        <v>82.383831411565467</v>
      </c>
      <c r="R195" s="19">
        <f t="shared" si="43"/>
        <v>0.53526401047923855</v>
      </c>
      <c r="S195" s="6" t="s">
        <v>47</v>
      </c>
      <c r="T195" s="17">
        <v>12</v>
      </c>
      <c r="U195" s="6" t="s">
        <v>36</v>
      </c>
      <c r="V195" s="6" t="s">
        <v>12</v>
      </c>
      <c r="W195" s="49">
        <v>-4.0940000000000003</v>
      </c>
      <c r="X195" s="49">
        <v>17.502500000000001</v>
      </c>
      <c r="Y195" s="29">
        <v>300</v>
      </c>
      <c r="Z195" s="29">
        <v>500</v>
      </c>
      <c r="AA195" s="28">
        <f t="shared" si="39"/>
        <v>460</v>
      </c>
      <c r="AB195" s="28">
        <f t="shared" si="44"/>
        <v>108.12422007240197</v>
      </c>
      <c r="AC195" s="61">
        <v>18</v>
      </c>
      <c r="AD195" s="61">
        <v>2</v>
      </c>
      <c r="AE195" s="61">
        <v>12</v>
      </c>
      <c r="AF195" s="61">
        <v>0</v>
      </c>
      <c r="AG195" s="28">
        <f t="shared" si="45"/>
        <v>508.93800988154646</v>
      </c>
      <c r="AH195" s="34" t="str">
        <f t="shared" si="40"/>
        <v>OK</v>
      </c>
      <c r="AI195" s="28">
        <f t="shared" si="46"/>
        <v>-82.383831411565467</v>
      </c>
      <c r="AJ195" s="32">
        <f t="shared" si="47"/>
        <v>-0.2124506678083791</v>
      </c>
    </row>
    <row r="196" spans="1:36" x14ac:dyDescent="0.25">
      <c r="A196" s="6" t="s">
        <v>47</v>
      </c>
      <c r="B196" s="17">
        <v>12.5</v>
      </c>
      <c r="C196" s="6" t="s">
        <v>36</v>
      </c>
      <c r="D196" s="6" t="s">
        <v>11</v>
      </c>
      <c r="E196" s="49">
        <v>44.673999999999999</v>
      </c>
      <c r="F196" s="49">
        <v>29.086200000000002</v>
      </c>
      <c r="G196" s="29">
        <v>300</v>
      </c>
      <c r="H196" s="29">
        <v>500</v>
      </c>
      <c r="I196" s="28">
        <f t="shared" si="36"/>
        <v>460</v>
      </c>
      <c r="J196" s="28">
        <f t="shared" si="41"/>
        <v>179.68419882130542</v>
      </c>
      <c r="K196" s="61">
        <v>18</v>
      </c>
      <c r="L196" s="61">
        <v>2</v>
      </c>
      <c r="M196" s="61">
        <v>12</v>
      </c>
      <c r="N196" s="61">
        <v>0</v>
      </c>
      <c r="O196" s="28">
        <f t="shared" si="42"/>
        <v>508.93800988154646</v>
      </c>
      <c r="P196" s="34" t="str">
        <f t="shared" si="37"/>
        <v>OK</v>
      </c>
      <c r="Q196" s="17">
        <f t="shared" si="38"/>
        <v>82.383831411565467</v>
      </c>
      <c r="R196" s="19">
        <f t="shared" si="43"/>
        <v>0.35305714120886023</v>
      </c>
      <c r="S196" s="6" t="s">
        <v>47</v>
      </c>
      <c r="T196" s="17">
        <v>12.5</v>
      </c>
      <c r="U196" s="6" t="s">
        <v>36</v>
      </c>
      <c r="V196" s="6" t="s">
        <v>12</v>
      </c>
      <c r="W196" s="49">
        <v>11.862</v>
      </c>
      <c r="X196" s="49">
        <v>3.3769</v>
      </c>
      <c r="Y196" s="29">
        <v>300</v>
      </c>
      <c r="Z196" s="29">
        <v>500</v>
      </c>
      <c r="AA196" s="28">
        <f t="shared" si="39"/>
        <v>460</v>
      </c>
      <c r="AB196" s="28">
        <f t="shared" si="44"/>
        <v>20.861287173974816</v>
      </c>
      <c r="AC196" s="61">
        <v>18</v>
      </c>
      <c r="AD196" s="61">
        <v>2</v>
      </c>
      <c r="AE196" s="61">
        <v>12</v>
      </c>
      <c r="AF196" s="61">
        <v>0</v>
      </c>
      <c r="AG196" s="28">
        <f t="shared" si="45"/>
        <v>508.93800988154646</v>
      </c>
      <c r="AH196" s="34" t="str">
        <f t="shared" si="40"/>
        <v>OK</v>
      </c>
      <c r="AI196" s="28">
        <f t="shared" si="46"/>
        <v>-82.383831411565467</v>
      </c>
      <c r="AJ196" s="32">
        <f t="shared" si="47"/>
        <v>-4.0989839172810474E-2</v>
      </c>
    </row>
    <row r="197" spans="1:36" x14ac:dyDescent="0.25">
      <c r="A197" s="6" t="s">
        <v>47</v>
      </c>
      <c r="B197" s="17">
        <v>13</v>
      </c>
      <c r="C197" s="6" t="s">
        <v>36</v>
      </c>
      <c r="D197" s="6" t="s">
        <v>11</v>
      </c>
      <c r="E197" s="49">
        <v>73.978999999999999</v>
      </c>
      <c r="F197" s="49">
        <v>18.889199999999999</v>
      </c>
      <c r="G197" s="29">
        <v>300</v>
      </c>
      <c r="H197" s="29">
        <v>500</v>
      </c>
      <c r="I197" s="28">
        <f t="shared" si="36"/>
        <v>460</v>
      </c>
      <c r="J197" s="28">
        <f t="shared" si="41"/>
        <v>116.69075947959521</v>
      </c>
      <c r="K197" s="61">
        <v>18</v>
      </c>
      <c r="L197" s="61">
        <v>2</v>
      </c>
      <c r="M197" s="61">
        <v>12</v>
      </c>
      <c r="N197" s="61">
        <v>0</v>
      </c>
      <c r="O197" s="28">
        <f t="shared" si="42"/>
        <v>508.93800988154646</v>
      </c>
      <c r="P197" s="34" t="str">
        <f t="shared" si="37"/>
        <v>OK</v>
      </c>
      <c r="Q197" s="17">
        <f t="shared" si="38"/>
        <v>82.383831411565467</v>
      </c>
      <c r="R197" s="19">
        <f t="shared" si="43"/>
        <v>0.22928285412746943</v>
      </c>
      <c r="S197" s="6" t="s">
        <v>47</v>
      </c>
      <c r="T197" s="17">
        <v>13</v>
      </c>
      <c r="U197" s="6" t="s">
        <v>36</v>
      </c>
      <c r="V197" s="6" t="s">
        <v>12</v>
      </c>
      <c r="W197" s="49">
        <v>27.818000000000001</v>
      </c>
      <c r="X197" s="49">
        <v>-18.727499999999999</v>
      </c>
      <c r="Y197" s="29">
        <v>300</v>
      </c>
      <c r="Z197" s="29">
        <v>500</v>
      </c>
      <c r="AA197" s="28">
        <f t="shared" si="39"/>
        <v>460</v>
      </c>
      <c r="AB197" s="28">
        <f t="shared" si="44"/>
        <v>115.69183438971049</v>
      </c>
      <c r="AC197" s="61">
        <v>18</v>
      </c>
      <c r="AD197" s="61">
        <v>2</v>
      </c>
      <c r="AE197" s="61">
        <v>12</v>
      </c>
      <c r="AF197" s="61">
        <v>0</v>
      </c>
      <c r="AG197" s="28">
        <f t="shared" si="45"/>
        <v>508.93800988154646</v>
      </c>
      <c r="AH197" s="34" t="str">
        <f t="shared" si="40"/>
        <v>OK</v>
      </c>
      <c r="AI197" s="28">
        <f t="shared" si="46"/>
        <v>-82.383831411565467</v>
      </c>
      <c r="AJ197" s="32">
        <f t="shared" si="47"/>
        <v>0.22732009035174511</v>
      </c>
    </row>
    <row r="198" spans="1:36" x14ac:dyDescent="0.25">
      <c r="A198" s="6" t="s">
        <v>47</v>
      </c>
      <c r="B198" s="17">
        <v>13.5</v>
      </c>
      <c r="C198" s="6" t="s">
        <v>36</v>
      </c>
      <c r="D198" s="6" t="s">
        <v>11</v>
      </c>
      <c r="E198" s="49">
        <v>103.283</v>
      </c>
      <c r="F198" s="49">
        <v>0.99080000000000001</v>
      </c>
      <c r="G198" s="29">
        <v>300</v>
      </c>
      <c r="H198" s="29">
        <v>500</v>
      </c>
      <c r="I198" s="28">
        <f t="shared" si="36"/>
        <v>460</v>
      </c>
      <c r="J198" s="28">
        <f t="shared" si="41"/>
        <v>6.1208100127259462</v>
      </c>
      <c r="K198" s="61">
        <v>18</v>
      </c>
      <c r="L198" s="61">
        <v>2</v>
      </c>
      <c r="M198" s="61">
        <v>12</v>
      </c>
      <c r="N198" s="61">
        <v>0</v>
      </c>
      <c r="O198" s="28">
        <f>PI()*K198^2/4*L198+PI()*M198^2/4*N198</f>
        <v>508.93800988154646</v>
      </c>
      <c r="P198" s="34" t="str">
        <f t="shared" si="37"/>
        <v>OK</v>
      </c>
      <c r="Q198" s="17">
        <f t="shared" si="38"/>
        <v>82.383831411565467</v>
      </c>
      <c r="R198" s="19">
        <f t="shared" si="43"/>
        <v>1.2026631719156805E-2</v>
      </c>
      <c r="S198" s="6" t="s">
        <v>47</v>
      </c>
      <c r="T198" s="17">
        <v>13.5</v>
      </c>
      <c r="U198" s="6" t="s">
        <v>36</v>
      </c>
      <c r="V198" s="6" t="s">
        <v>12</v>
      </c>
      <c r="W198" s="49">
        <v>43.774000000000001</v>
      </c>
      <c r="X198" s="49">
        <v>-48.810099999999998</v>
      </c>
      <c r="Y198" s="29">
        <v>300</v>
      </c>
      <c r="Z198" s="29">
        <v>500</v>
      </c>
      <c r="AA198" s="28">
        <f t="shared" si="39"/>
        <v>460</v>
      </c>
      <c r="AB198" s="28">
        <f t="shared" si="44"/>
        <v>301.53143803204955</v>
      </c>
      <c r="AC198" s="61">
        <v>18</v>
      </c>
      <c r="AD198" s="61">
        <v>2</v>
      </c>
      <c r="AE198" s="61">
        <v>12</v>
      </c>
      <c r="AF198" s="61">
        <v>0</v>
      </c>
      <c r="AG198" s="28">
        <f>PI()*AC198^2/4*AD198+PI()*AE198^2/4*AF198</f>
        <v>508.93800988154646</v>
      </c>
      <c r="AH198" s="34" t="str">
        <f t="shared" si="40"/>
        <v>OK</v>
      </c>
      <c r="AI198" s="28">
        <f t="shared" si="46"/>
        <v>-82.383831411565467</v>
      </c>
      <c r="AJ198" s="32">
        <f>X198/AI198</f>
        <v>0.59247183778281753</v>
      </c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22" spans="1:36" x14ac:dyDescent="0.25">
      <c r="A222" s="2" t="s">
        <v>1</v>
      </c>
      <c r="B222" s="3" t="s">
        <v>2</v>
      </c>
      <c r="C222" s="2" t="s">
        <v>34</v>
      </c>
      <c r="D222" s="2" t="s">
        <v>3</v>
      </c>
      <c r="E222" s="3" t="s">
        <v>4</v>
      </c>
      <c r="F222" s="3" t="s">
        <v>5</v>
      </c>
      <c r="G222" s="5" t="s">
        <v>20</v>
      </c>
      <c r="H222" s="5" t="s">
        <v>21</v>
      </c>
      <c r="I222" s="5" t="s">
        <v>25</v>
      </c>
      <c r="J222" s="5" t="s">
        <v>23</v>
      </c>
      <c r="K222" s="5" t="s">
        <v>26</v>
      </c>
      <c r="L222" s="5" t="s">
        <v>27</v>
      </c>
      <c r="M222" s="5" t="s">
        <v>26</v>
      </c>
      <c r="N222" s="5" t="s">
        <v>27</v>
      </c>
      <c r="O222" s="5" t="s">
        <v>23</v>
      </c>
      <c r="P222" s="18"/>
      <c r="Q222" s="5" t="s">
        <v>31</v>
      </c>
      <c r="R222" s="5" t="s">
        <v>33</v>
      </c>
      <c r="S222" s="2" t="s">
        <v>1</v>
      </c>
      <c r="T222" s="3" t="s">
        <v>2</v>
      </c>
      <c r="U222" s="2" t="s">
        <v>34</v>
      </c>
      <c r="V222" s="2" t="s">
        <v>3</v>
      </c>
      <c r="W222" s="3" t="s">
        <v>4</v>
      </c>
      <c r="X222" s="3" t="s">
        <v>5</v>
      </c>
      <c r="Y222" s="5" t="s">
        <v>20</v>
      </c>
      <c r="Z222" s="5" t="s">
        <v>21</v>
      </c>
      <c r="AA222" s="5" t="s">
        <v>25</v>
      </c>
      <c r="AB222" s="5" t="s">
        <v>23</v>
      </c>
      <c r="AC222" s="5" t="s">
        <v>26</v>
      </c>
      <c r="AD222" s="5" t="s">
        <v>27</v>
      </c>
      <c r="AE222" s="5" t="s">
        <v>26</v>
      </c>
      <c r="AF222" s="5" t="s">
        <v>27</v>
      </c>
      <c r="AG222" s="5" t="s">
        <v>23</v>
      </c>
      <c r="AH222" s="18"/>
      <c r="AI222" s="5" t="s">
        <v>31</v>
      </c>
      <c r="AJ222" s="5" t="s">
        <v>33</v>
      </c>
    </row>
    <row r="223" spans="1:36" x14ac:dyDescent="0.25">
      <c r="A223" s="4" t="s">
        <v>6</v>
      </c>
      <c r="B223" s="5" t="s">
        <v>7</v>
      </c>
      <c r="C223" s="4" t="s">
        <v>6</v>
      </c>
      <c r="D223" s="4" t="s">
        <v>6</v>
      </c>
      <c r="E223" s="5" t="s">
        <v>8</v>
      </c>
      <c r="F223" s="5" t="s">
        <v>9</v>
      </c>
      <c r="G223" s="9" t="s">
        <v>22</v>
      </c>
      <c r="H223" s="9" t="s">
        <v>22</v>
      </c>
      <c r="I223" s="9" t="s">
        <v>22</v>
      </c>
      <c r="J223" s="9" t="s">
        <v>24</v>
      </c>
      <c r="K223" s="9" t="s">
        <v>22</v>
      </c>
      <c r="L223" s="9" t="s">
        <v>28</v>
      </c>
      <c r="M223" s="9" t="s">
        <v>22</v>
      </c>
      <c r="N223" s="9" t="s">
        <v>28</v>
      </c>
      <c r="O223" s="9" t="s">
        <v>24</v>
      </c>
      <c r="P223" s="31"/>
      <c r="Q223" s="9" t="s">
        <v>9</v>
      </c>
      <c r="R223" s="9" t="s">
        <v>28</v>
      </c>
      <c r="S223" s="4" t="s">
        <v>6</v>
      </c>
      <c r="T223" s="5" t="s">
        <v>7</v>
      </c>
      <c r="U223" s="4" t="s">
        <v>6</v>
      </c>
      <c r="V223" s="4" t="s">
        <v>6</v>
      </c>
      <c r="W223" s="5" t="s">
        <v>8</v>
      </c>
      <c r="X223" s="5" t="s">
        <v>9</v>
      </c>
      <c r="Y223" s="9" t="s">
        <v>22</v>
      </c>
      <c r="Z223" s="9" t="s">
        <v>22</v>
      </c>
      <c r="AA223" s="9" t="s">
        <v>22</v>
      </c>
      <c r="AB223" s="9" t="s">
        <v>24</v>
      </c>
      <c r="AC223" s="9" t="s">
        <v>22</v>
      </c>
      <c r="AD223" s="9" t="s">
        <v>28</v>
      </c>
      <c r="AE223" s="9" t="s">
        <v>22</v>
      </c>
      <c r="AF223" s="9" t="s">
        <v>28</v>
      </c>
      <c r="AG223" s="9" t="s">
        <v>24</v>
      </c>
      <c r="AH223" s="31"/>
      <c r="AI223" s="9" t="s">
        <v>9</v>
      </c>
      <c r="AJ223" s="9" t="s">
        <v>28</v>
      </c>
    </row>
    <row r="224" spans="1:36" x14ac:dyDescent="0.25">
      <c r="A224" s="6" t="s">
        <v>48</v>
      </c>
      <c r="B224" s="17">
        <v>0</v>
      </c>
      <c r="C224" s="6" t="s">
        <v>36</v>
      </c>
      <c r="D224" s="6" t="s">
        <v>11</v>
      </c>
      <c r="E224" s="49">
        <v>-13.616</v>
      </c>
      <c r="F224" s="49">
        <v>15.3912</v>
      </c>
      <c r="G224" s="29">
        <v>300</v>
      </c>
      <c r="H224" s="29">
        <v>500</v>
      </c>
      <c r="I224" s="28">
        <f t="shared" ref="I224:I253" si="48">H224-40</f>
        <v>460</v>
      </c>
      <c r="J224" s="28">
        <f>ABS(F224)*1000^2/(0.9*391*I224)</f>
        <v>95.081359575966474</v>
      </c>
      <c r="K224" s="11">
        <v>18</v>
      </c>
      <c r="L224" s="11">
        <v>2</v>
      </c>
      <c r="M224" s="11">
        <v>0</v>
      </c>
      <c r="N224" s="11">
        <v>2</v>
      </c>
      <c r="O224" s="28">
        <f>PI()*K224^2/4*L224+PI()*M224^2/4*N224</f>
        <v>508.93800988154646</v>
      </c>
      <c r="P224" s="34" t="str">
        <f t="shared" ref="P224:P253" si="49">IF(O224&gt;=J224,"OK","NO")</f>
        <v>OK</v>
      </c>
      <c r="Q224" s="17">
        <f t="shared" ref="Q224:Q253" si="50">(O224*0.9*391*I224)/1000^2</f>
        <v>82.383831411565467</v>
      </c>
      <c r="R224" s="19">
        <f>F224/Q224</f>
        <v>0.1868230663260862</v>
      </c>
      <c r="S224" s="6" t="s">
        <v>48</v>
      </c>
      <c r="T224" s="17">
        <v>0</v>
      </c>
      <c r="U224" s="6" t="s">
        <v>36</v>
      </c>
      <c r="V224" s="6" t="s">
        <v>12</v>
      </c>
      <c r="W224" s="49">
        <v>-47.540999999999997</v>
      </c>
      <c r="X224" s="49">
        <v>-38.631700000000002</v>
      </c>
      <c r="Y224" s="29">
        <v>300</v>
      </c>
      <c r="Z224" s="29">
        <v>500</v>
      </c>
      <c r="AA224" s="28">
        <f t="shared" ref="AA224:AA253" si="51">Z224-40</f>
        <v>460</v>
      </c>
      <c r="AB224" s="28">
        <f>ABS(X224)*1000^2/(0.9*391*AA224)</f>
        <v>238.65290287507563</v>
      </c>
      <c r="AC224" s="61">
        <v>18</v>
      </c>
      <c r="AD224" s="61">
        <v>2</v>
      </c>
      <c r="AE224" s="61">
        <v>12</v>
      </c>
      <c r="AF224" s="61">
        <v>0</v>
      </c>
      <c r="AG224" s="28">
        <f>PI()*AC224^2/4*AD224+PI()*AE224^2/4*AF224</f>
        <v>508.93800988154646</v>
      </c>
      <c r="AH224" s="34" t="str">
        <f t="shared" ref="AH224:AH253" si="52">IF(AG224&gt;=AB224,"OK","NO")</f>
        <v>OK</v>
      </c>
      <c r="AI224" s="28">
        <f>-(AG224*0.9*391*AA224)/1000^2</f>
        <v>-82.383831411565467</v>
      </c>
      <c r="AJ224" s="32">
        <f>X224/AI224</f>
        <v>0.46892332315800361</v>
      </c>
    </row>
    <row r="225" spans="1:36" x14ac:dyDescent="0.25">
      <c r="A225" s="6" t="s">
        <v>48</v>
      </c>
      <c r="B225" s="17">
        <v>0.5</v>
      </c>
      <c r="C225" s="6" t="s">
        <v>36</v>
      </c>
      <c r="D225" s="6" t="s">
        <v>11</v>
      </c>
      <c r="E225" s="49">
        <v>-6.03</v>
      </c>
      <c r="F225" s="49">
        <v>20.302900000000001</v>
      </c>
      <c r="G225" s="29">
        <v>300</v>
      </c>
      <c r="H225" s="29">
        <v>500</v>
      </c>
      <c r="I225" s="28">
        <f t="shared" si="48"/>
        <v>460</v>
      </c>
      <c r="J225" s="28">
        <f t="shared" ref="J225:J253" si="53">ABS(F225)*1000^2/(0.9*391*I225)</f>
        <v>125.42409528398629</v>
      </c>
      <c r="K225" s="61">
        <v>18</v>
      </c>
      <c r="L225" s="61">
        <v>2</v>
      </c>
      <c r="M225" s="61">
        <v>0</v>
      </c>
      <c r="N225" s="61">
        <v>2</v>
      </c>
      <c r="O225" s="28">
        <f t="shared" ref="O225:O252" si="54">PI()*K225^2/4*L225+PI()*M225^2/4*N225</f>
        <v>508.93800988154646</v>
      </c>
      <c r="P225" s="34" t="str">
        <f t="shared" si="49"/>
        <v>OK</v>
      </c>
      <c r="Q225" s="17">
        <f t="shared" si="50"/>
        <v>82.383831411565467</v>
      </c>
      <c r="R225" s="19">
        <f t="shared" ref="R225:R253" si="55">F225/Q225</f>
        <v>0.24644277465771974</v>
      </c>
      <c r="S225" s="6" t="s">
        <v>48</v>
      </c>
      <c r="T225" s="17">
        <v>0.5</v>
      </c>
      <c r="U225" s="6" t="s">
        <v>36</v>
      </c>
      <c r="V225" s="6" t="s">
        <v>12</v>
      </c>
      <c r="W225" s="49">
        <v>-34.073</v>
      </c>
      <c r="X225" s="49">
        <v>-20.486599999999999</v>
      </c>
      <c r="Y225" s="29">
        <v>300</v>
      </c>
      <c r="Z225" s="29">
        <v>500</v>
      </c>
      <c r="AA225" s="28">
        <f t="shared" si="51"/>
        <v>460</v>
      </c>
      <c r="AB225" s="28">
        <f t="shared" ref="AB225:AB253" si="56">ABS(X225)*1000^2/(0.9*391*AA225)</f>
        <v>126.55892854936553</v>
      </c>
      <c r="AC225" s="61">
        <v>18</v>
      </c>
      <c r="AD225" s="61">
        <v>2</v>
      </c>
      <c r="AE225" s="61">
        <v>12</v>
      </c>
      <c r="AF225" s="61">
        <v>0</v>
      </c>
      <c r="AG225" s="28">
        <f t="shared" ref="AG225:AG252" si="57">PI()*AC225^2/4*AD225+PI()*AE225^2/4*AF225</f>
        <v>508.93800988154646</v>
      </c>
      <c r="AH225" s="34" t="str">
        <f t="shared" si="52"/>
        <v>OK</v>
      </c>
      <c r="AI225" s="28">
        <f t="shared" ref="AI225:AI253" si="58">-(AG225*0.9*391*AA225)/1000^2</f>
        <v>-82.383831411565467</v>
      </c>
      <c r="AJ225" s="32">
        <f t="shared" ref="AJ225:AJ252" si="59">X225/AI225</f>
        <v>0.24867258112401877</v>
      </c>
    </row>
    <row r="226" spans="1:36" x14ac:dyDescent="0.25">
      <c r="A226" s="6" t="s">
        <v>48</v>
      </c>
      <c r="B226" s="17">
        <v>1</v>
      </c>
      <c r="C226" s="6" t="s">
        <v>36</v>
      </c>
      <c r="D226" s="6" t="s">
        <v>11</v>
      </c>
      <c r="E226" s="49">
        <v>1.5569999999999999</v>
      </c>
      <c r="F226" s="49">
        <v>21.421600000000002</v>
      </c>
      <c r="G226" s="29">
        <v>300</v>
      </c>
      <c r="H226" s="29">
        <v>500</v>
      </c>
      <c r="I226" s="28">
        <f t="shared" si="48"/>
        <v>460</v>
      </c>
      <c r="J226" s="28">
        <f t="shared" si="53"/>
        <v>132.33502600788265</v>
      </c>
      <c r="K226" s="61">
        <v>18</v>
      </c>
      <c r="L226" s="61">
        <v>2</v>
      </c>
      <c r="M226" s="61">
        <v>0</v>
      </c>
      <c r="N226" s="61">
        <v>2</v>
      </c>
      <c r="O226" s="28">
        <f t="shared" si="54"/>
        <v>508.93800988154646</v>
      </c>
      <c r="P226" s="34" t="str">
        <f t="shared" si="49"/>
        <v>OK</v>
      </c>
      <c r="Q226" s="17">
        <f t="shared" si="50"/>
        <v>82.383831411565467</v>
      </c>
      <c r="R226" s="19">
        <f t="shared" si="55"/>
        <v>0.26002189547344512</v>
      </c>
      <c r="S226" s="6" t="s">
        <v>48</v>
      </c>
      <c r="T226" s="17">
        <v>1</v>
      </c>
      <c r="U226" s="6" t="s">
        <v>36</v>
      </c>
      <c r="V226" s="6" t="s">
        <v>12</v>
      </c>
      <c r="W226" s="49">
        <v>-24.911000000000001</v>
      </c>
      <c r="X226" s="49">
        <v>-6.1349</v>
      </c>
      <c r="Y226" s="29">
        <v>300</v>
      </c>
      <c r="Z226" s="29">
        <v>500</v>
      </c>
      <c r="AA226" s="28">
        <f t="shared" si="51"/>
        <v>460</v>
      </c>
      <c r="AB226" s="28">
        <f t="shared" si="56"/>
        <v>37.899230265515143</v>
      </c>
      <c r="AC226" s="61">
        <v>18</v>
      </c>
      <c r="AD226" s="61">
        <v>2</v>
      </c>
      <c r="AE226" s="61">
        <v>12</v>
      </c>
      <c r="AF226" s="61">
        <v>0</v>
      </c>
      <c r="AG226" s="28">
        <f t="shared" si="57"/>
        <v>508.93800988154646</v>
      </c>
      <c r="AH226" s="34" t="str">
        <f t="shared" si="52"/>
        <v>OK</v>
      </c>
      <c r="AI226" s="28">
        <f t="shared" si="58"/>
        <v>-82.383831411565467</v>
      </c>
      <c r="AJ226" s="32">
        <f t="shared" si="59"/>
        <v>7.4467281927588905E-2</v>
      </c>
    </row>
    <row r="227" spans="1:36" x14ac:dyDescent="0.25">
      <c r="A227" s="6" t="s">
        <v>48</v>
      </c>
      <c r="B227" s="17">
        <v>1.5</v>
      </c>
      <c r="C227" s="6" t="s">
        <v>36</v>
      </c>
      <c r="D227" s="6" t="s">
        <v>11</v>
      </c>
      <c r="E227" s="49">
        <v>9.1430000000000007</v>
      </c>
      <c r="F227" s="49">
        <v>20.668500000000002</v>
      </c>
      <c r="G227" s="29">
        <v>300</v>
      </c>
      <c r="H227" s="29">
        <v>500</v>
      </c>
      <c r="I227" s="28">
        <f t="shared" si="48"/>
        <v>460</v>
      </c>
      <c r="J227" s="28">
        <f t="shared" si="53"/>
        <v>127.68264205493159</v>
      </c>
      <c r="K227" s="61">
        <v>18</v>
      </c>
      <c r="L227" s="61">
        <v>2</v>
      </c>
      <c r="M227" s="61">
        <v>0</v>
      </c>
      <c r="N227" s="61">
        <v>2</v>
      </c>
      <c r="O227" s="28">
        <f t="shared" si="54"/>
        <v>508.93800988154646</v>
      </c>
      <c r="P227" s="34" t="str">
        <f t="shared" si="49"/>
        <v>OK</v>
      </c>
      <c r="Q227" s="17">
        <f t="shared" si="50"/>
        <v>82.383831411565467</v>
      </c>
      <c r="R227" s="19">
        <f t="shared" si="55"/>
        <v>0.25088053864290721</v>
      </c>
      <c r="S227" s="6" t="s">
        <v>48</v>
      </c>
      <c r="T227" s="17">
        <v>1.5</v>
      </c>
      <c r="U227" s="6" t="s">
        <v>36</v>
      </c>
      <c r="V227" s="6" t="s">
        <v>12</v>
      </c>
      <c r="W227" s="49">
        <v>-17.324000000000002</v>
      </c>
      <c r="X227" s="49">
        <v>4.4229000000000003</v>
      </c>
      <c r="Y227" s="29">
        <v>300</v>
      </c>
      <c r="Z227" s="29">
        <v>500</v>
      </c>
      <c r="AA227" s="28">
        <f t="shared" si="51"/>
        <v>460</v>
      </c>
      <c r="AB227" s="28">
        <f t="shared" si="56"/>
        <v>27.323103154305194</v>
      </c>
      <c r="AC227" s="61">
        <v>18</v>
      </c>
      <c r="AD227" s="61">
        <v>2</v>
      </c>
      <c r="AE227" s="61">
        <v>12</v>
      </c>
      <c r="AF227" s="61">
        <v>0</v>
      </c>
      <c r="AG227" s="28">
        <f t="shared" si="57"/>
        <v>508.93800988154646</v>
      </c>
      <c r="AH227" s="34" t="str">
        <f t="shared" si="52"/>
        <v>OK</v>
      </c>
      <c r="AI227" s="28">
        <f t="shared" si="58"/>
        <v>-82.383831411565467</v>
      </c>
      <c r="AJ227" s="32">
        <f t="shared" si="59"/>
        <v>-5.3686505279227532E-2</v>
      </c>
    </row>
    <row r="228" spans="1:36" x14ac:dyDescent="0.25">
      <c r="A228" s="6" t="s">
        <v>48</v>
      </c>
      <c r="B228" s="17">
        <v>2</v>
      </c>
      <c r="C228" s="6" t="s">
        <v>36</v>
      </c>
      <c r="D228" s="6" t="s">
        <v>11</v>
      </c>
      <c r="E228" s="49">
        <v>16.73</v>
      </c>
      <c r="F228" s="49">
        <v>20.870899999999999</v>
      </c>
      <c r="G228" s="29">
        <v>300</v>
      </c>
      <c r="H228" s="29">
        <v>500</v>
      </c>
      <c r="I228" s="28">
        <f t="shared" si="48"/>
        <v>460</v>
      </c>
      <c r="J228" s="28">
        <f t="shared" si="53"/>
        <v>128.93299726948118</v>
      </c>
      <c r="K228" s="61">
        <v>18</v>
      </c>
      <c r="L228" s="61">
        <v>2</v>
      </c>
      <c r="M228" s="61">
        <v>0</v>
      </c>
      <c r="N228" s="61">
        <v>2</v>
      </c>
      <c r="O228" s="28">
        <f t="shared" si="54"/>
        <v>508.93800988154646</v>
      </c>
      <c r="P228" s="34" t="str">
        <f t="shared" si="49"/>
        <v>OK</v>
      </c>
      <c r="Q228" s="17">
        <f t="shared" si="50"/>
        <v>82.383831411565467</v>
      </c>
      <c r="R228" s="19">
        <f t="shared" si="55"/>
        <v>0.25333733139619474</v>
      </c>
      <c r="S228" s="6" t="s">
        <v>48</v>
      </c>
      <c r="T228" s="17">
        <v>2</v>
      </c>
      <c r="U228" s="6" t="s">
        <v>36</v>
      </c>
      <c r="V228" s="6" t="s">
        <v>12</v>
      </c>
      <c r="W228" s="49">
        <v>-9.7379999999999995</v>
      </c>
      <c r="X228" s="49">
        <v>11.1412</v>
      </c>
      <c r="Y228" s="29">
        <v>300</v>
      </c>
      <c r="Z228" s="29">
        <v>500</v>
      </c>
      <c r="AA228" s="28">
        <f t="shared" si="51"/>
        <v>460</v>
      </c>
      <c r="AB228" s="28">
        <f t="shared" si="56"/>
        <v>68.826371128161398</v>
      </c>
      <c r="AC228" s="61">
        <v>18</v>
      </c>
      <c r="AD228" s="61">
        <v>2</v>
      </c>
      <c r="AE228" s="61">
        <v>12</v>
      </c>
      <c r="AF228" s="61">
        <v>0</v>
      </c>
      <c r="AG228" s="28">
        <f t="shared" si="57"/>
        <v>508.93800988154646</v>
      </c>
      <c r="AH228" s="34" t="str">
        <f t="shared" si="52"/>
        <v>OK</v>
      </c>
      <c r="AI228" s="28">
        <f t="shared" si="58"/>
        <v>-82.383831411565467</v>
      </c>
      <c r="AJ228" s="32">
        <f t="shared" si="59"/>
        <v>-0.13523527382869377</v>
      </c>
    </row>
    <row r="229" spans="1:36" x14ac:dyDescent="0.25">
      <c r="A229" s="6" t="s">
        <v>48</v>
      </c>
      <c r="B229" s="17">
        <v>2.5</v>
      </c>
      <c r="C229" s="6" t="s">
        <v>36</v>
      </c>
      <c r="D229" s="6" t="s">
        <v>11</v>
      </c>
      <c r="E229" s="49">
        <v>24.315999999999999</v>
      </c>
      <c r="F229" s="49">
        <v>14.339700000000001</v>
      </c>
      <c r="G229" s="29">
        <v>300</v>
      </c>
      <c r="H229" s="29">
        <v>500</v>
      </c>
      <c r="I229" s="28">
        <f t="shared" si="48"/>
        <v>460</v>
      </c>
      <c r="J229" s="28">
        <f t="shared" si="53"/>
        <v>88.585566551762469</v>
      </c>
      <c r="K229" s="61">
        <v>18</v>
      </c>
      <c r="L229" s="61">
        <v>2</v>
      </c>
      <c r="M229" s="61">
        <v>0</v>
      </c>
      <c r="N229" s="61">
        <v>2</v>
      </c>
      <c r="O229" s="28">
        <f t="shared" si="54"/>
        <v>508.93800988154646</v>
      </c>
      <c r="P229" s="34" t="str">
        <f t="shared" si="49"/>
        <v>OK</v>
      </c>
      <c r="Q229" s="17">
        <f t="shared" si="50"/>
        <v>82.383831411565467</v>
      </c>
      <c r="R229" s="19">
        <f t="shared" si="55"/>
        <v>0.17405963954702547</v>
      </c>
      <c r="S229" s="6" t="s">
        <v>48</v>
      </c>
      <c r="T229" s="17">
        <v>2.5</v>
      </c>
      <c r="U229" s="6" t="s">
        <v>36</v>
      </c>
      <c r="V229" s="6" t="s">
        <v>12</v>
      </c>
      <c r="W229" s="49">
        <v>-2.1509999999999998</v>
      </c>
      <c r="X229" s="49">
        <v>2.0133000000000001</v>
      </c>
      <c r="Y229" s="29">
        <v>300</v>
      </c>
      <c r="Z229" s="29">
        <v>500</v>
      </c>
      <c r="AA229" s="28">
        <f t="shared" si="51"/>
        <v>460</v>
      </c>
      <c r="AB229" s="28">
        <f t="shared" si="56"/>
        <v>12.437451351050814</v>
      </c>
      <c r="AC229" s="61">
        <v>18</v>
      </c>
      <c r="AD229" s="61">
        <v>2</v>
      </c>
      <c r="AE229" s="61">
        <v>12</v>
      </c>
      <c r="AF229" s="61">
        <v>0</v>
      </c>
      <c r="AG229" s="28">
        <f t="shared" si="57"/>
        <v>508.93800988154646</v>
      </c>
      <c r="AH229" s="34" t="str">
        <f t="shared" si="52"/>
        <v>OK</v>
      </c>
      <c r="AI229" s="28">
        <f t="shared" si="58"/>
        <v>-82.383831411565467</v>
      </c>
      <c r="AJ229" s="32">
        <f t="shared" si="59"/>
        <v>-2.4438047678823575E-2</v>
      </c>
    </row>
    <row r="230" spans="1:36" x14ac:dyDescent="0.25">
      <c r="A230" s="6" t="s">
        <v>48</v>
      </c>
      <c r="B230" s="17">
        <v>3</v>
      </c>
      <c r="C230" s="6" t="s">
        <v>36</v>
      </c>
      <c r="D230" s="6" t="s">
        <v>11</v>
      </c>
      <c r="E230" s="49">
        <v>33.264000000000003</v>
      </c>
      <c r="F230" s="49">
        <v>13.342700000000001</v>
      </c>
      <c r="G230" s="29">
        <v>300</v>
      </c>
      <c r="H230" s="29">
        <v>500</v>
      </c>
      <c r="I230" s="28">
        <f t="shared" si="48"/>
        <v>460</v>
      </c>
      <c r="J230" s="28">
        <f t="shared" si="53"/>
        <v>82.426455144124432</v>
      </c>
      <c r="K230" s="61">
        <v>18</v>
      </c>
      <c r="L230" s="61">
        <v>2</v>
      </c>
      <c r="M230" s="61">
        <v>0</v>
      </c>
      <c r="N230" s="61">
        <v>2</v>
      </c>
      <c r="O230" s="28">
        <f t="shared" si="54"/>
        <v>508.93800988154646</v>
      </c>
      <c r="P230" s="34" t="str">
        <f t="shared" si="49"/>
        <v>OK</v>
      </c>
      <c r="Q230" s="17">
        <f t="shared" si="50"/>
        <v>82.383831411565467</v>
      </c>
      <c r="R230" s="19">
        <f t="shared" si="55"/>
        <v>0.16195775034234308</v>
      </c>
      <c r="S230" s="6" t="s">
        <v>48</v>
      </c>
      <c r="T230" s="17">
        <v>3</v>
      </c>
      <c r="U230" s="6" t="s">
        <v>36</v>
      </c>
      <c r="V230" s="6" t="s">
        <v>12</v>
      </c>
      <c r="W230" s="49">
        <v>5.4349999999999996</v>
      </c>
      <c r="X230" s="49">
        <v>-12.0403</v>
      </c>
      <c r="Y230" s="29">
        <v>300</v>
      </c>
      <c r="Z230" s="29">
        <v>500</v>
      </c>
      <c r="AA230" s="28">
        <f t="shared" si="51"/>
        <v>460</v>
      </c>
      <c r="AB230" s="28">
        <f t="shared" si="56"/>
        <v>74.380691154848819</v>
      </c>
      <c r="AC230" s="61">
        <v>18</v>
      </c>
      <c r="AD230" s="61">
        <v>2</v>
      </c>
      <c r="AE230" s="61">
        <v>12</v>
      </c>
      <c r="AF230" s="61">
        <v>0</v>
      </c>
      <c r="AG230" s="28">
        <f t="shared" si="57"/>
        <v>508.93800988154646</v>
      </c>
      <c r="AH230" s="34" t="str">
        <f t="shared" si="52"/>
        <v>OK</v>
      </c>
      <c r="AI230" s="28">
        <f t="shared" si="58"/>
        <v>-82.383831411565467</v>
      </c>
      <c r="AJ230" s="32">
        <f t="shared" si="59"/>
        <v>0.14614882306031862</v>
      </c>
    </row>
    <row r="231" spans="1:36" x14ac:dyDescent="0.25">
      <c r="A231" s="6" t="s">
        <v>48</v>
      </c>
      <c r="B231" s="17">
        <v>3.5</v>
      </c>
      <c r="C231" s="6" t="s">
        <v>36</v>
      </c>
      <c r="D231" s="6" t="s">
        <v>11</v>
      </c>
      <c r="E231" s="49">
        <v>46.731000000000002</v>
      </c>
      <c r="F231" s="49">
        <v>8.7279999999999998</v>
      </c>
      <c r="G231" s="29">
        <v>300</v>
      </c>
      <c r="H231" s="29">
        <v>500</v>
      </c>
      <c r="I231" s="28">
        <f t="shared" si="48"/>
        <v>460</v>
      </c>
      <c r="J231" s="28">
        <f t="shared" si="53"/>
        <v>53.91847980528064</v>
      </c>
      <c r="K231" s="61">
        <v>18</v>
      </c>
      <c r="L231" s="61">
        <v>2</v>
      </c>
      <c r="M231" s="61">
        <v>0</v>
      </c>
      <c r="N231" s="61">
        <v>2</v>
      </c>
      <c r="O231" s="28">
        <f t="shared" si="54"/>
        <v>508.93800988154646</v>
      </c>
      <c r="P231" s="34" t="str">
        <f t="shared" si="49"/>
        <v>OK</v>
      </c>
      <c r="Q231" s="17">
        <f t="shared" si="50"/>
        <v>82.383831411565467</v>
      </c>
      <c r="R231" s="19">
        <f t="shared" si="55"/>
        <v>0.10594311833346851</v>
      </c>
      <c r="S231" s="6" t="s">
        <v>48</v>
      </c>
      <c r="T231" s="17">
        <v>3.5</v>
      </c>
      <c r="U231" s="6" t="s">
        <v>36</v>
      </c>
      <c r="V231" s="6" t="s">
        <v>12</v>
      </c>
      <c r="W231" s="49">
        <v>13.022</v>
      </c>
      <c r="X231" s="49">
        <v>-29.888000000000002</v>
      </c>
      <c r="Y231" s="29">
        <v>300</v>
      </c>
      <c r="Z231" s="29">
        <v>500</v>
      </c>
      <c r="AA231" s="28">
        <f t="shared" si="51"/>
        <v>460</v>
      </c>
      <c r="AB231" s="28">
        <f t="shared" si="56"/>
        <v>184.63743405364664</v>
      </c>
      <c r="AC231" s="61">
        <v>18</v>
      </c>
      <c r="AD231" s="61">
        <v>2</v>
      </c>
      <c r="AE231" s="61">
        <v>12</v>
      </c>
      <c r="AF231" s="61">
        <v>0</v>
      </c>
      <c r="AG231" s="28">
        <f t="shared" si="57"/>
        <v>508.93800988154646</v>
      </c>
      <c r="AH231" s="34" t="str">
        <f t="shared" si="52"/>
        <v>OK</v>
      </c>
      <c r="AI231" s="28">
        <f t="shared" si="58"/>
        <v>-82.383831411565467</v>
      </c>
      <c r="AJ231" s="32">
        <f t="shared" si="59"/>
        <v>0.36278963344989767</v>
      </c>
    </row>
    <row r="232" spans="1:36" x14ac:dyDescent="0.25">
      <c r="A232" s="6" t="s">
        <v>48</v>
      </c>
      <c r="B232" s="17">
        <v>4</v>
      </c>
      <c r="C232" s="6" t="s">
        <v>36</v>
      </c>
      <c r="D232" s="6" t="s">
        <v>11</v>
      </c>
      <c r="E232" s="49">
        <v>60.198999999999998</v>
      </c>
      <c r="F232" s="49">
        <v>0.32019999999999998</v>
      </c>
      <c r="G232" s="29">
        <v>300</v>
      </c>
      <c r="H232" s="29">
        <v>500</v>
      </c>
      <c r="I232" s="28">
        <f t="shared" si="48"/>
        <v>460</v>
      </c>
      <c r="J232" s="28">
        <f t="shared" si="53"/>
        <v>1.978081717879338</v>
      </c>
      <c r="K232" s="61">
        <v>18</v>
      </c>
      <c r="L232" s="61">
        <v>2</v>
      </c>
      <c r="M232" s="61">
        <v>0</v>
      </c>
      <c r="N232" s="61">
        <v>2</v>
      </c>
      <c r="O232" s="28">
        <f t="shared" si="54"/>
        <v>508.93800988154646</v>
      </c>
      <c r="P232" s="34" t="str">
        <f t="shared" si="49"/>
        <v>OK</v>
      </c>
      <c r="Q232" s="17">
        <f t="shared" si="50"/>
        <v>82.383831411565467</v>
      </c>
      <c r="R232" s="19">
        <f t="shared" si="55"/>
        <v>3.886684978274131E-3</v>
      </c>
      <c r="S232" s="6" t="s">
        <v>48</v>
      </c>
      <c r="T232" s="17">
        <v>4</v>
      </c>
      <c r="U232" s="6" t="s">
        <v>36</v>
      </c>
      <c r="V232" s="6" t="s">
        <v>12</v>
      </c>
      <c r="W232" s="49">
        <v>20.609000000000002</v>
      </c>
      <c r="X232" s="49">
        <v>-51.529200000000003</v>
      </c>
      <c r="Y232" s="29">
        <v>300</v>
      </c>
      <c r="Z232" s="29">
        <v>500</v>
      </c>
      <c r="AA232" s="28">
        <f t="shared" si="51"/>
        <v>460</v>
      </c>
      <c r="AB232" s="28">
        <f t="shared" si="56"/>
        <v>318.32907075873823</v>
      </c>
      <c r="AC232" s="61">
        <v>18</v>
      </c>
      <c r="AD232" s="61">
        <v>2</v>
      </c>
      <c r="AE232" s="61">
        <v>12</v>
      </c>
      <c r="AF232" s="61">
        <v>0</v>
      </c>
      <c r="AG232" s="28">
        <f t="shared" si="57"/>
        <v>508.93800988154646</v>
      </c>
      <c r="AH232" s="34" t="str">
        <f t="shared" si="52"/>
        <v>OK</v>
      </c>
      <c r="AI232" s="28">
        <f t="shared" si="58"/>
        <v>-82.383831411565467</v>
      </c>
      <c r="AJ232" s="32">
        <f t="shared" si="59"/>
        <v>0.62547710050744332</v>
      </c>
    </row>
    <row r="233" spans="1:36" x14ac:dyDescent="0.25">
      <c r="A233" s="6" t="s">
        <v>49</v>
      </c>
      <c r="B233" s="17">
        <v>4</v>
      </c>
      <c r="C233" s="6" t="s">
        <v>36</v>
      </c>
      <c r="D233" s="6" t="s">
        <v>11</v>
      </c>
      <c r="E233" s="49">
        <v>-33.277999999999999</v>
      </c>
      <c r="F233" s="49">
        <v>-12.6807</v>
      </c>
      <c r="G233" s="29">
        <v>300</v>
      </c>
      <c r="H233" s="29">
        <v>500</v>
      </c>
      <c r="I233" s="28">
        <f t="shared" si="48"/>
        <v>460</v>
      </c>
      <c r="J233" s="28">
        <f t="shared" si="53"/>
        <v>78.336854590607501</v>
      </c>
      <c r="K233" s="61">
        <v>18</v>
      </c>
      <c r="L233" s="61">
        <v>2</v>
      </c>
      <c r="M233" s="61">
        <v>0</v>
      </c>
      <c r="N233" s="61">
        <v>2</v>
      </c>
      <c r="O233" s="28">
        <f t="shared" si="54"/>
        <v>508.93800988154646</v>
      </c>
      <c r="P233" s="34" t="str">
        <f t="shared" si="49"/>
        <v>OK</v>
      </c>
      <c r="Q233" s="17">
        <f t="shared" si="50"/>
        <v>82.383831411565467</v>
      </c>
      <c r="R233" s="19">
        <f t="shared" si="55"/>
        <v>-0.15392219301686688</v>
      </c>
      <c r="S233" s="6" t="s">
        <v>49</v>
      </c>
      <c r="T233" s="17">
        <v>4</v>
      </c>
      <c r="U233" s="6" t="s">
        <v>36</v>
      </c>
      <c r="V233" s="6" t="s">
        <v>12</v>
      </c>
      <c r="W233" s="49">
        <v>-74.070999999999998</v>
      </c>
      <c r="X233" s="49">
        <v>-63.767400000000002</v>
      </c>
      <c r="Y233" s="29">
        <v>300</v>
      </c>
      <c r="Z233" s="29">
        <v>500</v>
      </c>
      <c r="AA233" s="28">
        <f t="shared" si="51"/>
        <v>460</v>
      </c>
      <c r="AB233" s="28">
        <f t="shared" si="56"/>
        <v>393.93231772860366</v>
      </c>
      <c r="AC233" s="61">
        <v>18</v>
      </c>
      <c r="AD233" s="61">
        <v>2</v>
      </c>
      <c r="AE233" s="61">
        <v>12</v>
      </c>
      <c r="AF233" s="61">
        <v>0</v>
      </c>
      <c r="AG233" s="28">
        <f t="shared" si="57"/>
        <v>508.93800988154646</v>
      </c>
      <c r="AH233" s="34" t="str">
        <f t="shared" si="52"/>
        <v>OK</v>
      </c>
      <c r="AI233" s="28">
        <f t="shared" si="58"/>
        <v>-82.383831411565467</v>
      </c>
      <c r="AJ233" s="32">
        <f t="shared" si="59"/>
        <v>0.77402809395252292</v>
      </c>
    </row>
    <row r="234" spans="1:36" x14ac:dyDescent="0.25">
      <c r="A234" s="6" t="s">
        <v>49</v>
      </c>
      <c r="B234" s="17">
        <v>4.5</v>
      </c>
      <c r="C234" s="6" t="s">
        <v>36</v>
      </c>
      <c r="D234" s="6" t="s">
        <v>11</v>
      </c>
      <c r="E234" s="49">
        <v>-25.692</v>
      </c>
      <c r="F234" s="49">
        <v>2.0619000000000001</v>
      </c>
      <c r="G234" s="29">
        <v>300</v>
      </c>
      <c r="H234" s="29">
        <v>500</v>
      </c>
      <c r="I234" s="28">
        <f t="shared" si="48"/>
        <v>460</v>
      </c>
      <c r="J234" s="28">
        <f t="shared" si="53"/>
        <v>12.737684866006893</v>
      </c>
      <c r="K234" s="61">
        <v>18</v>
      </c>
      <c r="L234" s="61">
        <v>2</v>
      </c>
      <c r="M234" s="61">
        <v>0</v>
      </c>
      <c r="N234" s="61">
        <v>2</v>
      </c>
      <c r="O234" s="28">
        <f t="shared" si="54"/>
        <v>508.93800988154646</v>
      </c>
      <c r="P234" s="34" t="str">
        <f t="shared" si="49"/>
        <v>OK</v>
      </c>
      <c r="Q234" s="17">
        <f t="shared" si="50"/>
        <v>82.383831411565467</v>
      </c>
      <c r="R234" s="19">
        <f t="shared" si="55"/>
        <v>2.5027969258911403E-2</v>
      </c>
      <c r="S234" s="6" t="s">
        <v>49</v>
      </c>
      <c r="T234" s="17">
        <v>4.5</v>
      </c>
      <c r="U234" s="6" t="s">
        <v>36</v>
      </c>
      <c r="V234" s="6" t="s">
        <v>12</v>
      </c>
      <c r="W234" s="49">
        <v>-60.603000000000002</v>
      </c>
      <c r="X234" s="49">
        <v>-36.007199999999997</v>
      </c>
      <c r="Y234" s="29">
        <v>300</v>
      </c>
      <c r="Z234" s="29">
        <v>500</v>
      </c>
      <c r="AA234" s="28">
        <f t="shared" si="51"/>
        <v>460</v>
      </c>
      <c r="AB234" s="28">
        <f t="shared" si="56"/>
        <v>222.43967530301342</v>
      </c>
      <c r="AC234" s="61">
        <v>18</v>
      </c>
      <c r="AD234" s="61">
        <v>2</v>
      </c>
      <c r="AE234" s="61">
        <v>12</v>
      </c>
      <c r="AF234" s="61">
        <v>0</v>
      </c>
      <c r="AG234" s="28">
        <f t="shared" si="57"/>
        <v>508.93800988154646</v>
      </c>
      <c r="AH234" s="34" t="str">
        <f t="shared" si="52"/>
        <v>OK</v>
      </c>
      <c r="AI234" s="28">
        <f t="shared" si="58"/>
        <v>-82.383831411565467</v>
      </c>
      <c r="AJ234" s="32">
        <f t="shared" si="59"/>
        <v>0.43706634400284911</v>
      </c>
    </row>
    <row r="235" spans="1:36" x14ac:dyDescent="0.25">
      <c r="A235" s="6" t="s">
        <v>49</v>
      </c>
      <c r="B235" s="17">
        <v>5</v>
      </c>
      <c r="C235" s="6" t="s">
        <v>36</v>
      </c>
      <c r="D235" s="6" t="s">
        <v>11</v>
      </c>
      <c r="E235" s="49">
        <v>-18.105</v>
      </c>
      <c r="F235" s="49">
        <v>13.011200000000001</v>
      </c>
      <c r="G235" s="29">
        <v>300</v>
      </c>
      <c r="H235" s="29">
        <v>500</v>
      </c>
      <c r="I235" s="28">
        <f t="shared" si="48"/>
        <v>460</v>
      </c>
      <c r="J235" s="28">
        <f t="shared" si="53"/>
        <v>80.378566045195626</v>
      </c>
      <c r="K235" s="61">
        <v>18</v>
      </c>
      <c r="L235" s="61">
        <v>2</v>
      </c>
      <c r="M235" s="61">
        <v>0</v>
      </c>
      <c r="N235" s="61">
        <v>2</v>
      </c>
      <c r="O235" s="28">
        <f t="shared" si="54"/>
        <v>508.93800988154646</v>
      </c>
      <c r="P235" s="34" t="str">
        <f t="shared" si="49"/>
        <v>OK</v>
      </c>
      <c r="Q235" s="17">
        <f t="shared" si="50"/>
        <v>82.383831411565467</v>
      </c>
      <c r="R235" s="19">
        <f t="shared" si="55"/>
        <v>0.15793390252754647</v>
      </c>
      <c r="S235" s="6" t="s">
        <v>49</v>
      </c>
      <c r="T235" s="17">
        <v>5</v>
      </c>
      <c r="U235" s="6" t="s">
        <v>36</v>
      </c>
      <c r="V235" s="6" t="s">
        <v>12</v>
      </c>
      <c r="W235" s="49">
        <v>-47.136000000000003</v>
      </c>
      <c r="X235" s="49">
        <v>-16.610299999999999</v>
      </c>
      <c r="Y235" s="29">
        <v>300</v>
      </c>
      <c r="Z235" s="29">
        <v>500</v>
      </c>
      <c r="AA235" s="28">
        <f t="shared" si="51"/>
        <v>460</v>
      </c>
      <c r="AB235" s="28">
        <f t="shared" si="56"/>
        <v>102.61252579166509</v>
      </c>
      <c r="AC235" s="61">
        <v>18</v>
      </c>
      <c r="AD235" s="61">
        <v>2</v>
      </c>
      <c r="AE235" s="61">
        <v>12</v>
      </c>
      <c r="AF235" s="61">
        <v>0</v>
      </c>
      <c r="AG235" s="28">
        <f t="shared" si="57"/>
        <v>508.93800988154646</v>
      </c>
      <c r="AH235" s="34" t="str">
        <f t="shared" si="52"/>
        <v>OK</v>
      </c>
      <c r="AI235" s="28">
        <f t="shared" si="58"/>
        <v>-82.383831411565467</v>
      </c>
      <c r="AJ235" s="32">
        <f t="shared" si="59"/>
        <v>0.20162087287516176</v>
      </c>
    </row>
    <row r="236" spans="1:36" x14ac:dyDescent="0.25">
      <c r="A236" s="6" t="s">
        <v>49</v>
      </c>
      <c r="B236" s="17">
        <v>5.5</v>
      </c>
      <c r="C236" s="6" t="s">
        <v>36</v>
      </c>
      <c r="D236" s="6" t="s">
        <v>11</v>
      </c>
      <c r="E236" s="49">
        <v>-10.519</v>
      </c>
      <c r="F236" s="49">
        <v>20.167200000000001</v>
      </c>
      <c r="G236" s="29">
        <v>300</v>
      </c>
      <c r="H236" s="29">
        <v>500</v>
      </c>
      <c r="I236" s="28">
        <f t="shared" si="48"/>
        <v>460</v>
      </c>
      <c r="J236" s="28">
        <f t="shared" si="53"/>
        <v>124.58578894695873</v>
      </c>
      <c r="K236" s="61">
        <v>18</v>
      </c>
      <c r="L236" s="61">
        <v>2</v>
      </c>
      <c r="M236" s="61">
        <v>0</v>
      </c>
      <c r="N236" s="61">
        <v>2</v>
      </c>
      <c r="O236" s="28">
        <f t="shared" si="54"/>
        <v>508.93800988154646</v>
      </c>
      <c r="P236" s="34" t="str">
        <f t="shared" si="49"/>
        <v>OK</v>
      </c>
      <c r="Q236" s="17">
        <f t="shared" si="50"/>
        <v>82.383831411565467</v>
      </c>
      <c r="R236" s="19">
        <f t="shared" si="55"/>
        <v>0.24479560678903828</v>
      </c>
      <c r="S236" s="6" t="s">
        <v>49</v>
      </c>
      <c r="T236" s="17">
        <v>5.5</v>
      </c>
      <c r="U236" s="6" t="s">
        <v>36</v>
      </c>
      <c r="V236" s="6" t="s">
        <v>12</v>
      </c>
      <c r="W236" s="49">
        <v>-33.668999999999997</v>
      </c>
      <c r="X236" s="49">
        <v>-1.0065999999999999</v>
      </c>
      <c r="Y236" s="29">
        <v>300</v>
      </c>
      <c r="Z236" s="29">
        <v>500</v>
      </c>
      <c r="AA236" s="28">
        <f t="shared" si="51"/>
        <v>460</v>
      </c>
      <c r="AB236" s="28">
        <f t="shared" si="56"/>
        <v>6.218416793308374</v>
      </c>
      <c r="AC236" s="61">
        <v>18</v>
      </c>
      <c r="AD236" s="61">
        <v>2</v>
      </c>
      <c r="AE236" s="61">
        <v>12</v>
      </c>
      <c r="AF236" s="61">
        <v>0</v>
      </c>
      <c r="AG236" s="28">
        <f t="shared" si="57"/>
        <v>508.93800988154646</v>
      </c>
      <c r="AH236" s="34" t="str">
        <f t="shared" si="52"/>
        <v>OK</v>
      </c>
      <c r="AI236" s="28">
        <f t="shared" si="58"/>
        <v>-82.383831411565467</v>
      </c>
      <c r="AJ236" s="32">
        <f t="shared" si="59"/>
        <v>1.2218416924205933E-2</v>
      </c>
    </row>
    <row r="237" spans="1:36" x14ac:dyDescent="0.25">
      <c r="A237" s="6" t="s">
        <v>49</v>
      </c>
      <c r="B237" s="17">
        <v>6</v>
      </c>
      <c r="C237" s="6" t="s">
        <v>36</v>
      </c>
      <c r="D237" s="6" t="s">
        <v>11</v>
      </c>
      <c r="E237" s="49">
        <v>-2.9319999999999999</v>
      </c>
      <c r="F237" s="49">
        <v>30.5046</v>
      </c>
      <c r="G237" s="29">
        <v>300</v>
      </c>
      <c r="H237" s="29">
        <v>500</v>
      </c>
      <c r="I237" s="28">
        <f t="shared" si="48"/>
        <v>460</v>
      </c>
      <c r="J237" s="28">
        <f t="shared" si="53"/>
        <v>188.44656955409761</v>
      </c>
      <c r="K237" s="61">
        <v>18</v>
      </c>
      <c r="L237" s="61">
        <v>2</v>
      </c>
      <c r="M237" s="61">
        <v>0</v>
      </c>
      <c r="N237" s="61">
        <v>2</v>
      </c>
      <c r="O237" s="28">
        <f t="shared" si="54"/>
        <v>508.93800988154646</v>
      </c>
      <c r="P237" s="34" t="str">
        <f t="shared" si="49"/>
        <v>OK</v>
      </c>
      <c r="Q237" s="17">
        <f t="shared" si="50"/>
        <v>82.383831411565467</v>
      </c>
      <c r="R237" s="19">
        <f t="shared" si="55"/>
        <v>0.37027411176846053</v>
      </c>
      <c r="S237" s="6" t="s">
        <v>49</v>
      </c>
      <c r="T237" s="17">
        <v>6</v>
      </c>
      <c r="U237" s="6" t="s">
        <v>36</v>
      </c>
      <c r="V237" s="6" t="s">
        <v>12</v>
      </c>
      <c r="W237" s="49">
        <v>-20.201000000000001</v>
      </c>
      <c r="X237" s="49">
        <v>10.803699999999999</v>
      </c>
      <c r="Y237" s="29">
        <v>300</v>
      </c>
      <c r="Z237" s="29">
        <v>500</v>
      </c>
      <c r="AA237" s="28">
        <f t="shared" si="51"/>
        <v>460</v>
      </c>
      <c r="AB237" s="28">
        <f t="shared" si="56"/>
        <v>66.741416163188646</v>
      </c>
      <c r="AC237" s="61">
        <v>18</v>
      </c>
      <c r="AD237" s="61">
        <v>2</v>
      </c>
      <c r="AE237" s="61">
        <v>12</v>
      </c>
      <c r="AF237" s="61">
        <v>0</v>
      </c>
      <c r="AG237" s="28">
        <f t="shared" si="57"/>
        <v>508.93800988154646</v>
      </c>
      <c r="AH237" s="34" t="str">
        <f t="shared" si="52"/>
        <v>OK</v>
      </c>
      <c r="AI237" s="28">
        <f t="shared" si="58"/>
        <v>-82.383831411565467</v>
      </c>
      <c r="AJ237" s="32">
        <f t="shared" si="59"/>
        <v>-0.13113859618919496</v>
      </c>
    </row>
    <row r="238" spans="1:36" x14ac:dyDescent="0.25">
      <c r="A238" s="6" t="s">
        <v>49</v>
      </c>
      <c r="B238" s="17">
        <v>6.5</v>
      </c>
      <c r="C238" s="6" t="s">
        <v>36</v>
      </c>
      <c r="D238" s="6" t="s">
        <v>11</v>
      </c>
      <c r="E238" s="49">
        <v>4.6539999999999999</v>
      </c>
      <c r="F238" s="49">
        <v>37.238300000000002</v>
      </c>
      <c r="G238" s="29">
        <v>300</v>
      </c>
      <c r="H238" s="29">
        <v>500</v>
      </c>
      <c r="I238" s="28">
        <f t="shared" si="48"/>
        <v>460</v>
      </c>
      <c r="J238" s="28">
        <f t="shared" si="53"/>
        <v>230.04497325079996</v>
      </c>
      <c r="K238" s="61">
        <v>18</v>
      </c>
      <c r="L238" s="61">
        <v>2</v>
      </c>
      <c r="M238" s="61">
        <v>0</v>
      </c>
      <c r="N238" s="61">
        <v>2</v>
      </c>
      <c r="O238" s="28">
        <f t="shared" si="54"/>
        <v>508.93800988154646</v>
      </c>
      <c r="P238" s="34" t="str">
        <f t="shared" si="49"/>
        <v>OK</v>
      </c>
      <c r="Q238" s="17">
        <f t="shared" si="50"/>
        <v>82.383831411565467</v>
      </c>
      <c r="R238" s="19">
        <f t="shared" si="55"/>
        <v>0.45200981020132913</v>
      </c>
      <c r="S238" s="6" t="s">
        <v>49</v>
      </c>
      <c r="T238" s="17">
        <v>6.5</v>
      </c>
      <c r="U238" s="6" t="s">
        <v>36</v>
      </c>
      <c r="V238" s="6" t="s">
        <v>12</v>
      </c>
      <c r="W238" s="49">
        <v>-12.241</v>
      </c>
      <c r="X238" s="49">
        <v>18.820799999999998</v>
      </c>
      <c r="Y238" s="29">
        <v>300</v>
      </c>
      <c r="Z238" s="29">
        <v>500</v>
      </c>
      <c r="AA238" s="28">
        <f t="shared" si="51"/>
        <v>460</v>
      </c>
      <c r="AB238" s="28">
        <f t="shared" si="56"/>
        <v>116.26820860669407</v>
      </c>
      <c r="AC238" s="61">
        <v>18</v>
      </c>
      <c r="AD238" s="61">
        <v>2</v>
      </c>
      <c r="AE238" s="61">
        <v>12</v>
      </c>
      <c r="AF238" s="61">
        <v>0</v>
      </c>
      <c r="AG238" s="28">
        <f t="shared" si="57"/>
        <v>508.93800988154646</v>
      </c>
      <c r="AH238" s="34" t="str">
        <f t="shared" si="52"/>
        <v>OK</v>
      </c>
      <c r="AI238" s="28">
        <f t="shared" si="58"/>
        <v>-82.383831411565467</v>
      </c>
      <c r="AJ238" s="32">
        <f t="shared" si="59"/>
        <v>-0.22845259412586433</v>
      </c>
    </row>
    <row r="239" spans="1:36" x14ac:dyDescent="0.25">
      <c r="A239" s="6" t="s">
        <v>49</v>
      </c>
      <c r="B239" s="17">
        <v>7</v>
      </c>
      <c r="C239" s="6" t="s">
        <v>36</v>
      </c>
      <c r="D239" s="6" t="s">
        <v>11</v>
      </c>
      <c r="E239" s="49">
        <v>12.241</v>
      </c>
      <c r="F239" s="49">
        <v>37.238300000000002</v>
      </c>
      <c r="G239" s="29">
        <v>300</v>
      </c>
      <c r="H239" s="29">
        <v>500</v>
      </c>
      <c r="I239" s="28">
        <f t="shared" si="48"/>
        <v>460</v>
      </c>
      <c r="J239" s="28">
        <f t="shared" si="53"/>
        <v>230.04497325079996</v>
      </c>
      <c r="K239" s="61">
        <v>18</v>
      </c>
      <c r="L239" s="61">
        <v>2</v>
      </c>
      <c r="M239" s="61">
        <v>0</v>
      </c>
      <c r="N239" s="61">
        <v>2</v>
      </c>
      <c r="O239" s="28">
        <f t="shared" si="54"/>
        <v>508.93800988154646</v>
      </c>
      <c r="P239" s="34" t="str">
        <f t="shared" si="49"/>
        <v>OK</v>
      </c>
      <c r="Q239" s="17">
        <f t="shared" si="50"/>
        <v>82.383831411565467</v>
      </c>
      <c r="R239" s="19">
        <f t="shared" si="55"/>
        <v>0.45200981020132913</v>
      </c>
      <c r="S239" s="6" t="s">
        <v>49</v>
      </c>
      <c r="T239" s="17">
        <v>7</v>
      </c>
      <c r="U239" s="6" t="s">
        <v>36</v>
      </c>
      <c r="V239" s="6" t="s">
        <v>12</v>
      </c>
      <c r="W239" s="49">
        <v>-4.6539999999999999</v>
      </c>
      <c r="X239" s="49">
        <v>18.820799999999998</v>
      </c>
      <c r="Y239" s="29">
        <v>300</v>
      </c>
      <c r="Z239" s="29">
        <v>500</v>
      </c>
      <c r="AA239" s="28">
        <f t="shared" si="51"/>
        <v>460</v>
      </c>
      <c r="AB239" s="28">
        <f t="shared" si="56"/>
        <v>116.26820860669407</v>
      </c>
      <c r="AC239" s="61">
        <v>18</v>
      </c>
      <c r="AD239" s="61">
        <v>2</v>
      </c>
      <c r="AE239" s="61">
        <v>12</v>
      </c>
      <c r="AF239" s="61">
        <v>0</v>
      </c>
      <c r="AG239" s="28">
        <f t="shared" si="57"/>
        <v>508.93800988154646</v>
      </c>
      <c r="AH239" s="34" t="str">
        <f t="shared" si="52"/>
        <v>OK</v>
      </c>
      <c r="AI239" s="28">
        <f t="shared" si="58"/>
        <v>-82.383831411565467</v>
      </c>
      <c r="AJ239" s="32">
        <f t="shared" si="59"/>
        <v>-0.22845259412586433</v>
      </c>
    </row>
    <row r="240" spans="1:36" x14ac:dyDescent="0.25">
      <c r="A240" s="6" t="s">
        <v>49</v>
      </c>
      <c r="B240" s="17">
        <v>7.5</v>
      </c>
      <c r="C240" s="6" t="s">
        <v>36</v>
      </c>
      <c r="D240" s="6" t="s">
        <v>11</v>
      </c>
      <c r="E240" s="49">
        <v>20.201000000000001</v>
      </c>
      <c r="F240" s="49">
        <v>30.5046</v>
      </c>
      <c r="G240" s="29">
        <v>300</v>
      </c>
      <c r="H240" s="29">
        <v>500</v>
      </c>
      <c r="I240" s="28">
        <f t="shared" si="48"/>
        <v>460</v>
      </c>
      <c r="J240" s="28">
        <f t="shared" si="53"/>
        <v>188.44656955409761</v>
      </c>
      <c r="K240" s="61">
        <v>18</v>
      </c>
      <c r="L240" s="61">
        <v>2</v>
      </c>
      <c r="M240" s="61">
        <v>0</v>
      </c>
      <c r="N240" s="61">
        <v>2</v>
      </c>
      <c r="O240" s="28">
        <f t="shared" si="54"/>
        <v>508.93800988154646</v>
      </c>
      <c r="P240" s="34" t="str">
        <f t="shared" si="49"/>
        <v>OK</v>
      </c>
      <c r="Q240" s="17">
        <f t="shared" si="50"/>
        <v>82.383831411565467</v>
      </c>
      <c r="R240" s="19">
        <f t="shared" si="55"/>
        <v>0.37027411176846053</v>
      </c>
      <c r="S240" s="6" t="s">
        <v>49</v>
      </c>
      <c r="T240" s="17">
        <v>7.5</v>
      </c>
      <c r="U240" s="6" t="s">
        <v>36</v>
      </c>
      <c r="V240" s="6" t="s">
        <v>12</v>
      </c>
      <c r="W240" s="49">
        <v>2.9319999999999999</v>
      </c>
      <c r="X240" s="49">
        <v>10.803699999999999</v>
      </c>
      <c r="Y240" s="29">
        <v>300</v>
      </c>
      <c r="Z240" s="29">
        <v>500</v>
      </c>
      <c r="AA240" s="28">
        <f t="shared" si="51"/>
        <v>460</v>
      </c>
      <c r="AB240" s="28">
        <f t="shared" si="56"/>
        <v>66.741416163188646</v>
      </c>
      <c r="AC240" s="61">
        <v>18</v>
      </c>
      <c r="AD240" s="61">
        <v>2</v>
      </c>
      <c r="AE240" s="61">
        <v>12</v>
      </c>
      <c r="AF240" s="61">
        <v>0</v>
      </c>
      <c r="AG240" s="28">
        <f t="shared" si="57"/>
        <v>508.93800988154646</v>
      </c>
      <c r="AH240" s="34" t="str">
        <f t="shared" si="52"/>
        <v>OK</v>
      </c>
      <c r="AI240" s="28">
        <f t="shared" si="58"/>
        <v>-82.383831411565467</v>
      </c>
      <c r="AJ240" s="32">
        <f t="shared" si="59"/>
        <v>-0.13113859618919496</v>
      </c>
    </row>
    <row r="241" spans="1:36" x14ac:dyDescent="0.25">
      <c r="A241" s="6" t="s">
        <v>49</v>
      </c>
      <c r="B241" s="17">
        <v>8</v>
      </c>
      <c r="C241" s="6" t="s">
        <v>36</v>
      </c>
      <c r="D241" s="6" t="s">
        <v>11</v>
      </c>
      <c r="E241" s="49">
        <v>33.668999999999997</v>
      </c>
      <c r="F241" s="49">
        <v>20.167200000000001</v>
      </c>
      <c r="G241" s="29">
        <v>300</v>
      </c>
      <c r="H241" s="29">
        <v>500</v>
      </c>
      <c r="I241" s="28">
        <f t="shared" si="48"/>
        <v>460</v>
      </c>
      <c r="J241" s="28">
        <f t="shared" si="53"/>
        <v>124.58578894695873</v>
      </c>
      <c r="K241" s="61">
        <v>18</v>
      </c>
      <c r="L241" s="61">
        <v>2</v>
      </c>
      <c r="M241" s="61">
        <v>0</v>
      </c>
      <c r="N241" s="61">
        <v>2</v>
      </c>
      <c r="O241" s="28">
        <f t="shared" si="54"/>
        <v>508.93800988154646</v>
      </c>
      <c r="P241" s="34" t="str">
        <f t="shared" si="49"/>
        <v>OK</v>
      </c>
      <c r="Q241" s="17">
        <f t="shared" si="50"/>
        <v>82.383831411565467</v>
      </c>
      <c r="R241" s="19">
        <f t="shared" si="55"/>
        <v>0.24479560678903828</v>
      </c>
      <c r="S241" s="6" t="s">
        <v>49</v>
      </c>
      <c r="T241" s="17">
        <v>8</v>
      </c>
      <c r="U241" s="6" t="s">
        <v>36</v>
      </c>
      <c r="V241" s="6" t="s">
        <v>12</v>
      </c>
      <c r="W241" s="49">
        <v>10.519</v>
      </c>
      <c r="X241" s="49">
        <v>-1.0065999999999999</v>
      </c>
      <c r="Y241" s="29">
        <v>300</v>
      </c>
      <c r="Z241" s="29">
        <v>500</v>
      </c>
      <c r="AA241" s="28">
        <f t="shared" si="51"/>
        <v>460</v>
      </c>
      <c r="AB241" s="28">
        <f t="shared" si="56"/>
        <v>6.218416793308374</v>
      </c>
      <c r="AC241" s="61">
        <v>18</v>
      </c>
      <c r="AD241" s="61">
        <v>2</v>
      </c>
      <c r="AE241" s="61">
        <v>12</v>
      </c>
      <c r="AF241" s="61">
        <v>0</v>
      </c>
      <c r="AG241" s="28">
        <f t="shared" si="57"/>
        <v>508.93800988154646</v>
      </c>
      <c r="AH241" s="34" t="str">
        <f t="shared" si="52"/>
        <v>OK</v>
      </c>
      <c r="AI241" s="28">
        <f t="shared" si="58"/>
        <v>-82.383831411565467</v>
      </c>
      <c r="AJ241" s="32">
        <f t="shared" si="59"/>
        <v>1.2218416924205933E-2</v>
      </c>
    </row>
    <row r="242" spans="1:36" x14ac:dyDescent="0.25">
      <c r="A242" s="6" t="s">
        <v>49</v>
      </c>
      <c r="B242" s="17">
        <v>8.5</v>
      </c>
      <c r="C242" s="6" t="s">
        <v>36</v>
      </c>
      <c r="D242" s="6" t="s">
        <v>11</v>
      </c>
      <c r="E242" s="49">
        <v>47.136000000000003</v>
      </c>
      <c r="F242" s="49">
        <v>13.011200000000001</v>
      </c>
      <c r="G242" s="29">
        <v>300</v>
      </c>
      <c r="H242" s="29">
        <v>500</v>
      </c>
      <c r="I242" s="28">
        <f t="shared" si="48"/>
        <v>460</v>
      </c>
      <c r="J242" s="28">
        <f t="shared" si="53"/>
        <v>80.378566045195626</v>
      </c>
      <c r="K242" s="61">
        <v>18</v>
      </c>
      <c r="L242" s="61">
        <v>2</v>
      </c>
      <c r="M242" s="61">
        <v>0</v>
      </c>
      <c r="N242" s="61">
        <v>2</v>
      </c>
      <c r="O242" s="28">
        <f t="shared" si="54"/>
        <v>508.93800988154646</v>
      </c>
      <c r="P242" s="34" t="str">
        <f t="shared" si="49"/>
        <v>OK</v>
      </c>
      <c r="Q242" s="17">
        <f t="shared" si="50"/>
        <v>82.383831411565467</v>
      </c>
      <c r="R242" s="19">
        <f t="shared" si="55"/>
        <v>0.15793390252754647</v>
      </c>
      <c r="S242" s="6" t="s">
        <v>49</v>
      </c>
      <c r="T242" s="17">
        <v>8.5</v>
      </c>
      <c r="U242" s="6" t="s">
        <v>36</v>
      </c>
      <c r="V242" s="6" t="s">
        <v>12</v>
      </c>
      <c r="W242" s="49">
        <v>18.105</v>
      </c>
      <c r="X242" s="49">
        <v>-16.610299999999999</v>
      </c>
      <c r="Y242" s="29">
        <v>300</v>
      </c>
      <c r="Z242" s="29">
        <v>500</v>
      </c>
      <c r="AA242" s="28">
        <f t="shared" si="51"/>
        <v>460</v>
      </c>
      <c r="AB242" s="28">
        <f t="shared" si="56"/>
        <v>102.61252579166509</v>
      </c>
      <c r="AC242" s="61">
        <v>18</v>
      </c>
      <c r="AD242" s="61">
        <v>2</v>
      </c>
      <c r="AE242" s="61">
        <v>12</v>
      </c>
      <c r="AF242" s="61">
        <v>0</v>
      </c>
      <c r="AG242" s="28">
        <f t="shared" si="57"/>
        <v>508.93800988154646</v>
      </c>
      <c r="AH242" s="34" t="str">
        <f t="shared" si="52"/>
        <v>OK</v>
      </c>
      <c r="AI242" s="28">
        <f t="shared" si="58"/>
        <v>-82.383831411565467</v>
      </c>
      <c r="AJ242" s="32">
        <f t="shared" si="59"/>
        <v>0.20162087287516176</v>
      </c>
    </row>
    <row r="243" spans="1:36" x14ac:dyDescent="0.25">
      <c r="A243" s="6" t="s">
        <v>49</v>
      </c>
      <c r="B243" s="17">
        <v>9</v>
      </c>
      <c r="C243" s="6" t="s">
        <v>36</v>
      </c>
      <c r="D243" s="6" t="s">
        <v>11</v>
      </c>
      <c r="E243" s="49">
        <v>60.603000000000002</v>
      </c>
      <c r="F243" s="49">
        <v>2.0619000000000001</v>
      </c>
      <c r="G243" s="29">
        <v>300</v>
      </c>
      <c r="H243" s="29">
        <v>500</v>
      </c>
      <c r="I243" s="28">
        <f t="shared" si="48"/>
        <v>460</v>
      </c>
      <c r="J243" s="28">
        <f t="shared" si="53"/>
        <v>12.737684866006893</v>
      </c>
      <c r="K243" s="61">
        <v>18</v>
      </c>
      <c r="L243" s="61">
        <v>2</v>
      </c>
      <c r="M243" s="61">
        <v>0</v>
      </c>
      <c r="N243" s="61">
        <v>2</v>
      </c>
      <c r="O243" s="28">
        <f t="shared" si="54"/>
        <v>508.93800988154646</v>
      </c>
      <c r="P243" s="34" t="str">
        <f t="shared" si="49"/>
        <v>OK</v>
      </c>
      <c r="Q243" s="17">
        <f t="shared" si="50"/>
        <v>82.383831411565467</v>
      </c>
      <c r="R243" s="19">
        <f t="shared" si="55"/>
        <v>2.5027969258911403E-2</v>
      </c>
      <c r="S243" s="6" t="s">
        <v>49</v>
      </c>
      <c r="T243" s="17">
        <v>9</v>
      </c>
      <c r="U243" s="6" t="s">
        <v>36</v>
      </c>
      <c r="V243" s="6" t="s">
        <v>12</v>
      </c>
      <c r="W243" s="49">
        <v>25.692</v>
      </c>
      <c r="X243" s="49">
        <v>-36.007199999999997</v>
      </c>
      <c r="Y243" s="29">
        <v>300</v>
      </c>
      <c r="Z243" s="29">
        <v>500</v>
      </c>
      <c r="AA243" s="28">
        <f t="shared" si="51"/>
        <v>460</v>
      </c>
      <c r="AB243" s="28">
        <f t="shared" si="56"/>
        <v>222.43967530301342</v>
      </c>
      <c r="AC243" s="61">
        <v>18</v>
      </c>
      <c r="AD243" s="61">
        <v>2</v>
      </c>
      <c r="AE243" s="61">
        <v>12</v>
      </c>
      <c r="AF243" s="61">
        <v>0</v>
      </c>
      <c r="AG243" s="28">
        <f t="shared" si="57"/>
        <v>508.93800988154646</v>
      </c>
      <c r="AH243" s="34" t="str">
        <f t="shared" si="52"/>
        <v>OK</v>
      </c>
      <c r="AI243" s="28">
        <f t="shared" si="58"/>
        <v>-82.383831411565467</v>
      </c>
      <c r="AJ243" s="32">
        <f t="shared" si="59"/>
        <v>0.43706634400284911</v>
      </c>
    </row>
    <row r="244" spans="1:36" x14ac:dyDescent="0.25">
      <c r="A244" s="6" t="s">
        <v>49</v>
      </c>
      <c r="B244" s="17">
        <v>9.5</v>
      </c>
      <c r="C244" s="6" t="s">
        <v>36</v>
      </c>
      <c r="D244" s="6" t="s">
        <v>11</v>
      </c>
      <c r="E244" s="49">
        <v>74.070999999999998</v>
      </c>
      <c r="F244" s="49">
        <v>-12.6807</v>
      </c>
      <c r="G244" s="29">
        <v>300</v>
      </c>
      <c r="H244" s="29">
        <v>500</v>
      </c>
      <c r="I244" s="28">
        <f t="shared" si="48"/>
        <v>460</v>
      </c>
      <c r="J244" s="28">
        <f t="shared" si="53"/>
        <v>78.336854590607501</v>
      </c>
      <c r="K244" s="61">
        <v>18</v>
      </c>
      <c r="L244" s="61">
        <v>2</v>
      </c>
      <c r="M244" s="61">
        <v>0</v>
      </c>
      <c r="N244" s="61">
        <v>2</v>
      </c>
      <c r="O244" s="28">
        <f t="shared" si="54"/>
        <v>508.93800988154646</v>
      </c>
      <c r="P244" s="34" t="str">
        <f t="shared" si="49"/>
        <v>OK</v>
      </c>
      <c r="Q244" s="17">
        <f t="shared" si="50"/>
        <v>82.383831411565467</v>
      </c>
      <c r="R244" s="19">
        <f t="shared" si="55"/>
        <v>-0.15392219301686688</v>
      </c>
      <c r="S244" s="6" t="s">
        <v>49</v>
      </c>
      <c r="T244" s="17">
        <v>9.5</v>
      </c>
      <c r="U244" s="6" t="s">
        <v>36</v>
      </c>
      <c r="V244" s="6" t="s">
        <v>12</v>
      </c>
      <c r="W244" s="49">
        <v>33.277999999999999</v>
      </c>
      <c r="X244" s="49">
        <v>-63.767400000000002</v>
      </c>
      <c r="Y244" s="29">
        <v>300</v>
      </c>
      <c r="Z244" s="29">
        <v>500</v>
      </c>
      <c r="AA244" s="28">
        <f t="shared" si="51"/>
        <v>460</v>
      </c>
      <c r="AB244" s="28">
        <f t="shared" si="56"/>
        <v>393.93231772860366</v>
      </c>
      <c r="AC244" s="61">
        <v>18</v>
      </c>
      <c r="AD244" s="61">
        <v>2</v>
      </c>
      <c r="AE244" s="61">
        <v>12</v>
      </c>
      <c r="AF244" s="61">
        <v>0</v>
      </c>
      <c r="AG244" s="28">
        <f t="shared" si="57"/>
        <v>508.93800988154646</v>
      </c>
      <c r="AH244" s="34" t="str">
        <f t="shared" si="52"/>
        <v>OK</v>
      </c>
      <c r="AI244" s="28">
        <f t="shared" si="58"/>
        <v>-82.383831411565467</v>
      </c>
      <c r="AJ244" s="32">
        <f t="shared" si="59"/>
        <v>0.77402809395252292</v>
      </c>
    </row>
    <row r="245" spans="1:36" x14ac:dyDescent="0.25">
      <c r="A245" s="6" t="s">
        <v>50</v>
      </c>
      <c r="B245" s="17">
        <v>9.5</v>
      </c>
      <c r="C245" s="6" t="s">
        <v>36</v>
      </c>
      <c r="D245" s="6" t="s">
        <v>11</v>
      </c>
      <c r="E245" s="49">
        <v>-20.609000000000002</v>
      </c>
      <c r="F245" s="49">
        <v>0.32019999999999998</v>
      </c>
      <c r="G245" s="29">
        <v>300</v>
      </c>
      <c r="H245" s="29">
        <v>500</v>
      </c>
      <c r="I245" s="28">
        <f t="shared" si="48"/>
        <v>460</v>
      </c>
      <c r="J245" s="28">
        <f t="shared" si="53"/>
        <v>1.978081717879338</v>
      </c>
      <c r="K245" s="61">
        <v>18</v>
      </c>
      <c r="L245" s="61">
        <v>2</v>
      </c>
      <c r="M245" s="61">
        <v>0</v>
      </c>
      <c r="N245" s="61">
        <v>2</v>
      </c>
      <c r="O245" s="28">
        <f t="shared" si="54"/>
        <v>508.93800988154646</v>
      </c>
      <c r="P245" s="34" t="str">
        <f t="shared" si="49"/>
        <v>OK</v>
      </c>
      <c r="Q245" s="17">
        <f t="shared" si="50"/>
        <v>82.383831411565467</v>
      </c>
      <c r="R245" s="19">
        <f t="shared" si="55"/>
        <v>3.886684978274131E-3</v>
      </c>
      <c r="S245" s="6" t="s">
        <v>50</v>
      </c>
      <c r="T245" s="17">
        <v>9.5</v>
      </c>
      <c r="U245" s="6" t="s">
        <v>36</v>
      </c>
      <c r="V245" s="6" t="s">
        <v>12</v>
      </c>
      <c r="W245" s="49">
        <v>-60.198999999999998</v>
      </c>
      <c r="X245" s="49">
        <v>-51.529200000000003</v>
      </c>
      <c r="Y245" s="29">
        <v>300</v>
      </c>
      <c r="Z245" s="29">
        <v>500</v>
      </c>
      <c r="AA245" s="28">
        <f t="shared" si="51"/>
        <v>460</v>
      </c>
      <c r="AB245" s="28">
        <f t="shared" si="56"/>
        <v>318.32907075873823</v>
      </c>
      <c r="AC245" s="61">
        <v>18</v>
      </c>
      <c r="AD245" s="61">
        <v>2</v>
      </c>
      <c r="AE245" s="61">
        <v>12</v>
      </c>
      <c r="AF245" s="61">
        <v>0</v>
      </c>
      <c r="AG245" s="28">
        <f t="shared" si="57"/>
        <v>508.93800988154646</v>
      </c>
      <c r="AH245" s="34" t="str">
        <f t="shared" si="52"/>
        <v>OK</v>
      </c>
      <c r="AI245" s="28">
        <f t="shared" si="58"/>
        <v>-82.383831411565467</v>
      </c>
      <c r="AJ245" s="32">
        <f t="shared" si="59"/>
        <v>0.62547710050744332</v>
      </c>
    </row>
    <row r="246" spans="1:36" x14ac:dyDescent="0.25">
      <c r="A246" s="6" t="s">
        <v>50</v>
      </c>
      <c r="B246" s="17">
        <v>10</v>
      </c>
      <c r="C246" s="6" t="s">
        <v>36</v>
      </c>
      <c r="D246" s="6" t="s">
        <v>11</v>
      </c>
      <c r="E246" s="49">
        <v>-13.022</v>
      </c>
      <c r="F246" s="49">
        <v>8.7279999999999998</v>
      </c>
      <c r="G246" s="29">
        <v>300</v>
      </c>
      <c r="H246" s="29">
        <v>500</v>
      </c>
      <c r="I246" s="28">
        <f t="shared" si="48"/>
        <v>460</v>
      </c>
      <c r="J246" s="28">
        <f t="shared" si="53"/>
        <v>53.91847980528064</v>
      </c>
      <c r="K246" s="61">
        <v>18</v>
      </c>
      <c r="L246" s="61">
        <v>2</v>
      </c>
      <c r="M246" s="61">
        <v>0</v>
      </c>
      <c r="N246" s="61">
        <v>2</v>
      </c>
      <c r="O246" s="28">
        <f t="shared" si="54"/>
        <v>508.93800988154646</v>
      </c>
      <c r="P246" s="34" t="str">
        <f t="shared" si="49"/>
        <v>OK</v>
      </c>
      <c r="Q246" s="17">
        <f t="shared" si="50"/>
        <v>82.383831411565467</v>
      </c>
      <c r="R246" s="19">
        <f t="shared" si="55"/>
        <v>0.10594311833346851</v>
      </c>
      <c r="S246" s="6" t="s">
        <v>50</v>
      </c>
      <c r="T246" s="17">
        <v>10</v>
      </c>
      <c r="U246" s="6" t="s">
        <v>36</v>
      </c>
      <c r="V246" s="6" t="s">
        <v>12</v>
      </c>
      <c r="W246" s="49">
        <v>-46.731000000000002</v>
      </c>
      <c r="X246" s="49">
        <v>-29.888000000000002</v>
      </c>
      <c r="Y246" s="29">
        <v>300</v>
      </c>
      <c r="Z246" s="29">
        <v>500</v>
      </c>
      <c r="AA246" s="28">
        <f t="shared" si="51"/>
        <v>460</v>
      </c>
      <c r="AB246" s="28">
        <f t="shared" si="56"/>
        <v>184.63743405364664</v>
      </c>
      <c r="AC246" s="61">
        <v>18</v>
      </c>
      <c r="AD246" s="61">
        <v>2</v>
      </c>
      <c r="AE246" s="61">
        <v>12</v>
      </c>
      <c r="AF246" s="61">
        <v>0</v>
      </c>
      <c r="AG246" s="28">
        <f t="shared" si="57"/>
        <v>508.93800988154646</v>
      </c>
      <c r="AH246" s="34" t="str">
        <f t="shared" si="52"/>
        <v>OK</v>
      </c>
      <c r="AI246" s="28">
        <f t="shared" si="58"/>
        <v>-82.383831411565467</v>
      </c>
      <c r="AJ246" s="32">
        <f t="shared" si="59"/>
        <v>0.36278963344989767</v>
      </c>
    </row>
    <row r="247" spans="1:36" x14ac:dyDescent="0.25">
      <c r="A247" s="6" t="s">
        <v>50</v>
      </c>
      <c r="B247" s="17">
        <v>10.5</v>
      </c>
      <c r="C247" s="6" t="s">
        <v>36</v>
      </c>
      <c r="D247" s="6" t="s">
        <v>11</v>
      </c>
      <c r="E247" s="49">
        <v>-5.4349999999999996</v>
      </c>
      <c r="F247" s="49">
        <v>13.342700000000001</v>
      </c>
      <c r="G247" s="29">
        <v>300</v>
      </c>
      <c r="H247" s="29">
        <v>500</v>
      </c>
      <c r="I247" s="28">
        <f t="shared" si="48"/>
        <v>460</v>
      </c>
      <c r="J247" s="28">
        <f t="shared" si="53"/>
        <v>82.426455144124432</v>
      </c>
      <c r="K247" s="61">
        <v>18</v>
      </c>
      <c r="L247" s="61">
        <v>2</v>
      </c>
      <c r="M247" s="61">
        <v>0</v>
      </c>
      <c r="N247" s="61">
        <v>2</v>
      </c>
      <c r="O247" s="28">
        <f t="shared" si="54"/>
        <v>508.93800988154646</v>
      </c>
      <c r="P247" s="34" t="str">
        <f t="shared" si="49"/>
        <v>OK</v>
      </c>
      <c r="Q247" s="17">
        <f t="shared" si="50"/>
        <v>82.383831411565467</v>
      </c>
      <c r="R247" s="19">
        <f t="shared" si="55"/>
        <v>0.16195775034234308</v>
      </c>
      <c r="S247" s="6" t="s">
        <v>50</v>
      </c>
      <c r="T247" s="17">
        <v>10.5</v>
      </c>
      <c r="U247" s="6" t="s">
        <v>36</v>
      </c>
      <c r="V247" s="6" t="s">
        <v>12</v>
      </c>
      <c r="W247" s="49">
        <v>-33.264000000000003</v>
      </c>
      <c r="X247" s="49">
        <v>-12.0403</v>
      </c>
      <c r="Y247" s="29">
        <v>300</v>
      </c>
      <c r="Z247" s="29">
        <v>500</v>
      </c>
      <c r="AA247" s="28">
        <f t="shared" si="51"/>
        <v>460</v>
      </c>
      <c r="AB247" s="28">
        <f t="shared" si="56"/>
        <v>74.380691154848819</v>
      </c>
      <c r="AC247" s="61">
        <v>18</v>
      </c>
      <c r="AD247" s="61">
        <v>2</v>
      </c>
      <c r="AE247" s="61">
        <v>12</v>
      </c>
      <c r="AF247" s="61">
        <v>0</v>
      </c>
      <c r="AG247" s="28">
        <f t="shared" si="57"/>
        <v>508.93800988154646</v>
      </c>
      <c r="AH247" s="34" t="str">
        <f t="shared" si="52"/>
        <v>OK</v>
      </c>
      <c r="AI247" s="28">
        <f t="shared" si="58"/>
        <v>-82.383831411565467</v>
      </c>
      <c r="AJ247" s="32">
        <f t="shared" si="59"/>
        <v>0.14614882306031862</v>
      </c>
    </row>
    <row r="248" spans="1:36" x14ac:dyDescent="0.25">
      <c r="A248" s="6" t="s">
        <v>50</v>
      </c>
      <c r="B248" s="17">
        <v>11</v>
      </c>
      <c r="C248" s="6" t="s">
        <v>36</v>
      </c>
      <c r="D248" s="6" t="s">
        <v>11</v>
      </c>
      <c r="E248" s="49">
        <v>2.1509999999999998</v>
      </c>
      <c r="F248" s="49">
        <v>14.339700000000001</v>
      </c>
      <c r="G248" s="29">
        <v>300</v>
      </c>
      <c r="H248" s="29">
        <v>500</v>
      </c>
      <c r="I248" s="28">
        <f t="shared" si="48"/>
        <v>460</v>
      </c>
      <c r="J248" s="28">
        <f t="shared" si="53"/>
        <v>88.585566551762469</v>
      </c>
      <c r="K248" s="61">
        <v>18</v>
      </c>
      <c r="L248" s="61">
        <v>2</v>
      </c>
      <c r="M248" s="61">
        <v>0</v>
      </c>
      <c r="N248" s="61">
        <v>2</v>
      </c>
      <c r="O248" s="28">
        <f t="shared" si="54"/>
        <v>508.93800988154646</v>
      </c>
      <c r="P248" s="34" t="str">
        <f t="shared" si="49"/>
        <v>OK</v>
      </c>
      <c r="Q248" s="17">
        <f t="shared" si="50"/>
        <v>82.383831411565467</v>
      </c>
      <c r="R248" s="19">
        <f t="shared" si="55"/>
        <v>0.17405963954702547</v>
      </c>
      <c r="S248" s="6" t="s">
        <v>50</v>
      </c>
      <c r="T248" s="17">
        <v>11</v>
      </c>
      <c r="U248" s="6" t="s">
        <v>36</v>
      </c>
      <c r="V248" s="6" t="s">
        <v>12</v>
      </c>
      <c r="W248" s="49">
        <v>-24.315999999999999</v>
      </c>
      <c r="X248" s="49">
        <v>2.0133000000000001</v>
      </c>
      <c r="Y248" s="29">
        <v>300</v>
      </c>
      <c r="Z248" s="29">
        <v>500</v>
      </c>
      <c r="AA248" s="28">
        <f t="shared" si="51"/>
        <v>460</v>
      </c>
      <c r="AB248" s="28">
        <f t="shared" si="56"/>
        <v>12.437451351050814</v>
      </c>
      <c r="AC248" s="61">
        <v>18</v>
      </c>
      <c r="AD248" s="61">
        <v>2</v>
      </c>
      <c r="AE248" s="61">
        <v>12</v>
      </c>
      <c r="AF248" s="61">
        <v>0</v>
      </c>
      <c r="AG248" s="28">
        <f t="shared" si="57"/>
        <v>508.93800988154646</v>
      </c>
      <c r="AH248" s="34" t="str">
        <f t="shared" si="52"/>
        <v>OK</v>
      </c>
      <c r="AI248" s="28">
        <f t="shared" si="58"/>
        <v>-82.383831411565467</v>
      </c>
      <c r="AJ248" s="32">
        <f t="shared" si="59"/>
        <v>-2.4438047678823575E-2</v>
      </c>
    </row>
    <row r="249" spans="1:36" x14ac:dyDescent="0.25">
      <c r="A249" s="6" t="s">
        <v>50</v>
      </c>
      <c r="B249" s="17">
        <v>11.5</v>
      </c>
      <c r="C249" s="6" t="s">
        <v>36</v>
      </c>
      <c r="D249" s="6" t="s">
        <v>11</v>
      </c>
      <c r="E249" s="49">
        <v>9.7379999999999995</v>
      </c>
      <c r="F249" s="49">
        <v>20.870899999999999</v>
      </c>
      <c r="G249" s="29">
        <v>300</v>
      </c>
      <c r="H249" s="29">
        <v>500</v>
      </c>
      <c r="I249" s="28">
        <f t="shared" si="48"/>
        <v>460</v>
      </c>
      <c r="J249" s="28">
        <f t="shared" si="53"/>
        <v>128.93299726948118</v>
      </c>
      <c r="K249" s="61">
        <v>18</v>
      </c>
      <c r="L249" s="61">
        <v>2</v>
      </c>
      <c r="M249" s="61">
        <v>0</v>
      </c>
      <c r="N249" s="61">
        <v>2</v>
      </c>
      <c r="O249" s="28">
        <f t="shared" si="54"/>
        <v>508.93800988154646</v>
      </c>
      <c r="P249" s="34" t="str">
        <f t="shared" si="49"/>
        <v>OK</v>
      </c>
      <c r="Q249" s="17">
        <f t="shared" si="50"/>
        <v>82.383831411565467</v>
      </c>
      <c r="R249" s="19">
        <f t="shared" si="55"/>
        <v>0.25333733139619474</v>
      </c>
      <c r="S249" s="6" t="s">
        <v>50</v>
      </c>
      <c r="T249" s="17">
        <v>11.5</v>
      </c>
      <c r="U249" s="6" t="s">
        <v>36</v>
      </c>
      <c r="V249" s="6" t="s">
        <v>12</v>
      </c>
      <c r="W249" s="49">
        <v>-16.73</v>
      </c>
      <c r="X249" s="49">
        <v>11.1412</v>
      </c>
      <c r="Y249" s="29">
        <v>300</v>
      </c>
      <c r="Z249" s="29">
        <v>500</v>
      </c>
      <c r="AA249" s="28">
        <f t="shared" si="51"/>
        <v>460</v>
      </c>
      <c r="AB249" s="28">
        <f t="shared" si="56"/>
        <v>68.826371128161398</v>
      </c>
      <c r="AC249" s="61">
        <v>18</v>
      </c>
      <c r="AD249" s="61">
        <v>2</v>
      </c>
      <c r="AE249" s="61">
        <v>12</v>
      </c>
      <c r="AF249" s="61">
        <v>0</v>
      </c>
      <c r="AG249" s="28">
        <f t="shared" si="57"/>
        <v>508.93800988154646</v>
      </c>
      <c r="AH249" s="34" t="str">
        <f t="shared" si="52"/>
        <v>OK</v>
      </c>
      <c r="AI249" s="28">
        <f t="shared" si="58"/>
        <v>-82.383831411565467</v>
      </c>
      <c r="AJ249" s="32">
        <f t="shared" si="59"/>
        <v>-0.13523527382869377</v>
      </c>
    </row>
    <row r="250" spans="1:36" x14ac:dyDescent="0.25">
      <c r="A250" s="6" t="s">
        <v>50</v>
      </c>
      <c r="B250" s="17">
        <v>12</v>
      </c>
      <c r="C250" s="6" t="s">
        <v>36</v>
      </c>
      <c r="D250" s="6" t="s">
        <v>11</v>
      </c>
      <c r="E250" s="49">
        <v>17.324000000000002</v>
      </c>
      <c r="F250" s="49">
        <v>20.668500000000002</v>
      </c>
      <c r="G250" s="29">
        <v>300</v>
      </c>
      <c r="H250" s="29">
        <v>500</v>
      </c>
      <c r="I250" s="28">
        <f t="shared" si="48"/>
        <v>460</v>
      </c>
      <c r="J250" s="28">
        <f t="shared" si="53"/>
        <v>127.68264205493159</v>
      </c>
      <c r="K250" s="61">
        <v>18</v>
      </c>
      <c r="L250" s="61">
        <v>2</v>
      </c>
      <c r="M250" s="61">
        <v>0</v>
      </c>
      <c r="N250" s="61">
        <v>2</v>
      </c>
      <c r="O250" s="28">
        <f t="shared" si="54"/>
        <v>508.93800988154646</v>
      </c>
      <c r="P250" s="34" t="str">
        <f t="shared" si="49"/>
        <v>OK</v>
      </c>
      <c r="Q250" s="17">
        <f t="shared" si="50"/>
        <v>82.383831411565467</v>
      </c>
      <c r="R250" s="19">
        <f t="shared" si="55"/>
        <v>0.25088053864290721</v>
      </c>
      <c r="S250" s="6" t="s">
        <v>50</v>
      </c>
      <c r="T250" s="17">
        <v>12</v>
      </c>
      <c r="U250" s="6" t="s">
        <v>36</v>
      </c>
      <c r="V250" s="6" t="s">
        <v>12</v>
      </c>
      <c r="W250" s="49">
        <v>-9.1430000000000007</v>
      </c>
      <c r="X250" s="49">
        <v>4.4229000000000003</v>
      </c>
      <c r="Y250" s="29">
        <v>300</v>
      </c>
      <c r="Z250" s="29">
        <v>500</v>
      </c>
      <c r="AA250" s="28">
        <f t="shared" si="51"/>
        <v>460</v>
      </c>
      <c r="AB250" s="28">
        <f t="shared" si="56"/>
        <v>27.323103154305194</v>
      </c>
      <c r="AC250" s="61">
        <v>18</v>
      </c>
      <c r="AD250" s="61">
        <v>2</v>
      </c>
      <c r="AE250" s="61">
        <v>12</v>
      </c>
      <c r="AF250" s="61">
        <v>0</v>
      </c>
      <c r="AG250" s="28">
        <f t="shared" si="57"/>
        <v>508.93800988154646</v>
      </c>
      <c r="AH250" s="34" t="str">
        <f t="shared" si="52"/>
        <v>OK</v>
      </c>
      <c r="AI250" s="28">
        <f t="shared" si="58"/>
        <v>-82.383831411565467</v>
      </c>
      <c r="AJ250" s="32">
        <f t="shared" si="59"/>
        <v>-5.3686505279227532E-2</v>
      </c>
    </row>
    <row r="251" spans="1:36" x14ac:dyDescent="0.25">
      <c r="A251" s="6" t="s">
        <v>50</v>
      </c>
      <c r="B251" s="17">
        <v>12.5</v>
      </c>
      <c r="C251" s="6" t="s">
        <v>36</v>
      </c>
      <c r="D251" s="6" t="s">
        <v>11</v>
      </c>
      <c r="E251" s="49">
        <v>24.911000000000001</v>
      </c>
      <c r="F251" s="49">
        <v>21.421600000000002</v>
      </c>
      <c r="G251" s="29">
        <v>300</v>
      </c>
      <c r="H251" s="29">
        <v>500</v>
      </c>
      <c r="I251" s="28">
        <f t="shared" si="48"/>
        <v>460</v>
      </c>
      <c r="J251" s="28">
        <f t="shared" si="53"/>
        <v>132.33502600788265</v>
      </c>
      <c r="K251" s="61">
        <v>18</v>
      </c>
      <c r="L251" s="61">
        <v>2</v>
      </c>
      <c r="M251" s="61">
        <v>0</v>
      </c>
      <c r="N251" s="61">
        <v>2</v>
      </c>
      <c r="O251" s="28">
        <f t="shared" si="54"/>
        <v>508.93800988154646</v>
      </c>
      <c r="P251" s="34" t="str">
        <f t="shared" si="49"/>
        <v>OK</v>
      </c>
      <c r="Q251" s="17">
        <f t="shared" si="50"/>
        <v>82.383831411565467</v>
      </c>
      <c r="R251" s="19">
        <f t="shared" si="55"/>
        <v>0.26002189547344512</v>
      </c>
      <c r="S251" s="6" t="s">
        <v>50</v>
      </c>
      <c r="T251" s="17">
        <v>12.5</v>
      </c>
      <c r="U251" s="6" t="s">
        <v>36</v>
      </c>
      <c r="V251" s="6" t="s">
        <v>12</v>
      </c>
      <c r="W251" s="49">
        <v>-1.5569999999999999</v>
      </c>
      <c r="X251" s="49">
        <v>-6.1349</v>
      </c>
      <c r="Y251" s="29">
        <v>300</v>
      </c>
      <c r="Z251" s="29">
        <v>500</v>
      </c>
      <c r="AA251" s="28">
        <f t="shared" si="51"/>
        <v>460</v>
      </c>
      <c r="AB251" s="28">
        <f t="shared" si="56"/>
        <v>37.899230265515143</v>
      </c>
      <c r="AC251" s="61">
        <v>18</v>
      </c>
      <c r="AD251" s="61">
        <v>2</v>
      </c>
      <c r="AE251" s="61">
        <v>12</v>
      </c>
      <c r="AF251" s="61">
        <v>0</v>
      </c>
      <c r="AG251" s="28">
        <f t="shared" si="57"/>
        <v>508.93800988154646</v>
      </c>
      <c r="AH251" s="34" t="str">
        <f t="shared" si="52"/>
        <v>OK</v>
      </c>
      <c r="AI251" s="28">
        <f t="shared" si="58"/>
        <v>-82.383831411565467</v>
      </c>
      <c r="AJ251" s="32">
        <f t="shared" si="59"/>
        <v>7.4467281927588905E-2</v>
      </c>
    </row>
    <row r="252" spans="1:36" x14ac:dyDescent="0.25">
      <c r="A252" s="6" t="s">
        <v>50</v>
      </c>
      <c r="B252" s="17">
        <v>13</v>
      </c>
      <c r="C252" s="6" t="s">
        <v>36</v>
      </c>
      <c r="D252" s="6" t="s">
        <v>11</v>
      </c>
      <c r="E252" s="49">
        <v>34.073</v>
      </c>
      <c r="F252" s="49">
        <v>20.302900000000001</v>
      </c>
      <c r="G252" s="29">
        <v>300</v>
      </c>
      <c r="H252" s="29">
        <v>500</v>
      </c>
      <c r="I252" s="28">
        <f t="shared" si="48"/>
        <v>460</v>
      </c>
      <c r="J252" s="28">
        <f t="shared" si="53"/>
        <v>125.42409528398629</v>
      </c>
      <c r="K252" s="61">
        <v>18</v>
      </c>
      <c r="L252" s="61">
        <v>2</v>
      </c>
      <c r="M252" s="61">
        <v>0</v>
      </c>
      <c r="N252" s="61">
        <v>2</v>
      </c>
      <c r="O252" s="28">
        <f t="shared" si="54"/>
        <v>508.93800988154646</v>
      </c>
      <c r="P252" s="34" t="str">
        <f t="shared" si="49"/>
        <v>OK</v>
      </c>
      <c r="Q252" s="17">
        <f t="shared" si="50"/>
        <v>82.383831411565467</v>
      </c>
      <c r="R252" s="19">
        <f t="shared" si="55"/>
        <v>0.24644277465771974</v>
      </c>
      <c r="S252" s="6" t="s">
        <v>50</v>
      </c>
      <c r="T252" s="17">
        <v>13</v>
      </c>
      <c r="U252" s="6" t="s">
        <v>36</v>
      </c>
      <c r="V252" s="6" t="s">
        <v>12</v>
      </c>
      <c r="W252" s="49">
        <v>6.03</v>
      </c>
      <c r="X252" s="49">
        <v>-20.486599999999999</v>
      </c>
      <c r="Y252" s="29">
        <v>300</v>
      </c>
      <c r="Z252" s="29">
        <v>500</v>
      </c>
      <c r="AA252" s="28">
        <f t="shared" si="51"/>
        <v>460</v>
      </c>
      <c r="AB252" s="28">
        <f t="shared" si="56"/>
        <v>126.55892854936553</v>
      </c>
      <c r="AC252" s="61">
        <v>18</v>
      </c>
      <c r="AD252" s="61">
        <v>2</v>
      </c>
      <c r="AE252" s="61">
        <v>12</v>
      </c>
      <c r="AF252" s="61">
        <v>0</v>
      </c>
      <c r="AG252" s="28">
        <f t="shared" si="57"/>
        <v>508.93800988154646</v>
      </c>
      <c r="AH252" s="34" t="str">
        <f t="shared" si="52"/>
        <v>OK</v>
      </c>
      <c r="AI252" s="28">
        <f t="shared" si="58"/>
        <v>-82.383831411565467</v>
      </c>
      <c r="AJ252" s="32">
        <f t="shared" si="59"/>
        <v>0.24867258112401877</v>
      </c>
    </row>
    <row r="253" spans="1:36" x14ac:dyDescent="0.25">
      <c r="A253" s="6" t="s">
        <v>50</v>
      </c>
      <c r="B253" s="17">
        <v>13.5</v>
      </c>
      <c r="C253" s="6" t="s">
        <v>36</v>
      </c>
      <c r="D253" s="6" t="s">
        <v>11</v>
      </c>
      <c r="E253" s="49">
        <v>47.540999999999997</v>
      </c>
      <c r="F253" s="49">
        <v>15.3912</v>
      </c>
      <c r="G253" s="29">
        <v>300</v>
      </c>
      <c r="H253" s="29">
        <v>500</v>
      </c>
      <c r="I253" s="28">
        <f t="shared" si="48"/>
        <v>460</v>
      </c>
      <c r="J253" s="28">
        <f t="shared" si="53"/>
        <v>95.081359575966474</v>
      </c>
      <c r="K253" s="61">
        <v>18</v>
      </c>
      <c r="L253" s="61">
        <v>2</v>
      </c>
      <c r="M253" s="61">
        <v>0</v>
      </c>
      <c r="N253" s="61">
        <v>2</v>
      </c>
      <c r="O253" s="28">
        <f>PI()*K253^2/4*L253+PI()*M253^2/4*N253</f>
        <v>508.93800988154646</v>
      </c>
      <c r="P253" s="34" t="str">
        <f t="shared" si="49"/>
        <v>OK</v>
      </c>
      <c r="Q253" s="17">
        <f t="shared" si="50"/>
        <v>82.383831411565467</v>
      </c>
      <c r="R253" s="19">
        <f t="shared" si="55"/>
        <v>0.1868230663260862</v>
      </c>
      <c r="S253" s="6" t="s">
        <v>50</v>
      </c>
      <c r="T253" s="17">
        <v>13.5</v>
      </c>
      <c r="U253" s="6" t="s">
        <v>36</v>
      </c>
      <c r="V253" s="6" t="s">
        <v>12</v>
      </c>
      <c r="W253" s="49">
        <v>13.616</v>
      </c>
      <c r="X253" s="49">
        <v>-38.631700000000002</v>
      </c>
      <c r="Y253" s="29">
        <v>300</v>
      </c>
      <c r="Z253" s="29">
        <v>500</v>
      </c>
      <c r="AA253" s="28">
        <f t="shared" si="51"/>
        <v>460</v>
      </c>
      <c r="AB253" s="28">
        <f t="shared" si="56"/>
        <v>238.65290287507563</v>
      </c>
      <c r="AC253" s="61">
        <v>18</v>
      </c>
      <c r="AD253" s="61">
        <v>2</v>
      </c>
      <c r="AE253" s="61">
        <v>12</v>
      </c>
      <c r="AF253" s="61">
        <v>0</v>
      </c>
      <c r="AG253" s="28">
        <f>PI()*AC253^2/4*AD253+PI()*AE253^2/4*AF253</f>
        <v>508.93800988154646</v>
      </c>
      <c r="AH253" s="34" t="str">
        <f t="shared" si="52"/>
        <v>OK</v>
      </c>
      <c r="AI253" s="28">
        <f t="shared" si="58"/>
        <v>-82.383831411565467</v>
      </c>
      <c r="AJ253" s="32">
        <f>X253/AI253</f>
        <v>0.46892332315800361</v>
      </c>
    </row>
  </sheetData>
  <pageMargins left="0.7" right="0.7" top="0.75" bottom="0.75" header="0.3" footer="0.3"/>
  <pageSetup paperSize="9" scale="1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1B5C-5F81-4197-BD36-1507D2DEBB3E}">
  <sheetPr codeName="Foglio13"/>
  <dimension ref="A1:N273"/>
  <sheetViews>
    <sheetView topLeftCell="A270" workbookViewId="0">
      <selection activeCell="O13" sqref="O13"/>
    </sheetView>
  </sheetViews>
  <sheetFormatPr defaultRowHeight="15" x14ac:dyDescent="0.25"/>
  <sheetData>
    <row r="1" spans="1:13" x14ac:dyDescent="0.25">
      <c r="A1" s="42" t="s">
        <v>0</v>
      </c>
      <c r="B1" s="43"/>
      <c r="C1" s="44"/>
      <c r="D1" s="44"/>
      <c r="E1" s="43"/>
      <c r="F1" s="43"/>
      <c r="G1" s="37"/>
      <c r="H1" s="37"/>
      <c r="I1" s="37"/>
      <c r="J1" s="37"/>
      <c r="K1" s="37"/>
      <c r="L1" s="37"/>
      <c r="M1" s="37"/>
    </row>
    <row r="2" spans="1:13" x14ac:dyDescent="0.25">
      <c r="A2" s="38" t="s">
        <v>1</v>
      </c>
      <c r="B2" s="40" t="s">
        <v>2</v>
      </c>
      <c r="C2" s="38" t="s">
        <v>34</v>
      </c>
      <c r="D2" s="38" t="s">
        <v>3</v>
      </c>
      <c r="E2" s="40" t="s">
        <v>4</v>
      </c>
      <c r="F2" s="40" t="s">
        <v>5</v>
      </c>
      <c r="G2" s="37"/>
      <c r="H2" s="37"/>
      <c r="I2" s="37"/>
      <c r="J2" s="37"/>
      <c r="K2" s="37"/>
      <c r="L2" s="37"/>
      <c r="M2" s="37"/>
    </row>
    <row r="3" spans="1:13" x14ac:dyDescent="0.25">
      <c r="A3" s="39" t="s">
        <v>6</v>
      </c>
      <c r="B3" s="41" t="s">
        <v>7</v>
      </c>
      <c r="C3" s="39" t="s">
        <v>6</v>
      </c>
      <c r="D3" s="39" t="s">
        <v>6</v>
      </c>
      <c r="E3" s="41" t="s">
        <v>8</v>
      </c>
      <c r="F3" s="41" t="s">
        <v>9</v>
      </c>
      <c r="G3" s="37"/>
      <c r="H3" s="37"/>
      <c r="I3" s="37"/>
      <c r="J3" s="37"/>
      <c r="K3" s="37"/>
      <c r="L3" s="37"/>
      <c r="M3" s="37"/>
    </row>
    <row r="4" spans="1:13" x14ac:dyDescent="0.25">
      <c r="A4" s="45" t="s">
        <v>51</v>
      </c>
      <c r="B4" s="46">
        <v>0</v>
      </c>
      <c r="C4" s="45" t="s">
        <v>36</v>
      </c>
      <c r="D4" s="45" t="s">
        <v>11</v>
      </c>
      <c r="E4" s="46">
        <v>-12.366</v>
      </c>
      <c r="F4" s="46">
        <v>46.071199999999997</v>
      </c>
      <c r="G4" s="37"/>
      <c r="H4" s="45" t="s">
        <v>51</v>
      </c>
      <c r="I4" s="46">
        <v>0</v>
      </c>
      <c r="J4" s="45" t="s">
        <v>36</v>
      </c>
      <c r="K4" s="45" t="s">
        <v>12</v>
      </c>
      <c r="L4" s="46">
        <v>-82.361000000000004</v>
      </c>
      <c r="M4" s="46">
        <v>-92.632300000000001</v>
      </c>
    </row>
    <row r="5" spans="1:13" x14ac:dyDescent="0.25">
      <c r="A5" s="45" t="s">
        <v>51</v>
      </c>
      <c r="B5" s="46">
        <v>0.5</v>
      </c>
      <c r="C5" s="45" t="s">
        <v>36</v>
      </c>
      <c r="D5" s="45" t="s">
        <v>11</v>
      </c>
      <c r="E5" s="46">
        <v>0.55100000000000005</v>
      </c>
      <c r="F5" s="46">
        <v>49.025100000000002</v>
      </c>
      <c r="G5" s="37"/>
      <c r="H5" s="45" t="s">
        <v>51</v>
      </c>
      <c r="I5" s="46">
        <v>0.5</v>
      </c>
      <c r="J5" s="45" t="s">
        <v>36</v>
      </c>
      <c r="K5" s="45" t="s">
        <v>12</v>
      </c>
      <c r="L5" s="46">
        <v>-69.444000000000003</v>
      </c>
      <c r="M5" s="46">
        <v>-54.681100000000001</v>
      </c>
    </row>
    <row r="6" spans="1:13" x14ac:dyDescent="0.25">
      <c r="A6" s="45" t="s">
        <v>51</v>
      </c>
      <c r="B6" s="46">
        <v>1</v>
      </c>
      <c r="C6" s="45" t="s">
        <v>36</v>
      </c>
      <c r="D6" s="45" t="s">
        <v>11</v>
      </c>
      <c r="E6" s="46">
        <v>13.467000000000001</v>
      </c>
      <c r="F6" s="46">
        <v>45.520800000000001</v>
      </c>
      <c r="G6" s="37"/>
      <c r="H6" s="45" t="s">
        <v>51</v>
      </c>
      <c r="I6" s="46">
        <v>1</v>
      </c>
      <c r="J6" s="45" t="s">
        <v>36</v>
      </c>
      <c r="K6" s="45" t="s">
        <v>12</v>
      </c>
      <c r="L6" s="46">
        <v>-56.527999999999999</v>
      </c>
      <c r="M6" s="46">
        <v>-23.188300000000002</v>
      </c>
    </row>
    <row r="7" spans="1:13" x14ac:dyDescent="0.25">
      <c r="A7" s="45" t="s">
        <v>51</v>
      </c>
      <c r="B7" s="46">
        <v>1.5</v>
      </c>
      <c r="C7" s="45" t="s">
        <v>36</v>
      </c>
      <c r="D7" s="45" t="s">
        <v>11</v>
      </c>
      <c r="E7" s="46">
        <v>26.382999999999999</v>
      </c>
      <c r="F7" s="46">
        <v>35.558599999999998</v>
      </c>
      <c r="G7" s="37"/>
      <c r="H7" s="45" t="s">
        <v>51</v>
      </c>
      <c r="I7" s="46">
        <v>1.5</v>
      </c>
      <c r="J7" s="45" t="s">
        <v>36</v>
      </c>
      <c r="K7" s="45" t="s">
        <v>12</v>
      </c>
      <c r="L7" s="46">
        <v>-43.610999999999997</v>
      </c>
      <c r="M7" s="46">
        <v>1.8461000000000001</v>
      </c>
    </row>
    <row r="8" spans="1:13" x14ac:dyDescent="0.25">
      <c r="A8" s="45" t="s">
        <v>51</v>
      </c>
      <c r="B8" s="46">
        <v>2</v>
      </c>
      <c r="C8" s="45" t="s">
        <v>36</v>
      </c>
      <c r="D8" s="45" t="s">
        <v>11</v>
      </c>
      <c r="E8" s="46">
        <v>39.299999999999997</v>
      </c>
      <c r="F8" s="46">
        <v>33.228299999999997</v>
      </c>
      <c r="G8" s="37"/>
      <c r="H8" s="45" t="s">
        <v>51</v>
      </c>
      <c r="I8" s="46">
        <v>2</v>
      </c>
      <c r="J8" s="45" t="s">
        <v>36</v>
      </c>
      <c r="K8" s="45" t="s">
        <v>12</v>
      </c>
      <c r="L8" s="46">
        <v>-30.695</v>
      </c>
      <c r="M8" s="46">
        <v>19.113800000000001</v>
      </c>
    </row>
    <row r="9" spans="1:13" x14ac:dyDescent="0.25">
      <c r="A9" s="45" t="s">
        <v>51</v>
      </c>
      <c r="B9" s="46">
        <v>2.5</v>
      </c>
      <c r="C9" s="45" t="s">
        <v>36</v>
      </c>
      <c r="D9" s="45" t="s">
        <v>11</v>
      </c>
      <c r="E9" s="46">
        <v>52.216000000000001</v>
      </c>
      <c r="F9" s="46">
        <v>32.5426</v>
      </c>
      <c r="G9" s="37"/>
      <c r="H9" s="45" t="s">
        <v>51</v>
      </c>
      <c r="I9" s="46">
        <v>2.5</v>
      </c>
      <c r="J9" s="45" t="s">
        <v>36</v>
      </c>
      <c r="K9" s="45" t="s">
        <v>12</v>
      </c>
      <c r="L9" s="46">
        <v>-17.777999999999999</v>
      </c>
      <c r="M9" s="46">
        <v>-3.7429000000000001</v>
      </c>
    </row>
    <row r="10" spans="1:13" x14ac:dyDescent="0.25">
      <c r="A10" s="45" t="s">
        <v>51</v>
      </c>
      <c r="B10" s="46">
        <v>3</v>
      </c>
      <c r="C10" s="45" t="s">
        <v>36</v>
      </c>
      <c r="D10" s="45" t="s">
        <v>11</v>
      </c>
      <c r="E10" s="46">
        <v>65.132999999999996</v>
      </c>
      <c r="F10" s="46">
        <v>38.202300000000001</v>
      </c>
      <c r="G10" s="37"/>
      <c r="H10" s="45" t="s">
        <v>51</v>
      </c>
      <c r="I10" s="46">
        <v>3</v>
      </c>
      <c r="J10" s="45" t="s">
        <v>36</v>
      </c>
      <c r="K10" s="45" t="s">
        <v>12</v>
      </c>
      <c r="L10" s="46">
        <v>-4.8620000000000001</v>
      </c>
      <c r="M10" s="46">
        <v>-33.079799999999999</v>
      </c>
    </row>
    <row r="11" spans="1:13" x14ac:dyDescent="0.25">
      <c r="A11" s="45" t="s">
        <v>51</v>
      </c>
      <c r="B11" s="46">
        <v>3.5</v>
      </c>
      <c r="C11" s="45" t="s">
        <v>36</v>
      </c>
      <c r="D11" s="45" t="s">
        <v>11</v>
      </c>
      <c r="E11" s="46">
        <v>78.049000000000007</v>
      </c>
      <c r="F11" s="46">
        <v>37.4041</v>
      </c>
      <c r="G11" s="37"/>
      <c r="H11" s="45" t="s">
        <v>51</v>
      </c>
      <c r="I11" s="46">
        <v>3.5</v>
      </c>
      <c r="J11" s="45" t="s">
        <v>36</v>
      </c>
      <c r="K11" s="45" t="s">
        <v>12</v>
      </c>
      <c r="L11" s="46">
        <v>8.0540000000000003</v>
      </c>
      <c r="M11" s="46">
        <v>-68.875200000000007</v>
      </c>
    </row>
    <row r="12" spans="1:13" x14ac:dyDescent="0.25">
      <c r="A12" s="45" t="s">
        <v>51</v>
      </c>
      <c r="B12" s="46">
        <v>4</v>
      </c>
      <c r="C12" s="45" t="s">
        <v>36</v>
      </c>
      <c r="D12" s="45" t="s">
        <v>11</v>
      </c>
      <c r="E12" s="46">
        <v>93.510999999999996</v>
      </c>
      <c r="F12" s="46">
        <v>30.1477</v>
      </c>
      <c r="G12" s="37"/>
      <c r="H12" s="45" t="s">
        <v>51</v>
      </c>
      <c r="I12" s="46">
        <v>4</v>
      </c>
      <c r="J12" s="45" t="s">
        <v>36</v>
      </c>
      <c r="K12" s="45" t="s">
        <v>12</v>
      </c>
      <c r="L12" s="46">
        <v>20.971</v>
      </c>
      <c r="M12" s="46">
        <v>-111.1289</v>
      </c>
    </row>
    <row r="13" spans="1:13" x14ac:dyDescent="0.25">
      <c r="A13" s="45" t="s">
        <v>52</v>
      </c>
      <c r="B13" s="46">
        <v>0</v>
      </c>
      <c r="C13" s="45" t="s">
        <v>36</v>
      </c>
      <c r="D13" s="45" t="s">
        <v>11</v>
      </c>
      <c r="E13" s="46">
        <v>-48.51</v>
      </c>
      <c r="F13" s="46">
        <v>0.22270000000000001</v>
      </c>
      <c r="G13" s="37"/>
      <c r="H13" s="45" t="s">
        <v>52</v>
      </c>
      <c r="I13" s="46">
        <v>0</v>
      </c>
      <c r="J13" s="45" t="s">
        <v>36</v>
      </c>
      <c r="K13" s="45" t="s">
        <v>12</v>
      </c>
      <c r="L13" s="46">
        <v>-119.08199999999999</v>
      </c>
      <c r="M13" s="46">
        <v>-123.788</v>
      </c>
    </row>
    <row r="14" spans="1:13" x14ac:dyDescent="0.25">
      <c r="A14" s="45" t="s">
        <v>52</v>
      </c>
      <c r="B14" s="46">
        <v>0.5</v>
      </c>
      <c r="C14" s="45" t="s">
        <v>36</v>
      </c>
      <c r="D14" s="45" t="s">
        <v>11</v>
      </c>
      <c r="E14" s="46">
        <v>-35.594000000000001</v>
      </c>
      <c r="F14" s="46">
        <v>21.248799999999999</v>
      </c>
      <c r="G14" s="37"/>
      <c r="H14" s="45" t="s">
        <v>52</v>
      </c>
      <c r="I14" s="46">
        <v>0.5</v>
      </c>
      <c r="J14" s="45" t="s">
        <v>36</v>
      </c>
      <c r="K14" s="45" t="s">
        <v>12</v>
      </c>
      <c r="L14" s="46">
        <v>-97.430999999999997</v>
      </c>
      <c r="M14" s="46">
        <v>-80.231899999999996</v>
      </c>
    </row>
    <row r="15" spans="1:13" x14ac:dyDescent="0.25">
      <c r="A15" s="45" t="s">
        <v>52</v>
      </c>
      <c r="B15" s="46">
        <v>1</v>
      </c>
      <c r="C15" s="45" t="s">
        <v>36</v>
      </c>
      <c r="D15" s="45" t="s">
        <v>11</v>
      </c>
      <c r="E15" s="46">
        <v>-22.677</v>
      </c>
      <c r="F15" s="46">
        <v>35.816699999999997</v>
      </c>
      <c r="G15" s="37"/>
      <c r="H15" s="45" t="s">
        <v>52</v>
      </c>
      <c r="I15" s="46">
        <v>1</v>
      </c>
      <c r="J15" s="45" t="s">
        <v>36</v>
      </c>
      <c r="K15" s="45" t="s">
        <v>12</v>
      </c>
      <c r="L15" s="46">
        <v>-75.778999999999996</v>
      </c>
      <c r="M15" s="46">
        <v>-43.133899999999997</v>
      </c>
    </row>
    <row r="16" spans="1:13" x14ac:dyDescent="0.25">
      <c r="A16" s="45" t="s">
        <v>52</v>
      </c>
      <c r="B16" s="46">
        <v>1.5</v>
      </c>
      <c r="C16" s="45" t="s">
        <v>36</v>
      </c>
      <c r="D16" s="45" t="s">
        <v>11</v>
      </c>
      <c r="E16" s="46">
        <v>-9.7609999999999992</v>
      </c>
      <c r="F16" s="46">
        <v>43.926299999999998</v>
      </c>
      <c r="G16" s="37"/>
      <c r="H16" s="45" t="s">
        <v>52</v>
      </c>
      <c r="I16" s="46">
        <v>1.5</v>
      </c>
      <c r="J16" s="45" t="s">
        <v>36</v>
      </c>
      <c r="K16" s="45" t="s">
        <v>12</v>
      </c>
      <c r="L16" s="46">
        <v>-54.820999999999998</v>
      </c>
      <c r="M16" s="46">
        <v>-12.494199999999999</v>
      </c>
    </row>
    <row r="17" spans="1:13" x14ac:dyDescent="0.25">
      <c r="A17" s="45" t="s">
        <v>52</v>
      </c>
      <c r="B17" s="46">
        <v>2</v>
      </c>
      <c r="C17" s="45" t="s">
        <v>36</v>
      </c>
      <c r="D17" s="45" t="s">
        <v>11</v>
      </c>
      <c r="E17" s="46">
        <v>3.1549999999999998</v>
      </c>
      <c r="F17" s="46">
        <v>48.073999999999998</v>
      </c>
      <c r="G17" s="37"/>
      <c r="H17" s="45" t="s">
        <v>52</v>
      </c>
      <c r="I17" s="46">
        <v>2</v>
      </c>
      <c r="J17" s="45" t="s">
        <v>36</v>
      </c>
      <c r="K17" s="45" t="s">
        <v>12</v>
      </c>
      <c r="L17" s="46">
        <v>-41.905000000000001</v>
      </c>
      <c r="M17" s="46">
        <v>11.6873</v>
      </c>
    </row>
    <row r="18" spans="1:13" x14ac:dyDescent="0.25">
      <c r="A18" s="45" t="s">
        <v>52</v>
      </c>
      <c r="B18" s="46">
        <v>2.5</v>
      </c>
      <c r="C18" s="45" t="s">
        <v>36</v>
      </c>
      <c r="D18" s="45" t="s">
        <v>11</v>
      </c>
      <c r="E18" s="46">
        <v>16.071999999999999</v>
      </c>
      <c r="F18" s="46">
        <v>58.8996</v>
      </c>
      <c r="G18" s="37"/>
      <c r="H18" s="45" t="s">
        <v>52</v>
      </c>
      <c r="I18" s="46">
        <v>2.5</v>
      </c>
      <c r="J18" s="45" t="s">
        <v>36</v>
      </c>
      <c r="K18" s="45" t="s">
        <v>12</v>
      </c>
      <c r="L18" s="46">
        <v>-28.988</v>
      </c>
      <c r="M18" s="46">
        <v>29.410499999999999</v>
      </c>
    </row>
    <row r="19" spans="1:13" x14ac:dyDescent="0.25">
      <c r="A19" s="45" t="s">
        <v>52</v>
      </c>
      <c r="B19" s="46">
        <v>3</v>
      </c>
      <c r="C19" s="45" t="s">
        <v>36</v>
      </c>
      <c r="D19" s="45" t="s">
        <v>11</v>
      </c>
      <c r="E19" s="46">
        <v>28.988</v>
      </c>
      <c r="F19" s="46">
        <v>58.8996</v>
      </c>
      <c r="G19" s="37"/>
      <c r="H19" s="45" t="s">
        <v>52</v>
      </c>
      <c r="I19" s="46">
        <v>3</v>
      </c>
      <c r="J19" s="45" t="s">
        <v>36</v>
      </c>
      <c r="K19" s="45" t="s">
        <v>12</v>
      </c>
      <c r="L19" s="46">
        <v>-16.071999999999999</v>
      </c>
      <c r="M19" s="46">
        <v>29.410499999999999</v>
      </c>
    </row>
    <row r="20" spans="1:13" x14ac:dyDescent="0.25">
      <c r="A20" s="45" t="s">
        <v>52</v>
      </c>
      <c r="B20" s="46">
        <v>3.5</v>
      </c>
      <c r="C20" s="45" t="s">
        <v>36</v>
      </c>
      <c r="D20" s="45" t="s">
        <v>11</v>
      </c>
      <c r="E20" s="46">
        <v>41.905000000000001</v>
      </c>
      <c r="F20" s="46">
        <v>48.073999999999998</v>
      </c>
      <c r="G20" s="37"/>
      <c r="H20" s="45" t="s">
        <v>52</v>
      </c>
      <c r="I20" s="46">
        <v>3.5</v>
      </c>
      <c r="J20" s="45" t="s">
        <v>36</v>
      </c>
      <c r="K20" s="45" t="s">
        <v>12</v>
      </c>
      <c r="L20" s="46">
        <v>-3.1549999999999998</v>
      </c>
      <c r="M20" s="46">
        <v>11.6873</v>
      </c>
    </row>
    <row r="21" spans="1:13" x14ac:dyDescent="0.25">
      <c r="A21" s="45" t="s">
        <v>52</v>
      </c>
      <c r="B21" s="46">
        <v>4</v>
      </c>
      <c r="C21" s="45" t="s">
        <v>36</v>
      </c>
      <c r="D21" s="45" t="s">
        <v>11</v>
      </c>
      <c r="E21" s="46">
        <v>54.820999999999998</v>
      </c>
      <c r="F21" s="46">
        <v>43.926299999999998</v>
      </c>
      <c r="G21" s="37"/>
      <c r="H21" s="45" t="s">
        <v>52</v>
      </c>
      <c r="I21" s="46">
        <v>4</v>
      </c>
      <c r="J21" s="45" t="s">
        <v>36</v>
      </c>
      <c r="K21" s="45" t="s">
        <v>12</v>
      </c>
      <c r="L21" s="46">
        <v>9.7609999999999992</v>
      </c>
      <c r="M21" s="46">
        <v>-12.494199999999999</v>
      </c>
    </row>
    <row r="22" spans="1:13" x14ac:dyDescent="0.25">
      <c r="A22" s="45" t="s">
        <v>52</v>
      </c>
      <c r="B22" s="46">
        <v>4.5</v>
      </c>
      <c r="C22" s="45" t="s">
        <v>36</v>
      </c>
      <c r="D22" s="45" t="s">
        <v>11</v>
      </c>
      <c r="E22" s="46">
        <v>75.778999999999996</v>
      </c>
      <c r="F22" s="46">
        <v>35.816699999999997</v>
      </c>
      <c r="G22" s="37"/>
      <c r="H22" s="45" t="s">
        <v>52</v>
      </c>
      <c r="I22" s="46">
        <v>4.5</v>
      </c>
      <c r="J22" s="45" t="s">
        <v>36</v>
      </c>
      <c r="K22" s="45" t="s">
        <v>12</v>
      </c>
      <c r="L22" s="46">
        <v>22.677</v>
      </c>
      <c r="M22" s="46">
        <v>-43.133899999999997</v>
      </c>
    </row>
    <row r="23" spans="1:13" x14ac:dyDescent="0.25">
      <c r="A23" s="45" t="s">
        <v>52</v>
      </c>
      <c r="B23" s="46">
        <v>5</v>
      </c>
      <c r="C23" s="45" t="s">
        <v>36</v>
      </c>
      <c r="D23" s="45" t="s">
        <v>11</v>
      </c>
      <c r="E23" s="46">
        <v>97.430999999999997</v>
      </c>
      <c r="F23" s="46">
        <v>21.248799999999999</v>
      </c>
      <c r="G23" s="37"/>
      <c r="H23" s="45" t="s">
        <v>52</v>
      </c>
      <c r="I23" s="46">
        <v>5</v>
      </c>
      <c r="J23" s="45" t="s">
        <v>36</v>
      </c>
      <c r="K23" s="45" t="s">
        <v>12</v>
      </c>
      <c r="L23" s="46">
        <v>35.594000000000001</v>
      </c>
      <c r="M23" s="46">
        <v>-80.231899999999996</v>
      </c>
    </row>
    <row r="24" spans="1:13" x14ac:dyDescent="0.25">
      <c r="A24" s="45" t="s">
        <v>52</v>
      </c>
      <c r="B24" s="46">
        <v>5.5</v>
      </c>
      <c r="C24" s="45" t="s">
        <v>36</v>
      </c>
      <c r="D24" s="45" t="s">
        <v>11</v>
      </c>
      <c r="E24" s="46">
        <v>119.08199999999999</v>
      </c>
      <c r="F24" s="46">
        <v>0.22270000000000001</v>
      </c>
      <c r="G24" s="37"/>
      <c r="H24" s="45" t="s">
        <v>52</v>
      </c>
      <c r="I24" s="46">
        <v>5.5</v>
      </c>
      <c r="J24" s="45" t="s">
        <v>36</v>
      </c>
      <c r="K24" s="45" t="s">
        <v>12</v>
      </c>
      <c r="L24" s="46">
        <v>48.51</v>
      </c>
      <c r="M24" s="46">
        <v>-123.788</v>
      </c>
    </row>
    <row r="25" spans="1:13" x14ac:dyDescent="0.25">
      <c r="A25" s="45" t="s">
        <v>53</v>
      </c>
      <c r="B25" s="46">
        <v>0</v>
      </c>
      <c r="C25" s="45" t="s">
        <v>36</v>
      </c>
      <c r="D25" s="45" t="s">
        <v>11</v>
      </c>
      <c r="E25" s="46">
        <v>-20.971</v>
      </c>
      <c r="F25" s="46">
        <v>30.1477</v>
      </c>
      <c r="G25" s="37"/>
      <c r="H25" s="45" t="s">
        <v>53</v>
      </c>
      <c r="I25" s="46">
        <v>0</v>
      </c>
      <c r="J25" s="45" t="s">
        <v>36</v>
      </c>
      <c r="K25" s="45" t="s">
        <v>12</v>
      </c>
      <c r="L25" s="46">
        <v>-93.510999999999996</v>
      </c>
      <c r="M25" s="46">
        <v>-111.1289</v>
      </c>
    </row>
    <row r="26" spans="1:13" x14ac:dyDescent="0.25">
      <c r="A26" s="45" t="s">
        <v>53</v>
      </c>
      <c r="B26" s="46">
        <v>0.5</v>
      </c>
      <c r="C26" s="45" t="s">
        <v>36</v>
      </c>
      <c r="D26" s="45" t="s">
        <v>11</v>
      </c>
      <c r="E26" s="46">
        <v>-8.0540000000000003</v>
      </c>
      <c r="F26" s="46">
        <v>37.4041</v>
      </c>
      <c r="G26" s="37"/>
      <c r="H26" s="45" t="s">
        <v>53</v>
      </c>
      <c r="I26" s="46">
        <v>0.5</v>
      </c>
      <c r="J26" s="45" t="s">
        <v>36</v>
      </c>
      <c r="K26" s="45" t="s">
        <v>12</v>
      </c>
      <c r="L26" s="46">
        <v>-78.049000000000007</v>
      </c>
      <c r="M26" s="46">
        <v>-68.875200000000007</v>
      </c>
    </row>
    <row r="27" spans="1:13" x14ac:dyDescent="0.25">
      <c r="A27" s="45" t="s">
        <v>53</v>
      </c>
      <c r="B27" s="46">
        <v>1</v>
      </c>
      <c r="C27" s="45" t="s">
        <v>36</v>
      </c>
      <c r="D27" s="45" t="s">
        <v>11</v>
      </c>
      <c r="E27" s="46">
        <v>4.8620000000000001</v>
      </c>
      <c r="F27" s="46">
        <v>38.202300000000001</v>
      </c>
      <c r="G27" s="37"/>
      <c r="H27" s="45" t="s">
        <v>53</v>
      </c>
      <c r="I27" s="46">
        <v>1</v>
      </c>
      <c r="J27" s="45" t="s">
        <v>36</v>
      </c>
      <c r="K27" s="45" t="s">
        <v>12</v>
      </c>
      <c r="L27" s="46">
        <v>-65.132999999999996</v>
      </c>
      <c r="M27" s="46">
        <v>-33.079799999999999</v>
      </c>
    </row>
    <row r="28" spans="1:13" x14ac:dyDescent="0.25">
      <c r="A28" s="45" t="s">
        <v>53</v>
      </c>
      <c r="B28" s="46">
        <v>1.5</v>
      </c>
      <c r="C28" s="45" t="s">
        <v>36</v>
      </c>
      <c r="D28" s="45" t="s">
        <v>11</v>
      </c>
      <c r="E28" s="46">
        <v>17.777999999999999</v>
      </c>
      <c r="F28" s="46">
        <v>32.5426</v>
      </c>
      <c r="G28" s="37"/>
      <c r="H28" s="45" t="s">
        <v>53</v>
      </c>
      <c r="I28" s="46">
        <v>1.5</v>
      </c>
      <c r="J28" s="45" t="s">
        <v>36</v>
      </c>
      <c r="K28" s="45" t="s">
        <v>12</v>
      </c>
      <c r="L28" s="46">
        <v>-52.216000000000001</v>
      </c>
      <c r="M28" s="46">
        <v>-3.7429000000000001</v>
      </c>
    </row>
    <row r="29" spans="1:13" x14ac:dyDescent="0.25">
      <c r="A29" s="45" t="s">
        <v>53</v>
      </c>
      <c r="B29" s="46">
        <v>2</v>
      </c>
      <c r="C29" s="45" t="s">
        <v>36</v>
      </c>
      <c r="D29" s="45" t="s">
        <v>11</v>
      </c>
      <c r="E29" s="46">
        <v>30.695</v>
      </c>
      <c r="F29" s="46">
        <v>33.228299999999997</v>
      </c>
      <c r="G29" s="37"/>
      <c r="H29" s="45" t="s">
        <v>53</v>
      </c>
      <c r="I29" s="46">
        <v>2</v>
      </c>
      <c r="J29" s="45" t="s">
        <v>36</v>
      </c>
      <c r="K29" s="45" t="s">
        <v>12</v>
      </c>
      <c r="L29" s="46">
        <v>-39.299999999999997</v>
      </c>
      <c r="M29" s="46">
        <v>19.113800000000001</v>
      </c>
    </row>
    <row r="30" spans="1:13" x14ac:dyDescent="0.25">
      <c r="A30" s="45" t="s">
        <v>53</v>
      </c>
      <c r="B30" s="46">
        <v>2.5</v>
      </c>
      <c r="C30" s="45" t="s">
        <v>36</v>
      </c>
      <c r="D30" s="45" t="s">
        <v>11</v>
      </c>
      <c r="E30" s="46">
        <v>43.610999999999997</v>
      </c>
      <c r="F30" s="46">
        <v>35.558599999999998</v>
      </c>
      <c r="G30" s="37"/>
      <c r="H30" s="45" t="s">
        <v>53</v>
      </c>
      <c r="I30" s="46">
        <v>2.5</v>
      </c>
      <c r="J30" s="45" t="s">
        <v>36</v>
      </c>
      <c r="K30" s="45" t="s">
        <v>12</v>
      </c>
      <c r="L30" s="46">
        <v>-26.382999999999999</v>
      </c>
      <c r="M30" s="46">
        <v>1.8461000000000001</v>
      </c>
    </row>
    <row r="31" spans="1:13" x14ac:dyDescent="0.25">
      <c r="A31" s="45" t="s">
        <v>53</v>
      </c>
      <c r="B31" s="46">
        <v>3</v>
      </c>
      <c r="C31" s="45" t="s">
        <v>36</v>
      </c>
      <c r="D31" s="45" t="s">
        <v>11</v>
      </c>
      <c r="E31" s="46">
        <v>56.527999999999999</v>
      </c>
      <c r="F31" s="46">
        <v>45.520800000000001</v>
      </c>
      <c r="G31" s="37"/>
      <c r="H31" s="45" t="s">
        <v>53</v>
      </c>
      <c r="I31" s="46">
        <v>3</v>
      </c>
      <c r="J31" s="45" t="s">
        <v>36</v>
      </c>
      <c r="K31" s="45" t="s">
        <v>12</v>
      </c>
      <c r="L31" s="46">
        <v>-13.467000000000001</v>
      </c>
      <c r="M31" s="46">
        <v>-23.188300000000002</v>
      </c>
    </row>
    <row r="32" spans="1:13" x14ac:dyDescent="0.25">
      <c r="A32" s="45" t="s">
        <v>53</v>
      </c>
      <c r="B32" s="46">
        <v>3.5</v>
      </c>
      <c r="C32" s="45" t="s">
        <v>36</v>
      </c>
      <c r="D32" s="45" t="s">
        <v>11</v>
      </c>
      <c r="E32" s="46">
        <v>69.444000000000003</v>
      </c>
      <c r="F32" s="46">
        <v>49.025100000000002</v>
      </c>
      <c r="G32" s="37"/>
      <c r="H32" s="45" t="s">
        <v>53</v>
      </c>
      <c r="I32" s="46">
        <v>3.5</v>
      </c>
      <c r="J32" s="45" t="s">
        <v>36</v>
      </c>
      <c r="K32" s="45" t="s">
        <v>12</v>
      </c>
      <c r="L32" s="46">
        <v>-0.55100000000000005</v>
      </c>
      <c r="M32" s="46">
        <v>-54.681100000000001</v>
      </c>
    </row>
    <row r="33" spans="1:13" x14ac:dyDescent="0.25">
      <c r="A33" s="45" t="s">
        <v>53</v>
      </c>
      <c r="B33" s="46">
        <v>4</v>
      </c>
      <c r="C33" s="45" t="s">
        <v>36</v>
      </c>
      <c r="D33" s="45" t="s">
        <v>11</v>
      </c>
      <c r="E33" s="46">
        <v>82.361000000000004</v>
      </c>
      <c r="F33" s="46">
        <v>46.071199999999997</v>
      </c>
      <c r="G33" s="37"/>
      <c r="H33" s="45" t="s">
        <v>53</v>
      </c>
      <c r="I33" s="46">
        <v>4</v>
      </c>
      <c r="J33" s="45" t="s">
        <v>36</v>
      </c>
      <c r="K33" s="45" t="s">
        <v>12</v>
      </c>
      <c r="L33" s="46">
        <v>12.366</v>
      </c>
      <c r="M33" s="46">
        <v>-92.632300000000001</v>
      </c>
    </row>
    <row r="64" spans="1:13" x14ac:dyDescent="0.25">
      <c r="A64" s="45" t="s">
        <v>54</v>
      </c>
      <c r="B64" s="46">
        <v>0</v>
      </c>
      <c r="C64" s="45" t="s">
        <v>36</v>
      </c>
      <c r="D64" s="45" t="s">
        <v>11</v>
      </c>
      <c r="E64" s="46">
        <v>-27.65</v>
      </c>
      <c r="F64" s="46">
        <v>35.056199999999997</v>
      </c>
      <c r="G64" s="37"/>
      <c r="H64" s="45" t="s">
        <v>54</v>
      </c>
      <c r="I64" s="46">
        <v>0</v>
      </c>
      <c r="J64" s="45" t="s">
        <v>36</v>
      </c>
      <c r="K64" s="45" t="s">
        <v>12</v>
      </c>
      <c r="L64" s="46">
        <v>-115.69199999999999</v>
      </c>
      <c r="M64" s="46">
        <v>-97.167000000000002</v>
      </c>
    </row>
    <row r="65" spans="1:13" x14ac:dyDescent="0.25">
      <c r="A65" s="45" t="s">
        <v>54</v>
      </c>
      <c r="B65" s="46">
        <v>0.5</v>
      </c>
      <c r="C65" s="45" t="s">
        <v>36</v>
      </c>
      <c r="D65" s="45" t="s">
        <v>11</v>
      </c>
      <c r="E65" s="46">
        <v>-11.182</v>
      </c>
      <c r="F65" s="46">
        <v>44.764299999999999</v>
      </c>
      <c r="G65" s="37"/>
      <c r="H65" s="45" t="s">
        <v>54</v>
      </c>
      <c r="I65" s="46">
        <v>0.5</v>
      </c>
      <c r="J65" s="45" t="s">
        <v>36</v>
      </c>
      <c r="K65" s="45" t="s">
        <v>12</v>
      </c>
      <c r="L65" s="46">
        <v>-84.563999999999993</v>
      </c>
      <c r="M65" s="46">
        <v>-54.115400000000001</v>
      </c>
    </row>
    <row r="66" spans="1:13" x14ac:dyDescent="0.25">
      <c r="A66" s="45" t="s">
        <v>54</v>
      </c>
      <c r="B66" s="46">
        <v>1</v>
      </c>
      <c r="C66" s="45" t="s">
        <v>36</v>
      </c>
      <c r="D66" s="45" t="s">
        <v>11</v>
      </c>
      <c r="E66" s="46">
        <v>5.2869999999999999</v>
      </c>
      <c r="F66" s="46">
        <v>46.238100000000003</v>
      </c>
      <c r="G66" s="37"/>
      <c r="H66" s="45" t="s">
        <v>54</v>
      </c>
      <c r="I66" s="46">
        <v>1</v>
      </c>
      <c r="J66" s="45" t="s">
        <v>36</v>
      </c>
      <c r="K66" s="45" t="s">
        <v>12</v>
      </c>
      <c r="L66" s="46">
        <v>-61.401000000000003</v>
      </c>
      <c r="M66" s="46">
        <v>-19.298100000000002</v>
      </c>
    </row>
    <row r="67" spans="1:13" x14ac:dyDescent="0.25">
      <c r="A67" s="45" t="s">
        <v>54</v>
      </c>
      <c r="B67" s="46">
        <v>1.5</v>
      </c>
      <c r="C67" s="45" t="s">
        <v>36</v>
      </c>
      <c r="D67" s="45" t="s">
        <v>11</v>
      </c>
      <c r="E67" s="46">
        <v>21.754999999999999</v>
      </c>
      <c r="F67" s="46">
        <v>44.075200000000002</v>
      </c>
      <c r="G67" s="37"/>
      <c r="H67" s="45" t="s">
        <v>54</v>
      </c>
      <c r="I67" s="46">
        <v>1.5</v>
      </c>
      <c r="J67" s="45" t="s">
        <v>36</v>
      </c>
      <c r="K67" s="45" t="s">
        <v>12</v>
      </c>
      <c r="L67" s="46">
        <v>-44.932000000000002</v>
      </c>
      <c r="M67" s="46">
        <v>7.2846000000000002</v>
      </c>
    </row>
    <row r="68" spans="1:13" x14ac:dyDescent="0.25">
      <c r="A68" s="45" t="s">
        <v>54</v>
      </c>
      <c r="B68" s="46">
        <v>2</v>
      </c>
      <c r="C68" s="45" t="s">
        <v>36</v>
      </c>
      <c r="D68" s="45" t="s">
        <v>11</v>
      </c>
      <c r="E68" s="46">
        <v>38.223999999999997</v>
      </c>
      <c r="F68" s="46">
        <v>47.446100000000001</v>
      </c>
      <c r="G68" s="37"/>
      <c r="H68" s="45" t="s">
        <v>54</v>
      </c>
      <c r="I68" s="46">
        <v>2</v>
      </c>
      <c r="J68" s="45" t="s">
        <v>36</v>
      </c>
      <c r="K68" s="45" t="s">
        <v>12</v>
      </c>
      <c r="L68" s="46">
        <v>-28.463999999999999</v>
      </c>
      <c r="M68" s="46">
        <v>24.4589</v>
      </c>
    </row>
    <row r="69" spans="1:13" x14ac:dyDescent="0.25">
      <c r="A69" s="45" t="s">
        <v>54</v>
      </c>
      <c r="B69" s="46">
        <v>2.5</v>
      </c>
      <c r="C69" s="45" t="s">
        <v>36</v>
      </c>
      <c r="D69" s="45" t="s">
        <v>11</v>
      </c>
      <c r="E69" s="46">
        <v>54.692</v>
      </c>
      <c r="F69" s="46">
        <v>35.749899999999997</v>
      </c>
      <c r="G69" s="37"/>
      <c r="H69" s="45" t="s">
        <v>54</v>
      </c>
      <c r="I69" s="46">
        <v>2.5</v>
      </c>
      <c r="J69" s="45" t="s">
        <v>36</v>
      </c>
      <c r="K69" s="45" t="s">
        <v>12</v>
      </c>
      <c r="L69" s="46">
        <v>-11.994999999999999</v>
      </c>
      <c r="M69" s="46">
        <v>1.2527999999999999</v>
      </c>
    </row>
    <row r="70" spans="1:13" x14ac:dyDescent="0.25">
      <c r="A70" s="45" t="s">
        <v>54</v>
      </c>
      <c r="B70" s="46">
        <v>3</v>
      </c>
      <c r="C70" s="45" t="s">
        <v>36</v>
      </c>
      <c r="D70" s="45" t="s">
        <v>11</v>
      </c>
      <c r="E70" s="46">
        <v>71.161000000000001</v>
      </c>
      <c r="F70" s="46">
        <v>37.630000000000003</v>
      </c>
      <c r="G70" s="37"/>
      <c r="H70" s="45" t="s">
        <v>54</v>
      </c>
      <c r="I70" s="46">
        <v>3</v>
      </c>
      <c r="J70" s="45" t="s">
        <v>36</v>
      </c>
      <c r="K70" s="45" t="s">
        <v>12</v>
      </c>
      <c r="L70" s="46">
        <v>4.4729999999999999</v>
      </c>
      <c r="M70" s="46">
        <v>-30.21</v>
      </c>
    </row>
    <row r="71" spans="1:13" x14ac:dyDescent="0.25">
      <c r="A71" s="45" t="s">
        <v>54</v>
      </c>
      <c r="B71" s="46">
        <v>3.5</v>
      </c>
      <c r="C71" s="45" t="s">
        <v>36</v>
      </c>
      <c r="D71" s="45" t="s">
        <v>11</v>
      </c>
      <c r="E71" s="46">
        <v>102.209</v>
      </c>
      <c r="F71" s="46">
        <v>31.276199999999999</v>
      </c>
      <c r="G71" s="37"/>
      <c r="H71" s="45" t="s">
        <v>54</v>
      </c>
      <c r="I71" s="46">
        <v>3.5</v>
      </c>
      <c r="J71" s="45" t="s">
        <v>36</v>
      </c>
      <c r="K71" s="45" t="s">
        <v>12</v>
      </c>
      <c r="L71" s="46">
        <v>20.942</v>
      </c>
      <c r="M71" s="46">
        <v>-69.907200000000003</v>
      </c>
    </row>
    <row r="72" spans="1:13" x14ac:dyDescent="0.25">
      <c r="A72" s="45" t="s">
        <v>54</v>
      </c>
      <c r="B72" s="46">
        <v>4</v>
      </c>
      <c r="C72" s="45" t="s">
        <v>36</v>
      </c>
      <c r="D72" s="45" t="s">
        <v>11</v>
      </c>
      <c r="E72" s="46">
        <v>133.33799999999999</v>
      </c>
      <c r="F72" s="46">
        <v>16.688199999999998</v>
      </c>
      <c r="G72" s="37"/>
      <c r="H72" s="45" t="s">
        <v>54</v>
      </c>
      <c r="I72" s="46">
        <v>4</v>
      </c>
      <c r="J72" s="45" t="s">
        <v>36</v>
      </c>
      <c r="K72" s="45" t="s">
        <v>12</v>
      </c>
      <c r="L72" s="46">
        <v>37.409999999999997</v>
      </c>
      <c r="M72" s="46">
        <v>-117.8387</v>
      </c>
    </row>
    <row r="73" spans="1:13" x14ac:dyDescent="0.25">
      <c r="A73" s="45" t="s">
        <v>55</v>
      </c>
      <c r="B73" s="46">
        <v>0</v>
      </c>
      <c r="C73" s="45" t="s">
        <v>36</v>
      </c>
      <c r="D73" s="45" t="s">
        <v>11</v>
      </c>
      <c r="E73" s="46">
        <v>-68.983999999999995</v>
      </c>
      <c r="F73" s="46">
        <v>-19.540900000000001</v>
      </c>
      <c r="G73" s="37"/>
      <c r="H73" s="45" t="s">
        <v>55</v>
      </c>
      <c r="I73" s="46">
        <v>0</v>
      </c>
      <c r="J73" s="45" t="s">
        <v>36</v>
      </c>
      <c r="K73" s="45" t="s">
        <v>12</v>
      </c>
      <c r="L73" s="46">
        <v>-171.208</v>
      </c>
      <c r="M73" s="46">
        <v>-149.02709999999999</v>
      </c>
    </row>
    <row r="74" spans="1:13" x14ac:dyDescent="0.25">
      <c r="A74" s="45" t="s">
        <v>55</v>
      </c>
      <c r="B74" s="46">
        <v>0.5</v>
      </c>
      <c r="C74" s="45" t="s">
        <v>36</v>
      </c>
      <c r="D74" s="45" t="s">
        <v>11</v>
      </c>
      <c r="E74" s="46">
        <v>-52.515000000000001</v>
      </c>
      <c r="F74" s="46">
        <v>10.8339</v>
      </c>
      <c r="G74" s="37"/>
      <c r="H74" s="45" t="s">
        <v>55</v>
      </c>
      <c r="I74" s="46">
        <v>0.5</v>
      </c>
      <c r="J74" s="45" t="s">
        <v>36</v>
      </c>
      <c r="K74" s="45" t="s">
        <v>12</v>
      </c>
      <c r="L74" s="46">
        <v>-140.08000000000001</v>
      </c>
      <c r="M74" s="46">
        <v>-86.341399999999993</v>
      </c>
    </row>
    <row r="75" spans="1:13" x14ac:dyDescent="0.25">
      <c r="A75" s="45" t="s">
        <v>55</v>
      </c>
      <c r="B75" s="46">
        <v>1</v>
      </c>
      <c r="C75" s="45" t="s">
        <v>36</v>
      </c>
      <c r="D75" s="45" t="s">
        <v>11</v>
      </c>
      <c r="E75" s="46">
        <v>-36.046999999999997</v>
      </c>
      <c r="F75" s="46">
        <v>32.974499999999999</v>
      </c>
      <c r="G75" s="37"/>
      <c r="H75" s="45" t="s">
        <v>55</v>
      </c>
      <c r="I75" s="46">
        <v>1</v>
      </c>
      <c r="J75" s="45" t="s">
        <v>36</v>
      </c>
      <c r="K75" s="45" t="s">
        <v>12</v>
      </c>
      <c r="L75" s="46">
        <v>-108.95099999999999</v>
      </c>
      <c r="M75" s="46">
        <v>-42.608199999999997</v>
      </c>
    </row>
    <row r="76" spans="1:13" x14ac:dyDescent="0.25">
      <c r="A76" s="45" t="s">
        <v>55</v>
      </c>
      <c r="B76" s="46">
        <v>1.5</v>
      </c>
      <c r="C76" s="45" t="s">
        <v>36</v>
      </c>
      <c r="D76" s="45" t="s">
        <v>11</v>
      </c>
      <c r="E76" s="46">
        <v>-19.579000000000001</v>
      </c>
      <c r="F76" s="46">
        <v>46.880899999999997</v>
      </c>
      <c r="G76" s="37"/>
      <c r="H76" s="45" t="s">
        <v>55</v>
      </c>
      <c r="I76" s="46">
        <v>1.5</v>
      </c>
      <c r="J76" s="45" t="s">
        <v>36</v>
      </c>
      <c r="K76" s="45" t="s">
        <v>12</v>
      </c>
      <c r="L76" s="46">
        <v>-77.822000000000003</v>
      </c>
      <c r="M76" s="46">
        <v>-7.1092000000000004</v>
      </c>
    </row>
    <row r="77" spans="1:13" x14ac:dyDescent="0.25">
      <c r="A77" s="45" t="s">
        <v>55</v>
      </c>
      <c r="B77" s="46">
        <v>2</v>
      </c>
      <c r="C77" s="45" t="s">
        <v>36</v>
      </c>
      <c r="D77" s="45" t="s">
        <v>11</v>
      </c>
      <c r="E77" s="46">
        <v>-3.11</v>
      </c>
      <c r="F77" s="46">
        <v>68.874300000000005</v>
      </c>
      <c r="G77" s="37"/>
      <c r="H77" s="45" t="s">
        <v>55</v>
      </c>
      <c r="I77" s="46">
        <v>2</v>
      </c>
      <c r="J77" s="45" t="s">
        <v>36</v>
      </c>
      <c r="K77" s="45" t="s">
        <v>12</v>
      </c>
      <c r="L77" s="46">
        <v>-46.692999999999998</v>
      </c>
      <c r="M77" s="46">
        <v>20.1555</v>
      </c>
    </row>
    <row r="78" spans="1:13" x14ac:dyDescent="0.25">
      <c r="A78" s="45" t="s">
        <v>55</v>
      </c>
      <c r="B78" s="46">
        <v>2.5</v>
      </c>
      <c r="C78" s="45" t="s">
        <v>36</v>
      </c>
      <c r="D78" s="45" t="s">
        <v>11</v>
      </c>
      <c r="E78" s="46">
        <v>13.358000000000001</v>
      </c>
      <c r="F78" s="46">
        <v>84.438699999999997</v>
      </c>
      <c r="G78" s="37"/>
      <c r="H78" s="45" t="s">
        <v>55</v>
      </c>
      <c r="I78" s="46">
        <v>2.5</v>
      </c>
      <c r="J78" s="45" t="s">
        <v>36</v>
      </c>
      <c r="K78" s="45" t="s">
        <v>12</v>
      </c>
      <c r="L78" s="46">
        <v>-29.827000000000002</v>
      </c>
      <c r="M78" s="46">
        <v>39.186100000000003</v>
      </c>
    </row>
    <row r="79" spans="1:13" x14ac:dyDescent="0.25">
      <c r="A79" s="45" t="s">
        <v>55</v>
      </c>
      <c r="B79" s="46">
        <v>3</v>
      </c>
      <c r="C79" s="45" t="s">
        <v>36</v>
      </c>
      <c r="D79" s="45" t="s">
        <v>11</v>
      </c>
      <c r="E79" s="46">
        <v>29.827000000000002</v>
      </c>
      <c r="F79" s="46">
        <v>84.438699999999997</v>
      </c>
      <c r="G79" s="37"/>
      <c r="H79" s="45" t="s">
        <v>55</v>
      </c>
      <c r="I79" s="46">
        <v>3</v>
      </c>
      <c r="J79" s="45" t="s">
        <v>36</v>
      </c>
      <c r="K79" s="45" t="s">
        <v>12</v>
      </c>
      <c r="L79" s="46">
        <v>-13.358000000000001</v>
      </c>
      <c r="M79" s="46">
        <v>39.186100000000003</v>
      </c>
    </row>
    <row r="80" spans="1:13" x14ac:dyDescent="0.25">
      <c r="A80" s="45" t="s">
        <v>55</v>
      </c>
      <c r="B80" s="46">
        <v>3.5</v>
      </c>
      <c r="C80" s="45" t="s">
        <v>36</v>
      </c>
      <c r="D80" s="45" t="s">
        <v>11</v>
      </c>
      <c r="E80" s="46">
        <v>46.692999999999998</v>
      </c>
      <c r="F80" s="46">
        <v>68.874300000000005</v>
      </c>
      <c r="G80" s="37"/>
      <c r="H80" s="45" t="s">
        <v>55</v>
      </c>
      <c r="I80" s="46">
        <v>3.5</v>
      </c>
      <c r="J80" s="45" t="s">
        <v>36</v>
      </c>
      <c r="K80" s="45" t="s">
        <v>12</v>
      </c>
      <c r="L80" s="46">
        <v>3.11</v>
      </c>
      <c r="M80" s="46">
        <v>20.1555</v>
      </c>
    </row>
    <row r="81" spans="1:13" x14ac:dyDescent="0.25">
      <c r="A81" s="45" t="s">
        <v>55</v>
      </c>
      <c r="B81" s="46">
        <v>4</v>
      </c>
      <c r="C81" s="45" t="s">
        <v>36</v>
      </c>
      <c r="D81" s="45" t="s">
        <v>11</v>
      </c>
      <c r="E81" s="46">
        <v>77.822000000000003</v>
      </c>
      <c r="F81" s="46">
        <v>46.880899999999997</v>
      </c>
      <c r="G81" s="37"/>
      <c r="H81" s="45" t="s">
        <v>55</v>
      </c>
      <c r="I81" s="46">
        <v>4</v>
      </c>
      <c r="J81" s="45" t="s">
        <v>36</v>
      </c>
      <c r="K81" s="45" t="s">
        <v>12</v>
      </c>
      <c r="L81" s="46">
        <v>19.579000000000001</v>
      </c>
      <c r="M81" s="46">
        <v>-7.1092000000000004</v>
      </c>
    </row>
    <row r="82" spans="1:13" x14ac:dyDescent="0.25">
      <c r="A82" s="45" t="s">
        <v>55</v>
      </c>
      <c r="B82" s="46">
        <v>4.5</v>
      </c>
      <c r="C82" s="45" t="s">
        <v>36</v>
      </c>
      <c r="D82" s="45" t="s">
        <v>11</v>
      </c>
      <c r="E82" s="46">
        <v>108.95099999999999</v>
      </c>
      <c r="F82" s="46">
        <v>32.974499999999999</v>
      </c>
      <c r="G82" s="37"/>
      <c r="H82" s="45" t="s">
        <v>55</v>
      </c>
      <c r="I82" s="46">
        <v>4.5</v>
      </c>
      <c r="J82" s="45" t="s">
        <v>36</v>
      </c>
      <c r="K82" s="45" t="s">
        <v>12</v>
      </c>
      <c r="L82" s="46">
        <v>36.046999999999997</v>
      </c>
      <c r="M82" s="46">
        <v>-42.608199999999997</v>
      </c>
    </row>
    <row r="83" spans="1:13" x14ac:dyDescent="0.25">
      <c r="A83" s="45" t="s">
        <v>55</v>
      </c>
      <c r="B83" s="46">
        <v>5</v>
      </c>
      <c r="C83" s="45" t="s">
        <v>36</v>
      </c>
      <c r="D83" s="45" t="s">
        <v>11</v>
      </c>
      <c r="E83" s="46">
        <v>140.08000000000001</v>
      </c>
      <c r="F83" s="46">
        <v>10.8339</v>
      </c>
      <c r="G83" s="37"/>
      <c r="H83" s="45" t="s">
        <v>55</v>
      </c>
      <c r="I83" s="46">
        <v>5</v>
      </c>
      <c r="J83" s="45" t="s">
        <v>36</v>
      </c>
      <c r="K83" s="45" t="s">
        <v>12</v>
      </c>
      <c r="L83" s="46">
        <v>52.515000000000001</v>
      </c>
      <c r="M83" s="46">
        <v>-86.341399999999993</v>
      </c>
    </row>
    <row r="84" spans="1:13" x14ac:dyDescent="0.25">
      <c r="A84" s="45" t="s">
        <v>55</v>
      </c>
      <c r="B84" s="46">
        <v>5.5</v>
      </c>
      <c r="C84" s="45" t="s">
        <v>36</v>
      </c>
      <c r="D84" s="45" t="s">
        <v>11</v>
      </c>
      <c r="E84" s="46">
        <v>171.208</v>
      </c>
      <c r="F84" s="46">
        <v>-19.540900000000001</v>
      </c>
      <c r="G84" s="37"/>
      <c r="H84" s="45" t="s">
        <v>55</v>
      </c>
      <c r="I84" s="46">
        <v>5.5</v>
      </c>
      <c r="J84" s="45" t="s">
        <v>36</v>
      </c>
      <c r="K84" s="45" t="s">
        <v>12</v>
      </c>
      <c r="L84" s="46">
        <v>68.983999999999995</v>
      </c>
      <c r="M84" s="46">
        <v>-149.02709999999999</v>
      </c>
    </row>
    <row r="85" spans="1:13" x14ac:dyDescent="0.25">
      <c r="A85" s="45" t="s">
        <v>56</v>
      </c>
      <c r="B85" s="46">
        <v>0</v>
      </c>
      <c r="C85" s="45" t="s">
        <v>36</v>
      </c>
      <c r="D85" s="45" t="s">
        <v>11</v>
      </c>
      <c r="E85" s="46">
        <v>-37.409999999999997</v>
      </c>
      <c r="F85" s="46">
        <v>16.688199999999998</v>
      </c>
      <c r="G85" s="37"/>
      <c r="H85" s="45" t="s">
        <v>56</v>
      </c>
      <c r="I85" s="46">
        <v>0</v>
      </c>
      <c r="J85" s="45" t="s">
        <v>36</v>
      </c>
      <c r="K85" s="45" t="s">
        <v>12</v>
      </c>
      <c r="L85" s="46">
        <v>-133.33799999999999</v>
      </c>
      <c r="M85" s="46">
        <v>-117.8387</v>
      </c>
    </row>
    <row r="86" spans="1:13" x14ac:dyDescent="0.25">
      <c r="A86" s="45" t="s">
        <v>56</v>
      </c>
      <c r="B86" s="46">
        <v>0.5</v>
      </c>
      <c r="C86" s="45" t="s">
        <v>36</v>
      </c>
      <c r="D86" s="45" t="s">
        <v>11</v>
      </c>
      <c r="E86" s="46">
        <v>-20.942</v>
      </c>
      <c r="F86" s="46">
        <v>31.276199999999999</v>
      </c>
      <c r="G86" s="37"/>
      <c r="H86" s="45" t="s">
        <v>56</v>
      </c>
      <c r="I86" s="46">
        <v>0.5</v>
      </c>
      <c r="J86" s="45" t="s">
        <v>36</v>
      </c>
      <c r="K86" s="45" t="s">
        <v>12</v>
      </c>
      <c r="L86" s="46">
        <v>-102.209</v>
      </c>
      <c r="M86" s="46">
        <v>-69.907200000000003</v>
      </c>
    </row>
    <row r="87" spans="1:13" x14ac:dyDescent="0.25">
      <c r="A87" s="45" t="s">
        <v>56</v>
      </c>
      <c r="B87" s="46">
        <v>1</v>
      </c>
      <c r="C87" s="45" t="s">
        <v>36</v>
      </c>
      <c r="D87" s="45" t="s">
        <v>11</v>
      </c>
      <c r="E87" s="46">
        <v>-4.4729999999999999</v>
      </c>
      <c r="F87" s="46">
        <v>37.630000000000003</v>
      </c>
      <c r="G87" s="37"/>
      <c r="H87" s="45" t="s">
        <v>56</v>
      </c>
      <c r="I87" s="46">
        <v>1</v>
      </c>
      <c r="J87" s="45" t="s">
        <v>36</v>
      </c>
      <c r="K87" s="45" t="s">
        <v>12</v>
      </c>
      <c r="L87" s="46">
        <v>-71.161000000000001</v>
      </c>
      <c r="M87" s="46">
        <v>-30.21</v>
      </c>
    </row>
    <row r="88" spans="1:13" x14ac:dyDescent="0.25">
      <c r="A88" s="45" t="s">
        <v>56</v>
      </c>
      <c r="B88" s="46">
        <v>1.5</v>
      </c>
      <c r="C88" s="45" t="s">
        <v>36</v>
      </c>
      <c r="D88" s="45" t="s">
        <v>11</v>
      </c>
      <c r="E88" s="46">
        <v>11.994999999999999</v>
      </c>
      <c r="F88" s="46">
        <v>35.749899999999997</v>
      </c>
      <c r="G88" s="37"/>
      <c r="H88" s="45" t="s">
        <v>56</v>
      </c>
      <c r="I88" s="46">
        <v>1.5</v>
      </c>
      <c r="J88" s="45" t="s">
        <v>36</v>
      </c>
      <c r="K88" s="45" t="s">
        <v>12</v>
      </c>
      <c r="L88" s="46">
        <v>-54.692</v>
      </c>
      <c r="M88" s="46">
        <v>1.2527999999999999</v>
      </c>
    </row>
    <row r="89" spans="1:13" x14ac:dyDescent="0.25">
      <c r="A89" s="45" t="s">
        <v>56</v>
      </c>
      <c r="B89" s="46">
        <v>2</v>
      </c>
      <c r="C89" s="45" t="s">
        <v>36</v>
      </c>
      <c r="D89" s="45" t="s">
        <v>11</v>
      </c>
      <c r="E89" s="46">
        <v>28.463999999999999</v>
      </c>
      <c r="F89" s="46">
        <v>47.446100000000001</v>
      </c>
      <c r="G89" s="37"/>
      <c r="H89" s="45" t="s">
        <v>56</v>
      </c>
      <c r="I89" s="46">
        <v>2</v>
      </c>
      <c r="J89" s="45" t="s">
        <v>36</v>
      </c>
      <c r="K89" s="45" t="s">
        <v>12</v>
      </c>
      <c r="L89" s="46">
        <v>-38.223999999999997</v>
      </c>
      <c r="M89" s="46">
        <v>24.4589</v>
      </c>
    </row>
    <row r="90" spans="1:13" x14ac:dyDescent="0.25">
      <c r="A90" s="45" t="s">
        <v>56</v>
      </c>
      <c r="B90" s="46">
        <v>2.5</v>
      </c>
      <c r="C90" s="45" t="s">
        <v>36</v>
      </c>
      <c r="D90" s="45" t="s">
        <v>11</v>
      </c>
      <c r="E90" s="46">
        <v>44.932000000000002</v>
      </c>
      <c r="F90" s="46">
        <v>44.075200000000002</v>
      </c>
      <c r="G90" s="37"/>
      <c r="H90" s="45" t="s">
        <v>56</v>
      </c>
      <c r="I90" s="46">
        <v>2.5</v>
      </c>
      <c r="J90" s="45" t="s">
        <v>36</v>
      </c>
      <c r="K90" s="45" t="s">
        <v>12</v>
      </c>
      <c r="L90" s="46">
        <v>-21.754999999999999</v>
      </c>
      <c r="M90" s="46">
        <v>7.2846000000000002</v>
      </c>
    </row>
    <row r="91" spans="1:13" x14ac:dyDescent="0.25">
      <c r="A91" s="45" t="s">
        <v>56</v>
      </c>
      <c r="B91" s="46">
        <v>3</v>
      </c>
      <c r="C91" s="45" t="s">
        <v>36</v>
      </c>
      <c r="D91" s="45" t="s">
        <v>11</v>
      </c>
      <c r="E91" s="46">
        <v>61.401000000000003</v>
      </c>
      <c r="F91" s="46">
        <v>46.238100000000003</v>
      </c>
      <c r="G91" s="37"/>
      <c r="H91" s="45" t="s">
        <v>56</v>
      </c>
      <c r="I91" s="46">
        <v>3</v>
      </c>
      <c r="J91" s="45" t="s">
        <v>36</v>
      </c>
      <c r="K91" s="45" t="s">
        <v>12</v>
      </c>
      <c r="L91" s="46">
        <v>-5.2869999999999999</v>
      </c>
      <c r="M91" s="46">
        <v>-19.298100000000002</v>
      </c>
    </row>
    <row r="92" spans="1:13" x14ac:dyDescent="0.25">
      <c r="A92" s="45" t="s">
        <v>56</v>
      </c>
      <c r="B92" s="46">
        <v>3.5</v>
      </c>
      <c r="C92" s="45" t="s">
        <v>36</v>
      </c>
      <c r="D92" s="45" t="s">
        <v>11</v>
      </c>
      <c r="E92" s="46">
        <v>84.563999999999993</v>
      </c>
      <c r="F92" s="46">
        <v>44.764299999999999</v>
      </c>
      <c r="G92" s="37"/>
      <c r="H92" s="45" t="s">
        <v>56</v>
      </c>
      <c r="I92" s="46">
        <v>3.5</v>
      </c>
      <c r="J92" s="45" t="s">
        <v>36</v>
      </c>
      <c r="K92" s="45" t="s">
        <v>12</v>
      </c>
      <c r="L92" s="46">
        <v>11.182</v>
      </c>
      <c r="M92" s="46">
        <v>-54.115400000000001</v>
      </c>
    </row>
    <row r="93" spans="1:13" x14ac:dyDescent="0.25">
      <c r="A93" s="45" t="s">
        <v>56</v>
      </c>
      <c r="B93" s="46">
        <v>4</v>
      </c>
      <c r="C93" s="45" t="s">
        <v>36</v>
      </c>
      <c r="D93" s="45" t="s">
        <v>11</v>
      </c>
      <c r="E93" s="46">
        <v>115.69199999999999</v>
      </c>
      <c r="F93" s="46">
        <v>35.056199999999997</v>
      </c>
      <c r="G93" s="37"/>
      <c r="H93" s="45" t="s">
        <v>56</v>
      </c>
      <c r="I93" s="46">
        <v>4</v>
      </c>
      <c r="J93" s="45" t="s">
        <v>36</v>
      </c>
      <c r="K93" s="45" t="s">
        <v>12</v>
      </c>
      <c r="L93" s="46">
        <v>27.65</v>
      </c>
      <c r="M93" s="46">
        <v>-97.167000000000002</v>
      </c>
    </row>
    <row r="124" spans="1:13" x14ac:dyDescent="0.25">
      <c r="A124" s="45" t="s">
        <v>57</v>
      </c>
      <c r="B124" s="46">
        <v>0</v>
      </c>
      <c r="C124" s="45" t="s">
        <v>36</v>
      </c>
      <c r="D124" s="45" t="s">
        <v>11</v>
      </c>
      <c r="E124" s="46">
        <v>-39.216000000000001</v>
      </c>
      <c r="F124" s="46">
        <v>27.011700000000001</v>
      </c>
      <c r="G124" s="37"/>
      <c r="H124" s="45" t="s">
        <v>57</v>
      </c>
      <c r="I124" s="46">
        <v>0</v>
      </c>
      <c r="J124" s="45" t="s">
        <v>36</v>
      </c>
      <c r="K124" s="45" t="s">
        <v>12</v>
      </c>
      <c r="L124" s="46">
        <v>-135.78200000000001</v>
      </c>
      <c r="M124" s="46">
        <v>-99.731999999999999</v>
      </c>
    </row>
    <row r="125" spans="1:13" x14ac:dyDescent="0.25">
      <c r="A125" s="45" t="s">
        <v>57</v>
      </c>
      <c r="B125" s="46">
        <v>0.5</v>
      </c>
      <c r="C125" s="45" t="s">
        <v>36</v>
      </c>
      <c r="D125" s="45" t="s">
        <v>11</v>
      </c>
      <c r="E125" s="46">
        <v>-20.010999999999999</v>
      </c>
      <c r="F125" s="46">
        <v>41.818800000000003</v>
      </c>
      <c r="G125" s="37"/>
      <c r="H125" s="45" t="s">
        <v>57</v>
      </c>
      <c r="I125" s="46">
        <v>0.5</v>
      </c>
      <c r="J125" s="45" t="s">
        <v>36</v>
      </c>
      <c r="K125" s="45" t="s">
        <v>12</v>
      </c>
      <c r="L125" s="46">
        <v>-99.272999999999996</v>
      </c>
      <c r="M125" s="46">
        <v>-52.961599999999997</v>
      </c>
    </row>
    <row r="126" spans="1:13" x14ac:dyDescent="0.25">
      <c r="A126" s="45" t="s">
        <v>57</v>
      </c>
      <c r="B126" s="46">
        <v>1</v>
      </c>
      <c r="C126" s="45" t="s">
        <v>36</v>
      </c>
      <c r="D126" s="45" t="s">
        <v>11</v>
      </c>
      <c r="E126" s="46">
        <v>-0.80700000000000005</v>
      </c>
      <c r="F126" s="46">
        <v>47.023400000000002</v>
      </c>
      <c r="G126" s="37"/>
      <c r="H126" s="45" t="s">
        <v>57</v>
      </c>
      <c r="I126" s="46">
        <v>1</v>
      </c>
      <c r="J126" s="45" t="s">
        <v>36</v>
      </c>
      <c r="K126" s="45" t="s">
        <v>12</v>
      </c>
      <c r="L126" s="46">
        <v>-64.733999999999995</v>
      </c>
      <c r="M126" s="46">
        <v>-15.793699999999999</v>
      </c>
    </row>
    <row r="127" spans="1:13" x14ac:dyDescent="0.25">
      <c r="A127" s="45" t="s">
        <v>57</v>
      </c>
      <c r="B127" s="46">
        <v>1.5</v>
      </c>
      <c r="C127" s="45" t="s">
        <v>36</v>
      </c>
      <c r="D127" s="45" t="s">
        <v>11</v>
      </c>
      <c r="E127" s="46">
        <v>18.398</v>
      </c>
      <c r="F127" s="46">
        <v>51.6128</v>
      </c>
      <c r="G127" s="37"/>
      <c r="H127" s="45" t="s">
        <v>57</v>
      </c>
      <c r="I127" s="46">
        <v>1.5</v>
      </c>
      <c r="J127" s="45" t="s">
        <v>36</v>
      </c>
      <c r="K127" s="45" t="s">
        <v>12</v>
      </c>
      <c r="L127" s="46">
        <v>-45.529000000000003</v>
      </c>
      <c r="M127" s="46">
        <v>11.7715</v>
      </c>
    </row>
    <row r="128" spans="1:13" x14ac:dyDescent="0.25">
      <c r="A128" s="45" t="s">
        <v>57</v>
      </c>
      <c r="B128" s="46">
        <v>2</v>
      </c>
      <c r="C128" s="45" t="s">
        <v>36</v>
      </c>
      <c r="D128" s="45" t="s">
        <v>11</v>
      </c>
      <c r="E128" s="46">
        <v>37.603000000000002</v>
      </c>
      <c r="F128" s="46">
        <v>55.613799999999998</v>
      </c>
      <c r="G128" s="37"/>
      <c r="H128" s="45" t="s">
        <v>57</v>
      </c>
      <c r="I128" s="46">
        <v>2</v>
      </c>
      <c r="J128" s="45" t="s">
        <v>36</v>
      </c>
      <c r="K128" s="45" t="s">
        <v>12</v>
      </c>
      <c r="L128" s="46">
        <v>-26.324000000000002</v>
      </c>
      <c r="M128" s="46">
        <v>28.6005</v>
      </c>
    </row>
    <row r="129" spans="1:13" x14ac:dyDescent="0.25">
      <c r="A129" s="45" t="s">
        <v>57</v>
      </c>
      <c r="B129" s="46">
        <v>2.5</v>
      </c>
      <c r="C129" s="45" t="s">
        <v>36</v>
      </c>
      <c r="D129" s="45" t="s">
        <v>11</v>
      </c>
      <c r="E129" s="46">
        <v>56.808</v>
      </c>
      <c r="F129" s="46">
        <v>41.360399999999998</v>
      </c>
      <c r="G129" s="37"/>
      <c r="H129" s="45" t="s">
        <v>57</v>
      </c>
      <c r="I129" s="46">
        <v>2.5</v>
      </c>
      <c r="J129" s="45" t="s">
        <v>36</v>
      </c>
      <c r="K129" s="45" t="s">
        <v>12</v>
      </c>
      <c r="L129" s="46">
        <v>-7.1189999999999998</v>
      </c>
      <c r="M129" s="46">
        <v>5.0213000000000001</v>
      </c>
    </row>
    <row r="130" spans="1:13" x14ac:dyDescent="0.25">
      <c r="A130" s="45" t="s">
        <v>57</v>
      </c>
      <c r="B130" s="46">
        <v>3</v>
      </c>
      <c r="C130" s="45" t="s">
        <v>36</v>
      </c>
      <c r="D130" s="45" t="s">
        <v>11</v>
      </c>
      <c r="E130" s="46">
        <v>83.269000000000005</v>
      </c>
      <c r="F130" s="46">
        <v>36.855200000000004</v>
      </c>
      <c r="G130" s="37"/>
      <c r="H130" s="45" t="s">
        <v>57</v>
      </c>
      <c r="I130" s="46">
        <v>3</v>
      </c>
      <c r="J130" s="45" t="s">
        <v>36</v>
      </c>
      <c r="K130" s="45" t="s">
        <v>12</v>
      </c>
      <c r="L130" s="46">
        <v>12.086</v>
      </c>
      <c r="M130" s="46">
        <v>-28.183399999999999</v>
      </c>
    </row>
    <row r="131" spans="1:13" x14ac:dyDescent="0.25">
      <c r="A131" s="45" t="s">
        <v>57</v>
      </c>
      <c r="B131" s="46">
        <v>3.5</v>
      </c>
      <c r="C131" s="45" t="s">
        <v>36</v>
      </c>
      <c r="D131" s="45" t="s">
        <v>11</v>
      </c>
      <c r="E131" s="46">
        <v>119.77800000000001</v>
      </c>
      <c r="F131" s="46">
        <v>26.011099999999999</v>
      </c>
      <c r="G131" s="37"/>
      <c r="H131" s="45" t="s">
        <v>57</v>
      </c>
      <c r="I131" s="46">
        <v>3.5</v>
      </c>
      <c r="J131" s="45" t="s">
        <v>36</v>
      </c>
      <c r="K131" s="45" t="s">
        <v>12</v>
      </c>
      <c r="L131" s="46">
        <v>31.29</v>
      </c>
      <c r="M131" s="46">
        <v>-70.990799999999993</v>
      </c>
    </row>
    <row r="132" spans="1:13" x14ac:dyDescent="0.25">
      <c r="A132" s="45" t="s">
        <v>57</v>
      </c>
      <c r="B132" s="46">
        <v>4</v>
      </c>
      <c r="C132" s="45" t="s">
        <v>36</v>
      </c>
      <c r="D132" s="45" t="s">
        <v>11</v>
      </c>
      <c r="E132" s="46">
        <v>156.28700000000001</v>
      </c>
      <c r="F132" s="46">
        <v>5.5646000000000004</v>
      </c>
      <c r="G132" s="37"/>
      <c r="H132" s="45" t="s">
        <v>57</v>
      </c>
      <c r="I132" s="46">
        <v>4</v>
      </c>
      <c r="J132" s="45" t="s">
        <v>36</v>
      </c>
      <c r="K132" s="45" t="s">
        <v>12</v>
      </c>
      <c r="L132" s="46">
        <v>50.494999999999997</v>
      </c>
      <c r="M132" s="46">
        <v>-123.4007</v>
      </c>
    </row>
    <row r="133" spans="1:13" x14ac:dyDescent="0.25">
      <c r="A133" s="45" t="s">
        <v>58</v>
      </c>
      <c r="B133" s="46">
        <v>0</v>
      </c>
      <c r="C133" s="45" t="s">
        <v>36</v>
      </c>
      <c r="D133" s="45" t="s">
        <v>11</v>
      </c>
      <c r="E133" s="46">
        <v>-84.95</v>
      </c>
      <c r="F133" s="46">
        <v>-35.174500000000002</v>
      </c>
      <c r="G133" s="37"/>
      <c r="H133" s="45" t="s">
        <v>58</v>
      </c>
      <c r="I133" s="46">
        <v>0</v>
      </c>
      <c r="J133" s="45" t="s">
        <v>36</v>
      </c>
      <c r="K133" s="45" t="s">
        <v>12</v>
      </c>
      <c r="L133" s="46">
        <v>-200.797</v>
      </c>
      <c r="M133" s="46">
        <v>-174.7825</v>
      </c>
    </row>
    <row r="134" spans="1:13" x14ac:dyDescent="0.25">
      <c r="A134" s="45" t="s">
        <v>58</v>
      </c>
      <c r="B134" s="46">
        <v>0.5</v>
      </c>
      <c r="C134" s="45" t="s">
        <v>36</v>
      </c>
      <c r="D134" s="45" t="s">
        <v>11</v>
      </c>
      <c r="E134" s="46">
        <v>-65.745000000000005</v>
      </c>
      <c r="F134" s="46">
        <v>2.4992000000000001</v>
      </c>
      <c r="G134" s="37"/>
      <c r="H134" s="45" t="s">
        <v>58</v>
      </c>
      <c r="I134" s="46">
        <v>0.5</v>
      </c>
      <c r="J134" s="45" t="s">
        <v>36</v>
      </c>
      <c r="K134" s="45" t="s">
        <v>12</v>
      </c>
      <c r="L134" s="46">
        <v>-164.28800000000001</v>
      </c>
      <c r="M134" s="46">
        <v>-90.587999999999994</v>
      </c>
    </row>
    <row r="135" spans="1:13" x14ac:dyDescent="0.25">
      <c r="A135" s="45" t="s">
        <v>58</v>
      </c>
      <c r="B135" s="46">
        <v>1</v>
      </c>
      <c r="C135" s="45" t="s">
        <v>36</v>
      </c>
      <c r="D135" s="45" t="s">
        <v>11</v>
      </c>
      <c r="E135" s="46">
        <v>-46.54</v>
      </c>
      <c r="F135" s="46">
        <v>30.570499999999999</v>
      </c>
      <c r="G135" s="37"/>
      <c r="H135" s="45" t="s">
        <v>58</v>
      </c>
      <c r="I135" s="46">
        <v>1</v>
      </c>
      <c r="J135" s="45" t="s">
        <v>36</v>
      </c>
      <c r="K135" s="45" t="s">
        <v>12</v>
      </c>
      <c r="L135" s="46">
        <v>-127.78</v>
      </c>
      <c r="M135" s="46">
        <v>-41.84</v>
      </c>
    </row>
    <row r="136" spans="1:13" x14ac:dyDescent="0.25">
      <c r="A136" s="45" t="s">
        <v>58</v>
      </c>
      <c r="B136" s="46">
        <v>1.5</v>
      </c>
      <c r="C136" s="45" t="s">
        <v>36</v>
      </c>
      <c r="D136" s="45" t="s">
        <v>11</v>
      </c>
      <c r="E136" s="46">
        <v>-27.335000000000001</v>
      </c>
      <c r="F136" s="46">
        <v>49.039400000000001</v>
      </c>
      <c r="G136" s="37"/>
      <c r="H136" s="45" t="s">
        <v>58</v>
      </c>
      <c r="I136" s="46">
        <v>1.5</v>
      </c>
      <c r="J136" s="45" t="s">
        <v>36</v>
      </c>
      <c r="K136" s="45" t="s">
        <v>12</v>
      </c>
      <c r="L136" s="46">
        <v>-91.271000000000001</v>
      </c>
      <c r="M136" s="46">
        <v>-2.6943999999999999</v>
      </c>
    </row>
    <row r="137" spans="1:13" x14ac:dyDescent="0.25">
      <c r="A137" s="45" t="s">
        <v>58</v>
      </c>
      <c r="B137" s="46">
        <v>2</v>
      </c>
      <c r="C137" s="45" t="s">
        <v>36</v>
      </c>
      <c r="D137" s="45" t="s">
        <v>11</v>
      </c>
      <c r="E137" s="46">
        <v>-8.1310000000000002</v>
      </c>
      <c r="F137" s="46">
        <v>80.777199999999993</v>
      </c>
      <c r="G137" s="37"/>
      <c r="H137" s="45" t="s">
        <v>58</v>
      </c>
      <c r="I137" s="46">
        <v>2</v>
      </c>
      <c r="J137" s="45" t="s">
        <v>36</v>
      </c>
      <c r="K137" s="45" t="s">
        <v>12</v>
      </c>
      <c r="L137" s="46">
        <v>-54.762999999999998</v>
      </c>
      <c r="M137" s="46">
        <v>26.848800000000001</v>
      </c>
    </row>
    <row r="138" spans="1:13" x14ac:dyDescent="0.25">
      <c r="A138" s="45" t="s">
        <v>58</v>
      </c>
      <c r="B138" s="46">
        <v>2.5</v>
      </c>
      <c r="C138" s="45" t="s">
        <v>36</v>
      </c>
      <c r="D138" s="45" t="s">
        <v>11</v>
      </c>
      <c r="E138" s="46">
        <v>11.074</v>
      </c>
      <c r="F138" s="46">
        <v>99.031499999999994</v>
      </c>
      <c r="G138" s="37"/>
      <c r="H138" s="45" t="s">
        <v>58</v>
      </c>
      <c r="I138" s="46">
        <v>2.5</v>
      </c>
      <c r="J138" s="45" t="s">
        <v>36</v>
      </c>
      <c r="K138" s="45" t="s">
        <v>12</v>
      </c>
      <c r="L138" s="46">
        <v>-30.279</v>
      </c>
      <c r="M138" s="46">
        <v>46.789499999999997</v>
      </c>
    </row>
    <row r="139" spans="1:13" x14ac:dyDescent="0.25">
      <c r="A139" s="45" t="s">
        <v>58</v>
      </c>
      <c r="B139" s="46">
        <v>3</v>
      </c>
      <c r="C139" s="45" t="s">
        <v>36</v>
      </c>
      <c r="D139" s="45" t="s">
        <v>11</v>
      </c>
      <c r="E139" s="46">
        <v>30.279</v>
      </c>
      <c r="F139" s="46">
        <v>99.031499999999994</v>
      </c>
      <c r="G139" s="37"/>
      <c r="H139" s="45" t="s">
        <v>58</v>
      </c>
      <c r="I139" s="46">
        <v>3</v>
      </c>
      <c r="J139" s="45" t="s">
        <v>36</v>
      </c>
      <c r="K139" s="45" t="s">
        <v>12</v>
      </c>
      <c r="L139" s="46">
        <v>-11.074</v>
      </c>
      <c r="M139" s="46">
        <v>46.789499999999997</v>
      </c>
    </row>
    <row r="140" spans="1:13" x14ac:dyDescent="0.25">
      <c r="A140" s="45" t="s">
        <v>58</v>
      </c>
      <c r="B140" s="46">
        <v>3.5</v>
      </c>
      <c r="C140" s="45" t="s">
        <v>36</v>
      </c>
      <c r="D140" s="45" t="s">
        <v>11</v>
      </c>
      <c r="E140" s="46">
        <v>54.762999999999998</v>
      </c>
      <c r="F140" s="46">
        <v>80.777199999999993</v>
      </c>
      <c r="G140" s="37"/>
      <c r="H140" s="45" t="s">
        <v>58</v>
      </c>
      <c r="I140" s="46">
        <v>3.5</v>
      </c>
      <c r="J140" s="45" t="s">
        <v>36</v>
      </c>
      <c r="K140" s="45" t="s">
        <v>12</v>
      </c>
      <c r="L140" s="46">
        <v>8.1310000000000002</v>
      </c>
      <c r="M140" s="46">
        <v>26.848800000000001</v>
      </c>
    </row>
    <row r="141" spans="1:13" x14ac:dyDescent="0.25">
      <c r="A141" s="45" t="s">
        <v>58</v>
      </c>
      <c r="B141" s="46">
        <v>4</v>
      </c>
      <c r="C141" s="45" t="s">
        <v>36</v>
      </c>
      <c r="D141" s="45" t="s">
        <v>11</v>
      </c>
      <c r="E141" s="46">
        <v>91.271000000000001</v>
      </c>
      <c r="F141" s="46">
        <v>49.039400000000001</v>
      </c>
      <c r="G141" s="37"/>
      <c r="H141" s="45" t="s">
        <v>58</v>
      </c>
      <c r="I141" s="46">
        <v>4</v>
      </c>
      <c r="J141" s="45" t="s">
        <v>36</v>
      </c>
      <c r="K141" s="45" t="s">
        <v>12</v>
      </c>
      <c r="L141" s="46">
        <v>27.335000000000001</v>
      </c>
      <c r="M141" s="46">
        <v>-2.6943999999999999</v>
      </c>
    </row>
    <row r="142" spans="1:13" x14ac:dyDescent="0.25">
      <c r="A142" s="45" t="s">
        <v>58</v>
      </c>
      <c r="B142" s="46">
        <v>4.5</v>
      </c>
      <c r="C142" s="45" t="s">
        <v>36</v>
      </c>
      <c r="D142" s="45" t="s">
        <v>11</v>
      </c>
      <c r="E142" s="46">
        <v>127.78</v>
      </c>
      <c r="F142" s="46">
        <v>30.570499999999999</v>
      </c>
      <c r="G142" s="37"/>
      <c r="H142" s="45" t="s">
        <v>58</v>
      </c>
      <c r="I142" s="46">
        <v>4.5</v>
      </c>
      <c r="J142" s="45" t="s">
        <v>36</v>
      </c>
      <c r="K142" s="45" t="s">
        <v>12</v>
      </c>
      <c r="L142" s="46">
        <v>46.54</v>
      </c>
      <c r="M142" s="46">
        <v>-41.84</v>
      </c>
    </row>
    <row r="143" spans="1:13" x14ac:dyDescent="0.25">
      <c r="A143" s="45" t="s">
        <v>58</v>
      </c>
      <c r="B143" s="46">
        <v>5</v>
      </c>
      <c r="C143" s="45" t="s">
        <v>36</v>
      </c>
      <c r="D143" s="45" t="s">
        <v>11</v>
      </c>
      <c r="E143" s="46">
        <v>164.28800000000001</v>
      </c>
      <c r="F143" s="46">
        <v>2.4992000000000001</v>
      </c>
      <c r="G143" s="37"/>
      <c r="H143" s="45" t="s">
        <v>58</v>
      </c>
      <c r="I143" s="46">
        <v>5</v>
      </c>
      <c r="J143" s="45" t="s">
        <v>36</v>
      </c>
      <c r="K143" s="45" t="s">
        <v>12</v>
      </c>
      <c r="L143" s="46">
        <v>65.745000000000005</v>
      </c>
      <c r="M143" s="46">
        <v>-90.587999999999994</v>
      </c>
    </row>
    <row r="144" spans="1:13" x14ac:dyDescent="0.25">
      <c r="A144" s="45" t="s">
        <v>58</v>
      </c>
      <c r="B144" s="46">
        <v>5.5</v>
      </c>
      <c r="C144" s="45" t="s">
        <v>36</v>
      </c>
      <c r="D144" s="45" t="s">
        <v>11</v>
      </c>
      <c r="E144" s="46">
        <v>200.797</v>
      </c>
      <c r="F144" s="46">
        <v>-35.174500000000002</v>
      </c>
      <c r="G144" s="37"/>
      <c r="H144" s="45" t="s">
        <v>58</v>
      </c>
      <c r="I144" s="46">
        <v>5.5</v>
      </c>
      <c r="J144" s="45" t="s">
        <v>36</v>
      </c>
      <c r="K144" s="45" t="s">
        <v>12</v>
      </c>
      <c r="L144" s="46">
        <v>84.95</v>
      </c>
      <c r="M144" s="46">
        <v>-174.7825</v>
      </c>
    </row>
    <row r="145" spans="1:13" x14ac:dyDescent="0.25">
      <c r="A145" s="45" t="s">
        <v>59</v>
      </c>
      <c r="B145" s="46">
        <v>0</v>
      </c>
      <c r="C145" s="45" t="s">
        <v>36</v>
      </c>
      <c r="D145" s="45" t="s">
        <v>11</v>
      </c>
      <c r="E145" s="46">
        <v>-50.494999999999997</v>
      </c>
      <c r="F145" s="46">
        <v>5.5646000000000004</v>
      </c>
      <c r="G145" s="37"/>
      <c r="H145" s="45" t="s">
        <v>59</v>
      </c>
      <c r="I145" s="46">
        <v>0</v>
      </c>
      <c r="J145" s="45" t="s">
        <v>36</v>
      </c>
      <c r="K145" s="45" t="s">
        <v>12</v>
      </c>
      <c r="L145" s="46">
        <v>-156.28700000000001</v>
      </c>
      <c r="M145" s="46">
        <v>-123.4007</v>
      </c>
    </row>
    <row r="146" spans="1:13" x14ac:dyDescent="0.25">
      <c r="A146" s="45" t="s">
        <v>59</v>
      </c>
      <c r="B146" s="46">
        <v>0.5</v>
      </c>
      <c r="C146" s="45" t="s">
        <v>36</v>
      </c>
      <c r="D146" s="45" t="s">
        <v>11</v>
      </c>
      <c r="E146" s="46">
        <v>-31.29</v>
      </c>
      <c r="F146" s="46">
        <v>26.011099999999999</v>
      </c>
      <c r="G146" s="37"/>
      <c r="H146" s="45" t="s">
        <v>59</v>
      </c>
      <c r="I146" s="46">
        <v>0.5</v>
      </c>
      <c r="J146" s="45" t="s">
        <v>36</v>
      </c>
      <c r="K146" s="45" t="s">
        <v>12</v>
      </c>
      <c r="L146" s="46">
        <v>-119.77800000000001</v>
      </c>
      <c r="M146" s="46">
        <v>-70.990799999999993</v>
      </c>
    </row>
    <row r="147" spans="1:13" x14ac:dyDescent="0.25">
      <c r="A147" s="45" t="s">
        <v>59</v>
      </c>
      <c r="B147" s="46">
        <v>1</v>
      </c>
      <c r="C147" s="45" t="s">
        <v>36</v>
      </c>
      <c r="D147" s="45" t="s">
        <v>11</v>
      </c>
      <c r="E147" s="46">
        <v>-12.086</v>
      </c>
      <c r="F147" s="46">
        <v>36.855200000000004</v>
      </c>
      <c r="G147" s="37"/>
      <c r="H147" s="45" t="s">
        <v>59</v>
      </c>
      <c r="I147" s="46">
        <v>1</v>
      </c>
      <c r="J147" s="45" t="s">
        <v>36</v>
      </c>
      <c r="K147" s="45" t="s">
        <v>12</v>
      </c>
      <c r="L147" s="46">
        <v>-83.269000000000005</v>
      </c>
      <c r="M147" s="46">
        <v>-28.183399999999999</v>
      </c>
    </row>
    <row r="148" spans="1:13" x14ac:dyDescent="0.25">
      <c r="A148" s="45" t="s">
        <v>59</v>
      </c>
      <c r="B148" s="46">
        <v>1.5</v>
      </c>
      <c r="C148" s="45" t="s">
        <v>36</v>
      </c>
      <c r="D148" s="45" t="s">
        <v>11</v>
      </c>
      <c r="E148" s="46">
        <v>7.1189999999999998</v>
      </c>
      <c r="F148" s="46">
        <v>41.360399999999998</v>
      </c>
      <c r="G148" s="37"/>
      <c r="H148" s="45" t="s">
        <v>59</v>
      </c>
      <c r="I148" s="46">
        <v>1.5</v>
      </c>
      <c r="J148" s="45" t="s">
        <v>36</v>
      </c>
      <c r="K148" s="45" t="s">
        <v>12</v>
      </c>
      <c r="L148" s="46">
        <v>-56.808</v>
      </c>
      <c r="M148" s="46">
        <v>5.0213000000000001</v>
      </c>
    </row>
    <row r="149" spans="1:13" x14ac:dyDescent="0.25">
      <c r="A149" s="45" t="s">
        <v>59</v>
      </c>
      <c r="B149" s="46">
        <v>2</v>
      </c>
      <c r="C149" s="45" t="s">
        <v>36</v>
      </c>
      <c r="D149" s="45" t="s">
        <v>11</v>
      </c>
      <c r="E149" s="46">
        <v>26.324000000000002</v>
      </c>
      <c r="F149" s="46">
        <v>55.613799999999998</v>
      </c>
      <c r="G149" s="37"/>
      <c r="H149" s="45" t="s">
        <v>59</v>
      </c>
      <c r="I149" s="46">
        <v>2</v>
      </c>
      <c r="J149" s="45" t="s">
        <v>36</v>
      </c>
      <c r="K149" s="45" t="s">
        <v>12</v>
      </c>
      <c r="L149" s="46">
        <v>-37.603000000000002</v>
      </c>
      <c r="M149" s="46">
        <v>28.6005</v>
      </c>
    </row>
    <row r="150" spans="1:13" x14ac:dyDescent="0.25">
      <c r="A150" s="45" t="s">
        <v>59</v>
      </c>
      <c r="B150" s="46">
        <v>2.5</v>
      </c>
      <c r="C150" s="45" t="s">
        <v>36</v>
      </c>
      <c r="D150" s="45" t="s">
        <v>11</v>
      </c>
      <c r="E150" s="46">
        <v>45.529000000000003</v>
      </c>
      <c r="F150" s="46">
        <v>51.6128</v>
      </c>
      <c r="G150" s="37"/>
      <c r="H150" s="45" t="s">
        <v>59</v>
      </c>
      <c r="I150" s="46">
        <v>2.5</v>
      </c>
      <c r="J150" s="45" t="s">
        <v>36</v>
      </c>
      <c r="K150" s="45" t="s">
        <v>12</v>
      </c>
      <c r="L150" s="46">
        <v>-18.398</v>
      </c>
      <c r="M150" s="46">
        <v>11.7715</v>
      </c>
    </row>
    <row r="151" spans="1:13" x14ac:dyDescent="0.25">
      <c r="A151" s="45" t="s">
        <v>59</v>
      </c>
      <c r="B151" s="46">
        <v>3</v>
      </c>
      <c r="C151" s="45" t="s">
        <v>36</v>
      </c>
      <c r="D151" s="45" t="s">
        <v>11</v>
      </c>
      <c r="E151" s="46">
        <v>64.733999999999995</v>
      </c>
      <c r="F151" s="46">
        <v>47.023400000000002</v>
      </c>
      <c r="G151" s="37"/>
      <c r="H151" s="45" t="s">
        <v>59</v>
      </c>
      <c r="I151" s="46">
        <v>3</v>
      </c>
      <c r="J151" s="45" t="s">
        <v>36</v>
      </c>
      <c r="K151" s="45" t="s">
        <v>12</v>
      </c>
      <c r="L151" s="46">
        <v>0.80700000000000005</v>
      </c>
      <c r="M151" s="46">
        <v>-15.793699999999999</v>
      </c>
    </row>
    <row r="152" spans="1:13" x14ac:dyDescent="0.25">
      <c r="A152" s="45" t="s">
        <v>59</v>
      </c>
      <c r="B152" s="46">
        <v>3.5</v>
      </c>
      <c r="C152" s="45" t="s">
        <v>36</v>
      </c>
      <c r="D152" s="45" t="s">
        <v>11</v>
      </c>
      <c r="E152" s="46">
        <v>99.272999999999996</v>
      </c>
      <c r="F152" s="46">
        <v>41.818800000000003</v>
      </c>
      <c r="G152" s="37"/>
      <c r="H152" s="45" t="s">
        <v>59</v>
      </c>
      <c r="I152" s="46">
        <v>3.5</v>
      </c>
      <c r="J152" s="45" t="s">
        <v>36</v>
      </c>
      <c r="K152" s="45" t="s">
        <v>12</v>
      </c>
      <c r="L152" s="46">
        <v>20.010999999999999</v>
      </c>
      <c r="M152" s="46">
        <v>-52.961599999999997</v>
      </c>
    </row>
    <row r="153" spans="1:13" x14ac:dyDescent="0.25">
      <c r="A153" s="45" t="s">
        <v>59</v>
      </c>
      <c r="B153" s="46">
        <v>4</v>
      </c>
      <c r="C153" s="45" t="s">
        <v>36</v>
      </c>
      <c r="D153" s="45" t="s">
        <v>11</v>
      </c>
      <c r="E153" s="46">
        <v>135.78200000000001</v>
      </c>
      <c r="F153" s="46">
        <v>27.011700000000001</v>
      </c>
      <c r="G153" s="37"/>
      <c r="H153" s="45" t="s">
        <v>59</v>
      </c>
      <c r="I153" s="46">
        <v>4</v>
      </c>
      <c r="J153" s="45" t="s">
        <v>36</v>
      </c>
      <c r="K153" s="45" t="s">
        <v>12</v>
      </c>
      <c r="L153" s="46">
        <v>39.216000000000001</v>
      </c>
      <c r="M153" s="46">
        <v>-99.731999999999999</v>
      </c>
    </row>
    <row r="184" spans="1:14" x14ac:dyDescent="0.25">
      <c r="A184" s="45" t="s">
        <v>60</v>
      </c>
      <c r="B184" s="46">
        <v>0</v>
      </c>
      <c r="C184" s="45" t="s">
        <v>36</v>
      </c>
      <c r="D184" s="45" t="s">
        <v>11</v>
      </c>
      <c r="E184" s="46">
        <v>-36.207999999999998</v>
      </c>
      <c r="F184" s="46">
        <v>32.955800000000004</v>
      </c>
      <c r="G184" s="37"/>
      <c r="H184" s="37"/>
      <c r="I184" s="45" t="s">
        <v>60</v>
      </c>
      <c r="J184" s="46">
        <v>0</v>
      </c>
      <c r="K184" s="45" t="s">
        <v>36</v>
      </c>
      <c r="L184" s="45" t="s">
        <v>12</v>
      </c>
      <c r="M184" s="46">
        <v>-135.755</v>
      </c>
      <c r="N184" s="48">
        <v>-105.60039999999999</v>
      </c>
    </row>
    <row r="185" spans="1:14" x14ac:dyDescent="0.25">
      <c r="A185" s="45" t="s">
        <v>60</v>
      </c>
      <c r="B185" s="46">
        <v>0.5</v>
      </c>
      <c r="C185" s="45" t="s">
        <v>36</v>
      </c>
      <c r="D185" s="45" t="s">
        <v>11</v>
      </c>
      <c r="E185" s="46">
        <v>-17.003</v>
      </c>
      <c r="F185" s="46">
        <v>46.258499999999998</v>
      </c>
      <c r="G185" s="37"/>
      <c r="H185" s="37"/>
      <c r="I185" s="45" t="s">
        <v>60</v>
      </c>
      <c r="J185" s="46">
        <v>0.5</v>
      </c>
      <c r="K185" s="45" t="s">
        <v>36</v>
      </c>
      <c r="L185" s="45" t="s">
        <v>12</v>
      </c>
      <c r="M185" s="46">
        <v>-99.247</v>
      </c>
      <c r="N185" s="48">
        <v>-57.357300000000002</v>
      </c>
    </row>
    <row r="186" spans="1:14" x14ac:dyDescent="0.25">
      <c r="A186" s="45" t="s">
        <v>60</v>
      </c>
      <c r="B186" s="46">
        <v>1</v>
      </c>
      <c r="C186" s="45" t="s">
        <v>36</v>
      </c>
      <c r="D186" s="45" t="s">
        <v>11</v>
      </c>
      <c r="E186" s="46">
        <v>2.202</v>
      </c>
      <c r="F186" s="46">
        <v>49.958799999999997</v>
      </c>
      <c r="G186" s="37"/>
      <c r="H186" s="37"/>
      <c r="I186" s="45" t="s">
        <v>60</v>
      </c>
      <c r="J186" s="46">
        <v>1</v>
      </c>
      <c r="K186" s="45" t="s">
        <v>36</v>
      </c>
      <c r="L186" s="45" t="s">
        <v>12</v>
      </c>
      <c r="M186" s="46">
        <v>-67.679000000000002</v>
      </c>
      <c r="N186" s="48">
        <v>-18.7166</v>
      </c>
    </row>
    <row r="187" spans="1:14" x14ac:dyDescent="0.25">
      <c r="A187" s="45" t="s">
        <v>60</v>
      </c>
      <c r="B187" s="46">
        <v>1.5</v>
      </c>
      <c r="C187" s="45" t="s">
        <v>36</v>
      </c>
      <c r="D187" s="45" t="s">
        <v>11</v>
      </c>
      <c r="E187" s="46">
        <v>21.407</v>
      </c>
      <c r="F187" s="46">
        <v>51.533799999999999</v>
      </c>
      <c r="G187" s="37"/>
      <c r="H187" s="37"/>
      <c r="I187" s="45" t="s">
        <v>60</v>
      </c>
      <c r="J187" s="46">
        <v>1.5</v>
      </c>
      <c r="K187" s="45" t="s">
        <v>36</v>
      </c>
      <c r="L187" s="45" t="s">
        <v>12</v>
      </c>
      <c r="M187" s="46">
        <v>-48.473999999999997</v>
      </c>
      <c r="N187" s="48">
        <v>10.321300000000001</v>
      </c>
    </row>
    <row r="188" spans="1:14" x14ac:dyDescent="0.25">
      <c r="A188" s="45" t="s">
        <v>60</v>
      </c>
      <c r="B188" s="46">
        <v>2</v>
      </c>
      <c r="C188" s="45" t="s">
        <v>36</v>
      </c>
      <c r="D188" s="45" t="s">
        <v>11</v>
      </c>
      <c r="E188" s="46">
        <v>40.612000000000002</v>
      </c>
      <c r="F188" s="46">
        <v>55.521500000000003</v>
      </c>
      <c r="G188" s="37"/>
      <c r="H188" s="37"/>
      <c r="I188" s="45" t="s">
        <v>60</v>
      </c>
      <c r="J188" s="46">
        <v>2</v>
      </c>
      <c r="K188" s="45" t="s">
        <v>36</v>
      </c>
      <c r="L188" s="45" t="s">
        <v>12</v>
      </c>
      <c r="M188" s="46">
        <v>-29.27</v>
      </c>
      <c r="N188" s="48">
        <v>28.526199999999999</v>
      </c>
    </row>
    <row r="189" spans="1:14" x14ac:dyDescent="0.25">
      <c r="A189" s="45" t="s">
        <v>60</v>
      </c>
      <c r="B189" s="46">
        <v>2.5</v>
      </c>
      <c r="C189" s="45" t="s">
        <v>36</v>
      </c>
      <c r="D189" s="45" t="s">
        <v>11</v>
      </c>
      <c r="E189" s="46">
        <v>59.817</v>
      </c>
      <c r="F189" s="46">
        <v>41.254899999999999</v>
      </c>
      <c r="G189" s="37"/>
      <c r="H189" s="37"/>
      <c r="I189" s="45" t="s">
        <v>60</v>
      </c>
      <c r="J189" s="46">
        <v>2.5</v>
      </c>
      <c r="K189" s="45" t="s">
        <v>36</v>
      </c>
      <c r="L189" s="45" t="s">
        <v>12</v>
      </c>
      <c r="M189" s="46">
        <v>-10.065</v>
      </c>
      <c r="N189" s="48">
        <v>3.4434999999999998</v>
      </c>
    </row>
    <row r="190" spans="1:14" x14ac:dyDescent="0.25">
      <c r="A190" s="45" t="s">
        <v>60</v>
      </c>
      <c r="B190" s="46">
        <v>3</v>
      </c>
      <c r="C190" s="45" t="s">
        <v>36</v>
      </c>
      <c r="D190" s="45" t="s">
        <v>11</v>
      </c>
      <c r="E190" s="46">
        <v>83.296000000000006</v>
      </c>
      <c r="F190" s="46">
        <v>39.823300000000003</v>
      </c>
      <c r="G190" s="37"/>
      <c r="H190" s="37"/>
      <c r="I190" s="45" t="s">
        <v>60</v>
      </c>
      <c r="J190" s="46">
        <v>3</v>
      </c>
      <c r="K190" s="45" t="s">
        <v>36</v>
      </c>
      <c r="L190" s="45" t="s">
        <v>12</v>
      </c>
      <c r="M190" s="46">
        <v>9.14</v>
      </c>
      <c r="N190" s="48">
        <v>-31.265599999999999</v>
      </c>
    </row>
    <row r="191" spans="1:14" x14ac:dyDescent="0.25">
      <c r="A191" s="45" t="s">
        <v>60</v>
      </c>
      <c r="B191" s="46">
        <v>3.5</v>
      </c>
      <c r="C191" s="45" t="s">
        <v>36</v>
      </c>
      <c r="D191" s="45" t="s">
        <v>11</v>
      </c>
      <c r="E191" s="46">
        <v>119.80500000000001</v>
      </c>
      <c r="F191" s="46">
        <v>30.451899999999998</v>
      </c>
      <c r="G191" s="37"/>
      <c r="H191" s="37"/>
      <c r="I191" s="45" t="s">
        <v>60</v>
      </c>
      <c r="J191" s="46">
        <v>3.5</v>
      </c>
      <c r="K191" s="45" t="s">
        <v>36</v>
      </c>
      <c r="L191" s="45" t="s">
        <v>12</v>
      </c>
      <c r="M191" s="46">
        <v>28.344999999999999</v>
      </c>
      <c r="N191" s="48">
        <v>-75.577299999999994</v>
      </c>
    </row>
    <row r="192" spans="1:14" x14ac:dyDescent="0.25">
      <c r="A192" s="45" t="s">
        <v>60</v>
      </c>
      <c r="B192" s="46">
        <v>4</v>
      </c>
      <c r="C192" s="45" t="s">
        <v>36</v>
      </c>
      <c r="D192" s="45" t="s">
        <v>11</v>
      </c>
      <c r="E192" s="46">
        <v>156.31299999999999</v>
      </c>
      <c r="F192" s="46">
        <v>11.478199999999999</v>
      </c>
      <c r="G192" s="37"/>
      <c r="H192" s="37"/>
      <c r="I192" s="45" t="s">
        <v>60</v>
      </c>
      <c r="J192" s="46">
        <v>4</v>
      </c>
      <c r="K192" s="45" t="s">
        <v>36</v>
      </c>
      <c r="L192" s="45" t="s">
        <v>12</v>
      </c>
      <c r="M192" s="46">
        <v>47.55</v>
      </c>
      <c r="N192" s="48">
        <v>-129.49160000000001</v>
      </c>
    </row>
    <row r="193" spans="1:14" x14ac:dyDescent="0.25">
      <c r="A193" s="45" t="s">
        <v>61</v>
      </c>
      <c r="B193" s="46">
        <v>0</v>
      </c>
      <c r="C193" s="45" t="s">
        <v>36</v>
      </c>
      <c r="D193" s="45" t="s">
        <v>11</v>
      </c>
      <c r="E193" s="46">
        <v>-82.995999999999995</v>
      </c>
      <c r="F193" s="46">
        <v>-29.8369</v>
      </c>
      <c r="G193" s="37"/>
      <c r="H193" s="37"/>
      <c r="I193" s="45" t="s">
        <v>61</v>
      </c>
      <c r="J193" s="46">
        <v>0</v>
      </c>
      <c r="K193" s="45" t="s">
        <v>36</v>
      </c>
      <c r="L193" s="45" t="s">
        <v>12</v>
      </c>
      <c r="M193" s="46">
        <v>-200.797</v>
      </c>
      <c r="N193" s="48">
        <v>-174.86160000000001</v>
      </c>
    </row>
    <row r="194" spans="1:14" x14ac:dyDescent="0.25">
      <c r="A194" s="45" t="s">
        <v>61</v>
      </c>
      <c r="B194" s="46">
        <v>0.5</v>
      </c>
      <c r="C194" s="45" t="s">
        <v>36</v>
      </c>
      <c r="D194" s="45" t="s">
        <v>11</v>
      </c>
      <c r="E194" s="46">
        <v>-63.792000000000002</v>
      </c>
      <c r="F194" s="46">
        <v>6.8601000000000001</v>
      </c>
      <c r="G194" s="37"/>
      <c r="H194" s="37"/>
      <c r="I194" s="45" t="s">
        <v>61</v>
      </c>
      <c r="J194" s="46">
        <v>0.5</v>
      </c>
      <c r="K194" s="45" t="s">
        <v>36</v>
      </c>
      <c r="L194" s="45" t="s">
        <v>12</v>
      </c>
      <c r="M194" s="46">
        <v>-164.28800000000001</v>
      </c>
      <c r="N194" s="48">
        <v>-95.006600000000006</v>
      </c>
    </row>
    <row r="195" spans="1:14" x14ac:dyDescent="0.25">
      <c r="A195" s="45" t="s">
        <v>61</v>
      </c>
      <c r="B195" s="46">
        <v>1</v>
      </c>
      <c r="C195" s="45" t="s">
        <v>36</v>
      </c>
      <c r="D195" s="45" t="s">
        <v>11</v>
      </c>
      <c r="E195" s="46">
        <v>-44.587000000000003</v>
      </c>
      <c r="F195" s="46">
        <v>33.954599999999999</v>
      </c>
      <c r="G195" s="37"/>
      <c r="H195" s="37"/>
      <c r="I195" s="45" t="s">
        <v>61</v>
      </c>
      <c r="J195" s="46">
        <v>1</v>
      </c>
      <c r="K195" s="45" t="s">
        <v>36</v>
      </c>
      <c r="L195" s="45" t="s">
        <v>12</v>
      </c>
      <c r="M195" s="46">
        <v>-127.78</v>
      </c>
      <c r="N195" s="48">
        <v>-45.281799999999997</v>
      </c>
    </row>
    <row r="196" spans="1:14" x14ac:dyDescent="0.25">
      <c r="A196" s="45" t="s">
        <v>61</v>
      </c>
      <c r="B196" s="46">
        <v>1.5</v>
      </c>
      <c r="C196" s="45" t="s">
        <v>36</v>
      </c>
      <c r="D196" s="45" t="s">
        <v>11</v>
      </c>
      <c r="E196" s="46">
        <v>-25.382000000000001</v>
      </c>
      <c r="F196" s="46">
        <v>51.446800000000003</v>
      </c>
      <c r="G196" s="37"/>
      <c r="H196" s="37"/>
      <c r="I196" s="45" t="s">
        <v>61</v>
      </c>
      <c r="J196" s="46">
        <v>1.5</v>
      </c>
      <c r="K196" s="45" t="s">
        <v>36</v>
      </c>
      <c r="L196" s="45" t="s">
        <v>12</v>
      </c>
      <c r="M196" s="46">
        <v>-91.271000000000001</v>
      </c>
      <c r="N196" s="48">
        <v>-5.1595000000000004</v>
      </c>
    </row>
    <row r="197" spans="1:14" x14ac:dyDescent="0.25">
      <c r="A197" s="45" t="s">
        <v>61</v>
      </c>
      <c r="B197" s="46">
        <v>2</v>
      </c>
      <c r="C197" s="45" t="s">
        <v>36</v>
      </c>
      <c r="D197" s="45" t="s">
        <v>11</v>
      </c>
      <c r="E197" s="46">
        <v>-6.1769999999999996</v>
      </c>
      <c r="F197" s="46">
        <v>80.698099999999997</v>
      </c>
      <c r="G197" s="37"/>
      <c r="H197" s="37"/>
      <c r="I197" s="45" t="s">
        <v>61</v>
      </c>
      <c r="J197" s="46">
        <v>2</v>
      </c>
      <c r="K197" s="45" t="s">
        <v>36</v>
      </c>
      <c r="L197" s="45" t="s">
        <v>12</v>
      </c>
      <c r="M197" s="46">
        <v>-54.762999999999998</v>
      </c>
      <c r="N197" s="48">
        <v>25.360399999999998</v>
      </c>
    </row>
    <row r="198" spans="1:14" x14ac:dyDescent="0.25">
      <c r="A198" s="45" t="s">
        <v>61</v>
      </c>
      <c r="B198" s="46">
        <v>2.5</v>
      </c>
      <c r="C198" s="45" t="s">
        <v>36</v>
      </c>
      <c r="D198" s="45" t="s">
        <v>11</v>
      </c>
      <c r="E198" s="46">
        <v>13.028</v>
      </c>
      <c r="F198" s="46">
        <v>98.952399999999997</v>
      </c>
      <c r="G198" s="37"/>
      <c r="H198" s="37"/>
      <c r="I198" s="45" t="s">
        <v>61</v>
      </c>
      <c r="J198" s="46">
        <v>2.5</v>
      </c>
      <c r="K198" s="45" t="s">
        <v>36</v>
      </c>
      <c r="L198" s="45" t="s">
        <v>12</v>
      </c>
      <c r="M198" s="46">
        <v>-32.232999999999997</v>
      </c>
      <c r="N198" s="48">
        <v>46.277900000000002</v>
      </c>
    </row>
    <row r="199" spans="1:14" x14ac:dyDescent="0.25">
      <c r="A199" s="45" t="s">
        <v>61</v>
      </c>
      <c r="B199" s="46">
        <v>3</v>
      </c>
      <c r="C199" s="45" t="s">
        <v>36</v>
      </c>
      <c r="D199" s="45" t="s">
        <v>11</v>
      </c>
      <c r="E199" s="46">
        <v>32.232999999999997</v>
      </c>
      <c r="F199" s="46">
        <v>98.952399999999997</v>
      </c>
      <c r="G199" s="37"/>
      <c r="H199" s="37"/>
      <c r="I199" s="45" t="s">
        <v>61</v>
      </c>
      <c r="J199" s="46">
        <v>3</v>
      </c>
      <c r="K199" s="45" t="s">
        <v>36</v>
      </c>
      <c r="L199" s="45" t="s">
        <v>12</v>
      </c>
      <c r="M199" s="46">
        <v>-13.028</v>
      </c>
      <c r="N199" s="48">
        <v>46.277900000000002</v>
      </c>
    </row>
    <row r="200" spans="1:14" x14ac:dyDescent="0.25">
      <c r="A200" s="45" t="s">
        <v>61</v>
      </c>
      <c r="B200" s="46">
        <v>3.5</v>
      </c>
      <c r="C200" s="45" t="s">
        <v>36</v>
      </c>
      <c r="D200" s="45" t="s">
        <v>11</v>
      </c>
      <c r="E200" s="46">
        <v>54.762999999999998</v>
      </c>
      <c r="F200" s="46">
        <v>80.698099999999997</v>
      </c>
      <c r="G200" s="37"/>
      <c r="H200" s="37"/>
      <c r="I200" s="45" t="s">
        <v>61</v>
      </c>
      <c r="J200" s="46">
        <v>3.5</v>
      </c>
      <c r="K200" s="45" t="s">
        <v>36</v>
      </c>
      <c r="L200" s="45" t="s">
        <v>12</v>
      </c>
      <c r="M200" s="46">
        <v>6.1769999999999996</v>
      </c>
      <c r="N200" s="48">
        <v>25.360399999999998</v>
      </c>
    </row>
    <row r="201" spans="1:14" x14ac:dyDescent="0.25">
      <c r="A201" s="45" t="s">
        <v>61</v>
      </c>
      <c r="B201" s="46">
        <v>4</v>
      </c>
      <c r="C201" s="45" t="s">
        <v>36</v>
      </c>
      <c r="D201" s="45" t="s">
        <v>11</v>
      </c>
      <c r="E201" s="46">
        <v>91.271000000000001</v>
      </c>
      <c r="F201" s="46">
        <v>51.446800000000003</v>
      </c>
      <c r="G201" s="37"/>
      <c r="H201" s="37"/>
      <c r="I201" s="45" t="s">
        <v>61</v>
      </c>
      <c r="J201" s="46">
        <v>4</v>
      </c>
      <c r="K201" s="45" t="s">
        <v>36</v>
      </c>
      <c r="L201" s="45" t="s">
        <v>12</v>
      </c>
      <c r="M201" s="46">
        <v>25.382000000000001</v>
      </c>
      <c r="N201" s="48">
        <v>-5.1595000000000004</v>
      </c>
    </row>
    <row r="202" spans="1:14" x14ac:dyDescent="0.25">
      <c r="A202" s="45" t="s">
        <v>61</v>
      </c>
      <c r="B202" s="46">
        <v>4.5</v>
      </c>
      <c r="C202" s="45" t="s">
        <v>36</v>
      </c>
      <c r="D202" s="45" t="s">
        <v>11</v>
      </c>
      <c r="E202" s="46">
        <v>127.78</v>
      </c>
      <c r="F202" s="46">
        <v>33.954599999999999</v>
      </c>
      <c r="G202" s="37"/>
      <c r="H202" s="37"/>
      <c r="I202" s="45" t="s">
        <v>61</v>
      </c>
      <c r="J202" s="46">
        <v>4.5</v>
      </c>
      <c r="K202" s="45" t="s">
        <v>36</v>
      </c>
      <c r="L202" s="45" t="s">
        <v>12</v>
      </c>
      <c r="M202" s="46">
        <v>44.587000000000003</v>
      </c>
      <c r="N202" s="48">
        <v>-45.281799999999997</v>
      </c>
    </row>
    <row r="203" spans="1:14" x14ac:dyDescent="0.25">
      <c r="A203" s="45" t="s">
        <v>61</v>
      </c>
      <c r="B203" s="46">
        <v>5</v>
      </c>
      <c r="C203" s="45" t="s">
        <v>36</v>
      </c>
      <c r="D203" s="45" t="s">
        <v>11</v>
      </c>
      <c r="E203" s="46">
        <v>164.28800000000001</v>
      </c>
      <c r="F203" s="46">
        <v>6.8601000000000001</v>
      </c>
      <c r="G203" s="37"/>
      <c r="H203" s="37"/>
      <c r="I203" s="45" t="s">
        <v>61</v>
      </c>
      <c r="J203" s="46">
        <v>5</v>
      </c>
      <c r="K203" s="45" t="s">
        <v>36</v>
      </c>
      <c r="L203" s="45" t="s">
        <v>12</v>
      </c>
      <c r="M203" s="46">
        <v>63.792000000000002</v>
      </c>
      <c r="N203" s="48">
        <v>-95.006600000000006</v>
      </c>
    </row>
    <row r="204" spans="1:14" x14ac:dyDescent="0.25">
      <c r="A204" s="45" t="s">
        <v>61</v>
      </c>
      <c r="B204" s="46">
        <v>5.5</v>
      </c>
      <c r="C204" s="45" t="s">
        <v>36</v>
      </c>
      <c r="D204" s="45" t="s">
        <v>11</v>
      </c>
      <c r="E204" s="46">
        <v>200.797</v>
      </c>
      <c r="F204" s="46">
        <v>-29.8369</v>
      </c>
      <c r="G204" s="37"/>
      <c r="H204" s="37"/>
      <c r="I204" s="45" t="s">
        <v>61</v>
      </c>
      <c r="J204" s="46">
        <v>5.5</v>
      </c>
      <c r="K204" s="45" t="s">
        <v>36</v>
      </c>
      <c r="L204" s="45" t="s">
        <v>12</v>
      </c>
      <c r="M204" s="46">
        <v>82.995999999999995</v>
      </c>
      <c r="N204" s="48">
        <v>-174.86160000000001</v>
      </c>
    </row>
    <row r="205" spans="1:14" x14ac:dyDescent="0.25">
      <c r="A205" s="45" t="s">
        <v>62</v>
      </c>
      <c r="B205" s="46">
        <v>0</v>
      </c>
      <c r="C205" s="45" t="s">
        <v>36</v>
      </c>
      <c r="D205" s="45" t="s">
        <v>11</v>
      </c>
      <c r="E205" s="46">
        <v>-47.55</v>
      </c>
      <c r="F205" s="46">
        <v>11.478199999999999</v>
      </c>
      <c r="G205" s="37"/>
      <c r="H205" s="37"/>
      <c r="I205" s="45" t="s">
        <v>62</v>
      </c>
      <c r="J205" s="46">
        <v>0</v>
      </c>
      <c r="K205" s="45" t="s">
        <v>36</v>
      </c>
      <c r="L205" s="45" t="s">
        <v>12</v>
      </c>
      <c r="M205" s="46">
        <v>-156.31299999999999</v>
      </c>
      <c r="N205" s="48">
        <v>-129.49160000000001</v>
      </c>
    </row>
    <row r="206" spans="1:14" x14ac:dyDescent="0.25">
      <c r="A206" s="45" t="s">
        <v>62</v>
      </c>
      <c r="B206" s="46">
        <v>0.5</v>
      </c>
      <c r="C206" s="45" t="s">
        <v>36</v>
      </c>
      <c r="D206" s="45" t="s">
        <v>11</v>
      </c>
      <c r="E206" s="46">
        <v>-28.344999999999999</v>
      </c>
      <c r="F206" s="46">
        <v>30.451899999999998</v>
      </c>
      <c r="G206" s="37"/>
      <c r="H206" s="37"/>
      <c r="I206" s="45" t="s">
        <v>62</v>
      </c>
      <c r="J206" s="46">
        <v>0.5</v>
      </c>
      <c r="K206" s="45" t="s">
        <v>36</v>
      </c>
      <c r="L206" s="45" t="s">
        <v>12</v>
      </c>
      <c r="M206" s="46">
        <v>-119.80500000000001</v>
      </c>
      <c r="N206" s="48">
        <v>-75.577299999999994</v>
      </c>
    </row>
    <row r="207" spans="1:14" x14ac:dyDescent="0.25">
      <c r="A207" s="45" t="s">
        <v>62</v>
      </c>
      <c r="B207" s="46">
        <v>1</v>
      </c>
      <c r="C207" s="45" t="s">
        <v>36</v>
      </c>
      <c r="D207" s="45" t="s">
        <v>11</v>
      </c>
      <c r="E207" s="46">
        <v>-9.14</v>
      </c>
      <c r="F207" s="46">
        <v>39.823300000000003</v>
      </c>
      <c r="G207" s="37"/>
      <c r="H207" s="37"/>
      <c r="I207" s="45" t="s">
        <v>62</v>
      </c>
      <c r="J207" s="46">
        <v>1</v>
      </c>
      <c r="K207" s="45" t="s">
        <v>36</v>
      </c>
      <c r="L207" s="45" t="s">
        <v>12</v>
      </c>
      <c r="M207" s="46">
        <v>-83.296000000000006</v>
      </c>
      <c r="N207" s="48">
        <v>-31.265599999999999</v>
      </c>
    </row>
    <row r="208" spans="1:14" x14ac:dyDescent="0.25">
      <c r="A208" s="45" t="s">
        <v>62</v>
      </c>
      <c r="B208" s="46">
        <v>1.5</v>
      </c>
      <c r="C208" s="45" t="s">
        <v>36</v>
      </c>
      <c r="D208" s="45" t="s">
        <v>11</v>
      </c>
      <c r="E208" s="46">
        <v>10.065</v>
      </c>
      <c r="F208" s="46">
        <v>41.254899999999999</v>
      </c>
      <c r="G208" s="37"/>
      <c r="H208" s="37"/>
      <c r="I208" s="45" t="s">
        <v>62</v>
      </c>
      <c r="J208" s="46">
        <v>1.5</v>
      </c>
      <c r="K208" s="45" t="s">
        <v>36</v>
      </c>
      <c r="L208" s="45" t="s">
        <v>12</v>
      </c>
      <c r="M208" s="46">
        <v>-59.817</v>
      </c>
      <c r="N208" s="48">
        <v>3.4434999999999998</v>
      </c>
    </row>
    <row r="209" spans="1:14" x14ac:dyDescent="0.25">
      <c r="A209" s="45" t="s">
        <v>62</v>
      </c>
      <c r="B209" s="46">
        <v>2</v>
      </c>
      <c r="C209" s="45" t="s">
        <v>36</v>
      </c>
      <c r="D209" s="45" t="s">
        <v>11</v>
      </c>
      <c r="E209" s="46">
        <v>29.27</v>
      </c>
      <c r="F209" s="46">
        <v>55.521500000000003</v>
      </c>
      <c r="G209" s="37"/>
      <c r="H209" s="37"/>
      <c r="I209" s="45" t="s">
        <v>62</v>
      </c>
      <c r="J209" s="46">
        <v>2</v>
      </c>
      <c r="K209" s="45" t="s">
        <v>36</v>
      </c>
      <c r="L209" s="45" t="s">
        <v>12</v>
      </c>
      <c r="M209" s="46">
        <v>-40.612000000000002</v>
      </c>
      <c r="N209" s="48">
        <v>28.526199999999999</v>
      </c>
    </row>
    <row r="210" spans="1:14" x14ac:dyDescent="0.25">
      <c r="A210" s="45" t="s">
        <v>62</v>
      </c>
      <c r="B210" s="46">
        <v>2.5</v>
      </c>
      <c r="C210" s="45" t="s">
        <v>36</v>
      </c>
      <c r="D210" s="45" t="s">
        <v>11</v>
      </c>
      <c r="E210" s="46">
        <v>48.473999999999997</v>
      </c>
      <c r="F210" s="46">
        <v>51.533799999999999</v>
      </c>
      <c r="G210" s="37"/>
      <c r="H210" s="37"/>
      <c r="I210" s="45" t="s">
        <v>62</v>
      </c>
      <c r="J210" s="46">
        <v>2.5</v>
      </c>
      <c r="K210" s="45" t="s">
        <v>36</v>
      </c>
      <c r="L210" s="45" t="s">
        <v>12</v>
      </c>
      <c r="M210" s="46">
        <v>-21.407</v>
      </c>
      <c r="N210" s="48">
        <v>10.321300000000001</v>
      </c>
    </row>
    <row r="211" spans="1:14" x14ac:dyDescent="0.25">
      <c r="A211" s="45" t="s">
        <v>62</v>
      </c>
      <c r="B211" s="46">
        <v>3</v>
      </c>
      <c r="C211" s="45" t="s">
        <v>36</v>
      </c>
      <c r="D211" s="45" t="s">
        <v>11</v>
      </c>
      <c r="E211" s="46">
        <v>67.679000000000002</v>
      </c>
      <c r="F211" s="46">
        <v>49.958799999999997</v>
      </c>
      <c r="G211" s="37"/>
      <c r="H211" s="37"/>
      <c r="I211" s="45" t="s">
        <v>62</v>
      </c>
      <c r="J211" s="46">
        <v>3</v>
      </c>
      <c r="K211" s="45" t="s">
        <v>36</v>
      </c>
      <c r="L211" s="45" t="s">
        <v>12</v>
      </c>
      <c r="M211" s="46">
        <v>-2.202</v>
      </c>
      <c r="N211" s="48">
        <v>-18.7166</v>
      </c>
    </row>
    <row r="212" spans="1:14" x14ac:dyDescent="0.25">
      <c r="A212" s="45" t="s">
        <v>62</v>
      </c>
      <c r="B212" s="46">
        <v>3.5</v>
      </c>
      <c r="C212" s="45" t="s">
        <v>36</v>
      </c>
      <c r="D212" s="45" t="s">
        <v>11</v>
      </c>
      <c r="E212" s="46">
        <v>99.247</v>
      </c>
      <c r="F212" s="46">
        <v>46.258499999999998</v>
      </c>
      <c r="G212" s="37"/>
      <c r="H212" s="37"/>
      <c r="I212" s="45" t="s">
        <v>62</v>
      </c>
      <c r="J212" s="46">
        <v>3.5</v>
      </c>
      <c r="K212" s="45" t="s">
        <v>36</v>
      </c>
      <c r="L212" s="45" t="s">
        <v>12</v>
      </c>
      <c r="M212" s="46">
        <v>17.003</v>
      </c>
      <c r="N212" s="48">
        <v>-57.357300000000002</v>
      </c>
    </row>
    <row r="213" spans="1:14" x14ac:dyDescent="0.25">
      <c r="A213" s="45" t="s">
        <v>62</v>
      </c>
      <c r="B213" s="46">
        <v>4</v>
      </c>
      <c r="C213" s="45" t="s">
        <v>36</v>
      </c>
      <c r="D213" s="45" t="s">
        <v>11</v>
      </c>
      <c r="E213" s="46">
        <v>135.755</v>
      </c>
      <c r="F213" s="46">
        <v>32.955800000000004</v>
      </c>
      <c r="G213" s="37"/>
      <c r="H213" s="37"/>
      <c r="I213" s="45" t="s">
        <v>62</v>
      </c>
      <c r="J213" s="46">
        <v>4</v>
      </c>
      <c r="K213" s="45" t="s">
        <v>36</v>
      </c>
      <c r="L213" s="45" t="s">
        <v>12</v>
      </c>
      <c r="M213" s="46">
        <v>36.207999999999998</v>
      </c>
      <c r="N213" s="48">
        <v>-105.60039999999999</v>
      </c>
    </row>
    <row r="244" spans="1:13" x14ac:dyDescent="0.25">
      <c r="A244" s="45" t="s">
        <v>63</v>
      </c>
      <c r="B244" s="46">
        <v>0</v>
      </c>
      <c r="C244" s="45" t="s">
        <v>36</v>
      </c>
      <c r="D244" s="45" t="s">
        <v>11</v>
      </c>
      <c r="E244" s="46">
        <v>-9.4390000000000001</v>
      </c>
      <c r="F244" s="46">
        <v>51.891199999999998</v>
      </c>
      <c r="G244" s="37"/>
      <c r="H244" s="45" t="s">
        <v>63</v>
      </c>
      <c r="I244" s="46">
        <v>0</v>
      </c>
      <c r="J244" s="45" t="s">
        <v>36</v>
      </c>
      <c r="K244" s="45" t="s">
        <v>12</v>
      </c>
      <c r="L244" s="46">
        <v>-85.265000000000001</v>
      </c>
      <c r="M244" s="46">
        <v>-98.344999999999999</v>
      </c>
    </row>
    <row r="245" spans="1:13" x14ac:dyDescent="0.25">
      <c r="A245" s="45" t="s">
        <v>63</v>
      </c>
      <c r="B245" s="46">
        <v>0.5</v>
      </c>
      <c r="C245" s="45" t="s">
        <v>36</v>
      </c>
      <c r="D245" s="45" t="s">
        <v>11</v>
      </c>
      <c r="E245" s="46">
        <v>3.4780000000000002</v>
      </c>
      <c r="F245" s="46">
        <v>53.381599999999999</v>
      </c>
      <c r="G245" s="37"/>
      <c r="H245" s="45" t="s">
        <v>63</v>
      </c>
      <c r="I245" s="46">
        <v>0.5</v>
      </c>
      <c r="J245" s="45" t="s">
        <v>36</v>
      </c>
      <c r="K245" s="45" t="s">
        <v>12</v>
      </c>
      <c r="L245" s="46">
        <v>-72.349000000000004</v>
      </c>
      <c r="M245" s="46">
        <v>-58.941600000000001</v>
      </c>
    </row>
    <row r="246" spans="1:13" x14ac:dyDescent="0.25">
      <c r="A246" s="45" t="s">
        <v>63</v>
      </c>
      <c r="B246" s="46">
        <v>1</v>
      </c>
      <c r="C246" s="45" t="s">
        <v>36</v>
      </c>
      <c r="D246" s="45" t="s">
        <v>11</v>
      </c>
      <c r="E246" s="46">
        <v>16.393999999999998</v>
      </c>
      <c r="F246" s="46">
        <v>48.413899999999998</v>
      </c>
      <c r="G246" s="37"/>
      <c r="H246" s="45" t="s">
        <v>63</v>
      </c>
      <c r="I246" s="46">
        <v>1</v>
      </c>
      <c r="J246" s="45" t="s">
        <v>36</v>
      </c>
      <c r="K246" s="45" t="s">
        <v>12</v>
      </c>
      <c r="L246" s="46">
        <v>-59.432000000000002</v>
      </c>
      <c r="M246" s="46">
        <v>-25.996500000000001</v>
      </c>
    </row>
    <row r="247" spans="1:13" x14ac:dyDescent="0.25">
      <c r="A247" s="45" t="s">
        <v>63</v>
      </c>
      <c r="B247" s="46">
        <v>1.5</v>
      </c>
      <c r="C247" s="45" t="s">
        <v>36</v>
      </c>
      <c r="D247" s="45" t="s">
        <v>11</v>
      </c>
      <c r="E247" s="46">
        <v>29.31</v>
      </c>
      <c r="F247" s="46">
        <v>36.988199999999999</v>
      </c>
      <c r="G247" s="37"/>
      <c r="H247" s="45" t="s">
        <v>63</v>
      </c>
      <c r="I247" s="46">
        <v>1.5</v>
      </c>
      <c r="J247" s="45" t="s">
        <v>36</v>
      </c>
      <c r="K247" s="45" t="s">
        <v>12</v>
      </c>
      <c r="L247" s="46">
        <v>-46.515999999999998</v>
      </c>
      <c r="M247" s="46">
        <v>0.49009999999999998</v>
      </c>
    </row>
    <row r="248" spans="1:13" x14ac:dyDescent="0.25">
      <c r="A248" s="45" t="s">
        <v>63</v>
      </c>
      <c r="B248" s="46">
        <v>2</v>
      </c>
      <c r="C248" s="45" t="s">
        <v>36</v>
      </c>
      <c r="D248" s="45" t="s">
        <v>11</v>
      </c>
      <c r="E248" s="46">
        <v>42.226999999999997</v>
      </c>
      <c r="F248" s="46">
        <v>33.2913</v>
      </c>
      <c r="G248" s="37"/>
      <c r="H248" s="45" t="s">
        <v>63</v>
      </c>
      <c r="I248" s="46">
        <v>2</v>
      </c>
      <c r="J248" s="45" t="s">
        <v>36</v>
      </c>
      <c r="K248" s="45" t="s">
        <v>12</v>
      </c>
      <c r="L248" s="46">
        <v>-33.598999999999997</v>
      </c>
      <c r="M248" s="46">
        <v>19.0778</v>
      </c>
    </row>
    <row r="249" spans="1:13" x14ac:dyDescent="0.25">
      <c r="A249" s="45" t="s">
        <v>63</v>
      </c>
      <c r="B249" s="46">
        <v>2.5</v>
      </c>
      <c r="C249" s="45" t="s">
        <v>36</v>
      </c>
      <c r="D249" s="45" t="s">
        <v>11</v>
      </c>
      <c r="E249" s="46">
        <v>55.143000000000001</v>
      </c>
      <c r="F249" s="46">
        <v>34.091299999999997</v>
      </c>
      <c r="G249" s="37"/>
      <c r="H249" s="45" t="s">
        <v>63</v>
      </c>
      <c r="I249" s="46">
        <v>2.5</v>
      </c>
      <c r="J249" s="45" t="s">
        <v>36</v>
      </c>
      <c r="K249" s="45" t="s">
        <v>12</v>
      </c>
      <c r="L249" s="46">
        <v>-20.683</v>
      </c>
      <c r="M249" s="46">
        <v>-5.2404999999999999</v>
      </c>
    </row>
    <row r="250" spans="1:13" x14ac:dyDescent="0.25">
      <c r="A250" s="45" t="s">
        <v>63</v>
      </c>
      <c r="B250" s="46">
        <v>3</v>
      </c>
      <c r="C250" s="45" t="s">
        <v>36</v>
      </c>
      <c r="D250" s="45" t="s">
        <v>11</v>
      </c>
      <c r="E250" s="46">
        <v>68.06</v>
      </c>
      <c r="F250" s="46">
        <v>41.203299999999999</v>
      </c>
      <c r="G250" s="37"/>
      <c r="H250" s="45" t="s">
        <v>63</v>
      </c>
      <c r="I250" s="46">
        <v>3</v>
      </c>
      <c r="J250" s="45" t="s">
        <v>36</v>
      </c>
      <c r="K250" s="45" t="s">
        <v>12</v>
      </c>
      <c r="L250" s="46">
        <v>-7.7670000000000003</v>
      </c>
      <c r="M250" s="46">
        <v>-36.040900000000001</v>
      </c>
    </row>
    <row r="251" spans="1:13" x14ac:dyDescent="0.25">
      <c r="A251" s="45" t="s">
        <v>63</v>
      </c>
      <c r="B251" s="46">
        <v>3.5</v>
      </c>
      <c r="C251" s="45" t="s">
        <v>36</v>
      </c>
      <c r="D251" s="45" t="s">
        <v>11</v>
      </c>
      <c r="E251" s="46">
        <v>80.975999999999999</v>
      </c>
      <c r="F251" s="46">
        <v>41.857300000000002</v>
      </c>
      <c r="G251" s="37"/>
      <c r="H251" s="45" t="s">
        <v>63</v>
      </c>
      <c r="I251" s="46">
        <v>3.5</v>
      </c>
      <c r="J251" s="45" t="s">
        <v>36</v>
      </c>
      <c r="K251" s="45" t="s">
        <v>12</v>
      </c>
      <c r="L251" s="46">
        <v>5.15</v>
      </c>
      <c r="M251" s="46">
        <v>-73.299800000000005</v>
      </c>
    </row>
    <row r="252" spans="1:13" x14ac:dyDescent="0.25">
      <c r="A252" s="45" t="s">
        <v>63</v>
      </c>
      <c r="B252" s="46">
        <v>4</v>
      </c>
      <c r="C252" s="45" t="s">
        <v>36</v>
      </c>
      <c r="D252" s="45" t="s">
        <v>11</v>
      </c>
      <c r="E252" s="46">
        <v>93.893000000000001</v>
      </c>
      <c r="F252" s="46">
        <v>36.053100000000001</v>
      </c>
      <c r="G252" s="37"/>
      <c r="H252" s="45" t="s">
        <v>63</v>
      </c>
      <c r="I252" s="46">
        <v>4</v>
      </c>
      <c r="J252" s="45" t="s">
        <v>36</v>
      </c>
      <c r="K252" s="45" t="s">
        <v>12</v>
      </c>
      <c r="L252" s="46">
        <v>18.065999999999999</v>
      </c>
      <c r="M252" s="46">
        <v>-117.017</v>
      </c>
    </row>
    <row r="253" spans="1:13" x14ac:dyDescent="0.25">
      <c r="A253" s="45" t="s">
        <v>64</v>
      </c>
      <c r="B253" s="46">
        <v>0</v>
      </c>
      <c r="C253" s="45" t="s">
        <v>36</v>
      </c>
      <c r="D253" s="45" t="s">
        <v>11</v>
      </c>
      <c r="E253" s="46">
        <v>-46.646999999999998</v>
      </c>
      <c r="F253" s="46">
        <v>5.3682999999999996</v>
      </c>
      <c r="G253" s="37"/>
      <c r="H253" s="45" t="s">
        <v>64</v>
      </c>
      <c r="I253" s="46">
        <v>0</v>
      </c>
      <c r="J253" s="45" t="s">
        <v>36</v>
      </c>
      <c r="K253" s="45" t="s">
        <v>12</v>
      </c>
      <c r="L253" s="46">
        <v>-119.08199999999999</v>
      </c>
      <c r="M253" s="46">
        <v>-128.89089999999999</v>
      </c>
    </row>
    <row r="254" spans="1:13" x14ac:dyDescent="0.25">
      <c r="A254" s="45" t="s">
        <v>64</v>
      </c>
      <c r="B254" s="46">
        <v>0.5</v>
      </c>
      <c r="C254" s="45" t="s">
        <v>36</v>
      </c>
      <c r="D254" s="45" t="s">
        <v>11</v>
      </c>
      <c r="E254" s="46">
        <v>-33.729999999999997</v>
      </c>
      <c r="F254" s="46">
        <v>25.462399999999999</v>
      </c>
      <c r="G254" s="37"/>
      <c r="H254" s="45" t="s">
        <v>64</v>
      </c>
      <c r="I254" s="46">
        <v>0.5</v>
      </c>
      <c r="J254" s="45" t="s">
        <v>36</v>
      </c>
      <c r="K254" s="45" t="s">
        <v>12</v>
      </c>
      <c r="L254" s="46">
        <v>-97.430999999999997</v>
      </c>
      <c r="M254" s="46">
        <v>-84.402799999999999</v>
      </c>
    </row>
    <row r="255" spans="1:13" x14ac:dyDescent="0.25">
      <c r="A255" s="45" t="s">
        <v>64</v>
      </c>
      <c r="B255" s="46">
        <v>1</v>
      </c>
      <c r="C255" s="45" t="s">
        <v>36</v>
      </c>
      <c r="D255" s="45" t="s">
        <v>11</v>
      </c>
      <c r="E255" s="46">
        <v>-20.814</v>
      </c>
      <c r="F255" s="46">
        <v>39.098399999999998</v>
      </c>
      <c r="G255" s="37"/>
      <c r="H255" s="45" t="s">
        <v>64</v>
      </c>
      <c r="I255" s="46">
        <v>1</v>
      </c>
      <c r="J255" s="45" t="s">
        <v>36</v>
      </c>
      <c r="K255" s="45" t="s">
        <v>12</v>
      </c>
      <c r="L255" s="46">
        <v>-75.778999999999996</v>
      </c>
      <c r="M255" s="46">
        <v>-46.372999999999998</v>
      </c>
    </row>
    <row r="256" spans="1:13" x14ac:dyDescent="0.25">
      <c r="A256" s="45" t="s">
        <v>64</v>
      </c>
      <c r="B256" s="46">
        <v>1.5</v>
      </c>
      <c r="C256" s="45" t="s">
        <v>36</v>
      </c>
      <c r="D256" s="45" t="s">
        <v>11</v>
      </c>
      <c r="E256" s="46">
        <v>-7.8970000000000002</v>
      </c>
      <c r="F256" s="46">
        <v>46.2761</v>
      </c>
      <c r="G256" s="37"/>
      <c r="H256" s="45" t="s">
        <v>64</v>
      </c>
      <c r="I256" s="46">
        <v>1.5</v>
      </c>
      <c r="J256" s="45" t="s">
        <v>36</v>
      </c>
      <c r="K256" s="45" t="s">
        <v>12</v>
      </c>
      <c r="L256" s="46">
        <v>-56.685000000000002</v>
      </c>
      <c r="M256" s="46">
        <v>-14.801399999999999</v>
      </c>
    </row>
    <row r="257" spans="1:13" x14ac:dyDescent="0.25">
      <c r="A257" s="45" t="s">
        <v>64</v>
      </c>
      <c r="B257" s="46">
        <v>2</v>
      </c>
      <c r="C257" s="45" t="s">
        <v>36</v>
      </c>
      <c r="D257" s="45" t="s">
        <v>11</v>
      </c>
      <c r="E257" s="46">
        <v>5.0190000000000001</v>
      </c>
      <c r="F257" s="46">
        <v>48.115499999999997</v>
      </c>
      <c r="G257" s="37"/>
      <c r="H257" s="45" t="s">
        <v>64</v>
      </c>
      <c r="I257" s="46">
        <v>2</v>
      </c>
      <c r="J257" s="45" t="s">
        <v>36</v>
      </c>
      <c r="K257" s="45" t="s">
        <v>12</v>
      </c>
      <c r="L257" s="46">
        <v>-43.768999999999998</v>
      </c>
      <c r="M257" s="46">
        <v>10.311999999999999</v>
      </c>
    </row>
    <row r="258" spans="1:13" x14ac:dyDescent="0.25">
      <c r="A258" s="45" t="s">
        <v>64</v>
      </c>
      <c r="B258" s="46">
        <v>2.5</v>
      </c>
      <c r="C258" s="45" t="s">
        <v>36</v>
      </c>
      <c r="D258" s="45" t="s">
        <v>11</v>
      </c>
      <c r="E258" s="46">
        <v>17.936</v>
      </c>
      <c r="F258" s="46">
        <v>58.941099999999999</v>
      </c>
      <c r="G258" s="37"/>
      <c r="H258" s="45" t="s">
        <v>64</v>
      </c>
      <c r="I258" s="46">
        <v>2.5</v>
      </c>
      <c r="J258" s="45" t="s">
        <v>36</v>
      </c>
      <c r="K258" s="45" t="s">
        <v>12</v>
      </c>
      <c r="L258" s="46">
        <v>-30.852</v>
      </c>
      <c r="M258" s="46">
        <v>28.967199999999998</v>
      </c>
    </row>
    <row r="259" spans="1:13" x14ac:dyDescent="0.25">
      <c r="A259" s="45" t="s">
        <v>64</v>
      </c>
      <c r="B259" s="46">
        <v>3</v>
      </c>
      <c r="C259" s="45" t="s">
        <v>36</v>
      </c>
      <c r="D259" s="45" t="s">
        <v>11</v>
      </c>
      <c r="E259" s="46">
        <v>30.852</v>
      </c>
      <c r="F259" s="46">
        <v>58.941099999999999</v>
      </c>
      <c r="G259" s="37"/>
      <c r="H259" s="45" t="s">
        <v>64</v>
      </c>
      <c r="I259" s="46">
        <v>3</v>
      </c>
      <c r="J259" s="45" t="s">
        <v>36</v>
      </c>
      <c r="K259" s="45" t="s">
        <v>12</v>
      </c>
      <c r="L259" s="46">
        <v>-17.936</v>
      </c>
      <c r="M259" s="46">
        <v>28.967199999999998</v>
      </c>
    </row>
    <row r="260" spans="1:13" x14ac:dyDescent="0.25">
      <c r="A260" s="45" t="s">
        <v>64</v>
      </c>
      <c r="B260" s="46">
        <v>3.5</v>
      </c>
      <c r="C260" s="45" t="s">
        <v>36</v>
      </c>
      <c r="D260" s="45" t="s">
        <v>11</v>
      </c>
      <c r="E260" s="46">
        <v>43.768999999999998</v>
      </c>
      <c r="F260" s="46">
        <v>48.115499999999997</v>
      </c>
      <c r="G260" s="37"/>
      <c r="H260" s="45" t="s">
        <v>64</v>
      </c>
      <c r="I260" s="46">
        <v>3.5</v>
      </c>
      <c r="J260" s="45" t="s">
        <v>36</v>
      </c>
      <c r="K260" s="45" t="s">
        <v>12</v>
      </c>
      <c r="L260" s="46">
        <v>-5.0190000000000001</v>
      </c>
      <c r="M260" s="46">
        <v>10.311999999999999</v>
      </c>
    </row>
    <row r="261" spans="1:13" x14ac:dyDescent="0.25">
      <c r="A261" s="45" t="s">
        <v>64</v>
      </c>
      <c r="B261" s="46">
        <v>4</v>
      </c>
      <c r="C261" s="45" t="s">
        <v>36</v>
      </c>
      <c r="D261" s="45" t="s">
        <v>11</v>
      </c>
      <c r="E261" s="46">
        <v>56.685000000000002</v>
      </c>
      <c r="F261" s="46">
        <v>46.2761</v>
      </c>
      <c r="G261" s="37"/>
      <c r="H261" s="45" t="s">
        <v>64</v>
      </c>
      <c r="I261" s="46">
        <v>4</v>
      </c>
      <c r="J261" s="45" t="s">
        <v>36</v>
      </c>
      <c r="K261" s="45" t="s">
        <v>12</v>
      </c>
      <c r="L261" s="46">
        <v>7.8970000000000002</v>
      </c>
      <c r="M261" s="46">
        <v>-14.801399999999999</v>
      </c>
    </row>
    <row r="262" spans="1:13" x14ac:dyDescent="0.25">
      <c r="A262" s="45" t="s">
        <v>64</v>
      </c>
      <c r="B262" s="46">
        <v>4.5</v>
      </c>
      <c r="C262" s="45" t="s">
        <v>36</v>
      </c>
      <c r="D262" s="45" t="s">
        <v>11</v>
      </c>
      <c r="E262" s="46">
        <v>75.778999999999996</v>
      </c>
      <c r="F262" s="46">
        <v>39.098399999999998</v>
      </c>
      <c r="G262" s="37"/>
      <c r="H262" s="45" t="s">
        <v>64</v>
      </c>
      <c r="I262" s="46">
        <v>4.5</v>
      </c>
      <c r="J262" s="45" t="s">
        <v>36</v>
      </c>
      <c r="K262" s="45" t="s">
        <v>12</v>
      </c>
      <c r="L262" s="46">
        <v>20.814</v>
      </c>
      <c r="M262" s="46">
        <v>-46.372999999999998</v>
      </c>
    </row>
    <row r="263" spans="1:13" x14ac:dyDescent="0.25">
      <c r="A263" s="45" t="s">
        <v>64</v>
      </c>
      <c r="B263" s="46">
        <v>5</v>
      </c>
      <c r="C263" s="45" t="s">
        <v>36</v>
      </c>
      <c r="D263" s="45" t="s">
        <v>11</v>
      </c>
      <c r="E263" s="46">
        <v>97.430999999999997</v>
      </c>
      <c r="F263" s="46">
        <v>25.462399999999999</v>
      </c>
      <c r="G263" s="37"/>
      <c r="H263" s="45" t="s">
        <v>64</v>
      </c>
      <c r="I263" s="46">
        <v>5</v>
      </c>
      <c r="J263" s="45" t="s">
        <v>36</v>
      </c>
      <c r="K263" s="45" t="s">
        <v>12</v>
      </c>
      <c r="L263" s="46">
        <v>33.729999999999997</v>
      </c>
      <c r="M263" s="46">
        <v>-84.402799999999999</v>
      </c>
    </row>
    <row r="264" spans="1:13" x14ac:dyDescent="0.25">
      <c r="A264" s="45" t="s">
        <v>64</v>
      </c>
      <c r="B264" s="46">
        <v>5.5</v>
      </c>
      <c r="C264" s="45" t="s">
        <v>36</v>
      </c>
      <c r="D264" s="45" t="s">
        <v>11</v>
      </c>
      <c r="E264" s="46">
        <v>119.08199999999999</v>
      </c>
      <c r="F264" s="46">
        <v>5.3682999999999996</v>
      </c>
      <c r="G264" s="37"/>
      <c r="H264" s="45" t="s">
        <v>64</v>
      </c>
      <c r="I264" s="46">
        <v>5.5</v>
      </c>
      <c r="J264" s="45" t="s">
        <v>36</v>
      </c>
      <c r="K264" s="45" t="s">
        <v>12</v>
      </c>
      <c r="L264" s="46">
        <v>46.646999999999998</v>
      </c>
      <c r="M264" s="46">
        <v>-128.89089999999999</v>
      </c>
    </row>
    <row r="265" spans="1:13" x14ac:dyDescent="0.25">
      <c r="A265" s="45" t="s">
        <v>65</v>
      </c>
      <c r="B265" s="46">
        <v>0</v>
      </c>
      <c r="C265" s="45" t="s">
        <v>36</v>
      </c>
      <c r="D265" s="45" t="s">
        <v>11</v>
      </c>
      <c r="E265" s="46">
        <v>-18.065999999999999</v>
      </c>
      <c r="F265" s="46">
        <v>36.053100000000001</v>
      </c>
      <c r="G265" s="37"/>
      <c r="H265" s="45" t="s">
        <v>65</v>
      </c>
      <c r="I265" s="46">
        <v>0</v>
      </c>
      <c r="J265" s="45" t="s">
        <v>36</v>
      </c>
      <c r="K265" s="45" t="s">
        <v>12</v>
      </c>
      <c r="L265" s="46">
        <v>-93.893000000000001</v>
      </c>
      <c r="M265" s="46">
        <v>-117.017</v>
      </c>
    </row>
    <row r="266" spans="1:13" x14ac:dyDescent="0.25">
      <c r="A266" s="45" t="s">
        <v>65</v>
      </c>
      <c r="B266" s="46">
        <v>0.5</v>
      </c>
      <c r="C266" s="45" t="s">
        <v>36</v>
      </c>
      <c r="D266" s="45" t="s">
        <v>11</v>
      </c>
      <c r="E266" s="46">
        <v>-5.15</v>
      </c>
      <c r="F266" s="46">
        <v>41.857300000000002</v>
      </c>
      <c r="G266" s="37"/>
      <c r="H266" s="45" t="s">
        <v>65</v>
      </c>
      <c r="I266" s="46">
        <v>0.5</v>
      </c>
      <c r="J266" s="45" t="s">
        <v>36</v>
      </c>
      <c r="K266" s="45" t="s">
        <v>12</v>
      </c>
      <c r="L266" s="46">
        <v>-80.975999999999999</v>
      </c>
      <c r="M266" s="46">
        <v>-73.299800000000005</v>
      </c>
    </row>
    <row r="267" spans="1:13" x14ac:dyDescent="0.25">
      <c r="A267" s="45" t="s">
        <v>65</v>
      </c>
      <c r="B267" s="46">
        <v>1</v>
      </c>
      <c r="C267" s="45" t="s">
        <v>36</v>
      </c>
      <c r="D267" s="45" t="s">
        <v>11</v>
      </c>
      <c r="E267" s="46">
        <v>7.7670000000000003</v>
      </c>
      <c r="F267" s="46">
        <v>41.203299999999999</v>
      </c>
      <c r="G267" s="37"/>
      <c r="H267" s="45" t="s">
        <v>65</v>
      </c>
      <c r="I267" s="46">
        <v>1</v>
      </c>
      <c r="J267" s="45" t="s">
        <v>36</v>
      </c>
      <c r="K267" s="45" t="s">
        <v>12</v>
      </c>
      <c r="L267" s="46">
        <v>-68.06</v>
      </c>
      <c r="M267" s="46">
        <v>-36.040900000000001</v>
      </c>
    </row>
    <row r="268" spans="1:13" x14ac:dyDescent="0.25">
      <c r="A268" s="45" t="s">
        <v>65</v>
      </c>
      <c r="B268" s="46">
        <v>1.5</v>
      </c>
      <c r="C268" s="45" t="s">
        <v>36</v>
      </c>
      <c r="D268" s="45" t="s">
        <v>11</v>
      </c>
      <c r="E268" s="46">
        <v>20.683</v>
      </c>
      <c r="F268" s="46">
        <v>34.091299999999997</v>
      </c>
      <c r="G268" s="37"/>
      <c r="H268" s="45" t="s">
        <v>65</v>
      </c>
      <c r="I268" s="46">
        <v>1.5</v>
      </c>
      <c r="J268" s="45" t="s">
        <v>36</v>
      </c>
      <c r="K268" s="45" t="s">
        <v>12</v>
      </c>
      <c r="L268" s="46">
        <v>-55.143000000000001</v>
      </c>
      <c r="M268" s="46">
        <v>-5.2404999999999999</v>
      </c>
    </row>
    <row r="269" spans="1:13" x14ac:dyDescent="0.25">
      <c r="A269" s="45" t="s">
        <v>65</v>
      </c>
      <c r="B269" s="46">
        <v>2</v>
      </c>
      <c r="C269" s="45" t="s">
        <v>36</v>
      </c>
      <c r="D269" s="45" t="s">
        <v>11</v>
      </c>
      <c r="E269" s="46">
        <v>33.598999999999997</v>
      </c>
      <c r="F269" s="46">
        <v>33.2913</v>
      </c>
      <c r="G269" s="37"/>
      <c r="H269" s="45" t="s">
        <v>65</v>
      </c>
      <c r="I269" s="46">
        <v>2</v>
      </c>
      <c r="J269" s="45" t="s">
        <v>36</v>
      </c>
      <c r="K269" s="45" t="s">
        <v>12</v>
      </c>
      <c r="L269" s="46">
        <v>-42.226999999999997</v>
      </c>
      <c r="M269" s="46">
        <v>19.0778</v>
      </c>
    </row>
    <row r="270" spans="1:13" x14ac:dyDescent="0.25">
      <c r="A270" s="45" t="s">
        <v>65</v>
      </c>
      <c r="B270" s="46">
        <v>2.5</v>
      </c>
      <c r="C270" s="45" t="s">
        <v>36</v>
      </c>
      <c r="D270" s="45" t="s">
        <v>11</v>
      </c>
      <c r="E270" s="46">
        <v>46.515999999999998</v>
      </c>
      <c r="F270" s="46">
        <v>36.988199999999999</v>
      </c>
      <c r="G270" s="37"/>
      <c r="H270" s="45" t="s">
        <v>65</v>
      </c>
      <c r="I270" s="46">
        <v>2.5</v>
      </c>
      <c r="J270" s="45" t="s">
        <v>36</v>
      </c>
      <c r="K270" s="45" t="s">
        <v>12</v>
      </c>
      <c r="L270" s="46">
        <v>-29.31</v>
      </c>
      <c r="M270" s="46">
        <v>0.49009999999999998</v>
      </c>
    </row>
    <row r="271" spans="1:13" x14ac:dyDescent="0.25">
      <c r="A271" s="45" t="s">
        <v>65</v>
      </c>
      <c r="B271" s="46">
        <v>3</v>
      </c>
      <c r="C271" s="45" t="s">
        <v>36</v>
      </c>
      <c r="D271" s="45" t="s">
        <v>11</v>
      </c>
      <c r="E271" s="46">
        <v>59.432000000000002</v>
      </c>
      <c r="F271" s="46">
        <v>48.413899999999998</v>
      </c>
      <c r="G271" s="37"/>
      <c r="H271" s="45" t="s">
        <v>65</v>
      </c>
      <c r="I271" s="46">
        <v>3</v>
      </c>
      <c r="J271" s="45" t="s">
        <v>36</v>
      </c>
      <c r="K271" s="45" t="s">
        <v>12</v>
      </c>
      <c r="L271" s="46">
        <v>-16.393999999999998</v>
      </c>
      <c r="M271" s="46">
        <v>-25.996500000000001</v>
      </c>
    </row>
    <row r="272" spans="1:13" x14ac:dyDescent="0.25">
      <c r="A272" s="45" t="s">
        <v>65</v>
      </c>
      <c r="B272" s="46">
        <v>3.5</v>
      </c>
      <c r="C272" s="45" t="s">
        <v>36</v>
      </c>
      <c r="D272" s="45" t="s">
        <v>11</v>
      </c>
      <c r="E272" s="46">
        <v>72.349000000000004</v>
      </c>
      <c r="F272" s="46">
        <v>53.381599999999999</v>
      </c>
      <c r="G272" s="37"/>
      <c r="H272" s="45" t="s">
        <v>65</v>
      </c>
      <c r="I272" s="46">
        <v>3.5</v>
      </c>
      <c r="J272" s="45" t="s">
        <v>36</v>
      </c>
      <c r="K272" s="45" t="s">
        <v>12</v>
      </c>
      <c r="L272" s="46">
        <v>-3.4780000000000002</v>
      </c>
      <c r="M272" s="46">
        <v>-58.941600000000001</v>
      </c>
    </row>
    <row r="273" spans="1:13" x14ac:dyDescent="0.25">
      <c r="A273" s="45" t="s">
        <v>65</v>
      </c>
      <c r="B273" s="46">
        <v>4</v>
      </c>
      <c r="C273" s="45" t="s">
        <v>36</v>
      </c>
      <c r="D273" s="45" t="s">
        <v>11</v>
      </c>
      <c r="E273" s="46">
        <v>85.265000000000001</v>
      </c>
      <c r="F273" s="46">
        <v>51.891199999999998</v>
      </c>
      <c r="G273" s="37"/>
      <c r="H273" s="45" t="s">
        <v>65</v>
      </c>
      <c r="I273" s="46">
        <v>4</v>
      </c>
      <c r="J273" s="45" t="s">
        <v>36</v>
      </c>
      <c r="K273" s="45" t="s">
        <v>12</v>
      </c>
      <c r="L273" s="46">
        <v>9.4390000000000001</v>
      </c>
      <c r="M273" s="46">
        <v>-98.344999999999999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7E7B-32AC-4003-8FF1-2C605AD2D958}">
  <sheetPr codeName="Foglio14"/>
  <dimension ref="A1:N161"/>
  <sheetViews>
    <sheetView topLeftCell="A109" zoomScale="70" zoomScaleNormal="70" workbookViewId="0">
      <selection activeCell="N129" sqref="N129"/>
    </sheetView>
  </sheetViews>
  <sheetFormatPr defaultRowHeight="15" x14ac:dyDescent="0.25"/>
  <cols>
    <col min="1" max="2" width="9.140625" style="47"/>
    <col min="3" max="3" width="14.85546875" style="47" customWidth="1"/>
    <col min="4" max="9" width="9.140625" style="47"/>
    <col min="10" max="10" width="17.7109375" style="47" customWidth="1"/>
    <col min="11" max="16384" width="9.140625" style="47"/>
  </cols>
  <sheetData>
    <row r="1" spans="1:13" x14ac:dyDescent="0.25">
      <c r="A1" s="36" t="s">
        <v>0</v>
      </c>
      <c r="B1" s="56"/>
      <c r="C1" s="57"/>
      <c r="D1" s="57"/>
      <c r="E1" s="56"/>
      <c r="F1" s="56"/>
    </row>
    <row r="2" spans="1:13" x14ac:dyDescent="0.25">
      <c r="A2" s="50" t="s">
        <v>1</v>
      </c>
      <c r="B2" s="52" t="s">
        <v>2</v>
      </c>
      <c r="C2" s="50" t="s">
        <v>34</v>
      </c>
      <c r="D2" s="50" t="s">
        <v>3</v>
      </c>
      <c r="E2" s="52" t="s">
        <v>4</v>
      </c>
      <c r="F2" s="52" t="s">
        <v>5</v>
      </c>
    </row>
    <row r="3" spans="1:13" x14ac:dyDescent="0.25">
      <c r="A3" s="51" t="s">
        <v>6</v>
      </c>
      <c r="B3" s="53" t="s">
        <v>7</v>
      </c>
      <c r="C3" s="51" t="s">
        <v>6</v>
      </c>
      <c r="D3" s="51" t="s">
        <v>6</v>
      </c>
      <c r="E3" s="53" t="s">
        <v>8</v>
      </c>
      <c r="F3" s="53" t="s">
        <v>9</v>
      </c>
    </row>
    <row r="4" spans="1:13" x14ac:dyDescent="0.25">
      <c r="A4" s="55" t="s">
        <v>66</v>
      </c>
      <c r="B4" s="54">
        <v>0</v>
      </c>
      <c r="C4" s="55" t="s">
        <v>36</v>
      </c>
      <c r="D4" s="55" t="s">
        <v>11</v>
      </c>
      <c r="E4" s="49">
        <v>-14.7</v>
      </c>
      <c r="F4" s="49">
        <v>13.148300000000001</v>
      </c>
      <c r="H4" s="55" t="s">
        <v>66</v>
      </c>
      <c r="I4" s="54">
        <v>0</v>
      </c>
      <c r="J4" s="55" t="s">
        <v>36</v>
      </c>
      <c r="K4" s="55" t="s">
        <v>12</v>
      </c>
      <c r="L4" s="49">
        <v>-47.658999999999999</v>
      </c>
      <c r="M4" s="49">
        <v>-36.714799999999997</v>
      </c>
    </row>
    <row r="5" spans="1:13" x14ac:dyDescent="0.25">
      <c r="A5" s="55" t="s">
        <v>66</v>
      </c>
      <c r="B5" s="54">
        <v>0.5</v>
      </c>
      <c r="C5" s="55" t="s">
        <v>36</v>
      </c>
      <c r="D5" s="55" t="s">
        <v>11</v>
      </c>
      <c r="E5" s="49">
        <v>-7.1139999999999999</v>
      </c>
      <c r="F5" s="49">
        <v>18.601900000000001</v>
      </c>
      <c r="H5" s="55" t="s">
        <v>66</v>
      </c>
      <c r="I5" s="54">
        <v>0.5</v>
      </c>
      <c r="J5" s="55" t="s">
        <v>36</v>
      </c>
      <c r="K5" s="55" t="s">
        <v>12</v>
      </c>
      <c r="L5" s="49">
        <v>-34.191000000000003</v>
      </c>
      <c r="M5" s="49">
        <v>-19.05</v>
      </c>
    </row>
    <row r="6" spans="1:13" x14ac:dyDescent="0.25">
      <c r="A6" s="55" t="s">
        <v>66</v>
      </c>
      <c r="B6" s="54">
        <v>1</v>
      </c>
      <c r="C6" s="55" t="s">
        <v>36</v>
      </c>
      <c r="D6" s="55" t="s">
        <v>11</v>
      </c>
      <c r="E6" s="49">
        <v>0.47299999999999998</v>
      </c>
      <c r="F6" s="49">
        <v>20.2623</v>
      </c>
      <c r="H6" s="55" t="s">
        <v>66</v>
      </c>
      <c r="I6" s="54">
        <v>1</v>
      </c>
      <c r="J6" s="55" t="s">
        <v>36</v>
      </c>
      <c r="K6" s="55" t="s">
        <v>12</v>
      </c>
      <c r="L6" s="49">
        <v>-23.95</v>
      </c>
      <c r="M6" s="49">
        <v>-5.1787000000000001</v>
      </c>
    </row>
    <row r="7" spans="1:13" x14ac:dyDescent="0.25">
      <c r="A7" s="55" t="s">
        <v>66</v>
      </c>
      <c r="B7" s="54">
        <v>1.5</v>
      </c>
      <c r="C7" s="55" t="s">
        <v>36</v>
      </c>
      <c r="D7" s="55" t="s">
        <v>11</v>
      </c>
      <c r="E7" s="49">
        <v>8.06</v>
      </c>
      <c r="F7" s="49">
        <v>20.533100000000001</v>
      </c>
      <c r="H7" s="55" t="s">
        <v>66</v>
      </c>
      <c r="I7" s="54">
        <v>1.5</v>
      </c>
      <c r="J7" s="55" t="s">
        <v>36</v>
      </c>
      <c r="K7" s="55" t="s">
        <v>12</v>
      </c>
      <c r="L7" s="49">
        <v>-16.364000000000001</v>
      </c>
      <c r="M7" s="49">
        <v>4.8987999999999996</v>
      </c>
    </row>
    <row r="8" spans="1:13" x14ac:dyDescent="0.25">
      <c r="A8" s="55" t="s">
        <v>66</v>
      </c>
      <c r="B8" s="54">
        <v>2</v>
      </c>
      <c r="C8" s="55" t="s">
        <v>36</v>
      </c>
      <c r="D8" s="55" t="s">
        <v>11</v>
      </c>
      <c r="E8" s="49">
        <v>15.646000000000001</v>
      </c>
      <c r="F8" s="49">
        <v>20.7944</v>
      </c>
      <c r="H8" s="55" t="s">
        <v>66</v>
      </c>
      <c r="I8" s="54">
        <v>2</v>
      </c>
      <c r="J8" s="55" t="s">
        <v>36</v>
      </c>
      <c r="K8" s="55" t="s">
        <v>12</v>
      </c>
      <c r="L8" s="49">
        <v>-8.7769999999999992</v>
      </c>
      <c r="M8" s="49">
        <v>11.137600000000001</v>
      </c>
    </row>
    <row r="9" spans="1:13" x14ac:dyDescent="0.25">
      <c r="A9" s="55" t="s">
        <v>66</v>
      </c>
      <c r="B9" s="54">
        <v>2.5</v>
      </c>
      <c r="C9" s="55" t="s">
        <v>36</v>
      </c>
      <c r="D9" s="55" t="s">
        <v>11</v>
      </c>
      <c r="E9" s="49">
        <v>23.233000000000001</v>
      </c>
      <c r="F9" s="49">
        <v>14.321999999999999</v>
      </c>
      <c r="H9" s="55" t="s">
        <v>66</v>
      </c>
      <c r="I9" s="54">
        <v>2.5</v>
      </c>
      <c r="J9" s="55" t="s">
        <v>36</v>
      </c>
      <c r="K9" s="55" t="s">
        <v>12</v>
      </c>
      <c r="L9" s="49">
        <v>-1.19</v>
      </c>
      <c r="M9" s="49">
        <v>2.4798</v>
      </c>
    </row>
    <row r="10" spans="1:13" x14ac:dyDescent="0.25">
      <c r="A10" s="55" t="s">
        <v>66</v>
      </c>
      <c r="B10" s="54">
        <v>3</v>
      </c>
      <c r="C10" s="55" t="s">
        <v>36</v>
      </c>
      <c r="D10" s="55" t="s">
        <v>11</v>
      </c>
      <c r="E10" s="49">
        <v>33.146000000000001</v>
      </c>
      <c r="F10" s="49">
        <v>12.3773</v>
      </c>
      <c r="H10" s="55" t="s">
        <v>66</v>
      </c>
      <c r="I10" s="54">
        <v>3</v>
      </c>
      <c r="J10" s="55" t="s">
        <v>36</v>
      </c>
      <c r="K10" s="55" t="s">
        <v>12</v>
      </c>
      <c r="L10" s="49">
        <v>6.3959999999999999</v>
      </c>
      <c r="M10" s="49">
        <v>-11.032</v>
      </c>
    </row>
    <row r="11" spans="1:13" x14ac:dyDescent="0.25">
      <c r="A11" s="55" t="s">
        <v>66</v>
      </c>
      <c r="B11" s="54">
        <v>3.5</v>
      </c>
      <c r="C11" s="55" t="s">
        <v>36</v>
      </c>
      <c r="D11" s="55" t="s">
        <v>11</v>
      </c>
      <c r="E11" s="49">
        <v>46.613</v>
      </c>
      <c r="F11" s="49">
        <v>7.2821999999999996</v>
      </c>
      <c r="H11" s="55" t="s">
        <v>66</v>
      </c>
      <c r="I11" s="54">
        <v>3.5</v>
      </c>
      <c r="J11" s="55" t="s">
        <v>36</v>
      </c>
      <c r="K11" s="55" t="s">
        <v>12</v>
      </c>
      <c r="L11" s="49">
        <v>13.983000000000001</v>
      </c>
      <c r="M11" s="49">
        <v>-28.337900000000001</v>
      </c>
    </row>
    <row r="12" spans="1:13" x14ac:dyDescent="0.25">
      <c r="A12" s="55" t="s">
        <v>66</v>
      </c>
      <c r="B12" s="54">
        <v>4</v>
      </c>
      <c r="C12" s="55" t="s">
        <v>36</v>
      </c>
      <c r="D12" s="55" t="s">
        <v>11</v>
      </c>
      <c r="E12" s="49">
        <v>60.081000000000003</v>
      </c>
      <c r="F12" s="49">
        <v>-1.6060000000000001</v>
      </c>
      <c r="H12" s="55" t="s">
        <v>66</v>
      </c>
      <c r="I12" s="54">
        <v>4</v>
      </c>
      <c r="J12" s="55" t="s">
        <v>36</v>
      </c>
      <c r="K12" s="55" t="s">
        <v>12</v>
      </c>
      <c r="L12" s="49">
        <v>21.568999999999999</v>
      </c>
      <c r="M12" s="49">
        <v>-49.4373</v>
      </c>
    </row>
    <row r="13" spans="1:13" x14ac:dyDescent="0.25">
      <c r="A13" s="55" t="s">
        <v>67</v>
      </c>
      <c r="B13" s="54">
        <v>0</v>
      </c>
      <c r="C13" s="55" t="s">
        <v>36</v>
      </c>
      <c r="D13" s="55" t="s">
        <v>11</v>
      </c>
      <c r="E13" s="49">
        <v>-33.923999999999999</v>
      </c>
      <c r="F13" s="49">
        <v>-14.4764</v>
      </c>
      <c r="H13" s="55" t="s">
        <v>67</v>
      </c>
      <c r="I13" s="54">
        <v>0</v>
      </c>
      <c r="J13" s="55" t="s">
        <v>36</v>
      </c>
      <c r="K13" s="55" t="s">
        <v>12</v>
      </c>
      <c r="L13" s="49">
        <v>-74.070999999999998</v>
      </c>
      <c r="M13" s="49">
        <v>-63.810099999999998</v>
      </c>
    </row>
    <row r="14" spans="1:13" x14ac:dyDescent="0.25">
      <c r="A14" s="55" t="s">
        <v>67</v>
      </c>
      <c r="B14" s="54">
        <v>0.5</v>
      </c>
      <c r="C14" s="55" t="s">
        <v>36</v>
      </c>
      <c r="D14" s="55" t="s">
        <v>11</v>
      </c>
      <c r="E14" s="49">
        <v>-26.337</v>
      </c>
      <c r="F14" s="49">
        <v>0.58879999999999999</v>
      </c>
      <c r="H14" s="55" t="s">
        <v>67</v>
      </c>
      <c r="I14" s="54">
        <v>0.5</v>
      </c>
      <c r="J14" s="55" t="s">
        <v>36</v>
      </c>
      <c r="K14" s="55" t="s">
        <v>12</v>
      </c>
      <c r="L14" s="49">
        <v>-60.603000000000002</v>
      </c>
      <c r="M14" s="49">
        <v>-34.578400000000002</v>
      </c>
    </row>
    <row r="15" spans="1:13" x14ac:dyDescent="0.25">
      <c r="A15" s="55" t="s">
        <v>67</v>
      </c>
      <c r="B15" s="54">
        <v>1</v>
      </c>
      <c r="C15" s="55" t="s">
        <v>36</v>
      </c>
      <c r="D15" s="55" t="s">
        <v>11</v>
      </c>
      <c r="E15" s="49">
        <v>-18.751000000000001</v>
      </c>
      <c r="F15" s="49">
        <v>11.860799999999999</v>
      </c>
      <c r="H15" s="55" t="s">
        <v>67</v>
      </c>
      <c r="I15" s="54">
        <v>1</v>
      </c>
      <c r="J15" s="55" t="s">
        <v>36</v>
      </c>
      <c r="K15" s="55" t="s">
        <v>12</v>
      </c>
      <c r="L15" s="49">
        <v>-47.136000000000003</v>
      </c>
      <c r="M15" s="49">
        <v>-15.504099999999999</v>
      </c>
    </row>
    <row r="16" spans="1:13" x14ac:dyDescent="0.25">
      <c r="A16" s="55" t="s">
        <v>67</v>
      </c>
      <c r="B16" s="54">
        <v>1.5</v>
      </c>
      <c r="C16" s="55" t="s">
        <v>36</v>
      </c>
      <c r="D16" s="55" t="s">
        <v>11</v>
      </c>
      <c r="E16" s="49">
        <v>-11.164</v>
      </c>
      <c r="F16" s="49">
        <v>19.339400000000001</v>
      </c>
      <c r="H16" s="55" t="s">
        <v>67</v>
      </c>
      <c r="I16" s="54">
        <v>1.5</v>
      </c>
      <c r="J16" s="55" t="s">
        <v>36</v>
      </c>
      <c r="K16" s="55" t="s">
        <v>12</v>
      </c>
      <c r="L16" s="49">
        <v>-33.668999999999997</v>
      </c>
      <c r="M16" s="49">
        <v>-0.22309999999999999</v>
      </c>
    </row>
    <row r="17" spans="1:13" x14ac:dyDescent="0.25">
      <c r="A17" s="55" t="s">
        <v>67</v>
      </c>
      <c r="B17" s="54">
        <v>2</v>
      </c>
      <c r="C17" s="55" t="s">
        <v>36</v>
      </c>
      <c r="D17" s="55" t="s">
        <v>11</v>
      </c>
      <c r="E17" s="49">
        <v>-3.5779999999999998</v>
      </c>
      <c r="F17" s="49">
        <v>30.4618</v>
      </c>
      <c r="H17" s="55" t="s">
        <v>67</v>
      </c>
      <c r="I17" s="54">
        <v>2</v>
      </c>
      <c r="J17" s="55" t="s">
        <v>36</v>
      </c>
      <c r="K17" s="55" t="s">
        <v>12</v>
      </c>
      <c r="L17" s="49">
        <v>-20.201000000000001</v>
      </c>
      <c r="M17" s="49">
        <v>11.2646</v>
      </c>
    </row>
    <row r="18" spans="1:13" x14ac:dyDescent="0.25">
      <c r="A18" s="55" t="s">
        <v>67</v>
      </c>
      <c r="B18" s="54">
        <v>2.5</v>
      </c>
      <c r="C18" s="55" t="s">
        <v>36</v>
      </c>
      <c r="D18" s="55" t="s">
        <v>11</v>
      </c>
      <c r="E18" s="49">
        <v>4.0090000000000003</v>
      </c>
      <c r="F18" s="49">
        <v>37.195599999999999</v>
      </c>
      <c r="H18" s="55" t="s">
        <v>67</v>
      </c>
      <c r="I18" s="54">
        <v>2.5</v>
      </c>
      <c r="J18" s="55" t="s">
        <v>36</v>
      </c>
      <c r="K18" s="55" t="s">
        <v>12</v>
      </c>
      <c r="L18" s="49">
        <v>-11.596</v>
      </c>
      <c r="M18" s="49">
        <v>18.959</v>
      </c>
    </row>
    <row r="19" spans="1:13" x14ac:dyDescent="0.25">
      <c r="A19" s="55" t="s">
        <v>67</v>
      </c>
      <c r="B19" s="54">
        <v>3</v>
      </c>
      <c r="C19" s="55" t="s">
        <v>36</v>
      </c>
      <c r="D19" s="55" t="s">
        <v>11</v>
      </c>
      <c r="E19" s="49">
        <v>11.596</v>
      </c>
      <c r="F19" s="49">
        <v>37.195599999999999</v>
      </c>
      <c r="H19" s="55" t="s">
        <v>67</v>
      </c>
      <c r="I19" s="54">
        <v>3</v>
      </c>
      <c r="J19" s="55" t="s">
        <v>36</v>
      </c>
      <c r="K19" s="55" t="s">
        <v>12</v>
      </c>
      <c r="L19" s="49">
        <v>-4.0090000000000003</v>
      </c>
      <c r="M19" s="49">
        <v>18.959</v>
      </c>
    </row>
    <row r="20" spans="1:13" x14ac:dyDescent="0.25">
      <c r="A20" s="55" t="s">
        <v>67</v>
      </c>
      <c r="B20" s="54">
        <v>3.5</v>
      </c>
      <c r="C20" s="55" t="s">
        <v>36</v>
      </c>
      <c r="D20" s="55" t="s">
        <v>11</v>
      </c>
      <c r="E20" s="49">
        <v>20.201000000000001</v>
      </c>
      <c r="F20" s="49">
        <v>30.4618</v>
      </c>
      <c r="H20" s="55" t="s">
        <v>67</v>
      </c>
      <c r="I20" s="54">
        <v>3.5</v>
      </c>
      <c r="J20" s="55" t="s">
        <v>36</v>
      </c>
      <c r="K20" s="55" t="s">
        <v>12</v>
      </c>
      <c r="L20" s="49">
        <v>3.5779999999999998</v>
      </c>
      <c r="M20" s="49">
        <v>11.2646</v>
      </c>
    </row>
    <row r="21" spans="1:13" x14ac:dyDescent="0.25">
      <c r="A21" s="55" t="s">
        <v>67</v>
      </c>
      <c r="B21" s="54">
        <v>4</v>
      </c>
      <c r="C21" s="55" t="s">
        <v>36</v>
      </c>
      <c r="D21" s="55" t="s">
        <v>11</v>
      </c>
      <c r="E21" s="49">
        <v>33.668999999999997</v>
      </c>
      <c r="F21" s="49">
        <v>19.339400000000001</v>
      </c>
      <c r="H21" s="55" t="s">
        <v>67</v>
      </c>
      <c r="I21" s="54">
        <v>4</v>
      </c>
      <c r="J21" s="55" t="s">
        <v>36</v>
      </c>
      <c r="K21" s="55" t="s">
        <v>12</v>
      </c>
      <c r="L21" s="49">
        <v>11.164</v>
      </c>
      <c r="M21" s="49">
        <v>-0.22309999999999999</v>
      </c>
    </row>
    <row r="22" spans="1:13" x14ac:dyDescent="0.25">
      <c r="A22" s="55" t="s">
        <v>67</v>
      </c>
      <c r="B22" s="54">
        <v>4.5</v>
      </c>
      <c r="C22" s="55" t="s">
        <v>36</v>
      </c>
      <c r="D22" s="55" t="s">
        <v>11</v>
      </c>
      <c r="E22" s="49">
        <v>47.136000000000003</v>
      </c>
      <c r="F22" s="49">
        <v>11.860799999999999</v>
      </c>
      <c r="H22" s="55" t="s">
        <v>67</v>
      </c>
      <c r="I22" s="54">
        <v>4.5</v>
      </c>
      <c r="J22" s="55" t="s">
        <v>36</v>
      </c>
      <c r="K22" s="55" t="s">
        <v>12</v>
      </c>
      <c r="L22" s="49">
        <v>18.751000000000001</v>
      </c>
      <c r="M22" s="49">
        <v>-15.504099999999999</v>
      </c>
    </row>
    <row r="23" spans="1:13" x14ac:dyDescent="0.25">
      <c r="A23" s="55" t="s">
        <v>67</v>
      </c>
      <c r="B23" s="54">
        <v>5</v>
      </c>
      <c r="C23" s="55" t="s">
        <v>36</v>
      </c>
      <c r="D23" s="55" t="s">
        <v>11</v>
      </c>
      <c r="E23" s="49">
        <v>60.603000000000002</v>
      </c>
      <c r="F23" s="49">
        <v>0.58879999999999999</v>
      </c>
      <c r="H23" s="55" t="s">
        <v>67</v>
      </c>
      <c r="I23" s="54">
        <v>5</v>
      </c>
      <c r="J23" s="55" t="s">
        <v>36</v>
      </c>
      <c r="K23" s="55" t="s">
        <v>12</v>
      </c>
      <c r="L23" s="49">
        <v>26.337</v>
      </c>
      <c r="M23" s="49">
        <v>-34.578400000000002</v>
      </c>
    </row>
    <row r="24" spans="1:13" x14ac:dyDescent="0.25">
      <c r="A24" s="55" t="s">
        <v>67</v>
      </c>
      <c r="B24" s="54">
        <v>5.5</v>
      </c>
      <c r="C24" s="55" t="s">
        <v>36</v>
      </c>
      <c r="D24" s="55" t="s">
        <v>11</v>
      </c>
      <c r="E24" s="49">
        <v>74.070999999999998</v>
      </c>
      <c r="F24" s="49">
        <v>-14.4764</v>
      </c>
      <c r="H24" s="55" t="s">
        <v>67</v>
      </c>
      <c r="I24" s="54">
        <v>5.5</v>
      </c>
      <c r="J24" s="55" t="s">
        <v>36</v>
      </c>
      <c r="K24" s="55" t="s">
        <v>12</v>
      </c>
      <c r="L24" s="49">
        <v>33.923999999999999</v>
      </c>
      <c r="M24" s="49">
        <v>-63.810099999999998</v>
      </c>
    </row>
    <row r="25" spans="1:13" x14ac:dyDescent="0.25">
      <c r="A25" s="55" t="s">
        <v>68</v>
      </c>
      <c r="B25" s="54">
        <v>0</v>
      </c>
      <c r="C25" s="55" t="s">
        <v>36</v>
      </c>
      <c r="D25" s="55" t="s">
        <v>11</v>
      </c>
      <c r="E25" s="49">
        <v>-21.568999999999999</v>
      </c>
      <c r="F25" s="49">
        <v>-1.6060000000000001</v>
      </c>
      <c r="H25" s="55" t="s">
        <v>68</v>
      </c>
      <c r="I25" s="54">
        <v>0</v>
      </c>
      <c r="J25" s="55" t="s">
        <v>36</v>
      </c>
      <c r="K25" s="55" t="s">
        <v>12</v>
      </c>
      <c r="L25" s="49">
        <v>-60.081000000000003</v>
      </c>
      <c r="M25" s="49">
        <v>-49.4373</v>
      </c>
    </row>
    <row r="26" spans="1:13" x14ac:dyDescent="0.25">
      <c r="A26" s="55" t="s">
        <v>68</v>
      </c>
      <c r="B26" s="54">
        <v>0.5</v>
      </c>
      <c r="C26" s="55" t="s">
        <v>36</v>
      </c>
      <c r="D26" s="55" t="s">
        <v>11</v>
      </c>
      <c r="E26" s="49">
        <v>-13.983000000000001</v>
      </c>
      <c r="F26" s="49">
        <v>7.2821999999999996</v>
      </c>
      <c r="H26" s="55" t="s">
        <v>68</v>
      </c>
      <c r="I26" s="54">
        <v>0.5</v>
      </c>
      <c r="J26" s="55" t="s">
        <v>36</v>
      </c>
      <c r="K26" s="55" t="s">
        <v>12</v>
      </c>
      <c r="L26" s="49">
        <v>-46.613</v>
      </c>
      <c r="M26" s="49">
        <v>-28.337900000000001</v>
      </c>
    </row>
    <row r="27" spans="1:13" x14ac:dyDescent="0.25">
      <c r="A27" s="55" t="s">
        <v>68</v>
      </c>
      <c r="B27" s="54">
        <v>1</v>
      </c>
      <c r="C27" s="55" t="s">
        <v>36</v>
      </c>
      <c r="D27" s="55" t="s">
        <v>11</v>
      </c>
      <c r="E27" s="49">
        <v>-6.3959999999999999</v>
      </c>
      <c r="F27" s="49">
        <v>12.3773</v>
      </c>
      <c r="H27" s="55" t="s">
        <v>68</v>
      </c>
      <c r="I27" s="54">
        <v>1</v>
      </c>
      <c r="J27" s="55" t="s">
        <v>36</v>
      </c>
      <c r="K27" s="55" t="s">
        <v>12</v>
      </c>
      <c r="L27" s="49">
        <v>-33.146000000000001</v>
      </c>
      <c r="M27" s="49">
        <v>-11.032</v>
      </c>
    </row>
    <row r="28" spans="1:13" x14ac:dyDescent="0.25">
      <c r="A28" s="55" t="s">
        <v>68</v>
      </c>
      <c r="B28" s="54">
        <v>1.5</v>
      </c>
      <c r="C28" s="55" t="s">
        <v>36</v>
      </c>
      <c r="D28" s="55" t="s">
        <v>11</v>
      </c>
      <c r="E28" s="49">
        <v>1.19</v>
      </c>
      <c r="F28" s="49">
        <v>14.321999999999999</v>
      </c>
      <c r="H28" s="55" t="s">
        <v>68</v>
      </c>
      <c r="I28" s="54">
        <v>1.5</v>
      </c>
      <c r="J28" s="55" t="s">
        <v>36</v>
      </c>
      <c r="K28" s="55" t="s">
        <v>12</v>
      </c>
      <c r="L28" s="49">
        <v>-23.233000000000001</v>
      </c>
      <c r="M28" s="49">
        <v>2.4798</v>
      </c>
    </row>
    <row r="29" spans="1:13" x14ac:dyDescent="0.25">
      <c r="A29" s="55" t="s">
        <v>68</v>
      </c>
      <c r="B29" s="54">
        <v>2</v>
      </c>
      <c r="C29" s="55" t="s">
        <v>36</v>
      </c>
      <c r="D29" s="55" t="s">
        <v>11</v>
      </c>
      <c r="E29" s="49">
        <v>8.7769999999999992</v>
      </c>
      <c r="F29" s="49">
        <v>20.7944</v>
      </c>
      <c r="H29" s="55" t="s">
        <v>68</v>
      </c>
      <c r="I29" s="54">
        <v>2</v>
      </c>
      <c r="J29" s="55" t="s">
        <v>36</v>
      </c>
      <c r="K29" s="55" t="s">
        <v>12</v>
      </c>
      <c r="L29" s="49">
        <v>-15.646000000000001</v>
      </c>
      <c r="M29" s="49">
        <v>11.137600000000001</v>
      </c>
    </row>
    <row r="30" spans="1:13" x14ac:dyDescent="0.25">
      <c r="A30" s="55" t="s">
        <v>68</v>
      </c>
      <c r="B30" s="54">
        <v>2.5</v>
      </c>
      <c r="C30" s="55" t="s">
        <v>36</v>
      </c>
      <c r="D30" s="55" t="s">
        <v>11</v>
      </c>
      <c r="E30" s="49">
        <v>16.364000000000001</v>
      </c>
      <c r="F30" s="49">
        <v>20.533100000000001</v>
      </c>
      <c r="H30" s="55" t="s">
        <v>68</v>
      </c>
      <c r="I30" s="54">
        <v>2.5</v>
      </c>
      <c r="J30" s="55" t="s">
        <v>36</v>
      </c>
      <c r="K30" s="55" t="s">
        <v>12</v>
      </c>
      <c r="L30" s="49">
        <v>-8.06</v>
      </c>
      <c r="M30" s="49">
        <v>4.8987999999999996</v>
      </c>
    </row>
    <row r="31" spans="1:13" x14ac:dyDescent="0.25">
      <c r="A31" s="55" t="s">
        <v>68</v>
      </c>
      <c r="B31" s="54">
        <v>3</v>
      </c>
      <c r="C31" s="55" t="s">
        <v>36</v>
      </c>
      <c r="D31" s="55" t="s">
        <v>11</v>
      </c>
      <c r="E31" s="49">
        <v>23.95</v>
      </c>
      <c r="F31" s="49">
        <v>20.2623</v>
      </c>
      <c r="H31" s="55" t="s">
        <v>68</v>
      </c>
      <c r="I31" s="54">
        <v>3</v>
      </c>
      <c r="J31" s="55" t="s">
        <v>36</v>
      </c>
      <c r="K31" s="55" t="s">
        <v>12</v>
      </c>
      <c r="L31" s="49">
        <v>-0.47299999999999998</v>
      </c>
      <c r="M31" s="49">
        <v>-5.1787000000000001</v>
      </c>
    </row>
    <row r="32" spans="1:13" x14ac:dyDescent="0.25">
      <c r="A32" s="55" t="s">
        <v>68</v>
      </c>
      <c r="B32" s="54">
        <v>3.5</v>
      </c>
      <c r="C32" s="55" t="s">
        <v>36</v>
      </c>
      <c r="D32" s="55" t="s">
        <v>11</v>
      </c>
      <c r="E32" s="49">
        <v>34.191000000000003</v>
      </c>
      <c r="F32" s="49">
        <v>18.601900000000001</v>
      </c>
      <c r="H32" s="55" t="s">
        <v>68</v>
      </c>
      <c r="I32" s="54">
        <v>3.5</v>
      </c>
      <c r="J32" s="55" t="s">
        <v>36</v>
      </c>
      <c r="K32" s="55" t="s">
        <v>12</v>
      </c>
      <c r="L32" s="49">
        <v>7.1139999999999999</v>
      </c>
      <c r="M32" s="49">
        <v>-19.05</v>
      </c>
    </row>
    <row r="33" spans="1:13" x14ac:dyDescent="0.25">
      <c r="A33" s="55" t="s">
        <v>68</v>
      </c>
      <c r="B33" s="54">
        <v>4</v>
      </c>
      <c r="C33" s="55" t="s">
        <v>36</v>
      </c>
      <c r="D33" s="55" t="s">
        <v>11</v>
      </c>
      <c r="E33" s="49">
        <v>47.658999999999999</v>
      </c>
      <c r="F33" s="49">
        <v>13.148300000000001</v>
      </c>
      <c r="H33" s="55" t="s">
        <v>68</v>
      </c>
      <c r="I33" s="54">
        <v>4</v>
      </c>
      <c r="J33" s="55" t="s">
        <v>36</v>
      </c>
      <c r="K33" s="55" t="s">
        <v>12</v>
      </c>
      <c r="L33" s="49">
        <v>14.7</v>
      </c>
      <c r="M33" s="49">
        <v>-36.714799999999997</v>
      </c>
    </row>
    <row r="36" spans="1:13" x14ac:dyDescent="0.25">
      <c r="A36" s="55" t="s">
        <v>69</v>
      </c>
      <c r="B36" s="54">
        <v>0</v>
      </c>
      <c r="C36" s="55" t="s">
        <v>36</v>
      </c>
      <c r="D36" s="55" t="s">
        <v>11</v>
      </c>
      <c r="E36" s="49">
        <v>-36.231999999999999</v>
      </c>
      <c r="F36" s="49">
        <v>3.5261</v>
      </c>
      <c r="H36" s="55" t="s">
        <v>69</v>
      </c>
      <c r="I36" s="54">
        <v>0</v>
      </c>
      <c r="J36" s="55" t="s">
        <v>36</v>
      </c>
      <c r="K36" s="55" t="s">
        <v>12</v>
      </c>
      <c r="L36" s="49">
        <v>-87.879000000000005</v>
      </c>
      <c r="M36" s="49">
        <v>-44.024099999999997</v>
      </c>
    </row>
    <row r="37" spans="1:13" x14ac:dyDescent="0.25">
      <c r="A37" s="55" t="s">
        <v>69</v>
      </c>
      <c r="B37" s="54">
        <v>0.5</v>
      </c>
      <c r="C37" s="55" t="s">
        <v>36</v>
      </c>
      <c r="D37" s="55" t="s">
        <v>11</v>
      </c>
      <c r="E37" s="49">
        <v>-22.558</v>
      </c>
      <c r="F37" s="49">
        <v>18.2239</v>
      </c>
      <c r="H37" s="55" t="s">
        <v>69</v>
      </c>
      <c r="I37" s="54">
        <v>0.5</v>
      </c>
      <c r="J37" s="55" t="s">
        <v>36</v>
      </c>
      <c r="K37" s="55" t="s">
        <v>12</v>
      </c>
      <c r="L37" s="49">
        <v>-62.893000000000001</v>
      </c>
      <c r="M37" s="49">
        <v>-17.692299999999999</v>
      </c>
    </row>
    <row r="38" spans="1:13" x14ac:dyDescent="0.25">
      <c r="A38" s="55" t="s">
        <v>69</v>
      </c>
      <c r="B38" s="54">
        <v>1</v>
      </c>
      <c r="C38" s="55" t="s">
        <v>36</v>
      </c>
      <c r="D38" s="55" t="s">
        <v>11</v>
      </c>
      <c r="E38" s="49">
        <v>-8.8849999999999998</v>
      </c>
      <c r="F38" s="49">
        <v>26.085000000000001</v>
      </c>
      <c r="H38" s="55" t="s">
        <v>69</v>
      </c>
      <c r="I38" s="54">
        <v>1</v>
      </c>
      <c r="J38" s="55" t="s">
        <v>36</v>
      </c>
      <c r="K38" s="55" t="s">
        <v>12</v>
      </c>
      <c r="L38" s="49">
        <v>-37.908000000000001</v>
      </c>
      <c r="M38" s="49">
        <v>1.8025</v>
      </c>
    </row>
    <row r="39" spans="1:13" x14ac:dyDescent="0.25">
      <c r="A39" s="55" t="s">
        <v>69</v>
      </c>
      <c r="B39" s="54">
        <v>1.5</v>
      </c>
      <c r="C39" s="55" t="s">
        <v>36</v>
      </c>
      <c r="D39" s="55" t="s">
        <v>11</v>
      </c>
      <c r="E39" s="49">
        <v>4.7889999999999997</v>
      </c>
      <c r="F39" s="49">
        <v>37.81</v>
      </c>
      <c r="H39" s="55" t="s">
        <v>69</v>
      </c>
      <c r="I39" s="54">
        <v>1.5</v>
      </c>
      <c r="J39" s="55" t="s">
        <v>36</v>
      </c>
      <c r="K39" s="55" t="s">
        <v>12</v>
      </c>
      <c r="L39" s="49">
        <v>-18.48</v>
      </c>
      <c r="M39" s="49">
        <v>14.46</v>
      </c>
    </row>
    <row r="40" spans="1:13" x14ac:dyDescent="0.25">
      <c r="A40" s="55" t="s">
        <v>69</v>
      </c>
      <c r="B40" s="54">
        <v>2</v>
      </c>
      <c r="C40" s="55" t="s">
        <v>36</v>
      </c>
      <c r="D40" s="55" t="s">
        <v>11</v>
      </c>
      <c r="E40" s="49">
        <v>18.462</v>
      </c>
      <c r="F40" s="49">
        <v>38.024999999999999</v>
      </c>
      <c r="H40" s="55" t="s">
        <v>69</v>
      </c>
      <c r="I40" s="54">
        <v>2</v>
      </c>
      <c r="J40" s="55" t="s">
        <v>36</v>
      </c>
      <c r="K40" s="55" t="s">
        <v>12</v>
      </c>
      <c r="L40" s="49">
        <v>-4.806</v>
      </c>
      <c r="M40" s="49">
        <v>20.257100000000001</v>
      </c>
    </row>
    <row r="41" spans="1:13" x14ac:dyDescent="0.25">
      <c r="A41" s="55" t="s">
        <v>69</v>
      </c>
      <c r="B41" s="54">
        <v>2.5</v>
      </c>
      <c r="C41" s="55" t="s">
        <v>36</v>
      </c>
      <c r="D41" s="55" t="s">
        <v>11</v>
      </c>
      <c r="E41" s="49">
        <v>37.048000000000002</v>
      </c>
      <c r="F41" s="49">
        <v>25.747199999999999</v>
      </c>
      <c r="H41" s="55" t="s">
        <v>69</v>
      </c>
      <c r="I41" s="54">
        <v>2.5</v>
      </c>
      <c r="J41" s="55" t="s">
        <v>36</v>
      </c>
      <c r="K41" s="55" t="s">
        <v>12</v>
      </c>
      <c r="L41" s="49">
        <v>8.8670000000000009</v>
      </c>
      <c r="M41" s="49">
        <v>8.6437000000000008</v>
      </c>
    </row>
    <row r="42" spans="1:13" x14ac:dyDescent="0.25">
      <c r="A42" s="55" t="s">
        <v>69</v>
      </c>
      <c r="B42" s="54">
        <v>3</v>
      </c>
      <c r="C42" s="55" t="s">
        <v>36</v>
      </c>
      <c r="D42" s="55" t="s">
        <v>11</v>
      </c>
      <c r="E42" s="49">
        <v>62.033999999999999</v>
      </c>
      <c r="F42" s="49">
        <v>11.417400000000001</v>
      </c>
      <c r="H42" s="55" t="s">
        <v>69</v>
      </c>
      <c r="I42" s="54">
        <v>3</v>
      </c>
      <c r="J42" s="55" t="s">
        <v>36</v>
      </c>
      <c r="K42" s="55" t="s">
        <v>12</v>
      </c>
      <c r="L42" s="49">
        <v>22.541</v>
      </c>
      <c r="M42" s="49">
        <v>-10.8415</v>
      </c>
    </row>
    <row r="43" spans="1:13" x14ac:dyDescent="0.25">
      <c r="A43" s="55" t="s">
        <v>69</v>
      </c>
      <c r="B43" s="54">
        <v>3.5</v>
      </c>
      <c r="C43" s="55" t="s">
        <v>36</v>
      </c>
      <c r="D43" s="55" t="s">
        <v>11</v>
      </c>
      <c r="E43" s="49">
        <v>87.019000000000005</v>
      </c>
      <c r="F43" s="49">
        <v>-3.2717000000000001</v>
      </c>
      <c r="H43" s="55" t="s">
        <v>69</v>
      </c>
      <c r="I43" s="54">
        <v>3.5</v>
      </c>
      <c r="J43" s="55" t="s">
        <v>36</v>
      </c>
      <c r="K43" s="55" t="s">
        <v>12</v>
      </c>
      <c r="L43" s="49">
        <v>36.213999999999999</v>
      </c>
      <c r="M43" s="49">
        <v>-37.164099999999998</v>
      </c>
    </row>
    <row r="44" spans="1:13" x14ac:dyDescent="0.25">
      <c r="A44" s="55" t="s">
        <v>69</v>
      </c>
      <c r="B44" s="54">
        <v>4</v>
      </c>
      <c r="C44" s="55" t="s">
        <v>36</v>
      </c>
      <c r="D44" s="55" t="s">
        <v>11</v>
      </c>
      <c r="E44" s="49">
        <v>112.005</v>
      </c>
      <c r="F44" s="49">
        <v>-24.7974</v>
      </c>
      <c r="H44" s="55" t="s">
        <v>69</v>
      </c>
      <c r="I44" s="54">
        <v>4</v>
      </c>
      <c r="J44" s="55" t="s">
        <v>36</v>
      </c>
      <c r="K44" s="55" t="s">
        <v>12</v>
      </c>
      <c r="L44" s="49">
        <v>49.887999999999998</v>
      </c>
      <c r="M44" s="49">
        <v>-86.042400000000001</v>
      </c>
    </row>
    <row r="45" spans="1:13" x14ac:dyDescent="0.25">
      <c r="A45" s="55" t="s">
        <v>70</v>
      </c>
      <c r="B45" s="54">
        <v>0</v>
      </c>
      <c r="C45" s="55" t="s">
        <v>36</v>
      </c>
      <c r="D45" s="55" t="s">
        <v>11</v>
      </c>
      <c r="E45" s="49">
        <v>-67.709999999999994</v>
      </c>
      <c r="F45" s="49">
        <v>-44.467100000000002</v>
      </c>
      <c r="H45" s="55" t="s">
        <v>70</v>
      </c>
      <c r="I45" s="54">
        <v>0</v>
      </c>
      <c r="J45" s="55" t="s">
        <v>36</v>
      </c>
      <c r="K45" s="55" t="s">
        <v>12</v>
      </c>
      <c r="L45" s="49">
        <v>-137.41999999999999</v>
      </c>
      <c r="M45" s="49">
        <v>-118.8169</v>
      </c>
    </row>
    <row r="46" spans="1:13" x14ac:dyDescent="0.25">
      <c r="A46" s="55" t="s">
        <v>70</v>
      </c>
      <c r="B46" s="54">
        <v>0.5</v>
      </c>
      <c r="C46" s="55" t="s">
        <v>36</v>
      </c>
      <c r="D46" s="55" t="s">
        <v>11</v>
      </c>
      <c r="E46" s="49">
        <v>-54.036999999999999</v>
      </c>
      <c r="F46" s="49">
        <v>-14.0304</v>
      </c>
      <c r="H46" s="55" t="s">
        <v>70</v>
      </c>
      <c r="I46" s="54">
        <v>0.5</v>
      </c>
      <c r="J46" s="55" t="s">
        <v>36</v>
      </c>
      <c r="K46" s="55" t="s">
        <v>12</v>
      </c>
      <c r="L46" s="49">
        <v>-112.434</v>
      </c>
      <c r="M46" s="49">
        <v>-56.353400000000001</v>
      </c>
    </row>
    <row r="47" spans="1:13" x14ac:dyDescent="0.25">
      <c r="A47" s="55" t="s">
        <v>70</v>
      </c>
      <c r="B47" s="54">
        <v>1</v>
      </c>
      <c r="C47" s="55" t="s">
        <v>36</v>
      </c>
      <c r="D47" s="55" t="s">
        <v>11</v>
      </c>
      <c r="E47" s="49">
        <v>-40.363</v>
      </c>
      <c r="F47" s="49">
        <v>9.5694999999999997</v>
      </c>
      <c r="H47" s="55" t="s">
        <v>70</v>
      </c>
      <c r="I47" s="54">
        <v>1</v>
      </c>
      <c r="J47" s="55" t="s">
        <v>36</v>
      </c>
      <c r="K47" s="55" t="s">
        <v>12</v>
      </c>
      <c r="L47" s="49">
        <v>-87.448999999999998</v>
      </c>
      <c r="M47" s="49">
        <v>-16.666699999999999</v>
      </c>
    </row>
    <row r="48" spans="1:13" x14ac:dyDescent="0.25">
      <c r="A48" s="55" t="s">
        <v>70</v>
      </c>
      <c r="B48" s="54">
        <v>1.5</v>
      </c>
      <c r="C48" s="55" t="s">
        <v>36</v>
      </c>
      <c r="D48" s="55" t="s">
        <v>11</v>
      </c>
      <c r="E48" s="49">
        <v>-26.689</v>
      </c>
      <c r="F48" s="49">
        <v>31.095600000000001</v>
      </c>
      <c r="H48" s="55" t="s">
        <v>70</v>
      </c>
      <c r="I48" s="54">
        <v>1.5</v>
      </c>
      <c r="J48" s="55" t="s">
        <v>36</v>
      </c>
      <c r="K48" s="55" t="s">
        <v>12</v>
      </c>
      <c r="L48" s="49">
        <v>-62.463999999999999</v>
      </c>
      <c r="M48" s="49">
        <v>7.5909000000000004</v>
      </c>
    </row>
    <row r="49" spans="1:13" x14ac:dyDescent="0.25">
      <c r="A49" s="55" t="s">
        <v>70</v>
      </c>
      <c r="B49" s="54">
        <v>2</v>
      </c>
      <c r="C49" s="55" t="s">
        <v>36</v>
      </c>
      <c r="D49" s="55" t="s">
        <v>11</v>
      </c>
      <c r="E49" s="49">
        <v>-13.016</v>
      </c>
      <c r="F49" s="49">
        <v>56.081099999999999</v>
      </c>
      <c r="H49" s="55" t="s">
        <v>70</v>
      </c>
      <c r="I49" s="54">
        <v>2</v>
      </c>
      <c r="J49" s="55" t="s">
        <v>36</v>
      </c>
      <c r="K49" s="55" t="s">
        <v>12</v>
      </c>
      <c r="L49" s="49">
        <v>-37.478000000000002</v>
      </c>
      <c r="M49" s="49">
        <v>25.011700000000001</v>
      </c>
    </row>
    <row r="50" spans="1:13" x14ac:dyDescent="0.25">
      <c r="A50" s="55" t="s">
        <v>70</v>
      </c>
      <c r="B50" s="54">
        <v>2.5</v>
      </c>
      <c r="C50" s="55" t="s">
        <v>36</v>
      </c>
      <c r="D50" s="55" t="s">
        <v>11</v>
      </c>
      <c r="E50" s="49">
        <v>0.65800000000000003</v>
      </c>
      <c r="F50" s="49">
        <v>68.573800000000006</v>
      </c>
      <c r="H50" s="55" t="s">
        <v>70</v>
      </c>
      <c r="I50" s="54">
        <v>2.5</v>
      </c>
      <c r="J50" s="55" t="s">
        <v>36</v>
      </c>
      <c r="K50" s="55" t="s">
        <v>12</v>
      </c>
      <c r="L50" s="49">
        <v>-14.331</v>
      </c>
      <c r="M50" s="49">
        <v>35.595700000000001</v>
      </c>
    </row>
    <row r="51" spans="1:13" x14ac:dyDescent="0.25">
      <c r="A51" s="55" t="s">
        <v>70</v>
      </c>
      <c r="B51" s="54">
        <v>3</v>
      </c>
      <c r="C51" s="55" t="s">
        <v>36</v>
      </c>
      <c r="D51" s="55" t="s">
        <v>11</v>
      </c>
      <c r="E51" s="49">
        <v>14.331</v>
      </c>
      <c r="F51" s="49">
        <v>68.573800000000006</v>
      </c>
      <c r="H51" s="55" t="s">
        <v>70</v>
      </c>
      <c r="I51" s="54">
        <v>3</v>
      </c>
      <c r="J51" s="55" t="s">
        <v>36</v>
      </c>
      <c r="K51" s="55" t="s">
        <v>12</v>
      </c>
      <c r="L51" s="49">
        <v>-0.65800000000000003</v>
      </c>
      <c r="M51" s="49">
        <v>35.595700000000001</v>
      </c>
    </row>
    <row r="52" spans="1:13" x14ac:dyDescent="0.25">
      <c r="A52" s="55" t="s">
        <v>70</v>
      </c>
      <c r="B52" s="54">
        <v>3.5</v>
      </c>
      <c r="C52" s="55" t="s">
        <v>36</v>
      </c>
      <c r="D52" s="55" t="s">
        <v>11</v>
      </c>
      <c r="E52" s="49">
        <v>37.478000000000002</v>
      </c>
      <c r="F52" s="49">
        <v>56.081099999999999</v>
      </c>
      <c r="H52" s="55" t="s">
        <v>70</v>
      </c>
      <c r="I52" s="54">
        <v>3.5</v>
      </c>
      <c r="J52" s="55" t="s">
        <v>36</v>
      </c>
      <c r="K52" s="55" t="s">
        <v>12</v>
      </c>
      <c r="L52" s="49">
        <v>13.016</v>
      </c>
      <c r="M52" s="49">
        <v>25.011700000000001</v>
      </c>
    </row>
    <row r="53" spans="1:13" x14ac:dyDescent="0.25">
      <c r="A53" s="55" t="s">
        <v>70</v>
      </c>
      <c r="B53" s="54">
        <v>4</v>
      </c>
      <c r="C53" s="55" t="s">
        <v>36</v>
      </c>
      <c r="D53" s="55" t="s">
        <v>11</v>
      </c>
      <c r="E53" s="49">
        <v>62.463999999999999</v>
      </c>
      <c r="F53" s="49">
        <v>31.095600000000001</v>
      </c>
      <c r="H53" s="55" t="s">
        <v>70</v>
      </c>
      <c r="I53" s="54">
        <v>4</v>
      </c>
      <c r="J53" s="55" t="s">
        <v>36</v>
      </c>
      <c r="K53" s="55" t="s">
        <v>12</v>
      </c>
      <c r="L53" s="49">
        <v>26.689</v>
      </c>
      <c r="M53" s="49">
        <v>7.5909000000000004</v>
      </c>
    </row>
    <row r="54" spans="1:13" x14ac:dyDescent="0.25">
      <c r="A54" s="55" t="s">
        <v>70</v>
      </c>
      <c r="B54" s="54">
        <v>4.5</v>
      </c>
      <c r="C54" s="55" t="s">
        <v>36</v>
      </c>
      <c r="D54" s="55" t="s">
        <v>11</v>
      </c>
      <c r="E54" s="49">
        <v>87.448999999999998</v>
      </c>
      <c r="F54" s="49">
        <v>9.5694999999999997</v>
      </c>
      <c r="H54" s="55" t="s">
        <v>70</v>
      </c>
      <c r="I54" s="54">
        <v>4.5</v>
      </c>
      <c r="J54" s="55" t="s">
        <v>36</v>
      </c>
      <c r="K54" s="55" t="s">
        <v>12</v>
      </c>
      <c r="L54" s="49">
        <v>40.363</v>
      </c>
      <c r="M54" s="49">
        <v>-16.666699999999999</v>
      </c>
    </row>
    <row r="55" spans="1:13" x14ac:dyDescent="0.25">
      <c r="A55" s="55" t="s">
        <v>70</v>
      </c>
      <c r="B55" s="54">
        <v>5</v>
      </c>
      <c r="C55" s="55" t="s">
        <v>36</v>
      </c>
      <c r="D55" s="55" t="s">
        <v>11</v>
      </c>
      <c r="E55" s="49">
        <v>112.434</v>
      </c>
      <c r="F55" s="49">
        <v>-14.0304</v>
      </c>
      <c r="H55" s="55" t="s">
        <v>70</v>
      </c>
      <c r="I55" s="54">
        <v>5</v>
      </c>
      <c r="J55" s="55" t="s">
        <v>36</v>
      </c>
      <c r="K55" s="55" t="s">
        <v>12</v>
      </c>
      <c r="L55" s="49">
        <v>54.036999999999999</v>
      </c>
      <c r="M55" s="49">
        <v>-56.353400000000001</v>
      </c>
    </row>
    <row r="56" spans="1:13" x14ac:dyDescent="0.25">
      <c r="A56" s="55" t="s">
        <v>70</v>
      </c>
      <c r="B56" s="54">
        <v>5.5</v>
      </c>
      <c r="C56" s="55" t="s">
        <v>36</v>
      </c>
      <c r="D56" s="55" t="s">
        <v>11</v>
      </c>
      <c r="E56" s="49">
        <v>137.41999999999999</v>
      </c>
      <c r="F56" s="49">
        <v>-44.467100000000002</v>
      </c>
      <c r="H56" s="55" t="s">
        <v>70</v>
      </c>
      <c r="I56" s="54">
        <v>5.5</v>
      </c>
      <c r="J56" s="55" t="s">
        <v>36</v>
      </c>
      <c r="K56" s="55" t="s">
        <v>12</v>
      </c>
      <c r="L56" s="49">
        <v>67.709999999999994</v>
      </c>
      <c r="M56" s="49">
        <v>-118.8169</v>
      </c>
    </row>
    <row r="57" spans="1:13" x14ac:dyDescent="0.25">
      <c r="A57" s="55" t="s">
        <v>71</v>
      </c>
      <c r="B57" s="54">
        <v>0</v>
      </c>
      <c r="C57" s="55" t="s">
        <v>36</v>
      </c>
      <c r="D57" s="55" t="s">
        <v>11</v>
      </c>
      <c r="E57" s="49">
        <v>-49.887999999999998</v>
      </c>
      <c r="F57" s="49">
        <v>-24.7974</v>
      </c>
      <c r="H57" s="55" t="s">
        <v>71</v>
      </c>
      <c r="I57" s="54">
        <v>0</v>
      </c>
      <c r="J57" s="55" t="s">
        <v>36</v>
      </c>
      <c r="K57" s="55" t="s">
        <v>12</v>
      </c>
      <c r="L57" s="49">
        <v>-112.005</v>
      </c>
      <c r="M57" s="49">
        <v>-86.042400000000001</v>
      </c>
    </row>
    <row r="58" spans="1:13" x14ac:dyDescent="0.25">
      <c r="A58" s="55" t="s">
        <v>71</v>
      </c>
      <c r="B58" s="54">
        <v>0.5</v>
      </c>
      <c r="C58" s="55" t="s">
        <v>36</v>
      </c>
      <c r="D58" s="55" t="s">
        <v>11</v>
      </c>
      <c r="E58" s="49">
        <v>-36.213999999999999</v>
      </c>
      <c r="F58" s="49">
        <v>-3.2717000000000001</v>
      </c>
      <c r="H58" s="55" t="s">
        <v>71</v>
      </c>
      <c r="I58" s="54">
        <v>0.5</v>
      </c>
      <c r="J58" s="55" t="s">
        <v>36</v>
      </c>
      <c r="K58" s="55" t="s">
        <v>12</v>
      </c>
      <c r="L58" s="49">
        <v>-87.019000000000005</v>
      </c>
      <c r="M58" s="49">
        <v>-37.164099999999998</v>
      </c>
    </row>
    <row r="59" spans="1:13" x14ac:dyDescent="0.25">
      <c r="A59" s="55" t="s">
        <v>71</v>
      </c>
      <c r="B59" s="54">
        <v>1</v>
      </c>
      <c r="C59" s="55" t="s">
        <v>36</v>
      </c>
      <c r="D59" s="55" t="s">
        <v>11</v>
      </c>
      <c r="E59" s="49">
        <v>-22.541</v>
      </c>
      <c r="F59" s="49">
        <v>11.417400000000001</v>
      </c>
      <c r="H59" s="55" t="s">
        <v>71</v>
      </c>
      <c r="I59" s="54">
        <v>1</v>
      </c>
      <c r="J59" s="55" t="s">
        <v>36</v>
      </c>
      <c r="K59" s="55" t="s">
        <v>12</v>
      </c>
      <c r="L59" s="49">
        <v>-62.033999999999999</v>
      </c>
      <c r="M59" s="49">
        <v>-10.8415</v>
      </c>
    </row>
    <row r="60" spans="1:13" x14ac:dyDescent="0.25">
      <c r="A60" s="55" t="s">
        <v>71</v>
      </c>
      <c r="B60" s="54">
        <v>1.5</v>
      </c>
      <c r="C60" s="55" t="s">
        <v>36</v>
      </c>
      <c r="D60" s="55" t="s">
        <v>11</v>
      </c>
      <c r="E60" s="49">
        <v>-8.8670000000000009</v>
      </c>
      <c r="F60" s="49">
        <v>25.747199999999999</v>
      </c>
      <c r="H60" s="55" t="s">
        <v>71</v>
      </c>
      <c r="I60" s="54">
        <v>1.5</v>
      </c>
      <c r="J60" s="55" t="s">
        <v>36</v>
      </c>
      <c r="K60" s="55" t="s">
        <v>12</v>
      </c>
      <c r="L60" s="49">
        <v>-37.048000000000002</v>
      </c>
      <c r="M60" s="49">
        <v>8.6437000000000008</v>
      </c>
    </row>
    <row r="61" spans="1:13" x14ac:dyDescent="0.25">
      <c r="A61" s="55" t="s">
        <v>71</v>
      </c>
      <c r="B61" s="54">
        <v>2</v>
      </c>
      <c r="C61" s="55" t="s">
        <v>36</v>
      </c>
      <c r="D61" s="55" t="s">
        <v>11</v>
      </c>
      <c r="E61" s="49">
        <v>4.806</v>
      </c>
      <c r="F61" s="49">
        <v>38.024999999999999</v>
      </c>
      <c r="H61" s="55" t="s">
        <v>71</v>
      </c>
      <c r="I61" s="54">
        <v>2</v>
      </c>
      <c r="J61" s="55" t="s">
        <v>36</v>
      </c>
      <c r="K61" s="55" t="s">
        <v>12</v>
      </c>
      <c r="L61" s="49">
        <v>-18.462</v>
      </c>
      <c r="M61" s="49">
        <v>20.257100000000001</v>
      </c>
    </row>
    <row r="62" spans="1:13" x14ac:dyDescent="0.25">
      <c r="A62" s="55" t="s">
        <v>71</v>
      </c>
      <c r="B62" s="54">
        <v>2.5</v>
      </c>
      <c r="C62" s="55" t="s">
        <v>36</v>
      </c>
      <c r="D62" s="55" t="s">
        <v>11</v>
      </c>
      <c r="E62" s="49">
        <v>18.48</v>
      </c>
      <c r="F62" s="49">
        <v>37.81</v>
      </c>
      <c r="H62" s="55" t="s">
        <v>71</v>
      </c>
      <c r="I62" s="54">
        <v>2.5</v>
      </c>
      <c r="J62" s="55" t="s">
        <v>36</v>
      </c>
      <c r="K62" s="55" t="s">
        <v>12</v>
      </c>
      <c r="L62" s="49">
        <v>-4.7889999999999997</v>
      </c>
      <c r="M62" s="49">
        <v>14.46</v>
      </c>
    </row>
    <row r="63" spans="1:13" x14ac:dyDescent="0.25">
      <c r="A63" s="55" t="s">
        <v>71</v>
      </c>
      <c r="B63" s="54">
        <v>3</v>
      </c>
      <c r="C63" s="55" t="s">
        <v>36</v>
      </c>
      <c r="D63" s="55" t="s">
        <v>11</v>
      </c>
      <c r="E63" s="49">
        <v>37.908000000000001</v>
      </c>
      <c r="F63" s="49">
        <v>26.085000000000001</v>
      </c>
      <c r="H63" s="55" t="s">
        <v>71</v>
      </c>
      <c r="I63" s="54">
        <v>3</v>
      </c>
      <c r="J63" s="55" t="s">
        <v>36</v>
      </c>
      <c r="K63" s="55" t="s">
        <v>12</v>
      </c>
      <c r="L63" s="49">
        <v>8.8849999999999998</v>
      </c>
      <c r="M63" s="49">
        <v>1.8025</v>
      </c>
    </row>
    <row r="64" spans="1:13" x14ac:dyDescent="0.25">
      <c r="A64" s="55" t="s">
        <v>71</v>
      </c>
      <c r="B64" s="54">
        <v>3.5</v>
      </c>
      <c r="C64" s="55" t="s">
        <v>36</v>
      </c>
      <c r="D64" s="55" t="s">
        <v>11</v>
      </c>
      <c r="E64" s="49">
        <v>62.893000000000001</v>
      </c>
      <c r="F64" s="49">
        <v>18.2239</v>
      </c>
      <c r="H64" s="55" t="s">
        <v>71</v>
      </c>
      <c r="I64" s="54">
        <v>3.5</v>
      </c>
      <c r="J64" s="55" t="s">
        <v>36</v>
      </c>
      <c r="K64" s="55" t="s">
        <v>12</v>
      </c>
      <c r="L64" s="49">
        <v>22.558</v>
      </c>
      <c r="M64" s="49">
        <v>-17.692299999999999</v>
      </c>
    </row>
    <row r="65" spans="1:13" x14ac:dyDescent="0.25">
      <c r="A65" s="55" t="s">
        <v>71</v>
      </c>
      <c r="B65" s="54">
        <v>4</v>
      </c>
      <c r="C65" s="55" t="s">
        <v>36</v>
      </c>
      <c r="D65" s="55" t="s">
        <v>11</v>
      </c>
      <c r="E65" s="49">
        <v>87.879000000000005</v>
      </c>
      <c r="F65" s="49">
        <v>3.5261</v>
      </c>
      <c r="H65" s="55" t="s">
        <v>71</v>
      </c>
      <c r="I65" s="54">
        <v>4</v>
      </c>
      <c r="J65" s="55" t="s">
        <v>36</v>
      </c>
      <c r="K65" s="55" t="s">
        <v>12</v>
      </c>
      <c r="L65" s="49">
        <v>36.231999999999999</v>
      </c>
      <c r="M65" s="49">
        <v>-44.024099999999997</v>
      </c>
    </row>
    <row r="68" spans="1:13" x14ac:dyDescent="0.25">
      <c r="A68" s="55" t="s">
        <v>72</v>
      </c>
      <c r="B68" s="54">
        <v>0</v>
      </c>
      <c r="C68" s="55" t="s">
        <v>36</v>
      </c>
      <c r="D68" s="55" t="s">
        <v>11</v>
      </c>
      <c r="E68" s="49">
        <v>-44.591999999999999</v>
      </c>
      <c r="F68" s="49">
        <v>-0.59640000000000004</v>
      </c>
      <c r="H68" s="55" t="s">
        <v>72</v>
      </c>
      <c r="I68" s="54">
        <v>0</v>
      </c>
      <c r="J68" s="55" t="s">
        <v>36</v>
      </c>
      <c r="K68" s="55" t="s">
        <v>12</v>
      </c>
      <c r="L68" s="49">
        <v>-102.98399999999999</v>
      </c>
      <c r="M68" s="49">
        <v>-46.3508</v>
      </c>
    </row>
    <row r="69" spans="1:13" x14ac:dyDescent="0.25">
      <c r="A69" s="55" t="s">
        <v>72</v>
      </c>
      <c r="B69" s="54">
        <v>0.5</v>
      </c>
      <c r="C69" s="55" t="s">
        <v>36</v>
      </c>
      <c r="D69" s="55" t="s">
        <v>11</v>
      </c>
      <c r="E69" s="49">
        <v>-28.635999999999999</v>
      </c>
      <c r="F69" s="49">
        <v>17.710799999999999</v>
      </c>
      <c r="H69" s="55" t="s">
        <v>72</v>
      </c>
      <c r="I69" s="54">
        <v>0.5</v>
      </c>
      <c r="J69" s="55" t="s">
        <v>36</v>
      </c>
      <c r="K69" s="55" t="s">
        <v>12</v>
      </c>
      <c r="L69" s="49">
        <v>-73.680000000000007</v>
      </c>
      <c r="M69" s="49">
        <v>-16.847100000000001</v>
      </c>
    </row>
    <row r="70" spans="1:13" x14ac:dyDescent="0.25">
      <c r="A70" s="55" t="s">
        <v>72</v>
      </c>
      <c r="B70" s="54">
        <v>1</v>
      </c>
      <c r="C70" s="55" t="s">
        <v>36</v>
      </c>
      <c r="D70" s="55" t="s">
        <v>11</v>
      </c>
      <c r="E70" s="49">
        <v>-12.68</v>
      </c>
      <c r="F70" s="49">
        <v>29.568999999999999</v>
      </c>
      <c r="H70" s="55" t="s">
        <v>72</v>
      </c>
      <c r="I70" s="54">
        <v>1</v>
      </c>
      <c r="J70" s="55" t="s">
        <v>36</v>
      </c>
      <c r="K70" s="55" t="s">
        <v>12</v>
      </c>
      <c r="L70" s="49">
        <v>-44.375</v>
      </c>
      <c r="M70" s="49">
        <v>4.6784999999999997</v>
      </c>
    </row>
    <row r="71" spans="1:13" x14ac:dyDescent="0.25">
      <c r="A71" s="55" t="s">
        <v>72</v>
      </c>
      <c r="B71" s="54">
        <v>1.5</v>
      </c>
      <c r="C71" s="55" t="s">
        <v>36</v>
      </c>
      <c r="D71" s="55" t="s">
        <v>11</v>
      </c>
      <c r="E71" s="49">
        <v>3.2759999999999998</v>
      </c>
      <c r="F71" s="49">
        <v>44.430300000000003</v>
      </c>
      <c r="H71" s="55" t="s">
        <v>72</v>
      </c>
      <c r="I71" s="54">
        <v>1.5</v>
      </c>
      <c r="J71" s="55" t="s">
        <v>36</v>
      </c>
      <c r="K71" s="55" t="s">
        <v>12</v>
      </c>
      <c r="L71" s="49">
        <v>-19.117000000000001</v>
      </c>
      <c r="M71" s="49">
        <v>18.225300000000001</v>
      </c>
    </row>
    <row r="72" spans="1:13" x14ac:dyDescent="0.25">
      <c r="A72" s="55" t="s">
        <v>72</v>
      </c>
      <c r="B72" s="54">
        <v>2</v>
      </c>
      <c r="C72" s="55" t="s">
        <v>36</v>
      </c>
      <c r="D72" s="55" t="s">
        <v>11</v>
      </c>
      <c r="E72" s="49">
        <v>19.233000000000001</v>
      </c>
      <c r="F72" s="49">
        <v>44.639299999999999</v>
      </c>
      <c r="H72" s="55" t="s">
        <v>72</v>
      </c>
      <c r="I72" s="54">
        <v>2</v>
      </c>
      <c r="J72" s="55" t="s">
        <v>36</v>
      </c>
      <c r="K72" s="55" t="s">
        <v>12</v>
      </c>
      <c r="L72" s="49">
        <v>-3.161</v>
      </c>
      <c r="M72" s="49">
        <v>23.7638</v>
      </c>
    </row>
    <row r="73" spans="1:13" x14ac:dyDescent="0.25">
      <c r="A73" s="55" t="s">
        <v>72</v>
      </c>
      <c r="B73" s="54">
        <v>2.5</v>
      </c>
      <c r="C73" s="55" t="s">
        <v>36</v>
      </c>
      <c r="D73" s="55" t="s">
        <v>11</v>
      </c>
      <c r="E73" s="49">
        <v>43.539000000000001</v>
      </c>
      <c r="F73" s="49">
        <v>30.196000000000002</v>
      </c>
      <c r="H73" s="55" t="s">
        <v>72</v>
      </c>
      <c r="I73" s="54">
        <v>2.5</v>
      </c>
      <c r="J73" s="55" t="s">
        <v>36</v>
      </c>
      <c r="K73" s="55" t="s">
        <v>12</v>
      </c>
      <c r="L73" s="49">
        <v>12.795</v>
      </c>
      <c r="M73" s="49">
        <v>11.155099999999999</v>
      </c>
    </row>
    <row r="74" spans="1:13" x14ac:dyDescent="0.25">
      <c r="A74" s="55" t="s">
        <v>72</v>
      </c>
      <c r="B74" s="54">
        <v>3</v>
      </c>
      <c r="C74" s="55" t="s">
        <v>36</v>
      </c>
      <c r="D74" s="55" t="s">
        <v>11</v>
      </c>
      <c r="E74" s="49">
        <v>72.843999999999994</v>
      </c>
      <c r="F74" s="49">
        <v>11.0029</v>
      </c>
      <c r="H74" s="55" t="s">
        <v>72</v>
      </c>
      <c r="I74" s="54">
        <v>3</v>
      </c>
      <c r="J74" s="55" t="s">
        <v>36</v>
      </c>
      <c r="K74" s="55" t="s">
        <v>12</v>
      </c>
      <c r="L74" s="49">
        <v>28.751000000000001</v>
      </c>
      <c r="M74" s="49">
        <v>-10.427099999999999</v>
      </c>
    </row>
    <row r="75" spans="1:13" x14ac:dyDescent="0.25">
      <c r="A75" s="55" t="s">
        <v>72</v>
      </c>
      <c r="B75" s="54">
        <v>3.5</v>
      </c>
      <c r="C75" s="55" t="s">
        <v>36</v>
      </c>
      <c r="D75" s="55" t="s">
        <v>11</v>
      </c>
      <c r="E75" s="49">
        <v>102.148</v>
      </c>
      <c r="F75" s="49">
        <v>-7.3620000000000001</v>
      </c>
      <c r="H75" s="55" t="s">
        <v>72</v>
      </c>
      <c r="I75" s="54">
        <v>3.5</v>
      </c>
      <c r="J75" s="55" t="s">
        <v>36</v>
      </c>
      <c r="K75" s="55" t="s">
        <v>12</v>
      </c>
      <c r="L75" s="49">
        <v>44.707000000000001</v>
      </c>
      <c r="M75" s="49">
        <v>-42.6477</v>
      </c>
    </row>
    <row r="76" spans="1:13" x14ac:dyDescent="0.25">
      <c r="A76" s="55" t="s">
        <v>72</v>
      </c>
      <c r="B76" s="54">
        <v>4</v>
      </c>
      <c r="C76" s="55" t="s">
        <v>36</v>
      </c>
      <c r="D76" s="55" t="s">
        <v>11</v>
      </c>
      <c r="E76" s="49">
        <v>131.453</v>
      </c>
      <c r="F76" s="49">
        <v>-33.704900000000002</v>
      </c>
      <c r="H76" s="55" t="s">
        <v>72</v>
      </c>
      <c r="I76" s="54">
        <v>4</v>
      </c>
      <c r="J76" s="55" t="s">
        <v>36</v>
      </c>
      <c r="K76" s="55" t="s">
        <v>12</v>
      </c>
      <c r="L76" s="49">
        <v>60.664000000000001</v>
      </c>
      <c r="M76" s="49">
        <v>-101.048</v>
      </c>
    </row>
    <row r="77" spans="1:13" x14ac:dyDescent="0.25">
      <c r="A77" s="55" t="s">
        <v>73</v>
      </c>
      <c r="B77" s="54">
        <v>0</v>
      </c>
      <c r="C77" s="55" t="s">
        <v>36</v>
      </c>
      <c r="D77" s="55" t="s">
        <v>11</v>
      </c>
      <c r="E77" s="49">
        <v>-80.563999999999993</v>
      </c>
      <c r="F77" s="49">
        <v>-56.136499999999998</v>
      </c>
      <c r="H77" s="55" t="s">
        <v>73</v>
      </c>
      <c r="I77" s="54">
        <v>0</v>
      </c>
      <c r="J77" s="55" t="s">
        <v>36</v>
      </c>
      <c r="K77" s="55" t="s">
        <v>12</v>
      </c>
      <c r="L77" s="49">
        <v>-161.17599999999999</v>
      </c>
      <c r="M77" s="49">
        <v>-139.3271</v>
      </c>
    </row>
    <row r="78" spans="1:13" x14ac:dyDescent="0.25">
      <c r="A78" s="55" t="s">
        <v>73</v>
      </c>
      <c r="B78" s="54">
        <v>0.5</v>
      </c>
      <c r="C78" s="55" t="s">
        <v>36</v>
      </c>
      <c r="D78" s="55" t="s">
        <v>11</v>
      </c>
      <c r="E78" s="49">
        <v>-64.606999999999999</v>
      </c>
      <c r="F78" s="49">
        <v>-19.843699999999998</v>
      </c>
      <c r="H78" s="55" t="s">
        <v>73</v>
      </c>
      <c r="I78" s="54">
        <v>0.5</v>
      </c>
      <c r="J78" s="55" t="s">
        <v>36</v>
      </c>
      <c r="K78" s="55" t="s">
        <v>12</v>
      </c>
      <c r="L78" s="49">
        <v>-131.87100000000001</v>
      </c>
      <c r="M78" s="49">
        <v>-66.065399999999997</v>
      </c>
    </row>
    <row r="79" spans="1:13" x14ac:dyDescent="0.25">
      <c r="A79" s="55" t="s">
        <v>73</v>
      </c>
      <c r="B79" s="54">
        <v>1</v>
      </c>
      <c r="C79" s="55" t="s">
        <v>36</v>
      </c>
      <c r="D79" s="55" t="s">
        <v>11</v>
      </c>
      <c r="E79" s="49">
        <v>-48.651000000000003</v>
      </c>
      <c r="F79" s="49">
        <v>8.4710000000000001</v>
      </c>
      <c r="H79" s="55" t="s">
        <v>73</v>
      </c>
      <c r="I79" s="54">
        <v>1</v>
      </c>
      <c r="J79" s="55" t="s">
        <v>36</v>
      </c>
      <c r="K79" s="55" t="s">
        <v>12</v>
      </c>
      <c r="L79" s="49">
        <v>-102.566</v>
      </c>
      <c r="M79" s="49">
        <v>-16.737300000000001</v>
      </c>
    </row>
    <row r="80" spans="1:13" x14ac:dyDescent="0.25">
      <c r="A80" s="55" t="s">
        <v>73</v>
      </c>
      <c r="B80" s="54">
        <v>1.5</v>
      </c>
      <c r="C80" s="55" t="s">
        <v>36</v>
      </c>
      <c r="D80" s="55" t="s">
        <v>11</v>
      </c>
      <c r="E80" s="49">
        <v>-32.695</v>
      </c>
      <c r="F80" s="49">
        <v>36.500999999999998</v>
      </c>
      <c r="H80" s="55" t="s">
        <v>73</v>
      </c>
      <c r="I80" s="54">
        <v>1.5</v>
      </c>
      <c r="J80" s="55" t="s">
        <v>36</v>
      </c>
      <c r="K80" s="55" t="s">
        <v>12</v>
      </c>
      <c r="L80" s="49">
        <v>-73.262</v>
      </c>
      <c r="M80" s="49">
        <v>10.794600000000001</v>
      </c>
    </row>
    <row r="81" spans="1:13" x14ac:dyDescent="0.25">
      <c r="A81" s="55" t="s">
        <v>73</v>
      </c>
      <c r="B81" s="54">
        <v>2</v>
      </c>
      <c r="C81" s="55" t="s">
        <v>36</v>
      </c>
      <c r="D81" s="55" t="s">
        <v>11</v>
      </c>
      <c r="E81" s="49">
        <v>-16.739000000000001</v>
      </c>
      <c r="F81" s="49">
        <v>65.805700000000002</v>
      </c>
      <c r="H81" s="55" t="s">
        <v>73</v>
      </c>
      <c r="I81" s="54">
        <v>2</v>
      </c>
      <c r="J81" s="55" t="s">
        <v>36</v>
      </c>
      <c r="K81" s="55" t="s">
        <v>12</v>
      </c>
      <c r="L81" s="49">
        <v>-43.957000000000001</v>
      </c>
      <c r="M81" s="49">
        <v>30.348500000000001</v>
      </c>
    </row>
    <row r="82" spans="1:13" x14ac:dyDescent="0.25">
      <c r="A82" s="55" t="s">
        <v>73</v>
      </c>
      <c r="B82" s="54">
        <v>2.5</v>
      </c>
      <c r="C82" s="55" t="s">
        <v>36</v>
      </c>
      <c r="D82" s="55" t="s">
        <v>11</v>
      </c>
      <c r="E82" s="49">
        <v>-0.78300000000000003</v>
      </c>
      <c r="F82" s="49">
        <v>80.457999999999998</v>
      </c>
      <c r="H82" s="55" t="s">
        <v>73</v>
      </c>
      <c r="I82" s="54">
        <v>2.5</v>
      </c>
      <c r="J82" s="55" t="s">
        <v>36</v>
      </c>
      <c r="K82" s="55" t="s">
        <v>12</v>
      </c>
      <c r="L82" s="49">
        <v>-15.173</v>
      </c>
      <c r="M82" s="49">
        <v>41.924300000000002</v>
      </c>
    </row>
    <row r="83" spans="1:13" x14ac:dyDescent="0.25">
      <c r="A83" s="55" t="s">
        <v>73</v>
      </c>
      <c r="B83" s="54">
        <v>3</v>
      </c>
      <c r="C83" s="55" t="s">
        <v>36</v>
      </c>
      <c r="D83" s="55" t="s">
        <v>11</v>
      </c>
      <c r="E83" s="49">
        <v>15.173</v>
      </c>
      <c r="F83" s="49">
        <v>80.457999999999998</v>
      </c>
      <c r="H83" s="55" t="s">
        <v>73</v>
      </c>
      <c r="I83" s="54">
        <v>3</v>
      </c>
      <c r="J83" s="55" t="s">
        <v>36</v>
      </c>
      <c r="K83" s="55" t="s">
        <v>12</v>
      </c>
      <c r="L83" s="49">
        <v>0.78300000000000003</v>
      </c>
      <c r="M83" s="49">
        <v>41.924300000000002</v>
      </c>
    </row>
    <row r="84" spans="1:13" x14ac:dyDescent="0.25">
      <c r="A84" s="55" t="s">
        <v>73</v>
      </c>
      <c r="B84" s="54">
        <v>3.5</v>
      </c>
      <c r="C84" s="55" t="s">
        <v>36</v>
      </c>
      <c r="D84" s="55" t="s">
        <v>11</v>
      </c>
      <c r="E84" s="49">
        <v>43.957000000000001</v>
      </c>
      <c r="F84" s="49">
        <v>65.805700000000002</v>
      </c>
      <c r="H84" s="55" t="s">
        <v>73</v>
      </c>
      <c r="I84" s="54">
        <v>3.5</v>
      </c>
      <c r="J84" s="55" t="s">
        <v>36</v>
      </c>
      <c r="K84" s="55" t="s">
        <v>12</v>
      </c>
      <c r="L84" s="49">
        <v>16.739000000000001</v>
      </c>
      <c r="M84" s="49">
        <v>30.348500000000001</v>
      </c>
    </row>
    <row r="85" spans="1:13" x14ac:dyDescent="0.25">
      <c r="A85" s="55" t="s">
        <v>73</v>
      </c>
      <c r="B85" s="54">
        <v>4</v>
      </c>
      <c r="C85" s="55" t="s">
        <v>36</v>
      </c>
      <c r="D85" s="55" t="s">
        <v>11</v>
      </c>
      <c r="E85" s="49">
        <v>73.262</v>
      </c>
      <c r="F85" s="49">
        <v>36.500999999999998</v>
      </c>
      <c r="H85" s="55" t="s">
        <v>73</v>
      </c>
      <c r="I85" s="54">
        <v>4</v>
      </c>
      <c r="J85" s="55" t="s">
        <v>36</v>
      </c>
      <c r="K85" s="55" t="s">
        <v>12</v>
      </c>
      <c r="L85" s="49">
        <v>32.695</v>
      </c>
      <c r="M85" s="49">
        <v>10.794600000000001</v>
      </c>
    </row>
    <row r="86" spans="1:13" x14ac:dyDescent="0.25">
      <c r="A86" s="55" t="s">
        <v>73</v>
      </c>
      <c r="B86" s="54">
        <v>4.5</v>
      </c>
      <c r="C86" s="55" t="s">
        <v>36</v>
      </c>
      <c r="D86" s="55" t="s">
        <v>11</v>
      </c>
      <c r="E86" s="49">
        <v>102.566</v>
      </c>
      <c r="F86" s="49">
        <v>8.4710000000000001</v>
      </c>
      <c r="H86" s="55" t="s">
        <v>73</v>
      </c>
      <c r="I86" s="54">
        <v>4.5</v>
      </c>
      <c r="J86" s="55" t="s">
        <v>36</v>
      </c>
      <c r="K86" s="55" t="s">
        <v>12</v>
      </c>
      <c r="L86" s="49">
        <v>48.651000000000003</v>
      </c>
      <c r="M86" s="49">
        <v>-16.737300000000001</v>
      </c>
    </row>
    <row r="87" spans="1:13" x14ac:dyDescent="0.25">
      <c r="A87" s="55" t="s">
        <v>73</v>
      </c>
      <c r="B87" s="54">
        <v>5</v>
      </c>
      <c r="C87" s="55" t="s">
        <v>36</v>
      </c>
      <c r="D87" s="55" t="s">
        <v>11</v>
      </c>
      <c r="E87" s="49">
        <v>131.87100000000001</v>
      </c>
      <c r="F87" s="49">
        <v>-19.843699999999998</v>
      </c>
      <c r="H87" s="55" t="s">
        <v>73</v>
      </c>
      <c r="I87" s="54">
        <v>5</v>
      </c>
      <c r="J87" s="55" t="s">
        <v>36</v>
      </c>
      <c r="K87" s="55" t="s">
        <v>12</v>
      </c>
      <c r="L87" s="49">
        <v>64.606999999999999</v>
      </c>
      <c r="M87" s="49">
        <v>-66.065399999999997</v>
      </c>
    </row>
    <row r="88" spans="1:13" x14ac:dyDescent="0.25">
      <c r="A88" s="55" t="s">
        <v>73</v>
      </c>
      <c r="B88" s="54">
        <v>5.5</v>
      </c>
      <c r="C88" s="55" t="s">
        <v>36</v>
      </c>
      <c r="D88" s="55" t="s">
        <v>11</v>
      </c>
      <c r="E88" s="49">
        <v>161.17599999999999</v>
      </c>
      <c r="F88" s="49">
        <v>-56.136499999999998</v>
      </c>
      <c r="H88" s="55" t="s">
        <v>73</v>
      </c>
      <c r="I88" s="54">
        <v>5.5</v>
      </c>
      <c r="J88" s="55" t="s">
        <v>36</v>
      </c>
      <c r="K88" s="55" t="s">
        <v>12</v>
      </c>
      <c r="L88" s="49">
        <v>80.563999999999993</v>
      </c>
      <c r="M88" s="49">
        <v>-139.3271</v>
      </c>
    </row>
    <row r="89" spans="1:13" x14ac:dyDescent="0.25">
      <c r="A89" s="55" t="s">
        <v>74</v>
      </c>
      <c r="B89" s="54">
        <v>0</v>
      </c>
      <c r="C89" s="55" t="s">
        <v>36</v>
      </c>
      <c r="D89" s="55" t="s">
        <v>11</v>
      </c>
      <c r="E89" s="49">
        <v>-60.664000000000001</v>
      </c>
      <c r="F89" s="49">
        <v>-33.704900000000002</v>
      </c>
      <c r="H89" s="55" t="s">
        <v>74</v>
      </c>
      <c r="I89" s="54">
        <v>0</v>
      </c>
      <c r="J89" s="55" t="s">
        <v>36</v>
      </c>
      <c r="K89" s="55" t="s">
        <v>12</v>
      </c>
      <c r="L89" s="49">
        <v>-131.453</v>
      </c>
      <c r="M89" s="49">
        <v>-101.048</v>
      </c>
    </row>
    <row r="90" spans="1:13" x14ac:dyDescent="0.25">
      <c r="A90" s="55" t="s">
        <v>74</v>
      </c>
      <c r="B90" s="54">
        <v>0.5</v>
      </c>
      <c r="C90" s="55" t="s">
        <v>36</v>
      </c>
      <c r="D90" s="55" t="s">
        <v>11</v>
      </c>
      <c r="E90" s="49">
        <v>-44.707000000000001</v>
      </c>
      <c r="F90" s="49">
        <v>-7.3620000000000001</v>
      </c>
      <c r="H90" s="55" t="s">
        <v>74</v>
      </c>
      <c r="I90" s="54">
        <v>0.5</v>
      </c>
      <c r="J90" s="55" t="s">
        <v>36</v>
      </c>
      <c r="K90" s="55" t="s">
        <v>12</v>
      </c>
      <c r="L90" s="49">
        <v>-102.148</v>
      </c>
      <c r="M90" s="49">
        <v>-42.6477</v>
      </c>
    </row>
    <row r="91" spans="1:13" x14ac:dyDescent="0.25">
      <c r="A91" s="55" t="s">
        <v>74</v>
      </c>
      <c r="B91" s="54">
        <v>1</v>
      </c>
      <c r="C91" s="55" t="s">
        <v>36</v>
      </c>
      <c r="D91" s="55" t="s">
        <v>11</v>
      </c>
      <c r="E91" s="49">
        <v>-28.751000000000001</v>
      </c>
      <c r="F91" s="49">
        <v>11.0029</v>
      </c>
      <c r="H91" s="55" t="s">
        <v>74</v>
      </c>
      <c r="I91" s="54">
        <v>1</v>
      </c>
      <c r="J91" s="55" t="s">
        <v>36</v>
      </c>
      <c r="K91" s="55" t="s">
        <v>12</v>
      </c>
      <c r="L91" s="49">
        <v>-72.843999999999994</v>
      </c>
      <c r="M91" s="49">
        <v>-10.427099999999999</v>
      </c>
    </row>
    <row r="92" spans="1:13" x14ac:dyDescent="0.25">
      <c r="A92" s="55" t="s">
        <v>74</v>
      </c>
      <c r="B92" s="54">
        <v>1.5</v>
      </c>
      <c r="C92" s="55" t="s">
        <v>36</v>
      </c>
      <c r="D92" s="55" t="s">
        <v>11</v>
      </c>
      <c r="E92" s="49">
        <v>-12.795</v>
      </c>
      <c r="F92" s="49">
        <v>30.196000000000002</v>
      </c>
      <c r="H92" s="55" t="s">
        <v>74</v>
      </c>
      <c r="I92" s="54">
        <v>1.5</v>
      </c>
      <c r="J92" s="55" t="s">
        <v>36</v>
      </c>
      <c r="K92" s="55" t="s">
        <v>12</v>
      </c>
      <c r="L92" s="49">
        <v>-43.539000000000001</v>
      </c>
      <c r="M92" s="49">
        <v>11.155099999999999</v>
      </c>
    </row>
    <row r="93" spans="1:13" x14ac:dyDescent="0.25">
      <c r="A93" s="55" t="s">
        <v>74</v>
      </c>
      <c r="B93" s="54">
        <v>2</v>
      </c>
      <c r="C93" s="55" t="s">
        <v>36</v>
      </c>
      <c r="D93" s="55" t="s">
        <v>11</v>
      </c>
      <c r="E93" s="49">
        <v>3.161</v>
      </c>
      <c r="F93" s="49">
        <v>44.639299999999999</v>
      </c>
      <c r="H93" s="55" t="s">
        <v>74</v>
      </c>
      <c r="I93" s="54">
        <v>2</v>
      </c>
      <c r="J93" s="55" t="s">
        <v>36</v>
      </c>
      <c r="K93" s="55" t="s">
        <v>12</v>
      </c>
      <c r="L93" s="49">
        <v>-19.233000000000001</v>
      </c>
      <c r="M93" s="49">
        <v>23.7638</v>
      </c>
    </row>
    <row r="94" spans="1:13" x14ac:dyDescent="0.25">
      <c r="A94" s="55" t="s">
        <v>74</v>
      </c>
      <c r="B94" s="54">
        <v>2.5</v>
      </c>
      <c r="C94" s="55" t="s">
        <v>36</v>
      </c>
      <c r="D94" s="55" t="s">
        <v>11</v>
      </c>
      <c r="E94" s="49">
        <v>19.117000000000001</v>
      </c>
      <c r="F94" s="49">
        <v>44.430300000000003</v>
      </c>
      <c r="H94" s="55" t="s">
        <v>74</v>
      </c>
      <c r="I94" s="54">
        <v>2.5</v>
      </c>
      <c r="J94" s="55" t="s">
        <v>36</v>
      </c>
      <c r="K94" s="55" t="s">
        <v>12</v>
      </c>
      <c r="L94" s="49">
        <v>-3.2759999999999998</v>
      </c>
      <c r="M94" s="49">
        <v>18.225300000000001</v>
      </c>
    </row>
    <row r="95" spans="1:13" x14ac:dyDescent="0.25">
      <c r="A95" s="55" t="s">
        <v>74</v>
      </c>
      <c r="B95" s="54">
        <v>3</v>
      </c>
      <c r="C95" s="55" t="s">
        <v>36</v>
      </c>
      <c r="D95" s="55" t="s">
        <v>11</v>
      </c>
      <c r="E95" s="49">
        <v>44.375</v>
      </c>
      <c r="F95" s="49">
        <v>29.568999999999999</v>
      </c>
      <c r="H95" s="55" t="s">
        <v>74</v>
      </c>
      <c r="I95" s="54">
        <v>3</v>
      </c>
      <c r="J95" s="55" t="s">
        <v>36</v>
      </c>
      <c r="K95" s="55" t="s">
        <v>12</v>
      </c>
      <c r="L95" s="49">
        <v>12.68</v>
      </c>
      <c r="M95" s="49">
        <v>4.6784999999999997</v>
      </c>
    </row>
    <row r="96" spans="1:13" x14ac:dyDescent="0.25">
      <c r="A96" s="55" t="s">
        <v>74</v>
      </c>
      <c r="B96" s="54">
        <v>3.5</v>
      </c>
      <c r="C96" s="55" t="s">
        <v>36</v>
      </c>
      <c r="D96" s="55" t="s">
        <v>11</v>
      </c>
      <c r="E96" s="49">
        <v>73.680000000000007</v>
      </c>
      <c r="F96" s="49">
        <v>17.710799999999999</v>
      </c>
      <c r="H96" s="55" t="s">
        <v>74</v>
      </c>
      <c r="I96" s="54">
        <v>3.5</v>
      </c>
      <c r="J96" s="55" t="s">
        <v>36</v>
      </c>
      <c r="K96" s="55" t="s">
        <v>12</v>
      </c>
      <c r="L96" s="49">
        <v>28.635999999999999</v>
      </c>
      <c r="M96" s="49">
        <v>-16.847100000000001</v>
      </c>
    </row>
    <row r="97" spans="1:13" x14ac:dyDescent="0.25">
      <c r="A97" s="55" t="s">
        <v>74</v>
      </c>
      <c r="B97" s="54">
        <v>4</v>
      </c>
      <c r="C97" s="55" t="s">
        <v>36</v>
      </c>
      <c r="D97" s="55" t="s">
        <v>11</v>
      </c>
      <c r="E97" s="49">
        <v>102.98399999999999</v>
      </c>
      <c r="F97" s="49">
        <v>-0.59640000000000004</v>
      </c>
      <c r="H97" s="55" t="s">
        <v>74</v>
      </c>
      <c r="I97" s="54">
        <v>4</v>
      </c>
      <c r="J97" s="55" t="s">
        <v>36</v>
      </c>
      <c r="K97" s="55" t="s">
        <v>12</v>
      </c>
      <c r="L97" s="49">
        <v>44.591999999999999</v>
      </c>
      <c r="M97" s="49">
        <v>-46.3508</v>
      </c>
    </row>
    <row r="100" spans="1:13" x14ac:dyDescent="0.25">
      <c r="A100" s="55" t="s">
        <v>75</v>
      </c>
      <c r="B100" s="54">
        <v>0</v>
      </c>
      <c r="C100" s="55" t="s">
        <v>36</v>
      </c>
      <c r="D100" s="55" t="s">
        <v>11</v>
      </c>
      <c r="E100" s="49">
        <v>-43.774000000000001</v>
      </c>
      <c r="F100" s="49">
        <v>0.99080000000000001</v>
      </c>
      <c r="H100" s="55" t="s">
        <v>75</v>
      </c>
      <c r="I100" s="54">
        <v>0</v>
      </c>
      <c r="J100" s="55" t="s">
        <v>36</v>
      </c>
      <c r="K100" s="55" t="s">
        <v>12</v>
      </c>
      <c r="L100" s="49">
        <v>-103.283</v>
      </c>
      <c r="M100" s="49">
        <v>-48.810099999999998</v>
      </c>
    </row>
    <row r="101" spans="1:13" x14ac:dyDescent="0.25">
      <c r="A101" s="55" t="s">
        <v>75</v>
      </c>
      <c r="B101" s="54">
        <v>0.5</v>
      </c>
      <c r="C101" s="55" t="s">
        <v>36</v>
      </c>
      <c r="D101" s="55" t="s">
        <v>11</v>
      </c>
      <c r="E101" s="49">
        <v>-27.818000000000001</v>
      </c>
      <c r="F101" s="49">
        <v>18.889199999999999</v>
      </c>
      <c r="H101" s="55" t="s">
        <v>75</v>
      </c>
      <c r="I101" s="54">
        <v>0.5</v>
      </c>
      <c r="J101" s="55" t="s">
        <v>36</v>
      </c>
      <c r="K101" s="55" t="s">
        <v>12</v>
      </c>
      <c r="L101" s="49">
        <v>-73.978999999999999</v>
      </c>
      <c r="M101" s="49">
        <v>-18.727499999999999</v>
      </c>
    </row>
    <row r="102" spans="1:13" x14ac:dyDescent="0.25">
      <c r="A102" s="55" t="s">
        <v>75</v>
      </c>
      <c r="B102" s="54">
        <v>1</v>
      </c>
      <c r="C102" s="55" t="s">
        <v>36</v>
      </c>
      <c r="D102" s="55" t="s">
        <v>11</v>
      </c>
      <c r="E102" s="49">
        <v>-11.862</v>
      </c>
      <c r="F102" s="49">
        <v>29.086200000000002</v>
      </c>
      <c r="H102" s="55" t="s">
        <v>75</v>
      </c>
      <c r="I102" s="54">
        <v>1</v>
      </c>
      <c r="J102" s="55" t="s">
        <v>36</v>
      </c>
      <c r="K102" s="55" t="s">
        <v>12</v>
      </c>
      <c r="L102" s="49">
        <v>-44.673999999999999</v>
      </c>
      <c r="M102" s="49">
        <v>3.3769</v>
      </c>
    </row>
    <row r="103" spans="1:13" x14ac:dyDescent="0.25">
      <c r="A103" s="55" t="s">
        <v>75</v>
      </c>
      <c r="B103" s="54">
        <v>1.5</v>
      </c>
      <c r="C103" s="55" t="s">
        <v>36</v>
      </c>
      <c r="D103" s="55" t="s">
        <v>11</v>
      </c>
      <c r="E103" s="49">
        <v>4.0940000000000003</v>
      </c>
      <c r="F103" s="49">
        <v>44.097099999999998</v>
      </c>
      <c r="H103" s="55" t="s">
        <v>75</v>
      </c>
      <c r="I103" s="54">
        <v>1.5</v>
      </c>
      <c r="J103" s="55" t="s">
        <v>36</v>
      </c>
      <c r="K103" s="55" t="s">
        <v>12</v>
      </c>
      <c r="L103" s="49">
        <v>-20.274999999999999</v>
      </c>
      <c r="M103" s="49">
        <v>17.502500000000001</v>
      </c>
    </row>
    <row r="104" spans="1:13" x14ac:dyDescent="0.25">
      <c r="A104" s="55" t="s">
        <v>75</v>
      </c>
      <c r="B104" s="54">
        <v>2</v>
      </c>
      <c r="C104" s="55" t="s">
        <v>36</v>
      </c>
      <c r="D104" s="55" t="s">
        <v>11</v>
      </c>
      <c r="E104" s="49">
        <v>20.05</v>
      </c>
      <c r="F104" s="49">
        <v>44.455599999999997</v>
      </c>
      <c r="H104" s="55" t="s">
        <v>75</v>
      </c>
      <c r="I104" s="54">
        <v>2</v>
      </c>
      <c r="J104" s="55" t="s">
        <v>36</v>
      </c>
      <c r="K104" s="55" t="s">
        <v>12</v>
      </c>
      <c r="L104" s="49">
        <v>-4.319</v>
      </c>
      <c r="M104" s="49">
        <v>23.623899999999999</v>
      </c>
    </row>
    <row r="105" spans="1:13" x14ac:dyDescent="0.25">
      <c r="A105" s="55" t="s">
        <v>75</v>
      </c>
      <c r="B105" s="54">
        <v>2.5</v>
      </c>
      <c r="C105" s="55" t="s">
        <v>36</v>
      </c>
      <c r="D105" s="55" t="s">
        <v>11</v>
      </c>
      <c r="E105" s="49">
        <v>43.24</v>
      </c>
      <c r="F105" s="49">
        <v>30.161799999999999</v>
      </c>
      <c r="H105" s="55" t="s">
        <v>75</v>
      </c>
      <c r="I105" s="54">
        <v>2.5</v>
      </c>
      <c r="J105" s="55" t="s">
        <v>36</v>
      </c>
      <c r="K105" s="55" t="s">
        <v>12</v>
      </c>
      <c r="L105" s="49">
        <v>11.637</v>
      </c>
      <c r="M105" s="49">
        <v>10.698</v>
      </c>
    </row>
    <row r="106" spans="1:13" x14ac:dyDescent="0.25">
      <c r="A106" s="55" t="s">
        <v>75</v>
      </c>
      <c r="B106" s="54">
        <v>3</v>
      </c>
      <c r="C106" s="55" t="s">
        <v>36</v>
      </c>
      <c r="D106" s="55" t="s">
        <v>11</v>
      </c>
      <c r="E106" s="49">
        <v>72.545000000000002</v>
      </c>
      <c r="F106" s="49">
        <v>12.0168</v>
      </c>
      <c r="H106" s="55" t="s">
        <v>75</v>
      </c>
      <c r="I106" s="54">
        <v>3</v>
      </c>
      <c r="J106" s="55" t="s">
        <v>36</v>
      </c>
      <c r="K106" s="55" t="s">
        <v>12</v>
      </c>
      <c r="L106" s="49">
        <v>27.593</v>
      </c>
      <c r="M106" s="49">
        <v>-11.292999999999999</v>
      </c>
    </row>
    <row r="107" spans="1:13" x14ac:dyDescent="0.25">
      <c r="A107" s="55" t="s">
        <v>75</v>
      </c>
      <c r="B107" s="54">
        <v>3.5</v>
      </c>
      <c r="C107" s="55" t="s">
        <v>36</v>
      </c>
      <c r="D107" s="55" t="s">
        <v>11</v>
      </c>
      <c r="E107" s="49">
        <v>101.849</v>
      </c>
      <c r="F107" s="49">
        <v>-5.7693000000000003</v>
      </c>
      <c r="H107" s="55" t="s">
        <v>75</v>
      </c>
      <c r="I107" s="54">
        <v>3.5</v>
      </c>
      <c r="J107" s="55" t="s">
        <v>36</v>
      </c>
      <c r="K107" s="55" t="s">
        <v>12</v>
      </c>
      <c r="L107" s="49">
        <v>43.55</v>
      </c>
      <c r="M107" s="49">
        <v>-42.382800000000003</v>
      </c>
    </row>
    <row r="108" spans="1:13" x14ac:dyDescent="0.25">
      <c r="A108" s="55" t="s">
        <v>75</v>
      </c>
      <c r="B108" s="54">
        <v>4</v>
      </c>
      <c r="C108" s="55" t="s">
        <v>36</v>
      </c>
      <c r="D108" s="55" t="s">
        <v>11</v>
      </c>
      <c r="E108" s="49">
        <v>131.154</v>
      </c>
      <c r="F108" s="49">
        <v>-31.5334</v>
      </c>
      <c r="H108" s="55" t="s">
        <v>75</v>
      </c>
      <c r="I108" s="54">
        <v>4</v>
      </c>
      <c r="J108" s="55" t="s">
        <v>36</v>
      </c>
      <c r="K108" s="55" t="s">
        <v>12</v>
      </c>
      <c r="L108" s="49">
        <v>59.506</v>
      </c>
      <c r="M108" s="49">
        <v>-100.6336</v>
      </c>
    </row>
    <row r="109" spans="1:13" x14ac:dyDescent="0.25">
      <c r="A109" s="55" t="s">
        <v>76</v>
      </c>
      <c r="B109" s="54">
        <v>0</v>
      </c>
      <c r="C109" s="55" t="s">
        <v>36</v>
      </c>
      <c r="D109" s="55" t="s">
        <v>11</v>
      </c>
      <c r="E109" s="49">
        <v>-79.908000000000001</v>
      </c>
      <c r="F109" s="49">
        <v>-54.386400000000002</v>
      </c>
      <c r="H109" s="55" t="s">
        <v>76</v>
      </c>
      <c r="I109" s="54">
        <v>0</v>
      </c>
      <c r="J109" s="55" t="s">
        <v>36</v>
      </c>
      <c r="K109" s="55" t="s">
        <v>12</v>
      </c>
      <c r="L109" s="49">
        <v>-161.17599999999999</v>
      </c>
      <c r="M109" s="49">
        <v>-139.4325</v>
      </c>
    </row>
    <row r="110" spans="1:13" x14ac:dyDescent="0.25">
      <c r="A110" s="55" t="s">
        <v>76</v>
      </c>
      <c r="B110" s="54">
        <v>0.5</v>
      </c>
      <c r="C110" s="55" t="s">
        <v>36</v>
      </c>
      <c r="D110" s="55" t="s">
        <v>11</v>
      </c>
      <c r="E110" s="49">
        <v>-63.951000000000001</v>
      </c>
      <c r="F110" s="49">
        <v>-18.421600000000002</v>
      </c>
      <c r="H110" s="55" t="s">
        <v>76</v>
      </c>
      <c r="I110" s="54">
        <v>0.5</v>
      </c>
      <c r="J110" s="55" t="s">
        <v>36</v>
      </c>
      <c r="K110" s="55" t="s">
        <v>12</v>
      </c>
      <c r="L110" s="49">
        <v>-131.87100000000001</v>
      </c>
      <c r="M110" s="49">
        <v>-66.1708</v>
      </c>
    </row>
    <row r="111" spans="1:13" x14ac:dyDescent="0.25">
      <c r="A111" s="55" t="s">
        <v>76</v>
      </c>
      <c r="B111" s="54">
        <v>1</v>
      </c>
      <c r="C111" s="55" t="s">
        <v>36</v>
      </c>
      <c r="D111" s="55" t="s">
        <v>11</v>
      </c>
      <c r="E111" s="49">
        <v>-47.994999999999997</v>
      </c>
      <c r="F111" s="49">
        <v>9.5650999999999993</v>
      </c>
      <c r="H111" s="55" t="s">
        <v>76</v>
      </c>
      <c r="I111" s="54">
        <v>1</v>
      </c>
      <c r="J111" s="55" t="s">
        <v>36</v>
      </c>
      <c r="K111" s="55" t="s">
        <v>12</v>
      </c>
      <c r="L111" s="49">
        <v>-102.566</v>
      </c>
      <c r="M111" s="49">
        <v>-17.9316</v>
      </c>
    </row>
    <row r="112" spans="1:13" x14ac:dyDescent="0.25">
      <c r="A112" s="55" t="s">
        <v>76</v>
      </c>
      <c r="B112" s="54">
        <v>1.5</v>
      </c>
      <c r="C112" s="55" t="s">
        <v>36</v>
      </c>
      <c r="D112" s="55" t="s">
        <v>11</v>
      </c>
      <c r="E112" s="49">
        <v>-32.039000000000001</v>
      </c>
      <c r="F112" s="49">
        <v>36.395600000000002</v>
      </c>
      <c r="H112" s="55" t="s">
        <v>76</v>
      </c>
      <c r="I112" s="54">
        <v>1.5</v>
      </c>
      <c r="J112" s="55" t="s">
        <v>36</v>
      </c>
      <c r="K112" s="55" t="s">
        <v>12</v>
      </c>
      <c r="L112" s="49">
        <v>-73.262</v>
      </c>
      <c r="M112" s="49">
        <v>9.9283999999999999</v>
      </c>
    </row>
    <row r="113" spans="1:13" x14ac:dyDescent="0.25">
      <c r="A113" s="55" t="s">
        <v>76</v>
      </c>
      <c r="B113" s="54">
        <v>2</v>
      </c>
      <c r="C113" s="55" t="s">
        <v>36</v>
      </c>
      <c r="D113" s="55" t="s">
        <v>11</v>
      </c>
      <c r="E113" s="49">
        <v>-16.082999999999998</v>
      </c>
      <c r="F113" s="49">
        <v>65.700199999999995</v>
      </c>
      <c r="H113" s="55" t="s">
        <v>76</v>
      </c>
      <c r="I113" s="54">
        <v>2</v>
      </c>
      <c r="J113" s="55" t="s">
        <v>36</v>
      </c>
      <c r="K113" s="55" t="s">
        <v>12</v>
      </c>
      <c r="L113" s="49">
        <v>-43.957000000000001</v>
      </c>
      <c r="M113" s="49">
        <v>29.810199999999998</v>
      </c>
    </row>
    <row r="114" spans="1:13" x14ac:dyDescent="0.25">
      <c r="A114" s="55" t="s">
        <v>76</v>
      </c>
      <c r="B114" s="54">
        <v>2.5</v>
      </c>
      <c r="C114" s="55" t="s">
        <v>36</v>
      </c>
      <c r="D114" s="55" t="s">
        <v>11</v>
      </c>
      <c r="E114" s="49">
        <v>-0.127</v>
      </c>
      <c r="F114" s="49">
        <v>80.352599999999995</v>
      </c>
      <c r="H114" s="55" t="s">
        <v>76</v>
      </c>
      <c r="I114" s="54">
        <v>2.5</v>
      </c>
      <c r="J114" s="55" t="s">
        <v>36</v>
      </c>
      <c r="K114" s="55" t="s">
        <v>12</v>
      </c>
      <c r="L114" s="49">
        <v>-15.829000000000001</v>
      </c>
      <c r="M114" s="49">
        <v>41.713999999999999</v>
      </c>
    </row>
    <row r="115" spans="1:13" x14ac:dyDescent="0.25">
      <c r="A115" s="55" t="s">
        <v>76</v>
      </c>
      <c r="B115" s="54">
        <v>3</v>
      </c>
      <c r="C115" s="55" t="s">
        <v>36</v>
      </c>
      <c r="D115" s="55" t="s">
        <v>11</v>
      </c>
      <c r="E115" s="49">
        <v>15.829000000000001</v>
      </c>
      <c r="F115" s="49">
        <v>80.352599999999995</v>
      </c>
      <c r="H115" s="55" t="s">
        <v>76</v>
      </c>
      <c r="I115" s="54">
        <v>3</v>
      </c>
      <c r="J115" s="55" t="s">
        <v>36</v>
      </c>
      <c r="K115" s="55" t="s">
        <v>12</v>
      </c>
      <c r="L115" s="49">
        <v>0.127</v>
      </c>
      <c r="M115" s="49">
        <v>41.713999999999999</v>
      </c>
    </row>
    <row r="116" spans="1:13" x14ac:dyDescent="0.25">
      <c r="A116" s="55" t="s">
        <v>76</v>
      </c>
      <c r="B116" s="54">
        <v>3.5</v>
      </c>
      <c r="C116" s="55" t="s">
        <v>36</v>
      </c>
      <c r="D116" s="55" t="s">
        <v>11</v>
      </c>
      <c r="E116" s="49">
        <v>43.957000000000001</v>
      </c>
      <c r="F116" s="49">
        <v>65.700199999999995</v>
      </c>
      <c r="H116" s="55" t="s">
        <v>76</v>
      </c>
      <c r="I116" s="54">
        <v>3.5</v>
      </c>
      <c r="J116" s="55" t="s">
        <v>36</v>
      </c>
      <c r="K116" s="55" t="s">
        <v>12</v>
      </c>
      <c r="L116" s="49">
        <v>16.082999999999998</v>
      </c>
      <c r="M116" s="49">
        <v>29.810199999999998</v>
      </c>
    </row>
    <row r="117" spans="1:13" x14ac:dyDescent="0.25">
      <c r="A117" s="55" t="s">
        <v>76</v>
      </c>
      <c r="B117" s="54">
        <v>4</v>
      </c>
      <c r="C117" s="55" t="s">
        <v>36</v>
      </c>
      <c r="D117" s="55" t="s">
        <v>11</v>
      </c>
      <c r="E117" s="49">
        <v>73.262</v>
      </c>
      <c r="F117" s="49">
        <v>36.395600000000002</v>
      </c>
      <c r="H117" s="55" t="s">
        <v>76</v>
      </c>
      <c r="I117" s="54">
        <v>4</v>
      </c>
      <c r="J117" s="55" t="s">
        <v>36</v>
      </c>
      <c r="K117" s="55" t="s">
        <v>12</v>
      </c>
      <c r="L117" s="49">
        <v>32.039000000000001</v>
      </c>
      <c r="M117" s="49">
        <v>9.9283999999999999</v>
      </c>
    </row>
    <row r="118" spans="1:13" x14ac:dyDescent="0.25">
      <c r="A118" s="55" t="s">
        <v>76</v>
      </c>
      <c r="B118" s="54">
        <v>4.5</v>
      </c>
      <c r="C118" s="55" t="s">
        <v>36</v>
      </c>
      <c r="D118" s="55" t="s">
        <v>11</v>
      </c>
      <c r="E118" s="49">
        <v>102.566</v>
      </c>
      <c r="F118" s="49">
        <v>9.5650999999999993</v>
      </c>
      <c r="H118" s="55" t="s">
        <v>76</v>
      </c>
      <c r="I118" s="54">
        <v>4.5</v>
      </c>
      <c r="J118" s="55" t="s">
        <v>36</v>
      </c>
      <c r="K118" s="55" t="s">
        <v>12</v>
      </c>
      <c r="L118" s="49">
        <v>47.994999999999997</v>
      </c>
      <c r="M118" s="49">
        <v>-17.9316</v>
      </c>
    </row>
    <row r="119" spans="1:13" x14ac:dyDescent="0.25">
      <c r="A119" s="55" t="s">
        <v>76</v>
      </c>
      <c r="B119" s="54">
        <v>5</v>
      </c>
      <c r="C119" s="55" t="s">
        <v>36</v>
      </c>
      <c r="D119" s="55" t="s">
        <v>11</v>
      </c>
      <c r="E119" s="49">
        <v>131.87100000000001</v>
      </c>
      <c r="F119" s="49">
        <v>-18.421600000000002</v>
      </c>
      <c r="H119" s="55" t="s">
        <v>76</v>
      </c>
      <c r="I119" s="54">
        <v>5</v>
      </c>
      <c r="J119" s="55" t="s">
        <v>36</v>
      </c>
      <c r="K119" s="55" t="s">
        <v>12</v>
      </c>
      <c r="L119" s="49">
        <v>63.951000000000001</v>
      </c>
      <c r="M119" s="49">
        <v>-66.1708</v>
      </c>
    </row>
    <row r="120" spans="1:13" x14ac:dyDescent="0.25">
      <c r="A120" s="55" t="s">
        <v>76</v>
      </c>
      <c r="B120" s="54">
        <v>5.5</v>
      </c>
      <c r="C120" s="55" t="s">
        <v>36</v>
      </c>
      <c r="D120" s="55" t="s">
        <v>11</v>
      </c>
      <c r="E120" s="49">
        <v>161.17599999999999</v>
      </c>
      <c r="F120" s="49">
        <v>-54.386400000000002</v>
      </c>
      <c r="H120" s="55" t="s">
        <v>76</v>
      </c>
      <c r="I120" s="54">
        <v>5.5</v>
      </c>
      <c r="J120" s="55" t="s">
        <v>36</v>
      </c>
      <c r="K120" s="55" t="s">
        <v>12</v>
      </c>
      <c r="L120" s="49">
        <v>79.908000000000001</v>
      </c>
      <c r="M120" s="49">
        <v>-139.4325</v>
      </c>
    </row>
    <row r="121" spans="1:13" x14ac:dyDescent="0.25">
      <c r="A121" s="55" t="s">
        <v>77</v>
      </c>
      <c r="B121" s="54">
        <v>0</v>
      </c>
      <c r="C121" s="55" t="s">
        <v>36</v>
      </c>
      <c r="D121" s="55" t="s">
        <v>11</v>
      </c>
      <c r="E121" s="49">
        <v>-59.506</v>
      </c>
      <c r="F121" s="49">
        <v>-31.5334</v>
      </c>
      <c r="H121" s="55" t="s">
        <v>77</v>
      </c>
      <c r="I121" s="54">
        <v>0</v>
      </c>
      <c r="J121" s="55" t="s">
        <v>36</v>
      </c>
      <c r="K121" s="55" t="s">
        <v>12</v>
      </c>
      <c r="L121" s="49">
        <v>-131.154</v>
      </c>
      <c r="M121" s="49">
        <v>-100.6336</v>
      </c>
    </row>
    <row r="122" spans="1:13" x14ac:dyDescent="0.25">
      <c r="A122" s="55" t="s">
        <v>77</v>
      </c>
      <c r="B122" s="54">
        <v>0.5</v>
      </c>
      <c r="C122" s="55" t="s">
        <v>36</v>
      </c>
      <c r="D122" s="55" t="s">
        <v>11</v>
      </c>
      <c r="E122" s="49">
        <v>-43.55</v>
      </c>
      <c r="F122" s="49">
        <v>-5.7693000000000003</v>
      </c>
      <c r="H122" s="55" t="s">
        <v>77</v>
      </c>
      <c r="I122" s="54">
        <v>0.5</v>
      </c>
      <c r="J122" s="55" t="s">
        <v>36</v>
      </c>
      <c r="K122" s="55" t="s">
        <v>12</v>
      </c>
      <c r="L122" s="49">
        <v>-101.849</v>
      </c>
      <c r="M122" s="49">
        <v>-42.382800000000003</v>
      </c>
    </row>
    <row r="123" spans="1:13" x14ac:dyDescent="0.25">
      <c r="A123" s="55" t="s">
        <v>77</v>
      </c>
      <c r="B123" s="54">
        <v>1</v>
      </c>
      <c r="C123" s="55" t="s">
        <v>36</v>
      </c>
      <c r="D123" s="55" t="s">
        <v>11</v>
      </c>
      <c r="E123" s="49">
        <v>-27.593</v>
      </c>
      <c r="F123" s="49">
        <v>12.0169</v>
      </c>
      <c r="H123" s="55" t="s">
        <v>77</v>
      </c>
      <c r="I123" s="54">
        <v>1</v>
      </c>
      <c r="J123" s="55" t="s">
        <v>36</v>
      </c>
      <c r="K123" s="55" t="s">
        <v>12</v>
      </c>
      <c r="L123" s="49">
        <v>-72.545000000000002</v>
      </c>
      <c r="M123" s="49">
        <v>-11.292999999999999</v>
      </c>
    </row>
    <row r="124" spans="1:13" x14ac:dyDescent="0.25">
      <c r="A124" s="55" t="s">
        <v>77</v>
      </c>
      <c r="B124" s="54">
        <v>1.5</v>
      </c>
      <c r="C124" s="55" t="s">
        <v>36</v>
      </c>
      <c r="D124" s="55" t="s">
        <v>11</v>
      </c>
      <c r="E124" s="49">
        <v>-11.637</v>
      </c>
      <c r="F124" s="49">
        <v>30.161799999999999</v>
      </c>
      <c r="H124" s="55" t="s">
        <v>77</v>
      </c>
      <c r="I124" s="54">
        <v>1.5</v>
      </c>
      <c r="J124" s="55" t="s">
        <v>36</v>
      </c>
      <c r="K124" s="55" t="s">
        <v>12</v>
      </c>
      <c r="L124" s="49">
        <v>-43.24</v>
      </c>
      <c r="M124" s="49">
        <v>10.698</v>
      </c>
    </row>
    <row r="125" spans="1:13" x14ac:dyDescent="0.25">
      <c r="A125" s="55" t="s">
        <v>77</v>
      </c>
      <c r="B125" s="54">
        <v>2</v>
      </c>
      <c r="C125" s="55" t="s">
        <v>36</v>
      </c>
      <c r="D125" s="55" t="s">
        <v>11</v>
      </c>
      <c r="E125" s="49">
        <v>4.319</v>
      </c>
      <c r="F125" s="49">
        <v>44.455599999999997</v>
      </c>
      <c r="H125" s="55" t="s">
        <v>77</v>
      </c>
      <c r="I125" s="54">
        <v>2</v>
      </c>
      <c r="J125" s="55" t="s">
        <v>36</v>
      </c>
      <c r="K125" s="55" t="s">
        <v>12</v>
      </c>
      <c r="L125" s="49">
        <v>-20.05</v>
      </c>
      <c r="M125" s="49">
        <v>23.623899999999999</v>
      </c>
    </row>
    <row r="126" spans="1:13" x14ac:dyDescent="0.25">
      <c r="A126" s="55" t="s">
        <v>77</v>
      </c>
      <c r="B126" s="54">
        <v>2.5</v>
      </c>
      <c r="C126" s="55" t="s">
        <v>36</v>
      </c>
      <c r="D126" s="55" t="s">
        <v>11</v>
      </c>
      <c r="E126" s="49">
        <v>20.274999999999999</v>
      </c>
      <c r="F126" s="49">
        <v>44.097099999999998</v>
      </c>
      <c r="H126" s="55" t="s">
        <v>77</v>
      </c>
      <c r="I126" s="54">
        <v>2.5</v>
      </c>
      <c r="J126" s="55" t="s">
        <v>36</v>
      </c>
      <c r="K126" s="55" t="s">
        <v>12</v>
      </c>
      <c r="L126" s="49">
        <v>-4.0940000000000003</v>
      </c>
      <c r="M126" s="49">
        <v>17.502500000000001</v>
      </c>
    </row>
    <row r="127" spans="1:13" x14ac:dyDescent="0.25">
      <c r="A127" s="55" t="s">
        <v>77</v>
      </c>
      <c r="B127" s="54">
        <v>3</v>
      </c>
      <c r="C127" s="55" t="s">
        <v>36</v>
      </c>
      <c r="D127" s="55" t="s">
        <v>11</v>
      </c>
      <c r="E127" s="49">
        <v>44.673999999999999</v>
      </c>
      <c r="F127" s="49">
        <v>29.086200000000002</v>
      </c>
      <c r="H127" s="55" t="s">
        <v>77</v>
      </c>
      <c r="I127" s="54">
        <v>3</v>
      </c>
      <c r="J127" s="55" t="s">
        <v>36</v>
      </c>
      <c r="K127" s="55" t="s">
        <v>12</v>
      </c>
      <c r="L127" s="49">
        <v>11.862</v>
      </c>
      <c r="M127" s="49">
        <v>3.3769</v>
      </c>
    </row>
    <row r="128" spans="1:13" x14ac:dyDescent="0.25">
      <c r="A128" s="55" t="s">
        <v>77</v>
      </c>
      <c r="B128" s="54">
        <v>3.5</v>
      </c>
      <c r="C128" s="55" t="s">
        <v>36</v>
      </c>
      <c r="D128" s="55" t="s">
        <v>11</v>
      </c>
      <c r="E128" s="49">
        <v>73.978999999999999</v>
      </c>
      <c r="F128" s="49">
        <v>18.889199999999999</v>
      </c>
      <c r="H128" s="55" t="s">
        <v>77</v>
      </c>
      <c r="I128" s="54">
        <v>3.5</v>
      </c>
      <c r="J128" s="55" t="s">
        <v>36</v>
      </c>
      <c r="K128" s="55" t="s">
        <v>12</v>
      </c>
      <c r="L128" s="49">
        <v>27.818000000000001</v>
      </c>
      <c r="M128" s="49">
        <v>-18.727499999999999</v>
      </c>
    </row>
    <row r="129" spans="1:14" x14ac:dyDescent="0.25">
      <c r="A129" s="55" t="s">
        <v>77</v>
      </c>
      <c r="B129" s="54">
        <v>4</v>
      </c>
      <c r="C129" s="55" t="s">
        <v>36</v>
      </c>
      <c r="D129" s="55" t="s">
        <v>11</v>
      </c>
      <c r="E129" s="49">
        <v>103.283</v>
      </c>
      <c r="F129" s="49">
        <v>0.99080000000000001</v>
      </c>
      <c r="H129" s="55" t="s">
        <v>77</v>
      </c>
      <c r="I129" s="54">
        <v>4</v>
      </c>
      <c r="J129" s="55" t="s">
        <v>36</v>
      </c>
      <c r="K129" s="55" t="s">
        <v>12</v>
      </c>
      <c r="L129" s="49">
        <v>43.774000000000001</v>
      </c>
      <c r="M129" s="49">
        <v>-48.810099999999998</v>
      </c>
      <c r="N129" s="47">
        <f>MAX('[1]TAGLIO SLV (trave esterna)'!$P$83:$X$90)</f>
        <v>214.50318111968517</v>
      </c>
    </row>
    <row r="132" spans="1:14" x14ac:dyDescent="0.25">
      <c r="A132" s="55" t="s">
        <v>78</v>
      </c>
      <c r="B132" s="54">
        <v>0</v>
      </c>
      <c r="C132" s="55" t="s">
        <v>36</v>
      </c>
      <c r="D132" s="55" t="s">
        <v>11</v>
      </c>
      <c r="E132" s="49">
        <v>-13.616</v>
      </c>
      <c r="F132" s="49">
        <v>15.3912</v>
      </c>
      <c r="H132" s="55" t="s">
        <v>78</v>
      </c>
      <c r="I132" s="54">
        <v>0</v>
      </c>
      <c r="J132" s="55" t="s">
        <v>36</v>
      </c>
      <c r="K132" s="55" t="s">
        <v>12</v>
      </c>
      <c r="L132" s="49">
        <v>-47.540999999999997</v>
      </c>
      <c r="M132" s="49">
        <v>-38.631700000000002</v>
      </c>
    </row>
    <row r="133" spans="1:14" x14ac:dyDescent="0.25">
      <c r="A133" s="55" t="s">
        <v>78</v>
      </c>
      <c r="B133" s="54">
        <v>0.5</v>
      </c>
      <c r="C133" s="55" t="s">
        <v>36</v>
      </c>
      <c r="D133" s="55" t="s">
        <v>11</v>
      </c>
      <c r="E133" s="49">
        <v>-6.03</v>
      </c>
      <c r="F133" s="49">
        <v>20.302900000000001</v>
      </c>
      <c r="H133" s="55" t="s">
        <v>78</v>
      </c>
      <c r="I133" s="54">
        <v>0.5</v>
      </c>
      <c r="J133" s="55" t="s">
        <v>36</v>
      </c>
      <c r="K133" s="55" t="s">
        <v>12</v>
      </c>
      <c r="L133" s="49">
        <v>-34.073</v>
      </c>
      <c r="M133" s="49">
        <v>-20.486599999999999</v>
      </c>
    </row>
    <row r="134" spans="1:14" x14ac:dyDescent="0.25">
      <c r="A134" s="55" t="s">
        <v>78</v>
      </c>
      <c r="B134" s="54">
        <v>1</v>
      </c>
      <c r="C134" s="55" t="s">
        <v>36</v>
      </c>
      <c r="D134" s="55" t="s">
        <v>11</v>
      </c>
      <c r="E134" s="49">
        <v>1.5569999999999999</v>
      </c>
      <c r="F134" s="49">
        <v>21.421600000000002</v>
      </c>
      <c r="H134" s="55" t="s">
        <v>78</v>
      </c>
      <c r="I134" s="54">
        <v>1</v>
      </c>
      <c r="J134" s="55" t="s">
        <v>36</v>
      </c>
      <c r="K134" s="55" t="s">
        <v>12</v>
      </c>
      <c r="L134" s="49">
        <v>-24.911000000000001</v>
      </c>
      <c r="M134" s="49">
        <v>-6.1349</v>
      </c>
    </row>
    <row r="135" spans="1:14" x14ac:dyDescent="0.25">
      <c r="A135" s="55" t="s">
        <v>78</v>
      </c>
      <c r="B135" s="54">
        <v>1.5</v>
      </c>
      <c r="C135" s="55" t="s">
        <v>36</v>
      </c>
      <c r="D135" s="55" t="s">
        <v>11</v>
      </c>
      <c r="E135" s="49">
        <v>9.1430000000000007</v>
      </c>
      <c r="F135" s="49">
        <v>20.668500000000002</v>
      </c>
      <c r="H135" s="55" t="s">
        <v>78</v>
      </c>
      <c r="I135" s="54">
        <v>1.5</v>
      </c>
      <c r="J135" s="55" t="s">
        <v>36</v>
      </c>
      <c r="K135" s="55" t="s">
        <v>12</v>
      </c>
      <c r="L135" s="49">
        <v>-17.324000000000002</v>
      </c>
      <c r="M135" s="49">
        <v>4.4229000000000003</v>
      </c>
    </row>
    <row r="136" spans="1:14" x14ac:dyDescent="0.25">
      <c r="A136" s="55" t="s">
        <v>78</v>
      </c>
      <c r="B136" s="54">
        <v>2</v>
      </c>
      <c r="C136" s="55" t="s">
        <v>36</v>
      </c>
      <c r="D136" s="55" t="s">
        <v>11</v>
      </c>
      <c r="E136" s="49">
        <v>16.73</v>
      </c>
      <c r="F136" s="49">
        <v>20.870899999999999</v>
      </c>
      <c r="H136" s="55" t="s">
        <v>78</v>
      </c>
      <c r="I136" s="54">
        <v>2</v>
      </c>
      <c r="J136" s="55" t="s">
        <v>36</v>
      </c>
      <c r="K136" s="55" t="s">
        <v>12</v>
      </c>
      <c r="L136" s="49">
        <v>-9.7379999999999995</v>
      </c>
      <c r="M136" s="49">
        <v>11.1412</v>
      </c>
    </row>
    <row r="137" spans="1:14" x14ac:dyDescent="0.25">
      <c r="A137" s="55" t="s">
        <v>78</v>
      </c>
      <c r="B137" s="54">
        <v>2.5</v>
      </c>
      <c r="C137" s="55" t="s">
        <v>36</v>
      </c>
      <c r="D137" s="55" t="s">
        <v>11</v>
      </c>
      <c r="E137" s="49">
        <v>24.315999999999999</v>
      </c>
      <c r="F137" s="49">
        <v>14.339700000000001</v>
      </c>
      <c r="H137" s="55" t="s">
        <v>78</v>
      </c>
      <c r="I137" s="54">
        <v>2.5</v>
      </c>
      <c r="J137" s="55" t="s">
        <v>36</v>
      </c>
      <c r="K137" s="55" t="s">
        <v>12</v>
      </c>
      <c r="L137" s="49">
        <v>-2.1509999999999998</v>
      </c>
      <c r="M137" s="49">
        <v>2.0133000000000001</v>
      </c>
    </row>
    <row r="138" spans="1:14" x14ac:dyDescent="0.25">
      <c r="A138" s="55" t="s">
        <v>78</v>
      </c>
      <c r="B138" s="54">
        <v>3</v>
      </c>
      <c r="C138" s="55" t="s">
        <v>36</v>
      </c>
      <c r="D138" s="55" t="s">
        <v>11</v>
      </c>
      <c r="E138" s="49">
        <v>33.264000000000003</v>
      </c>
      <c r="F138" s="49">
        <v>13.342700000000001</v>
      </c>
      <c r="H138" s="55" t="s">
        <v>78</v>
      </c>
      <c r="I138" s="54">
        <v>3</v>
      </c>
      <c r="J138" s="55" t="s">
        <v>36</v>
      </c>
      <c r="K138" s="55" t="s">
        <v>12</v>
      </c>
      <c r="L138" s="49">
        <v>5.4349999999999996</v>
      </c>
      <c r="M138" s="49">
        <v>-12.0403</v>
      </c>
    </row>
    <row r="139" spans="1:14" x14ac:dyDescent="0.25">
      <c r="A139" s="55" t="s">
        <v>78</v>
      </c>
      <c r="B139" s="54">
        <v>3.5</v>
      </c>
      <c r="C139" s="55" t="s">
        <v>36</v>
      </c>
      <c r="D139" s="55" t="s">
        <v>11</v>
      </c>
      <c r="E139" s="49">
        <v>46.731000000000002</v>
      </c>
      <c r="F139" s="49">
        <v>8.7279999999999998</v>
      </c>
      <c r="H139" s="55" t="s">
        <v>78</v>
      </c>
      <c r="I139" s="54">
        <v>3.5</v>
      </c>
      <c r="J139" s="55" t="s">
        <v>36</v>
      </c>
      <c r="K139" s="55" t="s">
        <v>12</v>
      </c>
      <c r="L139" s="49">
        <v>13.022</v>
      </c>
      <c r="M139" s="49">
        <v>-29.888000000000002</v>
      </c>
    </row>
    <row r="140" spans="1:14" x14ac:dyDescent="0.25">
      <c r="A140" s="55" t="s">
        <v>78</v>
      </c>
      <c r="B140" s="54">
        <v>4</v>
      </c>
      <c r="C140" s="55" t="s">
        <v>36</v>
      </c>
      <c r="D140" s="55" t="s">
        <v>11</v>
      </c>
      <c r="E140" s="49">
        <v>60.198999999999998</v>
      </c>
      <c r="F140" s="49">
        <v>0.32019999999999998</v>
      </c>
      <c r="H140" s="55" t="s">
        <v>78</v>
      </c>
      <c r="I140" s="54">
        <v>4</v>
      </c>
      <c r="J140" s="55" t="s">
        <v>36</v>
      </c>
      <c r="K140" s="55" t="s">
        <v>12</v>
      </c>
      <c r="L140" s="49">
        <v>20.609000000000002</v>
      </c>
      <c r="M140" s="49">
        <v>-51.529200000000003</v>
      </c>
    </row>
    <row r="141" spans="1:14" x14ac:dyDescent="0.25">
      <c r="A141" s="55" t="s">
        <v>79</v>
      </c>
      <c r="B141" s="54">
        <v>0</v>
      </c>
      <c r="C141" s="55" t="s">
        <v>36</v>
      </c>
      <c r="D141" s="55" t="s">
        <v>11</v>
      </c>
      <c r="E141" s="49">
        <v>-33.277999999999999</v>
      </c>
      <c r="F141" s="49">
        <v>-12.6807</v>
      </c>
      <c r="H141" s="55" t="s">
        <v>79</v>
      </c>
      <c r="I141" s="54">
        <v>0</v>
      </c>
      <c r="J141" s="55" t="s">
        <v>36</v>
      </c>
      <c r="K141" s="55" t="s">
        <v>12</v>
      </c>
      <c r="L141" s="49">
        <v>-74.070999999999998</v>
      </c>
      <c r="M141" s="49">
        <v>-63.767400000000002</v>
      </c>
    </row>
    <row r="142" spans="1:14" x14ac:dyDescent="0.25">
      <c r="A142" s="55" t="s">
        <v>79</v>
      </c>
      <c r="B142" s="54">
        <v>0.5</v>
      </c>
      <c r="C142" s="55" t="s">
        <v>36</v>
      </c>
      <c r="D142" s="55" t="s">
        <v>11</v>
      </c>
      <c r="E142" s="49">
        <v>-25.692</v>
      </c>
      <c r="F142" s="49">
        <v>2.0619000000000001</v>
      </c>
      <c r="H142" s="55" t="s">
        <v>79</v>
      </c>
      <c r="I142" s="54">
        <v>0.5</v>
      </c>
      <c r="J142" s="55" t="s">
        <v>36</v>
      </c>
      <c r="K142" s="55" t="s">
        <v>12</v>
      </c>
      <c r="L142" s="49">
        <v>-60.603000000000002</v>
      </c>
      <c r="M142" s="49">
        <v>-36.007199999999997</v>
      </c>
    </row>
    <row r="143" spans="1:14" x14ac:dyDescent="0.25">
      <c r="A143" s="55" t="s">
        <v>79</v>
      </c>
      <c r="B143" s="54">
        <v>1</v>
      </c>
      <c r="C143" s="55" t="s">
        <v>36</v>
      </c>
      <c r="D143" s="55" t="s">
        <v>11</v>
      </c>
      <c r="E143" s="49">
        <v>-18.105</v>
      </c>
      <c r="F143" s="49">
        <v>13.011200000000001</v>
      </c>
      <c r="H143" s="55" t="s">
        <v>79</v>
      </c>
      <c r="I143" s="54">
        <v>1</v>
      </c>
      <c r="J143" s="55" t="s">
        <v>36</v>
      </c>
      <c r="K143" s="55" t="s">
        <v>12</v>
      </c>
      <c r="L143" s="49">
        <v>-47.136000000000003</v>
      </c>
      <c r="M143" s="49">
        <v>-16.610299999999999</v>
      </c>
    </row>
    <row r="144" spans="1:14" x14ac:dyDescent="0.25">
      <c r="A144" s="55" t="s">
        <v>79</v>
      </c>
      <c r="B144" s="54">
        <v>1.5</v>
      </c>
      <c r="C144" s="55" t="s">
        <v>36</v>
      </c>
      <c r="D144" s="55" t="s">
        <v>11</v>
      </c>
      <c r="E144" s="49">
        <v>-10.519</v>
      </c>
      <c r="F144" s="49">
        <v>20.167200000000001</v>
      </c>
      <c r="H144" s="55" t="s">
        <v>79</v>
      </c>
      <c r="I144" s="54">
        <v>1.5</v>
      </c>
      <c r="J144" s="55" t="s">
        <v>36</v>
      </c>
      <c r="K144" s="55" t="s">
        <v>12</v>
      </c>
      <c r="L144" s="49">
        <v>-33.668999999999997</v>
      </c>
      <c r="M144" s="49">
        <v>-1.0065999999999999</v>
      </c>
    </row>
    <row r="145" spans="1:13" x14ac:dyDescent="0.25">
      <c r="A145" s="55" t="s">
        <v>79</v>
      </c>
      <c r="B145" s="54">
        <v>2</v>
      </c>
      <c r="C145" s="55" t="s">
        <v>36</v>
      </c>
      <c r="D145" s="55" t="s">
        <v>11</v>
      </c>
      <c r="E145" s="49">
        <v>-2.9319999999999999</v>
      </c>
      <c r="F145" s="49">
        <v>30.5046</v>
      </c>
      <c r="H145" s="55" t="s">
        <v>79</v>
      </c>
      <c r="I145" s="54">
        <v>2</v>
      </c>
      <c r="J145" s="55" t="s">
        <v>36</v>
      </c>
      <c r="K145" s="55" t="s">
        <v>12</v>
      </c>
      <c r="L145" s="49">
        <v>-20.201000000000001</v>
      </c>
      <c r="M145" s="49">
        <v>10.803699999999999</v>
      </c>
    </row>
    <row r="146" spans="1:13" x14ac:dyDescent="0.25">
      <c r="A146" s="55" t="s">
        <v>79</v>
      </c>
      <c r="B146" s="54">
        <v>2.5</v>
      </c>
      <c r="C146" s="55" t="s">
        <v>36</v>
      </c>
      <c r="D146" s="55" t="s">
        <v>11</v>
      </c>
      <c r="E146" s="49">
        <v>4.6539999999999999</v>
      </c>
      <c r="F146" s="49">
        <v>37.238300000000002</v>
      </c>
      <c r="H146" s="55" t="s">
        <v>79</v>
      </c>
      <c r="I146" s="54">
        <v>2.5</v>
      </c>
      <c r="J146" s="55" t="s">
        <v>36</v>
      </c>
      <c r="K146" s="55" t="s">
        <v>12</v>
      </c>
      <c r="L146" s="49">
        <v>-12.241</v>
      </c>
      <c r="M146" s="49">
        <v>18.820799999999998</v>
      </c>
    </row>
    <row r="147" spans="1:13" x14ac:dyDescent="0.25">
      <c r="A147" s="55" t="s">
        <v>79</v>
      </c>
      <c r="B147" s="54">
        <v>3</v>
      </c>
      <c r="C147" s="55" t="s">
        <v>36</v>
      </c>
      <c r="D147" s="55" t="s">
        <v>11</v>
      </c>
      <c r="E147" s="49">
        <v>12.241</v>
      </c>
      <c r="F147" s="49">
        <v>37.238300000000002</v>
      </c>
      <c r="H147" s="55" t="s">
        <v>79</v>
      </c>
      <c r="I147" s="54">
        <v>3</v>
      </c>
      <c r="J147" s="55" t="s">
        <v>36</v>
      </c>
      <c r="K147" s="55" t="s">
        <v>12</v>
      </c>
      <c r="L147" s="49">
        <v>-4.6539999999999999</v>
      </c>
      <c r="M147" s="49">
        <v>18.820799999999998</v>
      </c>
    </row>
    <row r="148" spans="1:13" x14ac:dyDescent="0.25">
      <c r="A148" s="55" t="s">
        <v>79</v>
      </c>
      <c r="B148" s="54">
        <v>3.5</v>
      </c>
      <c r="C148" s="55" t="s">
        <v>36</v>
      </c>
      <c r="D148" s="55" t="s">
        <v>11</v>
      </c>
      <c r="E148" s="49">
        <v>20.201000000000001</v>
      </c>
      <c r="F148" s="49">
        <v>30.5046</v>
      </c>
      <c r="H148" s="55" t="s">
        <v>79</v>
      </c>
      <c r="I148" s="54">
        <v>3.5</v>
      </c>
      <c r="J148" s="55" t="s">
        <v>36</v>
      </c>
      <c r="K148" s="55" t="s">
        <v>12</v>
      </c>
      <c r="L148" s="49">
        <v>2.9319999999999999</v>
      </c>
      <c r="M148" s="49">
        <v>10.803699999999999</v>
      </c>
    </row>
    <row r="149" spans="1:13" x14ac:dyDescent="0.25">
      <c r="A149" s="55" t="s">
        <v>79</v>
      </c>
      <c r="B149" s="54">
        <v>4</v>
      </c>
      <c r="C149" s="55" t="s">
        <v>36</v>
      </c>
      <c r="D149" s="55" t="s">
        <v>11</v>
      </c>
      <c r="E149" s="49">
        <v>33.668999999999997</v>
      </c>
      <c r="F149" s="49">
        <v>20.167200000000001</v>
      </c>
      <c r="H149" s="55" t="s">
        <v>79</v>
      </c>
      <c r="I149" s="54">
        <v>4</v>
      </c>
      <c r="J149" s="55" t="s">
        <v>36</v>
      </c>
      <c r="K149" s="55" t="s">
        <v>12</v>
      </c>
      <c r="L149" s="49">
        <v>10.519</v>
      </c>
      <c r="M149" s="49">
        <v>-1.0065999999999999</v>
      </c>
    </row>
    <row r="150" spans="1:13" x14ac:dyDescent="0.25">
      <c r="A150" s="55" t="s">
        <v>79</v>
      </c>
      <c r="B150" s="54">
        <v>4.5</v>
      </c>
      <c r="C150" s="55" t="s">
        <v>36</v>
      </c>
      <c r="D150" s="55" t="s">
        <v>11</v>
      </c>
      <c r="E150" s="49">
        <v>47.136000000000003</v>
      </c>
      <c r="F150" s="49">
        <v>13.011200000000001</v>
      </c>
      <c r="H150" s="55" t="s">
        <v>79</v>
      </c>
      <c r="I150" s="54">
        <v>4.5</v>
      </c>
      <c r="J150" s="55" t="s">
        <v>36</v>
      </c>
      <c r="K150" s="55" t="s">
        <v>12</v>
      </c>
      <c r="L150" s="49">
        <v>18.105</v>
      </c>
      <c r="M150" s="49">
        <v>-16.610299999999999</v>
      </c>
    </row>
    <row r="151" spans="1:13" x14ac:dyDescent="0.25">
      <c r="A151" s="55" t="s">
        <v>79</v>
      </c>
      <c r="B151" s="54">
        <v>5</v>
      </c>
      <c r="C151" s="55" t="s">
        <v>36</v>
      </c>
      <c r="D151" s="55" t="s">
        <v>11</v>
      </c>
      <c r="E151" s="49">
        <v>60.603000000000002</v>
      </c>
      <c r="F151" s="49">
        <v>2.0619000000000001</v>
      </c>
      <c r="H151" s="55" t="s">
        <v>79</v>
      </c>
      <c r="I151" s="54">
        <v>5</v>
      </c>
      <c r="J151" s="55" t="s">
        <v>36</v>
      </c>
      <c r="K151" s="55" t="s">
        <v>12</v>
      </c>
      <c r="L151" s="49">
        <v>25.692</v>
      </c>
      <c r="M151" s="49">
        <v>-36.007199999999997</v>
      </c>
    </row>
    <row r="152" spans="1:13" x14ac:dyDescent="0.25">
      <c r="A152" s="55" t="s">
        <v>79</v>
      </c>
      <c r="B152" s="54">
        <v>5.5</v>
      </c>
      <c r="C152" s="55" t="s">
        <v>36</v>
      </c>
      <c r="D152" s="55" t="s">
        <v>11</v>
      </c>
      <c r="E152" s="49">
        <v>74.070999999999998</v>
      </c>
      <c r="F152" s="49">
        <v>-12.6807</v>
      </c>
      <c r="H152" s="55" t="s">
        <v>79</v>
      </c>
      <c r="I152" s="54">
        <v>5.5</v>
      </c>
      <c r="J152" s="55" t="s">
        <v>36</v>
      </c>
      <c r="K152" s="55" t="s">
        <v>12</v>
      </c>
      <c r="L152" s="49">
        <v>33.277999999999999</v>
      </c>
      <c r="M152" s="49">
        <v>-63.767400000000002</v>
      </c>
    </row>
    <row r="153" spans="1:13" x14ac:dyDescent="0.25">
      <c r="A153" s="55" t="s">
        <v>80</v>
      </c>
      <c r="B153" s="54">
        <v>0</v>
      </c>
      <c r="C153" s="55" t="s">
        <v>36</v>
      </c>
      <c r="D153" s="55" t="s">
        <v>11</v>
      </c>
      <c r="E153" s="49">
        <v>-20.609000000000002</v>
      </c>
      <c r="F153" s="49">
        <v>0.32019999999999998</v>
      </c>
      <c r="H153" s="55" t="s">
        <v>80</v>
      </c>
      <c r="I153" s="54">
        <v>0</v>
      </c>
      <c r="J153" s="55" t="s">
        <v>36</v>
      </c>
      <c r="K153" s="55" t="s">
        <v>12</v>
      </c>
      <c r="L153" s="49">
        <v>-60.198999999999998</v>
      </c>
      <c r="M153" s="49">
        <v>-51.529200000000003</v>
      </c>
    </row>
    <row r="154" spans="1:13" x14ac:dyDescent="0.25">
      <c r="A154" s="55" t="s">
        <v>80</v>
      </c>
      <c r="B154" s="54">
        <v>0.5</v>
      </c>
      <c r="C154" s="55" t="s">
        <v>36</v>
      </c>
      <c r="D154" s="55" t="s">
        <v>11</v>
      </c>
      <c r="E154" s="49">
        <v>-13.022</v>
      </c>
      <c r="F154" s="49">
        <v>8.7279999999999998</v>
      </c>
      <c r="H154" s="55" t="s">
        <v>80</v>
      </c>
      <c r="I154" s="54">
        <v>0.5</v>
      </c>
      <c r="J154" s="55" t="s">
        <v>36</v>
      </c>
      <c r="K154" s="55" t="s">
        <v>12</v>
      </c>
      <c r="L154" s="49">
        <v>-46.731000000000002</v>
      </c>
      <c r="M154" s="49">
        <v>-29.888000000000002</v>
      </c>
    </row>
    <row r="155" spans="1:13" x14ac:dyDescent="0.25">
      <c r="A155" s="55" t="s">
        <v>80</v>
      </c>
      <c r="B155" s="54">
        <v>1</v>
      </c>
      <c r="C155" s="55" t="s">
        <v>36</v>
      </c>
      <c r="D155" s="55" t="s">
        <v>11</v>
      </c>
      <c r="E155" s="49">
        <v>-5.4349999999999996</v>
      </c>
      <c r="F155" s="49">
        <v>13.342700000000001</v>
      </c>
      <c r="H155" s="55" t="s">
        <v>80</v>
      </c>
      <c r="I155" s="54">
        <v>1</v>
      </c>
      <c r="J155" s="55" t="s">
        <v>36</v>
      </c>
      <c r="K155" s="55" t="s">
        <v>12</v>
      </c>
      <c r="L155" s="49">
        <v>-33.264000000000003</v>
      </c>
      <c r="M155" s="49">
        <v>-12.0403</v>
      </c>
    </row>
    <row r="156" spans="1:13" x14ac:dyDescent="0.25">
      <c r="A156" s="55" t="s">
        <v>80</v>
      </c>
      <c r="B156" s="54">
        <v>1.5</v>
      </c>
      <c r="C156" s="55" t="s">
        <v>36</v>
      </c>
      <c r="D156" s="55" t="s">
        <v>11</v>
      </c>
      <c r="E156" s="49">
        <v>2.1509999999999998</v>
      </c>
      <c r="F156" s="49">
        <v>14.339700000000001</v>
      </c>
      <c r="H156" s="55" t="s">
        <v>80</v>
      </c>
      <c r="I156" s="54">
        <v>1.5</v>
      </c>
      <c r="J156" s="55" t="s">
        <v>36</v>
      </c>
      <c r="K156" s="55" t="s">
        <v>12</v>
      </c>
      <c r="L156" s="49">
        <v>-24.315999999999999</v>
      </c>
      <c r="M156" s="49">
        <v>2.0133000000000001</v>
      </c>
    </row>
    <row r="157" spans="1:13" x14ac:dyDescent="0.25">
      <c r="A157" s="55" t="s">
        <v>80</v>
      </c>
      <c r="B157" s="54">
        <v>2</v>
      </c>
      <c r="C157" s="55" t="s">
        <v>36</v>
      </c>
      <c r="D157" s="55" t="s">
        <v>11</v>
      </c>
      <c r="E157" s="49">
        <v>9.7379999999999995</v>
      </c>
      <c r="F157" s="49">
        <v>20.870899999999999</v>
      </c>
      <c r="H157" s="55" t="s">
        <v>80</v>
      </c>
      <c r="I157" s="54">
        <v>2</v>
      </c>
      <c r="J157" s="55" t="s">
        <v>36</v>
      </c>
      <c r="K157" s="55" t="s">
        <v>12</v>
      </c>
      <c r="L157" s="49">
        <v>-16.73</v>
      </c>
      <c r="M157" s="49">
        <v>11.1412</v>
      </c>
    </row>
    <row r="158" spans="1:13" x14ac:dyDescent="0.25">
      <c r="A158" s="55" t="s">
        <v>80</v>
      </c>
      <c r="B158" s="54">
        <v>2.5</v>
      </c>
      <c r="C158" s="55" t="s">
        <v>36</v>
      </c>
      <c r="D158" s="55" t="s">
        <v>11</v>
      </c>
      <c r="E158" s="49">
        <v>17.324000000000002</v>
      </c>
      <c r="F158" s="49">
        <v>20.668500000000002</v>
      </c>
      <c r="H158" s="55" t="s">
        <v>80</v>
      </c>
      <c r="I158" s="54">
        <v>2.5</v>
      </c>
      <c r="J158" s="55" t="s">
        <v>36</v>
      </c>
      <c r="K158" s="55" t="s">
        <v>12</v>
      </c>
      <c r="L158" s="49">
        <v>-9.1430000000000007</v>
      </c>
      <c r="M158" s="49">
        <v>4.4229000000000003</v>
      </c>
    </row>
    <row r="159" spans="1:13" x14ac:dyDescent="0.25">
      <c r="A159" s="55" t="s">
        <v>80</v>
      </c>
      <c r="B159" s="54">
        <v>3</v>
      </c>
      <c r="C159" s="55" t="s">
        <v>36</v>
      </c>
      <c r="D159" s="55" t="s">
        <v>11</v>
      </c>
      <c r="E159" s="49">
        <v>24.911000000000001</v>
      </c>
      <c r="F159" s="49">
        <v>21.421600000000002</v>
      </c>
      <c r="H159" s="55" t="s">
        <v>80</v>
      </c>
      <c r="I159" s="54">
        <v>3</v>
      </c>
      <c r="J159" s="55" t="s">
        <v>36</v>
      </c>
      <c r="K159" s="55" t="s">
        <v>12</v>
      </c>
      <c r="L159" s="49">
        <v>-1.5569999999999999</v>
      </c>
      <c r="M159" s="49">
        <v>-6.1349</v>
      </c>
    </row>
    <row r="160" spans="1:13" x14ac:dyDescent="0.25">
      <c r="A160" s="55" t="s">
        <v>80</v>
      </c>
      <c r="B160" s="54">
        <v>3.5</v>
      </c>
      <c r="C160" s="55" t="s">
        <v>36</v>
      </c>
      <c r="D160" s="55" t="s">
        <v>11</v>
      </c>
      <c r="E160" s="49">
        <v>34.073</v>
      </c>
      <c r="F160" s="49">
        <v>20.302900000000001</v>
      </c>
      <c r="H160" s="55" t="s">
        <v>80</v>
      </c>
      <c r="I160" s="54">
        <v>3.5</v>
      </c>
      <c r="J160" s="55" t="s">
        <v>36</v>
      </c>
      <c r="K160" s="55" t="s">
        <v>12</v>
      </c>
      <c r="L160" s="49">
        <v>6.03</v>
      </c>
      <c r="M160" s="49">
        <v>-20.486599999999999</v>
      </c>
    </row>
    <row r="161" spans="1:13" x14ac:dyDescent="0.25">
      <c r="A161" s="55" t="s">
        <v>80</v>
      </c>
      <c r="B161" s="54">
        <v>4</v>
      </c>
      <c r="C161" s="55" t="s">
        <v>36</v>
      </c>
      <c r="D161" s="55" t="s">
        <v>11</v>
      </c>
      <c r="E161" s="49">
        <v>47.540999999999997</v>
      </c>
      <c r="F161" s="49">
        <v>15.3912</v>
      </c>
      <c r="H161" s="55" t="s">
        <v>80</v>
      </c>
      <c r="I161" s="54">
        <v>4</v>
      </c>
      <c r="J161" s="55" t="s">
        <v>36</v>
      </c>
      <c r="K161" s="55" t="s">
        <v>12</v>
      </c>
      <c r="L161" s="49">
        <v>13.616</v>
      </c>
      <c r="M161" s="49">
        <v>-38.631700000000002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TRAVE A SPESSORE (P1)</vt:lpstr>
      <vt:lpstr>TRAVE A SPESSORE (P2) </vt:lpstr>
      <vt:lpstr>TRAVE A SPESSORE (P3)</vt:lpstr>
      <vt:lpstr>TRAVE A SPESSORE (P4)</vt:lpstr>
      <vt:lpstr>TRAVE ESTERNA(P1)</vt:lpstr>
      <vt:lpstr>TRAVE ESTERNA(P2)</vt:lpstr>
      <vt:lpstr>TRAVE ESTERNA(P3)</vt:lpstr>
      <vt:lpstr>TRAVE ESTERNA(P4)</vt:lpstr>
      <vt:lpstr>Grafici insieme</vt:lpstr>
      <vt:lpstr>TRAVI PRINCIPALI (P1)</vt:lpstr>
      <vt:lpstr>TRAVI PRINCIPALI (P2) </vt:lpstr>
      <vt:lpstr>TRAVI PRINCIPALI (P3) </vt:lpstr>
      <vt:lpstr>TRAVI PRINCIPALI (P4) </vt:lpstr>
      <vt:lpstr>CDS travi 3</vt:lpstr>
      <vt:lpstr>CDS travi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2020-01-10T19:37:17Z</cp:lastPrinted>
  <dcterms:created xsi:type="dcterms:W3CDTF">2019-10-07T13:30:22Z</dcterms:created>
  <dcterms:modified xsi:type="dcterms:W3CDTF">2020-01-10T20:43:27Z</dcterms:modified>
</cp:coreProperties>
</file>