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74563D22-AB91-4E4F-9F87-8C30BA646351}" xr6:coauthVersionLast="45" xr6:coauthVersionMax="45" xr10:uidLastSave="{00000000-0000-0000-0000-000000000000}"/>
  <bookViews>
    <workbookView xWindow="-120" yWindow="-120" windowWidth="20730" windowHeight="11160" firstSheet="2" activeTab="4" xr2:uid="{B1B63C07-4C11-4BEB-BF55-9AEAE2B25467}"/>
  </bookViews>
  <sheets>
    <sheet name="TRAMEZZI" sheetId="25" r:id="rId1"/>
    <sheet name="SOLAIO" sheetId="24" r:id="rId2"/>
    <sheet name="PESO &amp; ANALISI STATICA" sheetId="29" r:id="rId3"/>
    <sheet name="VENTO" sheetId="16" r:id="rId4"/>
    <sheet name="ADRS" sheetId="30" r:id="rId5"/>
    <sheet name="SPETTRI" sheetId="5" r:id="rId6"/>
    <sheet name="COMBINAZIONI" sheetId="26" r:id="rId7"/>
    <sheet name="CDS solaio" sheetId="27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" i="30" l="1"/>
  <c r="Q5" i="30"/>
  <c r="Q6" i="30"/>
  <c r="Q7" i="30"/>
  <c r="Q8" i="30"/>
  <c r="Q9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Q26" i="30"/>
  <c r="Q27" i="30"/>
  <c r="Q28" i="30"/>
  <c r="Q29" i="30"/>
  <c r="Q30" i="30"/>
  <c r="Q31" i="30"/>
  <c r="Q32" i="30"/>
  <c r="Q33" i="30"/>
  <c r="Q34" i="30"/>
  <c r="Q35" i="30"/>
  <c r="Q36" i="30"/>
  <c r="Q37" i="30"/>
  <c r="Q38" i="30"/>
  <c r="Q39" i="30"/>
  <c r="Q40" i="30"/>
  <c r="Q41" i="30"/>
  <c r="Q42" i="30"/>
  <c r="Q43" i="30"/>
  <c r="Q44" i="30"/>
  <c r="Q45" i="30"/>
  <c r="Q46" i="30"/>
  <c r="Q47" i="30"/>
  <c r="Q3" i="30"/>
  <c r="T4" i="30" l="1"/>
  <c r="S4" i="30" s="1"/>
  <c r="T5" i="30"/>
  <c r="S5" i="30" s="1"/>
  <c r="T6" i="30"/>
  <c r="S6" i="30" s="1"/>
  <c r="T7" i="30"/>
  <c r="T8" i="30"/>
  <c r="S8" i="30" s="1"/>
  <c r="T9" i="30"/>
  <c r="S9" i="30" s="1"/>
  <c r="T10" i="30"/>
  <c r="S10" i="30" s="1"/>
  <c r="T11" i="30"/>
  <c r="T12" i="30"/>
  <c r="S12" i="30" s="1"/>
  <c r="T13" i="30"/>
  <c r="S13" i="30" s="1"/>
  <c r="T14" i="30"/>
  <c r="S14" i="30" s="1"/>
  <c r="T15" i="30"/>
  <c r="T16" i="30"/>
  <c r="S16" i="30" s="1"/>
  <c r="T17" i="30"/>
  <c r="S17" i="30" s="1"/>
  <c r="T18" i="30"/>
  <c r="S18" i="30" s="1"/>
  <c r="T19" i="30"/>
  <c r="T20" i="30"/>
  <c r="S20" i="30" s="1"/>
  <c r="T21" i="30"/>
  <c r="S21" i="30" s="1"/>
  <c r="T22" i="30"/>
  <c r="S22" i="30" s="1"/>
  <c r="T23" i="30"/>
  <c r="S23" i="30" s="1"/>
  <c r="T24" i="30"/>
  <c r="S24" i="30" s="1"/>
  <c r="T25" i="30"/>
  <c r="S25" i="30" s="1"/>
  <c r="T26" i="30"/>
  <c r="R26" i="30" s="1"/>
  <c r="R4" i="30"/>
  <c r="R8" i="30"/>
  <c r="R10" i="30"/>
  <c r="R12" i="30"/>
  <c r="R16" i="30"/>
  <c r="R20" i="30"/>
  <c r="R21" i="30"/>
  <c r="T3" i="30"/>
  <c r="R9" i="30"/>
  <c r="R24" i="30"/>
  <c r="P4" i="30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3" i="30"/>
  <c r="M23" i="30"/>
  <c r="R23" i="30" l="1"/>
  <c r="R14" i="30"/>
  <c r="R22" i="30"/>
  <c r="R17" i="30"/>
  <c r="R5" i="30"/>
  <c r="R19" i="30"/>
  <c r="S19" i="30"/>
  <c r="R15" i="30"/>
  <c r="S15" i="30"/>
  <c r="R11" i="30"/>
  <c r="S11" i="30"/>
  <c r="R7" i="30"/>
  <c r="S7" i="30"/>
  <c r="T28" i="30"/>
  <c r="T32" i="30"/>
  <c r="T36" i="30"/>
  <c r="T40" i="30"/>
  <c r="T44" i="30"/>
  <c r="T27" i="30"/>
  <c r="T34" i="30"/>
  <c r="T42" i="30"/>
  <c r="T35" i="30"/>
  <c r="T43" i="30"/>
  <c r="T29" i="30"/>
  <c r="T33" i="30"/>
  <c r="T37" i="30"/>
  <c r="T41" i="30"/>
  <c r="T45" i="30"/>
  <c r="T30" i="30"/>
  <c r="T38" i="30"/>
  <c r="T46" i="30"/>
  <c r="T31" i="30"/>
  <c r="T39" i="30"/>
  <c r="T47" i="30"/>
  <c r="S26" i="30"/>
  <c r="R3" i="30"/>
  <c r="S3" i="30"/>
  <c r="R25" i="30"/>
  <c r="R18" i="30"/>
  <c r="R13" i="30"/>
  <c r="R6" i="30"/>
  <c r="J47" i="30"/>
  <c r="C47" i="30"/>
  <c r="J46" i="30"/>
  <c r="C46" i="30"/>
  <c r="J45" i="30"/>
  <c r="C45" i="30"/>
  <c r="J44" i="30"/>
  <c r="C44" i="30"/>
  <c r="J43" i="30"/>
  <c r="C43" i="30"/>
  <c r="J42" i="30"/>
  <c r="C42" i="30"/>
  <c r="J41" i="30"/>
  <c r="C41" i="30"/>
  <c r="J40" i="30"/>
  <c r="C40" i="30"/>
  <c r="J39" i="30"/>
  <c r="C39" i="30"/>
  <c r="J38" i="30"/>
  <c r="C38" i="30"/>
  <c r="J37" i="30"/>
  <c r="C37" i="30"/>
  <c r="J36" i="30"/>
  <c r="C36" i="30"/>
  <c r="J35" i="30"/>
  <c r="C35" i="30"/>
  <c r="J34" i="30"/>
  <c r="C34" i="30"/>
  <c r="J33" i="30"/>
  <c r="C33" i="30"/>
  <c r="J32" i="30"/>
  <c r="C32" i="30"/>
  <c r="J31" i="30"/>
  <c r="C31" i="30"/>
  <c r="J30" i="30"/>
  <c r="C30" i="30"/>
  <c r="J29" i="30"/>
  <c r="C29" i="30"/>
  <c r="J28" i="30"/>
  <c r="C28" i="30"/>
  <c r="J27" i="30"/>
  <c r="C27" i="30"/>
  <c r="J26" i="30"/>
  <c r="C26" i="30"/>
  <c r="I25" i="30"/>
  <c r="J25" i="30" s="1"/>
  <c r="C25" i="30"/>
  <c r="J24" i="30"/>
  <c r="I24" i="30"/>
  <c r="C24" i="30"/>
  <c r="J23" i="30"/>
  <c r="I23" i="30"/>
  <c r="C23" i="30"/>
  <c r="I22" i="30"/>
  <c r="J22" i="30" s="1"/>
  <c r="C22" i="30"/>
  <c r="M21" i="30"/>
  <c r="I21" i="30"/>
  <c r="J21" i="30" s="1"/>
  <c r="C21" i="30"/>
  <c r="M20" i="30"/>
  <c r="J20" i="30"/>
  <c r="I20" i="30"/>
  <c r="F20" i="30"/>
  <c r="F21" i="30" s="1"/>
  <c r="C20" i="30"/>
  <c r="J19" i="30"/>
  <c r="I19" i="30"/>
  <c r="C19" i="30"/>
  <c r="I18" i="30"/>
  <c r="J18" i="30" s="1"/>
  <c r="C18" i="30"/>
  <c r="J17" i="30"/>
  <c r="I17" i="30"/>
  <c r="C17" i="30"/>
  <c r="I16" i="30"/>
  <c r="J16" i="30" s="1"/>
  <c r="C16" i="30"/>
  <c r="J15" i="30"/>
  <c r="I15" i="30"/>
  <c r="C15" i="30"/>
  <c r="I14" i="30"/>
  <c r="J14" i="30" s="1"/>
  <c r="C14" i="30"/>
  <c r="J13" i="30"/>
  <c r="I13" i="30"/>
  <c r="C13" i="30"/>
  <c r="I12" i="30"/>
  <c r="J12" i="30" s="1"/>
  <c r="C12" i="30"/>
  <c r="J11" i="30"/>
  <c r="I11" i="30"/>
  <c r="C11" i="30"/>
  <c r="I10" i="30"/>
  <c r="J10" i="30" s="1"/>
  <c r="C10" i="30"/>
  <c r="L9" i="30"/>
  <c r="I9" i="30"/>
  <c r="J9" i="30" s="1"/>
  <c r="E9" i="30"/>
  <c r="C9" i="30"/>
  <c r="I8" i="30"/>
  <c r="J8" i="30" s="1"/>
  <c r="C8" i="30"/>
  <c r="J7" i="30"/>
  <c r="I7" i="30"/>
  <c r="C7" i="30"/>
  <c r="K6" i="30"/>
  <c r="J6" i="30"/>
  <c r="I6" i="30"/>
  <c r="C6" i="30"/>
  <c r="J5" i="30"/>
  <c r="C5" i="30"/>
  <c r="J4" i="30"/>
  <c r="C4" i="30"/>
  <c r="J3" i="30"/>
  <c r="C3" i="30"/>
  <c r="Q3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S31" i="30" l="1"/>
  <c r="R31" i="30"/>
  <c r="S45" i="30"/>
  <c r="R45" i="30"/>
  <c r="S34" i="30"/>
  <c r="R34" i="30"/>
  <c r="S46" i="30"/>
  <c r="R46" i="30"/>
  <c r="S43" i="30"/>
  <c r="R43" i="30"/>
  <c r="S27" i="30"/>
  <c r="R27" i="30"/>
  <c r="S39" i="30"/>
  <c r="R39" i="30"/>
  <c r="S30" i="30"/>
  <c r="R30" i="30"/>
  <c r="S33" i="30"/>
  <c r="R33" i="30"/>
  <c r="S42" i="30"/>
  <c r="R42" i="30"/>
  <c r="S40" i="30"/>
  <c r="R40" i="30"/>
  <c r="S29" i="30"/>
  <c r="R29" i="30"/>
  <c r="S36" i="30"/>
  <c r="R36" i="30"/>
  <c r="S41" i="30"/>
  <c r="R41" i="30"/>
  <c r="S32" i="30"/>
  <c r="R32" i="30"/>
  <c r="S47" i="30"/>
  <c r="R47" i="30"/>
  <c r="S38" i="30"/>
  <c r="R38" i="30"/>
  <c r="S37" i="30"/>
  <c r="R37" i="30"/>
  <c r="S35" i="30"/>
  <c r="R35" i="30"/>
  <c r="S44" i="30"/>
  <c r="R44" i="30"/>
  <c r="S28" i="30"/>
  <c r="R28" i="30"/>
  <c r="F20" i="5"/>
  <c r="D32" i="16" l="1"/>
  <c r="D33" i="16"/>
  <c r="D34" i="16"/>
  <c r="D35" i="16"/>
  <c r="D36" i="16"/>
  <c r="D37" i="16"/>
  <c r="D38" i="16"/>
  <c r="D39" i="16"/>
  <c r="D40" i="16"/>
  <c r="D41" i="16"/>
  <c r="C32" i="16"/>
  <c r="C33" i="16"/>
  <c r="C34" i="16"/>
  <c r="C35" i="16"/>
  <c r="C36" i="16"/>
  <c r="C37" i="16"/>
  <c r="C38" i="16"/>
  <c r="C39" i="16"/>
  <c r="C40" i="16"/>
  <c r="C41" i="16"/>
  <c r="B33" i="16"/>
  <c r="B34" i="16"/>
  <c r="B35" i="16"/>
  <c r="B36" i="16"/>
  <c r="B37" i="16"/>
  <c r="B38" i="16"/>
  <c r="B39" i="16"/>
  <c r="B40" i="16"/>
  <c r="B41" i="16"/>
  <c r="B32" i="16"/>
  <c r="G9" i="26" l="1"/>
  <c r="H9" i="26"/>
  <c r="I9" i="26"/>
  <c r="J9" i="26"/>
  <c r="K9" i="26"/>
  <c r="G10" i="26"/>
  <c r="H10" i="26"/>
  <c r="I10" i="26"/>
  <c r="J10" i="26"/>
  <c r="K10" i="26"/>
  <c r="H8" i="26"/>
  <c r="I8" i="26"/>
  <c r="J8" i="26"/>
  <c r="K8" i="26"/>
  <c r="G8" i="26"/>
  <c r="C3" i="5" l="1"/>
  <c r="J3" i="5"/>
  <c r="F13" i="26" l="1"/>
  <c r="F12" i="26"/>
  <c r="H7" i="26" l="1"/>
  <c r="I7" i="26"/>
  <c r="J7" i="26"/>
  <c r="K7" i="26"/>
  <c r="G7" i="26"/>
  <c r="K6" i="26"/>
  <c r="J6" i="26"/>
  <c r="I6" i="26"/>
  <c r="H6" i="26"/>
  <c r="G6" i="26"/>
  <c r="M20" i="5" l="1"/>
  <c r="M23" i="5" s="1"/>
  <c r="M21" i="5" l="1"/>
  <c r="I13" i="5" l="1"/>
  <c r="I14" i="5"/>
  <c r="I15" i="5"/>
  <c r="I16" i="5"/>
  <c r="I17" i="5"/>
  <c r="I18" i="5"/>
  <c r="I19" i="5"/>
  <c r="I20" i="5"/>
  <c r="I21" i="5"/>
  <c r="I22" i="5"/>
  <c r="I23" i="5"/>
  <c r="I24" i="5"/>
  <c r="I25" i="5"/>
  <c r="I12" i="5"/>
  <c r="I11" i="5"/>
  <c r="I10" i="5"/>
  <c r="I9" i="5"/>
  <c r="I8" i="5"/>
  <c r="I7" i="5"/>
  <c r="I6" i="5"/>
  <c r="K6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J4" i="5" l="1"/>
  <c r="Q4" i="5" s="1"/>
  <c r="J5" i="5"/>
  <c r="Q5" i="5" s="1"/>
  <c r="J6" i="5"/>
  <c r="Q6" i="5" s="1"/>
  <c r="J7" i="5"/>
  <c r="Q7" i="5" s="1"/>
  <c r="J8" i="5"/>
  <c r="Q8" i="5" s="1"/>
  <c r="J9" i="5"/>
  <c r="Q9" i="5" s="1"/>
  <c r="J10" i="5"/>
  <c r="Q10" i="5" s="1"/>
  <c r="J11" i="5"/>
  <c r="Q11" i="5" s="1"/>
  <c r="J12" i="5"/>
  <c r="Q12" i="5" s="1"/>
  <c r="J13" i="5"/>
  <c r="Q13" i="5" s="1"/>
  <c r="J14" i="5"/>
  <c r="Q14" i="5" s="1"/>
  <c r="J15" i="5"/>
  <c r="Q15" i="5" s="1"/>
  <c r="J16" i="5"/>
  <c r="Q16" i="5" s="1"/>
  <c r="J17" i="5"/>
  <c r="Q17" i="5" s="1"/>
  <c r="J18" i="5"/>
  <c r="Q18" i="5" s="1"/>
  <c r="J19" i="5"/>
  <c r="Q19" i="5" s="1"/>
  <c r="J20" i="5"/>
  <c r="Q20" i="5" s="1"/>
  <c r="J21" i="5"/>
  <c r="Q21" i="5" s="1"/>
  <c r="J22" i="5"/>
  <c r="Q22" i="5" s="1"/>
  <c r="J23" i="5"/>
  <c r="Q23" i="5" s="1"/>
  <c r="J24" i="5"/>
  <c r="Q24" i="5" s="1"/>
  <c r="J25" i="5"/>
  <c r="Q25" i="5" s="1"/>
  <c r="J26" i="5"/>
  <c r="Q26" i="5" s="1"/>
  <c r="J27" i="5"/>
  <c r="Q27" i="5" s="1"/>
  <c r="J28" i="5"/>
  <c r="Q28" i="5" s="1"/>
  <c r="J29" i="5"/>
  <c r="Q29" i="5" s="1"/>
  <c r="J30" i="5"/>
  <c r="Q30" i="5" s="1"/>
  <c r="J31" i="5"/>
  <c r="Q31" i="5" s="1"/>
  <c r="J32" i="5"/>
  <c r="Q32" i="5" s="1"/>
  <c r="J33" i="5"/>
  <c r="Q33" i="5" s="1"/>
  <c r="J34" i="5"/>
  <c r="Q34" i="5" s="1"/>
  <c r="J35" i="5"/>
  <c r="Q35" i="5" s="1"/>
  <c r="J36" i="5"/>
  <c r="Q36" i="5" s="1"/>
  <c r="J37" i="5"/>
  <c r="Q37" i="5" s="1"/>
  <c r="J38" i="5"/>
  <c r="Q38" i="5" s="1"/>
  <c r="J39" i="5"/>
  <c r="Q39" i="5" s="1"/>
  <c r="J40" i="5"/>
  <c r="Q40" i="5" s="1"/>
  <c r="J41" i="5"/>
  <c r="Q41" i="5" s="1"/>
  <c r="J42" i="5"/>
  <c r="Q42" i="5" s="1"/>
  <c r="J43" i="5"/>
  <c r="Q43" i="5" s="1"/>
  <c r="J44" i="5"/>
  <c r="Q44" i="5" s="1"/>
  <c r="J45" i="5"/>
  <c r="Q45" i="5" s="1"/>
  <c r="J46" i="5"/>
  <c r="Q46" i="5" s="1"/>
  <c r="J47" i="5"/>
  <c r="Q47" i="5" s="1"/>
  <c r="I9" i="25" l="1"/>
  <c r="E3" i="29" l="1"/>
  <c r="J10" i="29" l="1"/>
  <c r="J9" i="29"/>
  <c r="I10" i="29"/>
  <c r="I9" i="29"/>
  <c r="E6" i="29" l="1"/>
  <c r="E4" i="29"/>
  <c r="E5" i="29"/>
  <c r="D6" i="29"/>
  <c r="D4" i="29"/>
  <c r="D5" i="29"/>
  <c r="D3" i="29"/>
  <c r="B4" i="29"/>
  <c r="I2" i="29"/>
  <c r="B5" i="29" s="1"/>
  <c r="B6" i="29" l="1"/>
  <c r="B3" i="29"/>
  <c r="F21" i="5" l="1"/>
  <c r="E23" i="27"/>
  <c r="E19" i="27"/>
  <c r="E25" i="27"/>
  <c r="I29" i="27" s="1"/>
  <c r="G29" i="27"/>
  <c r="G30" i="27"/>
  <c r="G31" i="27"/>
  <c r="G32" i="27"/>
  <c r="G28" i="27"/>
  <c r="E21" i="27"/>
  <c r="H29" i="27" s="1"/>
  <c r="I31" i="27" l="1"/>
  <c r="I32" i="27"/>
  <c r="I30" i="27"/>
  <c r="I28" i="27"/>
  <c r="J29" i="27"/>
  <c r="H31" i="27"/>
  <c r="H30" i="27"/>
  <c r="H32" i="27"/>
  <c r="H28" i="27"/>
  <c r="K13" i="27"/>
  <c r="K9" i="27"/>
  <c r="J28" i="27" l="1"/>
  <c r="J32" i="27"/>
  <c r="J30" i="27"/>
  <c r="J31" i="27"/>
  <c r="P10" i="27"/>
  <c r="P11" i="27"/>
  <c r="P12" i="27"/>
  <c r="P13" i="27"/>
  <c r="P9" i="27"/>
  <c r="S6" i="27"/>
  <c r="S5" i="27"/>
  <c r="S4" i="27"/>
  <c r="S3" i="27"/>
  <c r="P3" i="27"/>
  <c r="P4" i="27"/>
  <c r="P5" i="27"/>
  <c r="P6" i="27"/>
  <c r="J3" i="27"/>
  <c r="J5" i="27" s="1"/>
  <c r="E24" i="27" s="1"/>
  <c r="J2" i="27"/>
  <c r="M9" i="27" s="1"/>
  <c r="M13" i="27" l="1"/>
  <c r="R10" i="27"/>
  <c r="R9" i="27"/>
  <c r="R12" i="27"/>
  <c r="R11" i="27"/>
  <c r="Q13" i="27"/>
  <c r="R13" i="27"/>
  <c r="Q9" i="27"/>
  <c r="M4" i="27"/>
  <c r="T6" i="27"/>
  <c r="V6" i="27" s="1"/>
  <c r="T5" i="27"/>
  <c r="V5" i="27" s="1"/>
  <c r="T3" i="27"/>
  <c r="V3" i="27" s="1"/>
  <c r="T4" i="27"/>
  <c r="M5" i="27"/>
  <c r="M11" i="27"/>
  <c r="Q11" i="27" s="1"/>
  <c r="M3" i="27"/>
  <c r="M12" i="27"/>
  <c r="Q12" i="27" s="1"/>
  <c r="M10" i="27"/>
  <c r="Q10" i="27" s="1"/>
  <c r="M6" i="27"/>
  <c r="B7" i="26"/>
  <c r="B6" i="26"/>
  <c r="B5" i="26"/>
  <c r="B4" i="26"/>
  <c r="B3" i="26"/>
  <c r="C7" i="26"/>
  <c r="C6" i="26"/>
  <c r="C5" i="26"/>
  <c r="C4" i="26"/>
  <c r="C3" i="26"/>
  <c r="U4" i="27" l="1"/>
  <c r="V4" i="27"/>
  <c r="U3" i="27"/>
  <c r="U5" i="27"/>
  <c r="U6" i="27"/>
  <c r="E42" i="24"/>
  <c r="B36" i="24"/>
  <c r="E36" i="24"/>
  <c r="C27" i="24"/>
  <c r="B27" i="24"/>
  <c r="E41" i="24"/>
  <c r="E40" i="24"/>
  <c r="E38" i="24"/>
  <c r="E37" i="24"/>
  <c r="I12" i="25"/>
  <c r="I15" i="25" s="1"/>
  <c r="I16" i="25" s="1"/>
  <c r="I17" i="25" s="1"/>
  <c r="I11" i="25"/>
  <c r="I10" i="25"/>
  <c r="B8" i="25"/>
  <c r="B7" i="25"/>
  <c r="B9" i="25" s="1"/>
  <c r="B10" i="25" s="1"/>
  <c r="E30" i="24"/>
  <c r="C6" i="29" l="1"/>
  <c r="F6" i="29" s="1"/>
  <c r="C4" i="29"/>
  <c r="F4" i="29" s="1"/>
  <c r="C5" i="29"/>
  <c r="F5" i="29" s="1"/>
  <c r="C3" i="29"/>
  <c r="F3" i="29" s="1"/>
  <c r="E43" i="24"/>
  <c r="E27" i="24"/>
  <c r="E29" i="24"/>
  <c r="E28" i="24"/>
  <c r="E32" i="24" s="1"/>
  <c r="C22" i="24"/>
  <c r="C18" i="29" l="1"/>
  <c r="D18" i="29" s="1"/>
  <c r="C12" i="29"/>
  <c r="D12" i="29" s="1"/>
  <c r="C20" i="29"/>
  <c r="D20" i="29" s="1"/>
  <c r="C14" i="29"/>
  <c r="D14" i="29" s="1"/>
  <c r="F7" i="29"/>
  <c r="C11" i="29"/>
  <c r="D11" i="29" s="1"/>
  <c r="C17" i="29"/>
  <c r="D17" i="29" s="1"/>
  <c r="C13" i="29"/>
  <c r="D13" i="29" s="1"/>
  <c r="C19" i="29"/>
  <c r="D19" i="29" s="1"/>
  <c r="B22" i="24"/>
  <c r="E22" i="24" s="1"/>
  <c r="C13" i="24"/>
  <c r="C21" i="24" s="1"/>
  <c r="E21" i="24" s="1"/>
  <c r="D9" i="29" l="1"/>
  <c r="D15" i="29"/>
  <c r="E23" i="24"/>
  <c r="D15" i="16"/>
  <c r="D16" i="16"/>
  <c r="D17" i="16"/>
  <c r="D18" i="16"/>
  <c r="D19" i="16"/>
  <c r="D20" i="16"/>
  <c r="D21" i="16"/>
  <c r="D22" i="16"/>
  <c r="D14" i="16"/>
  <c r="D13" i="16"/>
  <c r="C5" i="16"/>
  <c r="C4" i="16"/>
  <c r="E20" i="29" l="1"/>
  <c r="E18" i="29"/>
  <c r="E17" i="29"/>
  <c r="E19" i="29"/>
  <c r="E14" i="29"/>
  <c r="E12" i="29"/>
  <c r="E13" i="29"/>
  <c r="E11" i="29"/>
  <c r="C6" i="16"/>
  <c r="C8" i="16" l="1"/>
  <c r="L9" i="5" l="1"/>
  <c r="E9" i="5"/>
</calcChain>
</file>

<file path=xl/sharedStrings.xml><?xml version="1.0" encoding="utf-8"?>
<sst xmlns="http://schemas.openxmlformats.org/spreadsheetml/2006/main" count="398" uniqueCount="233">
  <si>
    <t>m/s</t>
  </si>
  <si>
    <r>
      <t>K</t>
    </r>
    <r>
      <rPr>
        <vertAlign val="subscript"/>
        <sz val="11"/>
        <color rgb="FF000000"/>
        <rFont val="Liberation Sans"/>
      </rPr>
      <t>r</t>
    </r>
  </si>
  <si>
    <r>
      <t>z</t>
    </r>
    <r>
      <rPr>
        <vertAlign val="subscript"/>
        <sz val="11"/>
        <color rgb="FF000000"/>
        <rFont val="Liberation Sans"/>
      </rPr>
      <t>0</t>
    </r>
    <r>
      <rPr>
        <sz val="13"/>
        <color rgb="FF000000"/>
        <rFont val="Liberation Sans"/>
      </rPr>
      <t xml:space="preserve"> [m]</t>
    </r>
  </si>
  <si>
    <r>
      <t>z</t>
    </r>
    <r>
      <rPr>
        <vertAlign val="subscript"/>
        <sz val="11"/>
        <color rgb="FF000000"/>
        <rFont val="Liberation Sans"/>
      </rPr>
      <t>min</t>
    </r>
    <r>
      <rPr>
        <sz val="13"/>
        <color rgb="FF000000"/>
        <rFont val="Liberation Sans"/>
      </rPr>
      <t xml:space="preserve"> [m]</t>
    </r>
  </si>
  <si>
    <t>SLV</t>
  </si>
  <si>
    <t>SLD</t>
  </si>
  <si>
    <t>T [s]</t>
  </si>
  <si>
    <t>Se [g]</t>
  </si>
  <si>
    <t>STATO LIMITE</t>
  </si>
  <si>
    <r>
      <t>a</t>
    </r>
    <r>
      <rPr>
        <vertAlign val="subscript"/>
        <sz val="10"/>
        <rFont val="Arial"/>
        <family val="2"/>
      </rPr>
      <t>g</t>
    </r>
  </si>
  <si>
    <t>g</t>
  </si>
  <si>
    <r>
      <t>F</t>
    </r>
    <r>
      <rPr>
        <vertAlign val="subscript"/>
        <sz val="10"/>
        <rFont val="Arial"/>
        <family val="2"/>
      </rPr>
      <t>o</t>
    </r>
  </si>
  <si>
    <r>
      <t>T</t>
    </r>
    <r>
      <rPr>
        <vertAlign val="subscript"/>
        <sz val="10"/>
        <rFont val="Arial"/>
        <family val="2"/>
      </rPr>
      <t>C</t>
    </r>
    <r>
      <rPr>
        <vertAlign val="superscript"/>
        <sz val="10"/>
        <rFont val="Arial"/>
        <family val="2"/>
      </rPr>
      <t>*</t>
    </r>
  </si>
  <si>
    <t>s</t>
  </si>
  <si>
    <r>
      <t>S</t>
    </r>
    <r>
      <rPr>
        <vertAlign val="subscript"/>
        <sz val="10"/>
        <rFont val="Arial"/>
        <family val="2"/>
      </rPr>
      <t>S</t>
    </r>
  </si>
  <si>
    <r>
      <t>C</t>
    </r>
    <r>
      <rPr>
        <vertAlign val="subscript"/>
        <sz val="10"/>
        <rFont val="Arial"/>
        <family val="2"/>
      </rPr>
      <t>C</t>
    </r>
  </si>
  <si>
    <r>
      <t>S</t>
    </r>
    <r>
      <rPr>
        <vertAlign val="subscript"/>
        <sz val="10"/>
        <rFont val="Arial"/>
        <family val="2"/>
      </rPr>
      <t>T</t>
    </r>
  </si>
  <si>
    <t>S</t>
  </si>
  <si>
    <t>h</t>
  </si>
  <si>
    <r>
      <t>T</t>
    </r>
    <r>
      <rPr>
        <vertAlign val="subscript"/>
        <sz val="10"/>
        <rFont val="Arial"/>
        <family val="2"/>
      </rPr>
      <t>B</t>
    </r>
  </si>
  <si>
    <r>
      <t>T</t>
    </r>
    <r>
      <rPr>
        <vertAlign val="subscript"/>
        <sz val="10"/>
        <rFont val="Arial"/>
        <family val="2"/>
      </rPr>
      <t>C</t>
    </r>
  </si>
  <si>
    <r>
      <t>T</t>
    </r>
    <r>
      <rPr>
        <vertAlign val="subscript"/>
        <sz val="10"/>
        <rFont val="Arial"/>
        <family val="2"/>
      </rPr>
      <t>D</t>
    </r>
  </si>
  <si>
    <t>q=1,5</t>
  </si>
  <si>
    <t>q=1</t>
  </si>
  <si>
    <t>-</t>
  </si>
  <si>
    <t>Velocità base di riferimento</t>
  </si>
  <si>
    <t>Velocità base di riferimento al livello del mare</t>
  </si>
  <si>
    <t>Velocità di riferimento</t>
  </si>
  <si>
    <t>Coefficiente di ritorno</t>
  </si>
  <si>
    <t>Azione del Vento</t>
  </si>
  <si>
    <t>Pressione cinetica di riferimento</t>
  </si>
  <si>
    <t>Coefficiente di topografia</t>
  </si>
  <si>
    <t>Coefficiente Dinamico</t>
  </si>
  <si>
    <t>Coefficiente di pressione</t>
  </si>
  <si>
    <t>Coefficiente di esposizione</t>
  </si>
  <si>
    <t xml:space="preserve"> Categoria di esposizione del sito II (Zona 1,2,3,4,5)</t>
  </si>
  <si>
    <t xml:space="preserve">Classe di Rugosità D </t>
  </si>
  <si>
    <r>
      <t>z [m] &lt; z</t>
    </r>
    <r>
      <rPr>
        <vertAlign val="subscript"/>
        <sz val="11"/>
        <color rgb="FF000000"/>
        <rFont val="Liberation Sans"/>
      </rPr>
      <t>min</t>
    </r>
    <r>
      <rPr>
        <sz val="10"/>
        <color rgb="FF000000"/>
        <rFont val="Liberation Sans"/>
      </rPr>
      <t xml:space="preserve"> [m]</t>
    </r>
  </si>
  <si>
    <r>
      <t xml:space="preserve">z [m] </t>
    </r>
    <r>
      <rPr>
        <sz val="10"/>
        <color rgb="FF000000"/>
        <rFont val="Calibri"/>
        <family val="2"/>
      </rPr>
      <t>≥</t>
    </r>
    <r>
      <rPr>
        <sz val="10"/>
        <color rgb="FF000000"/>
        <rFont val="Liberation Sans"/>
      </rPr>
      <t xml:space="preserve">  z</t>
    </r>
    <r>
      <rPr>
        <vertAlign val="subscript"/>
        <sz val="11"/>
        <color rgb="FF000000"/>
        <rFont val="Liberation Sans"/>
      </rPr>
      <t>min</t>
    </r>
    <r>
      <rPr>
        <sz val="10"/>
        <color rgb="FF000000"/>
        <rFont val="Liberation Sans"/>
      </rPr>
      <t xml:space="preserve"> [m]</t>
    </r>
  </si>
  <si>
    <r>
      <t>c</t>
    </r>
    <r>
      <rPr>
        <vertAlign val="subscript"/>
        <sz val="11"/>
        <color rgb="FF000000"/>
        <rFont val="Liberation Sans"/>
      </rPr>
      <t>e</t>
    </r>
    <r>
      <rPr>
        <sz val="11"/>
        <color theme="1"/>
        <rFont val="Calibri"/>
        <family val="2"/>
        <scheme val="minor"/>
      </rPr>
      <t>(z=z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)</t>
    </r>
  </si>
  <si>
    <t>z [m]</t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</si>
  <si>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(z=4)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</si>
  <si>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(z=5)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</si>
  <si>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(z=6)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</si>
  <si>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(z=7)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</si>
  <si>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(z=8)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</si>
  <si>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(z=9)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</si>
  <si>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(z=10)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</si>
  <si>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(z=11)</t>
    </r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</si>
  <si>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(z=12)</t>
    </r>
  </si>
  <si>
    <r>
      <t>v</t>
    </r>
    <r>
      <rPr>
        <vertAlign val="subscript"/>
        <sz val="14"/>
        <color theme="1"/>
        <rFont val="Calibri"/>
        <family val="2"/>
        <scheme val="minor"/>
      </rPr>
      <t>b,0</t>
    </r>
  </si>
  <si>
    <r>
      <t>Coefficiente di altitudine (a</t>
    </r>
    <r>
      <rPr>
        <vertAlign val="subscript"/>
        <sz val="14"/>
        <color theme="1"/>
        <rFont val="Calibri"/>
        <family val="2"/>
        <scheme val="minor"/>
      </rPr>
      <t>s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</rPr>
      <t>≤ a</t>
    </r>
    <r>
      <rPr>
        <vertAlign val="subscript"/>
        <sz val="14"/>
        <color theme="1"/>
        <rFont val="Calibri"/>
        <family val="2"/>
      </rPr>
      <t>o</t>
    </r>
    <r>
      <rPr>
        <sz val="14"/>
        <color theme="1"/>
        <rFont val="Calibri"/>
        <family val="2"/>
        <scheme val="minor"/>
      </rPr>
      <t>)</t>
    </r>
  </si>
  <si>
    <r>
      <t>c</t>
    </r>
    <r>
      <rPr>
        <vertAlign val="subscript"/>
        <sz val="14"/>
        <color theme="1"/>
        <rFont val="Calibri"/>
        <family val="2"/>
      </rPr>
      <t>a</t>
    </r>
  </si>
  <si>
    <r>
      <t>v</t>
    </r>
    <r>
      <rPr>
        <vertAlign val="subscript"/>
        <sz val="14"/>
        <color theme="1"/>
        <rFont val="Calibri"/>
        <family val="2"/>
        <scheme val="minor"/>
      </rPr>
      <t>b</t>
    </r>
  </si>
  <si>
    <r>
      <t>c</t>
    </r>
    <r>
      <rPr>
        <vertAlign val="subscript"/>
        <sz val="14"/>
        <color theme="1"/>
        <rFont val="Calibri"/>
        <family val="2"/>
      </rPr>
      <t>r</t>
    </r>
  </si>
  <si>
    <r>
      <t>v</t>
    </r>
    <r>
      <rPr>
        <vertAlign val="subscript"/>
        <sz val="14"/>
        <color theme="1"/>
        <rFont val="Calibri"/>
        <family val="2"/>
        <scheme val="minor"/>
      </rPr>
      <t>r</t>
    </r>
  </si>
  <si>
    <r>
      <t>c</t>
    </r>
    <r>
      <rPr>
        <vertAlign val="subscript"/>
        <sz val="14"/>
        <color theme="1"/>
        <rFont val="Calibri"/>
        <family val="2"/>
      </rPr>
      <t>t</t>
    </r>
  </si>
  <si>
    <r>
      <t>q</t>
    </r>
    <r>
      <rPr>
        <vertAlign val="subscript"/>
        <sz val="14"/>
        <color theme="1"/>
        <rFont val="Calibri"/>
        <family val="2"/>
        <scheme val="minor"/>
      </rPr>
      <t>r</t>
    </r>
  </si>
  <si>
    <r>
      <t>N/m</t>
    </r>
    <r>
      <rPr>
        <vertAlign val="superscript"/>
        <sz val="14"/>
        <color theme="1"/>
        <rFont val="Calibri"/>
        <family val="2"/>
        <scheme val="minor"/>
      </rPr>
      <t>2</t>
    </r>
  </si>
  <si>
    <r>
      <t>c</t>
    </r>
    <r>
      <rPr>
        <vertAlign val="subscript"/>
        <sz val="14"/>
        <color theme="1"/>
        <rFont val="Calibri"/>
        <family val="2"/>
      </rPr>
      <t>d</t>
    </r>
  </si>
  <si>
    <t>Coefficiente di pressione globali per pareti verticali</t>
  </si>
  <si>
    <t>Soletta</t>
  </si>
  <si>
    <t>b [m]</t>
  </si>
  <si>
    <t>h [m]</t>
  </si>
  <si>
    <r>
      <t>Ɣ [KN/m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]</t>
    </r>
  </si>
  <si>
    <t>PROGETTO E VERIFICA SOLAIO BAUSTA</t>
  </si>
  <si>
    <t>s [m]</t>
  </si>
  <si>
    <t>spessore soletta</t>
  </si>
  <si>
    <r>
      <t>b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[m]</t>
    </r>
  </si>
  <si>
    <t>spessore  travetto</t>
  </si>
  <si>
    <t>bp [m]</t>
  </si>
  <si>
    <t>larghezza pignatta</t>
  </si>
  <si>
    <t>i [m]</t>
  </si>
  <si>
    <t>interasse tra travetti</t>
  </si>
  <si>
    <t>Travetti *</t>
  </si>
  <si>
    <t>Pignatte *</t>
  </si>
  <si>
    <t>altezza pignatta</t>
  </si>
  <si>
    <t>* 2 travetti al metro</t>
  </si>
  <si>
    <t>* 2 pignatte al metro</t>
  </si>
  <si>
    <t>G1=∑q</t>
  </si>
  <si>
    <t>PROP. SOLAIO</t>
  </si>
  <si>
    <t>CARICHI PERMANENTI STRUTTURALI - G1</t>
  </si>
  <si>
    <t>intonaco</t>
  </si>
  <si>
    <t>Massetto</t>
  </si>
  <si>
    <t>q [KN/m]</t>
  </si>
  <si>
    <t>Pavimento *</t>
  </si>
  <si>
    <t>* In gres porcellenato posato a colla</t>
  </si>
  <si>
    <t>riscaldamento a pavimento*</t>
  </si>
  <si>
    <t>Peso tramezzi interni</t>
  </si>
  <si>
    <t>m</t>
  </si>
  <si>
    <t>Altezza tramezzi</t>
  </si>
  <si>
    <t>G2</t>
  </si>
  <si>
    <t>KN/m</t>
  </si>
  <si>
    <t>G2=∑q</t>
  </si>
  <si>
    <t>CARICHI PERMANENTI NON STRUTTURALI SOLAIO INTERPIANO - G2</t>
  </si>
  <si>
    <t>Tamponature esterne</t>
  </si>
  <si>
    <r>
      <t>ү</t>
    </r>
    <r>
      <rPr>
        <vertAlign val="subscript"/>
        <sz val="14"/>
        <color rgb="FF000000"/>
        <rFont val="Calibri"/>
        <family val="2"/>
        <scheme val="minor"/>
      </rPr>
      <t>laterizio</t>
    </r>
  </si>
  <si>
    <r>
      <t>s</t>
    </r>
    <r>
      <rPr>
        <vertAlign val="subscript"/>
        <sz val="14"/>
        <color rgb="FF000000"/>
        <rFont val="Calibri"/>
        <family val="2"/>
        <scheme val="minor"/>
      </rPr>
      <t>laterizio</t>
    </r>
  </si>
  <si>
    <r>
      <t>s</t>
    </r>
    <r>
      <rPr>
        <vertAlign val="subscript"/>
        <sz val="14"/>
        <color rgb="FF000000"/>
        <rFont val="Calibri"/>
        <family val="2"/>
        <scheme val="minor"/>
      </rPr>
      <t>parete in laterizio</t>
    </r>
  </si>
  <si>
    <r>
      <t>ү</t>
    </r>
    <r>
      <rPr>
        <vertAlign val="subscript"/>
        <sz val="14"/>
        <color rgb="FF000000"/>
        <rFont val="Calibri"/>
        <family val="2"/>
        <scheme val="minor"/>
      </rPr>
      <t>malta</t>
    </r>
  </si>
  <si>
    <r>
      <t>s</t>
    </r>
    <r>
      <rPr>
        <vertAlign val="subscript"/>
        <sz val="14"/>
        <color rgb="FF000000"/>
        <rFont val="Calibri"/>
        <family val="2"/>
        <scheme val="minor"/>
      </rPr>
      <t>intonaco</t>
    </r>
  </si>
  <si>
    <r>
      <t>ү</t>
    </r>
    <r>
      <rPr>
        <vertAlign val="subscript"/>
        <sz val="14"/>
        <color rgb="FF000000"/>
        <rFont val="Calibri"/>
        <family val="2"/>
        <scheme val="minor"/>
      </rPr>
      <t>malta-cementizia</t>
    </r>
  </si>
  <si>
    <r>
      <t>s</t>
    </r>
    <r>
      <rPr>
        <vertAlign val="subscript"/>
        <sz val="14"/>
        <color rgb="FF000000"/>
        <rFont val="Calibri"/>
        <family val="2"/>
        <scheme val="minor"/>
      </rPr>
      <t>intonaco esterno</t>
    </r>
  </si>
  <si>
    <r>
      <t>KN/m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</si>
  <si>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>P.P</t>
    </r>
    <r>
      <rPr>
        <vertAlign val="subscript"/>
        <sz val="14"/>
        <color rgb="FF000000"/>
        <rFont val="Calibri"/>
        <family val="2"/>
        <scheme val="minor"/>
      </rPr>
      <t>laterizi forati</t>
    </r>
  </si>
  <si>
    <r>
      <t>KN/m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</si>
  <si>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P.P</t>
    </r>
    <r>
      <rPr>
        <vertAlign val="subscript"/>
        <sz val="14"/>
        <color rgb="FF000000"/>
        <rFont val="Calibri"/>
        <family val="2"/>
        <scheme val="minor"/>
      </rPr>
      <t>intonaco interno</t>
    </r>
  </si>
  <si>
    <r>
      <t>P.P</t>
    </r>
    <r>
      <rPr>
        <vertAlign val="subscript"/>
        <sz val="14"/>
        <color rgb="FF000000"/>
        <rFont val="Calibri"/>
        <family val="2"/>
        <scheme val="minor"/>
      </rPr>
      <t>intonaco esterno</t>
    </r>
  </si>
  <si>
    <r>
      <t>P.P</t>
    </r>
    <r>
      <rPr>
        <vertAlign val="subscript"/>
        <sz val="14"/>
        <color rgb="FF000000"/>
        <rFont val="Calibri"/>
        <family val="2"/>
        <scheme val="minor"/>
      </rPr>
      <t>isolante termico</t>
    </r>
  </si>
  <si>
    <r>
      <t>P.P</t>
    </r>
    <r>
      <rPr>
        <vertAlign val="subscript"/>
        <sz val="14"/>
        <color rgb="FF000000"/>
        <rFont val="Calibri"/>
        <family val="2"/>
        <scheme val="minor"/>
      </rPr>
      <t>cortina di laterizio</t>
    </r>
  </si>
  <si>
    <r>
      <t>P</t>
    </r>
    <r>
      <rPr>
        <vertAlign val="subscript"/>
        <sz val="14"/>
        <color rgb="FF000000"/>
        <rFont val="Calibri"/>
        <family val="2"/>
        <scheme val="minor"/>
      </rPr>
      <t>tot</t>
    </r>
  </si>
  <si>
    <r>
      <t>P</t>
    </r>
    <r>
      <rPr>
        <vertAlign val="subscript"/>
        <sz val="14"/>
        <color rgb="FF000000"/>
        <rFont val="Calibri"/>
        <family val="2"/>
        <scheme val="minor"/>
      </rPr>
      <t>tot al m</t>
    </r>
  </si>
  <si>
    <r>
      <t>P.P</t>
    </r>
    <r>
      <rPr>
        <vertAlign val="subscript"/>
        <sz val="14"/>
        <color rgb="FF000000"/>
        <rFont val="Calibri"/>
        <family val="2"/>
        <scheme val="minor"/>
      </rPr>
      <t>laterizio</t>
    </r>
  </si>
  <si>
    <r>
      <t>P.P</t>
    </r>
    <r>
      <rPr>
        <vertAlign val="subscript"/>
        <sz val="14"/>
        <color rgb="FF000000"/>
        <rFont val="Calibri"/>
        <family val="2"/>
        <scheme val="minor"/>
      </rPr>
      <t>intonaco</t>
    </r>
  </si>
  <si>
    <r>
      <t>g</t>
    </r>
    <r>
      <rPr>
        <vertAlign val="subscript"/>
        <sz val="14"/>
        <color rgb="FF000000"/>
        <rFont val="Calibri"/>
        <family val="2"/>
        <scheme val="minor"/>
      </rPr>
      <t>2</t>
    </r>
  </si>
  <si>
    <t>Isolante termico</t>
  </si>
  <si>
    <t>impermiabilizzante</t>
  </si>
  <si>
    <t>Massetto pendenze</t>
  </si>
  <si>
    <t>CARICHI PERMANENTI NON STRUTTURALI COPERTURA PRATICABILE  - G2</t>
  </si>
  <si>
    <t>* costituito da massetto in calcestruzzo</t>
  </si>
  <si>
    <t xml:space="preserve"> e pannello isolante spessore 4+4</t>
  </si>
  <si>
    <t>Malta di allettamento</t>
  </si>
  <si>
    <t>SOVRACCARICHI</t>
  </si>
  <si>
    <t>CAT. A</t>
  </si>
  <si>
    <r>
      <t>q</t>
    </r>
    <r>
      <rPr>
        <vertAlign val="subscript"/>
        <sz val="11"/>
        <color theme="1"/>
        <rFont val="Calibri"/>
        <family val="2"/>
      </rPr>
      <t>k</t>
    </r>
    <r>
      <rPr>
        <sz val="11"/>
        <color theme="1"/>
        <rFont val="Calibri"/>
        <family val="2"/>
      </rPr>
      <t xml:space="preserve"> [KN/m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]</t>
    </r>
  </si>
  <si>
    <r>
      <t>H</t>
    </r>
    <r>
      <rPr>
        <vertAlign val="subscript"/>
        <sz val="11"/>
        <color theme="1"/>
        <rFont val="Calibri"/>
        <family val="2"/>
      </rPr>
      <t>k</t>
    </r>
    <r>
      <rPr>
        <sz val="11"/>
        <color theme="1"/>
        <rFont val="Calibri"/>
        <family val="2"/>
      </rPr>
      <t xml:space="preserve"> [KN]</t>
    </r>
  </si>
  <si>
    <r>
      <t>Q</t>
    </r>
    <r>
      <rPr>
        <vertAlign val="subscript"/>
        <sz val="11"/>
        <color theme="1"/>
        <rFont val="Calibri"/>
        <family val="2"/>
      </rPr>
      <t>k</t>
    </r>
    <r>
      <rPr>
        <sz val="11"/>
        <color theme="1"/>
        <rFont val="Calibri"/>
        <family val="2"/>
      </rPr>
      <t xml:space="preserve"> [KN]</t>
    </r>
  </si>
  <si>
    <t>Copertura praticabile</t>
  </si>
  <si>
    <t>COMBINAZIONE DELLE AZIONI</t>
  </si>
  <si>
    <t xml:space="preserve"> FONDAMENTALE</t>
  </si>
  <si>
    <t>RARA</t>
  </si>
  <si>
    <t>FREQUENTE</t>
  </si>
  <si>
    <t>QUASI PERMANENTE</t>
  </si>
  <si>
    <t>SISMICA</t>
  </si>
  <si>
    <r>
      <t>p [KN/m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</si>
  <si>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 xml:space="preserve">COMBINAZIONE SOLAIO </t>
  </si>
  <si>
    <t>INTERPIANO</t>
  </si>
  <si>
    <t>COPERTURA</t>
  </si>
  <si>
    <t>SLU</t>
  </si>
  <si>
    <r>
      <t>fyd  [N/mm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</si>
  <si>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h [mm]</t>
  </si>
  <si>
    <t>c [mm]</t>
  </si>
  <si>
    <t>d [mm]</t>
  </si>
  <si>
    <r>
      <t>As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</si>
  <si>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n</t>
  </si>
  <si>
    <t>φ</t>
  </si>
  <si>
    <t>φ [mm]</t>
  </si>
  <si>
    <r>
      <t>A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</si>
  <si>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</si>
  <si>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</si>
  <si>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</t>
    </r>
    <r>
      <rPr>
        <vertAlign val="subscript"/>
        <sz val="11"/>
        <color theme="1"/>
        <rFont val="Calibri"/>
        <family val="2"/>
        <scheme val="minor"/>
      </rPr>
      <t>tot</t>
    </r>
    <r>
      <rPr>
        <sz val="11"/>
        <color theme="1"/>
        <rFont val="Calibri"/>
        <family val="2"/>
        <scheme val="minor"/>
      </rPr>
      <t xml:space="preserve">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</si>
  <si>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As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</si>
  <si>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M</t>
    </r>
    <r>
      <rPr>
        <vertAlign val="sub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[KNm]</t>
    </r>
  </si>
  <si>
    <r>
      <t xml:space="preserve">M </t>
    </r>
    <r>
      <rPr>
        <vertAlign val="subscript"/>
        <sz val="11"/>
        <color theme="1"/>
        <rFont val="Calibri"/>
        <family val="2"/>
        <scheme val="minor"/>
      </rPr>
      <t>semincastro</t>
    </r>
  </si>
  <si>
    <t>As travetto</t>
  </si>
  <si>
    <t xml:space="preserve">As  aggiuntiva </t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</si>
  <si>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_{max} </t>
    </r>
    <r>
      <rPr>
        <sz val="11"/>
        <color theme="1"/>
        <rFont val="Calibri"/>
        <family val="2"/>
        <scheme val="minor"/>
      </rPr>
      <t xml:space="preserve"> (dx) [KN]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</si>
  <si>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_{max}  </t>
    </r>
    <r>
      <rPr>
        <sz val="11"/>
        <color theme="1"/>
        <rFont val="Calibri"/>
        <family val="2"/>
        <scheme val="minor"/>
      </rPr>
      <t>(dx) [KN]</t>
    </r>
  </si>
  <si>
    <r>
      <t>M^+_</t>
    </r>
    <r>
      <rPr>
        <vertAlign val="subscript"/>
        <sz val="11"/>
        <color theme="1"/>
        <rFont val="Calibri"/>
        <family val="2"/>
        <scheme val="minor"/>
      </rPr>
      <t>{max}</t>
    </r>
    <r>
      <rPr>
        <sz val="11"/>
        <color theme="1"/>
        <rFont val="Calibri"/>
        <family val="2"/>
        <scheme val="minor"/>
      </rPr>
      <t>[KNm]</t>
    </r>
  </si>
  <si>
    <t xml:space="preserve"> z (M^+_{max} )</t>
  </si>
  <si>
    <t xml:space="preserve"> z (M^-_{max} )</t>
  </si>
  <si>
    <t>M^+_{max}  [KNm]</t>
  </si>
  <si>
    <t>altezza sezione</t>
  </si>
  <si>
    <t>copriferro</t>
  </si>
  <si>
    <t xml:space="preserve">altezza utile </t>
  </si>
  <si>
    <t>RcK</t>
  </si>
  <si>
    <t>Resistenza cilindrica</t>
  </si>
  <si>
    <t>fck [N/mm^2]</t>
  </si>
  <si>
    <t xml:space="preserve">\nu </t>
  </si>
  <si>
    <t xml:space="preserve">k </t>
  </si>
  <si>
    <t>\rho_l</t>
  </si>
  <si>
    <t>b_w [mm]</t>
  </si>
  <si>
    <t>VERIFICA A TAGLIO</t>
  </si>
  <si>
    <t>V_{RD} [KN]</t>
  </si>
  <si>
    <t>Area di calcestruzzo</t>
  </si>
  <si>
    <t>Ac [mm^2]</t>
  </si>
  <si>
    <t>spessore anima travetto</t>
  </si>
  <si>
    <r>
      <t>S</t>
    </r>
    <r>
      <rPr>
        <vertAlign val="subscript"/>
        <sz val="11"/>
        <color theme="1"/>
        <rFont val="Calibri"/>
        <family val="2"/>
        <scheme val="minor"/>
      </rPr>
      <t xml:space="preserve">SLV </t>
    </r>
    <r>
      <rPr>
        <sz val="11"/>
        <color theme="1"/>
        <rFont val="Calibri"/>
        <family val="2"/>
        <scheme val="minor"/>
      </rPr>
      <t>(T)</t>
    </r>
  </si>
  <si>
    <r>
      <t>S</t>
    </r>
    <r>
      <rPr>
        <vertAlign val="subscript"/>
        <sz val="11"/>
        <color theme="1"/>
        <rFont val="Calibri"/>
        <family val="2"/>
        <scheme val="minor"/>
      </rPr>
      <t>SLD</t>
    </r>
    <r>
      <rPr>
        <sz val="11"/>
        <color theme="1"/>
        <rFont val="Calibri"/>
        <family val="2"/>
        <scheme val="minor"/>
      </rPr>
      <t>(T)</t>
    </r>
  </si>
  <si>
    <t>PIANI</t>
  </si>
  <si>
    <t>A</t>
  </si>
  <si>
    <t>m^2</t>
  </si>
  <si>
    <t>W.solaio</t>
  </si>
  <si>
    <t>W.tramezzi esterni</t>
  </si>
  <si>
    <t>W.travi</t>
  </si>
  <si>
    <t>W.pilastri</t>
  </si>
  <si>
    <t>KN</t>
  </si>
  <si>
    <t>[KN]</t>
  </si>
  <si>
    <t>N.p</t>
  </si>
  <si>
    <t>$W_{i}$</t>
  </si>
  <si>
    <t>$\sum{W_{tot}}$</t>
  </si>
  <si>
    <t>Livello</t>
  </si>
  <si>
    <t>P1</t>
  </si>
  <si>
    <t>P2</t>
  </si>
  <si>
    <t>P3</t>
  </si>
  <si>
    <t>P4</t>
  </si>
  <si>
    <t>zi [m]</t>
  </si>
  <si>
    <t>Wi [KN]</t>
  </si>
  <si>
    <t>$Wi\cdot zi$ [KNm]</t>
  </si>
  <si>
    <t>$F_i$</t>
  </si>
  <si>
    <t>Se(SLV)</t>
  </si>
  <si>
    <t>Fh (SLV)/q=3,12</t>
  </si>
  <si>
    <t>Fh (SLD)/q=1,5</t>
  </si>
  <si>
    <t>T (SAP)</t>
  </si>
  <si>
    <t>qmax</t>
  </si>
  <si>
    <t>q=3,12</t>
  </si>
  <si>
    <r>
      <t>A</t>
    </r>
    <r>
      <rPr>
        <vertAlign val="subscript"/>
        <sz val="11"/>
        <color theme="1"/>
        <rFont val="Calibri"/>
        <family val="2"/>
        <scheme val="minor"/>
      </rPr>
      <t>inf</t>
    </r>
    <r>
      <rPr>
        <sz val="11"/>
        <color theme="1"/>
        <rFont val="Calibri"/>
        <family val="2"/>
        <scheme val="minor"/>
      </rPr>
      <t xml:space="preserve"> [m]</t>
    </r>
  </si>
  <si>
    <t>F4 [KN]</t>
  </si>
  <si>
    <t>F3 [KN]</t>
  </si>
  <si>
    <t>F2 [KN]</t>
  </si>
  <si>
    <t>F1 [KN]</t>
  </si>
  <si>
    <t>Forze su telaio in direzione X</t>
  </si>
  <si>
    <t>Sopravento</t>
  </si>
  <si>
    <t>Facce laterali</t>
  </si>
  <si>
    <r>
      <t>c</t>
    </r>
    <r>
      <rPr>
        <vertAlign val="subscript"/>
        <sz val="10"/>
        <color rgb="FF000000"/>
        <rFont val="Liberation Sans"/>
      </rPr>
      <t>pe</t>
    </r>
    <r>
      <rPr>
        <sz val="10"/>
        <color rgb="FF000000"/>
        <rFont val="Liberation Sans"/>
      </rPr>
      <t xml:space="preserve"> </t>
    </r>
  </si>
  <si>
    <t>Facce sottovento</t>
  </si>
  <si>
    <t>z</t>
  </si>
  <si>
    <t>pe(z) SOPRAVENTO</t>
  </si>
  <si>
    <t>pe(z) LATERALE</t>
  </si>
  <si>
    <t>pe(z) SOTTOVENTO</t>
  </si>
  <si>
    <t>mm</t>
  </si>
  <si>
    <t>N/mm2</t>
  </si>
  <si>
    <r>
      <t>S</t>
    </r>
    <r>
      <rPr>
        <vertAlign val="subscript"/>
        <sz val="11"/>
        <color theme="1"/>
        <rFont val="Calibri"/>
        <family val="2"/>
        <scheme val="minor"/>
      </rPr>
      <t>SLD</t>
    </r>
    <r>
      <rPr>
        <sz val="11"/>
        <color theme="1"/>
        <rFont val="Calibri"/>
        <family val="2"/>
        <scheme val="minor"/>
      </rPr>
      <t>(T)/1.5</t>
    </r>
  </si>
  <si>
    <r>
      <t>S</t>
    </r>
    <r>
      <rPr>
        <vertAlign val="subscript"/>
        <sz val="11"/>
        <color theme="1"/>
        <rFont val="Calibri"/>
        <family val="2"/>
        <scheme val="minor"/>
      </rPr>
      <t xml:space="preserve">SLV </t>
    </r>
    <r>
      <rPr>
        <sz val="11"/>
        <color theme="1"/>
        <rFont val="Calibri"/>
        <family val="2"/>
        <scheme val="minor"/>
      </rPr>
      <t>(T)/3.12</t>
    </r>
  </si>
  <si>
    <t>SE</t>
  </si>
  <si>
    <t>mu</t>
  </si>
  <si>
    <t>ADRS</t>
  </si>
  <si>
    <t>Sae [g]</t>
  </si>
  <si>
    <t>Sde [g]</t>
  </si>
  <si>
    <t>Sae/Ru[g]</t>
  </si>
  <si>
    <t>Sd = Sde*mu/Rmu</t>
  </si>
  <si>
    <t>Rmu ( T&lt; Tc )</t>
  </si>
  <si>
    <r>
      <t>T</t>
    </r>
    <r>
      <rPr>
        <vertAlign val="subscript"/>
        <sz val="11"/>
        <color theme="1"/>
        <rFont val="Calibri"/>
        <family val="2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</si>
</sst>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32">
    <font>
      <sz val="11"/>
      <color theme="1"/>
      <name val="Calibri"/>
      <family val="2"/>
      <scheme val="minor"/>
    </font>
    <font>
      <vertAlign val="subscript"/>
      <sz val="11"/>
      <color rgb="FF000000"/>
      <name val="Liberation Sans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Liberation Sans"/>
    </font>
    <font>
      <sz val="13"/>
      <color rgb="FF000000"/>
      <name val="Liberation Sans"/>
    </font>
    <font>
      <u/>
      <sz val="11"/>
      <color theme="1"/>
      <name val="Calibri"/>
      <family val="2"/>
      <scheme val="minor"/>
    </font>
    <font>
      <vertAlign val="subscript"/>
      <sz val="10"/>
      <color rgb="FF000000"/>
      <name val="Liberation Sans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vertAlign val="subscript"/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vertAlign val="subscript"/>
      <sz val="14"/>
      <color theme="1"/>
      <name val="Calibri"/>
      <family val="2"/>
    </font>
    <font>
      <sz val="10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Liberation Sans"/>
    </font>
    <font>
      <sz val="14"/>
      <color rgb="FF000000"/>
      <name val="Calibri"/>
      <family val="2"/>
      <scheme val="minor"/>
    </font>
    <font>
      <vertAlign val="subscript"/>
      <sz val="14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theme="0" tint="-0.14999847407452621"/>
        <bgColor rgb="FFFF6600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10" fillId="6" borderId="1" xfId="0" applyNumberFormat="1" applyFont="1" applyFill="1" applyBorder="1" applyAlignment="1" applyProtection="1">
      <alignment horizontal="center"/>
      <protection locked="0" hidden="1"/>
    </xf>
    <xf numFmtId="164" fontId="10" fillId="0" borderId="1" xfId="0" applyNumberFormat="1" applyFont="1" applyBorder="1" applyAlignment="1" applyProtection="1">
      <alignment horizontal="center"/>
      <protection locked="0" hidden="1"/>
    </xf>
    <xf numFmtId="0" fontId="11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 hidden="1"/>
    </xf>
    <xf numFmtId="0" fontId="11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0" fillId="3" borderId="1" xfId="0" applyFill="1" applyBorder="1" applyAlignment="1"/>
    <xf numFmtId="2" fontId="3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/>
    <xf numFmtId="0" fontId="23" fillId="0" borderId="1" xfId="0" applyFont="1" applyBorder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23" fillId="9" borderId="1" xfId="0" applyFont="1" applyFill="1" applyBorder="1"/>
    <xf numFmtId="0" fontId="27" fillId="9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left" vertical="center"/>
    </xf>
    <xf numFmtId="2" fontId="27" fillId="9" borderId="1" xfId="0" applyNumberFormat="1" applyFont="1" applyFill="1" applyBorder="1" applyAlignment="1">
      <alignment horizontal="center"/>
    </xf>
    <xf numFmtId="0" fontId="23" fillId="11" borderId="1" xfId="0" applyFont="1" applyFill="1" applyBorder="1" applyAlignment="1">
      <alignment horizontal="left" vertical="center"/>
    </xf>
    <xf numFmtId="2" fontId="27" fillId="11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23" fillId="9" borderId="1" xfId="0" applyFont="1" applyFill="1" applyBorder="1" applyAlignment="1">
      <alignment horizontal="left"/>
    </xf>
    <xf numFmtId="0" fontId="27" fillId="9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left"/>
    </xf>
    <xf numFmtId="2" fontId="27" fillId="11" borderId="1" xfId="0" applyNumberFormat="1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 vertical="top"/>
    </xf>
    <xf numFmtId="0" fontId="0" fillId="0" borderId="0" xfId="0" applyFill="1" applyBorder="1" applyAlignment="1"/>
    <xf numFmtId="0" fontId="9" fillId="0" borderId="2" xfId="0" applyFont="1" applyBorder="1" applyAlignment="1">
      <alignment horizontal="center"/>
    </xf>
    <xf numFmtId="164" fontId="10" fillId="13" borderId="1" xfId="0" applyNumberFormat="1" applyFont="1" applyFill="1" applyBorder="1" applyAlignment="1" applyProtection="1">
      <alignment horizontal="center"/>
      <protection locked="0" hidden="1"/>
    </xf>
    <xf numFmtId="0" fontId="0" fillId="5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0" fillId="0" borderId="0" xfId="0" applyFont="1" applyFill="1" applyBorder="1"/>
    <xf numFmtId="0" fontId="0" fillId="5" borderId="1" xfId="0" applyFill="1" applyBorder="1" applyAlignment="1">
      <alignment horizontal="center"/>
    </xf>
    <xf numFmtId="0" fontId="0" fillId="0" borderId="0" xfId="0" applyAlignment="1"/>
    <xf numFmtId="0" fontId="0" fillId="5" borderId="1" xfId="0" applyFill="1" applyBorder="1"/>
    <xf numFmtId="2" fontId="0" fillId="0" borderId="0" xfId="0" applyNumberFormat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15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0" fillId="6" borderId="3" xfId="0" applyNumberFormat="1" applyFont="1" applyFill="1" applyBorder="1" applyAlignment="1" applyProtection="1">
      <alignment horizontal="center" vertical="center"/>
      <protection locked="0" hidden="1"/>
    </xf>
    <xf numFmtId="164" fontId="10" fillId="0" borderId="3" xfId="0" applyNumberFormat="1" applyFont="1" applyBorder="1" applyAlignment="1" applyProtection="1">
      <alignment horizontal="center" vertical="center"/>
      <protection locked="0" hidden="1"/>
    </xf>
    <xf numFmtId="0" fontId="0" fillId="0" borderId="9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11" fillId="7" borderId="11" xfId="0" applyNumberFormat="1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21" fillId="12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F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449377015235674"/>
          <c:y val="7.42498210450966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79223571629819E-2"/>
          <c:y val="0.1551690821256039"/>
          <c:w val="0.82971128608923883"/>
          <c:h val="0.59315049386942564"/>
        </c:manualLayout>
      </c:layout>
      <c:scatterChart>
        <c:scatterStyle val="lineMarker"/>
        <c:varyColors val="0"/>
        <c:ser>
          <c:idx val="0"/>
          <c:order val="0"/>
          <c:tx>
            <c:v>Coefficiente di esposizione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VENTO!$D$13:$D$23</c:f>
              <c:numCache>
                <c:formatCode>0.00</c:formatCode>
                <c:ptCount val="11"/>
                <c:pt idx="0">
                  <c:v>9.4765053352446085</c:v>
                </c:pt>
                <c:pt idx="1">
                  <c:v>9.4765053352446085</c:v>
                </c:pt>
                <c:pt idx="2">
                  <c:v>10.154318911327746</c:v>
                </c:pt>
                <c:pt idx="3">
                  <c:v>10.722178683469311</c:v>
                </c:pt>
                <c:pt idx="4">
                  <c:v>11.212152090327445</c:v>
                </c:pt>
                <c:pt idx="5">
                  <c:v>11.643885132679655</c:v>
                </c:pt>
                <c:pt idx="6">
                  <c:v>12.030324774173419</c:v>
                </c:pt>
                <c:pt idx="7">
                  <c:v>12.380473811675147</c:v>
                </c:pt>
                <c:pt idx="8">
                  <c:v>12.700856077315134</c:v>
                </c:pt>
                <c:pt idx="9">
                  <c:v>12.996356339574588</c:v>
                </c:pt>
              </c:numCache>
            </c:numRef>
          </c:xVal>
          <c:yVal>
            <c:numRef>
              <c:f>(VENTO!$A$18,VENTO!$B$14:$B$23)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9-43BF-BDB0-41E51256D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745168"/>
        <c:axId val="146728912"/>
      </c:scatterChart>
      <c:valAx>
        <c:axId val="15777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ce [z]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28912"/>
        <c:crosses val="autoZero"/>
        <c:crossBetween val="midCat"/>
      </c:valAx>
      <c:valAx>
        <c:axId val="146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z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7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Pressione del vento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826334208223969E-2"/>
          <c:y val="0.13560411008034642"/>
          <c:w val="0.90106255468066487"/>
          <c:h val="0.64754982870474131"/>
        </c:manualLayout>
      </c:layout>
      <c:scatterChart>
        <c:scatterStyle val="lineMarker"/>
        <c:varyColors val="0"/>
        <c:ser>
          <c:idx val="0"/>
          <c:order val="0"/>
          <c:tx>
            <c:v>Pressione sopravento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VENTO!$B$32:$B$41</c:f>
              <c:numCache>
                <c:formatCode>0</c:formatCode>
                <c:ptCount val="10"/>
                <c:pt idx="0">
                  <c:v>3372.7758500049194</c:v>
                </c:pt>
                <c:pt idx="1">
                  <c:v>3372.7758500049194</c:v>
                </c:pt>
                <c:pt idx="2">
                  <c:v>3614.0159674685024</c:v>
                </c:pt>
                <c:pt idx="3">
                  <c:v>3816.1225096919529</c:v>
                </c:pt>
                <c:pt idx="4">
                  <c:v>3990.5085745263787</c:v>
                </c:pt>
                <c:pt idx="5">
                  <c:v>4144.1663552569053</c:v>
                </c:pt>
                <c:pt idx="6">
                  <c:v>4281.7037959279169</c:v>
                </c:pt>
                <c:pt idx="7">
                  <c:v>4406.3250751663791</c:v>
                </c:pt>
                <c:pt idx="8">
                  <c:v>4520.3520851340272</c:v>
                </c:pt>
                <c:pt idx="9">
                  <c:v>4625.5233600883175</c:v>
                </c:pt>
              </c:numCache>
            </c:numRef>
          </c:xVal>
          <c:yVal>
            <c:numRef>
              <c:f>VENTO!$A$32:$A$41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3-4451-90CB-C1EED7CF5FE1}"/>
            </c:ext>
          </c:extLst>
        </c:ser>
        <c:ser>
          <c:idx val="1"/>
          <c:order val="1"/>
          <c:tx>
            <c:v>pressione laterale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VENTO!$C$32:$C$41</c:f>
              <c:numCache>
                <c:formatCode>0</c:formatCode>
                <c:ptCount val="10"/>
                <c:pt idx="0">
                  <c:v>-3891.6644423133689</c:v>
                </c:pt>
                <c:pt idx="1">
                  <c:v>-3891.6644423133689</c:v>
                </c:pt>
                <c:pt idx="2">
                  <c:v>-4170.0184240021181</c:v>
                </c:pt>
                <c:pt idx="3">
                  <c:v>-4403.2182804137919</c:v>
                </c:pt>
                <c:pt idx="4">
                  <c:v>-4604.4329706073595</c:v>
                </c:pt>
                <c:pt idx="5">
                  <c:v>-4781.7304099118146</c:v>
                </c:pt>
                <c:pt idx="6">
                  <c:v>-4940.4274568399032</c:v>
                </c:pt>
                <c:pt idx="7">
                  <c:v>-5084.2212405765913</c:v>
                </c:pt>
                <c:pt idx="8">
                  <c:v>-5215.7908674623395</c:v>
                </c:pt>
                <c:pt idx="9">
                  <c:v>-5337.1423385634425</c:v>
                </c:pt>
              </c:numCache>
            </c:numRef>
          </c:xVal>
          <c:yVal>
            <c:numRef>
              <c:f>VENTO!$A$32:$A$41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63-4451-90CB-C1EED7CF5FE1}"/>
            </c:ext>
          </c:extLst>
        </c:ser>
        <c:ser>
          <c:idx val="2"/>
          <c:order val="2"/>
          <c:tx>
            <c:v>pressione sottovento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VENTO!$D$32:$D$41</c:f>
              <c:numCache>
                <c:formatCode>0</c:formatCode>
                <c:ptCount val="10"/>
                <c:pt idx="0">
                  <c:v>-2032.3136532080923</c:v>
                </c:pt>
                <c:pt idx="1">
                  <c:v>-2032.3136532080923</c:v>
                </c:pt>
                <c:pt idx="2">
                  <c:v>-2177.6762880899946</c:v>
                </c:pt>
                <c:pt idx="3">
                  <c:v>-2299.4584353272026</c:v>
                </c:pt>
                <c:pt idx="4">
                  <c:v>-2404.5372179838432</c:v>
                </c:pt>
                <c:pt idx="5">
                  <c:v>-2497.1258807317249</c:v>
                </c:pt>
                <c:pt idx="6">
                  <c:v>-2580.001005238616</c:v>
                </c:pt>
                <c:pt idx="7">
                  <c:v>-2655.0933145233307</c:v>
                </c:pt>
                <c:pt idx="8">
                  <c:v>-2723.8018974525548</c:v>
                </c:pt>
                <c:pt idx="9">
                  <c:v>-2787.1743323609089</c:v>
                </c:pt>
              </c:numCache>
            </c:numRef>
          </c:xVal>
          <c:yVal>
            <c:numRef>
              <c:f>VENTO!$A$32:$A$41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63-4451-90CB-C1EED7CF5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458784"/>
        <c:axId val="1307720080"/>
      </c:scatterChart>
      <c:valAx>
        <c:axId val="130745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 [N/mm2]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20080"/>
        <c:crosses val="autoZero"/>
        <c:crossBetween val="midCat"/>
      </c:valAx>
      <c:valAx>
        <c:axId val="130772008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z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high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45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ADRS!$S$3:$S$43</c:f>
              <c:numCache>
                <c:formatCode>0.0000</c:formatCode>
                <c:ptCount val="41"/>
                <c:pt idx="0">
                  <c:v>0</c:v>
                </c:pt>
                <c:pt idx="1">
                  <c:v>3.8560981214736496E-4</c:v>
                </c:pt>
                <c:pt idx="2">
                  <c:v>2.31365887288419E-3</c:v>
                </c:pt>
                <c:pt idx="3">
                  <c:v>2.5553793491146252E-3</c:v>
                </c:pt>
                <c:pt idx="4">
                  <c:v>2.7513697941860377E-3</c:v>
                </c:pt>
                <c:pt idx="5">
                  <c:v>2.9134859361024429E-3</c:v>
                </c:pt>
                <c:pt idx="6">
                  <c:v>3.0498112861063703E-3</c:v>
                </c:pt>
                <c:pt idx="7">
                  <c:v>3.1660468821598712E-3</c:v>
                </c:pt>
                <c:pt idx="8">
                  <c:v>3.2663287930057333E-3</c:v>
                </c:pt>
                <c:pt idx="9">
                  <c:v>3.3537306247311037E-3</c:v>
                </c:pt>
                <c:pt idx="10">
                  <c:v>3.4305840875069301E-3</c:v>
                </c:pt>
                <c:pt idx="11">
                  <c:v>3.4986901017664248E-3</c:v>
                </c:pt>
                <c:pt idx="12">
                  <c:v>3.5594617015873367E-3</c:v>
                </c:pt>
                <c:pt idx="13">
                  <c:v>3.6140231287282603E-3</c:v>
                </c:pt>
                <c:pt idx="14">
                  <c:v>3.6632800245201716E-3</c:v>
                </c:pt>
                <c:pt idx="15">
                  <c:v>3.7079700983674432E-3</c:v>
                </c:pt>
                <c:pt idx="16">
                  <c:v>3.7487003275268119E-3</c:v>
                </c:pt>
                <c:pt idx="17">
                  <c:v>3.7859746879324533E-3</c:v>
                </c:pt>
                <c:pt idx="18">
                  <c:v>3.8202151135959313E-3</c:v>
                </c:pt>
                <c:pt idx="19">
                  <c:v>3.8517775381967808E-3</c:v>
                </c:pt>
                <c:pt idx="20">
                  <c:v>3.8809643144058457E-3</c:v>
                </c:pt>
                <c:pt idx="21">
                  <c:v>3.9080339305776627E-3</c:v>
                </c:pt>
                <c:pt idx="22">
                  <c:v>3.9332086869517911E-3</c:v>
                </c:pt>
                <c:pt idx="23">
                  <c:v>3.9566808143746135E-3</c:v>
                </c:pt>
                <c:pt idx="24">
                  <c:v>3.9566808143746118E-3</c:v>
                </c:pt>
                <c:pt idx="25">
                  <c:v>3.9566808143746118E-3</c:v>
                </c:pt>
                <c:pt idx="26">
                  <c:v>3.9566808143746118E-3</c:v>
                </c:pt>
                <c:pt idx="27">
                  <c:v>3.9566808143746118E-3</c:v>
                </c:pt>
                <c:pt idx="28">
                  <c:v>3.9566808143746118E-3</c:v>
                </c:pt>
                <c:pt idx="29">
                  <c:v>3.9566808143746118E-3</c:v>
                </c:pt>
                <c:pt idx="30">
                  <c:v>3.9566808143746118E-3</c:v>
                </c:pt>
                <c:pt idx="31">
                  <c:v>3.9566808143746118E-3</c:v>
                </c:pt>
                <c:pt idx="32">
                  <c:v>3.9566808143746118E-3</c:v>
                </c:pt>
                <c:pt idx="33">
                  <c:v>3.9566808143746118E-3</c:v>
                </c:pt>
                <c:pt idx="34">
                  <c:v>3.9566808143746118E-3</c:v>
                </c:pt>
                <c:pt idx="35">
                  <c:v>3.9566808143746118E-3</c:v>
                </c:pt>
                <c:pt idx="36">
                  <c:v>3.9566808143746118E-3</c:v>
                </c:pt>
                <c:pt idx="37">
                  <c:v>3.9566808143746118E-3</c:v>
                </c:pt>
                <c:pt idx="38">
                  <c:v>3.9566808143746118E-3</c:v>
                </c:pt>
                <c:pt idx="39">
                  <c:v>3.9566808143746118E-3</c:v>
                </c:pt>
                <c:pt idx="40">
                  <c:v>3.9566808143746118E-3</c:v>
                </c:pt>
              </c:numCache>
            </c:numRef>
          </c:xVal>
          <c:yVal>
            <c:numRef>
              <c:f>ADRS!$R$3:$R$43</c:f>
              <c:numCache>
                <c:formatCode>0.0000</c:formatCode>
                <c:ptCount val="41"/>
                <c:pt idx="0">
                  <c:v>0.23398447716366794</c:v>
                </c:pt>
                <c:pt idx="1">
                  <c:v>0.42099060003690736</c:v>
                </c:pt>
                <c:pt idx="2">
                  <c:v>0.28066040002460491</c:v>
                </c:pt>
                <c:pt idx="3">
                  <c:v>0.203788705123124</c:v>
                </c:pt>
                <c:pt idx="4">
                  <c:v>0.15515808735292594</c:v>
                </c:pt>
                <c:pt idx="5">
                  <c:v>0.12229403818481303</c:v>
                </c:pt>
                <c:pt idx="6">
                  <c:v>9.8980840769113579E-2</c:v>
                </c:pt>
                <c:pt idx="7">
                  <c:v>8.181367882312654E-2</c:v>
                </c:pt>
                <c:pt idx="8">
                  <c:v>6.8790919405859949E-2</c:v>
                </c:pt>
                <c:pt idx="9">
                  <c:v>5.8669306386903965E-2</c:v>
                </c:pt>
                <c:pt idx="10">
                  <c:v>5.0641755937094503E-2</c:v>
                </c:pt>
                <c:pt idx="11">
                  <c:v>4.4164945993137777E-2</c:v>
                </c:pt>
                <c:pt idx="12">
                  <c:v>3.8861799698113458E-2</c:v>
                </c:pt>
                <c:pt idx="13">
                  <c:v>3.4463736142700672E-2</c:v>
                </c:pt>
                <c:pt idx="14">
                  <c:v>3.077511966524547E-2</c:v>
                </c:pt>
                <c:pt idx="15">
                  <c:v>2.7650636185071107E-2</c:v>
                </c:pt>
                <c:pt idx="16">
                  <c:v>2.4980475822572519E-2</c:v>
                </c:pt>
                <c:pt idx="17">
                  <c:v>2.2680380604726068E-2</c:v>
                </c:pt>
                <c:pt idx="18">
                  <c:v>2.0684809333707331E-2</c:v>
                </c:pt>
                <c:pt idx="19">
                  <c:v>1.8942149242567045E-2</c:v>
                </c:pt>
                <c:pt idx="20">
                  <c:v>1.7411301316755799E-2</c:v>
                </c:pt>
                <c:pt idx="21">
                  <c:v>1.6059205808378718E-2</c:v>
                </c:pt>
                <c:pt idx="22">
                  <c:v>1.4859022772924812E-2</c:v>
                </c:pt>
                <c:pt idx="23">
                  <c:v>1.3788776364223656E-2</c:v>
                </c:pt>
                <c:pt idx="24">
                  <c:v>1.2936517025469522E-2</c:v>
                </c:pt>
                <c:pt idx="25">
                  <c:v>1.2160898186153476E-2</c:v>
                </c:pt>
                <c:pt idx="26">
                  <c:v>1.1452998586926033E-2</c:v>
                </c:pt>
                <c:pt idx="27">
                  <c:v>1.0805158264821819E-2</c:v>
                </c:pt>
                <c:pt idx="28">
                  <c:v>1.0210770462728041E-2</c:v>
                </c:pt>
                <c:pt idx="29">
                  <c:v>9.664112517605284E-3</c:v>
                </c:pt>
                <c:pt idx="30">
                  <c:v>9.1602076009837195E-3</c:v>
                </c:pt>
                <c:pt idx="31">
                  <c:v>8.6947110427755166E-3</c:v>
                </c:pt>
                <c:pt idx="32">
                  <c:v>8.263816366910124E-3</c:v>
                </c:pt>
                <c:pt idx="33">
                  <c:v>7.8641772270130559E-3</c:v>
                </c:pt>
                <c:pt idx="34">
                  <c:v>7.492842239982078E-3</c:v>
                </c:pt>
                <c:pt idx="35">
                  <c:v>7.1472003382854945E-3</c:v>
                </c:pt>
                <c:pt idx="36">
                  <c:v>6.8249347443857895E-3</c:v>
                </c:pt>
                <c:pt idx="37">
                  <c:v>6.5239840469123282E-3</c:v>
                </c:pt>
                <c:pt idx="38">
                  <c:v>6.2425091532971435E-3</c:v>
                </c:pt>
                <c:pt idx="39">
                  <c:v>5.9788651263859259E-3</c:v>
                </c:pt>
                <c:pt idx="40">
                  <c:v>5.7315770972071111E-3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9-436F-8F45-0810DE30DBD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ADRS!$Q$3:$Q$43</c:f>
              <c:numCache>
                <c:formatCode>0.0000</c:formatCode>
                <c:ptCount val="41"/>
                <c:pt idx="0">
                  <c:v>0</c:v>
                </c:pt>
                <c:pt idx="1">
                  <c:v>2.5707320809824331E-4</c:v>
                </c:pt>
                <c:pt idx="2">
                  <c:v>2.31365887288419E-3</c:v>
                </c:pt>
                <c:pt idx="3">
                  <c:v>2.8534999468191671E-3</c:v>
                </c:pt>
                <c:pt idx="4">
                  <c:v>3.3933410207541447E-3</c:v>
                </c:pt>
                <c:pt idx="5">
                  <c:v>3.9331820946891215E-3</c:v>
                </c:pt>
                <c:pt idx="6">
                  <c:v>4.4730231686240986E-3</c:v>
                </c:pt>
                <c:pt idx="7">
                  <c:v>5.0128642425590758E-3</c:v>
                </c:pt>
                <c:pt idx="8">
                  <c:v>5.5527053164940538E-3</c:v>
                </c:pt>
                <c:pt idx="9">
                  <c:v>6.092546390429031E-3</c:v>
                </c:pt>
                <c:pt idx="10">
                  <c:v>6.6323874643640099E-3</c:v>
                </c:pt>
                <c:pt idx="11">
                  <c:v>7.172228538298988E-3</c:v>
                </c:pt>
                <c:pt idx="12">
                  <c:v>7.712069612233966E-3</c:v>
                </c:pt>
                <c:pt idx="13">
                  <c:v>8.2519106861689423E-3</c:v>
                </c:pt>
                <c:pt idx="14">
                  <c:v>8.7917517601039212E-3</c:v>
                </c:pt>
                <c:pt idx="15">
                  <c:v>9.3315928340388984E-3</c:v>
                </c:pt>
                <c:pt idx="16">
                  <c:v>9.8714339079738773E-3</c:v>
                </c:pt>
                <c:pt idx="17">
                  <c:v>1.0411274981908854E-2</c:v>
                </c:pt>
                <c:pt idx="18">
                  <c:v>1.0951116055843832E-2</c:v>
                </c:pt>
                <c:pt idx="19">
                  <c:v>1.1490957129778811E-2</c:v>
                </c:pt>
                <c:pt idx="20">
                  <c:v>1.2030798203713788E-2</c:v>
                </c:pt>
                <c:pt idx="21">
                  <c:v>1.2570639277648765E-2</c:v>
                </c:pt>
                <c:pt idx="22">
                  <c:v>1.3110480351583744E-2</c:v>
                </c:pt>
                <c:pt idx="23">
                  <c:v>1.3650321425518717E-2</c:v>
                </c:pt>
                <c:pt idx="24">
                  <c:v>1.3650321425518714E-2</c:v>
                </c:pt>
                <c:pt idx="25">
                  <c:v>1.3650321425518714E-2</c:v>
                </c:pt>
                <c:pt idx="26">
                  <c:v>1.3650321425518714E-2</c:v>
                </c:pt>
                <c:pt idx="27">
                  <c:v>1.3650321425518714E-2</c:v>
                </c:pt>
                <c:pt idx="28">
                  <c:v>1.3650321425518714E-2</c:v>
                </c:pt>
                <c:pt idx="29">
                  <c:v>1.3650321425518714E-2</c:v>
                </c:pt>
                <c:pt idx="30">
                  <c:v>1.3650321425518714E-2</c:v>
                </c:pt>
                <c:pt idx="31">
                  <c:v>1.3650321425518714E-2</c:v>
                </c:pt>
                <c:pt idx="32">
                  <c:v>1.3650321425518714E-2</c:v>
                </c:pt>
                <c:pt idx="33">
                  <c:v>1.3650321425518714E-2</c:v>
                </c:pt>
                <c:pt idx="34">
                  <c:v>1.3650321425518714E-2</c:v>
                </c:pt>
                <c:pt idx="35">
                  <c:v>1.3650321425518714E-2</c:v>
                </c:pt>
                <c:pt idx="36">
                  <c:v>1.3650321425518714E-2</c:v>
                </c:pt>
                <c:pt idx="37">
                  <c:v>1.3650321425518714E-2</c:v>
                </c:pt>
                <c:pt idx="38">
                  <c:v>1.3650321425518714E-2</c:v>
                </c:pt>
                <c:pt idx="39">
                  <c:v>1.3650321425518714E-2</c:v>
                </c:pt>
                <c:pt idx="40">
                  <c:v>1.3650321425518714E-2</c:v>
                </c:pt>
              </c:numCache>
            </c:numRef>
          </c:xVal>
          <c:yVal>
            <c:numRef>
              <c:f>ADRS!$P$3:$P$43</c:f>
              <c:numCache>
                <c:formatCode>0.000</c:formatCode>
                <c:ptCount val="41"/>
                <c:pt idx="0">
                  <c:v>0.23398447716366794</c:v>
                </c:pt>
                <c:pt idx="1">
                  <c:v>0.56132080004920981</c:v>
                </c:pt>
                <c:pt idx="2">
                  <c:v>0.56132080004920981</c:v>
                </c:pt>
                <c:pt idx="3">
                  <c:v>0.45512699273605711</c:v>
                </c:pt>
                <c:pt idx="4">
                  <c:v>0.38272158372095449</c:v>
                </c:pt>
                <c:pt idx="5">
                  <c:v>0.33019189508716501</c:v>
                </c:pt>
                <c:pt idx="6">
                  <c:v>0.29034163262959078</c:v>
                </c:pt>
                <c:pt idx="7">
                  <c:v>0.25907441070163817</c:v>
                </c:pt>
                <c:pt idx="8">
                  <c:v>0.23388686694944247</c:v>
                </c:pt>
                <c:pt idx="9">
                  <c:v>0.2131628987853883</c:v>
                </c:pt>
                <c:pt idx="10">
                  <c:v>0.19581257225188989</c:v>
                </c:pt>
                <c:pt idx="11">
                  <c:v>0.1810741030675963</c:v>
                </c:pt>
                <c:pt idx="12">
                  <c:v>0.16839900504893252</c:v>
                </c:pt>
                <c:pt idx="13">
                  <c:v>0.15738232016314357</c:v>
                </c:pt>
                <c:pt idx="14">
                  <c:v>0.14771855313996665</c:v>
                </c:pt>
                <c:pt idx="15">
                  <c:v>0.13917290141839603</c:v>
                </c:pt>
                <c:pt idx="16">
                  <c:v>0.13156192521526663</c:v>
                </c:pt>
                <c:pt idx="17">
                  <c:v>0.12474023131893068</c:v>
                </c:pt>
                <c:pt idx="18">
                  <c:v>0.11859109545965225</c:v>
                </c:pt>
                <c:pt idx="19">
                  <c:v>0.11301972802619839</c:v>
                </c:pt>
                <c:pt idx="20">
                  <c:v>0.10794835285055393</c:v>
                </c:pt>
                <c:pt idx="21">
                  <c:v>0.10331255403036421</c:v>
                </c:pt>
                <c:pt idx="22">
                  <c:v>9.9058525297391065E-2</c:v>
                </c:pt>
                <c:pt idx="23">
                  <c:v>9.5140972075604846E-2</c:v>
                </c:pt>
                <c:pt idx="24">
                  <c:v>8.926048059414439E-2</c:v>
                </c:pt>
                <c:pt idx="25">
                  <c:v>8.3908799749994614E-2</c:v>
                </c:pt>
                <c:pt idx="26">
                  <c:v>7.9024373879024876E-2</c:v>
                </c:pt>
                <c:pt idx="27">
                  <c:v>7.4554350117185572E-2</c:v>
                </c:pt>
                <c:pt idx="28">
                  <c:v>7.0453142599757809E-2</c:v>
                </c:pt>
                <c:pt idx="29">
                  <c:v>6.6681265609514082E-2</c:v>
                </c:pt>
                <c:pt idx="30">
                  <c:v>6.3204379602033206E-2</c:v>
                </c:pt>
                <c:pt idx="31">
                  <c:v>5.9992506853071531E-2</c:v>
                </c:pt>
                <c:pt idx="32">
                  <c:v>5.7019383115246354E-2</c:v>
                </c:pt>
                <c:pt idx="33">
                  <c:v>5.4261918983191999E-2</c:v>
                </c:pt>
                <c:pt idx="34">
                  <c:v>5.1699750252725496E-2</c:v>
                </c:pt>
                <c:pt idx="35">
                  <c:v>4.9314860857985858E-2</c:v>
                </c:pt>
                <c:pt idx="36">
                  <c:v>4.7091265300247161E-2</c:v>
                </c:pt>
                <c:pt idx="37">
                  <c:v>4.5014740077984013E-2</c:v>
                </c:pt>
                <c:pt idx="38">
                  <c:v>4.3072595663856815E-2</c:v>
                </c:pt>
                <c:pt idx="39">
                  <c:v>4.1253482180564606E-2</c:v>
                </c:pt>
                <c:pt idx="40">
                  <c:v>3.9547223201720286E-2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F-4789-99C7-9BCB3C08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68752"/>
        <c:axId val="1361177072"/>
      </c:scatterChart>
      <c:valAx>
        <c:axId val="14092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77072"/>
        <c:crosses val="autoZero"/>
        <c:crossBetween val="midCat"/>
      </c:valAx>
      <c:valAx>
        <c:axId val="13611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6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SPETTRI DI RISPOSTA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1"/>
          <c:tx>
            <c:v>SLD(q=1,5)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SPETTRI!$A$3:$A$47</c:f>
              <c:numCache>
                <c:formatCode>0.000</c:formatCode>
                <c:ptCount val="45"/>
                <c:pt idx="0">
                  <c:v>0</c:v>
                </c:pt>
                <c:pt idx="1">
                  <c:v>0.12586752296525536</c:v>
                </c:pt>
                <c:pt idx="2">
                  <c:v>0.37760256889576604</c:v>
                </c:pt>
                <c:pt idx="3">
                  <c:v>0.45077047587881275</c:v>
                </c:pt>
                <c:pt idx="4">
                  <c:v>0.52393838286185945</c:v>
                </c:pt>
                <c:pt idx="5">
                  <c:v>0.59710628984490621</c:v>
                </c:pt>
                <c:pt idx="6">
                  <c:v>0.67027419682795297</c:v>
                </c:pt>
                <c:pt idx="7">
                  <c:v>0.74344210381099973</c:v>
                </c:pt>
                <c:pt idx="8">
                  <c:v>0.81661001079404649</c:v>
                </c:pt>
                <c:pt idx="9">
                  <c:v>0.88977791777709325</c:v>
                </c:pt>
                <c:pt idx="10">
                  <c:v>0.96294582476014001</c:v>
                </c:pt>
                <c:pt idx="11">
                  <c:v>1.0361137317431868</c:v>
                </c:pt>
                <c:pt idx="12">
                  <c:v>1.1092816387262334</c:v>
                </c:pt>
                <c:pt idx="13">
                  <c:v>1.1824495457092801</c:v>
                </c:pt>
                <c:pt idx="14">
                  <c:v>1.2556174526923267</c:v>
                </c:pt>
                <c:pt idx="15">
                  <c:v>1.3287853596753734</c:v>
                </c:pt>
                <c:pt idx="16">
                  <c:v>1.40195326665842</c:v>
                </c:pt>
                <c:pt idx="17">
                  <c:v>1.4751211736414667</c:v>
                </c:pt>
                <c:pt idx="18">
                  <c:v>1.5482890806245133</c:v>
                </c:pt>
                <c:pt idx="19">
                  <c:v>1.62145698760756</c:v>
                </c:pt>
                <c:pt idx="20">
                  <c:v>1.6946248945906066</c:v>
                </c:pt>
                <c:pt idx="21">
                  <c:v>1.7677928015736533</c:v>
                </c:pt>
                <c:pt idx="22">
                  <c:v>1.8409607085566999</c:v>
                </c:pt>
                <c:pt idx="23">
                  <c:v>1.914128615539747</c:v>
                </c:pt>
                <c:pt idx="24">
                  <c:v>2.0134558243235685</c:v>
                </c:pt>
                <c:pt idx="25">
                  <c:v>2.11278303310739</c:v>
                </c:pt>
                <c:pt idx="26">
                  <c:v>2.2121102418912115</c:v>
                </c:pt>
                <c:pt idx="27">
                  <c:v>2.311437450675033</c:v>
                </c:pt>
                <c:pt idx="28">
                  <c:v>2.4107646594588545</c:v>
                </c:pt>
                <c:pt idx="29">
                  <c:v>2.510091868242676</c:v>
                </c:pt>
                <c:pt idx="30">
                  <c:v>2.6094190770264976</c:v>
                </c:pt>
                <c:pt idx="31">
                  <c:v>2.7087462858103191</c:v>
                </c:pt>
                <c:pt idx="32">
                  <c:v>2.8080734945941406</c:v>
                </c:pt>
                <c:pt idx="33">
                  <c:v>2.9074007033779621</c:v>
                </c:pt>
                <c:pt idx="34">
                  <c:v>3.0067279121617836</c:v>
                </c:pt>
                <c:pt idx="35">
                  <c:v>3.1060551209456051</c:v>
                </c:pt>
                <c:pt idx="36">
                  <c:v>3.2053823297294266</c:v>
                </c:pt>
                <c:pt idx="37">
                  <c:v>3.3047095385132481</c:v>
                </c:pt>
                <c:pt idx="38">
                  <c:v>3.4040367472970696</c:v>
                </c:pt>
                <c:pt idx="39">
                  <c:v>3.5033639560808911</c:v>
                </c:pt>
                <c:pt idx="40">
                  <c:v>3.6026911648647126</c:v>
                </c:pt>
                <c:pt idx="41">
                  <c:v>3.7020183736485341</c:v>
                </c:pt>
                <c:pt idx="42">
                  <c:v>3.8013455824323557</c:v>
                </c:pt>
                <c:pt idx="43">
                  <c:v>3.9006727912161772</c:v>
                </c:pt>
                <c:pt idx="44">
                  <c:v>4</c:v>
                </c:pt>
              </c:numCache>
              <c:extLst xmlns:c15="http://schemas.microsoft.com/office/drawing/2012/chart"/>
            </c:numRef>
          </c:xVal>
          <c:yVal>
            <c:numRef>
              <c:f>SPETTRI!$C$3:$C$47</c:f>
              <c:numCache>
                <c:formatCode>0.0000</c:formatCode>
                <c:ptCount val="45"/>
                <c:pt idx="0">
                  <c:v>9.4238584661924057E-2</c:v>
                </c:pt>
                <c:pt idx="1">
                  <c:v>0.15352975982965955</c:v>
                </c:pt>
                <c:pt idx="2">
                  <c:v>0.15352975982965955</c:v>
                </c:pt>
                <c:pt idx="3">
                  <c:v>0.12860920316621452</c:v>
                </c:pt>
                <c:pt idx="4">
                  <c:v>0.11064894959015542</c:v>
                </c:pt>
                <c:pt idx="5">
                  <c:v>9.7090304857929965E-2</c:v>
                </c:pt>
                <c:pt idx="6">
                  <c:v>8.6491814824418936E-2</c:v>
                </c:pt>
                <c:pt idx="7">
                  <c:v>7.7979484100308069E-2</c:v>
                </c:pt>
                <c:pt idx="8">
                  <c:v>7.0992555745499675E-2</c:v>
                </c:pt>
                <c:pt idx="9">
                  <c:v>6.5154720695319468E-2</c:v>
                </c:pt>
                <c:pt idx="10">
                  <c:v>6.0204042868216373E-2</c:v>
                </c:pt>
                <c:pt idx="11">
                  <c:v>5.5952575414760349E-2</c:v>
                </c:pt>
                <c:pt idx="12">
                  <c:v>5.2261959172243196E-2</c:v>
                </c:pt>
                <c:pt idx="13">
                  <c:v>4.9028080668638424E-2</c:v>
                </c:pt>
                <c:pt idx="14">
                  <c:v>4.6171094220872587E-2</c:v>
                </c:pt>
                <c:pt idx="15">
                  <c:v>4.3628740557310537E-2</c:v>
                </c:pt>
                <c:pt idx="16">
                  <c:v>4.1351757645823418E-2</c:v>
                </c:pt>
                <c:pt idx="17">
                  <c:v>3.9300657294829143E-2</c:v>
                </c:pt>
                <c:pt idx="18">
                  <c:v>3.7443415728441051E-2</c:v>
                </c:pt>
                <c:pt idx="19">
                  <c:v>3.5753789435492976E-2</c:v>
                </c:pt>
                <c:pt idx="20">
                  <c:v>3.4210067312645497E-2</c:v>
                </c:pt>
                <c:pt idx="21">
                  <c:v>3.2794132695880898E-2</c:v>
                </c:pt>
                <c:pt idx="22">
                  <c:v>3.149074906605695E-2</c:v>
                </c:pt>
                <c:pt idx="23">
                  <c:v>3.0287009578654728E-2</c:v>
                </c:pt>
                <c:pt idx="24">
                  <c:v>2.7372496919097978E-2</c:v>
                </c:pt>
                <c:pt idx="25">
                  <c:v>2.4859295996846012E-2</c:v>
                </c:pt>
                <c:pt idx="26">
                  <c:v>2.2676973554802374E-2</c:v>
                </c:pt>
                <c:pt idx="27">
                  <c:v>2.0769896647221606E-2</c:v>
                </c:pt>
                <c:pt idx="28">
                  <c:v>1.9093651609500047E-2</c:v>
                </c:pt>
                <c:pt idx="29">
                  <c:v>1.7612434585512631E-2</c:v>
                </c:pt>
                <c:pt idx="30">
                  <c:v>1.6297123640046044E-2</c:v>
                </c:pt>
                <c:pt idx="31">
                  <c:v>1.5123836335898781E-2</c:v>
                </c:pt>
                <c:pt idx="32">
                  <c:v>1.4072837930984286E-2</c:v>
                </c:pt>
                <c:pt idx="33">
                  <c:v>1.3127706069954196E-2</c:v>
                </c:pt>
                <c:pt idx="34">
                  <c:v>1.2274685346469387E-2</c:v>
                </c:pt>
                <c:pt idx="35">
                  <c:v>1.1502183967045068E-2</c:v>
                </c:pt>
                <c:pt idx="36">
                  <c:v>1.0800377854521254E-2</c:v>
                </c:pt>
                <c:pt idx="37">
                  <c:v>1.0160896758837081E-2</c:v>
                </c:pt>
                <c:pt idx="38">
                  <c:v>9.5765735203720247E-3</c:v>
                </c:pt>
                <c:pt idx="39">
                  <c:v>9.0412423714353873E-3</c:v>
                </c:pt>
                <c:pt idx="40">
                  <c:v>8.5495756136729044E-3</c:v>
                </c:pt>
                <c:pt idx="41">
                  <c:v>8.0969505480475695E-3</c:v>
                </c:pt>
                <c:pt idx="42">
                  <c:v>7.6793404185575426E-3</c:v>
                </c:pt>
                <c:pt idx="43">
                  <c:v>7.2932245418354941E-3</c:v>
                </c:pt>
                <c:pt idx="44">
                  <c:v>6.9355138598984041E-3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57A-4646-BF70-CA3446D6DEBE}"/>
            </c:ext>
          </c:extLst>
        </c:ser>
        <c:ser>
          <c:idx val="1"/>
          <c:order val="3"/>
          <c:tx>
            <c:v>SLV(q=3.12)</c:v>
          </c:tx>
          <c:spPr>
            <a:ln w="3492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SPETTRI!$H$3:$H$47</c:f>
              <c:numCache>
                <c:formatCode>0.000</c:formatCode>
                <c:ptCount val="45"/>
                <c:pt idx="0">
                  <c:v>0</c:v>
                </c:pt>
                <c:pt idx="1">
                  <c:v>0.13446297296243795</c:v>
                </c:pt>
                <c:pt idx="2">
                  <c:v>0.40338891888731387</c:v>
                </c:pt>
                <c:pt idx="3">
                  <c:v>0.49751079214088112</c:v>
                </c:pt>
                <c:pt idx="4">
                  <c:v>0.59163266539444836</c:v>
                </c:pt>
                <c:pt idx="5">
                  <c:v>0.68575453864801561</c:v>
                </c:pt>
                <c:pt idx="6">
                  <c:v>0.77987641190158286</c:v>
                </c:pt>
                <c:pt idx="7">
                  <c:v>0.8739982851551501</c:v>
                </c:pt>
                <c:pt idx="8">
                  <c:v>0.96812015840871735</c:v>
                </c:pt>
                <c:pt idx="9">
                  <c:v>1.0622420316622847</c:v>
                </c:pt>
                <c:pt idx="10">
                  <c:v>1.1563639049158521</c:v>
                </c:pt>
                <c:pt idx="11">
                  <c:v>1.2504857781694194</c:v>
                </c:pt>
                <c:pt idx="12">
                  <c:v>1.3446076514229868</c:v>
                </c:pt>
                <c:pt idx="13">
                  <c:v>1.4387295246765541</c:v>
                </c:pt>
                <c:pt idx="14">
                  <c:v>1.5328513979301215</c:v>
                </c:pt>
                <c:pt idx="15">
                  <c:v>1.6269732711836888</c:v>
                </c:pt>
                <c:pt idx="16">
                  <c:v>1.7210951444372562</c:v>
                </c:pt>
                <c:pt idx="17">
                  <c:v>1.8152170176908236</c:v>
                </c:pt>
                <c:pt idx="18">
                  <c:v>1.9093388909443909</c:v>
                </c:pt>
                <c:pt idx="19">
                  <c:v>2.0034607641979583</c:v>
                </c:pt>
                <c:pt idx="20">
                  <c:v>2.0975826374515254</c:v>
                </c:pt>
                <c:pt idx="21">
                  <c:v>2.1917045107050925</c:v>
                </c:pt>
                <c:pt idx="22">
                  <c:v>2.2858263839586597</c:v>
                </c:pt>
                <c:pt idx="23">
                  <c:v>2.3799482572122264</c:v>
                </c:pt>
                <c:pt idx="24">
                  <c:v>2.4570935782973584</c:v>
                </c:pt>
                <c:pt idx="25">
                  <c:v>2.5342388993824905</c:v>
                </c:pt>
                <c:pt idx="26">
                  <c:v>2.6113842204676225</c:v>
                </c:pt>
                <c:pt idx="27">
                  <c:v>2.6885295415527546</c:v>
                </c:pt>
                <c:pt idx="28">
                  <c:v>2.7656748626378866</c:v>
                </c:pt>
                <c:pt idx="29">
                  <c:v>2.8428201837230187</c:v>
                </c:pt>
                <c:pt idx="30">
                  <c:v>2.9199655048081508</c:v>
                </c:pt>
                <c:pt idx="31">
                  <c:v>2.9971108258932828</c:v>
                </c:pt>
                <c:pt idx="32">
                  <c:v>3.0742561469784149</c:v>
                </c:pt>
                <c:pt idx="33">
                  <c:v>3.1514014680635469</c:v>
                </c:pt>
                <c:pt idx="34">
                  <c:v>3.228546789148679</c:v>
                </c:pt>
                <c:pt idx="35">
                  <c:v>3.305692110233811</c:v>
                </c:pt>
                <c:pt idx="36">
                  <c:v>3.3828374313189431</c:v>
                </c:pt>
                <c:pt idx="37">
                  <c:v>3.4599827524040752</c:v>
                </c:pt>
                <c:pt idx="38">
                  <c:v>3.5371280734892072</c:v>
                </c:pt>
                <c:pt idx="39">
                  <c:v>3.6142733945743393</c:v>
                </c:pt>
                <c:pt idx="40">
                  <c:v>3.6914187156594713</c:v>
                </c:pt>
                <c:pt idx="41">
                  <c:v>3.7685640367446034</c:v>
                </c:pt>
                <c:pt idx="42">
                  <c:v>3.8457093578297354</c:v>
                </c:pt>
                <c:pt idx="43">
                  <c:v>3.9228546789148675</c:v>
                </c:pt>
                <c:pt idx="44">
                  <c:v>4</c:v>
                </c:pt>
              </c:numCache>
              <c:extLst xmlns:c15="http://schemas.microsoft.com/office/drawing/2012/chart"/>
            </c:numRef>
          </c:xVal>
          <c:yVal>
            <c:numRef>
              <c:f>SPETTRI!$J$3:$J$47</c:f>
              <c:numCache>
                <c:formatCode>0.0000</c:formatCode>
                <c:ptCount val="45"/>
                <c:pt idx="0">
                  <c:v>0.23398447716366794</c:v>
                </c:pt>
                <c:pt idx="1">
                  <c:v>0.1799105128362852</c:v>
                </c:pt>
                <c:pt idx="2">
                  <c:v>0.1799105128362852</c:v>
                </c:pt>
                <c:pt idx="3">
                  <c:v>0.14587403613335162</c:v>
                </c:pt>
                <c:pt idx="4">
                  <c:v>0.12266717426953669</c:v>
                </c:pt>
                <c:pt idx="5">
                  <c:v>0.10583073560486057</c:v>
                </c:pt>
                <c:pt idx="6">
                  <c:v>9.3058215586407297E-2</c:v>
                </c:pt>
                <c:pt idx="7">
                  <c:v>8.3036670096678894E-2</c:v>
                </c:pt>
                <c:pt idx="8">
                  <c:v>7.4963739406872579E-2</c:v>
                </c:pt>
                <c:pt idx="9">
                  <c:v>6.8321441918393677E-2</c:v>
                </c:pt>
                <c:pt idx="10">
                  <c:v>6.276043982432368E-2</c:v>
                </c:pt>
                <c:pt idx="11">
                  <c:v>5.8036571496024453E-2</c:v>
                </c:pt>
                <c:pt idx="12">
                  <c:v>5.3974040079786061E-2</c:v>
                </c:pt>
                <c:pt idx="13">
                  <c:v>5.0443051334340884E-2</c:v>
                </c:pt>
                <c:pt idx="14">
                  <c:v>4.7345690108963667E-2</c:v>
                </c:pt>
                <c:pt idx="15">
                  <c:v>4.4606699172562825E-2</c:v>
                </c:pt>
                <c:pt idx="16">
                  <c:v>4.216728372284187E-2</c:v>
                </c:pt>
                <c:pt idx="17">
                  <c:v>3.9980843371452142E-2</c:v>
                </c:pt>
                <c:pt idx="18">
                  <c:v>3.8009966493478285E-2</c:v>
                </c:pt>
                <c:pt idx="19">
                  <c:v>3.6224271803268711E-2</c:v>
                </c:pt>
                <c:pt idx="20">
                  <c:v>3.4598831041844205E-2</c:v>
                </c:pt>
                <c:pt idx="21">
                  <c:v>3.3112998086655195E-2</c:v>
                </c:pt>
                <c:pt idx="22">
                  <c:v>3.1749527338907395E-2</c:v>
                </c:pt>
                <c:pt idx="23">
                  <c:v>3.0493901306283603E-2</c:v>
                </c:pt>
                <c:pt idx="24">
                  <c:v>2.8609128395559097E-2</c:v>
                </c:pt>
                <c:pt idx="25">
                  <c:v>2.6893846073716223E-2</c:v>
                </c:pt>
                <c:pt idx="26">
                  <c:v>2.5328324961225921E-2</c:v>
                </c:pt>
                <c:pt idx="27">
                  <c:v>2.3895625037559477E-2</c:v>
                </c:pt>
                <c:pt idx="28">
                  <c:v>2.2581135448640322E-2</c:v>
                </c:pt>
                <c:pt idx="29">
                  <c:v>2.1372200515869896E-2</c:v>
                </c:pt>
                <c:pt idx="30">
                  <c:v>2.0257813975010641E-2</c:v>
                </c:pt>
                <c:pt idx="31">
                  <c:v>1.9228367581112668E-2</c:v>
                </c:pt>
                <c:pt idx="32">
                  <c:v>1.8275443306168704E-2</c:v>
                </c:pt>
                <c:pt idx="33">
                  <c:v>1.7391640699741025E-2</c:v>
                </c:pt>
                <c:pt idx="34">
                  <c:v>1.6570432773309454E-2</c:v>
                </c:pt>
                <c:pt idx="35">
                  <c:v>1.5806045146790338E-2</c:v>
                </c:pt>
                <c:pt idx="36">
                  <c:v>1.5093354262899731E-2</c:v>
                </c:pt>
                <c:pt idx="37">
                  <c:v>1.4427801307046158E-2</c:v>
                </c:pt>
                <c:pt idx="38">
                  <c:v>1.380531912303103E-2</c:v>
                </c:pt>
                <c:pt idx="39">
                  <c:v>1.3222269929668143E-2</c:v>
                </c:pt>
                <c:pt idx="40">
                  <c:v>1.2675392051833425E-2</c:v>
                </c:pt>
                <c:pt idx="41">
                  <c:v>1.2499170788657477E-2</c:v>
                </c:pt>
                <c:pt idx="42">
                  <c:v>1.2499170788657477E-2</c:v>
                </c:pt>
                <c:pt idx="43">
                  <c:v>1.2499170788657477E-2</c:v>
                </c:pt>
                <c:pt idx="44">
                  <c:v>1.2499170788657477E-2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57A-4646-BF70-CA3446D6DEBE}"/>
            </c:ext>
          </c:extLst>
        </c:ser>
        <c:ser>
          <c:idx val="2"/>
          <c:order val="4"/>
          <c:tx>
            <c:v>PUNTO1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T=</a:t>
                    </a:r>
                    <a:fld id="{829B758F-B2F6-499D-A68D-273A8AB816BE}" type="XVALUE">
                      <a:rPr lang="en-US"/>
                      <a:pPr/>
                      <a:t>[VALORE X]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179-451B-8780-1C1C40144B5A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SPETTRI!$M$19</c:f>
              <c:numCache>
                <c:formatCode>0.000</c:formatCode>
                <c:ptCount val="1"/>
                <c:pt idx="0">
                  <c:v>0.72</c:v>
                </c:pt>
              </c:numCache>
              <c:extLst xmlns:c15="http://schemas.microsoft.com/office/drawing/2012/chart"/>
            </c:numRef>
          </c:xVal>
          <c:yVal>
            <c:numRef>
              <c:f>SPETTRI!$M$21</c:f>
              <c:numCache>
                <c:formatCode>General</c:formatCode>
                <c:ptCount val="1"/>
                <c:pt idx="0">
                  <c:v>0.10079709342984902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5DD-43EE-845C-1D61BC7BB7CE}"/>
            </c:ext>
          </c:extLst>
        </c:ser>
        <c:ser>
          <c:idx val="5"/>
          <c:order val="5"/>
          <c:tx>
            <c:v>PUNTO2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00FF00"/>
              </a:solidFill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T=</a:t>
                    </a:r>
                    <a:fld id="{6B942F84-3A68-4826-BA66-70AA5221A511}" type="XVALUE">
                      <a:rPr lang="en-US"/>
                      <a:pPr/>
                      <a:t>[VALORE X]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79-451B-8780-1C1C40144B5A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SPETTRI!$F$19</c:f>
              <c:numCache>
                <c:formatCode>0.000</c:formatCode>
                <c:ptCount val="1"/>
                <c:pt idx="0">
                  <c:v>0.59</c:v>
                </c:pt>
              </c:numCache>
            </c:numRef>
          </c:xVal>
          <c:yVal>
            <c:numRef>
              <c:f>SPETTRI!$F$21</c:f>
              <c:numCache>
                <c:formatCode>General</c:formatCode>
                <c:ptCount val="1"/>
                <c:pt idx="0">
                  <c:v>9.8259714768863457E-2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9-451B-8780-1C1C40144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284303"/>
        <c:axId val="815707343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SLD(q=1)</c:v>
                </c:tx>
                <c:spPr>
                  <a:ln w="28575" cap="rnd">
                    <a:solidFill>
                      <a:srgbClr val="0070C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SPETTRI!$A$3:$A$47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0</c:v>
                      </c:pt>
                      <c:pt idx="1">
                        <c:v>0.12586752296525536</c:v>
                      </c:pt>
                      <c:pt idx="2">
                        <c:v>0.37760256889576604</c:v>
                      </c:pt>
                      <c:pt idx="3">
                        <c:v>0.45077047587881275</c:v>
                      </c:pt>
                      <c:pt idx="4">
                        <c:v>0.52393838286185945</c:v>
                      </c:pt>
                      <c:pt idx="5">
                        <c:v>0.59710628984490621</c:v>
                      </c:pt>
                      <c:pt idx="6">
                        <c:v>0.67027419682795297</c:v>
                      </c:pt>
                      <c:pt idx="7">
                        <c:v>0.74344210381099973</c:v>
                      </c:pt>
                      <c:pt idx="8">
                        <c:v>0.81661001079404649</c:v>
                      </c:pt>
                      <c:pt idx="9">
                        <c:v>0.88977791777709325</c:v>
                      </c:pt>
                      <c:pt idx="10">
                        <c:v>0.96294582476014001</c:v>
                      </c:pt>
                      <c:pt idx="11">
                        <c:v>1.0361137317431868</c:v>
                      </c:pt>
                      <c:pt idx="12">
                        <c:v>1.1092816387262334</c:v>
                      </c:pt>
                      <c:pt idx="13">
                        <c:v>1.1824495457092801</c:v>
                      </c:pt>
                      <c:pt idx="14">
                        <c:v>1.2556174526923267</c:v>
                      </c:pt>
                      <c:pt idx="15">
                        <c:v>1.3287853596753734</c:v>
                      </c:pt>
                      <c:pt idx="16">
                        <c:v>1.40195326665842</c:v>
                      </c:pt>
                      <c:pt idx="17">
                        <c:v>1.4751211736414667</c:v>
                      </c:pt>
                      <c:pt idx="18">
                        <c:v>1.5482890806245133</c:v>
                      </c:pt>
                      <c:pt idx="19">
                        <c:v>1.62145698760756</c:v>
                      </c:pt>
                      <c:pt idx="20">
                        <c:v>1.6946248945906066</c:v>
                      </c:pt>
                      <c:pt idx="21">
                        <c:v>1.7677928015736533</c:v>
                      </c:pt>
                      <c:pt idx="22">
                        <c:v>1.8409607085566999</c:v>
                      </c:pt>
                      <c:pt idx="23">
                        <c:v>1.914128615539747</c:v>
                      </c:pt>
                      <c:pt idx="24">
                        <c:v>2.0134558243235685</c:v>
                      </c:pt>
                      <c:pt idx="25">
                        <c:v>2.11278303310739</c:v>
                      </c:pt>
                      <c:pt idx="26">
                        <c:v>2.2121102418912115</c:v>
                      </c:pt>
                      <c:pt idx="27">
                        <c:v>2.311437450675033</c:v>
                      </c:pt>
                      <c:pt idx="28">
                        <c:v>2.4107646594588545</c:v>
                      </c:pt>
                      <c:pt idx="29">
                        <c:v>2.510091868242676</c:v>
                      </c:pt>
                      <c:pt idx="30">
                        <c:v>2.6094190770264976</c:v>
                      </c:pt>
                      <c:pt idx="31">
                        <c:v>2.7087462858103191</c:v>
                      </c:pt>
                      <c:pt idx="32">
                        <c:v>2.8080734945941406</c:v>
                      </c:pt>
                      <c:pt idx="33">
                        <c:v>2.9074007033779621</c:v>
                      </c:pt>
                      <c:pt idx="34">
                        <c:v>3.0067279121617836</c:v>
                      </c:pt>
                      <c:pt idx="35">
                        <c:v>3.1060551209456051</c:v>
                      </c:pt>
                      <c:pt idx="36">
                        <c:v>3.2053823297294266</c:v>
                      </c:pt>
                      <c:pt idx="37">
                        <c:v>3.3047095385132481</c:v>
                      </c:pt>
                      <c:pt idx="38">
                        <c:v>3.4040367472970696</c:v>
                      </c:pt>
                      <c:pt idx="39">
                        <c:v>3.5033639560808911</c:v>
                      </c:pt>
                      <c:pt idx="40">
                        <c:v>3.6026911648647126</c:v>
                      </c:pt>
                      <c:pt idx="41">
                        <c:v>3.7020183736485341</c:v>
                      </c:pt>
                      <c:pt idx="42">
                        <c:v>3.8013455824323557</c:v>
                      </c:pt>
                      <c:pt idx="43">
                        <c:v>3.9006727912161772</c:v>
                      </c:pt>
                      <c:pt idx="44">
                        <c:v>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SPETTRI!$B$3:$B$47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9.4238584661924057E-2</c:v>
                      </c:pt>
                      <c:pt idx="1">
                        <c:v>0.23029463974448933</c:v>
                      </c:pt>
                      <c:pt idx="2">
                        <c:v>0.23029463974448933</c:v>
                      </c:pt>
                      <c:pt idx="3">
                        <c:v>0.19291380474932179</c:v>
                      </c:pt>
                      <c:pt idx="4">
                        <c:v>0.16597342438523313</c:v>
                      </c:pt>
                      <c:pt idx="5">
                        <c:v>0.14563545728689495</c:v>
                      </c:pt>
                      <c:pt idx="6">
                        <c:v>0.12973772223662841</c:v>
                      </c:pt>
                      <c:pt idx="7">
                        <c:v>0.11696922615046211</c:v>
                      </c:pt>
                      <c:pt idx="8">
                        <c:v>0.10648883361824951</c:v>
                      </c:pt>
                      <c:pt idx="9">
                        <c:v>9.7732081042979202E-2</c:v>
                      </c:pt>
                      <c:pt idx="10">
                        <c:v>9.030606430232456E-2</c:v>
                      </c:pt>
                      <c:pt idx="11">
                        <c:v>8.3928863122140526E-2</c:v>
                      </c:pt>
                      <c:pt idx="12">
                        <c:v>7.8392938758364797E-2</c:v>
                      </c:pt>
                      <c:pt idx="13">
                        <c:v>7.3542121002957636E-2</c:v>
                      </c:pt>
                      <c:pt idx="14">
                        <c:v>6.9256641331308877E-2</c:v>
                      </c:pt>
                      <c:pt idx="15">
                        <c:v>6.5443110835965809E-2</c:v>
                      </c:pt>
                      <c:pt idx="16">
                        <c:v>6.2027636468735131E-2</c:v>
                      </c:pt>
                      <c:pt idx="17">
                        <c:v>5.8950985942243718E-2</c:v>
                      </c:pt>
                      <c:pt idx="18">
                        <c:v>5.6165123592661577E-2</c:v>
                      </c:pt>
                      <c:pt idx="19">
                        <c:v>5.3630684153239461E-2</c:v>
                      </c:pt>
                      <c:pt idx="20">
                        <c:v>5.1315100968968248E-2</c:v>
                      </c:pt>
                      <c:pt idx="21">
                        <c:v>4.9191199043821347E-2</c:v>
                      </c:pt>
                      <c:pt idx="22">
                        <c:v>4.7236123599085425E-2</c:v>
                      </c:pt>
                      <c:pt idx="23">
                        <c:v>4.5430514367982094E-2</c:v>
                      </c:pt>
                      <c:pt idx="24">
                        <c:v>4.1058745378646969E-2</c:v>
                      </c:pt>
                      <c:pt idx="25">
                        <c:v>3.7288943995269018E-2</c:v>
                      </c:pt>
                      <c:pt idx="26">
                        <c:v>3.4015460332203561E-2</c:v>
                      </c:pt>
                      <c:pt idx="27">
                        <c:v>3.1154844970832409E-2</c:v>
                      </c:pt>
                      <c:pt idx="28">
                        <c:v>2.8640477414250073E-2</c:v>
                      </c:pt>
                      <c:pt idx="29">
                        <c:v>2.6418651878268948E-2</c:v>
                      </c:pt>
                      <c:pt idx="30">
                        <c:v>2.4445685460069064E-2</c:v>
                      </c:pt>
                      <c:pt idx="31">
                        <c:v>2.268575450384817E-2</c:v>
                      </c:pt>
                      <c:pt idx="32">
                        <c:v>2.1109256896476428E-2</c:v>
                      </c:pt>
                      <c:pt idx="33">
                        <c:v>1.9691559104931294E-2</c:v>
                      </c:pt>
                      <c:pt idx="34">
                        <c:v>1.8412028019704079E-2</c:v>
                      </c:pt>
                      <c:pt idx="35">
                        <c:v>1.7253275950567602E-2</c:v>
                      </c:pt>
                      <c:pt idx="36">
                        <c:v>1.6200566781781882E-2</c:v>
                      </c:pt>
                      <c:pt idx="37">
                        <c:v>1.524134513825562E-2</c:v>
                      </c:pt>
                      <c:pt idx="38">
                        <c:v>1.4364860280558037E-2</c:v>
                      </c:pt>
                      <c:pt idx="39">
                        <c:v>1.3561863557153081E-2</c:v>
                      </c:pt>
                      <c:pt idx="40">
                        <c:v>1.2824363420509357E-2</c:v>
                      </c:pt>
                      <c:pt idx="41">
                        <c:v>1.2145425822071353E-2</c:v>
                      </c:pt>
                      <c:pt idx="42">
                        <c:v>1.1519010627836314E-2</c:v>
                      </c:pt>
                      <c:pt idx="43">
                        <c:v>1.0939836812753241E-2</c:v>
                      </c:pt>
                      <c:pt idx="44">
                        <c:v>1.0403270789847607E-2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57A-4646-BF70-CA3446D6DEB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SLV(q=1)</c:v>
                </c:tx>
                <c:spPr>
                  <a:ln w="317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SPETTRI!$H$3:$H$47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0</c:v>
                      </c:pt>
                      <c:pt idx="1">
                        <c:v>0.13446297296243795</c:v>
                      </c:pt>
                      <c:pt idx="2">
                        <c:v>0.40338891888731387</c:v>
                      </c:pt>
                      <c:pt idx="3">
                        <c:v>0.49751079214088112</c:v>
                      </c:pt>
                      <c:pt idx="4">
                        <c:v>0.59163266539444836</c:v>
                      </c:pt>
                      <c:pt idx="5">
                        <c:v>0.68575453864801561</c:v>
                      </c:pt>
                      <c:pt idx="6">
                        <c:v>0.77987641190158286</c:v>
                      </c:pt>
                      <c:pt idx="7">
                        <c:v>0.8739982851551501</c:v>
                      </c:pt>
                      <c:pt idx="8">
                        <c:v>0.96812015840871735</c:v>
                      </c:pt>
                      <c:pt idx="9">
                        <c:v>1.0622420316622847</c:v>
                      </c:pt>
                      <c:pt idx="10">
                        <c:v>1.1563639049158521</c:v>
                      </c:pt>
                      <c:pt idx="11">
                        <c:v>1.2504857781694194</c:v>
                      </c:pt>
                      <c:pt idx="12">
                        <c:v>1.3446076514229868</c:v>
                      </c:pt>
                      <c:pt idx="13">
                        <c:v>1.4387295246765541</c:v>
                      </c:pt>
                      <c:pt idx="14">
                        <c:v>1.5328513979301215</c:v>
                      </c:pt>
                      <c:pt idx="15">
                        <c:v>1.6269732711836888</c:v>
                      </c:pt>
                      <c:pt idx="16">
                        <c:v>1.7210951444372562</c:v>
                      </c:pt>
                      <c:pt idx="17">
                        <c:v>1.8152170176908236</c:v>
                      </c:pt>
                      <c:pt idx="18">
                        <c:v>1.9093388909443909</c:v>
                      </c:pt>
                      <c:pt idx="19">
                        <c:v>2.0034607641979583</c:v>
                      </c:pt>
                      <c:pt idx="20">
                        <c:v>2.0975826374515254</c:v>
                      </c:pt>
                      <c:pt idx="21">
                        <c:v>2.1917045107050925</c:v>
                      </c:pt>
                      <c:pt idx="22">
                        <c:v>2.2858263839586597</c:v>
                      </c:pt>
                      <c:pt idx="23">
                        <c:v>2.3799482572122264</c:v>
                      </c:pt>
                      <c:pt idx="24">
                        <c:v>2.4570935782973584</c:v>
                      </c:pt>
                      <c:pt idx="25">
                        <c:v>2.5342388993824905</c:v>
                      </c:pt>
                      <c:pt idx="26">
                        <c:v>2.6113842204676225</c:v>
                      </c:pt>
                      <c:pt idx="27">
                        <c:v>2.6885295415527546</c:v>
                      </c:pt>
                      <c:pt idx="28">
                        <c:v>2.7656748626378866</c:v>
                      </c:pt>
                      <c:pt idx="29">
                        <c:v>2.8428201837230187</c:v>
                      </c:pt>
                      <c:pt idx="30">
                        <c:v>2.9199655048081508</c:v>
                      </c:pt>
                      <c:pt idx="31">
                        <c:v>2.9971108258932828</c:v>
                      </c:pt>
                      <c:pt idx="32">
                        <c:v>3.0742561469784149</c:v>
                      </c:pt>
                      <c:pt idx="33">
                        <c:v>3.1514014680635469</c:v>
                      </c:pt>
                      <c:pt idx="34">
                        <c:v>3.228546789148679</c:v>
                      </c:pt>
                      <c:pt idx="35">
                        <c:v>3.305692110233811</c:v>
                      </c:pt>
                      <c:pt idx="36">
                        <c:v>3.3828374313189431</c:v>
                      </c:pt>
                      <c:pt idx="37">
                        <c:v>3.4599827524040752</c:v>
                      </c:pt>
                      <c:pt idx="38">
                        <c:v>3.5371280734892072</c:v>
                      </c:pt>
                      <c:pt idx="39">
                        <c:v>3.6142733945743393</c:v>
                      </c:pt>
                      <c:pt idx="40">
                        <c:v>3.6914187156594713</c:v>
                      </c:pt>
                      <c:pt idx="41">
                        <c:v>3.7685640367446034</c:v>
                      </c:pt>
                      <c:pt idx="42">
                        <c:v>3.8457093578297354</c:v>
                      </c:pt>
                      <c:pt idx="43">
                        <c:v>3.9228546789148675</c:v>
                      </c:pt>
                      <c:pt idx="44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SPETTRI!$I$3:$I$47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0.23398447716366794</c:v>
                      </c:pt>
                      <c:pt idx="1">
                        <c:v>0.56132080004920981</c:v>
                      </c:pt>
                      <c:pt idx="2">
                        <c:v>0.56132080004920981</c:v>
                      </c:pt>
                      <c:pt idx="3">
                        <c:v>0.45512699273605711</c:v>
                      </c:pt>
                      <c:pt idx="4">
                        <c:v>0.38272158372095449</c:v>
                      </c:pt>
                      <c:pt idx="5">
                        <c:v>0.33019189508716501</c:v>
                      </c:pt>
                      <c:pt idx="6">
                        <c:v>0.29034163262959078</c:v>
                      </c:pt>
                      <c:pt idx="7">
                        <c:v>0.25907441070163817</c:v>
                      </c:pt>
                      <c:pt idx="8">
                        <c:v>0.23388686694944247</c:v>
                      </c:pt>
                      <c:pt idx="9">
                        <c:v>0.2131628987853883</c:v>
                      </c:pt>
                      <c:pt idx="10">
                        <c:v>0.19581257225188989</c:v>
                      </c:pt>
                      <c:pt idx="11">
                        <c:v>0.1810741030675963</c:v>
                      </c:pt>
                      <c:pt idx="12">
                        <c:v>0.16839900504893252</c:v>
                      </c:pt>
                      <c:pt idx="13">
                        <c:v>0.15738232016314357</c:v>
                      </c:pt>
                      <c:pt idx="14">
                        <c:v>0.14771855313996665</c:v>
                      </c:pt>
                      <c:pt idx="15">
                        <c:v>0.13917290141839603</c:v>
                      </c:pt>
                      <c:pt idx="16">
                        <c:v>0.13156192521526663</c:v>
                      </c:pt>
                      <c:pt idx="17">
                        <c:v>0.12474023131893068</c:v>
                      </c:pt>
                      <c:pt idx="18">
                        <c:v>0.11859109545965225</c:v>
                      </c:pt>
                      <c:pt idx="19">
                        <c:v>0.11301972802619839</c:v>
                      </c:pt>
                      <c:pt idx="20">
                        <c:v>0.10794835285055393</c:v>
                      </c:pt>
                      <c:pt idx="21">
                        <c:v>0.10331255403036421</c:v>
                      </c:pt>
                      <c:pt idx="22">
                        <c:v>9.9058525297391065E-2</c:v>
                      </c:pt>
                      <c:pt idx="23">
                        <c:v>9.5140972075604846E-2</c:v>
                      </c:pt>
                      <c:pt idx="24">
                        <c:v>8.926048059414439E-2</c:v>
                      </c:pt>
                      <c:pt idx="25">
                        <c:v>8.3908799749994614E-2</c:v>
                      </c:pt>
                      <c:pt idx="26">
                        <c:v>7.9024373879024876E-2</c:v>
                      </c:pt>
                      <c:pt idx="27">
                        <c:v>7.4554350117185572E-2</c:v>
                      </c:pt>
                      <c:pt idx="28">
                        <c:v>7.0453142599757809E-2</c:v>
                      </c:pt>
                      <c:pt idx="29">
                        <c:v>6.6681265609514082E-2</c:v>
                      </c:pt>
                      <c:pt idx="30">
                        <c:v>6.3204379602033206E-2</c:v>
                      </c:pt>
                      <c:pt idx="31">
                        <c:v>5.9992506853071531E-2</c:v>
                      </c:pt>
                      <c:pt idx="32">
                        <c:v>5.7019383115246354E-2</c:v>
                      </c:pt>
                      <c:pt idx="33">
                        <c:v>5.4261918983191999E-2</c:v>
                      </c:pt>
                      <c:pt idx="34">
                        <c:v>5.1699750252725496E-2</c:v>
                      </c:pt>
                      <c:pt idx="35">
                        <c:v>4.9314860857985858E-2</c:v>
                      </c:pt>
                      <c:pt idx="36">
                        <c:v>4.7091265300247161E-2</c:v>
                      </c:pt>
                      <c:pt idx="37">
                        <c:v>4.5014740077984013E-2</c:v>
                      </c:pt>
                      <c:pt idx="38">
                        <c:v>4.3072595663856815E-2</c:v>
                      </c:pt>
                      <c:pt idx="39">
                        <c:v>4.1253482180564606E-2</c:v>
                      </c:pt>
                      <c:pt idx="40">
                        <c:v>3.9547223201720286E-2</c:v>
                      </c:pt>
                      <c:pt idx="41">
                        <c:v>3.8997412860611327E-2</c:v>
                      </c:pt>
                      <c:pt idx="42">
                        <c:v>3.8997412860611327E-2</c:v>
                      </c:pt>
                      <c:pt idx="43">
                        <c:v>3.8997412860611327E-2</c:v>
                      </c:pt>
                      <c:pt idx="44">
                        <c:v>3.8997412860611327E-2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7A-4646-BF70-CA3446D6DEB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Spettro in spostamento (SLV/3.12)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SPETTRI!$O$3:$O$47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0</c:v>
                      </c:pt>
                      <c:pt idx="1">
                        <c:v>0.13446297296243795</c:v>
                      </c:pt>
                      <c:pt idx="2">
                        <c:v>0.40338891888731387</c:v>
                      </c:pt>
                      <c:pt idx="3">
                        <c:v>0.49751079214088112</c:v>
                      </c:pt>
                      <c:pt idx="4">
                        <c:v>0.59163266539444836</c:v>
                      </c:pt>
                      <c:pt idx="5">
                        <c:v>0.68575453864801561</c:v>
                      </c:pt>
                      <c:pt idx="6">
                        <c:v>0.77987641190158286</c:v>
                      </c:pt>
                      <c:pt idx="7">
                        <c:v>0.8739982851551501</c:v>
                      </c:pt>
                      <c:pt idx="8">
                        <c:v>0.96812015840871735</c:v>
                      </c:pt>
                      <c:pt idx="9">
                        <c:v>1.0622420316622847</c:v>
                      </c:pt>
                      <c:pt idx="10">
                        <c:v>1.1563639049158521</c:v>
                      </c:pt>
                      <c:pt idx="11">
                        <c:v>1.2504857781694194</c:v>
                      </c:pt>
                      <c:pt idx="12">
                        <c:v>1.3446076514229868</c:v>
                      </c:pt>
                      <c:pt idx="13">
                        <c:v>1.4387295246765541</c:v>
                      </c:pt>
                      <c:pt idx="14">
                        <c:v>1.5328513979301215</c:v>
                      </c:pt>
                      <c:pt idx="15">
                        <c:v>1.6269732711836888</c:v>
                      </c:pt>
                      <c:pt idx="16">
                        <c:v>1.7210951444372562</c:v>
                      </c:pt>
                      <c:pt idx="17">
                        <c:v>1.8152170176908236</c:v>
                      </c:pt>
                      <c:pt idx="18">
                        <c:v>1.9093388909443909</c:v>
                      </c:pt>
                      <c:pt idx="19">
                        <c:v>2.0034607641979583</c:v>
                      </c:pt>
                      <c:pt idx="20">
                        <c:v>2.0975826374515254</c:v>
                      </c:pt>
                      <c:pt idx="21">
                        <c:v>2.1917045107050925</c:v>
                      </c:pt>
                      <c:pt idx="22">
                        <c:v>2.2858263839586597</c:v>
                      </c:pt>
                      <c:pt idx="23">
                        <c:v>2.3799482572122264</c:v>
                      </c:pt>
                      <c:pt idx="24">
                        <c:v>2.4570935782973584</c:v>
                      </c:pt>
                      <c:pt idx="25">
                        <c:v>2.5342388993824905</c:v>
                      </c:pt>
                      <c:pt idx="26">
                        <c:v>2.6113842204676225</c:v>
                      </c:pt>
                      <c:pt idx="27">
                        <c:v>2.6885295415527546</c:v>
                      </c:pt>
                      <c:pt idx="28">
                        <c:v>2.7656748626378866</c:v>
                      </c:pt>
                      <c:pt idx="29">
                        <c:v>2.8428201837230187</c:v>
                      </c:pt>
                      <c:pt idx="30">
                        <c:v>2.9199655048081508</c:v>
                      </c:pt>
                      <c:pt idx="31">
                        <c:v>2.9971108258932828</c:v>
                      </c:pt>
                      <c:pt idx="32">
                        <c:v>3.0742561469784149</c:v>
                      </c:pt>
                      <c:pt idx="33">
                        <c:v>3.1514014680635469</c:v>
                      </c:pt>
                      <c:pt idx="34">
                        <c:v>3.228546789148679</c:v>
                      </c:pt>
                      <c:pt idx="35">
                        <c:v>3.305692110233811</c:v>
                      </c:pt>
                      <c:pt idx="36">
                        <c:v>3.3828374313189431</c:v>
                      </c:pt>
                      <c:pt idx="37">
                        <c:v>3.4599827524040752</c:v>
                      </c:pt>
                      <c:pt idx="38">
                        <c:v>3.5371280734892072</c:v>
                      </c:pt>
                      <c:pt idx="39">
                        <c:v>3.6142733945743393</c:v>
                      </c:pt>
                      <c:pt idx="40">
                        <c:v>3.6914187156594713</c:v>
                      </c:pt>
                      <c:pt idx="41">
                        <c:v>3.7685640367446034</c:v>
                      </c:pt>
                      <c:pt idx="42">
                        <c:v>3.8457093578297354</c:v>
                      </c:pt>
                      <c:pt idx="43">
                        <c:v>3.9228546789148675</c:v>
                      </c:pt>
                      <c:pt idx="44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SPETTRI!$Q$3:$Q$47</c15:sqref>
                        </c15:formulaRef>
                      </c:ext>
                    </c:extLst>
                    <c:numCache>
                      <c:formatCode>0.0000</c:formatCode>
                      <c:ptCount val="45"/>
                      <c:pt idx="0">
                        <c:v>0</c:v>
                      </c:pt>
                      <c:pt idx="1">
                        <c:v>2.5885234038339785E-4</c:v>
                      </c:pt>
                      <c:pt idx="2">
                        <c:v>2.3296710634505809E-3</c:v>
                      </c:pt>
                      <c:pt idx="3">
                        <c:v>2.8732482275467819E-3</c:v>
                      </c:pt>
                      <c:pt idx="4">
                        <c:v>3.4168253916429837E-3</c:v>
                      </c:pt>
                      <c:pt idx="5">
                        <c:v>3.9604025557391856E-3</c:v>
                      </c:pt>
                      <c:pt idx="6">
                        <c:v>4.5039797198353866E-3</c:v>
                      </c:pt>
                      <c:pt idx="7">
                        <c:v>5.0475568839315884E-3</c:v>
                      </c:pt>
                      <c:pt idx="8">
                        <c:v>5.5911340480277903E-3</c:v>
                      </c:pt>
                      <c:pt idx="9">
                        <c:v>6.1347112121239913E-3</c:v>
                      </c:pt>
                      <c:pt idx="10">
                        <c:v>6.6782883762201949E-3</c:v>
                      </c:pt>
                      <c:pt idx="11">
                        <c:v>7.2218655403163958E-3</c:v>
                      </c:pt>
                      <c:pt idx="12">
                        <c:v>7.7654427044125994E-3</c:v>
                      </c:pt>
                      <c:pt idx="13">
                        <c:v>8.3090198685088004E-3</c:v>
                      </c:pt>
                      <c:pt idx="14">
                        <c:v>8.852597032605004E-3</c:v>
                      </c:pt>
                      <c:pt idx="15">
                        <c:v>9.3961741967012041E-3</c:v>
                      </c:pt>
                      <c:pt idx="16">
                        <c:v>9.9397513607974077E-3</c:v>
                      </c:pt>
                      <c:pt idx="17">
                        <c:v>1.0483328524893611E-2</c:v>
                      </c:pt>
                      <c:pt idx="18">
                        <c:v>1.1026905688989813E-2</c:v>
                      </c:pt>
                      <c:pt idx="19">
                        <c:v>1.1570482853086013E-2</c:v>
                      </c:pt>
                      <c:pt idx="20">
                        <c:v>1.2114060017182213E-2</c:v>
                      </c:pt>
                      <c:pt idx="21">
                        <c:v>1.2657637181278417E-2</c:v>
                      </c:pt>
                      <c:pt idx="22">
                        <c:v>1.3201214345374621E-2</c:v>
                      </c:pt>
                      <c:pt idx="23">
                        <c:v>1.3744791509470817E-2</c:v>
                      </c:pt>
                      <c:pt idx="24">
                        <c:v>1.3744791509470815E-2</c:v>
                      </c:pt>
                      <c:pt idx="25">
                        <c:v>1.3744791509470817E-2</c:v>
                      </c:pt>
                      <c:pt idx="26">
                        <c:v>1.3744791509470815E-2</c:v>
                      </c:pt>
                      <c:pt idx="27">
                        <c:v>1.3744791509470815E-2</c:v>
                      </c:pt>
                      <c:pt idx="28">
                        <c:v>1.3744791509470815E-2</c:v>
                      </c:pt>
                      <c:pt idx="29">
                        <c:v>1.3744791509470815E-2</c:v>
                      </c:pt>
                      <c:pt idx="30">
                        <c:v>1.3744791509470815E-2</c:v>
                      </c:pt>
                      <c:pt idx="31">
                        <c:v>1.3744791509470815E-2</c:v>
                      </c:pt>
                      <c:pt idx="32">
                        <c:v>1.3744791509470815E-2</c:v>
                      </c:pt>
                      <c:pt idx="33">
                        <c:v>1.3744791509470815E-2</c:v>
                      </c:pt>
                      <c:pt idx="34">
                        <c:v>1.3744791509470817E-2</c:v>
                      </c:pt>
                      <c:pt idx="35">
                        <c:v>1.3744791509470815E-2</c:v>
                      </c:pt>
                      <c:pt idx="36">
                        <c:v>1.3744791509470815E-2</c:v>
                      </c:pt>
                      <c:pt idx="37">
                        <c:v>1.3744791509470817E-2</c:v>
                      </c:pt>
                      <c:pt idx="38">
                        <c:v>1.3744791509470817E-2</c:v>
                      </c:pt>
                      <c:pt idx="39">
                        <c:v>1.3744791509470817E-2</c:v>
                      </c:pt>
                      <c:pt idx="40">
                        <c:v>1.3744791509470815E-2</c:v>
                      </c:pt>
                      <c:pt idx="41">
                        <c:v>1.4126127993839891E-2</c:v>
                      </c:pt>
                      <c:pt idx="42">
                        <c:v>1.4710392354261729E-2</c:v>
                      </c:pt>
                      <c:pt idx="43">
                        <c:v>1.5306495864487528E-2</c:v>
                      </c:pt>
                      <c:pt idx="44">
                        <c:v>1.591443852451729E-2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B85-4E02-A9AF-6A665E9C12AB}"/>
                  </c:ext>
                </c:extLst>
              </c15:ser>
            </c15:filteredScatterSeries>
          </c:ext>
        </c:extLst>
      </c:scatterChart>
      <c:valAx>
        <c:axId val="90028430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07343"/>
        <c:crosses val="autoZero"/>
        <c:crossBetween val="midCat"/>
      </c:valAx>
      <c:valAx>
        <c:axId val="8157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Sa(g)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84303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9139567639707666"/>
          <c:y val="0.11138029320947851"/>
          <c:w val="0.30860432360292334"/>
          <c:h val="4.1941350323265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23622047244094491" r="0.23622047244094491" t="0.74803149606299213" header="0.31496062992125984" footer="0.31496062992125984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095625" y="19050"/>
    <xdr:ext cx="1581150" cy="2713901"/>
    <xdr:pic>
      <xdr:nvPicPr>
        <xdr:cNvPr id="2" name="Immagine 1">
          <a:extLst>
            <a:ext uri="{FF2B5EF4-FFF2-40B4-BE49-F238E27FC236}">
              <a16:creationId xmlns:a16="http://schemas.microsoft.com/office/drawing/2014/main" id="{D27CC3CB-95E9-4D53-9F34-785DE089A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l="23063" t="1207" r="25307" b="2993"/>
        <a:stretch>
          <a:fillRect/>
        </a:stretch>
      </xdr:blipFill>
      <xdr:spPr>
        <a:xfrm>
          <a:off x="3095625" y="19050"/>
          <a:ext cx="1581150" cy="2713901"/>
        </a:xfrm>
        <a:prstGeom prst="rect">
          <a:avLst/>
        </a:prstGeom>
        <a:noFill/>
        <a:ln w="35999" cap="flat">
          <a:solidFill>
            <a:srgbClr val="000000"/>
          </a:solidFill>
          <a:prstDash val="solid"/>
          <a:miter/>
        </a:ln>
      </xdr:spPr>
    </xdr:pic>
    <xdr:clientData/>
  </xdr:absoluteAnchor>
  <xdr:absoluteAnchor>
    <xdr:pos x="8220074" y="104775"/>
    <xdr:ext cx="2118253" cy="4029075"/>
    <xdr:pic>
      <xdr:nvPicPr>
        <xdr:cNvPr id="3" name="Immagine 6">
          <a:extLst>
            <a:ext uri="{FF2B5EF4-FFF2-40B4-BE49-F238E27FC236}">
              <a16:creationId xmlns:a16="http://schemas.microsoft.com/office/drawing/2014/main" id="{62B16A0A-D368-4B2B-8978-0F37C08AC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 l="17904" t="664" r="23441" b="3241"/>
        <a:stretch>
          <a:fillRect/>
        </a:stretch>
      </xdr:blipFill>
      <xdr:spPr>
        <a:xfrm>
          <a:off x="8220074" y="104775"/>
          <a:ext cx="2118253" cy="4029075"/>
        </a:xfrm>
        <a:prstGeom prst="rect">
          <a:avLst/>
        </a:prstGeom>
        <a:noFill/>
        <a:ln w="35999" cap="flat">
          <a:solidFill>
            <a:srgbClr val="000000"/>
          </a:solidFill>
          <a:prstDash val="solid"/>
          <a:miter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883872</xdr:colOff>
      <xdr:row>1</xdr:row>
      <xdr:rowOff>122464</xdr:rowOff>
    </xdr:from>
    <xdr:to>
      <xdr:col>4</xdr:col>
      <xdr:colOff>394918</xdr:colOff>
      <xdr:row>10</xdr:row>
      <xdr:rowOff>153597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A3C5902-B108-471C-BB28-E52DAFDE8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872" y="312964"/>
          <a:ext cx="3565975" cy="17456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44825</xdr:colOff>
      <xdr:row>14</xdr:row>
      <xdr:rowOff>11206</xdr:rowOff>
    </xdr:from>
    <xdr:to>
      <xdr:col>0</xdr:col>
      <xdr:colOff>3485029</xdr:colOff>
      <xdr:row>22</xdr:row>
      <xdr:rowOff>142874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FA79ACB-BB4C-4C73-A294-5D41606F0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3133446</xdr:colOff>
      <xdr:row>42</xdr:row>
      <xdr:rowOff>96649</xdr:rowOff>
    </xdr:from>
    <xdr:to>
      <xdr:col>6</xdr:col>
      <xdr:colOff>163886</xdr:colOff>
      <xdr:row>63</xdr:row>
      <xdr:rowOff>74239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440F40F-2D5A-413B-B265-525B81592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2475</xdr:colOff>
      <xdr:row>0</xdr:row>
      <xdr:rowOff>172192</xdr:rowOff>
    </xdr:from>
    <xdr:to>
      <xdr:col>34</xdr:col>
      <xdr:colOff>571500</xdr:colOff>
      <xdr:row>25</xdr:row>
      <xdr:rowOff>81643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D839087-A7FB-44BB-8271-B3FF38988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278327</xdr:colOff>
      <xdr:row>1</xdr:row>
      <xdr:rowOff>4639</xdr:rowOff>
    </xdr:from>
    <xdr:to>
      <xdr:col>37</xdr:col>
      <xdr:colOff>69271</xdr:colOff>
      <xdr:row>36</xdr:row>
      <xdr:rowOff>17319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AEAC27B-545B-4116-A15A-CFB68374D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my7/Desktop/Spettri-NTCver.1.0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Fase1"/>
      <sheetName val="Fase2"/>
      <sheetName val="Fase3"/>
      <sheetName val="D1a"/>
      <sheetName val="D1b"/>
      <sheetName val="D1c"/>
      <sheetName val="D2a"/>
      <sheetName val="D3a"/>
      <sheetName val="R1a"/>
      <sheetName val="R1b"/>
      <sheetName val="R1c"/>
      <sheetName val="R2a"/>
      <sheetName val="R2b"/>
      <sheetName val="R2c"/>
      <sheetName val="R3a"/>
      <sheetName val="R3b "/>
      <sheetName val="R3c"/>
      <sheetName val="I2a"/>
      <sheetName val="I2b"/>
      <sheetName val="I3a"/>
      <sheetName val="I3b"/>
      <sheetName val="I3c"/>
      <sheetName val="I3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 t="str">
            <v>T4</v>
          </cell>
          <cell r="I5">
            <v>0.15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C697-9C70-4839-AEEC-B6B02690ADE5}">
  <sheetPr codeName="Foglio1"/>
  <dimension ref="A1:J17"/>
  <sheetViews>
    <sheetView topLeftCell="A10" workbookViewId="0">
      <selection activeCell="I10" sqref="I10"/>
    </sheetView>
  </sheetViews>
  <sheetFormatPr defaultRowHeight="15"/>
  <cols>
    <col min="1" max="1" width="20.42578125" customWidth="1"/>
    <col min="8" max="8" width="19.42578125" customWidth="1"/>
  </cols>
  <sheetData>
    <row r="1" spans="1:10">
      <c r="A1" s="112" t="s">
        <v>88</v>
      </c>
      <c r="B1" s="112"/>
      <c r="C1" s="112"/>
      <c r="H1" s="113" t="s">
        <v>95</v>
      </c>
      <c r="I1" s="113"/>
      <c r="J1" s="113"/>
    </row>
    <row r="2" spans="1:10" ht="20.25">
      <c r="A2" s="63" t="s">
        <v>96</v>
      </c>
      <c r="B2" s="45">
        <v>9</v>
      </c>
      <c r="C2" s="64" t="s">
        <v>103</v>
      </c>
      <c r="H2" s="52" t="s">
        <v>96</v>
      </c>
      <c r="I2" s="45">
        <v>9</v>
      </c>
      <c r="J2" s="53" t="s">
        <v>103</v>
      </c>
    </row>
    <row r="3" spans="1:10" ht="20.25">
      <c r="A3" s="40" t="s">
        <v>97</v>
      </c>
      <c r="B3" s="45">
        <v>0.06</v>
      </c>
      <c r="C3" s="45" t="s">
        <v>89</v>
      </c>
      <c r="H3" s="6" t="s">
        <v>97</v>
      </c>
      <c r="I3" s="45">
        <v>0.06</v>
      </c>
      <c r="J3" s="54" t="s">
        <v>89</v>
      </c>
    </row>
    <row r="4" spans="1:10" ht="20.25">
      <c r="A4" s="63" t="s">
        <v>99</v>
      </c>
      <c r="B4" s="45">
        <v>18</v>
      </c>
      <c r="C4" s="64" t="s">
        <v>103</v>
      </c>
      <c r="H4" s="6" t="s">
        <v>98</v>
      </c>
      <c r="I4" s="45">
        <v>0.12</v>
      </c>
      <c r="J4" s="54" t="s">
        <v>89</v>
      </c>
    </row>
    <row r="5" spans="1:10" ht="20.25">
      <c r="A5" s="40" t="s">
        <v>100</v>
      </c>
      <c r="B5" s="45">
        <v>1.4999999999999999E-2</v>
      </c>
      <c r="C5" s="45" t="s">
        <v>89</v>
      </c>
      <c r="H5" s="52" t="s">
        <v>99</v>
      </c>
      <c r="I5" s="45">
        <v>18</v>
      </c>
      <c r="J5" s="53" t="s">
        <v>103</v>
      </c>
    </row>
    <row r="6" spans="1:10" ht="20.25">
      <c r="A6" s="40" t="s">
        <v>90</v>
      </c>
      <c r="B6" s="45">
        <v>3</v>
      </c>
      <c r="C6" s="64" t="s">
        <v>89</v>
      </c>
      <c r="H6" s="6" t="s">
        <v>100</v>
      </c>
      <c r="I6" s="45">
        <v>1.4999999999999999E-2</v>
      </c>
      <c r="J6" s="54" t="s">
        <v>89</v>
      </c>
    </row>
    <row r="7" spans="1:10" ht="20.25">
      <c r="A7" s="65" t="s">
        <v>112</v>
      </c>
      <c r="B7" s="57">
        <f>B2*B3</f>
        <v>0.54</v>
      </c>
      <c r="C7" s="66" t="s">
        <v>105</v>
      </c>
      <c r="H7" s="52" t="s">
        <v>101</v>
      </c>
      <c r="I7" s="45">
        <v>22</v>
      </c>
      <c r="J7" s="53" t="s">
        <v>103</v>
      </c>
    </row>
    <row r="8" spans="1:10" ht="20.25">
      <c r="A8" s="65" t="s">
        <v>113</v>
      </c>
      <c r="B8" s="57">
        <f>2*B4*B5</f>
        <v>0.54</v>
      </c>
      <c r="C8" s="66" t="s">
        <v>105</v>
      </c>
      <c r="H8" s="6" t="s">
        <v>102</v>
      </c>
      <c r="I8" s="45">
        <v>2.5000000000000001E-2</v>
      </c>
      <c r="J8" s="54" t="s">
        <v>89</v>
      </c>
    </row>
    <row r="9" spans="1:10" ht="20.25">
      <c r="A9" s="65" t="s">
        <v>110</v>
      </c>
      <c r="B9" s="57">
        <f>SUM(B7:B8)</f>
        <v>1.08</v>
      </c>
      <c r="C9" s="66" t="s">
        <v>105</v>
      </c>
      <c r="H9" s="6" t="s">
        <v>90</v>
      </c>
      <c r="I9" s="45">
        <f>3-0.4</f>
        <v>2.6</v>
      </c>
      <c r="J9" s="55" t="s">
        <v>89</v>
      </c>
    </row>
    <row r="10" spans="1:10" ht="20.25">
      <c r="A10" s="67" t="s">
        <v>91</v>
      </c>
      <c r="B10" s="68">
        <f>B9*B6</f>
        <v>3.24</v>
      </c>
      <c r="C10" s="69" t="s">
        <v>92</v>
      </c>
      <c r="H10" s="56" t="s">
        <v>104</v>
      </c>
      <c r="I10" s="57">
        <f>I2*(I4+I3)</f>
        <v>1.6199999999999999</v>
      </c>
      <c r="J10" s="58" t="s">
        <v>105</v>
      </c>
    </row>
    <row r="11" spans="1:10" ht="20.25">
      <c r="A11" s="67" t="s">
        <v>114</v>
      </c>
      <c r="B11" s="70">
        <v>1.6</v>
      </c>
      <c r="C11" s="69" t="s">
        <v>105</v>
      </c>
      <c r="H11" s="56" t="s">
        <v>106</v>
      </c>
      <c r="I11" s="57">
        <f>I5*I6</f>
        <v>0.27</v>
      </c>
      <c r="J11" s="58" t="s">
        <v>105</v>
      </c>
    </row>
    <row r="12" spans="1:10" ht="20.25">
      <c r="H12" s="56" t="s">
        <v>107</v>
      </c>
      <c r="I12" s="57">
        <f>I7*I8</f>
        <v>0.55000000000000004</v>
      </c>
      <c r="J12" s="58" t="s">
        <v>105</v>
      </c>
    </row>
    <row r="13" spans="1:10" ht="20.25">
      <c r="H13" s="56" t="s">
        <v>108</v>
      </c>
      <c r="I13" s="57">
        <v>0.09</v>
      </c>
      <c r="J13" s="58" t="s">
        <v>105</v>
      </c>
    </row>
    <row r="14" spans="1:10" ht="20.25">
      <c r="H14" s="56" t="s">
        <v>109</v>
      </c>
      <c r="I14" s="57">
        <v>0.35</v>
      </c>
      <c r="J14" s="58" t="s">
        <v>105</v>
      </c>
    </row>
    <row r="15" spans="1:10" ht="20.25">
      <c r="H15" s="56" t="s">
        <v>110</v>
      </c>
      <c r="I15" s="57">
        <f>SUM(I10:I14)</f>
        <v>2.88</v>
      </c>
      <c r="J15" s="58" t="s">
        <v>105</v>
      </c>
    </row>
    <row r="16" spans="1:10" ht="20.25">
      <c r="H16" s="56" t="s">
        <v>111</v>
      </c>
      <c r="I16" s="59">
        <f>I15*I9</f>
        <v>7.4879999999999995</v>
      </c>
      <c r="J16" s="58" t="s">
        <v>92</v>
      </c>
    </row>
    <row r="17" spans="8:10" ht="18.75">
      <c r="H17" s="60" t="s">
        <v>91</v>
      </c>
      <c r="I17" s="61">
        <f>I16</f>
        <v>7.4879999999999995</v>
      </c>
      <c r="J17" s="62" t="s">
        <v>92</v>
      </c>
    </row>
  </sheetData>
  <mergeCells count="2">
    <mergeCell ref="A1:C1"/>
    <mergeCell ref="H1:J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DF14-3D4F-486B-8C68-3F80B38884AE}">
  <sheetPr codeName="Foglio2">
    <pageSetUpPr fitToPage="1"/>
  </sheetPr>
  <dimension ref="A1:K48"/>
  <sheetViews>
    <sheetView zoomScaleNormal="100" workbookViewId="0">
      <selection activeCell="C47" sqref="C47"/>
    </sheetView>
  </sheetViews>
  <sheetFormatPr defaultRowHeight="15"/>
  <cols>
    <col min="1" max="1" width="28.42578125" customWidth="1"/>
    <col min="2" max="2" width="10" customWidth="1"/>
    <col min="3" max="3" width="9.7109375" customWidth="1"/>
    <col min="4" max="4" width="12.7109375" customWidth="1"/>
    <col min="5" max="5" width="13.42578125" customWidth="1"/>
    <col min="6" max="6" width="16.42578125" customWidth="1"/>
    <col min="7" max="7" width="23.42578125" customWidth="1"/>
    <col min="8" max="8" width="4.7109375" customWidth="1"/>
  </cols>
  <sheetData>
    <row r="1" spans="1:6">
      <c r="A1" s="120" t="s">
        <v>65</v>
      </c>
      <c r="B1" s="120"/>
      <c r="C1" s="120"/>
      <c r="D1" s="120"/>
      <c r="E1" s="120"/>
      <c r="F1" s="120"/>
    </row>
    <row r="12" spans="1:6">
      <c r="B12" s="118" t="s">
        <v>80</v>
      </c>
      <c r="C12" s="119"/>
    </row>
    <row r="13" spans="1:6">
      <c r="B13" s="2" t="s">
        <v>66</v>
      </c>
      <c r="C13" s="2">
        <f>0.04</f>
        <v>0.04</v>
      </c>
      <c r="D13" s="18" t="s">
        <v>67</v>
      </c>
    </row>
    <row r="14" spans="1:6" ht="18">
      <c r="B14" s="2" t="s">
        <v>68</v>
      </c>
      <c r="C14" s="2">
        <v>0.1</v>
      </c>
      <c r="D14" t="s">
        <v>69</v>
      </c>
    </row>
    <row r="15" spans="1:6">
      <c r="B15" s="2" t="s">
        <v>70</v>
      </c>
      <c r="C15" s="2">
        <v>0.4</v>
      </c>
      <c r="D15" t="s">
        <v>71</v>
      </c>
    </row>
    <row r="16" spans="1:6">
      <c r="B16" s="2" t="s">
        <v>63</v>
      </c>
      <c r="C16" s="2">
        <v>0.18</v>
      </c>
      <c r="D16" t="s">
        <v>76</v>
      </c>
    </row>
    <row r="17" spans="1:11">
      <c r="B17" s="2" t="s">
        <v>72</v>
      </c>
      <c r="C17" s="2">
        <v>0.5</v>
      </c>
      <c r="D17" t="s">
        <v>73</v>
      </c>
    </row>
    <row r="19" spans="1:11">
      <c r="A19" s="117" t="s">
        <v>81</v>
      </c>
      <c r="B19" s="117"/>
      <c r="C19" s="117"/>
      <c r="D19" s="117"/>
      <c r="E19" s="117"/>
    </row>
    <row r="20" spans="1:11" ht="17.25">
      <c r="A20" s="2"/>
      <c r="B20" s="2" t="s">
        <v>62</v>
      </c>
      <c r="C20" s="2" t="s">
        <v>63</v>
      </c>
      <c r="D20" s="50" t="s">
        <v>64</v>
      </c>
      <c r="E20" s="51" t="s">
        <v>84</v>
      </c>
      <c r="J20" s="73"/>
      <c r="K20" s="73"/>
    </row>
    <row r="21" spans="1:11">
      <c r="A21" s="2" t="s">
        <v>61</v>
      </c>
      <c r="B21" s="17">
        <v>1</v>
      </c>
      <c r="C21" s="2">
        <f>C13</f>
        <v>0.04</v>
      </c>
      <c r="D21" s="2">
        <v>25</v>
      </c>
      <c r="E21" s="17">
        <f>B21*C21*D21</f>
        <v>1</v>
      </c>
      <c r="J21" s="73"/>
      <c r="K21" s="73"/>
    </row>
    <row r="22" spans="1:11">
      <c r="A22" s="2" t="s">
        <v>74</v>
      </c>
      <c r="B22" s="17">
        <f>2*C14</f>
        <v>0.2</v>
      </c>
      <c r="C22" s="2">
        <f>C16</f>
        <v>0.18</v>
      </c>
      <c r="D22" s="2">
        <v>25</v>
      </c>
      <c r="E22" s="17">
        <f>B22*C22*D22</f>
        <v>0.89999999999999991</v>
      </c>
      <c r="F22" t="s">
        <v>77</v>
      </c>
      <c r="J22" s="73"/>
      <c r="K22" s="74"/>
    </row>
    <row r="23" spans="1:11">
      <c r="D23" s="47" t="s">
        <v>79</v>
      </c>
      <c r="E23" s="48">
        <f>SUM(E21:E22)</f>
        <v>1.9</v>
      </c>
      <c r="J23" s="73"/>
      <c r="K23" s="73"/>
    </row>
    <row r="24" spans="1:11">
      <c r="J24" s="73"/>
      <c r="K24" s="73"/>
    </row>
    <row r="25" spans="1:11">
      <c r="A25" s="114" t="s">
        <v>94</v>
      </c>
      <c r="B25" s="115"/>
      <c r="C25" s="115"/>
      <c r="D25" s="115"/>
      <c r="E25" s="116"/>
      <c r="J25" s="73"/>
      <c r="K25" s="73"/>
    </row>
    <row r="26" spans="1:11" ht="17.25">
      <c r="A26" s="2"/>
      <c r="B26" s="2" t="s">
        <v>62</v>
      </c>
      <c r="C26" s="2" t="s">
        <v>63</v>
      </c>
      <c r="D26" s="50" t="s">
        <v>64</v>
      </c>
      <c r="E26" s="51" t="s">
        <v>84</v>
      </c>
      <c r="J26" s="73"/>
      <c r="K26" s="73"/>
    </row>
    <row r="27" spans="1:11">
      <c r="A27" s="2" t="s">
        <v>75</v>
      </c>
      <c r="B27" s="17">
        <f>2*C15</f>
        <v>0.8</v>
      </c>
      <c r="C27" s="2">
        <f>C16</f>
        <v>0.18</v>
      </c>
      <c r="D27" s="2">
        <v>8</v>
      </c>
      <c r="E27" s="17">
        <f>B27*C27*D27</f>
        <v>1.1519999999999999</v>
      </c>
      <c r="F27" t="s">
        <v>78</v>
      </c>
      <c r="J27" s="73"/>
      <c r="K27" s="73"/>
    </row>
    <row r="28" spans="1:11">
      <c r="A28" s="2" t="s">
        <v>82</v>
      </c>
      <c r="B28" s="17">
        <v>1</v>
      </c>
      <c r="C28" s="2">
        <v>1.4999999999999999E-2</v>
      </c>
      <c r="D28" s="2">
        <v>19</v>
      </c>
      <c r="E28" s="17">
        <f>B28*C28*D28</f>
        <v>0.28499999999999998</v>
      </c>
      <c r="J28" s="73"/>
      <c r="K28" s="73"/>
    </row>
    <row r="29" spans="1:11">
      <c r="A29" s="2" t="s">
        <v>83</v>
      </c>
      <c r="B29" s="17">
        <v>1</v>
      </c>
      <c r="C29" s="2">
        <v>0.08</v>
      </c>
      <c r="D29" s="2">
        <v>16</v>
      </c>
      <c r="E29" s="17">
        <f>B29*C29*D29</f>
        <v>1.28</v>
      </c>
      <c r="J29" s="75"/>
      <c r="K29" s="75"/>
    </row>
    <row r="30" spans="1:11">
      <c r="A30" s="2" t="s">
        <v>85</v>
      </c>
      <c r="B30" s="17">
        <v>1</v>
      </c>
      <c r="C30" s="2">
        <v>0.02</v>
      </c>
      <c r="D30" s="2">
        <v>20</v>
      </c>
      <c r="E30" s="17">
        <f>B30*C30*D30</f>
        <v>0.4</v>
      </c>
      <c r="F30" t="s">
        <v>86</v>
      </c>
      <c r="J30" s="75"/>
      <c r="K30" s="74"/>
    </row>
    <row r="31" spans="1:11">
      <c r="A31" s="2" t="s">
        <v>87</v>
      </c>
      <c r="B31" s="3"/>
      <c r="C31" s="3"/>
      <c r="D31" s="3"/>
      <c r="E31" s="2">
        <v>1.2</v>
      </c>
      <c r="F31" s="76" t="s">
        <v>119</v>
      </c>
    </row>
    <row r="32" spans="1:11">
      <c r="D32" s="47" t="s">
        <v>93</v>
      </c>
      <c r="E32" s="48">
        <f>SUM(E27:E31)</f>
        <v>4.3169999999999993</v>
      </c>
      <c r="F32" t="s">
        <v>120</v>
      </c>
    </row>
    <row r="34" spans="1:9">
      <c r="A34" s="114" t="s">
        <v>118</v>
      </c>
      <c r="B34" s="115"/>
      <c r="C34" s="115"/>
      <c r="D34" s="115"/>
      <c r="E34" s="116"/>
      <c r="G34" s="73"/>
      <c r="H34" s="73"/>
      <c r="I34" s="73"/>
    </row>
    <row r="35" spans="1:9" ht="17.25">
      <c r="A35" s="2"/>
      <c r="B35" s="2" t="s">
        <v>62</v>
      </c>
      <c r="C35" s="2" t="s">
        <v>63</v>
      </c>
      <c r="D35" s="50" t="s">
        <v>64</v>
      </c>
      <c r="E35" s="51" t="s">
        <v>84</v>
      </c>
      <c r="G35" s="73"/>
      <c r="H35" s="73"/>
      <c r="I35" s="73"/>
    </row>
    <row r="36" spans="1:9">
      <c r="A36" s="2" t="s">
        <v>75</v>
      </c>
      <c r="B36" s="17">
        <f>2*C15</f>
        <v>0.8</v>
      </c>
      <c r="C36" s="2">
        <v>0.18</v>
      </c>
      <c r="D36" s="2">
        <v>8</v>
      </c>
      <c r="E36" s="17">
        <f>B36*C36*D36</f>
        <v>1.1519999999999999</v>
      </c>
      <c r="G36" s="73"/>
      <c r="H36" s="73"/>
      <c r="I36" s="73"/>
    </row>
    <row r="37" spans="1:9">
      <c r="A37" s="2" t="s">
        <v>82</v>
      </c>
      <c r="B37" s="17">
        <v>1</v>
      </c>
      <c r="C37" s="2">
        <v>1.4999999999999999E-2</v>
      </c>
      <c r="D37" s="2">
        <v>19</v>
      </c>
      <c r="E37" s="17">
        <f>B37*C37*D37</f>
        <v>0.28499999999999998</v>
      </c>
      <c r="G37" s="73"/>
      <c r="H37" s="73"/>
      <c r="I37" s="73"/>
    </row>
    <row r="38" spans="1:9">
      <c r="A38" s="2" t="s">
        <v>85</v>
      </c>
      <c r="B38" s="17">
        <v>1</v>
      </c>
      <c r="C38" s="2">
        <v>0.02</v>
      </c>
      <c r="D38" s="2">
        <v>20</v>
      </c>
      <c r="E38" s="17">
        <f>B38*C38*D38</f>
        <v>0.4</v>
      </c>
      <c r="G38" s="73"/>
      <c r="H38" s="73"/>
      <c r="I38" s="73"/>
    </row>
    <row r="39" spans="1:9">
      <c r="A39" s="71" t="s">
        <v>115</v>
      </c>
      <c r="B39" s="3"/>
      <c r="C39" s="72">
        <v>0.05</v>
      </c>
      <c r="D39" s="71"/>
      <c r="E39" s="2">
        <v>0.05</v>
      </c>
      <c r="G39" s="73"/>
      <c r="H39" s="73"/>
      <c r="I39" s="73"/>
    </row>
    <row r="40" spans="1:9">
      <c r="A40" s="71" t="s">
        <v>116</v>
      </c>
      <c r="B40" s="3"/>
      <c r="C40" s="72">
        <v>0.01</v>
      </c>
      <c r="D40" s="3"/>
      <c r="E40" s="72">
        <f>0.1</f>
        <v>0.1</v>
      </c>
      <c r="G40" s="73"/>
      <c r="H40" s="73"/>
      <c r="I40" s="73"/>
    </row>
    <row r="41" spans="1:9">
      <c r="A41" s="71" t="s">
        <v>117</v>
      </c>
      <c r="B41" s="72">
        <v>1</v>
      </c>
      <c r="C41" s="2">
        <v>0.1</v>
      </c>
      <c r="D41" s="2">
        <v>16</v>
      </c>
      <c r="E41" s="2">
        <f>D41*C41*B41</f>
        <v>1.6</v>
      </c>
      <c r="G41" s="73"/>
      <c r="H41" s="73"/>
      <c r="I41" s="73"/>
    </row>
    <row r="42" spans="1:9">
      <c r="A42" s="71" t="s">
        <v>121</v>
      </c>
      <c r="B42" s="72">
        <v>1</v>
      </c>
      <c r="C42" s="2">
        <v>0.02</v>
      </c>
      <c r="D42" s="2">
        <v>16</v>
      </c>
      <c r="E42" s="2">
        <f>D42*C42*B42</f>
        <v>0.32</v>
      </c>
      <c r="G42" s="75"/>
      <c r="H42" s="75"/>
      <c r="I42" s="75"/>
    </row>
    <row r="43" spans="1:9">
      <c r="D43" s="47" t="s">
        <v>93</v>
      </c>
      <c r="E43" s="48">
        <f>SUM(E36:E41)</f>
        <v>3.5869999999999997</v>
      </c>
      <c r="G43" s="82"/>
      <c r="H43" s="73"/>
      <c r="I43" s="75"/>
    </row>
    <row r="45" spans="1:9">
      <c r="B45" s="117" t="s">
        <v>122</v>
      </c>
      <c r="C45" s="117"/>
      <c r="D45" s="117"/>
      <c r="E45" s="77"/>
    </row>
    <row r="46" spans="1:9" ht="18.75">
      <c r="B46" s="78" t="s">
        <v>124</v>
      </c>
      <c r="C46" s="78" t="s">
        <v>126</v>
      </c>
      <c r="D46" s="78" t="s">
        <v>125</v>
      </c>
    </row>
    <row r="47" spans="1:9">
      <c r="A47" s="2" t="s">
        <v>123</v>
      </c>
      <c r="B47" s="17">
        <v>2</v>
      </c>
      <c r="C47" s="17">
        <v>2</v>
      </c>
      <c r="D47" s="17">
        <v>1</v>
      </c>
    </row>
    <row r="48" spans="1:9">
      <c r="A48" s="2" t="s">
        <v>127</v>
      </c>
      <c r="B48" s="17">
        <v>2</v>
      </c>
      <c r="C48" s="17">
        <v>2</v>
      </c>
      <c r="D48" s="17">
        <v>1</v>
      </c>
    </row>
  </sheetData>
  <mergeCells count="6">
    <mergeCell ref="A34:E34"/>
    <mergeCell ref="A25:E25"/>
    <mergeCell ref="B45:D45"/>
    <mergeCell ref="B12:C12"/>
    <mergeCell ref="A1:F1"/>
    <mergeCell ref="A19:E19"/>
  </mergeCells>
  <pageMargins left="0.25" right="0.25" top="0.75" bottom="0.75" header="0.3" footer="0.3"/>
  <pageSetup paperSize="9" scale="8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DCD0-65A6-4CE1-8A11-D0372EC94CD8}">
  <sheetPr codeName="Foglio7"/>
  <dimension ref="A1:J20"/>
  <sheetViews>
    <sheetView zoomScale="85" zoomScaleNormal="85" workbookViewId="0">
      <selection activeCell="H5" sqref="H5"/>
    </sheetView>
  </sheetViews>
  <sheetFormatPr defaultRowHeight="15"/>
  <cols>
    <col min="1" max="1" width="9.140625" style="31"/>
    <col min="2" max="2" width="9.28515625" style="31" bestFit="1" customWidth="1"/>
    <col min="3" max="3" width="17.42578125" style="31" customWidth="1"/>
    <col min="4" max="4" width="18.28515625" style="31" customWidth="1"/>
    <col min="5" max="5" width="16.5703125" style="31" customWidth="1"/>
    <col min="6" max="6" width="12" style="31" customWidth="1"/>
    <col min="7" max="16384" width="9.140625" style="31"/>
  </cols>
  <sheetData>
    <row r="1" spans="1:10">
      <c r="A1" s="94" t="s">
        <v>179</v>
      </c>
      <c r="B1" s="94" t="s">
        <v>182</v>
      </c>
      <c r="C1" s="94" t="s">
        <v>183</v>
      </c>
      <c r="D1" s="94" t="s">
        <v>184</v>
      </c>
      <c r="E1" s="94" t="s">
        <v>185</v>
      </c>
      <c r="F1" s="94" t="s">
        <v>189</v>
      </c>
      <c r="I1" s="31" t="s">
        <v>180</v>
      </c>
    </row>
    <row r="2" spans="1:10">
      <c r="A2" s="94" t="s">
        <v>188</v>
      </c>
      <c r="B2" s="94" t="s">
        <v>187</v>
      </c>
      <c r="C2" s="94" t="s">
        <v>187</v>
      </c>
      <c r="D2" s="94" t="s">
        <v>187</v>
      </c>
      <c r="E2" s="94" t="s">
        <v>187</v>
      </c>
      <c r="F2" s="94" t="s">
        <v>187</v>
      </c>
      <c r="I2" s="31">
        <f>13.5*17.5</f>
        <v>236.25</v>
      </c>
      <c r="J2" s="31" t="s">
        <v>181</v>
      </c>
    </row>
    <row r="3" spans="1:10">
      <c r="A3" s="94">
        <v>1</v>
      </c>
      <c r="B3" s="17">
        <f>COMBINAZIONI!$B$7*'PESO &amp; ANALISI STATICA'!$I$2</f>
        <v>1723.9162499999998</v>
      </c>
      <c r="C3" s="17">
        <f>(13.5*2+17.5*2)*TRAMEZZI!$I$17</f>
        <v>464.25599999999997</v>
      </c>
      <c r="D3" s="17">
        <f>(0.3*0.5*25)*(5.5*5+4*2*5+(4+4+5.5+4)*4)</f>
        <v>515.625</v>
      </c>
      <c r="E3" s="17">
        <f>0.4*0.4*25*3*4*5</f>
        <v>240.00000000000006</v>
      </c>
      <c r="F3" s="17">
        <f>SUM(B3:E3)</f>
        <v>2943.7972499999996</v>
      </c>
    </row>
    <row r="4" spans="1:10">
      <c r="A4" s="94">
        <v>2</v>
      </c>
      <c r="B4" s="17">
        <f>COMBINAZIONI!$B$7*'PESO &amp; ANALISI STATICA'!$I$2</f>
        <v>1723.9162499999998</v>
      </c>
      <c r="C4" s="17">
        <f>(13.5*2+17.5*2)*TRAMEZZI!$I$17</f>
        <v>464.25599999999997</v>
      </c>
      <c r="D4" s="17">
        <f t="shared" ref="D4:D5" si="0">(0.3*0.5*25)*(5.5*5+4*2*5+(4+4+5.5+4)*4)</f>
        <v>515.625</v>
      </c>
      <c r="E4" s="17">
        <f t="shared" ref="E4:E5" si="1">0.4*0.4*25*3*4*5</f>
        <v>240.00000000000006</v>
      </c>
      <c r="F4" s="17">
        <f t="shared" ref="F4:F6" si="2">SUM(B4:E4)</f>
        <v>2943.7972499999996</v>
      </c>
    </row>
    <row r="5" spans="1:10">
      <c r="A5" s="94">
        <v>3</v>
      </c>
      <c r="B5" s="17">
        <f>COMBINAZIONI!$B$7*'PESO &amp; ANALISI STATICA'!$I$2</f>
        <v>1723.9162499999998</v>
      </c>
      <c r="C5" s="17">
        <f>(13.5*2+17.5*2)*TRAMEZZI!$I$17</f>
        <v>464.25599999999997</v>
      </c>
      <c r="D5" s="17">
        <f t="shared" si="0"/>
        <v>515.625</v>
      </c>
      <c r="E5" s="17">
        <f t="shared" si="1"/>
        <v>240.00000000000006</v>
      </c>
      <c r="F5" s="17">
        <f t="shared" si="2"/>
        <v>2943.7972499999996</v>
      </c>
    </row>
    <row r="6" spans="1:10">
      <c r="A6" s="94">
        <v>4</v>
      </c>
      <c r="B6" s="17">
        <f>COMBINAZIONI!$C$7*'PESO &amp; ANALISI STATICA'!$I$2</f>
        <v>1438.05375</v>
      </c>
      <c r="C6" s="17">
        <f>(13.5*2+17.5*2)*TRAMEZZI!$I$17/2</f>
        <v>232.12799999999999</v>
      </c>
      <c r="D6" s="95">
        <f>(0.3*0.4*25)*(5.5*5+4*2*5+(4+4+5.5+4)*4)</f>
        <v>412.5</v>
      </c>
      <c r="E6" s="17">
        <f>0.4*0.4*25*3*4*5/2</f>
        <v>120.00000000000003</v>
      </c>
      <c r="F6" s="17">
        <f t="shared" si="2"/>
        <v>2202.6817499999997</v>
      </c>
    </row>
    <row r="7" spans="1:10">
      <c r="E7" s="94" t="s">
        <v>190</v>
      </c>
      <c r="F7" s="17">
        <f>SUM(F3:F6)</f>
        <v>11034.073499999999</v>
      </c>
    </row>
    <row r="9" spans="1:10">
      <c r="C9" s="2" t="s">
        <v>201</v>
      </c>
      <c r="D9" s="98">
        <f>J9*F7*0.85</f>
        <v>1412.856526682692</v>
      </c>
      <c r="E9" s="2" t="s">
        <v>186</v>
      </c>
      <c r="H9" s="31" t="s">
        <v>200</v>
      </c>
      <c r="I9" s="31">
        <f>0.47</f>
        <v>0.47</v>
      </c>
      <c r="J9" s="31">
        <f>I9/3.12</f>
        <v>0.15064102564102563</v>
      </c>
    </row>
    <row r="10" spans="1:10">
      <c r="A10" s="94" t="s">
        <v>191</v>
      </c>
      <c r="B10" s="93" t="s">
        <v>196</v>
      </c>
      <c r="C10" s="94" t="s">
        <v>197</v>
      </c>
      <c r="D10" s="94" t="s">
        <v>198</v>
      </c>
      <c r="E10" s="94" t="s">
        <v>199</v>
      </c>
      <c r="H10" s="31" t="s">
        <v>200</v>
      </c>
      <c r="I10" s="31">
        <f>0.18</f>
        <v>0.18</v>
      </c>
      <c r="J10" s="31">
        <f>I10/1.5</f>
        <v>0.12</v>
      </c>
    </row>
    <row r="11" spans="1:10">
      <c r="A11" s="96" t="s">
        <v>192</v>
      </c>
      <c r="B11" s="95">
        <v>3</v>
      </c>
      <c r="C11" s="97">
        <f>F3</f>
        <v>2943.7972499999996</v>
      </c>
      <c r="D11" s="97">
        <f>C11*B11</f>
        <v>8831.3917499999989</v>
      </c>
      <c r="E11" s="97">
        <f>$D$9*D11/(SUM($D$11:$D$14))</f>
        <v>157.10659747573186</v>
      </c>
    </row>
    <row r="12" spans="1:10">
      <c r="A12" s="96" t="s">
        <v>193</v>
      </c>
      <c r="B12" s="95">
        <v>6</v>
      </c>
      <c r="C12" s="97">
        <f t="shared" ref="C12:C14" si="3">F4</f>
        <v>2943.7972499999996</v>
      </c>
      <c r="D12" s="97">
        <f t="shared" ref="D12:D14" si="4">C12*B12</f>
        <v>17662.783499999998</v>
      </c>
      <c r="E12" s="97">
        <f>$D$9*D12/(SUM($D$11:$D$14))</f>
        <v>314.21319495146372</v>
      </c>
    </row>
    <row r="13" spans="1:10">
      <c r="A13" s="96" t="s">
        <v>194</v>
      </c>
      <c r="B13" s="95">
        <v>9</v>
      </c>
      <c r="C13" s="97">
        <f t="shared" si="3"/>
        <v>2943.7972499999996</v>
      </c>
      <c r="D13" s="97">
        <f t="shared" si="4"/>
        <v>26494.175249999997</v>
      </c>
      <c r="E13" s="97">
        <f>$D$9*D13/(SUM($D$11:$D$14))</f>
        <v>471.31979242719558</v>
      </c>
    </row>
    <row r="14" spans="1:10">
      <c r="A14" s="96" t="s">
        <v>195</v>
      </c>
      <c r="B14" s="95">
        <v>12</v>
      </c>
      <c r="C14" s="97">
        <f t="shared" si="3"/>
        <v>2202.6817499999997</v>
      </c>
      <c r="D14" s="97">
        <f t="shared" si="4"/>
        <v>26432.180999999997</v>
      </c>
      <c r="E14" s="97">
        <f>$D$9*D14/(SUM($D$11:$D$14))</f>
        <v>470.21694182830106</v>
      </c>
    </row>
    <row r="15" spans="1:10">
      <c r="C15" s="2" t="s">
        <v>202</v>
      </c>
      <c r="D15" s="98">
        <f>J10*F7*0.85</f>
        <v>1125.4754969999997</v>
      </c>
      <c r="E15" s="2" t="s">
        <v>186</v>
      </c>
    </row>
    <row r="16" spans="1:10">
      <c r="A16" s="94" t="s">
        <v>191</v>
      </c>
      <c r="B16" s="94" t="s">
        <v>196</v>
      </c>
      <c r="C16" s="94" t="s">
        <v>197</v>
      </c>
      <c r="D16" s="94" t="s">
        <v>198</v>
      </c>
      <c r="E16" s="94" t="s">
        <v>199</v>
      </c>
    </row>
    <row r="17" spans="1:5">
      <c r="A17" s="96" t="s">
        <v>192</v>
      </c>
      <c r="B17" s="17">
        <v>3</v>
      </c>
      <c r="C17" s="97">
        <f>F3</f>
        <v>2943.7972499999996</v>
      </c>
      <c r="D17" s="97">
        <f>C17*B17</f>
        <v>8831.3917499999989</v>
      </c>
      <c r="E17" s="97">
        <f>$D$15*D17/(SUM($D$11:$D$14))</f>
        <v>125.15044701045532</v>
      </c>
    </row>
    <row r="18" spans="1:5">
      <c r="A18" s="96" t="s">
        <v>193</v>
      </c>
      <c r="B18" s="17">
        <v>6</v>
      </c>
      <c r="C18" s="97">
        <f t="shared" ref="C18:C20" si="5">F4</f>
        <v>2943.7972499999996</v>
      </c>
      <c r="D18" s="97">
        <f t="shared" ref="D18:D20" si="6">C18*B18</f>
        <v>17662.783499999998</v>
      </c>
      <c r="E18" s="97">
        <f>$D$15*D18/(SUM($D$11:$D$14))</f>
        <v>250.30089402091065</v>
      </c>
    </row>
    <row r="19" spans="1:5">
      <c r="A19" s="96" t="s">
        <v>194</v>
      </c>
      <c r="B19" s="17">
        <v>9</v>
      </c>
      <c r="C19" s="97">
        <f t="shared" si="5"/>
        <v>2943.7972499999996</v>
      </c>
      <c r="D19" s="97">
        <f t="shared" si="6"/>
        <v>26494.175249999997</v>
      </c>
      <c r="E19" s="97">
        <f>$D$15*D19/(SUM($D$11:$D$14))</f>
        <v>375.45134103136593</v>
      </c>
    </row>
    <row r="20" spans="1:5">
      <c r="A20" s="96" t="s">
        <v>195</v>
      </c>
      <c r="B20" s="17">
        <v>12</v>
      </c>
      <c r="C20" s="97">
        <f t="shared" si="5"/>
        <v>2202.6817499999997</v>
      </c>
      <c r="D20" s="97">
        <f t="shared" si="6"/>
        <v>26432.180999999997</v>
      </c>
      <c r="E20" s="97">
        <f>$D$15*D20/(SUM($D$11:$D$14))</f>
        <v>374.57281493726788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C507-A250-4282-BF4B-04BAF79E41CC}">
  <sheetPr codeName="Foglio3">
    <pageSetUpPr fitToPage="1"/>
  </sheetPr>
  <dimension ref="A1:F60"/>
  <sheetViews>
    <sheetView topLeftCell="A10" zoomScale="40" zoomScaleNormal="40" workbookViewId="0">
      <selection activeCell="F25" sqref="F25"/>
    </sheetView>
  </sheetViews>
  <sheetFormatPr defaultRowHeight="15"/>
  <cols>
    <col min="1" max="1" width="53.28515625" customWidth="1"/>
    <col min="2" max="2" width="28.28515625" customWidth="1"/>
    <col min="3" max="3" width="26" customWidth="1"/>
    <col min="4" max="4" width="19.85546875" customWidth="1"/>
    <col min="6" max="6" width="9.7109375" bestFit="1" customWidth="1"/>
  </cols>
  <sheetData>
    <row r="1" spans="1:6" ht="18.75">
      <c r="A1" s="123" t="s">
        <v>29</v>
      </c>
      <c r="B1" s="123"/>
      <c r="C1" s="123"/>
      <c r="D1" s="123"/>
      <c r="F1" s="31"/>
    </row>
    <row r="2" spans="1:6" ht="20.25">
      <c r="A2" s="40" t="s">
        <v>26</v>
      </c>
      <c r="B2" s="5" t="s">
        <v>50</v>
      </c>
      <c r="C2" s="5">
        <v>27</v>
      </c>
      <c r="D2" s="5" t="s">
        <v>0</v>
      </c>
      <c r="F2" s="31"/>
    </row>
    <row r="3" spans="1:6" ht="20.25">
      <c r="A3" s="40" t="s">
        <v>51</v>
      </c>
      <c r="B3" s="29" t="s">
        <v>52</v>
      </c>
      <c r="C3" s="5">
        <v>1</v>
      </c>
      <c r="D3" s="5" t="s">
        <v>24</v>
      </c>
      <c r="F3" s="31"/>
    </row>
    <row r="4" spans="1:6" ht="20.25">
      <c r="A4" s="41" t="s">
        <v>25</v>
      </c>
      <c r="B4" s="42" t="s">
        <v>53</v>
      </c>
      <c r="C4" s="42">
        <f>C2*C3</f>
        <v>27</v>
      </c>
      <c r="D4" s="42" t="s">
        <v>0</v>
      </c>
      <c r="F4" s="31"/>
    </row>
    <row r="5" spans="1:6" ht="20.25">
      <c r="A5" s="6" t="s">
        <v>28</v>
      </c>
      <c r="B5" s="29" t="s">
        <v>54</v>
      </c>
      <c r="C5" s="28">
        <f>0.75*SQRT(1-0.2*LN(-LN(1-1/50)))</f>
        <v>1.0007337802921321</v>
      </c>
      <c r="D5" s="5" t="s">
        <v>24</v>
      </c>
      <c r="F5" s="31"/>
    </row>
    <row r="6" spans="1:6" ht="20.25">
      <c r="A6" s="41" t="s">
        <v>27</v>
      </c>
      <c r="B6" s="42" t="s">
        <v>55</v>
      </c>
      <c r="C6" s="43">
        <f>C4*C5</f>
        <v>27.019812067887568</v>
      </c>
      <c r="D6" s="42" t="s">
        <v>0</v>
      </c>
      <c r="F6" s="31"/>
    </row>
    <row r="7" spans="1:6" ht="20.25">
      <c r="A7" s="6" t="s">
        <v>31</v>
      </c>
      <c r="B7" s="29" t="s">
        <v>56</v>
      </c>
      <c r="C7" s="5">
        <v>1</v>
      </c>
      <c r="D7" s="5" t="s">
        <v>24</v>
      </c>
      <c r="F7" s="31"/>
    </row>
    <row r="8" spans="1:6" ht="21.75">
      <c r="A8" s="41" t="s">
        <v>30</v>
      </c>
      <c r="B8" s="42" t="s">
        <v>57</v>
      </c>
      <c r="C8" s="43">
        <f>0.5*1.25*C6^2</f>
        <v>456.29390261497662</v>
      </c>
      <c r="D8" s="42" t="s">
        <v>58</v>
      </c>
      <c r="F8" s="31"/>
    </row>
    <row r="9" spans="1:6" ht="20.25">
      <c r="A9" s="44" t="s">
        <v>32</v>
      </c>
      <c r="B9" s="29" t="s">
        <v>59</v>
      </c>
      <c r="C9" s="5">
        <v>1</v>
      </c>
      <c r="D9" s="7" t="s">
        <v>24</v>
      </c>
    </row>
    <row r="10" spans="1:6" ht="21" customHeight="1">
      <c r="A10" s="121" t="s">
        <v>34</v>
      </c>
      <c r="B10" s="121"/>
      <c r="C10" s="121"/>
      <c r="D10" s="121"/>
    </row>
    <row r="11" spans="1:6" ht="18.75">
      <c r="A11" s="35" t="s">
        <v>36</v>
      </c>
      <c r="B11" s="33" t="s">
        <v>1</v>
      </c>
      <c r="C11" s="33" t="s">
        <v>2</v>
      </c>
      <c r="D11" s="33" t="s">
        <v>3</v>
      </c>
    </row>
    <row r="12" spans="1:6">
      <c r="A12" s="36" t="s">
        <v>35</v>
      </c>
      <c r="B12" s="34">
        <v>0.19</v>
      </c>
      <c r="C12" s="34">
        <v>0.05</v>
      </c>
      <c r="D12" s="34">
        <v>4</v>
      </c>
    </row>
    <row r="13" spans="1:6" ht="18.75">
      <c r="A13" s="37" t="s">
        <v>37</v>
      </c>
      <c r="B13" s="31" t="s">
        <v>40</v>
      </c>
      <c r="C13" s="19" t="s">
        <v>39</v>
      </c>
      <c r="D13" s="38">
        <f>$B$12*$C$7*LN(D12/C12)*(7+$C$7*LN(D12/C12))</f>
        <v>9.4765053352446085</v>
      </c>
    </row>
    <row r="14" spans="1:6" ht="18.75">
      <c r="A14" s="39" t="s">
        <v>38</v>
      </c>
      <c r="B14" s="2">
        <v>4</v>
      </c>
      <c r="C14" s="2" t="s">
        <v>41</v>
      </c>
      <c r="D14" s="17">
        <f>$B$12*$C$7*LN(B14/$C$12)*(7+$C$7*LN(B14/$C$12))</f>
        <v>9.4765053352446085</v>
      </c>
    </row>
    <row r="15" spans="1:6" ht="18">
      <c r="B15" s="2">
        <v>5</v>
      </c>
      <c r="C15" s="2" t="s">
        <v>42</v>
      </c>
      <c r="D15" s="17">
        <f t="shared" ref="D15:D22" si="0">$B$12*$C$7*LN(B15/$C$12)*(7+$C$7*LN(B15/$C$12))</f>
        <v>10.154318911327746</v>
      </c>
    </row>
    <row r="16" spans="1:6" ht="18">
      <c r="B16" s="2">
        <v>6</v>
      </c>
      <c r="C16" s="2" t="s">
        <v>43</v>
      </c>
      <c r="D16" s="17">
        <f t="shared" si="0"/>
        <v>10.722178683469311</v>
      </c>
    </row>
    <row r="17" spans="1:4" ht="18">
      <c r="A17" s="31">
        <v>0</v>
      </c>
      <c r="B17" s="2">
        <v>7</v>
      </c>
      <c r="C17" s="2" t="s">
        <v>44</v>
      </c>
      <c r="D17" s="17">
        <f t="shared" si="0"/>
        <v>11.212152090327445</v>
      </c>
    </row>
    <row r="18" spans="1:4" ht="18">
      <c r="A18" s="31">
        <v>0</v>
      </c>
      <c r="B18" s="2">
        <v>8</v>
      </c>
      <c r="C18" s="2" t="s">
        <v>45</v>
      </c>
      <c r="D18" s="17">
        <f t="shared" si="0"/>
        <v>11.643885132679655</v>
      </c>
    </row>
    <row r="19" spans="1:4" ht="18">
      <c r="B19" s="2">
        <v>9</v>
      </c>
      <c r="C19" s="2" t="s">
        <v>46</v>
      </c>
      <c r="D19" s="17">
        <f t="shared" si="0"/>
        <v>12.030324774173419</v>
      </c>
    </row>
    <row r="20" spans="1:4" ht="18">
      <c r="B20" s="2">
        <v>10</v>
      </c>
      <c r="C20" s="2" t="s">
        <v>47</v>
      </c>
      <c r="D20" s="17">
        <f t="shared" si="0"/>
        <v>12.380473811675147</v>
      </c>
    </row>
    <row r="21" spans="1:4" ht="18">
      <c r="B21" s="2">
        <v>11</v>
      </c>
      <c r="C21" s="2" t="s">
        <v>48</v>
      </c>
      <c r="D21" s="17">
        <f t="shared" si="0"/>
        <v>12.700856077315134</v>
      </c>
    </row>
    <row r="22" spans="1:4" ht="18">
      <c r="B22" s="2">
        <v>12</v>
      </c>
      <c r="C22" s="2" t="s">
        <v>49</v>
      </c>
      <c r="D22" s="17">
        <f t="shared" si="0"/>
        <v>12.996356339574588</v>
      </c>
    </row>
    <row r="23" spans="1:4">
      <c r="B23" s="2">
        <v>12.5</v>
      </c>
      <c r="C23" s="2"/>
      <c r="D23" s="17"/>
    </row>
    <row r="24" spans="1:4" ht="18.75">
      <c r="A24" s="121" t="s">
        <v>33</v>
      </c>
      <c r="B24" s="121"/>
      <c r="C24" s="121"/>
      <c r="D24" s="121"/>
    </row>
    <row r="25" spans="1:4">
      <c r="A25" s="122" t="s">
        <v>60</v>
      </c>
      <c r="B25" s="122"/>
      <c r="C25" s="122"/>
      <c r="D25" s="122"/>
    </row>
    <row r="26" spans="1:4">
      <c r="B26" s="46" t="s">
        <v>212</v>
      </c>
      <c r="C26" s="32" t="s">
        <v>213</v>
      </c>
      <c r="D26" s="105" t="s">
        <v>215</v>
      </c>
    </row>
    <row r="27" spans="1:4" ht="15.75">
      <c r="A27" s="16" t="s">
        <v>214</v>
      </c>
      <c r="B27" s="45">
        <v>0.78</v>
      </c>
      <c r="C27" s="107">
        <v>-0.9</v>
      </c>
      <c r="D27" s="2">
        <v>-0.47</v>
      </c>
    </row>
    <row r="30" spans="1:4">
      <c r="A30" s="11" t="s">
        <v>216</v>
      </c>
      <c r="B30" s="106" t="s">
        <v>217</v>
      </c>
      <c r="C30" s="106" t="s">
        <v>218</v>
      </c>
      <c r="D30" s="106" t="s">
        <v>219</v>
      </c>
    </row>
    <row r="31" spans="1:4">
      <c r="A31" s="11" t="s">
        <v>220</v>
      </c>
      <c r="B31" s="106" t="s">
        <v>221</v>
      </c>
      <c r="C31" s="106" t="s">
        <v>221</v>
      </c>
      <c r="D31" s="106" t="s">
        <v>221</v>
      </c>
    </row>
    <row r="32" spans="1:4">
      <c r="A32" s="11">
        <v>0</v>
      </c>
      <c r="B32" s="97">
        <f t="shared" ref="B32:D41" si="1">$C$8*$C$9*$D13*B$27</f>
        <v>3372.7758500049194</v>
      </c>
      <c r="C32" s="97">
        <f t="shared" si="1"/>
        <v>-3891.6644423133689</v>
      </c>
      <c r="D32" s="97">
        <f t="shared" si="1"/>
        <v>-2032.3136532080923</v>
      </c>
    </row>
    <row r="33" spans="1:4">
      <c r="A33" s="11">
        <v>4</v>
      </c>
      <c r="B33" s="97">
        <f t="shared" si="1"/>
        <v>3372.7758500049194</v>
      </c>
      <c r="C33" s="97">
        <f t="shared" si="1"/>
        <v>-3891.6644423133689</v>
      </c>
      <c r="D33" s="97">
        <f t="shared" si="1"/>
        <v>-2032.3136532080923</v>
      </c>
    </row>
    <row r="34" spans="1:4">
      <c r="A34" s="11">
        <v>5</v>
      </c>
      <c r="B34" s="97">
        <f t="shared" si="1"/>
        <v>3614.0159674685024</v>
      </c>
      <c r="C34" s="97">
        <f t="shared" si="1"/>
        <v>-4170.0184240021181</v>
      </c>
      <c r="D34" s="97">
        <f t="shared" si="1"/>
        <v>-2177.6762880899946</v>
      </c>
    </row>
    <row r="35" spans="1:4">
      <c r="A35" s="11">
        <v>6</v>
      </c>
      <c r="B35" s="97">
        <f t="shared" si="1"/>
        <v>3816.1225096919529</v>
      </c>
      <c r="C35" s="97">
        <f t="shared" si="1"/>
        <v>-4403.2182804137919</v>
      </c>
      <c r="D35" s="97">
        <f t="shared" si="1"/>
        <v>-2299.4584353272026</v>
      </c>
    </row>
    <row r="36" spans="1:4">
      <c r="A36" s="11">
        <v>7</v>
      </c>
      <c r="B36" s="97">
        <f t="shared" si="1"/>
        <v>3990.5085745263787</v>
      </c>
      <c r="C36" s="97">
        <f t="shared" si="1"/>
        <v>-4604.4329706073595</v>
      </c>
      <c r="D36" s="97">
        <f t="shared" si="1"/>
        <v>-2404.5372179838432</v>
      </c>
    </row>
    <row r="37" spans="1:4">
      <c r="A37" s="11">
        <v>8</v>
      </c>
      <c r="B37" s="97">
        <f t="shared" si="1"/>
        <v>4144.1663552569053</v>
      </c>
      <c r="C37" s="97">
        <f t="shared" si="1"/>
        <v>-4781.7304099118146</v>
      </c>
      <c r="D37" s="97">
        <f t="shared" si="1"/>
        <v>-2497.1258807317249</v>
      </c>
    </row>
    <row r="38" spans="1:4">
      <c r="A38" s="11">
        <v>9</v>
      </c>
      <c r="B38" s="97">
        <f t="shared" si="1"/>
        <v>4281.7037959279169</v>
      </c>
      <c r="C38" s="97">
        <f t="shared" si="1"/>
        <v>-4940.4274568399032</v>
      </c>
      <c r="D38" s="97">
        <f t="shared" si="1"/>
        <v>-2580.001005238616</v>
      </c>
    </row>
    <row r="39" spans="1:4">
      <c r="A39" s="11">
        <v>10</v>
      </c>
      <c r="B39" s="97">
        <f t="shared" si="1"/>
        <v>4406.3250751663791</v>
      </c>
      <c r="C39" s="97">
        <f t="shared" si="1"/>
        <v>-5084.2212405765913</v>
      </c>
      <c r="D39" s="97">
        <f t="shared" si="1"/>
        <v>-2655.0933145233307</v>
      </c>
    </row>
    <row r="40" spans="1:4">
      <c r="A40" s="11">
        <v>11</v>
      </c>
      <c r="B40" s="97">
        <f t="shared" si="1"/>
        <v>4520.3520851340272</v>
      </c>
      <c r="C40" s="97">
        <f t="shared" si="1"/>
        <v>-5215.7908674623395</v>
      </c>
      <c r="D40" s="97">
        <f t="shared" si="1"/>
        <v>-2723.8018974525548</v>
      </c>
    </row>
    <row r="41" spans="1:4">
      <c r="A41" s="11">
        <v>12</v>
      </c>
      <c r="B41" s="97">
        <f t="shared" si="1"/>
        <v>4625.5233600883175</v>
      </c>
      <c r="C41" s="97">
        <f t="shared" si="1"/>
        <v>-5337.1423385634425</v>
      </c>
      <c r="D41" s="97">
        <f t="shared" si="1"/>
        <v>-2787.1743323609089</v>
      </c>
    </row>
    <row r="49" spans="1:6">
      <c r="A49" s="10"/>
      <c r="B49" s="11"/>
      <c r="C49" s="12"/>
      <c r="F49" s="31"/>
    </row>
    <row r="50" spans="1:6">
      <c r="A50" s="13"/>
      <c r="B50" s="10"/>
      <c r="C50" s="14"/>
      <c r="F50" s="31"/>
    </row>
    <row r="51" spans="1:6" ht="21">
      <c r="A51" s="15"/>
      <c r="B51" s="11"/>
      <c r="C51" s="12"/>
      <c r="D51" s="4"/>
      <c r="E51" s="8"/>
      <c r="F51" s="4"/>
    </row>
    <row r="52" spans="1:6">
      <c r="F52" s="31"/>
    </row>
    <row r="53" spans="1:6">
      <c r="F53" s="31"/>
    </row>
    <row r="54" spans="1:6">
      <c r="F54" s="31"/>
    </row>
    <row r="55" spans="1:6">
      <c r="F55" s="31"/>
    </row>
    <row r="56" spans="1:6">
      <c r="F56" s="31"/>
    </row>
    <row r="57" spans="1:6">
      <c r="F57" s="31"/>
    </row>
    <row r="58" spans="1:6">
      <c r="F58" s="31"/>
    </row>
    <row r="59" spans="1:6">
      <c r="F59" s="31"/>
    </row>
    <row r="60" spans="1:6" ht="21">
      <c r="A60" s="9"/>
      <c r="B60" s="9"/>
      <c r="C60" s="9"/>
      <c r="F60" s="31"/>
    </row>
  </sheetData>
  <mergeCells count="4">
    <mergeCell ref="A24:D24"/>
    <mergeCell ref="A25:D25"/>
    <mergeCell ref="A1:D1"/>
    <mergeCell ref="A10:D10"/>
  </mergeCells>
  <phoneticPr fontId="31" type="noConversion"/>
  <pageMargins left="0.7" right="0.7" top="0.75" bottom="0.75" header="0.3" footer="0.3"/>
  <pageSetup paperSize="9" scale="5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93A3-C3DC-4D36-88E5-864B1E6A8E89}">
  <sheetPr>
    <pageSetUpPr fitToPage="1"/>
  </sheetPr>
  <dimension ref="A1:T47"/>
  <sheetViews>
    <sheetView tabSelected="1" topLeftCell="L1" zoomScale="70" zoomScaleNormal="70" workbookViewId="0">
      <selection activeCell="X30" sqref="X30"/>
    </sheetView>
  </sheetViews>
  <sheetFormatPr defaultRowHeight="15"/>
  <cols>
    <col min="4" max="4" width="7.7109375" customWidth="1"/>
    <col min="5" max="5" width="17.85546875" customWidth="1"/>
    <col min="10" max="10" width="8.5703125" customWidth="1"/>
    <col min="12" max="12" width="18.28515625" customWidth="1"/>
    <col min="18" max="18" width="12.85546875" customWidth="1"/>
    <col min="19" max="19" width="16.42578125" customWidth="1"/>
    <col min="20" max="20" width="15" style="110" customWidth="1"/>
  </cols>
  <sheetData>
    <row r="1" spans="1:20">
      <c r="A1" s="27" t="s">
        <v>5</v>
      </c>
      <c r="B1" s="31" t="s">
        <v>23</v>
      </c>
      <c r="C1" s="31" t="s">
        <v>22</v>
      </c>
      <c r="D1">
        <v>1.5</v>
      </c>
      <c r="H1" s="20" t="s">
        <v>4</v>
      </c>
      <c r="I1" s="31" t="s">
        <v>23</v>
      </c>
      <c r="J1" s="31" t="s">
        <v>205</v>
      </c>
      <c r="K1" s="31">
        <v>1</v>
      </c>
      <c r="O1" s="20" t="s">
        <v>226</v>
      </c>
      <c r="P1" s="31"/>
      <c r="S1" s="31" t="s">
        <v>225</v>
      </c>
      <c r="T1" s="110">
        <v>2</v>
      </c>
    </row>
    <row r="2" spans="1:20">
      <c r="A2" s="23" t="s">
        <v>6</v>
      </c>
      <c r="B2" s="23" t="s">
        <v>7</v>
      </c>
      <c r="C2" s="23" t="s">
        <v>7</v>
      </c>
      <c r="E2" s="23" t="s">
        <v>8</v>
      </c>
      <c r="F2" s="24" t="s">
        <v>5</v>
      </c>
      <c r="H2" s="23" t="s">
        <v>6</v>
      </c>
      <c r="I2" s="23" t="s">
        <v>7</v>
      </c>
      <c r="J2" s="23" t="s">
        <v>7</v>
      </c>
      <c r="L2" s="23" t="s">
        <v>8</v>
      </c>
      <c r="M2" s="24" t="s">
        <v>4</v>
      </c>
      <c r="O2" s="23" t="s">
        <v>6</v>
      </c>
      <c r="P2" s="23" t="s">
        <v>227</v>
      </c>
      <c r="Q2" s="23" t="s">
        <v>228</v>
      </c>
      <c r="R2" s="23" t="s">
        <v>229</v>
      </c>
      <c r="S2" s="23" t="s">
        <v>230</v>
      </c>
      <c r="T2" s="111" t="s">
        <v>231</v>
      </c>
    </row>
    <row r="3" spans="1:20" ht="15.75">
      <c r="A3" s="21">
        <v>0</v>
      </c>
      <c r="B3" s="21">
        <v>9.4238584661924057E-2</v>
      </c>
      <c r="C3" s="103">
        <f>B3/1</f>
        <v>9.4238584661924057E-2</v>
      </c>
      <c r="E3" s="23" t="s">
        <v>9</v>
      </c>
      <c r="F3" s="99">
        <v>7.8532153884936715E-2</v>
      </c>
      <c r="G3" t="s">
        <v>10</v>
      </c>
      <c r="H3" s="21">
        <v>0</v>
      </c>
      <c r="I3" s="21">
        <v>0.23398447716366794</v>
      </c>
      <c r="J3" s="30">
        <f>I3/1</f>
        <v>0.23398447716366794</v>
      </c>
      <c r="L3" s="23" t="s">
        <v>9</v>
      </c>
      <c r="M3" s="99">
        <v>0.19498706430305662</v>
      </c>
      <c r="N3" t="s">
        <v>10</v>
      </c>
      <c r="O3" s="21">
        <v>0</v>
      </c>
      <c r="P3" s="21">
        <f>I3</f>
        <v>0.23398447716366794</v>
      </c>
      <c r="Q3" s="30">
        <f>P3*O3^2/(4*PI()^2)</f>
        <v>0</v>
      </c>
      <c r="R3" s="108">
        <f>P3/T3</f>
        <v>0.23398447716366794</v>
      </c>
      <c r="S3" s="109">
        <f>Q3*$T$1/T3</f>
        <v>0</v>
      </c>
      <c r="T3" s="110">
        <f>($T$1 - 1)*O3/$O$5 + 1</f>
        <v>1</v>
      </c>
    </row>
    <row r="4" spans="1:20" ht="15.75">
      <c r="A4" s="79">
        <v>0.12586752296525536</v>
      </c>
      <c r="B4" s="79">
        <v>0.23029463974448933</v>
      </c>
      <c r="C4" s="103">
        <f t="shared" ref="C4:C47" si="0">B4/$D$1</f>
        <v>0.15352975982965955</v>
      </c>
      <c r="E4" s="23" t="s">
        <v>11</v>
      </c>
      <c r="F4" s="100">
        <v>2.4437404336096429</v>
      </c>
      <c r="H4" s="79">
        <v>0.13446297296243795</v>
      </c>
      <c r="I4" s="79">
        <v>0.56132080004920981</v>
      </c>
      <c r="J4" s="30">
        <f t="shared" ref="J4:J47" si="1">I4/$K$1</f>
        <v>0.56132080004920981</v>
      </c>
      <c r="L4" s="23" t="s">
        <v>11</v>
      </c>
      <c r="M4" s="100">
        <v>2.3989659778010659</v>
      </c>
      <c r="O4" s="79">
        <v>0.13446297296243795</v>
      </c>
      <c r="P4" s="21">
        <f t="shared" ref="P4:P47" si="2">I4</f>
        <v>0.56132080004920981</v>
      </c>
      <c r="Q4" s="30">
        <f t="shared" ref="Q4:Q47" si="3">P4*O4^2/(4*PI()^2)</f>
        <v>2.5707320809824331E-4</v>
      </c>
      <c r="R4" s="108">
        <f t="shared" ref="R4:R47" si="4">P4/T4</f>
        <v>0.42099060003690736</v>
      </c>
      <c r="S4" s="109">
        <f t="shared" ref="S4:S47" si="5">Q4*$T$1/T4</f>
        <v>3.8560981214736496E-4</v>
      </c>
      <c r="T4" s="110">
        <f t="shared" ref="T4:T26" si="6">($T$1 - 1)*O4/$O$5 + 1</f>
        <v>1.3333333333333333</v>
      </c>
    </row>
    <row r="5" spans="1:20" ht="15.75">
      <c r="A5" s="79">
        <v>0.37760256889576604</v>
      </c>
      <c r="B5" s="79">
        <v>0.23029463974448933</v>
      </c>
      <c r="C5" s="103">
        <f t="shared" si="0"/>
        <v>0.15352975982965955</v>
      </c>
      <c r="E5" s="23" t="s">
        <v>12</v>
      </c>
      <c r="F5" s="100">
        <v>0.26275610705805286</v>
      </c>
      <c r="G5" t="s">
        <v>13</v>
      </c>
      <c r="H5" s="79">
        <v>0.40338891888731387</v>
      </c>
      <c r="I5" s="79">
        <v>0.56132080004920981</v>
      </c>
      <c r="J5" s="30">
        <f t="shared" si="1"/>
        <v>0.56132080004920981</v>
      </c>
      <c r="L5" s="23" t="s">
        <v>12</v>
      </c>
      <c r="M5" s="100">
        <v>0.28537380013241093</v>
      </c>
      <c r="N5" t="s">
        <v>13</v>
      </c>
      <c r="O5" s="79">
        <v>0.40338891888731387</v>
      </c>
      <c r="P5" s="21">
        <f t="shared" si="2"/>
        <v>0.56132080004920981</v>
      </c>
      <c r="Q5" s="30">
        <f t="shared" si="3"/>
        <v>2.31365887288419E-3</v>
      </c>
      <c r="R5" s="108">
        <f t="shared" si="4"/>
        <v>0.28066040002460491</v>
      </c>
      <c r="S5" s="109">
        <f t="shared" si="5"/>
        <v>2.31365887288419E-3</v>
      </c>
      <c r="T5" s="110">
        <f t="shared" si="6"/>
        <v>2</v>
      </c>
    </row>
    <row r="6" spans="1:20" ht="15.75">
      <c r="A6" s="22">
        <v>0.45077047587881275</v>
      </c>
      <c r="B6" s="21">
        <v>0.19291380474932179</v>
      </c>
      <c r="C6" s="103">
        <f t="shared" si="0"/>
        <v>0.12860920316621452</v>
      </c>
      <c r="E6" s="23" t="s">
        <v>14</v>
      </c>
      <c r="F6" s="99">
        <v>1.2</v>
      </c>
      <c r="H6" s="22">
        <v>0.49751079214088112</v>
      </c>
      <c r="I6" s="21">
        <f t="shared" ref="I6:I25" si="7">$M$3*$M$11*$M$12*$M$4*($M$14/H6)</f>
        <v>0.45512699273605711</v>
      </c>
      <c r="J6" s="30">
        <f>I6/$K$1</f>
        <v>0.45512699273605711</v>
      </c>
      <c r="K6">
        <f>M3*M11*M12*M4*(M14/H6)</f>
        <v>0.45512699273605711</v>
      </c>
      <c r="L6" s="23" t="s">
        <v>14</v>
      </c>
      <c r="M6" s="99">
        <v>1.2</v>
      </c>
      <c r="O6" s="22">
        <v>0.49751079214088112</v>
      </c>
      <c r="P6" s="21">
        <f t="shared" si="2"/>
        <v>0.45512699273605711</v>
      </c>
      <c r="Q6" s="30">
        <f t="shared" si="3"/>
        <v>2.8534999468191671E-3</v>
      </c>
      <c r="R6" s="108">
        <f t="shared" si="4"/>
        <v>0.203788705123124</v>
      </c>
      <c r="S6" s="109">
        <f t="shared" si="5"/>
        <v>2.5553793491146252E-3</v>
      </c>
      <c r="T6" s="110">
        <f t="shared" si="6"/>
        <v>2.2333278601533921</v>
      </c>
    </row>
    <row r="7" spans="1:20" ht="15.75">
      <c r="A7" s="22">
        <v>0.52393838286185945</v>
      </c>
      <c r="B7" s="21">
        <v>0.16597342438523313</v>
      </c>
      <c r="C7" s="103">
        <f t="shared" si="0"/>
        <v>0.11064894959015542</v>
      </c>
      <c r="E7" s="25" t="s">
        <v>15</v>
      </c>
      <c r="F7" s="100">
        <v>1.4370838916879645</v>
      </c>
      <c r="H7" s="22">
        <v>0.59163266539444836</v>
      </c>
      <c r="I7" s="21">
        <f t="shared" si="7"/>
        <v>0.38272158372095449</v>
      </c>
      <c r="J7" s="30">
        <f t="shared" si="1"/>
        <v>0.38272158372095449</v>
      </c>
      <c r="L7" s="25" t="s">
        <v>15</v>
      </c>
      <c r="M7" s="100">
        <v>1.4135457379063705</v>
      </c>
      <c r="O7" s="22">
        <v>0.59163266539444836</v>
      </c>
      <c r="P7" s="21">
        <f t="shared" si="2"/>
        <v>0.38272158372095449</v>
      </c>
      <c r="Q7" s="30">
        <f t="shared" si="3"/>
        <v>3.3933410207541447E-3</v>
      </c>
      <c r="R7" s="108">
        <f t="shared" si="4"/>
        <v>0.15515808735292594</v>
      </c>
      <c r="S7" s="109">
        <f t="shared" si="5"/>
        <v>2.7513697941860377E-3</v>
      </c>
      <c r="T7" s="110">
        <f t="shared" si="6"/>
        <v>2.4666557203067843</v>
      </c>
    </row>
    <row r="8" spans="1:20" ht="15.75">
      <c r="A8" s="22">
        <v>0.59710628984490621</v>
      </c>
      <c r="B8" s="21">
        <v>0.14563545728689495</v>
      </c>
      <c r="C8" s="103">
        <f t="shared" si="0"/>
        <v>9.7090304857929965E-2</v>
      </c>
      <c r="E8" s="23" t="s">
        <v>16</v>
      </c>
      <c r="F8" s="100">
        <v>1</v>
      </c>
      <c r="H8" s="22">
        <v>0.68575453864801561</v>
      </c>
      <c r="I8" s="21">
        <f t="shared" si="7"/>
        <v>0.33019189508716501</v>
      </c>
      <c r="J8" s="30">
        <f t="shared" si="1"/>
        <v>0.33019189508716501</v>
      </c>
      <c r="L8" s="23" t="s">
        <v>16</v>
      </c>
      <c r="M8" s="100">
        <v>1</v>
      </c>
      <c r="O8" s="22">
        <v>0.68575453864801561</v>
      </c>
      <c r="P8" s="21">
        <f t="shared" si="2"/>
        <v>0.33019189508716501</v>
      </c>
      <c r="Q8" s="30">
        <f t="shared" si="3"/>
        <v>3.9331820946891215E-3</v>
      </c>
      <c r="R8" s="108">
        <f t="shared" si="4"/>
        <v>0.12229403818481303</v>
      </c>
      <c r="S8" s="109">
        <f t="shared" si="5"/>
        <v>2.9134859361024429E-3</v>
      </c>
      <c r="T8" s="110">
        <f t="shared" si="6"/>
        <v>2.6999835804601764</v>
      </c>
    </row>
    <row r="9" spans="1:20">
      <c r="A9" s="22">
        <v>0.67027419682795297</v>
      </c>
      <c r="B9" s="21">
        <v>0.12973772223662841</v>
      </c>
      <c r="C9" s="103">
        <f t="shared" si="0"/>
        <v>8.6491814824418936E-2</v>
      </c>
      <c r="E9" s="25" t="str">
        <f>IF([1]D3a!C5=0,"ξ","q")</f>
        <v>q</v>
      </c>
      <c r="F9" s="100">
        <v>1</v>
      </c>
      <c r="H9" s="22">
        <v>0.77987641190158286</v>
      </c>
      <c r="I9" s="21">
        <f t="shared" si="7"/>
        <v>0.29034163262959078</v>
      </c>
      <c r="J9" s="30">
        <f t="shared" si="1"/>
        <v>0.29034163262959078</v>
      </c>
      <c r="L9" s="25" t="str">
        <f>IF([1]D3a!I5=0,"ξ","q")</f>
        <v>q</v>
      </c>
      <c r="M9" s="100">
        <v>1</v>
      </c>
      <c r="O9" s="22">
        <v>0.77987641190158286</v>
      </c>
      <c r="P9" s="21">
        <f t="shared" si="2"/>
        <v>0.29034163262959078</v>
      </c>
      <c r="Q9" s="30">
        <f t="shared" si="3"/>
        <v>4.4730231686240986E-3</v>
      </c>
      <c r="R9" s="108">
        <f t="shared" si="4"/>
        <v>9.8980840769113579E-2</v>
      </c>
      <c r="S9" s="109">
        <f t="shared" si="5"/>
        <v>3.0498112861063703E-3</v>
      </c>
      <c r="T9" s="110">
        <f t="shared" si="6"/>
        <v>2.9333114406135685</v>
      </c>
    </row>
    <row r="10" spans="1:20">
      <c r="A10" s="22">
        <v>0.74344210381099973</v>
      </c>
      <c r="B10" s="21">
        <v>0.11696922615046211</v>
      </c>
      <c r="C10" s="103">
        <f t="shared" si="0"/>
        <v>7.7979484100308069E-2</v>
      </c>
      <c r="F10" s="31"/>
      <c r="H10" s="22">
        <v>0.8739982851551501</v>
      </c>
      <c r="I10" s="21">
        <f t="shared" si="7"/>
        <v>0.25907441070163817</v>
      </c>
      <c r="J10" s="30">
        <f t="shared" si="1"/>
        <v>0.25907441070163817</v>
      </c>
      <c r="M10" s="31"/>
      <c r="O10" s="22">
        <v>0.8739982851551501</v>
      </c>
      <c r="P10" s="21">
        <f t="shared" si="2"/>
        <v>0.25907441070163817</v>
      </c>
      <c r="Q10" s="30">
        <f t="shared" si="3"/>
        <v>5.0128642425590758E-3</v>
      </c>
      <c r="R10" s="108">
        <f t="shared" si="4"/>
        <v>8.181367882312654E-2</v>
      </c>
      <c r="S10" s="109">
        <f t="shared" si="5"/>
        <v>3.1660468821598712E-3</v>
      </c>
      <c r="T10" s="110">
        <f t="shared" si="6"/>
        <v>3.1666393007669611</v>
      </c>
    </row>
    <row r="11" spans="1:20">
      <c r="A11" s="22">
        <v>0.81661001079404649</v>
      </c>
      <c r="B11" s="21">
        <v>0.10648883361824951</v>
      </c>
      <c r="C11" s="103">
        <f t="shared" si="0"/>
        <v>7.0992555745499675E-2</v>
      </c>
      <c r="E11" s="23" t="s">
        <v>17</v>
      </c>
      <c r="F11" s="99">
        <v>1.2</v>
      </c>
      <c r="H11" s="22">
        <v>0.96812015840871735</v>
      </c>
      <c r="I11" s="21">
        <f t="shared" si="7"/>
        <v>0.23388686694944247</v>
      </c>
      <c r="J11" s="30">
        <f t="shared" si="1"/>
        <v>0.23388686694944247</v>
      </c>
      <c r="L11" s="23" t="s">
        <v>17</v>
      </c>
      <c r="M11" s="99">
        <v>1.2</v>
      </c>
      <c r="O11" s="22">
        <v>0.96812015840871735</v>
      </c>
      <c r="P11" s="21">
        <f t="shared" si="2"/>
        <v>0.23388686694944247</v>
      </c>
      <c r="Q11" s="30">
        <f t="shared" si="3"/>
        <v>5.5527053164940538E-3</v>
      </c>
      <c r="R11" s="108">
        <f t="shared" si="4"/>
        <v>6.8790919405859949E-2</v>
      </c>
      <c r="S11" s="109">
        <f t="shared" si="5"/>
        <v>3.2663287930057333E-3</v>
      </c>
      <c r="T11" s="110">
        <f t="shared" si="6"/>
        <v>3.3999671609203532</v>
      </c>
    </row>
    <row r="12" spans="1:20">
      <c r="A12" s="22">
        <v>0.88977791777709325</v>
      </c>
      <c r="B12" s="21">
        <v>9.7732081042979202E-2</v>
      </c>
      <c r="C12" s="103">
        <f t="shared" si="0"/>
        <v>6.5154720695319468E-2</v>
      </c>
      <c r="E12" s="26" t="s">
        <v>18</v>
      </c>
      <c r="F12" s="99">
        <v>1</v>
      </c>
      <c r="H12" s="22">
        <v>1.0622420316622847</v>
      </c>
      <c r="I12" s="21">
        <f t="shared" si="7"/>
        <v>0.2131628987853883</v>
      </c>
      <c r="J12" s="30">
        <f t="shared" si="1"/>
        <v>0.2131628987853883</v>
      </c>
      <c r="L12" s="26" t="s">
        <v>18</v>
      </c>
      <c r="M12" s="99">
        <v>1</v>
      </c>
      <c r="O12" s="22">
        <v>1.0622420316622847</v>
      </c>
      <c r="P12" s="21">
        <f t="shared" si="2"/>
        <v>0.2131628987853883</v>
      </c>
      <c r="Q12" s="30">
        <f t="shared" si="3"/>
        <v>6.092546390429031E-3</v>
      </c>
      <c r="R12" s="108">
        <f t="shared" si="4"/>
        <v>5.8669306386903965E-2</v>
      </c>
      <c r="S12" s="109">
        <f t="shared" si="5"/>
        <v>3.3537306247311037E-3</v>
      </c>
      <c r="T12" s="110">
        <f t="shared" si="6"/>
        <v>3.6332950210737458</v>
      </c>
    </row>
    <row r="13" spans="1:20" ht="15.75">
      <c r="A13" s="22">
        <v>0.96294582476014001</v>
      </c>
      <c r="B13" s="21">
        <v>9.030606430232456E-2</v>
      </c>
      <c r="C13" s="103">
        <f t="shared" si="0"/>
        <v>6.0204042868216373E-2</v>
      </c>
      <c r="E13" s="23" t="s">
        <v>19</v>
      </c>
      <c r="F13" s="99">
        <v>0.12586752296525536</v>
      </c>
      <c r="G13" t="s">
        <v>13</v>
      </c>
      <c r="H13" s="22">
        <v>1.1563639049158521</v>
      </c>
      <c r="I13" s="21">
        <f t="shared" si="7"/>
        <v>0.19581257225188989</v>
      </c>
      <c r="J13" s="30">
        <f t="shared" si="1"/>
        <v>0.19581257225188989</v>
      </c>
      <c r="L13" s="23" t="s">
        <v>19</v>
      </c>
      <c r="M13" s="99">
        <v>0.13446297296243795</v>
      </c>
      <c r="N13" t="s">
        <v>13</v>
      </c>
      <c r="O13" s="22">
        <v>1.1563639049158521</v>
      </c>
      <c r="P13" s="21">
        <f t="shared" si="2"/>
        <v>0.19581257225188989</v>
      </c>
      <c r="Q13" s="30">
        <f t="shared" si="3"/>
        <v>6.6323874643640099E-3</v>
      </c>
      <c r="R13" s="108">
        <f t="shared" si="4"/>
        <v>5.0641755937094503E-2</v>
      </c>
      <c r="S13" s="109">
        <f t="shared" si="5"/>
        <v>3.4305840875069301E-3</v>
      </c>
      <c r="T13" s="110">
        <f t="shared" si="6"/>
        <v>3.8666228812271384</v>
      </c>
    </row>
    <row r="14" spans="1:20" ht="15.75">
      <c r="A14" s="22">
        <v>1.0361137317431868</v>
      </c>
      <c r="B14" s="21">
        <v>8.3928863122140526E-2</v>
      </c>
      <c r="C14" s="103">
        <f t="shared" si="0"/>
        <v>5.5952575414760349E-2</v>
      </c>
      <c r="E14" s="23" t="s">
        <v>20</v>
      </c>
      <c r="F14" s="99">
        <v>0.37760256889576604</v>
      </c>
      <c r="G14" t="s">
        <v>13</v>
      </c>
      <c r="H14" s="22">
        <v>1.2504857781694194</v>
      </c>
      <c r="I14" s="21">
        <f t="shared" si="7"/>
        <v>0.1810741030675963</v>
      </c>
      <c r="J14" s="30">
        <f t="shared" si="1"/>
        <v>0.1810741030675963</v>
      </c>
      <c r="L14" s="23" t="s">
        <v>20</v>
      </c>
      <c r="M14" s="99">
        <v>0.40338891888731387</v>
      </c>
      <c r="N14" t="s">
        <v>13</v>
      </c>
      <c r="O14" s="22">
        <v>1.2504857781694194</v>
      </c>
      <c r="P14" s="21">
        <f t="shared" si="2"/>
        <v>0.1810741030675963</v>
      </c>
      <c r="Q14" s="30">
        <f t="shared" si="3"/>
        <v>7.172228538298988E-3</v>
      </c>
      <c r="R14" s="108">
        <f t="shared" si="4"/>
        <v>4.4164945993137777E-2</v>
      </c>
      <c r="S14" s="109">
        <f t="shared" si="5"/>
        <v>3.4986901017664248E-3</v>
      </c>
      <c r="T14" s="110">
        <f t="shared" si="6"/>
        <v>4.0999507413805301</v>
      </c>
    </row>
    <row r="15" spans="1:20" ht="15.75">
      <c r="A15" s="22">
        <v>1.1092816387262334</v>
      </c>
      <c r="B15" s="21">
        <v>7.8392938758364797E-2</v>
      </c>
      <c r="C15" s="103">
        <f t="shared" si="0"/>
        <v>5.2261959172243196E-2</v>
      </c>
      <c r="E15" s="23" t="s">
        <v>21</v>
      </c>
      <c r="F15" s="99">
        <v>1.914128615539747</v>
      </c>
      <c r="G15" t="s">
        <v>13</v>
      </c>
      <c r="H15" s="22">
        <v>1.3446076514229868</v>
      </c>
      <c r="I15" s="21">
        <f t="shared" si="7"/>
        <v>0.16839900504893252</v>
      </c>
      <c r="J15" s="30">
        <f t="shared" si="1"/>
        <v>0.16839900504893252</v>
      </c>
      <c r="L15" s="23" t="s">
        <v>21</v>
      </c>
      <c r="M15" s="99">
        <v>2.3799482572122264</v>
      </c>
      <c r="N15" t="s">
        <v>13</v>
      </c>
      <c r="O15" s="22">
        <v>1.3446076514229868</v>
      </c>
      <c r="P15" s="21">
        <f t="shared" si="2"/>
        <v>0.16839900504893252</v>
      </c>
      <c r="Q15" s="30">
        <f t="shared" si="3"/>
        <v>7.712069612233966E-3</v>
      </c>
      <c r="R15" s="108">
        <f t="shared" si="4"/>
        <v>3.8861799698113458E-2</v>
      </c>
      <c r="S15" s="109">
        <f t="shared" si="5"/>
        <v>3.5594617015873367E-3</v>
      </c>
      <c r="T15" s="110">
        <f t="shared" si="6"/>
        <v>4.3332786015339231</v>
      </c>
    </row>
    <row r="16" spans="1:20">
      <c r="A16" s="22">
        <v>1.1824495457092801</v>
      </c>
      <c r="B16" s="21">
        <v>7.3542121002957636E-2</v>
      </c>
      <c r="C16" s="103">
        <f t="shared" si="0"/>
        <v>4.9028080668638424E-2</v>
      </c>
      <c r="H16" s="22">
        <v>1.4387295246765541</v>
      </c>
      <c r="I16" s="21">
        <f t="shared" si="7"/>
        <v>0.15738232016314357</v>
      </c>
      <c r="J16" s="30">
        <f t="shared" si="1"/>
        <v>0.15738232016314357</v>
      </c>
      <c r="O16" s="22">
        <v>1.4387295246765541</v>
      </c>
      <c r="P16" s="21">
        <f t="shared" si="2"/>
        <v>0.15738232016314357</v>
      </c>
      <c r="Q16" s="30">
        <f t="shared" si="3"/>
        <v>8.2519106861689423E-3</v>
      </c>
      <c r="R16" s="108">
        <f t="shared" si="4"/>
        <v>3.4463736142700672E-2</v>
      </c>
      <c r="S16" s="109">
        <f t="shared" si="5"/>
        <v>3.6140231287282603E-3</v>
      </c>
      <c r="T16" s="110">
        <f t="shared" si="6"/>
        <v>4.5666064616873161</v>
      </c>
    </row>
    <row r="17" spans="1:20">
      <c r="A17" s="22">
        <v>1.2556174526923267</v>
      </c>
      <c r="B17" s="21">
        <v>6.9256641331308877E-2</v>
      </c>
      <c r="C17" s="103">
        <f t="shared" si="0"/>
        <v>4.6171094220872587E-2</v>
      </c>
      <c r="H17" s="22">
        <v>1.5328513979301215</v>
      </c>
      <c r="I17" s="21">
        <f t="shared" si="7"/>
        <v>0.14771855313996665</v>
      </c>
      <c r="J17" s="30">
        <f t="shared" si="1"/>
        <v>0.14771855313996665</v>
      </c>
      <c r="O17" s="22">
        <v>1.5328513979301215</v>
      </c>
      <c r="P17" s="21">
        <f t="shared" si="2"/>
        <v>0.14771855313996665</v>
      </c>
      <c r="Q17" s="30">
        <f t="shared" si="3"/>
        <v>8.7917517601039212E-3</v>
      </c>
      <c r="R17" s="108">
        <f t="shared" si="4"/>
        <v>3.077511966524547E-2</v>
      </c>
      <c r="S17" s="109">
        <f t="shared" si="5"/>
        <v>3.6632800245201716E-3</v>
      </c>
      <c r="T17" s="110">
        <f t="shared" si="6"/>
        <v>4.7999343218407082</v>
      </c>
    </row>
    <row r="18" spans="1:20" ht="15.75" thickBot="1">
      <c r="A18" s="22">
        <v>1.3287853596753734</v>
      </c>
      <c r="B18" s="21">
        <v>6.5443110835965809E-2</v>
      </c>
      <c r="C18" s="103">
        <f t="shared" si="0"/>
        <v>4.3628740557310537E-2</v>
      </c>
      <c r="H18" s="22">
        <v>1.6269732711836888</v>
      </c>
      <c r="I18" s="21">
        <f t="shared" si="7"/>
        <v>0.13917290141839603</v>
      </c>
      <c r="J18" s="30">
        <f t="shared" si="1"/>
        <v>0.13917290141839603</v>
      </c>
      <c r="L18" s="31"/>
      <c r="M18" s="86"/>
      <c r="O18" s="22">
        <v>1.6269732711836888</v>
      </c>
      <c r="P18" s="21">
        <f t="shared" si="2"/>
        <v>0.13917290141839603</v>
      </c>
      <c r="Q18" s="30">
        <f t="shared" si="3"/>
        <v>9.3315928340388984E-3</v>
      </c>
      <c r="R18" s="108">
        <f t="shared" si="4"/>
        <v>2.7650636185071107E-2</v>
      </c>
      <c r="S18" s="109">
        <f t="shared" si="5"/>
        <v>3.7079700983674432E-3</v>
      </c>
      <c r="T18" s="110">
        <f t="shared" si="6"/>
        <v>5.0332621819941004</v>
      </c>
    </row>
    <row r="19" spans="1:20" ht="15.75" thickBot="1">
      <c r="A19" s="22">
        <v>1.40195326665842</v>
      </c>
      <c r="B19" s="21">
        <v>6.2027636468735131E-2</v>
      </c>
      <c r="C19" s="103">
        <f t="shared" si="0"/>
        <v>4.1351757645823418E-2</v>
      </c>
      <c r="E19" s="101" t="s">
        <v>203</v>
      </c>
      <c r="F19" s="102">
        <v>0.59</v>
      </c>
      <c r="H19" s="22">
        <v>1.7210951444372562</v>
      </c>
      <c r="I19" s="21">
        <f t="shared" si="7"/>
        <v>0.13156192521526663</v>
      </c>
      <c r="J19" s="30">
        <f t="shared" si="1"/>
        <v>0.13156192521526663</v>
      </c>
      <c r="L19" s="101" t="s">
        <v>203</v>
      </c>
      <c r="M19" s="102">
        <v>0.72</v>
      </c>
      <c r="O19" s="22">
        <v>1.7210951444372562</v>
      </c>
      <c r="P19" s="21">
        <f t="shared" si="2"/>
        <v>0.13156192521526663</v>
      </c>
      <c r="Q19" s="30">
        <f t="shared" si="3"/>
        <v>9.8714339079738773E-3</v>
      </c>
      <c r="R19" s="108">
        <f t="shared" si="4"/>
        <v>2.4980475822572519E-2</v>
      </c>
      <c r="S19" s="109">
        <f t="shared" si="5"/>
        <v>3.7487003275268119E-3</v>
      </c>
      <c r="T19" s="110">
        <f t="shared" si="6"/>
        <v>5.2665900421474934</v>
      </c>
    </row>
    <row r="20" spans="1:20" ht="18">
      <c r="A20" s="22">
        <v>1.4751211736414667</v>
      </c>
      <c r="B20" s="21">
        <v>5.8950985942243718E-2</v>
      </c>
      <c r="C20" s="103">
        <f t="shared" si="0"/>
        <v>3.9300657294829143E-2</v>
      </c>
      <c r="E20" s="31" t="s">
        <v>178</v>
      </c>
      <c r="F20" s="86">
        <f>IF(F19&lt;A5,F3*F11*F12*F4,F3*F11*F12*F4*(F14/F19))</f>
        <v>0.14738957215329518</v>
      </c>
      <c r="H20" s="22">
        <v>1.8152170176908236</v>
      </c>
      <c r="I20" s="21">
        <f t="shared" si="7"/>
        <v>0.12474023131893068</v>
      </c>
      <c r="J20" s="30">
        <f t="shared" si="1"/>
        <v>0.12474023131893068</v>
      </c>
      <c r="L20" s="31" t="s">
        <v>177</v>
      </c>
      <c r="M20" s="86">
        <f>IF(M19&lt;H5,M3*M11*M12*M4,M3*M11*M12*M4*(M14/M19))</f>
        <v>0.31448693150112894</v>
      </c>
      <c r="O20" s="22">
        <v>1.8152170176908236</v>
      </c>
      <c r="P20" s="21">
        <f t="shared" si="2"/>
        <v>0.12474023131893068</v>
      </c>
      <c r="Q20" s="30">
        <f t="shared" si="3"/>
        <v>1.0411274981908854E-2</v>
      </c>
      <c r="R20" s="108">
        <f t="shared" si="4"/>
        <v>2.2680380604726068E-2</v>
      </c>
      <c r="S20" s="109">
        <f t="shared" si="5"/>
        <v>3.7859746879324533E-3</v>
      </c>
      <c r="T20" s="110">
        <f t="shared" si="6"/>
        <v>5.4999179023008855</v>
      </c>
    </row>
    <row r="21" spans="1:20" ht="18">
      <c r="A21" s="22">
        <v>1.5482890806245133</v>
      </c>
      <c r="B21" s="21">
        <v>5.6165123592661577E-2</v>
      </c>
      <c r="C21" s="103">
        <f t="shared" si="0"/>
        <v>3.7443415728441051E-2</v>
      </c>
      <c r="E21" s="31" t="s">
        <v>222</v>
      </c>
      <c r="F21">
        <f>F20/1.5</f>
        <v>9.8259714768863457E-2</v>
      </c>
      <c r="H21" s="22">
        <v>1.9093388909443909</v>
      </c>
      <c r="I21" s="21">
        <f t="shared" si="7"/>
        <v>0.11859109545965225</v>
      </c>
      <c r="J21" s="30">
        <f t="shared" si="1"/>
        <v>0.11859109545965225</v>
      </c>
      <c r="L21" s="31" t="s">
        <v>223</v>
      </c>
      <c r="M21" s="31">
        <f>M20/K1</f>
        <v>0.31448693150112894</v>
      </c>
      <c r="O21" s="22">
        <v>1.9093388909443909</v>
      </c>
      <c r="P21" s="21">
        <f t="shared" si="2"/>
        <v>0.11859109545965225</v>
      </c>
      <c r="Q21" s="30">
        <f t="shared" si="3"/>
        <v>1.0951116055843832E-2</v>
      </c>
      <c r="R21" s="108">
        <f t="shared" si="4"/>
        <v>2.0684809333707331E-2</v>
      </c>
      <c r="S21" s="109">
        <f t="shared" si="5"/>
        <v>3.8202151135959313E-3</v>
      </c>
      <c r="T21" s="110">
        <f t="shared" si="6"/>
        <v>5.7332457624542785</v>
      </c>
    </row>
    <row r="22" spans="1:20">
      <c r="A22" s="22">
        <v>1.62145698760756</v>
      </c>
      <c r="B22" s="21">
        <v>5.3630684153239461E-2</v>
      </c>
      <c r="C22" s="103">
        <f t="shared" si="0"/>
        <v>3.5753789435492976E-2</v>
      </c>
      <c r="H22" s="22">
        <v>2.0034607641979583</v>
      </c>
      <c r="I22" s="21">
        <f t="shared" si="7"/>
        <v>0.11301972802619839</v>
      </c>
      <c r="J22" s="30">
        <f t="shared" si="1"/>
        <v>0.11301972802619839</v>
      </c>
      <c r="O22" s="22">
        <v>2.0034607641979583</v>
      </c>
      <c r="P22" s="21">
        <f t="shared" si="2"/>
        <v>0.11301972802619839</v>
      </c>
      <c r="Q22" s="30">
        <f t="shared" si="3"/>
        <v>1.1490957129778811E-2</v>
      </c>
      <c r="R22" s="108">
        <f t="shared" si="4"/>
        <v>1.8942149242567045E-2</v>
      </c>
      <c r="S22" s="109">
        <f t="shared" si="5"/>
        <v>3.8517775381967808E-3</v>
      </c>
      <c r="T22" s="110">
        <f t="shared" si="6"/>
        <v>5.9665736226076707</v>
      </c>
    </row>
    <row r="23" spans="1:20">
      <c r="A23" s="22">
        <v>1.6946248945906066</v>
      </c>
      <c r="B23" s="21">
        <v>5.1315100968968248E-2</v>
      </c>
      <c r="C23" s="103">
        <f t="shared" si="0"/>
        <v>3.4210067312645497E-2</v>
      </c>
      <c r="E23" s="31"/>
      <c r="F23" s="91"/>
      <c r="H23" s="22">
        <v>2.0975826374515254</v>
      </c>
      <c r="I23" s="21">
        <f t="shared" si="7"/>
        <v>0.10794835285055393</v>
      </c>
      <c r="J23" s="30">
        <f t="shared" si="1"/>
        <v>0.10794835285055393</v>
      </c>
      <c r="L23" s="31" t="s">
        <v>204</v>
      </c>
      <c r="M23" s="91">
        <f>1.5*(M20/F20)</f>
        <v>3.2005683330233277</v>
      </c>
      <c r="O23" s="22">
        <v>2.0975826374515254</v>
      </c>
      <c r="P23" s="21">
        <f t="shared" si="2"/>
        <v>0.10794835285055393</v>
      </c>
      <c r="Q23" s="30">
        <f t="shared" si="3"/>
        <v>1.2030798203713788E-2</v>
      </c>
      <c r="R23" s="108">
        <f t="shared" si="4"/>
        <v>1.7411301316755799E-2</v>
      </c>
      <c r="S23" s="109">
        <f t="shared" si="5"/>
        <v>3.8809643144058457E-3</v>
      </c>
      <c r="T23" s="110">
        <f t="shared" si="6"/>
        <v>6.1999014827610628</v>
      </c>
    </row>
    <row r="24" spans="1:20">
      <c r="A24" s="22">
        <v>1.7677928015736533</v>
      </c>
      <c r="B24" s="21">
        <v>4.9191199043821347E-2</v>
      </c>
      <c r="C24" s="103">
        <f t="shared" si="0"/>
        <v>3.2794132695880898E-2</v>
      </c>
      <c r="H24" s="22">
        <v>2.1917045107050925</v>
      </c>
      <c r="I24" s="21">
        <f t="shared" si="7"/>
        <v>0.10331255403036421</v>
      </c>
      <c r="J24" s="30">
        <f t="shared" si="1"/>
        <v>0.10331255403036421</v>
      </c>
      <c r="O24" s="22">
        <v>2.1917045107050925</v>
      </c>
      <c r="P24" s="21">
        <f t="shared" si="2"/>
        <v>0.10331255403036421</v>
      </c>
      <c r="Q24" s="30">
        <f t="shared" si="3"/>
        <v>1.2570639277648765E-2</v>
      </c>
      <c r="R24" s="108">
        <f t="shared" si="4"/>
        <v>1.6059205808378718E-2</v>
      </c>
      <c r="S24" s="109">
        <f t="shared" si="5"/>
        <v>3.9080339305776627E-3</v>
      </c>
      <c r="T24" s="110">
        <f t="shared" si="6"/>
        <v>6.433229342914454</v>
      </c>
    </row>
    <row r="25" spans="1:20">
      <c r="A25" s="21">
        <v>1.8409607085566999</v>
      </c>
      <c r="B25" s="21">
        <v>4.7236123599085425E-2</v>
      </c>
      <c r="C25" s="103">
        <f t="shared" si="0"/>
        <v>3.149074906605695E-2</v>
      </c>
      <c r="H25" s="21">
        <v>2.2858263839586597</v>
      </c>
      <c r="I25" s="21">
        <f t="shared" si="7"/>
        <v>9.9058525297391065E-2</v>
      </c>
      <c r="J25" s="30">
        <f t="shared" si="1"/>
        <v>9.9058525297391065E-2</v>
      </c>
      <c r="O25" s="21">
        <v>2.2858263839586597</v>
      </c>
      <c r="P25" s="21">
        <f t="shared" si="2"/>
        <v>9.9058525297391065E-2</v>
      </c>
      <c r="Q25" s="30">
        <f t="shared" si="3"/>
        <v>1.3110480351583744E-2</v>
      </c>
      <c r="R25" s="108">
        <f t="shared" si="4"/>
        <v>1.4859022772924812E-2</v>
      </c>
      <c r="S25" s="109">
        <f t="shared" si="5"/>
        <v>3.9332086869517911E-3</v>
      </c>
      <c r="T25" s="110">
        <f t="shared" si="6"/>
        <v>6.6665572030678462</v>
      </c>
    </row>
    <row r="26" spans="1:20" ht="18">
      <c r="A26" s="79">
        <v>1.914128615539747</v>
      </c>
      <c r="B26" s="79">
        <v>4.5430514367982094E-2</v>
      </c>
      <c r="C26" s="103">
        <f t="shared" si="0"/>
        <v>3.0287009578654728E-2</v>
      </c>
      <c r="H26" s="79">
        <v>2.3799482572122264</v>
      </c>
      <c r="I26" s="79">
        <v>9.5140972075604846E-2</v>
      </c>
      <c r="J26" s="30">
        <f t="shared" si="1"/>
        <v>9.5140972075604846E-2</v>
      </c>
      <c r="N26" s="11" t="s">
        <v>232</v>
      </c>
      <c r="O26" s="79">
        <v>2.3799482572122264</v>
      </c>
      <c r="P26" s="21">
        <f t="shared" si="2"/>
        <v>9.5140972075604846E-2</v>
      </c>
      <c r="Q26" s="30">
        <f t="shared" si="3"/>
        <v>1.3650321425518717E-2</v>
      </c>
      <c r="R26" s="108">
        <f t="shared" si="4"/>
        <v>1.3788776364223656E-2</v>
      </c>
      <c r="S26" s="109">
        <f t="shared" si="5"/>
        <v>3.9566808143746135E-3</v>
      </c>
      <c r="T26" s="110">
        <f t="shared" si="6"/>
        <v>6.8998850632212374</v>
      </c>
    </row>
    <row r="27" spans="1:20">
      <c r="A27" s="21">
        <v>2.0134558243235685</v>
      </c>
      <c r="B27" s="21">
        <v>4.1058745378646969E-2</v>
      </c>
      <c r="C27" s="103">
        <f t="shared" si="0"/>
        <v>2.7372496919097978E-2</v>
      </c>
      <c r="H27" s="21">
        <v>2.4570935782973584</v>
      </c>
      <c r="I27" s="21">
        <v>8.926048059414439E-2</v>
      </c>
      <c r="J27" s="30">
        <f t="shared" si="1"/>
        <v>8.926048059414439E-2</v>
      </c>
      <c r="O27" s="21">
        <v>2.4570935782973584</v>
      </c>
      <c r="P27" s="21">
        <f t="shared" si="2"/>
        <v>8.926048059414439E-2</v>
      </c>
      <c r="Q27" s="30">
        <f t="shared" si="3"/>
        <v>1.3650321425518714E-2</v>
      </c>
      <c r="R27" s="108">
        <f t="shared" si="4"/>
        <v>1.2936517025469522E-2</v>
      </c>
      <c r="S27" s="109">
        <f t="shared" si="5"/>
        <v>3.9566808143746118E-3</v>
      </c>
      <c r="T27" s="110">
        <f>IF(($T$1 - 1)*O27/$O$5 + 1 &lt;$T$26,($T$1 - 1)*O27/$O$5 + 1,$T$26)</f>
        <v>6.8998850632212374</v>
      </c>
    </row>
    <row r="28" spans="1:20">
      <c r="A28" s="21">
        <v>2.11278303310739</v>
      </c>
      <c r="B28" s="21">
        <v>3.7288943995269018E-2</v>
      </c>
      <c r="C28" s="103">
        <f t="shared" si="0"/>
        <v>2.4859295996846012E-2</v>
      </c>
      <c r="H28" s="21">
        <v>2.5342388993824905</v>
      </c>
      <c r="I28" s="21">
        <v>8.3908799749994614E-2</v>
      </c>
      <c r="J28" s="30">
        <f t="shared" si="1"/>
        <v>8.3908799749994614E-2</v>
      </c>
      <c r="O28" s="21">
        <v>2.5342388993824905</v>
      </c>
      <c r="P28" s="21">
        <f t="shared" si="2"/>
        <v>8.3908799749994614E-2</v>
      </c>
      <c r="Q28" s="30">
        <f t="shared" si="3"/>
        <v>1.3650321425518714E-2</v>
      </c>
      <c r="R28" s="108">
        <f t="shared" si="4"/>
        <v>1.2160898186153476E-2</v>
      </c>
      <c r="S28" s="109">
        <f t="shared" si="5"/>
        <v>3.9566808143746118E-3</v>
      </c>
      <c r="T28" s="110">
        <f t="shared" ref="T28:T47" si="8">IF(($T$1 - 1)*O28/$O$5 + 1 &lt;$T$26,($T$1 - 1)*O28/$O$5 + 1,$T$26)</f>
        <v>6.8998850632212374</v>
      </c>
    </row>
    <row r="29" spans="1:20">
      <c r="A29" s="21">
        <v>2.2121102418912115</v>
      </c>
      <c r="B29" s="21">
        <v>3.4015460332203561E-2</v>
      </c>
      <c r="C29" s="103">
        <f t="shared" si="0"/>
        <v>2.2676973554802374E-2</v>
      </c>
      <c r="H29" s="21">
        <v>2.6113842204676225</v>
      </c>
      <c r="I29" s="21">
        <v>7.9024373879024876E-2</v>
      </c>
      <c r="J29" s="30">
        <f t="shared" si="1"/>
        <v>7.9024373879024876E-2</v>
      </c>
      <c r="O29" s="21">
        <v>2.6113842204676225</v>
      </c>
      <c r="P29" s="21">
        <f t="shared" si="2"/>
        <v>7.9024373879024876E-2</v>
      </c>
      <c r="Q29" s="30">
        <f t="shared" si="3"/>
        <v>1.3650321425518714E-2</v>
      </c>
      <c r="R29" s="108">
        <f t="shared" si="4"/>
        <v>1.1452998586926033E-2</v>
      </c>
      <c r="S29" s="109">
        <f t="shared" si="5"/>
        <v>3.9566808143746118E-3</v>
      </c>
      <c r="T29" s="110">
        <f t="shared" si="8"/>
        <v>6.8998850632212374</v>
      </c>
    </row>
    <row r="30" spans="1:20">
      <c r="A30" s="21">
        <v>2.311437450675033</v>
      </c>
      <c r="B30" s="21">
        <v>3.1154844970832409E-2</v>
      </c>
      <c r="C30" s="103">
        <f t="shared" si="0"/>
        <v>2.0769896647221606E-2</v>
      </c>
      <c r="H30" s="21">
        <v>2.6885295415527546</v>
      </c>
      <c r="I30" s="21">
        <v>7.4554350117185572E-2</v>
      </c>
      <c r="J30" s="30">
        <f t="shared" si="1"/>
        <v>7.4554350117185572E-2</v>
      </c>
      <c r="O30" s="21">
        <v>2.6885295415527546</v>
      </c>
      <c r="P30" s="21">
        <f t="shared" si="2"/>
        <v>7.4554350117185572E-2</v>
      </c>
      <c r="Q30" s="30">
        <f t="shared" si="3"/>
        <v>1.3650321425518714E-2</v>
      </c>
      <c r="R30" s="108">
        <f t="shared" si="4"/>
        <v>1.0805158264821819E-2</v>
      </c>
      <c r="S30" s="109">
        <f t="shared" si="5"/>
        <v>3.9566808143746118E-3</v>
      </c>
      <c r="T30" s="110">
        <f t="shared" si="8"/>
        <v>6.8998850632212374</v>
      </c>
    </row>
    <row r="31" spans="1:20">
      <c r="A31" s="21">
        <v>2.4107646594588545</v>
      </c>
      <c r="B31" s="21">
        <v>2.8640477414250073E-2</v>
      </c>
      <c r="C31" s="103">
        <f t="shared" si="0"/>
        <v>1.9093651609500047E-2</v>
      </c>
      <c r="H31" s="21">
        <v>2.7656748626378866</v>
      </c>
      <c r="I31" s="21">
        <v>7.0453142599757809E-2</v>
      </c>
      <c r="J31" s="30">
        <f t="shared" si="1"/>
        <v>7.0453142599757809E-2</v>
      </c>
      <c r="O31" s="21">
        <v>2.7656748626378866</v>
      </c>
      <c r="P31" s="21">
        <f t="shared" si="2"/>
        <v>7.0453142599757809E-2</v>
      </c>
      <c r="Q31" s="30">
        <f t="shared" si="3"/>
        <v>1.3650321425518714E-2</v>
      </c>
      <c r="R31" s="108">
        <f t="shared" si="4"/>
        <v>1.0210770462728041E-2</v>
      </c>
      <c r="S31" s="109">
        <f t="shared" si="5"/>
        <v>3.9566808143746118E-3</v>
      </c>
      <c r="T31" s="110">
        <f t="shared" si="8"/>
        <v>6.8998850632212374</v>
      </c>
    </row>
    <row r="32" spans="1:20">
      <c r="A32" s="21">
        <v>2.510091868242676</v>
      </c>
      <c r="B32" s="21">
        <v>2.6418651878268948E-2</v>
      </c>
      <c r="C32" s="103">
        <f t="shared" si="0"/>
        <v>1.7612434585512631E-2</v>
      </c>
      <c r="H32" s="21">
        <v>2.8428201837230187</v>
      </c>
      <c r="I32" s="21">
        <v>6.6681265609514082E-2</v>
      </c>
      <c r="J32" s="30">
        <f t="shared" si="1"/>
        <v>6.6681265609514082E-2</v>
      </c>
      <c r="O32" s="21">
        <v>2.8428201837230187</v>
      </c>
      <c r="P32" s="21">
        <f t="shared" si="2"/>
        <v>6.6681265609514082E-2</v>
      </c>
      <c r="Q32" s="30">
        <f t="shared" si="3"/>
        <v>1.3650321425518714E-2</v>
      </c>
      <c r="R32" s="108">
        <f t="shared" si="4"/>
        <v>9.664112517605284E-3</v>
      </c>
      <c r="S32" s="109">
        <f t="shared" si="5"/>
        <v>3.9566808143746118E-3</v>
      </c>
      <c r="T32" s="110">
        <f t="shared" si="8"/>
        <v>6.8998850632212374</v>
      </c>
    </row>
    <row r="33" spans="1:20">
      <c r="A33" s="21">
        <v>2.6094190770264976</v>
      </c>
      <c r="B33" s="21">
        <v>2.4445685460069064E-2</v>
      </c>
      <c r="C33" s="103">
        <f t="shared" si="0"/>
        <v>1.6297123640046044E-2</v>
      </c>
      <c r="H33" s="21">
        <v>2.9199655048081508</v>
      </c>
      <c r="I33" s="21">
        <v>6.3204379602033206E-2</v>
      </c>
      <c r="J33" s="30">
        <f t="shared" si="1"/>
        <v>6.3204379602033206E-2</v>
      </c>
      <c r="O33" s="21">
        <v>2.9199655048081508</v>
      </c>
      <c r="P33" s="21">
        <f t="shared" si="2"/>
        <v>6.3204379602033206E-2</v>
      </c>
      <c r="Q33" s="30">
        <f t="shared" si="3"/>
        <v>1.3650321425518714E-2</v>
      </c>
      <c r="R33" s="108">
        <f t="shared" si="4"/>
        <v>9.1602076009837195E-3</v>
      </c>
      <c r="S33" s="109">
        <f t="shared" si="5"/>
        <v>3.9566808143746118E-3</v>
      </c>
      <c r="T33" s="110">
        <f t="shared" si="8"/>
        <v>6.8998850632212374</v>
      </c>
    </row>
    <row r="34" spans="1:20">
      <c r="A34" s="21">
        <v>2.7087462858103191</v>
      </c>
      <c r="B34" s="21">
        <v>2.268575450384817E-2</v>
      </c>
      <c r="C34" s="103">
        <f t="shared" si="0"/>
        <v>1.5123836335898781E-2</v>
      </c>
      <c r="H34" s="21">
        <v>2.9971108258932828</v>
      </c>
      <c r="I34" s="21">
        <v>5.9992506853071531E-2</v>
      </c>
      <c r="J34" s="30">
        <f t="shared" si="1"/>
        <v>5.9992506853071531E-2</v>
      </c>
      <c r="O34" s="21">
        <v>2.9971108258932828</v>
      </c>
      <c r="P34" s="21">
        <f t="shared" si="2"/>
        <v>5.9992506853071531E-2</v>
      </c>
      <c r="Q34" s="30">
        <f t="shared" si="3"/>
        <v>1.3650321425518714E-2</v>
      </c>
      <c r="R34" s="108">
        <f t="shared" si="4"/>
        <v>8.6947110427755166E-3</v>
      </c>
      <c r="S34" s="109">
        <f t="shared" si="5"/>
        <v>3.9566808143746118E-3</v>
      </c>
      <c r="T34" s="110">
        <f t="shared" si="8"/>
        <v>6.8998850632212374</v>
      </c>
    </row>
    <row r="35" spans="1:20">
      <c r="A35" s="21">
        <v>2.8080734945941406</v>
      </c>
      <c r="B35" s="21">
        <v>2.1109256896476428E-2</v>
      </c>
      <c r="C35" s="103">
        <f t="shared" si="0"/>
        <v>1.4072837930984286E-2</v>
      </c>
      <c r="H35" s="21">
        <v>3.0742561469784149</v>
      </c>
      <c r="I35" s="21">
        <v>5.7019383115246354E-2</v>
      </c>
      <c r="J35" s="30">
        <f t="shared" si="1"/>
        <v>5.7019383115246354E-2</v>
      </c>
      <c r="O35" s="21">
        <v>3.0742561469784149</v>
      </c>
      <c r="P35" s="21">
        <f t="shared" si="2"/>
        <v>5.7019383115246354E-2</v>
      </c>
      <c r="Q35" s="30">
        <f t="shared" si="3"/>
        <v>1.3650321425518714E-2</v>
      </c>
      <c r="R35" s="108">
        <f t="shared" si="4"/>
        <v>8.263816366910124E-3</v>
      </c>
      <c r="S35" s="109">
        <f t="shared" si="5"/>
        <v>3.9566808143746118E-3</v>
      </c>
      <c r="T35" s="110">
        <f t="shared" si="8"/>
        <v>6.8998850632212374</v>
      </c>
    </row>
    <row r="36" spans="1:20">
      <c r="A36" s="21">
        <v>2.9074007033779621</v>
      </c>
      <c r="B36" s="21">
        <v>1.9691559104931294E-2</v>
      </c>
      <c r="C36" s="103">
        <f t="shared" si="0"/>
        <v>1.3127706069954196E-2</v>
      </c>
      <c r="H36" s="21">
        <v>3.1514014680635469</v>
      </c>
      <c r="I36" s="21">
        <v>5.4261918983191999E-2</v>
      </c>
      <c r="J36" s="30">
        <f t="shared" si="1"/>
        <v>5.4261918983191999E-2</v>
      </c>
      <c r="O36" s="21">
        <v>3.1514014680635469</v>
      </c>
      <c r="P36" s="21">
        <f t="shared" si="2"/>
        <v>5.4261918983191999E-2</v>
      </c>
      <c r="Q36" s="30">
        <f t="shared" si="3"/>
        <v>1.3650321425518714E-2</v>
      </c>
      <c r="R36" s="108">
        <f t="shared" si="4"/>
        <v>7.8641772270130559E-3</v>
      </c>
      <c r="S36" s="109">
        <f t="shared" si="5"/>
        <v>3.9566808143746118E-3</v>
      </c>
      <c r="T36" s="110">
        <f t="shared" si="8"/>
        <v>6.8998850632212374</v>
      </c>
    </row>
    <row r="37" spans="1:20">
      <c r="A37" s="21">
        <v>3.0067279121617836</v>
      </c>
      <c r="B37" s="21">
        <v>1.8412028019704079E-2</v>
      </c>
      <c r="C37" s="103">
        <f t="shared" si="0"/>
        <v>1.2274685346469387E-2</v>
      </c>
      <c r="H37" s="21">
        <v>3.228546789148679</v>
      </c>
      <c r="I37" s="21">
        <v>5.1699750252725496E-2</v>
      </c>
      <c r="J37" s="30">
        <f t="shared" si="1"/>
        <v>5.1699750252725496E-2</v>
      </c>
      <c r="O37" s="21">
        <v>3.228546789148679</v>
      </c>
      <c r="P37" s="21">
        <f t="shared" si="2"/>
        <v>5.1699750252725496E-2</v>
      </c>
      <c r="Q37" s="30">
        <f t="shared" si="3"/>
        <v>1.3650321425518714E-2</v>
      </c>
      <c r="R37" s="108">
        <f t="shared" si="4"/>
        <v>7.492842239982078E-3</v>
      </c>
      <c r="S37" s="109">
        <f t="shared" si="5"/>
        <v>3.9566808143746118E-3</v>
      </c>
      <c r="T37" s="110">
        <f t="shared" si="8"/>
        <v>6.8998850632212374</v>
      </c>
    </row>
    <row r="38" spans="1:20">
      <c r="A38" s="21">
        <v>3.1060551209456051</v>
      </c>
      <c r="B38" s="21">
        <v>1.7253275950567602E-2</v>
      </c>
      <c r="C38" s="103">
        <f t="shared" si="0"/>
        <v>1.1502183967045068E-2</v>
      </c>
      <c r="H38" s="21">
        <v>3.305692110233811</v>
      </c>
      <c r="I38" s="21">
        <v>4.9314860857985858E-2</v>
      </c>
      <c r="J38" s="30">
        <f t="shared" si="1"/>
        <v>4.9314860857985858E-2</v>
      </c>
      <c r="O38" s="21">
        <v>3.305692110233811</v>
      </c>
      <c r="P38" s="21">
        <f t="shared" si="2"/>
        <v>4.9314860857985858E-2</v>
      </c>
      <c r="Q38" s="30">
        <f t="shared" si="3"/>
        <v>1.3650321425518714E-2</v>
      </c>
      <c r="R38" s="108">
        <f t="shared" si="4"/>
        <v>7.1472003382854945E-3</v>
      </c>
      <c r="S38" s="109">
        <f t="shared" si="5"/>
        <v>3.9566808143746118E-3</v>
      </c>
      <c r="T38" s="110">
        <f t="shared" si="8"/>
        <v>6.8998850632212374</v>
      </c>
    </row>
    <row r="39" spans="1:20">
      <c r="A39" s="21">
        <v>3.2053823297294266</v>
      </c>
      <c r="B39" s="21">
        <v>1.6200566781781882E-2</v>
      </c>
      <c r="C39" s="103">
        <f t="shared" si="0"/>
        <v>1.0800377854521254E-2</v>
      </c>
      <c r="H39" s="21">
        <v>3.3828374313189431</v>
      </c>
      <c r="I39" s="21">
        <v>4.7091265300247161E-2</v>
      </c>
      <c r="J39" s="30">
        <f t="shared" si="1"/>
        <v>4.7091265300247161E-2</v>
      </c>
      <c r="O39" s="21">
        <v>3.3828374313189431</v>
      </c>
      <c r="P39" s="21">
        <f t="shared" si="2"/>
        <v>4.7091265300247161E-2</v>
      </c>
      <c r="Q39" s="30">
        <f t="shared" si="3"/>
        <v>1.3650321425518714E-2</v>
      </c>
      <c r="R39" s="108">
        <f t="shared" si="4"/>
        <v>6.8249347443857895E-3</v>
      </c>
      <c r="S39" s="109">
        <f t="shared" si="5"/>
        <v>3.9566808143746118E-3</v>
      </c>
      <c r="T39" s="110">
        <f t="shared" si="8"/>
        <v>6.8998850632212374</v>
      </c>
    </row>
    <row r="40" spans="1:20">
      <c r="A40" s="21">
        <v>3.3047095385132481</v>
      </c>
      <c r="B40" s="21">
        <v>1.524134513825562E-2</v>
      </c>
      <c r="C40" s="103">
        <f t="shared" si="0"/>
        <v>1.0160896758837081E-2</v>
      </c>
      <c r="H40" s="21">
        <v>3.4599827524040752</v>
      </c>
      <c r="I40" s="21">
        <v>4.5014740077984013E-2</v>
      </c>
      <c r="J40" s="30">
        <f t="shared" si="1"/>
        <v>4.5014740077984013E-2</v>
      </c>
      <c r="O40" s="21">
        <v>3.4599827524040752</v>
      </c>
      <c r="P40" s="21">
        <f t="shared" si="2"/>
        <v>4.5014740077984013E-2</v>
      </c>
      <c r="Q40" s="30">
        <f t="shared" si="3"/>
        <v>1.3650321425518714E-2</v>
      </c>
      <c r="R40" s="108">
        <f t="shared" si="4"/>
        <v>6.5239840469123282E-3</v>
      </c>
      <c r="S40" s="109">
        <f t="shared" si="5"/>
        <v>3.9566808143746118E-3</v>
      </c>
      <c r="T40" s="110">
        <f t="shared" si="8"/>
        <v>6.8998850632212374</v>
      </c>
    </row>
    <row r="41" spans="1:20">
      <c r="A41" s="21">
        <v>3.4040367472970696</v>
      </c>
      <c r="B41" s="21">
        <v>1.4364860280558037E-2</v>
      </c>
      <c r="C41" s="103">
        <f t="shared" si="0"/>
        <v>9.5765735203720247E-3</v>
      </c>
      <c r="H41" s="21">
        <v>3.5371280734892072</v>
      </c>
      <c r="I41" s="21">
        <v>4.3072595663856815E-2</v>
      </c>
      <c r="J41" s="30">
        <f t="shared" si="1"/>
        <v>4.3072595663856815E-2</v>
      </c>
      <c r="O41" s="21">
        <v>3.5371280734892072</v>
      </c>
      <c r="P41" s="21">
        <f t="shared" si="2"/>
        <v>4.3072595663856815E-2</v>
      </c>
      <c r="Q41" s="30">
        <f t="shared" si="3"/>
        <v>1.3650321425518714E-2</v>
      </c>
      <c r="R41" s="108">
        <f t="shared" si="4"/>
        <v>6.2425091532971435E-3</v>
      </c>
      <c r="S41" s="109">
        <f t="shared" si="5"/>
        <v>3.9566808143746118E-3</v>
      </c>
      <c r="T41" s="110">
        <f t="shared" si="8"/>
        <v>6.8998850632212374</v>
      </c>
    </row>
    <row r="42" spans="1:20">
      <c r="A42" s="21">
        <v>3.5033639560808911</v>
      </c>
      <c r="B42" s="21">
        <v>1.3561863557153081E-2</v>
      </c>
      <c r="C42" s="103">
        <f t="shared" si="0"/>
        <v>9.0412423714353873E-3</v>
      </c>
      <c r="H42" s="21">
        <v>3.6142733945743393</v>
      </c>
      <c r="I42" s="21">
        <v>4.1253482180564606E-2</v>
      </c>
      <c r="J42" s="30">
        <f t="shared" si="1"/>
        <v>4.1253482180564606E-2</v>
      </c>
      <c r="O42" s="21">
        <v>3.6142733945743393</v>
      </c>
      <c r="P42" s="21">
        <f t="shared" si="2"/>
        <v>4.1253482180564606E-2</v>
      </c>
      <c r="Q42" s="30">
        <f t="shared" si="3"/>
        <v>1.3650321425518714E-2</v>
      </c>
      <c r="R42" s="108">
        <f t="shared" si="4"/>
        <v>5.9788651263859259E-3</v>
      </c>
      <c r="S42" s="109">
        <f t="shared" si="5"/>
        <v>3.9566808143746118E-3</v>
      </c>
      <c r="T42" s="110">
        <f t="shared" si="8"/>
        <v>6.8998850632212374</v>
      </c>
    </row>
    <row r="43" spans="1:20">
      <c r="A43" s="21">
        <v>3.6026911648647126</v>
      </c>
      <c r="B43" s="21">
        <v>1.2824363420509357E-2</v>
      </c>
      <c r="C43" s="103">
        <f t="shared" si="0"/>
        <v>8.5495756136729044E-3</v>
      </c>
      <c r="H43" s="21">
        <v>3.6914187156594713</v>
      </c>
      <c r="I43" s="21">
        <v>3.9547223201720286E-2</v>
      </c>
      <c r="J43" s="30">
        <f t="shared" si="1"/>
        <v>3.9547223201720286E-2</v>
      </c>
      <c r="O43" s="21">
        <v>3.6914187156594713</v>
      </c>
      <c r="P43" s="21">
        <f t="shared" si="2"/>
        <v>3.9547223201720286E-2</v>
      </c>
      <c r="Q43" s="30">
        <f t="shared" si="3"/>
        <v>1.3650321425518714E-2</v>
      </c>
      <c r="R43" s="108">
        <f t="shared" si="4"/>
        <v>5.7315770972071111E-3</v>
      </c>
      <c r="S43" s="109">
        <f t="shared" si="5"/>
        <v>3.9566808143746118E-3</v>
      </c>
      <c r="T43" s="110">
        <f t="shared" si="8"/>
        <v>6.8998850632212374</v>
      </c>
    </row>
    <row r="44" spans="1:20">
      <c r="A44" s="21">
        <v>3.7020183736485341</v>
      </c>
      <c r="B44" s="21">
        <v>1.2145425822071353E-2</v>
      </c>
      <c r="C44" s="103">
        <f t="shared" si="0"/>
        <v>8.0969505480475695E-3</v>
      </c>
      <c r="H44" s="21">
        <v>3.7685640367446034</v>
      </c>
      <c r="I44" s="21">
        <v>3.8997412860611327E-2</v>
      </c>
      <c r="J44" s="30">
        <f t="shared" si="1"/>
        <v>3.8997412860611327E-2</v>
      </c>
      <c r="O44" s="21">
        <v>3.7685640367446034</v>
      </c>
      <c r="P44" s="21">
        <f t="shared" si="2"/>
        <v>3.8997412860611327E-2</v>
      </c>
      <c r="Q44" s="30">
        <f t="shared" si="3"/>
        <v>1.4029036925082927E-2</v>
      </c>
      <c r="R44" s="108">
        <f t="shared" si="4"/>
        <v>5.651893111739058E-3</v>
      </c>
      <c r="S44" s="109">
        <f t="shared" si="5"/>
        <v>4.0664552515120933E-3</v>
      </c>
      <c r="T44" s="110">
        <f t="shared" si="8"/>
        <v>6.8998850632212374</v>
      </c>
    </row>
    <row r="45" spans="1:20">
      <c r="A45" s="21">
        <v>3.8013455824323557</v>
      </c>
      <c r="B45" s="21">
        <v>1.1519010627836314E-2</v>
      </c>
      <c r="C45" s="103">
        <f t="shared" si="0"/>
        <v>7.6793404185575426E-3</v>
      </c>
      <c r="H45" s="21">
        <v>3.8457093578297354</v>
      </c>
      <c r="I45" s="21">
        <v>3.8997412860611327E-2</v>
      </c>
      <c r="J45" s="30">
        <f t="shared" si="1"/>
        <v>3.8997412860611327E-2</v>
      </c>
      <c r="O45" s="21">
        <v>3.8457093578297354</v>
      </c>
      <c r="P45" s="21">
        <f t="shared" si="2"/>
        <v>3.8997412860611327E-2</v>
      </c>
      <c r="Q45" s="30">
        <f t="shared" si="3"/>
        <v>1.4609285545932339E-2</v>
      </c>
      <c r="R45" s="108">
        <f t="shared" si="4"/>
        <v>5.651893111739058E-3</v>
      </c>
      <c r="S45" s="109">
        <f t="shared" si="5"/>
        <v>4.2346460591944817E-3</v>
      </c>
      <c r="T45" s="110">
        <f t="shared" si="8"/>
        <v>6.8998850632212374</v>
      </c>
    </row>
    <row r="46" spans="1:20">
      <c r="A46" s="21">
        <v>3.9006727912161772</v>
      </c>
      <c r="B46" s="21">
        <v>1.0939836812753241E-2</v>
      </c>
      <c r="C46" s="103">
        <f t="shared" si="0"/>
        <v>7.2932245418354941E-3</v>
      </c>
      <c r="H46" s="21">
        <v>3.9228546789148675</v>
      </c>
      <c r="I46" s="21">
        <v>3.8997412860611327E-2</v>
      </c>
      <c r="J46" s="30">
        <f t="shared" si="1"/>
        <v>3.8997412860611327E-2</v>
      </c>
      <c r="O46" s="21">
        <v>3.9228546789148675</v>
      </c>
      <c r="P46" s="21">
        <f t="shared" si="2"/>
        <v>3.8997412860611327E-2</v>
      </c>
      <c r="Q46" s="30">
        <f t="shared" si="3"/>
        <v>1.5201291944272785E-2</v>
      </c>
      <c r="R46" s="108">
        <f t="shared" si="4"/>
        <v>5.651893111739058E-3</v>
      </c>
      <c r="S46" s="109">
        <f t="shared" si="5"/>
        <v>4.4062449750941228E-3</v>
      </c>
      <c r="T46" s="110">
        <f t="shared" si="8"/>
        <v>6.8998850632212374</v>
      </c>
    </row>
    <row r="47" spans="1:20">
      <c r="A47" s="21">
        <v>4</v>
      </c>
      <c r="B47" s="21">
        <v>1.0403270789847607E-2</v>
      </c>
      <c r="C47" s="103">
        <f t="shared" si="0"/>
        <v>6.9355138598984041E-3</v>
      </c>
      <c r="H47" s="21">
        <v>4</v>
      </c>
      <c r="I47" s="21">
        <v>3.8997412860611327E-2</v>
      </c>
      <c r="J47" s="30">
        <f t="shared" si="1"/>
        <v>3.8997412860611327E-2</v>
      </c>
      <c r="O47" s="21">
        <v>4</v>
      </c>
      <c r="P47" s="21">
        <f t="shared" si="2"/>
        <v>3.8997412860611327E-2</v>
      </c>
      <c r="Q47" s="30">
        <f t="shared" si="3"/>
        <v>1.5805056120104261E-2</v>
      </c>
      <c r="R47" s="108">
        <f t="shared" si="4"/>
        <v>5.651893111739058E-3</v>
      </c>
      <c r="S47" s="109">
        <f t="shared" si="5"/>
        <v>4.5812519992110157E-3</v>
      </c>
      <c r="T47" s="110">
        <f t="shared" si="8"/>
        <v>6.8998850632212374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EA8F-399F-4A13-B24C-F029B4BB2E05}">
  <sheetPr codeName="Foglio4">
    <pageSetUpPr fitToPage="1"/>
  </sheetPr>
  <dimension ref="A1:Q47"/>
  <sheetViews>
    <sheetView topLeftCell="D1" zoomScale="55" zoomScaleNormal="55" workbookViewId="0">
      <selection activeCell="K2" sqref="K2"/>
    </sheetView>
  </sheetViews>
  <sheetFormatPr defaultRowHeight="15"/>
  <cols>
    <col min="4" max="4" width="7.7109375" customWidth="1"/>
    <col min="5" max="5" width="17.85546875" customWidth="1"/>
    <col min="10" max="10" width="8.5703125" customWidth="1"/>
    <col min="12" max="12" width="18.28515625" customWidth="1"/>
  </cols>
  <sheetData>
    <row r="1" spans="1:17">
      <c r="A1" s="27" t="s">
        <v>5</v>
      </c>
      <c r="B1" s="1" t="s">
        <v>23</v>
      </c>
      <c r="C1" s="1" t="s">
        <v>22</v>
      </c>
      <c r="D1">
        <v>1.5</v>
      </c>
      <c r="H1" s="20" t="s">
        <v>4</v>
      </c>
      <c r="I1" s="1" t="s">
        <v>23</v>
      </c>
      <c r="J1" s="1" t="s">
        <v>205</v>
      </c>
      <c r="K1" s="31">
        <v>3.12</v>
      </c>
      <c r="O1" s="20" t="s">
        <v>224</v>
      </c>
      <c r="P1" s="31"/>
      <c r="Q1" s="31"/>
    </row>
    <row r="2" spans="1:17">
      <c r="A2" s="23" t="s">
        <v>6</v>
      </c>
      <c r="B2" s="23" t="s">
        <v>7</v>
      </c>
      <c r="C2" s="23" t="s">
        <v>7</v>
      </c>
      <c r="E2" s="23" t="s">
        <v>8</v>
      </c>
      <c r="F2" s="24" t="s">
        <v>5</v>
      </c>
      <c r="H2" s="23" t="s">
        <v>6</v>
      </c>
      <c r="I2" s="23" t="s">
        <v>7</v>
      </c>
      <c r="J2" s="23" t="s">
        <v>7</v>
      </c>
      <c r="L2" s="23" t="s">
        <v>8</v>
      </c>
      <c r="M2" s="24" t="s">
        <v>4</v>
      </c>
      <c r="O2" s="23" t="s">
        <v>6</v>
      </c>
      <c r="P2" s="23" t="s">
        <v>7</v>
      </c>
      <c r="Q2" s="23" t="s">
        <v>7</v>
      </c>
    </row>
    <row r="3" spans="1:17" ht="15.75">
      <c r="A3" s="21">
        <v>0</v>
      </c>
      <c r="B3" s="21">
        <v>9.4238584661924057E-2</v>
      </c>
      <c r="C3" s="103">
        <f>B3/1</f>
        <v>9.4238584661924057E-2</v>
      </c>
      <c r="E3" s="23" t="s">
        <v>9</v>
      </c>
      <c r="F3" s="99">
        <v>7.8532153884936715E-2</v>
      </c>
      <c r="G3" t="s">
        <v>10</v>
      </c>
      <c r="H3" s="21">
        <v>0</v>
      </c>
      <c r="I3" s="21">
        <v>0.23398447716366794</v>
      </c>
      <c r="J3" s="30">
        <f>I3/1</f>
        <v>0.23398447716366794</v>
      </c>
      <c r="L3" s="23" t="s">
        <v>9</v>
      </c>
      <c r="M3" s="99">
        <v>0.19498706430305662</v>
      </c>
      <c r="N3" t="s">
        <v>10</v>
      </c>
      <c r="O3" s="21">
        <v>0</v>
      </c>
      <c r="P3" s="21">
        <v>0.23398447716366794</v>
      </c>
      <c r="Q3" s="30">
        <f>J3*O3^2/(4*PI())</f>
        <v>0</v>
      </c>
    </row>
    <row r="4" spans="1:17" ht="15.75">
      <c r="A4" s="79">
        <v>0.12586752296525536</v>
      </c>
      <c r="B4" s="79">
        <v>0.23029463974448933</v>
      </c>
      <c r="C4" s="103">
        <f t="shared" ref="C4:C47" si="0">B4/$D$1</f>
        <v>0.15352975982965955</v>
      </c>
      <c r="E4" s="23" t="s">
        <v>11</v>
      </c>
      <c r="F4" s="100">
        <v>2.4437404336096429</v>
      </c>
      <c r="H4" s="79">
        <v>0.13446297296243795</v>
      </c>
      <c r="I4" s="79">
        <v>0.56132080004920981</v>
      </c>
      <c r="J4" s="30">
        <f t="shared" ref="J4:J47" si="1">I4/$K$1</f>
        <v>0.1799105128362852</v>
      </c>
      <c r="L4" s="23" t="s">
        <v>11</v>
      </c>
      <c r="M4" s="100">
        <v>2.3989659778010659</v>
      </c>
      <c r="O4" s="79">
        <v>0.13446297296243795</v>
      </c>
      <c r="P4" s="79">
        <v>0.56132080004920981</v>
      </c>
      <c r="Q4" s="30">
        <f t="shared" ref="Q4:Q47" si="2">J4*O4^2/(4*PI())</f>
        <v>2.5885234038339785E-4</v>
      </c>
    </row>
    <row r="5" spans="1:17" ht="15.75">
      <c r="A5" s="79">
        <v>0.37760256889576604</v>
      </c>
      <c r="B5" s="79">
        <v>0.23029463974448933</v>
      </c>
      <c r="C5" s="103">
        <f t="shared" si="0"/>
        <v>0.15352975982965955</v>
      </c>
      <c r="E5" s="23" t="s">
        <v>12</v>
      </c>
      <c r="F5" s="100">
        <v>0.26275610705805286</v>
      </c>
      <c r="G5" t="s">
        <v>13</v>
      </c>
      <c r="H5" s="79">
        <v>0.40338891888731387</v>
      </c>
      <c r="I5" s="79">
        <v>0.56132080004920981</v>
      </c>
      <c r="J5" s="30">
        <f t="shared" si="1"/>
        <v>0.1799105128362852</v>
      </c>
      <c r="L5" s="23" t="s">
        <v>12</v>
      </c>
      <c r="M5" s="100">
        <v>0.28537380013241093</v>
      </c>
      <c r="N5" t="s">
        <v>13</v>
      </c>
      <c r="O5" s="79">
        <v>0.40338891888731387</v>
      </c>
      <c r="P5" s="79">
        <v>0.56132080004920981</v>
      </c>
      <c r="Q5" s="30">
        <f t="shared" si="2"/>
        <v>2.3296710634505809E-3</v>
      </c>
    </row>
    <row r="6" spans="1:17" ht="15.75">
      <c r="A6" s="22">
        <v>0.45077047587881275</v>
      </c>
      <c r="B6" s="21">
        <v>0.19291380474932179</v>
      </c>
      <c r="C6" s="103">
        <f t="shared" si="0"/>
        <v>0.12860920316621452</v>
      </c>
      <c r="E6" s="23" t="s">
        <v>14</v>
      </c>
      <c r="F6" s="99">
        <v>1.2</v>
      </c>
      <c r="H6" s="22">
        <v>0.49751079214088112</v>
      </c>
      <c r="I6" s="21">
        <f t="shared" ref="I6:I12" si="3">$M$3*$M$11*$M$12*$M$4*($M$14/H6)</f>
        <v>0.45512699273605711</v>
      </c>
      <c r="J6" s="30">
        <f>I6/$K$1</f>
        <v>0.14587403613335162</v>
      </c>
      <c r="K6">
        <f>M3*M11*M12*M4*(M14/H6)</f>
        <v>0.45512699273605711</v>
      </c>
      <c r="L6" s="23" t="s">
        <v>14</v>
      </c>
      <c r="M6" s="99">
        <v>1.2</v>
      </c>
      <c r="O6" s="22">
        <v>0.49751079214088112</v>
      </c>
      <c r="P6" s="21">
        <f t="shared" ref="P6:P25" si="4">$M$3*$M$11*$M$12*$M$4*($M$14/O6)</f>
        <v>0.45512699273605711</v>
      </c>
      <c r="Q6" s="30">
        <f t="shared" si="2"/>
        <v>2.8732482275467819E-3</v>
      </c>
    </row>
    <row r="7" spans="1:17" ht="15.75">
      <c r="A7" s="22">
        <v>0.52393838286185945</v>
      </c>
      <c r="B7" s="21">
        <v>0.16597342438523313</v>
      </c>
      <c r="C7" s="103">
        <f t="shared" si="0"/>
        <v>0.11064894959015542</v>
      </c>
      <c r="E7" s="25" t="s">
        <v>15</v>
      </c>
      <c r="F7" s="100">
        <v>1.4370838916879645</v>
      </c>
      <c r="H7" s="22">
        <v>0.59163266539444836</v>
      </c>
      <c r="I7" s="21">
        <f t="shared" si="3"/>
        <v>0.38272158372095449</v>
      </c>
      <c r="J7" s="30">
        <f t="shared" si="1"/>
        <v>0.12266717426953669</v>
      </c>
      <c r="L7" s="25" t="s">
        <v>15</v>
      </c>
      <c r="M7" s="100">
        <v>1.4135457379063705</v>
      </c>
      <c r="O7" s="22">
        <v>0.59163266539444836</v>
      </c>
      <c r="P7" s="21">
        <f t="shared" si="4"/>
        <v>0.38272158372095449</v>
      </c>
      <c r="Q7" s="30">
        <f t="shared" si="2"/>
        <v>3.4168253916429837E-3</v>
      </c>
    </row>
    <row r="8" spans="1:17" ht="15.75">
      <c r="A8" s="22">
        <v>0.59710628984490621</v>
      </c>
      <c r="B8" s="21">
        <v>0.14563545728689495</v>
      </c>
      <c r="C8" s="103">
        <f t="shared" si="0"/>
        <v>9.7090304857929965E-2</v>
      </c>
      <c r="E8" s="23" t="s">
        <v>16</v>
      </c>
      <c r="F8" s="100">
        <v>1</v>
      </c>
      <c r="H8" s="22">
        <v>0.68575453864801561</v>
      </c>
      <c r="I8" s="21">
        <f t="shared" si="3"/>
        <v>0.33019189508716501</v>
      </c>
      <c r="J8" s="30">
        <f t="shared" si="1"/>
        <v>0.10583073560486057</v>
      </c>
      <c r="L8" s="23" t="s">
        <v>16</v>
      </c>
      <c r="M8" s="100">
        <v>1</v>
      </c>
      <c r="O8" s="22">
        <v>0.68575453864801561</v>
      </c>
      <c r="P8" s="21">
        <f t="shared" si="4"/>
        <v>0.33019189508716501</v>
      </c>
      <c r="Q8" s="30">
        <f t="shared" si="2"/>
        <v>3.9604025557391856E-3</v>
      </c>
    </row>
    <row r="9" spans="1:17">
      <c r="A9" s="22">
        <v>0.67027419682795297</v>
      </c>
      <c r="B9" s="21">
        <v>0.12973772223662841</v>
      </c>
      <c r="C9" s="103">
        <f t="shared" si="0"/>
        <v>8.6491814824418936E-2</v>
      </c>
      <c r="E9" s="25" t="str">
        <f>IF([1]D3a!C5=0,"ξ","q")</f>
        <v>q</v>
      </c>
      <c r="F9" s="100">
        <v>1</v>
      </c>
      <c r="H9" s="22">
        <v>0.77987641190158286</v>
      </c>
      <c r="I9" s="21">
        <f t="shared" si="3"/>
        <v>0.29034163262959078</v>
      </c>
      <c r="J9" s="30">
        <f t="shared" si="1"/>
        <v>9.3058215586407297E-2</v>
      </c>
      <c r="L9" s="25" t="str">
        <f>IF([1]D3a!I5=0,"ξ","q")</f>
        <v>q</v>
      </c>
      <c r="M9" s="100">
        <v>1</v>
      </c>
      <c r="O9" s="22">
        <v>0.77987641190158286</v>
      </c>
      <c r="P9" s="21">
        <f t="shared" si="4"/>
        <v>0.29034163262959078</v>
      </c>
      <c r="Q9" s="30">
        <f t="shared" si="2"/>
        <v>4.5039797198353866E-3</v>
      </c>
    </row>
    <row r="10" spans="1:17">
      <c r="A10" s="22">
        <v>0.74344210381099973</v>
      </c>
      <c r="B10" s="21">
        <v>0.11696922615046211</v>
      </c>
      <c r="C10" s="103">
        <f t="shared" si="0"/>
        <v>7.7979484100308069E-2</v>
      </c>
      <c r="F10" s="31"/>
      <c r="H10" s="22">
        <v>0.8739982851551501</v>
      </c>
      <c r="I10" s="21">
        <f t="shared" si="3"/>
        <v>0.25907441070163817</v>
      </c>
      <c r="J10" s="30">
        <f t="shared" si="1"/>
        <v>8.3036670096678894E-2</v>
      </c>
      <c r="M10" s="31"/>
      <c r="O10" s="22">
        <v>0.8739982851551501</v>
      </c>
      <c r="P10" s="21">
        <f t="shared" si="4"/>
        <v>0.25907441070163817</v>
      </c>
      <c r="Q10" s="30">
        <f t="shared" si="2"/>
        <v>5.0475568839315884E-3</v>
      </c>
    </row>
    <row r="11" spans="1:17">
      <c r="A11" s="22">
        <v>0.81661001079404649</v>
      </c>
      <c r="B11" s="21">
        <v>0.10648883361824951</v>
      </c>
      <c r="C11" s="103">
        <f t="shared" si="0"/>
        <v>7.0992555745499675E-2</v>
      </c>
      <c r="E11" s="23" t="s">
        <v>17</v>
      </c>
      <c r="F11" s="99">
        <v>1.2</v>
      </c>
      <c r="H11" s="22">
        <v>0.96812015840871735</v>
      </c>
      <c r="I11" s="21">
        <f t="shared" si="3"/>
        <v>0.23388686694944247</v>
      </c>
      <c r="J11" s="30">
        <f t="shared" si="1"/>
        <v>7.4963739406872579E-2</v>
      </c>
      <c r="L11" s="23" t="s">
        <v>17</v>
      </c>
      <c r="M11" s="99">
        <v>1.2</v>
      </c>
      <c r="O11" s="22">
        <v>0.96812015840871735</v>
      </c>
      <c r="P11" s="21">
        <f t="shared" si="4"/>
        <v>0.23388686694944247</v>
      </c>
      <c r="Q11" s="30">
        <f t="shared" si="2"/>
        <v>5.5911340480277903E-3</v>
      </c>
    </row>
    <row r="12" spans="1:17">
      <c r="A12" s="22">
        <v>0.88977791777709325</v>
      </c>
      <c r="B12" s="21">
        <v>9.7732081042979202E-2</v>
      </c>
      <c r="C12" s="103">
        <f t="shared" si="0"/>
        <v>6.5154720695319468E-2</v>
      </c>
      <c r="E12" s="26" t="s">
        <v>18</v>
      </c>
      <c r="F12" s="99">
        <v>1</v>
      </c>
      <c r="H12" s="22">
        <v>1.0622420316622847</v>
      </c>
      <c r="I12" s="21">
        <f t="shared" si="3"/>
        <v>0.2131628987853883</v>
      </c>
      <c r="J12" s="30">
        <f t="shared" si="1"/>
        <v>6.8321441918393677E-2</v>
      </c>
      <c r="L12" s="26" t="s">
        <v>18</v>
      </c>
      <c r="M12" s="99">
        <v>1</v>
      </c>
      <c r="O12" s="22">
        <v>1.0622420316622847</v>
      </c>
      <c r="P12" s="21">
        <f t="shared" si="4"/>
        <v>0.2131628987853883</v>
      </c>
      <c r="Q12" s="30">
        <f t="shared" si="2"/>
        <v>6.1347112121239913E-3</v>
      </c>
    </row>
    <row r="13" spans="1:17" ht="15.75">
      <c r="A13" s="22">
        <v>0.96294582476014001</v>
      </c>
      <c r="B13" s="21">
        <v>9.030606430232456E-2</v>
      </c>
      <c r="C13" s="103">
        <f t="shared" si="0"/>
        <v>6.0204042868216373E-2</v>
      </c>
      <c r="E13" s="23" t="s">
        <v>19</v>
      </c>
      <c r="F13" s="99">
        <v>0.12586752296525536</v>
      </c>
      <c r="G13" t="s">
        <v>13</v>
      </c>
      <c r="H13" s="22">
        <v>1.1563639049158521</v>
      </c>
      <c r="I13" s="21">
        <f t="shared" ref="I13:I25" si="5">$M$3*$M$11*$M$12*$M$4*($M$14/H13)</f>
        <v>0.19581257225188989</v>
      </c>
      <c r="J13" s="30">
        <f t="shared" si="1"/>
        <v>6.276043982432368E-2</v>
      </c>
      <c r="L13" s="23" t="s">
        <v>19</v>
      </c>
      <c r="M13" s="99">
        <v>0.13446297296243795</v>
      </c>
      <c r="N13" t="s">
        <v>13</v>
      </c>
      <c r="O13" s="22">
        <v>1.1563639049158521</v>
      </c>
      <c r="P13" s="21">
        <f t="shared" si="4"/>
        <v>0.19581257225188989</v>
      </c>
      <c r="Q13" s="30">
        <f t="shared" si="2"/>
        <v>6.6782883762201949E-3</v>
      </c>
    </row>
    <row r="14" spans="1:17" ht="15.75">
      <c r="A14" s="22">
        <v>1.0361137317431868</v>
      </c>
      <c r="B14" s="21">
        <v>8.3928863122140526E-2</v>
      </c>
      <c r="C14" s="103">
        <f t="shared" si="0"/>
        <v>5.5952575414760349E-2</v>
      </c>
      <c r="E14" s="23" t="s">
        <v>20</v>
      </c>
      <c r="F14" s="99">
        <v>0.37760256889576604</v>
      </c>
      <c r="G14" t="s">
        <v>13</v>
      </c>
      <c r="H14" s="22">
        <v>1.2504857781694194</v>
      </c>
      <c r="I14" s="21">
        <f t="shared" si="5"/>
        <v>0.1810741030675963</v>
      </c>
      <c r="J14" s="30">
        <f t="shared" si="1"/>
        <v>5.8036571496024453E-2</v>
      </c>
      <c r="L14" s="23" t="s">
        <v>20</v>
      </c>
      <c r="M14" s="99">
        <v>0.40338891888731387</v>
      </c>
      <c r="N14" t="s">
        <v>13</v>
      </c>
      <c r="O14" s="22">
        <v>1.2504857781694194</v>
      </c>
      <c r="P14" s="21">
        <f t="shared" si="4"/>
        <v>0.1810741030675963</v>
      </c>
      <c r="Q14" s="30">
        <f t="shared" si="2"/>
        <v>7.2218655403163958E-3</v>
      </c>
    </row>
    <row r="15" spans="1:17" ht="15.75">
      <c r="A15" s="22">
        <v>1.1092816387262334</v>
      </c>
      <c r="B15" s="21">
        <v>7.8392938758364797E-2</v>
      </c>
      <c r="C15" s="103">
        <f t="shared" si="0"/>
        <v>5.2261959172243196E-2</v>
      </c>
      <c r="E15" s="23" t="s">
        <v>21</v>
      </c>
      <c r="F15" s="99">
        <v>1.914128615539747</v>
      </c>
      <c r="G15" t="s">
        <v>13</v>
      </c>
      <c r="H15" s="22">
        <v>1.3446076514229868</v>
      </c>
      <c r="I15" s="21">
        <f t="shared" si="5"/>
        <v>0.16839900504893252</v>
      </c>
      <c r="J15" s="30">
        <f t="shared" si="1"/>
        <v>5.3974040079786061E-2</v>
      </c>
      <c r="L15" s="23" t="s">
        <v>21</v>
      </c>
      <c r="M15" s="99">
        <v>2.3799482572122264</v>
      </c>
      <c r="N15" t="s">
        <v>13</v>
      </c>
      <c r="O15" s="22">
        <v>1.3446076514229868</v>
      </c>
      <c r="P15" s="21">
        <f t="shared" si="4"/>
        <v>0.16839900504893252</v>
      </c>
      <c r="Q15" s="30">
        <f t="shared" si="2"/>
        <v>7.7654427044125994E-3</v>
      </c>
    </row>
    <row r="16" spans="1:17">
      <c r="A16" s="22">
        <v>1.1824495457092801</v>
      </c>
      <c r="B16" s="21">
        <v>7.3542121002957636E-2</v>
      </c>
      <c r="C16" s="103">
        <f t="shared" si="0"/>
        <v>4.9028080668638424E-2</v>
      </c>
      <c r="H16" s="22">
        <v>1.4387295246765541</v>
      </c>
      <c r="I16" s="21">
        <f t="shared" si="5"/>
        <v>0.15738232016314357</v>
      </c>
      <c r="J16" s="30">
        <f t="shared" si="1"/>
        <v>5.0443051334340884E-2</v>
      </c>
      <c r="O16" s="22">
        <v>1.4387295246765541</v>
      </c>
      <c r="P16" s="21">
        <f t="shared" si="4"/>
        <v>0.15738232016314357</v>
      </c>
      <c r="Q16" s="30">
        <f t="shared" si="2"/>
        <v>8.3090198685088004E-3</v>
      </c>
    </row>
    <row r="17" spans="1:17">
      <c r="A17" s="22">
        <v>1.2556174526923267</v>
      </c>
      <c r="B17" s="21">
        <v>6.9256641331308877E-2</v>
      </c>
      <c r="C17" s="103">
        <f t="shared" si="0"/>
        <v>4.6171094220872587E-2</v>
      </c>
      <c r="H17" s="22">
        <v>1.5328513979301215</v>
      </c>
      <c r="I17" s="21">
        <f t="shared" si="5"/>
        <v>0.14771855313996665</v>
      </c>
      <c r="J17" s="30">
        <f t="shared" si="1"/>
        <v>4.7345690108963667E-2</v>
      </c>
      <c r="O17" s="22">
        <v>1.5328513979301215</v>
      </c>
      <c r="P17" s="21">
        <f t="shared" si="4"/>
        <v>0.14771855313996665</v>
      </c>
      <c r="Q17" s="30">
        <f t="shared" si="2"/>
        <v>8.852597032605004E-3</v>
      </c>
    </row>
    <row r="18" spans="1:17" ht="15.75" thickBot="1">
      <c r="A18" s="22">
        <v>1.3287853596753734</v>
      </c>
      <c r="B18" s="21">
        <v>6.5443110835965809E-2</v>
      </c>
      <c r="C18" s="103">
        <f t="shared" si="0"/>
        <v>4.3628740557310537E-2</v>
      </c>
      <c r="H18" s="22">
        <v>1.6269732711836888</v>
      </c>
      <c r="I18" s="21">
        <f t="shared" si="5"/>
        <v>0.13917290141839603</v>
      </c>
      <c r="J18" s="30">
        <f t="shared" si="1"/>
        <v>4.4606699172562825E-2</v>
      </c>
      <c r="L18" s="31"/>
      <c r="M18" s="86"/>
      <c r="O18" s="22">
        <v>1.6269732711836888</v>
      </c>
      <c r="P18" s="21">
        <f t="shared" si="4"/>
        <v>0.13917290141839603</v>
      </c>
      <c r="Q18" s="30">
        <f t="shared" si="2"/>
        <v>9.3961741967012041E-3</v>
      </c>
    </row>
    <row r="19" spans="1:17" ht="15.75" thickBot="1">
      <c r="A19" s="22">
        <v>1.40195326665842</v>
      </c>
      <c r="B19" s="21">
        <v>6.2027636468735131E-2</v>
      </c>
      <c r="C19" s="103">
        <f t="shared" si="0"/>
        <v>4.1351757645823418E-2</v>
      </c>
      <c r="E19" s="101" t="s">
        <v>203</v>
      </c>
      <c r="F19" s="102">
        <v>0.59</v>
      </c>
      <c r="H19" s="22">
        <v>1.7210951444372562</v>
      </c>
      <c r="I19" s="21">
        <f t="shared" si="5"/>
        <v>0.13156192521526663</v>
      </c>
      <c r="J19" s="30">
        <f t="shared" si="1"/>
        <v>4.216728372284187E-2</v>
      </c>
      <c r="L19" s="101" t="s">
        <v>203</v>
      </c>
      <c r="M19" s="102">
        <v>0.72</v>
      </c>
      <c r="O19" s="22">
        <v>1.7210951444372562</v>
      </c>
      <c r="P19" s="21">
        <f t="shared" si="4"/>
        <v>0.13156192521526663</v>
      </c>
      <c r="Q19" s="30">
        <f t="shared" si="2"/>
        <v>9.9397513607974077E-3</v>
      </c>
    </row>
    <row r="20" spans="1:17" ht="18">
      <c r="A20" s="22">
        <v>1.4751211736414667</v>
      </c>
      <c r="B20" s="21">
        <v>5.8950985942243718E-2</v>
      </c>
      <c r="C20" s="103">
        <f t="shared" si="0"/>
        <v>3.9300657294829143E-2</v>
      </c>
      <c r="E20" s="31" t="s">
        <v>178</v>
      </c>
      <c r="F20" s="86">
        <f>IF(F19&lt;A5,F3*F11*F12*F4,F3*F11*F12*F4*(F14/F19))</f>
        <v>0.14738957215329518</v>
      </c>
      <c r="H20" s="22">
        <v>1.8152170176908236</v>
      </c>
      <c r="I20" s="21">
        <f t="shared" si="5"/>
        <v>0.12474023131893068</v>
      </c>
      <c r="J20" s="30">
        <f t="shared" si="1"/>
        <v>3.9980843371452142E-2</v>
      </c>
      <c r="L20" s="31" t="s">
        <v>177</v>
      </c>
      <c r="M20" s="86">
        <f>IF(M19&lt;H5,M3*M11*M12*M4,M3*M11*M12*M4*(M14/M19))</f>
        <v>0.31448693150112894</v>
      </c>
      <c r="O20" s="22">
        <v>1.8152170176908236</v>
      </c>
      <c r="P20" s="21">
        <f t="shared" si="4"/>
        <v>0.12474023131893068</v>
      </c>
      <c r="Q20" s="30">
        <f t="shared" si="2"/>
        <v>1.0483328524893611E-2</v>
      </c>
    </row>
    <row r="21" spans="1:17" ht="18">
      <c r="A21" s="22">
        <v>1.5482890806245133</v>
      </c>
      <c r="B21" s="21">
        <v>5.6165123592661577E-2</v>
      </c>
      <c r="C21" s="103">
        <f t="shared" si="0"/>
        <v>3.7443415728441051E-2</v>
      </c>
      <c r="E21" s="31" t="s">
        <v>222</v>
      </c>
      <c r="F21">
        <f>F20/1.5</f>
        <v>9.8259714768863457E-2</v>
      </c>
      <c r="H21" s="22">
        <v>1.9093388909443909</v>
      </c>
      <c r="I21" s="21">
        <f t="shared" si="5"/>
        <v>0.11859109545965225</v>
      </c>
      <c r="J21" s="30">
        <f t="shared" si="1"/>
        <v>3.8009966493478285E-2</v>
      </c>
      <c r="L21" s="31" t="s">
        <v>223</v>
      </c>
      <c r="M21" s="31">
        <f>M20/K1</f>
        <v>0.10079709342984902</v>
      </c>
      <c r="O21" s="22">
        <v>1.9093388909443909</v>
      </c>
      <c r="P21" s="21">
        <f t="shared" si="4"/>
        <v>0.11859109545965225</v>
      </c>
      <c r="Q21" s="30">
        <f t="shared" si="2"/>
        <v>1.1026905688989813E-2</v>
      </c>
    </row>
    <row r="22" spans="1:17">
      <c r="A22" s="22">
        <v>1.62145698760756</v>
      </c>
      <c r="B22" s="21">
        <v>5.3630684153239461E-2</v>
      </c>
      <c r="C22" s="103">
        <f t="shared" si="0"/>
        <v>3.5753789435492976E-2</v>
      </c>
      <c r="H22" s="22">
        <v>2.0034607641979583</v>
      </c>
      <c r="I22" s="21">
        <f t="shared" si="5"/>
        <v>0.11301972802619839</v>
      </c>
      <c r="J22" s="30">
        <f t="shared" si="1"/>
        <v>3.6224271803268711E-2</v>
      </c>
      <c r="O22" s="22">
        <v>2.0034607641979583</v>
      </c>
      <c r="P22" s="21">
        <f t="shared" si="4"/>
        <v>0.11301972802619839</v>
      </c>
      <c r="Q22" s="30">
        <f t="shared" si="2"/>
        <v>1.1570482853086013E-2</v>
      </c>
    </row>
    <row r="23" spans="1:17">
      <c r="A23" s="22">
        <v>1.6946248945906066</v>
      </c>
      <c r="B23" s="21">
        <v>5.1315100968968248E-2</v>
      </c>
      <c r="C23" s="103">
        <f t="shared" si="0"/>
        <v>3.4210067312645497E-2</v>
      </c>
      <c r="E23" s="31"/>
      <c r="F23" s="91"/>
      <c r="H23" s="22">
        <v>2.0975826374515254</v>
      </c>
      <c r="I23" s="21">
        <f t="shared" si="5"/>
        <v>0.10794835285055393</v>
      </c>
      <c r="J23" s="30">
        <f t="shared" si="1"/>
        <v>3.4598831041844205E-2</v>
      </c>
      <c r="L23" s="31" t="s">
        <v>204</v>
      </c>
      <c r="M23" s="91">
        <f>1.5*(M20/F20)</f>
        <v>3.2005683330233277</v>
      </c>
      <c r="O23" s="22">
        <v>2.0975826374515254</v>
      </c>
      <c r="P23" s="21">
        <f t="shared" si="4"/>
        <v>0.10794835285055393</v>
      </c>
      <c r="Q23" s="30">
        <f t="shared" si="2"/>
        <v>1.2114060017182213E-2</v>
      </c>
    </row>
    <row r="24" spans="1:17">
      <c r="A24" s="22">
        <v>1.7677928015736533</v>
      </c>
      <c r="B24" s="21">
        <v>4.9191199043821347E-2</v>
      </c>
      <c r="C24" s="103">
        <f t="shared" si="0"/>
        <v>3.2794132695880898E-2</v>
      </c>
      <c r="H24" s="22">
        <v>2.1917045107050925</v>
      </c>
      <c r="I24" s="21">
        <f t="shared" si="5"/>
        <v>0.10331255403036421</v>
      </c>
      <c r="J24" s="30">
        <f t="shared" si="1"/>
        <v>3.3112998086655195E-2</v>
      </c>
      <c r="O24" s="22">
        <v>2.1917045107050925</v>
      </c>
      <c r="P24" s="21">
        <f t="shared" si="4"/>
        <v>0.10331255403036421</v>
      </c>
      <c r="Q24" s="30">
        <f t="shared" si="2"/>
        <v>1.2657637181278417E-2</v>
      </c>
    </row>
    <row r="25" spans="1:17">
      <c r="A25" s="21">
        <v>1.8409607085566999</v>
      </c>
      <c r="B25" s="21">
        <v>4.7236123599085425E-2</v>
      </c>
      <c r="C25" s="103">
        <f t="shared" si="0"/>
        <v>3.149074906605695E-2</v>
      </c>
      <c r="H25" s="21">
        <v>2.2858263839586597</v>
      </c>
      <c r="I25" s="21">
        <f t="shared" si="5"/>
        <v>9.9058525297391065E-2</v>
      </c>
      <c r="J25" s="30">
        <f t="shared" si="1"/>
        <v>3.1749527338907395E-2</v>
      </c>
      <c r="O25" s="21">
        <v>2.2858263839586597</v>
      </c>
      <c r="P25" s="21">
        <f t="shared" si="4"/>
        <v>9.9058525297391065E-2</v>
      </c>
      <c r="Q25" s="30">
        <f t="shared" si="2"/>
        <v>1.3201214345374621E-2</v>
      </c>
    </row>
    <row r="26" spans="1:17">
      <c r="A26" s="79">
        <v>1.914128615539747</v>
      </c>
      <c r="B26" s="79">
        <v>4.5430514367982094E-2</v>
      </c>
      <c r="C26" s="103">
        <f t="shared" si="0"/>
        <v>3.0287009578654728E-2</v>
      </c>
      <c r="H26" s="79">
        <v>2.3799482572122264</v>
      </c>
      <c r="I26" s="79">
        <v>9.5140972075604846E-2</v>
      </c>
      <c r="J26" s="30">
        <f t="shared" si="1"/>
        <v>3.0493901306283603E-2</v>
      </c>
      <c r="O26" s="79">
        <v>2.3799482572122264</v>
      </c>
      <c r="P26" s="79">
        <v>9.5140972075604846E-2</v>
      </c>
      <c r="Q26" s="30">
        <f t="shared" si="2"/>
        <v>1.3744791509470817E-2</v>
      </c>
    </row>
    <row r="27" spans="1:17">
      <c r="A27" s="21">
        <v>2.0134558243235685</v>
      </c>
      <c r="B27" s="21">
        <v>4.1058745378646969E-2</v>
      </c>
      <c r="C27" s="103">
        <f t="shared" si="0"/>
        <v>2.7372496919097978E-2</v>
      </c>
      <c r="H27" s="21">
        <v>2.4570935782973584</v>
      </c>
      <c r="I27" s="21">
        <v>8.926048059414439E-2</v>
      </c>
      <c r="J27" s="30">
        <f t="shared" si="1"/>
        <v>2.8609128395559097E-2</v>
      </c>
      <c r="O27" s="21">
        <v>2.4570935782973584</v>
      </c>
      <c r="P27" s="21">
        <v>8.926048059414439E-2</v>
      </c>
      <c r="Q27" s="30">
        <f t="shared" si="2"/>
        <v>1.3744791509470815E-2</v>
      </c>
    </row>
    <row r="28" spans="1:17">
      <c r="A28" s="21">
        <v>2.11278303310739</v>
      </c>
      <c r="B28" s="21">
        <v>3.7288943995269018E-2</v>
      </c>
      <c r="C28" s="103">
        <f t="shared" si="0"/>
        <v>2.4859295996846012E-2</v>
      </c>
      <c r="H28" s="21">
        <v>2.5342388993824905</v>
      </c>
      <c r="I28" s="21">
        <v>8.3908799749994614E-2</v>
      </c>
      <c r="J28" s="30">
        <f t="shared" si="1"/>
        <v>2.6893846073716223E-2</v>
      </c>
      <c r="O28" s="21">
        <v>2.5342388993824905</v>
      </c>
      <c r="P28" s="21">
        <v>8.3908799749994614E-2</v>
      </c>
      <c r="Q28" s="30">
        <f t="shared" si="2"/>
        <v>1.3744791509470817E-2</v>
      </c>
    </row>
    <row r="29" spans="1:17">
      <c r="A29" s="21">
        <v>2.2121102418912115</v>
      </c>
      <c r="B29" s="21">
        <v>3.4015460332203561E-2</v>
      </c>
      <c r="C29" s="103">
        <f t="shared" si="0"/>
        <v>2.2676973554802374E-2</v>
      </c>
      <c r="H29" s="21">
        <v>2.6113842204676225</v>
      </c>
      <c r="I29" s="21">
        <v>7.9024373879024876E-2</v>
      </c>
      <c r="J29" s="30">
        <f t="shared" si="1"/>
        <v>2.5328324961225921E-2</v>
      </c>
      <c r="O29" s="21">
        <v>2.6113842204676225</v>
      </c>
      <c r="P29" s="21">
        <v>7.9024373879024876E-2</v>
      </c>
      <c r="Q29" s="30">
        <f t="shared" si="2"/>
        <v>1.3744791509470815E-2</v>
      </c>
    </row>
    <row r="30" spans="1:17">
      <c r="A30" s="21">
        <v>2.311437450675033</v>
      </c>
      <c r="B30" s="21">
        <v>3.1154844970832409E-2</v>
      </c>
      <c r="C30" s="103">
        <f t="shared" si="0"/>
        <v>2.0769896647221606E-2</v>
      </c>
      <c r="H30" s="21">
        <v>2.6885295415527546</v>
      </c>
      <c r="I30" s="21">
        <v>7.4554350117185572E-2</v>
      </c>
      <c r="J30" s="30">
        <f t="shared" si="1"/>
        <v>2.3895625037559477E-2</v>
      </c>
      <c r="O30" s="21">
        <v>2.6885295415527546</v>
      </c>
      <c r="P30" s="21">
        <v>7.4554350117185572E-2</v>
      </c>
      <c r="Q30" s="30">
        <f t="shared" si="2"/>
        <v>1.3744791509470815E-2</v>
      </c>
    </row>
    <row r="31" spans="1:17">
      <c r="A31" s="21">
        <v>2.4107646594588545</v>
      </c>
      <c r="B31" s="21">
        <v>2.8640477414250073E-2</v>
      </c>
      <c r="C31" s="103">
        <f t="shared" si="0"/>
        <v>1.9093651609500047E-2</v>
      </c>
      <c r="H31" s="21">
        <v>2.7656748626378866</v>
      </c>
      <c r="I31" s="21">
        <v>7.0453142599757809E-2</v>
      </c>
      <c r="J31" s="30">
        <f t="shared" si="1"/>
        <v>2.2581135448640322E-2</v>
      </c>
      <c r="O31" s="21">
        <v>2.7656748626378866</v>
      </c>
      <c r="P31" s="21">
        <v>7.0453142599757809E-2</v>
      </c>
      <c r="Q31" s="30">
        <f t="shared" si="2"/>
        <v>1.3744791509470815E-2</v>
      </c>
    </row>
    <row r="32" spans="1:17">
      <c r="A32" s="21">
        <v>2.510091868242676</v>
      </c>
      <c r="B32" s="21">
        <v>2.6418651878268948E-2</v>
      </c>
      <c r="C32" s="103">
        <f t="shared" si="0"/>
        <v>1.7612434585512631E-2</v>
      </c>
      <c r="H32" s="21">
        <v>2.8428201837230187</v>
      </c>
      <c r="I32" s="21">
        <v>6.6681265609514082E-2</v>
      </c>
      <c r="J32" s="30">
        <f t="shared" si="1"/>
        <v>2.1372200515869896E-2</v>
      </c>
      <c r="O32" s="21">
        <v>2.8428201837230187</v>
      </c>
      <c r="P32" s="21">
        <v>6.6681265609514082E-2</v>
      </c>
      <c r="Q32" s="30">
        <f t="shared" si="2"/>
        <v>1.3744791509470815E-2</v>
      </c>
    </row>
    <row r="33" spans="1:17">
      <c r="A33" s="21">
        <v>2.6094190770264976</v>
      </c>
      <c r="B33" s="21">
        <v>2.4445685460069064E-2</v>
      </c>
      <c r="C33" s="103">
        <f t="shared" si="0"/>
        <v>1.6297123640046044E-2</v>
      </c>
      <c r="H33" s="21">
        <v>2.9199655048081508</v>
      </c>
      <c r="I33" s="21">
        <v>6.3204379602033206E-2</v>
      </c>
      <c r="J33" s="30">
        <f t="shared" si="1"/>
        <v>2.0257813975010641E-2</v>
      </c>
      <c r="O33" s="21">
        <v>2.9199655048081508</v>
      </c>
      <c r="P33" s="21">
        <v>6.3204379602033206E-2</v>
      </c>
      <c r="Q33" s="30">
        <f t="shared" si="2"/>
        <v>1.3744791509470815E-2</v>
      </c>
    </row>
    <row r="34" spans="1:17">
      <c r="A34" s="21">
        <v>2.7087462858103191</v>
      </c>
      <c r="B34" s="21">
        <v>2.268575450384817E-2</v>
      </c>
      <c r="C34" s="103">
        <f t="shared" si="0"/>
        <v>1.5123836335898781E-2</v>
      </c>
      <c r="H34" s="21">
        <v>2.9971108258932828</v>
      </c>
      <c r="I34" s="21">
        <v>5.9992506853071531E-2</v>
      </c>
      <c r="J34" s="30">
        <f t="shared" si="1"/>
        <v>1.9228367581112668E-2</v>
      </c>
      <c r="O34" s="21">
        <v>2.9971108258932828</v>
      </c>
      <c r="P34" s="21">
        <v>5.9992506853071531E-2</v>
      </c>
      <c r="Q34" s="30">
        <f t="shared" si="2"/>
        <v>1.3744791509470815E-2</v>
      </c>
    </row>
    <row r="35" spans="1:17">
      <c r="A35" s="21">
        <v>2.8080734945941406</v>
      </c>
      <c r="B35" s="21">
        <v>2.1109256896476428E-2</v>
      </c>
      <c r="C35" s="103">
        <f t="shared" si="0"/>
        <v>1.4072837930984286E-2</v>
      </c>
      <c r="H35" s="21">
        <v>3.0742561469784149</v>
      </c>
      <c r="I35" s="21">
        <v>5.7019383115246354E-2</v>
      </c>
      <c r="J35" s="30">
        <f t="shared" si="1"/>
        <v>1.8275443306168704E-2</v>
      </c>
      <c r="O35" s="21">
        <v>3.0742561469784149</v>
      </c>
      <c r="P35" s="21">
        <v>5.7019383115246354E-2</v>
      </c>
      <c r="Q35" s="30">
        <f t="shared" si="2"/>
        <v>1.3744791509470815E-2</v>
      </c>
    </row>
    <row r="36" spans="1:17">
      <c r="A36" s="21">
        <v>2.9074007033779621</v>
      </c>
      <c r="B36" s="21">
        <v>1.9691559104931294E-2</v>
      </c>
      <c r="C36" s="103">
        <f t="shared" si="0"/>
        <v>1.3127706069954196E-2</v>
      </c>
      <c r="H36" s="21">
        <v>3.1514014680635469</v>
      </c>
      <c r="I36" s="21">
        <v>5.4261918983191999E-2</v>
      </c>
      <c r="J36" s="30">
        <f t="shared" si="1"/>
        <v>1.7391640699741025E-2</v>
      </c>
      <c r="O36" s="21">
        <v>3.1514014680635469</v>
      </c>
      <c r="P36" s="21">
        <v>5.4261918983191999E-2</v>
      </c>
      <c r="Q36" s="30">
        <f t="shared" si="2"/>
        <v>1.3744791509470815E-2</v>
      </c>
    </row>
    <row r="37" spans="1:17">
      <c r="A37" s="21">
        <v>3.0067279121617836</v>
      </c>
      <c r="B37" s="21">
        <v>1.8412028019704079E-2</v>
      </c>
      <c r="C37" s="103">
        <f t="shared" si="0"/>
        <v>1.2274685346469387E-2</v>
      </c>
      <c r="H37" s="21">
        <v>3.228546789148679</v>
      </c>
      <c r="I37" s="21">
        <v>5.1699750252725496E-2</v>
      </c>
      <c r="J37" s="30">
        <f t="shared" si="1"/>
        <v>1.6570432773309454E-2</v>
      </c>
      <c r="O37" s="21">
        <v>3.228546789148679</v>
      </c>
      <c r="P37" s="21">
        <v>5.1699750252725496E-2</v>
      </c>
      <c r="Q37" s="30">
        <f t="shared" si="2"/>
        <v>1.3744791509470817E-2</v>
      </c>
    </row>
    <row r="38" spans="1:17">
      <c r="A38" s="21">
        <v>3.1060551209456051</v>
      </c>
      <c r="B38" s="21">
        <v>1.7253275950567602E-2</v>
      </c>
      <c r="C38" s="103">
        <f t="shared" si="0"/>
        <v>1.1502183967045068E-2</v>
      </c>
      <c r="H38" s="21">
        <v>3.305692110233811</v>
      </c>
      <c r="I38" s="21">
        <v>4.9314860857985858E-2</v>
      </c>
      <c r="J38" s="30">
        <f t="shared" si="1"/>
        <v>1.5806045146790338E-2</v>
      </c>
      <c r="O38" s="21">
        <v>3.305692110233811</v>
      </c>
      <c r="P38" s="21">
        <v>4.9314860857985858E-2</v>
      </c>
      <c r="Q38" s="30">
        <f t="shared" si="2"/>
        <v>1.3744791509470815E-2</v>
      </c>
    </row>
    <row r="39" spans="1:17">
      <c r="A39" s="21">
        <v>3.2053823297294266</v>
      </c>
      <c r="B39" s="21">
        <v>1.6200566781781882E-2</v>
      </c>
      <c r="C39" s="103">
        <f t="shared" si="0"/>
        <v>1.0800377854521254E-2</v>
      </c>
      <c r="H39" s="21">
        <v>3.3828374313189431</v>
      </c>
      <c r="I39" s="21">
        <v>4.7091265300247161E-2</v>
      </c>
      <c r="J39" s="30">
        <f t="shared" si="1"/>
        <v>1.5093354262899731E-2</v>
      </c>
      <c r="O39" s="21">
        <v>3.3828374313189431</v>
      </c>
      <c r="P39" s="21">
        <v>4.7091265300247161E-2</v>
      </c>
      <c r="Q39" s="30">
        <f t="shared" si="2"/>
        <v>1.3744791509470815E-2</v>
      </c>
    </row>
    <row r="40" spans="1:17">
      <c r="A40" s="21">
        <v>3.3047095385132481</v>
      </c>
      <c r="B40" s="21">
        <v>1.524134513825562E-2</v>
      </c>
      <c r="C40" s="103">
        <f t="shared" si="0"/>
        <v>1.0160896758837081E-2</v>
      </c>
      <c r="H40" s="21">
        <v>3.4599827524040752</v>
      </c>
      <c r="I40" s="21">
        <v>4.5014740077984013E-2</v>
      </c>
      <c r="J40" s="30">
        <f t="shared" si="1"/>
        <v>1.4427801307046158E-2</v>
      </c>
      <c r="O40" s="21">
        <v>3.4599827524040752</v>
      </c>
      <c r="P40" s="21">
        <v>4.5014740077984013E-2</v>
      </c>
      <c r="Q40" s="30">
        <f t="shared" si="2"/>
        <v>1.3744791509470817E-2</v>
      </c>
    </row>
    <row r="41" spans="1:17">
      <c r="A41" s="21">
        <v>3.4040367472970696</v>
      </c>
      <c r="B41" s="21">
        <v>1.4364860280558037E-2</v>
      </c>
      <c r="C41" s="103">
        <f t="shared" si="0"/>
        <v>9.5765735203720247E-3</v>
      </c>
      <c r="H41" s="21">
        <v>3.5371280734892072</v>
      </c>
      <c r="I41" s="21">
        <v>4.3072595663856815E-2</v>
      </c>
      <c r="J41" s="30">
        <f t="shared" si="1"/>
        <v>1.380531912303103E-2</v>
      </c>
      <c r="O41" s="21">
        <v>3.5371280734892072</v>
      </c>
      <c r="P41" s="21">
        <v>4.3072595663856815E-2</v>
      </c>
      <c r="Q41" s="30">
        <f t="shared" si="2"/>
        <v>1.3744791509470817E-2</v>
      </c>
    </row>
    <row r="42" spans="1:17">
      <c r="A42" s="21">
        <v>3.5033639560808911</v>
      </c>
      <c r="B42" s="21">
        <v>1.3561863557153081E-2</v>
      </c>
      <c r="C42" s="103">
        <f t="shared" si="0"/>
        <v>9.0412423714353873E-3</v>
      </c>
      <c r="H42" s="21">
        <v>3.6142733945743393</v>
      </c>
      <c r="I42" s="21">
        <v>4.1253482180564606E-2</v>
      </c>
      <c r="J42" s="30">
        <f t="shared" si="1"/>
        <v>1.3222269929668143E-2</v>
      </c>
      <c r="O42" s="21">
        <v>3.6142733945743393</v>
      </c>
      <c r="P42" s="21">
        <v>4.1253482180564606E-2</v>
      </c>
      <c r="Q42" s="30">
        <f t="shared" si="2"/>
        <v>1.3744791509470817E-2</v>
      </c>
    </row>
    <row r="43" spans="1:17">
      <c r="A43" s="21">
        <v>3.6026911648647126</v>
      </c>
      <c r="B43" s="21">
        <v>1.2824363420509357E-2</v>
      </c>
      <c r="C43" s="103">
        <f t="shared" si="0"/>
        <v>8.5495756136729044E-3</v>
      </c>
      <c r="H43" s="21">
        <v>3.6914187156594713</v>
      </c>
      <c r="I43" s="21">
        <v>3.9547223201720286E-2</v>
      </c>
      <c r="J43" s="30">
        <f t="shared" si="1"/>
        <v>1.2675392051833425E-2</v>
      </c>
      <c r="O43" s="21">
        <v>3.6914187156594713</v>
      </c>
      <c r="P43" s="21">
        <v>3.9547223201720286E-2</v>
      </c>
      <c r="Q43" s="30">
        <f t="shared" si="2"/>
        <v>1.3744791509470815E-2</v>
      </c>
    </row>
    <row r="44" spans="1:17">
      <c r="A44" s="21">
        <v>3.7020183736485341</v>
      </c>
      <c r="B44" s="21">
        <v>1.2145425822071353E-2</v>
      </c>
      <c r="C44" s="103">
        <f t="shared" si="0"/>
        <v>8.0969505480475695E-3</v>
      </c>
      <c r="H44" s="21">
        <v>3.7685640367446034</v>
      </c>
      <c r="I44" s="21">
        <v>3.8997412860611327E-2</v>
      </c>
      <c r="J44" s="30">
        <f t="shared" si="1"/>
        <v>1.2499170788657477E-2</v>
      </c>
      <c r="O44" s="21">
        <v>3.7685640367446034</v>
      </c>
      <c r="P44" s="21">
        <v>3.8997412860611327E-2</v>
      </c>
      <c r="Q44" s="30">
        <f t="shared" si="2"/>
        <v>1.4126127993839891E-2</v>
      </c>
    </row>
    <row r="45" spans="1:17">
      <c r="A45" s="21">
        <v>3.8013455824323557</v>
      </c>
      <c r="B45" s="21">
        <v>1.1519010627836314E-2</v>
      </c>
      <c r="C45" s="103">
        <f t="shared" si="0"/>
        <v>7.6793404185575426E-3</v>
      </c>
      <c r="H45" s="21">
        <v>3.8457093578297354</v>
      </c>
      <c r="I45" s="21">
        <v>3.8997412860611327E-2</v>
      </c>
      <c r="J45" s="30">
        <f t="shared" si="1"/>
        <v>1.2499170788657477E-2</v>
      </c>
      <c r="O45" s="21">
        <v>3.8457093578297354</v>
      </c>
      <c r="P45" s="21">
        <v>3.8997412860611327E-2</v>
      </c>
      <c r="Q45" s="30">
        <f t="shared" si="2"/>
        <v>1.4710392354261729E-2</v>
      </c>
    </row>
    <row r="46" spans="1:17">
      <c r="A46" s="21">
        <v>3.9006727912161772</v>
      </c>
      <c r="B46" s="21">
        <v>1.0939836812753241E-2</v>
      </c>
      <c r="C46" s="103">
        <f t="shared" si="0"/>
        <v>7.2932245418354941E-3</v>
      </c>
      <c r="H46" s="21">
        <v>3.9228546789148675</v>
      </c>
      <c r="I46" s="21">
        <v>3.8997412860611327E-2</v>
      </c>
      <c r="J46" s="30">
        <f t="shared" si="1"/>
        <v>1.2499170788657477E-2</v>
      </c>
      <c r="O46" s="21">
        <v>3.9228546789148675</v>
      </c>
      <c r="P46" s="21">
        <v>3.8997412860611327E-2</v>
      </c>
      <c r="Q46" s="30">
        <f t="shared" si="2"/>
        <v>1.5306495864487528E-2</v>
      </c>
    </row>
    <row r="47" spans="1:17">
      <c r="A47" s="21">
        <v>4</v>
      </c>
      <c r="B47" s="21">
        <v>1.0403270789847607E-2</v>
      </c>
      <c r="C47" s="103">
        <f t="shared" si="0"/>
        <v>6.9355138598984041E-3</v>
      </c>
      <c r="H47" s="21">
        <v>4</v>
      </c>
      <c r="I47" s="21">
        <v>3.8997412860611327E-2</v>
      </c>
      <c r="J47" s="30">
        <f t="shared" si="1"/>
        <v>1.2499170788657477E-2</v>
      </c>
      <c r="O47" s="21">
        <v>4</v>
      </c>
      <c r="P47" s="21">
        <v>3.8997412860611327E-2</v>
      </c>
      <c r="Q47" s="30">
        <f t="shared" si="2"/>
        <v>1.591443852451729E-2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ED7E-7A1F-4B83-8542-A5A6CA31B9B7}">
  <sheetPr codeName="Foglio5"/>
  <dimension ref="A1:K13"/>
  <sheetViews>
    <sheetView workbookViewId="0">
      <selection activeCell="H14" sqref="H14"/>
    </sheetView>
  </sheetViews>
  <sheetFormatPr defaultRowHeight="15"/>
  <cols>
    <col min="1" max="1" width="29.5703125" customWidth="1"/>
    <col min="2" max="3" width="13.5703125" customWidth="1"/>
    <col min="4" max="4" width="9.140625" customWidth="1"/>
  </cols>
  <sheetData>
    <row r="1" spans="1:11">
      <c r="A1" s="49" t="s">
        <v>135</v>
      </c>
      <c r="B1" s="49" t="s">
        <v>136</v>
      </c>
      <c r="C1" s="49" t="s">
        <v>137</v>
      </c>
    </row>
    <row r="2" spans="1:11" ht="17.25">
      <c r="A2" s="49" t="s">
        <v>128</v>
      </c>
      <c r="B2" s="49" t="s">
        <v>134</v>
      </c>
      <c r="C2" s="49" t="s">
        <v>134</v>
      </c>
    </row>
    <row r="3" spans="1:11">
      <c r="A3" s="2" t="s">
        <v>129</v>
      </c>
      <c r="B3" s="81">
        <f>1.3*SOLAIO!E23+1.5*(SOLAIO!E32+TRAMEZZI!B11)+1.5*SOLAIO!B47</f>
        <v>14.345499999999998</v>
      </c>
      <c r="C3" s="81">
        <f>1.3*SOLAIO!E23+1.5*SOLAIO!E43+1.5*SOLAIO!B47+1.5*0.5*0.89</f>
        <v>11.518000000000001</v>
      </c>
    </row>
    <row r="4" spans="1:11">
      <c r="A4" s="2" t="s">
        <v>130</v>
      </c>
      <c r="B4" s="81">
        <f>SOLAIO!E23+SOLAIO!E32+(SOLAIO!B47+TRAMEZZI!B11)</f>
        <v>9.8169999999999984</v>
      </c>
      <c r="C4" s="81">
        <f>SOLAIO!E23+SOLAIO!E43+SOLAIO!B47+0.5*0.89</f>
        <v>7.9320000000000004</v>
      </c>
      <c r="F4" t="s">
        <v>211</v>
      </c>
    </row>
    <row r="5" spans="1:11">
      <c r="A5" s="2" t="s">
        <v>131</v>
      </c>
      <c r="B5" s="2">
        <f>SOLAIO!E23+SOLAIO!E32+0.5*(SOLAIO!B47+TRAMEZZI!B11)</f>
        <v>8.0169999999999995</v>
      </c>
      <c r="C5" s="2">
        <f>SOLAIO!E23+SOLAIO!E43+0.5*SOLAIO!B47</f>
        <v>6.4870000000000001</v>
      </c>
      <c r="F5" s="31"/>
      <c r="G5" s="31">
        <v>1</v>
      </c>
      <c r="H5" s="31">
        <v>2</v>
      </c>
      <c r="I5" s="31">
        <v>3</v>
      </c>
      <c r="J5" s="31">
        <v>4</v>
      </c>
      <c r="K5" s="31">
        <v>5</v>
      </c>
    </row>
    <row r="6" spans="1:11" ht="18">
      <c r="A6" s="2" t="s">
        <v>132</v>
      </c>
      <c r="B6" s="2">
        <f>SOLAIO!E23+SOLAIO!E32+0.3*(SOLAIO!B47+TRAMEZZI!B11)</f>
        <v>7.2969999999999988</v>
      </c>
      <c r="C6" s="2">
        <f>SOLAIO!E23+SOLAIO!E43+0.3*SOLAIO!B47</f>
        <v>6.0869999999999997</v>
      </c>
      <c r="F6" s="31" t="s">
        <v>206</v>
      </c>
      <c r="G6" s="31">
        <f>2*2</f>
        <v>4</v>
      </c>
      <c r="H6" s="31">
        <f>4*2</f>
        <v>8</v>
      </c>
      <c r="I6" s="31">
        <f>(2+2.75)*2</f>
        <v>9.5</v>
      </c>
      <c r="J6" s="31">
        <f>(2.75+2)*2</f>
        <v>9.5</v>
      </c>
      <c r="K6" s="31">
        <f>2*2</f>
        <v>4</v>
      </c>
    </row>
    <row r="7" spans="1:11">
      <c r="A7" s="2" t="s">
        <v>133</v>
      </c>
      <c r="B7" s="2">
        <f>SOLAIO!E23+SOLAIO!E32+0.3*(SOLAIO!B47+TRAMEZZI!B11)</f>
        <v>7.2969999999999988</v>
      </c>
      <c r="C7" s="2">
        <f>SOLAIO!E23+SOLAIO!E43+0.3*SOLAIO!B47</f>
        <v>6.0869999999999997</v>
      </c>
      <c r="F7" s="31" t="s">
        <v>207</v>
      </c>
      <c r="G7" s="17">
        <f>$C$7*G6</f>
        <v>24.347999999999999</v>
      </c>
      <c r="H7" s="17">
        <f t="shared" ref="H7:K7" si="0">$C$7*H6</f>
        <v>48.695999999999998</v>
      </c>
      <c r="I7" s="17">
        <f t="shared" si="0"/>
        <v>57.826499999999996</v>
      </c>
      <c r="J7" s="17">
        <f t="shared" si="0"/>
        <v>57.826499999999996</v>
      </c>
      <c r="K7" s="17">
        <f t="shared" si="0"/>
        <v>24.347999999999999</v>
      </c>
    </row>
    <row r="8" spans="1:11">
      <c r="F8" s="31" t="s">
        <v>208</v>
      </c>
      <c r="G8" s="17">
        <f>$B$7*G$6</f>
        <v>29.187999999999995</v>
      </c>
      <c r="H8" s="17">
        <f t="shared" ref="H8:K10" si="1">$B$7*H$6</f>
        <v>58.375999999999991</v>
      </c>
      <c r="I8" s="17">
        <f t="shared" si="1"/>
        <v>69.321499999999986</v>
      </c>
      <c r="J8" s="17">
        <f t="shared" si="1"/>
        <v>69.321499999999986</v>
      </c>
      <c r="K8" s="17">
        <f t="shared" si="1"/>
        <v>29.187999999999995</v>
      </c>
    </row>
    <row r="9" spans="1:11">
      <c r="F9" s="31" t="s">
        <v>209</v>
      </c>
      <c r="G9" s="17">
        <f t="shared" ref="G9:G10" si="2">$B$7*G$6</f>
        <v>29.187999999999995</v>
      </c>
      <c r="H9" s="17">
        <f t="shared" si="1"/>
        <v>58.375999999999991</v>
      </c>
      <c r="I9" s="17">
        <f t="shared" si="1"/>
        <v>69.321499999999986</v>
      </c>
      <c r="J9" s="17">
        <f t="shared" si="1"/>
        <v>69.321499999999986</v>
      </c>
      <c r="K9" s="17">
        <f t="shared" si="1"/>
        <v>29.187999999999995</v>
      </c>
    </row>
    <row r="10" spans="1:11">
      <c r="F10" s="31" t="s">
        <v>210</v>
      </c>
      <c r="G10" s="17">
        <f t="shared" si="2"/>
        <v>29.187999999999995</v>
      </c>
      <c r="H10" s="17">
        <f t="shared" si="1"/>
        <v>58.375999999999991</v>
      </c>
      <c r="I10" s="17">
        <f t="shared" si="1"/>
        <v>69.321499999999986</v>
      </c>
      <c r="J10" s="17">
        <f t="shared" si="1"/>
        <v>69.321499999999986</v>
      </c>
      <c r="K10" s="17">
        <f t="shared" si="1"/>
        <v>29.187999999999995</v>
      </c>
    </row>
    <row r="11" spans="1:11">
      <c r="F11" s="31"/>
    </row>
    <row r="12" spans="1:11">
      <c r="F12" s="104">
        <f>C7*5</f>
        <v>30.434999999999999</v>
      </c>
    </row>
    <row r="13" spans="1:11">
      <c r="F13" s="31">
        <f>B7*5</f>
        <v>36.484999999999992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D385-7BD8-4F83-90AD-588E2B683B5B}">
  <sheetPr codeName="Foglio6"/>
  <dimension ref="A1:V32"/>
  <sheetViews>
    <sheetView topLeftCell="B1" zoomScale="70" zoomScaleNormal="70" workbookViewId="0">
      <selection activeCell="I5" sqref="I2:J5"/>
    </sheetView>
  </sheetViews>
  <sheetFormatPr defaultRowHeight="15"/>
  <cols>
    <col min="2" max="2" width="15" customWidth="1"/>
    <col min="3" max="3" width="14" customWidth="1"/>
    <col min="4" max="4" width="16.42578125" customWidth="1"/>
    <col min="5" max="5" width="15.5703125" customWidth="1"/>
    <col min="6" max="6" width="19.5703125" customWidth="1"/>
    <col min="7" max="7" width="15.140625" customWidth="1"/>
    <col min="9" max="9" width="13" customWidth="1"/>
    <col min="10" max="10" width="12.140625" customWidth="1"/>
    <col min="11" max="11" width="9.42578125" bestFit="1" customWidth="1"/>
    <col min="12" max="12" width="10.140625" customWidth="1"/>
    <col min="13" max="13" width="10.85546875" customWidth="1"/>
    <col min="14" max="14" width="9.140625" customWidth="1"/>
    <col min="15" max="15" width="10.5703125" customWidth="1"/>
    <col min="16" max="16" width="11.5703125" customWidth="1"/>
    <col min="17" max="17" width="11.7109375" customWidth="1"/>
    <col min="18" max="18" width="11.85546875" customWidth="1"/>
    <col min="19" max="19" width="11" customWidth="1"/>
    <col min="20" max="20" width="11.5703125" customWidth="1"/>
    <col min="21" max="21" width="11.85546875" customWidth="1"/>
    <col min="22" max="22" width="11" customWidth="1"/>
  </cols>
  <sheetData>
    <row r="1" spans="1:22" ht="18">
      <c r="A1" s="80" t="s">
        <v>138</v>
      </c>
      <c r="B1" s="85" t="s">
        <v>158</v>
      </c>
      <c r="C1" s="85" t="s">
        <v>159</v>
      </c>
      <c r="D1" s="85" t="s">
        <v>161</v>
      </c>
      <c r="E1" s="85" t="s">
        <v>160</v>
      </c>
      <c r="F1" s="85" t="s">
        <v>156</v>
      </c>
      <c r="G1" s="85" t="s">
        <v>157</v>
      </c>
      <c r="N1" s="124" t="s">
        <v>154</v>
      </c>
      <c r="O1" s="124"/>
      <c r="P1" s="84"/>
      <c r="Q1" s="124" t="s">
        <v>155</v>
      </c>
      <c r="R1" s="124"/>
    </row>
    <row r="2" spans="1:22" ht="18.75">
      <c r="A2" s="2">
        <v>1</v>
      </c>
      <c r="B2" s="2">
        <v>11.83</v>
      </c>
      <c r="C2" s="2">
        <v>1.7390000000000001</v>
      </c>
      <c r="D2" s="2">
        <v>0</v>
      </c>
      <c r="E2" s="2" t="s">
        <v>24</v>
      </c>
      <c r="F2" s="2" t="s">
        <v>24</v>
      </c>
      <c r="G2" s="2">
        <v>13.04</v>
      </c>
      <c r="I2" s="80" t="s">
        <v>139</v>
      </c>
      <c r="J2" s="17">
        <f>450/1.15</f>
        <v>391.304347826087</v>
      </c>
      <c r="M2" s="87" t="s">
        <v>143</v>
      </c>
      <c r="N2" s="88" t="s">
        <v>146</v>
      </c>
      <c r="O2" s="87" t="s">
        <v>144</v>
      </c>
      <c r="P2" s="87" t="s">
        <v>148</v>
      </c>
      <c r="Q2" s="88" t="s">
        <v>145</v>
      </c>
      <c r="R2" s="87" t="s">
        <v>144</v>
      </c>
      <c r="S2" s="87" t="s">
        <v>149</v>
      </c>
      <c r="T2" s="87" t="s">
        <v>150</v>
      </c>
      <c r="V2" s="83" t="s">
        <v>152</v>
      </c>
    </row>
    <row r="3" spans="1:22">
      <c r="A3" s="2">
        <v>2</v>
      </c>
      <c r="B3" s="2">
        <v>8.2119999999999997</v>
      </c>
      <c r="C3" s="2">
        <v>2.0870000000000002</v>
      </c>
      <c r="D3" s="2">
        <v>13.35</v>
      </c>
      <c r="E3" s="2">
        <v>0</v>
      </c>
      <c r="F3" s="2">
        <v>-17.690000000000001</v>
      </c>
      <c r="G3" s="2">
        <v>16.68</v>
      </c>
      <c r="I3" s="80" t="s">
        <v>140</v>
      </c>
      <c r="J3" s="2">
        <f>220</f>
        <v>220</v>
      </c>
      <c r="L3" s="2">
        <v>1</v>
      </c>
      <c r="M3" s="17">
        <f>(B2*1000*1000)/(0.9*$J$2*$J$5)</f>
        <v>176.79662118258608</v>
      </c>
      <c r="N3" s="2">
        <v>7</v>
      </c>
      <c r="O3" s="2">
        <v>2</v>
      </c>
      <c r="P3" s="17">
        <f>N3^2/4*(PI()*O3)</f>
        <v>76.969020012949926</v>
      </c>
      <c r="Q3" s="2">
        <v>12</v>
      </c>
      <c r="R3" s="2">
        <v>1</v>
      </c>
      <c r="S3" s="17">
        <f>Q3^2/4*(PI()*R3)</f>
        <v>113.09733552923255</v>
      </c>
      <c r="T3" s="17">
        <f>P3+S3</f>
        <v>190.06635554218246</v>
      </c>
      <c r="U3" s="89" t="str">
        <f>IF(T3&gt;=M3,"verifica","non verifica")</f>
        <v>verifica</v>
      </c>
      <c r="V3" s="17">
        <f>(0.9*T3*$J$2*$J$5)/1000^2</f>
        <v>12.717918312148646</v>
      </c>
    </row>
    <row r="4" spans="1:22">
      <c r="A4" s="2">
        <v>3</v>
      </c>
      <c r="B4" s="2">
        <v>14.75</v>
      </c>
      <c r="C4" s="2">
        <v>2.661</v>
      </c>
      <c r="D4" s="2">
        <v>17.670000000000002</v>
      </c>
      <c r="E4" s="2">
        <v>0</v>
      </c>
      <c r="F4" s="2">
        <v>17.84</v>
      </c>
      <c r="G4" s="2">
        <v>20.87</v>
      </c>
      <c r="I4" s="80" t="s">
        <v>141</v>
      </c>
      <c r="J4" s="2">
        <v>30</v>
      </c>
      <c r="L4" s="2">
        <v>2</v>
      </c>
      <c r="M4" s="17">
        <f>(B3*1000*1000)/(0.9*$J$2*$J$5)</f>
        <v>122.72644574398959</v>
      </c>
      <c r="N4" s="2">
        <v>7</v>
      </c>
      <c r="O4" s="2">
        <v>2</v>
      </c>
      <c r="P4" s="17">
        <f>N4^2/4*PI()*O4</f>
        <v>76.969020012949926</v>
      </c>
      <c r="Q4" s="2">
        <v>12</v>
      </c>
      <c r="R4" s="2">
        <v>1</v>
      </c>
      <c r="S4" s="17">
        <f>Q4^2/4*PI()*R4</f>
        <v>113.09733552923255</v>
      </c>
      <c r="T4" s="17">
        <f t="shared" ref="T4:T6" si="0">P4+S4</f>
        <v>190.06635554218246</v>
      </c>
      <c r="U4" s="89" t="str">
        <f t="shared" ref="U4:U6" si="1">IF(T4&gt;=M4,"verifica","non verifica")</f>
        <v>verifica</v>
      </c>
      <c r="V4" s="17">
        <f>(0.9*T4*$J$2*$J$5)/1000^2</f>
        <v>12.717918312148646</v>
      </c>
    </row>
    <row r="5" spans="1:22">
      <c r="A5" s="2">
        <v>4</v>
      </c>
      <c r="B5" s="2">
        <v>6.5670000000000002</v>
      </c>
      <c r="C5" s="2">
        <v>2.2610000000000001</v>
      </c>
      <c r="D5" s="2">
        <v>16.18</v>
      </c>
      <c r="E5" s="2">
        <v>0</v>
      </c>
      <c r="F5" s="2">
        <v>20.73</v>
      </c>
      <c r="G5" s="2">
        <v>12.52</v>
      </c>
      <c r="I5" s="80" t="s">
        <v>142</v>
      </c>
      <c r="J5" s="2">
        <f>J3-J4</f>
        <v>190</v>
      </c>
      <c r="L5" s="2">
        <v>3</v>
      </c>
      <c r="M5" s="17">
        <f>(B4*1000*1000)/(0.9*$J$2*$J$5)</f>
        <v>220.43534762833005</v>
      </c>
      <c r="N5" s="2">
        <v>7</v>
      </c>
      <c r="O5" s="2">
        <v>2</v>
      </c>
      <c r="P5" s="17">
        <f>N5^2/4*PI()*O5</f>
        <v>76.969020012949926</v>
      </c>
      <c r="Q5" s="2">
        <v>12</v>
      </c>
      <c r="R5" s="2">
        <v>2</v>
      </c>
      <c r="S5" s="17">
        <f>Q5^2/4*PI()*R5</f>
        <v>226.1946710584651</v>
      </c>
      <c r="T5" s="17">
        <f t="shared" si="0"/>
        <v>303.16369107141503</v>
      </c>
      <c r="U5" s="89" t="str">
        <f t="shared" si="1"/>
        <v>verifica</v>
      </c>
      <c r="V5" s="17">
        <f>(0.9*T5*$J$2*$J$5)/1000^2</f>
        <v>20.285605241691641</v>
      </c>
    </row>
    <row r="6" spans="1:22">
      <c r="A6" s="2">
        <v>5</v>
      </c>
      <c r="B6" s="2">
        <v>0</v>
      </c>
      <c r="C6" s="2">
        <v>0</v>
      </c>
      <c r="D6" s="2">
        <v>0</v>
      </c>
      <c r="E6" s="2">
        <v>0</v>
      </c>
      <c r="F6" s="2">
        <v>-7.4589999999999996</v>
      </c>
      <c r="G6" s="3"/>
      <c r="L6" s="2">
        <v>4</v>
      </c>
      <c r="M6" s="17">
        <f>(B5*1000*1000)/(0.9*$J$2*$J$5)</f>
        <v>98.142300194931764</v>
      </c>
      <c r="N6" s="2">
        <v>7</v>
      </c>
      <c r="O6" s="2">
        <v>2</v>
      </c>
      <c r="P6" s="17">
        <f>N6^2/4*PI()*O6</f>
        <v>76.969020012949926</v>
      </c>
      <c r="Q6" s="2">
        <v>12</v>
      </c>
      <c r="R6" s="2">
        <v>1</v>
      </c>
      <c r="S6" s="17">
        <f>Q6^2/4*PI()*R6</f>
        <v>113.09733552923255</v>
      </c>
      <c r="T6" s="17">
        <f t="shared" si="0"/>
        <v>190.06635554218246</v>
      </c>
      <c r="U6" s="89" t="str">
        <f t="shared" si="1"/>
        <v>verifica</v>
      </c>
      <c r="V6" s="17">
        <f>(0.9*T6*$J$2*$J$5)/1000^2</f>
        <v>12.717918312148646</v>
      </c>
    </row>
    <row r="7" spans="1:22">
      <c r="V7" s="86"/>
    </row>
    <row r="8" spans="1:22" ht="18.75">
      <c r="M8" s="87" t="s">
        <v>151</v>
      </c>
      <c r="N8" s="88" t="s">
        <v>146</v>
      </c>
      <c r="O8" s="87" t="s">
        <v>144</v>
      </c>
      <c r="P8" s="87" t="s">
        <v>147</v>
      </c>
      <c r="R8" s="83" t="s">
        <v>152</v>
      </c>
    </row>
    <row r="9" spans="1:22" ht="18">
      <c r="J9" t="s">
        <v>153</v>
      </c>
      <c r="K9" s="86">
        <f>COMBINAZIONI!B3*0.5*4^2/16</f>
        <v>7.1727499999999988</v>
      </c>
      <c r="L9" s="2">
        <v>1</v>
      </c>
      <c r="M9" s="92">
        <f>(K9*1000*1000)/(0.9*$J$2*$J$5)</f>
        <v>107.19509421702401</v>
      </c>
      <c r="N9" s="2">
        <v>12</v>
      </c>
      <c r="O9" s="2">
        <v>1</v>
      </c>
      <c r="P9" s="17">
        <f>N9^2/4*PI()*O9</f>
        <v>113.09733552923255</v>
      </c>
      <c r="Q9" s="89" t="str">
        <f>IF(P9&gt;=M9,"verifica","non verifica")</f>
        <v>verifica</v>
      </c>
      <c r="R9" s="17">
        <f>(0.9*P9*$J$2*$J$5)/1000^2</f>
        <v>7.5676869295429965</v>
      </c>
    </row>
    <row r="10" spans="1:22">
      <c r="L10" s="2">
        <v>2</v>
      </c>
      <c r="M10" s="17">
        <f>(D3*1000*1000)/(0.9*$J$2*$J$5)</f>
        <v>199.5126705653021</v>
      </c>
      <c r="N10" s="2">
        <v>12</v>
      </c>
      <c r="O10" s="2">
        <v>3</v>
      </c>
      <c r="P10" s="17">
        <f>N10^2/4*PI()*O10</f>
        <v>339.29200658769764</v>
      </c>
      <c r="Q10" s="89" t="str">
        <f>IF(P10&gt;=M10,"verifica","non verifica")</f>
        <v>verifica</v>
      </c>
      <c r="R10" s="17">
        <f>(0.9*P10*$J$2*$J$5)/1000^2</f>
        <v>22.703060788628992</v>
      </c>
    </row>
    <row r="11" spans="1:22">
      <c r="L11" s="2">
        <v>3</v>
      </c>
      <c r="M11" s="17">
        <f>(D4*1000*1000)/(0.9*$J$2*$J$5)</f>
        <v>264.07407407407402</v>
      </c>
      <c r="N11" s="2">
        <v>12</v>
      </c>
      <c r="O11" s="2">
        <v>3</v>
      </c>
      <c r="P11" s="17">
        <f>N11^2/4*PI()*O11</f>
        <v>339.29200658769764</v>
      </c>
      <c r="Q11" s="89" t="str">
        <f>IF(P11&gt;=M11,"verifica","non verifica")</f>
        <v>verifica</v>
      </c>
      <c r="R11" s="17">
        <f>(0.9*P11*$J$2*$J$5)/1000^2</f>
        <v>22.703060788628992</v>
      </c>
    </row>
    <row r="12" spans="1:22">
      <c r="L12" s="2">
        <v>4</v>
      </c>
      <c r="M12" s="17">
        <f>(D5*1000*1000)/(0.9*$J$2*$J$5)</f>
        <v>241.80636777128001</v>
      </c>
      <c r="N12" s="2">
        <v>12</v>
      </c>
      <c r="O12" s="2">
        <v>3</v>
      </c>
      <c r="P12" s="17">
        <f>N12^2/4*PI()*O12</f>
        <v>339.29200658769764</v>
      </c>
      <c r="Q12" s="89" t="str">
        <f>IF(P12&gt;=M12,"verifica","non verifica")</f>
        <v>verifica</v>
      </c>
      <c r="R12" s="17">
        <f>(0.9*P12*$J$2*$J$5)/1000^2</f>
        <v>22.703060788628992</v>
      </c>
    </row>
    <row r="13" spans="1:22" ht="18">
      <c r="J13" t="s">
        <v>153</v>
      </c>
      <c r="K13" s="91">
        <f>COMBINAZIONI!B3*0.5*4^2/16</f>
        <v>7.1727499999999988</v>
      </c>
      <c r="L13" s="2">
        <v>5</v>
      </c>
      <c r="M13" s="92">
        <f>(K13*1000*1000)/(0.9*$J$2*$J$5)</f>
        <v>107.19509421702401</v>
      </c>
      <c r="N13" s="2">
        <v>12</v>
      </c>
      <c r="O13" s="2">
        <v>1</v>
      </c>
      <c r="P13" s="17">
        <f>N13^2/4*PI()*O13</f>
        <v>113.09733552923255</v>
      </c>
      <c r="Q13" s="89" t="str">
        <f>IF(P13&gt;=M13,"verifica","non verifica")</f>
        <v>verifica</v>
      </c>
      <c r="R13" s="17">
        <f>(0.9*P13*$J$2*$J$5)/1000^2</f>
        <v>7.5676869295429965</v>
      </c>
    </row>
    <row r="16" spans="1:22">
      <c r="E16" t="s">
        <v>172</v>
      </c>
    </row>
    <row r="17" spans="4:10">
      <c r="D17" s="31" t="s">
        <v>165</v>
      </c>
      <c r="E17" s="31">
        <v>25</v>
      </c>
    </row>
    <row r="18" spans="4:10">
      <c r="D18" s="90" t="s">
        <v>167</v>
      </c>
      <c r="E18" s="2">
        <v>25</v>
      </c>
      <c r="F18" t="s">
        <v>166</v>
      </c>
    </row>
    <row r="19" spans="4:10">
      <c r="D19" s="90" t="s">
        <v>140</v>
      </c>
      <c r="E19" s="2">
        <f>220</f>
        <v>220</v>
      </c>
      <c r="F19" t="s">
        <v>162</v>
      </c>
    </row>
    <row r="20" spans="4:10">
      <c r="D20" s="90" t="s">
        <v>141</v>
      </c>
      <c r="E20" s="2">
        <v>30</v>
      </c>
      <c r="F20" t="s">
        <v>163</v>
      </c>
    </row>
    <row r="21" spans="4:10">
      <c r="D21" s="90" t="s">
        <v>142</v>
      </c>
      <c r="E21" s="2">
        <f>E19-E20</f>
        <v>190</v>
      </c>
      <c r="F21" t="s">
        <v>164</v>
      </c>
    </row>
    <row r="22" spans="4:10">
      <c r="D22" s="90" t="s">
        <v>171</v>
      </c>
      <c r="E22" s="2">
        <v>100</v>
      </c>
      <c r="F22" t="s">
        <v>176</v>
      </c>
    </row>
    <row r="23" spans="4:10">
      <c r="D23" s="90" t="s">
        <v>175</v>
      </c>
      <c r="E23" s="2">
        <f>E22*(E19-40)+40*500</f>
        <v>38000</v>
      </c>
      <c r="F23" t="s">
        <v>174</v>
      </c>
    </row>
    <row r="24" spans="4:10">
      <c r="D24" s="90" t="s">
        <v>169</v>
      </c>
      <c r="E24" s="2">
        <f>IF(1+(200/J5)^(1/2)&gt;=2,2,1+(200/J5)^(1/2))</f>
        <v>2</v>
      </c>
    </row>
    <row r="25" spans="4:10">
      <c r="D25" s="90" t="s">
        <v>168</v>
      </c>
      <c r="E25" s="17">
        <f>0.035*E24^(3/2)*E18^(1/2)</f>
        <v>0.49497474683058323</v>
      </c>
    </row>
    <row r="27" spans="4:10" ht="18.75">
      <c r="E27" s="85" t="s">
        <v>156</v>
      </c>
      <c r="F27" s="85" t="s">
        <v>157</v>
      </c>
      <c r="G27" s="90" t="s">
        <v>147</v>
      </c>
      <c r="H27" s="90" t="s">
        <v>170</v>
      </c>
      <c r="I27" s="90" t="s">
        <v>173</v>
      </c>
    </row>
    <row r="28" spans="4:10">
      <c r="D28" s="2">
        <v>1</v>
      </c>
      <c r="E28" s="2"/>
      <c r="F28" s="2">
        <v>13.04</v>
      </c>
      <c r="G28" s="17">
        <f>P9</f>
        <v>113.09733552923255</v>
      </c>
      <c r="H28" s="30">
        <f>G28/($E$22*$E$21)</f>
        <v>5.9524913436438181E-3</v>
      </c>
      <c r="I28" s="17">
        <f>MAX(((0.18*$E$24*(100*H28*$E$18)^(1/3)/1.5)*$E$23),($E$23*($E$25)))/1000</f>
        <v>22.432332420143041</v>
      </c>
      <c r="J28" s="89" t="str">
        <f>IF(I28&gt;=MAX(ABS(F28),ABS(E28)),"verifica","non verifica")</f>
        <v>verifica</v>
      </c>
    </row>
    <row r="29" spans="4:10">
      <c r="D29" s="2">
        <v>2</v>
      </c>
      <c r="E29" s="2">
        <v>-17.690000000000001</v>
      </c>
      <c r="F29" s="2">
        <v>16.68</v>
      </c>
      <c r="G29" s="17">
        <f>P10</f>
        <v>339.29200658769764</v>
      </c>
      <c r="H29" s="30">
        <f>G29/($E$22*$E$21)</f>
        <v>1.7857474030931453E-2</v>
      </c>
      <c r="I29" s="17">
        <f>MAX(((0.18*$E$24*(100*H29*$E$18)^(1/3)/1.5)*$E$23),($E$23*($E$25)))/1000</f>
        <v>32.353021793944244</v>
      </c>
      <c r="J29" s="89" t="str">
        <f t="shared" ref="J29:J32" si="2">IF(I29&gt;=MAX(ABS(F29),ABS(E29)),"verifica","non verifica")</f>
        <v>verifica</v>
      </c>
    </row>
    <row r="30" spans="4:10">
      <c r="D30" s="2">
        <v>3</v>
      </c>
      <c r="E30" s="2">
        <v>17.84</v>
      </c>
      <c r="F30" s="2">
        <v>20.87</v>
      </c>
      <c r="G30" s="17">
        <f>P11</f>
        <v>339.29200658769764</v>
      </c>
      <c r="H30" s="30">
        <f>G30/($E$22*$E$21)</f>
        <v>1.7857474030931453E-2</v>
      </c>
      <c r="I30" s="17">
        <f>MAX(((0.18*$E$24*(100*H30*$E$18)^(1/3)/1.5)*$E$23),($E$23*($E$25)))/1000</f>
        <v>32.353021793944244</v>
      </c>
      <c r="J30" s="89" t="str">
        <f t="shared" si="2"/>
        <v>verifica</v>
      </c>
    </row>
    <row r="31" spans="4:10">
      <c r="D31" s="2">
        <v>4</v>
      </c>
      <c r="E31" s="2">
        <v>20.73</v>
      </c>
      <c r="F31" s="2">
        <v>12.52</v>
      </c>
      <c r="G31" s="17">
        <f>P12</f>
        <v>339.29200658769764</v>
      </c>
      <c r="H31" s="30">
        <f>G31/($E$22*$E$21)</f>
        <v>1.7857474030931453E-2</v>
      </c>
      <c r="I31" s="17">
        <f>MAX(((0.18*$E$24*(100*H31*$E$18)^(1/3)/1.5)*$E$23),($E$23*($E$25)))/1000</f>
        <v>32.353021793944244</v>
      </c>
      <c r="J31" s="89" t="str">
        <f t="shared" si="2"/>
        <v>verifica</v>
      </c>
    </row>
    <row r="32" spans="4:10">
      <c r="D32" s="2">
        <v>5</v>
      </c>
      <c r="E32" s="2">
        <v>-7.4589999999999996</v>
      </c>
      <c r="F32" s="3"/>
      <c r="G32" s="17">
        <f>P13</f>
        <v>113.09733552923255</v>
      </c>
      <c r="H32" s="30">
        <f>G32/($E$22*$E$21)</f>
        <v>5.9524913436438181E-3</v>
      </c>
      <c r="I32" s="17">
        <f>MAX(((0.18*$E$24*(100*H32*$E$18)^(1/3)/1.5)*$E$23),($E$23*($E$25)))/1000</f>
        <v>22.432332420143041</v>
      </c>
      <c r="J32" s="89" t="str">
        <f t="shared" si="2"/>
        <v>verifica</v>
      </c>
    </row>
  </sheetData>
  <mergeCells count="2">
    <mergeCell ref="N1:O1"/>
    <mergeCell ref="Q1: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TRAMEZZI</vt:lpstr>
      <vt:lpstr>SOLAIO</vt:lpstr>
      <vt:lpstr>PESO &amp; ANALISI STATICA</vt:lpstr>
      <vt:lpstr>VENTO</vt:lpstr>
      <vt:lpstr>ADRS</vt:lpstr>
      <vt:lpstr>SPETTRI</vt:lpstr>
      <vt:lpstr>COMBINAZIONI</vt:lpstr>
      <vt:lpstr>CDS solaio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2020-01-08T08:59:10Z</cp:lastPrinted>
  <dcterms:created xsi:type="dcterms:W3CDTF">2019-03-09T17:49:26Z</dcterms:created>
  <dcterms:modified xsi:type="dcterms:W3CDTF">2020-04-07T12:13:08Z</dcterms:modified>
</cp:coreProperties>
</file>